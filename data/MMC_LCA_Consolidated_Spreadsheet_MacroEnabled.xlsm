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4.xml" ContentType="application/vnd.openxmlformats-officedocument.spreadsheetml.pivotTable+xml"/>
  <Override PartName="/xl/drawings/drawing4.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5.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tables/table1.xml" ContentType="application/vnd.openxmlformats-officedocument.spreadsheetml.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tables/table2.xml" ContentType="application/vnd.openxmlformats-officedocument.spreadsheetml.table+xml"/>
  <Override PartName="/xl/tables/table3.xml" ContentType="application/vnd.openxmlformats-officedocument.spreadsheetml.table+xml"/>
  <Override PartName="/xl/pivotTables/pivotTable10.xml" ContentType="application/vnd.openxmlformats-officedocument.spreadsheetml.pivotTable+xml"/>
  <Override PartName="/xl/drawings/drawing6.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tables/table4.xml" ContentType="application/vnd.openxmlformats-officedocument.spreadsheetml.table+xml"/>
  <Override PartName="/xl/tables/table5.xml" ContentType="application/vnd.openxmlformats-officedocument.spreadsheetml.table+xml"/>
  <Override PartName="/xl/comments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hidePivotFieldList="1"/>
  <mc:AlternateContent xmlns:mc="http://schemas.openxmlformats.org/markup-compatibility/2006">
    <mc:Choice Requires="x15">
      <x15ac:absPath xmlns:x15ac="http://schemas.microsoft.com/office/spreadsheetml/2010/11/ac" url="G:\Shared drives\Platform4MMC\0.7 Working files\6. Environmental assessments\"/>
    </mc:Choice>
  </mc:AlternateContent>
  <xr:revisionPtr revIDLastSave="0" documentId="13_ncr:1_{D0ACA5F6-03A1-4A38-BD32-1F4BB4A8BCBA}" xr6:coauthVersionLast="47" xr6:coauthVersionMax="47" xr10:uidLastSave="{00000000-0000-0000-0000-000000000000}"/>
  <bookViews>
    <workbookView xWindow="-110" yWindow="-110" windowWidth="25180" windowHeight="16140" firstSheet="3" activeTab="7" xr2:uid="{00000000-000D-0000-FFFF-FFFF00000000}"/>
  </bookViews>
  <sheets>
    <sheet name="1. OVERVIEW" sheetId="1" r:id="rId1"/>
    <sheet name="GWP RESULTS (COMPONENT)" sheetId="18" r:id="rId2"/>
    <sheet name="GWP RESULTS (DATA SOURCE)" sheetId="31" r:id="rId3"/>
    <sheet name="U &amp; R VALUE" sheetId="29" r:id="rId4"/>
    <sheet name="MASS PER M2" sheetId="30" r:id="rId5"/>
    <sheet name="SCENARIO ASSUMPTIONS" sheetId="14" r:id="rId6"/>
    <sheet name="MASTER COLUMN DESC" sheetId="28" r:id="rId7"/>
    <sheet name="SYSTEM BUILDER OUTPUT" sheetId="37" r:id="rId8"/>
    <sheet name="COMPLETE SYSTEM BUILDER" sheetId="35" r:id="rId9"/>
    <sheet name="COMPONENT PIVOT REF" sheetId="32" r:id="rId10"/>
    <sheet name="INT FINISH" sheetId="36" r:id="rId11"/>
    <sheet name="EXT FINISH" sheetId="34" r:id="rId12"/>
    <sheet name="BASE GWP BREAKDOWN" sheetId="38" r:id="rId13"/>
    <sheet name="BASE SYSTEMS" sheetId="33" r:id="rId14"/>
    <sheet name="SYSTEM MASTER" sheetId="27" r:id="rId15"/>
    <sheet name="MATERIALS" sheetId="2" r:id="rId16"/>
    <sheet name="LCA SYSTEMS" sheetId="4" r:id="rId17"/>
    <sheet name="BUILT UP PANELS" sheetId="6" r:id="rId18"/>
    <sheet name="BASE EPD VALUES" sheetId="17" r:id="rId19"/>
    <sheet name="EPD REPOSITORY" sheetId="9" r:id="rId20"/>
    <sheet name="RAW GWP FOSSIL" sheetId="10" r:id="rId21"/>
    <sheet name="GWP NORMALISED" sheetId="12" r:id="rId22"/>
    <sheet name="NORMALISATION FACTORS" sheetId="13" r:id="rId23"/>
    <sheet name="EPD DATABASES" sheetId="16" r:id="rId24"/>
    <sheet name="4. ACADEMIC STUDIES" sheetId="25" r:id="rId25"/>
  </sheets>
  <definedNames>
    <definedName name="_xleta.MID" hidden="1" xlm="1">#NAME?</definedName>
    <definedName name="_xleta.TYPE" hidden="1" xlm="1">#NAME?</definedName>
  </definedNames>
  <calcPr calcId="191029"/>
  <pivotCaches>
    <pivotCache cacheId="279" r:id="rId26"/>
    <pivotCache cacheId="287" r:id="rId27"/>
    <pivotCache cacheId="296" r:id="rId28"/>
    <pivotCache cacheId="300" r:id="rId29"/>
    <pivotCache cacheId="304" r:id="rId30"/>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80" i="35" l="1"/>
  <c r="F80" i="35"/>
  <c r="G80" i="35"/>
  <c r="H80" i="35"/>
  <c r="I80" i="35"/>
  <c r="J80" i="35"/>
  <c r="K80" i="35"/>
  <c r="P80" i="35"/>
  <c r="Q80" i="35"/>
  <c r="R80" i="35"/>
  <c r="T80" i="35" l="1"/>
  <c r="U80" i="35"/>
  <c r="V80" i="35"/>
  <c r="W80" i="35"/>
  <c r="X80" i="35" l="1"/>
  <c r="Y80" i="35"/>
  <c r="Z80" i="35" s="1"/>
  <c r="AA80" i="35"/>
  <c r="E81" i="35"/>
  <c r="F81" i="35"/>
  <c r="G81" i="35"/>
  <c r="H81" i="35"/>
  <c r="I81" i="35"/>
  <c r="J81" i="35"/>
  <c r="K81" i="35"/>
  <c r="P81" i="35"/>
  <c r="Q81" i="35"/>
  <c r="R81" i="35"/>
  <c r="T81" i="35" l="1"/>
  <c r="U81" i="35"/>
  <c r="V81" i="35"/>
  <c r="W81" i="35"/>
  <c r="X81" i="35" l="1"/>
  <c r="Y81" i="35"/>
  <c r="Z81" i="35" s="1"/>
  <c r="AA81" i="35"/>
  <c r="E82" i="35"/>
  <c r="F82" i="35"/>
  <c r="G82" i="35"/>
  <c r="H82" i="35"/>
  <c r="I82" i="35"/>
  <c r="J82" i="35"/>
  <c r="K82" i="35"/>
  <c r="P82" i="35"/>
  <c r="Q82" i="35"/>
  <c r="R82" i="35"/>
  <c r="T82" i="35" l="1"/>
  <c r="U82" i="35"/>
  <c r="V82" i="35"/>
  <c r="W82" i="35"/>
  <c r="X82" i="35" l="1"/>
  <c r="Y82" i="35"/>
  <c r="Z82" i="35" s="1"/>
  <c r="AA82" i="35"/>
  <c r="E83" i="35"/>
  <c r="F83" i="35"/>
  <c r="G83" i="35"/>
  <c r="H83" i="35"/>
  <c r="I83" i="35"/>
  <c r="J83" i="35"/>
  <c r="K83" i="35"/>
  <c r="P83" i="35"/>
  <c r="Q83" i="35"/>
  <c r="R83" i="35"/>
  <c r="T83" i="35" l="1"/>
  <c r="U83" i="35"/>
  <c r="V83" i="35"/>
  <c r="W83" i="35"/>
  <c r="X83" i="35" l="1"/>
  <c r="Y83" i="35"/>
  <c r="Z83" i="35" s="1"/>
  <c r="AA83" i="35"/>
  <c r="E84" i="35"/>
  <c r="F84" i="35"/>
  <c r="G84" i="35"/>
  <c r="H84" i="35"/>
  <c r="I84" i="35"/>
  <c r="J84" i="35"/>
  <c r="K84" i="35"/>
  <c r="P84" i="35"/>
  <c r="Q84" i="35"/>
  <c r="R84" i="35"/>
  <c r="T84" i="35" l="1"/>
  <c r="U84" i="35"/>
  <c r="V84" i="35"/>
  <c r="W84" i="35"/>
  <c r="X84" i="35" l="1"/>
  <c r="Y84" i="35"/>
  <c r="Z84" i="35" s="1"/>
  <c r="AA84" i="35"/>
  <c r="E85" i="35"/>
  <c r="F85" i="35"/>
  <c r="G85" i="35"/>
  <c r="H85" i="35"/>
  <c r="I85" i="35"/>
  <c r="J85" i="35"/>
  <c r="K85" i="35"/>
  <c r="P85" i="35"/>
  <c r="Q85" i="35"/>
  <c r="R85" i="35"/>
  <c r="T85" i="35" l="1"/>
  <c r="U85" i="35"/>
  <c r="V85" i="35"/>
  <c r="W85" i="35"/>
  <c r="X85" i="35" l="1"/>
  <c r="Y85" i="35"/>
  <c r="Z85" i="35" s="1"/>
  <c r="AA85" i="35"/>
  <c r="E86" i="35"/>
  <c r="F86" i="35"/>
  <c r="G86" i="35"/>
  <c r="H86" i="35"/>
  <c r="I86" i="35"/>
  <c r="J86" i="35"/>
  <c r="K86" i="35"/>
  <c r="P86" i="35"/>
  <c r="Q86" i="35"/>
  <c r="R86" i="35"/>
  <c r="T86" i="35" l="1"/>
  <c r="U86" i="35"/>
  <c r="V86" i="35"/>
  <c r="W86" i="35"/>
  <c r="X86" i="35" l="1"/>
  <c r="Y86" i="35"/>
  <c r="Z86" i="35" s="1"/>
  <c r="AA86" i="35"/>
  <c r="E87" i="35"/>
  <c r="F87" i="35"/>
  <c r="G87" i="35"/>
  <c r="H87" i="35"/>
  <c r="I87" i="35"/>
  <c r="J87" i="35"/>
  <c r="K87" i="35"/>
  <c r="P87" i="35"/>
  <c r="Q87" i="35"/>
  <c r="R87" i="35"/>
  <c r="T87" i="35" l="1"/>
  <c r="U87" i="35"/>
  <c r="V87" i="35"/>
  <c r="W87" i="35"/>
  <c r="X87" i="35" l="1"/>
  <c r="Y87" i="35"/>
  <c r="Z87" i="35" s="1"/>
  <c r="AA87" i="35"/>
  <c r="E88" i="35"/>
  <c r="F88" i="35"/>
  <c r="G88" i="35"/>
  <c r="H88" i="35"/>
  <c r="I88" i="35"/>
  <c r="J88" i="35"/>
  <c r="K88" i="35"/>
  <c r="P88" i="35"/>
  <c r="Q88" i="35"/>
  <c r="R88" i="35"/>
  <c r="T88" i="35" l="1"/>
  <c r="U88" i="35"/>
  <c r="V88" i="35"/>
  <c r="W88" i="35"/>
  <c r="X88" i="35" l="1"/>
  <c r="Y88" i="35"/>
  <c r="Z88" i="35" s="1"/>
  <c r="AA88" i="35"/>
  <c r="E89" i="35"/>
  <c r="F89" i="35"/>
  <c r="G89" i="35"/>
  <c r="H89" i="35"/>
  <c r="I89" i="35"/>
  <c r="J89" i="35"/>
  <c r="K89" i="35"/>
  <c r="P89" i="35"/>
  <c r="Q89" i="35"/>
  <c r="R89" i="35"/>
  <c r="T89" i="35"/>
  <c r="U89" i="35"/>
  <c r="V89" i="35"/>
  <c r="W89" i="35"/>
  <c r="X89" i="35" l="1"/>
  <c r="Y89" i="35"/>
  <c r="Z89" i="35" s="1"/>
  <c r="AA89" i="35"/>
  <c r="E90" i="35"/>
  <c r="F90" i="35"/>
  <c r="G90" i="35"/>
  <c r="H90" i="35"/>
  <c r="I90" i="35"/>
  <c r="J90" i="35"/>
  <c r="K90" i="35"/>
  <c r="P90" i="35"/>
  <c r="Q90" i="35"/>
  <c r="R90" i="35"/>
  <c r="T90" i="35" l="1"/>
  <c r="U90" i="35"/>
  <c r="V90" i="35"/>
  <c r="W90" i="35"/>
  <c r="X90" i="35" l="1"/>
  <c r="Y90" i="35"/>
  <c r="Z90" i="35" s="1"/>
  <c r="AA90" i="35"/>
  <c r="E91" i="35"/>
  <c r="F91" i="35"/>
  <c r="G91" i="35"/>
  <c r="H91" i="35"/>
  <c r="I91" i="35"/>
  <c r="J91" i="35"/>
  <c r="K91" i="35"/>
  <c r="P91" i="35"/>
  <c r="Q91" i="35"/>
  <c r="R91" i="35"/>
  <c r="T91" i="35"/>
  <c r="U91" i="35"/>
  <c r="V91" i="35"/>
  <c r="W91" i="35"/>
  <c r="X91" i="35" l="1"/>
  <c r="Y91" i="35"/>
  <c r="Z91" i="35" s="1"/>
  <c r="AA91" i="35"/>
  <c r="E92" i="35"/>
  <c r="F92" i="35"/>
  <c r="G92" i="35"/>
  <c r="H92" i="35"/>
  <c r="I92" i="35"/>
  <c r="J92" i="35"/>
  <c r="K92" i="35"/>
  <c r="P92" i="35"/>
  <c r="Q92" i="35"/>
  <c r="R92" i="35"/>
  <c r="T92" i="35" l="1"/>
  <c r="U92" i="35"/>
  <c r="V92" i="35"/>
  <c r="W92" i="35"/>
  <c r="X92" i="35" l="1"/>
  <c r="Y92" i="35"/>
  <c r="Z92" i="35" s="1"/>
  <c r="AA92" i="35"/>
  <c r="E93" i="35"/>
  <c r="F93" i="35"/>
  <c r="G93" i="35"/>
  <c r="H93" i="35"/>
  <c r="I93" i="35"/>
  <c r="J93" i="35"/>
  <c r="K93" i="35"/>
  <c r="P93" i="35"/>
  <c r="Q93" i="35"/>
  <c r="R93" i="35"/>
  <c r="T93" i="35" l="1"/>
  <c r="U93" i="35"/>
  <c r="V93" i="35"/>
  <c r="W93" i="35"/>
  <c r="X93" i="35" l="1"/>
  <c r="Y93" i="35"/>
  <c r="Z93" i="35" s="1"/>
  <c r="AA93" i="35"/>
  <c r="E94" i="35"/>
  <c r="F94" i="35"/>
  <c r="G94" i="35"/>
  <c r="H94" i="35"/>
  <c r="I94" i="35"/>
  <c r="J94" i="35"/>
  <c r="K94" i="35"/>
  <c r="P94" i="35"/>
  <c r="Q94" i="35"/>
  <c r="R94" i="35"/>
  <c r="T94" i="35"/>
  <c r="U94" i="35"/>
  <c r="V94" i="35"/>
  <c r="W94" i="35"/>
  <c r="X94" i="35" l="1"/>
  <c r="Y94" i="35"/>
  <c r="Z94" i="35" s="1"/>
  <c r="AA94" i="35"/>
  <c r="E95" i="35"/>
  <c r="F95" i="35"/>
  <c r="G95" i="35"/>
  <c r="H95" i="35"/>
  <c r="I95" i="35"/>
  <c r="J95" i="35"/>
  <c r="K95" i="35"/>
  <c r="P95" i="35"/>
  <c r="Q95" i="35"/>
  <c r="R95" i="35"/>
  <c r="T95" i="35" l="1"/>
  <c r="U95" i="35"/>
  <c r="V95" i="35"/>
  <c r="W95" i="35"/>
  <c r="X95" i="35" l="1"/>
  <c r="Y95" i="35"/>
  <c r="Z95" i="35" s="1"/>
  <c r="AA95" i="35"/>
  <c r="E96" i="35"/>
  <c r="F96" i="35"/>
  <c r="G96" i="35"/>
  <c r="H96" i="35"/>
  <c r="I96" i="35"/>
  <c r="J96" i="35"/>
  <c r="K96" i="35"/>
  <c r="P96" i="35"/>
  <c r="Q96" i="35"/>
  <c r="R96" i="35"/>
  <c r="T96" i="35" l="1"/>
  <c r="U96" i="35"/>
  <c r="V96" i="35"/>
  <c r="W96" i="35"/>
  <c r="X96" i="35" l="1"/>
  <c r="Y96" i="35"/>
  <c r="Z96" i="35" s="1"/>
  <c r="AA96" i="35"/>
  <c r="E97" i="35"/>
  <c r="F97" i="35"/>
  <c r="G97" i="35"/>
  <c r="H97" i="35"/>
  <c r="I97" i="35"/>
  <c r="J97" i="35"/>
  <c r="K97" i="35"/>
  <c r="P97" i="35"/>
  <c r="Q97" i="35"/>
  <c r="R97" i="35"/>
  <c r="T97" i="35"/>
  <c r="U97" i="35"/>
  <c r="V97" i="35"/>
  <c r="W97" i="35"/>
  <c r="X97" i="35" l="1"/>
  <c r="Y97" i="35"/>
  <c r="Z97" i="35" s="1"/>
  <c r="AA97" i="35"/>
  <c r="E98" i="35"/>
  <c r="F98" i="35"/>
  <c r="G98" i="35"/>
  <c r="H98" i="35"/>
  <c r="I98" i="35"/>
  <c r="J98" i="35"/>
  <c r="K98" i="35"/>
  <c r="P98" i="35"/>
  <c r="Q98" i="35"/>
  <c r="R98" i="35"/>
  <c r="T98" i="35" l="1"/>
  <c r="U98" i="35"/>
  <c r="V98" i="35"/>
  <c r="W98" i="35"/>
  <c r="X98" i="35" l="1"/>
  <c r="Y98" i="35"/>
  <c r="Z98" i="35" s="1"/>
  <c r="AA98" i="35"/>
  <c r="E99" i="35"/>
  <c r="F99" i="35"/>
  <c r="G99" i="35"/>
  <c r="H99" i="35"/>
  <c r="I99" i="35"/>
  <c r="J99" i="35"/>
  <c r="K99" i="35"/>
  <c r="P99" i="35"/>
  <c r="Q99" i="35"/>
  <c r="R99" i="35"/>
  <c r="T99" i="35" l="1"/>
  <c r="U99" i="35"/>
  <c r="V99" i="35"/>
  <c r="W99" i="35"/>
  <c r="X99" i="35" l="1"/>
  <c r="Y99" i="35"/>
  <c r="Z99" i="35" s="1"/>
  <c r="AA99" i="35"/>
  <c r="E100" i="35"/>
  <c r="F100" i="35"/>
  <c r="G100" i="35"/>
  <c r="H100" i="35"/>
  <c r="I100" i="35"/>
  <c r="J100" i="35"/>
  <c r="K100" i="35"/>
  <c r="P100" i="35"/>
  <c r="Q100" i="35"/>
  <c r="R100" i="35"/>
  <c r="T100" i="35" l="1"/>
  <c r="U100" i="35"/>
  <c r="V100" i="35"/>
  <c r="W100" i="35"/>
  <c r="X100" i="35" l="1"/>
  <c r="Y100" i="35"/>
  <c r="Z100" i="35" s="1"/>
  <c r="AA100" i="35"/>
  <c r="E101" i="35"/>
  <c r="F101" i="35"/>
  <c r="G101" i="35"/>
  <c r="H101" i="35"/>
  <c r="I101" i="35"/>
  <c r="J101" i="35"/>
  <c r="K101" i="35"/>
  <c r="P101" i="35"/>
  <c r="Q101" i="35"/>
  <c r="R101" i="35"/>
  <c r="T101" i="35" l="1"/>
  <c r="U101" i="35"/>
  <c r="V101" i="35"/>
  <c r="W101" i="35"/>
  <c r="X101" i="35" l="1"/>
  <c r="Y101" i="35"/>
  <c r="Z101" i="35" s="1"/>
  <c r="AA101" i="35"/>
  <c r="E102" i="35"/>
  <c r="F102" i="35"/>
  <c r="G102" i="35"/>
  <c r="H102" i="35"/>
  <c r="I102" i="35"/>
  <c r="J102" i="35"/>
  <c r="K102" i="35"/>
  <c r="P102" i="35"/>
  <c r="Q102" i="35"/>
  <c r="R102" i="35"/>
  <c r="T102" i="35" l="1"/>
  <c r="U102" i="35"/>
  <c r="V102" i="35"/>
  <c r="W102" i="35"/>
  <c r="X102" i="35" l="1"/>
  <c r="Y102" i="35"/>
  <c r="Z102" i="35" s="1"/>
  <c r="AA102" i="35"/>
  <c r="E103" i="35"/>
  <c r="F103" i="35"/>
  <c r="G103" i="35"/>
  <c r="H103" i="35"/>
  <c r="I103" i="35"/>
  <c r="J103" i="35"/>
  <c r="K103" i="35"/>
  <c r="P103" i="35"/>
  <c r="Q103" i="35"/>
  <c r="R103" i="35"/>
  <c r="T103" i="35" l="1"/>
  <c r="U103" i="35"/>
  <c r="V103" i="35"/>
  <c r="W103" i="35"/>
  <c r="X103" i="35" l="1"/>
  <c r="Y103" i="35"/>
  <c r="Z103" i="35" s="1"/>
  <c r="AA103" i="35"/>
  <c r="E104" i="35"/>
  <c r="F104" i="35"/>
  <c r="G104" i="35"/>
  <c r="H104" i="35"/>
  <c r="I104" i="35"/>
  <c r="J104" i="35"/>
  <c r="K104" i="35"/>
  <c r="P104" i="35"/>
  <c r="Q104" i="35"/>
  <c r="R104" i="35"/>
  <c r="T104" i="35"/>
  <c r="U104" i="35"/>
  <c r="V104" i="35"/>
  <c r="W104" i="35"/>
  <c r="X104" i="35" l="1"/>
  <c r="Y104" i="35"/>
  <c r="Z104" i="35" s="1"/>
  <c r="AA104" i="35"/>
  <c r="E105" i="35"/>
  <c r="F105" i="35"/>
  <c r="G105" i="35"/>
  <c r="H105" i="35"/>
  <c r="I105" i="35"/>
  <c r="J105" i="35"/>
  <c r="K105" i="35"/>
  <c r="P105" i="35"/>
  <c r="Q105" i="35"/>
  <c r="R105" i="35"/>
  <c r="T105" i="35" l="1"/>
  <c r="U105" i="35"/>
  <c r="V105" i="35"/>
  <c r="W105" i="35"/>
  <c r="X105" i="35" l="1"/>
  <c r="Y105" i="35"/>
  <c r="Z105" i="35" s="1"/>
  <c r="AA105" i="35"/>
  <c r="E106" i="35"/>
  <c r="F106" i="35"/>
  <c r="G106" i="35"/>
  <c r="H106" i="35"/>
  <c r="I106" i="35"/>
  <c r="J106" i="35"/>
  <c r="K106" i="35"/>
  <c r="P106" i="35"/>
  <c r="Q106" i="35"/>
  <c r="R106" i="35"/>
  <c r="T106" i="35" l="1"/>
  <c r="U106" i="35"/>
  <c r="V106" i="35"/>
  <c r="W106" i="35"/>
  <c r="X106" i="35" l="1"/>
  <c r="Y106" i="35"/>
  <c r="Z106" i="35" s="1"/>
  <c r="AA106" i="35"/>
  <c r="E107" i="35"/>
  <c r="F107" i="35"/>
  <c r="G107" i="35"/>
  <c r="H107" i="35"/>
  <c r="I107" i="35"/>
  <c r="J107" i="35"/>
  <c r="K107" i="35"/>
  <c r="P107" i="35"/>
  <c r="Q107" i="35"/>
  <c r="R107" i="35"/>
  <c r="T107" i="35" l="1"/>
  <c r="U107" i="35"/>
  <c r="V107" i="35"/>
  <c r="W107" i="35"/>
  <c r="X107" i="35" l="1"/>
  <c r="Y107" i="35"/>
  <c r="Z107" i="35" s="1"/>
  <c r="AA107" i="35"/>
  <c r="E108" i="35"/>
  <c r="F108" i="35"/>
  <c r="G108" i="35"/>
  <c r="H108" i="35"/>
  <c r="I108" i="35"/>
  <c r="J108" i="35"/>
  <c r="K108" i="35"/>
  <c r="P108" i="35"/>
  <c r="Q108" i="35"/>
  <c r="R108" i="35"/>
  <c r="T108" i="35" l="1"/>
  <c r="U108" i="35"/>
  <c r="V108" i="35"/>
  <c r="W108" i="35"/>
  <c r="X108" i="35" l="1"/>
  <c r="Y108" i="35"/>
  <c r="Z108" i="35" s="1"/>
  <c r="AA108" i="35"/>
  <c r="E109" i="35"/>
  <c r="F109" i="35"/>
  <c r="G109" i="35"/>
  <c r="H109" i="35"/>
  <c r="I109" i="35"/>
  <c r="J109" i="35"/>
  <c r="K109" i="35"/>
  <c r="P109" i="35"/>
  <c r="Q109" i="35"/>
  <c r="R109" i="35"/>
  <c r="T109" i="35" l="1"/>
  <c r="U109" i="35"/>
  <c r="V109" i="35"/>
  <c r="W109" i="35"/>
  <c r="X109" i="35" l="1"/>
  <c r="Y109" i="35"/>
  <c r="Z109" i="35" s="1"/>
  <c r="AA109" i="35"/>
  <c r="E110" i="35"/>
  <c r="F110" i="35"/>
  <c r="G110" i="35"/>
  <c r="H110" i="35"/>
  <c r="I110" i="35"/>
  <c r="J110" i="35"/>
  <c r="K110" i="35"/>
  <c r="P110" i="35"/>
  <c r="Q110" i="35"/>
  <c r="R110" i="35"/>
  <c r="T110" i="35" l="1"/>
  <c r="U110" i="35"/>
  <c r="V110" i="35"/>
  <c r="W110" i="35"/>
  <c r="X110" i="35" l="1"/>
  <c r="Y110" i="35"/>
  <c r="Z110" i="35" s="1"/>
  <c r="AA110" i="35"/>
  <c r="E111" i="35"/>
  <c r="F111" i="35"/>
  <c r="G111" i="35"/>
  <c r="H111" i="35"/>
  <c r="I111" i="35"/>
  <c r="J111" i="35"/>
  <c r="K111" i="35"/>
  <c r="P111" i="35"/>
  <c r="Q111" i="35"/>
  <c r="R111" i="35"/>
  <c r="T111" i="35" l="1"/>
  <c r="U111" i="35"/>
  <c r="V111" i="35"/>
  <c r="W111" i="35"/>
  <c r="X111" i="35" l="1"/>
  <c r="Y111" i="35"/>
  <c r="Z111" i="35" s="1"/>
  <c r="AA111" i="35"/>
  <c r="E112" i="35"/>
  <c r="F112" i="35"/>
  <c r="G112" i="35"/>
  <c r="H112" i="35"/>
  <c r="I112" i="35"/>
  <c r="J112" i="35"/>
  <c r="K112" i="35"/>
  <c r="P112" i="35"/>
  <c r="Q112" i="35"/>
  <c r="R112" i="35"/>
  <c r="T112" i="35" l="1"/>
  <c r="U112" i="35"/>
  <c r="V112" i="35"/>
  <c r="W112" i="35"/>
  <c r="X112" i="35" l="1"/>
  <c r="Y112" i="35"/>
  <c r="Z112" i="35" s="1"/>
  <c r="AA112" i="35"/>
  <c r="E113" i="35"/>
  <c r="F113" i="35"/>
  <c r="G113" i="35"/>
  <c r="H113" i="35"/>
  <c r="I113" i="35"/>
  <c r="J113" i="35"/>
  <c r="K113" i="35"/>
  <c r="P113" i="35"/>
  <c r="Q113" i="35"/>
  <c r="R113" i="35"/>
  <c r="T113" i="35" l="1"/>
  <c r="U113" i="35"/>
  <c r="V113" i="35"/>
  <c r="W113" i="35"/>
  <c r="X113" i="35" l="1"/>
  <c r="Y113" i="35"/>
  <c r="Z113" i="35" s="1"/>
  <c r="AA113" i="35"/>
  <c r="E114" i="35"/>
  <c r="F114" i="35"/>
  <c r="G114" i="35"/>
  <c r="H114" i="35"/>
  <c r="I114" i="35"/>
  <c r="J114" i="35"/>
  <c r="K114" i="35"/>
  <c r="P114" i="35"/>
  <c r="Q114" i="35"/>
  <c r="R114" i="35"/>
  <c r="T114" i="35" l="1"/>
  <c r="U114" i="35"/>
  <c r="V114" i="35"/>
  <c r="W114" i="35"/>
  <c r="X114" i="35" l="1"/>
  <c r="Y114" i="35"/>
  <c r="Z114" i="35" s="1"/>
  <c r="AA114" i="35"/>
  <c r="E115" i="35"/>
  <c r="F115" i="35"/>
  <c r="G115" i="35"/>
  <c r="H115" i="35"/>
  <c r="I115" i="35"/>
  <c r="J115" i="35"/>
  <c r="K115" i="35"/>
  <c r="P115" i="35"/>
  <c r="Q115" i="35"/>
  <c r="R115" i="35"/>
  <c r="T115" i="35"/>
  <c r="U115" i="35"/>
  <c r="V115" i="35"/>
  <c r="W115" i="35"/>
  <c r="X115" i="35" l="1"/>
  <c r="Y115" i="35"/>
  <c r="Z115" i="35" s="1"/>
  <c r="AA115" i="35"/>
  <c r="E116" i="35"/>
  <c r="F116" i="35"/>
  <c r="G116" i="35"/>
  <c r="H116" i="35"/>
  <c r="I116" i="35"/>
  <c r="J116" i="35"/>
  <c r="K116" i="35"/>
  <c r="P116" i="35"/>
  <c r="Q116" i="35"/>
  <c r="R116" i="35"/>
  <c r="T116" i="35" l="1"/>
  <c r="U116" i="35"/>
  <c r="V116" i="35"/>
  <c r="W116" i="35"/>
  <c r="X116" i="35" l="1"/>
  <c r="Y116" i="35"/>
  <c r="Z116" i="35" s="1"/>
  <c r="AA116" i="35"/>
  <c r="E117" i="35"/>
  <c r="F117" i="35"/>
  <c r="G117" i="35"/>
  <c r="H117" i="35"/>
  <c r="I117" i="35"/>
  <c r="J117" i="35"/>
  <c r="K117" i="35"/>
  <c r="P117" i="35"/>
  <c r="Q117" i="35"/>
  <c r="R117" i="35"/>
  <c r="T117" i="35" l="1"/>
  <c r="U117" i="35"/>
  <c r="V117" i="35"/>
  <c r="W117" i="35"/>
  <c r="X117" i="35" l="1"/>
  <c r="Y117" i="35"/>
  <c r="Z117" i="35" s="1"/>
  <c r="AA117" i="35"/>
  <c r="E118" i="35"/>
  <c r="F118" i="35"/>
  <c r="G118" i="35"/>
  <c r="H118" i="35"/>
  <c r="I118" i="35"/>
  <c r="J118" i="35"/>
  <c r="K118" i="35"/>
  <c r="P118" i="35"/>
  <c r="Q118" i="35"/>
  <c r="R118" i="35"/>
  <c r="T118" i="35" l="1"/>
  <c r="U118" i="35"/>
  <c r="V118" i="35"/>
  <c r="W118" i="35"/>
  <c r="X118" i="35" l="1"/>
  <c r="Y118" i="35"/>
  <c r="Z118" i="35" s="1"/>
  <c r="AA118" i="35"/>
  <c r="E119" i="35"/>
  <c r="F119" i="35"/>
  <c r="G119" i="35"/>
  <c r="H119" i="35"/>
  <c r="I119" i="35"/>
  <c r="J119" i="35"/>
  <c r="K119" i="35"/>
  <c r="P119" i="35"/>
  <c r="Q119" i="35"/>
  <c r="R119" i="35"/>
  <c r="T119" i="35" l="1"/>
  <c r="U119" i="35"/>
  <c r="V119" i="35"/>
  <c r="W119" i="35"/>
  <c r="X119" i="35" l="1"/>
  <c r="Y119" i="35"/>
  <c r="Z119" i="35" s="1"/>
  <c r="AA119" i="35"/>
  <c r="E120" i="35"/>
  <c r="F120" i="35"/>
  <c r="G120" i="35"/>
  <c r="H120" i="35"/>
  <c r="I120" i="35"/>
  <c r="J120" i="35"/>
  <c r="K120" i="35"/>
  <c r="P120" i="35"/>
  <c r="Q120" i="35"/>
  <c r="R120" i="35"/>
  <c r="T120" i="35"/>
  <c r="U120" i="35"/>
  <c r="V120" i="35"/>
  <c r="W120" i="35"/>
  <c r="X120" i="35" l="1"/>
  <c r="Y120" i="35"/>
  <c r="Z120" i="35" s="1"/>
  <c r="AA120" i="35"/>
  <c r="E121" i="35"/>
  <c r="F121" i="35"/>
  <c r="G121" i="35"/>
  <c r="H121" i="35"/>
  <c r="I121" i="35"/>
  <c r="J121" i="35"/>
  <c r="K121" i="35"/>
  <c r="P121" i="35"/>
  <c r="Q121" i="35"/>
  <c r="R121" i="35"/>
  <c r="T121" i="35" l="1"/>
  <c r="U121" i="35"/>
  <c r="V121" i="35"/>
  <c r="W121" i="35"/>
  <c r="X121" i="35" l="1"/>
  <c r="Y121" i="35"/>
  <c r="Z121" i="35" s="1"/>
  <c r="AA121" i="35"/>
  <c r="E122" i="35"/>
  <c r="F122" i="35"/>
  <c r="G122" i="35"/>
  <c r="H122" i="35"/>
  <c r="I122" i="35"/>
  <c r="J122" i="35"/>
  <c r="K122" i="35"/>
  <c r="P122" i="35"/>
  <c r="Q122" i="35"/>
  <c r="R122" i="35"/>
  <c r="T122" i="35" l="1"/>
  <c r="U122" i="35"/>
  <c r="V122" i="35"/>
  <c r="W122" i="35"/>
  <c r="X122" i="35" l="1"/>
  <c r="Y122" i="35"/>
  <c r="Z122" i="35" s="1"/>
  <c r="AA122" i="35"/>
  <c r="E123" i="35"/>
  <c r="F123" i="35"/>
  <c r="G123" i="35"/>
  <c r="H123" i="35"/>
  <c r="I123" i="35"/>
  <c r="J123" i="35"/>
  <c r="K123" i="35"/>
  <c r="P123" i="35"/>
  <c r="Q123" i="35"/>
  <c r="R123" i="35"/>
  <c r="T123" i="35" l="1"/>
  <c r="U123" i="35"/>
  <c r="V123" i="35"/>
  <c r="W123" i="35"/>
  <c r="X123" i="35" l="1"/>
  <c r="Y123" i="35"/>
  <c r="Z123" i="35" s="1"/>
  <c r="AA123" i="35"/>
  <c r="E124" i="35"/>
  <c r="F124" i="35"/>
  <c r="G124" i="35"/>
  <c r="H124" i="35"/>
  <c r="I124" i="35"/>
  <c r="J124" i="35"/>
  <c r="K124" i="35"/>
  <c r="P124" i="35"/>
  <c r="Q124" i="35"/>
  <c r="R124" i="35"/>
  <c r="T124" i="35" l="1"/>
  <c r="U124" i="35"/>
  <c r="V124" i="35"/>
  <c r="W124" i="35"/>
  <c r="X124" i="35" l="1"/>
  <c r="Y124" i="35"/>
  <c r="Z124" i="35" s="1"/>
  <c r="AA124" i="35"/>
  <c r="E125" i="35"/>
  <c r="F125" i="35"/>
  <c r="G125" i="35"/>
  <c r="H125" i="35"/>
  <c r="I125" i="35"/>
  <c r="J125" i="35"/>
  <c r="K125" i="35"/>
  <c r="P125" i="35"/>
  <c r="Q125" i="35"/>
  <c r="R125" i="35"/>
  <c r="T125" i="35" l="1"/>
  <c r="U125" i="35"/>
  <c r="V125" i="35"/>
  <c r="W125" i="35"/>
  <c r="X125" i="35" l="1"/>
  <c r="Y125" i="35"/>
  <c r="Z125" i="35" s="1"/>
  <c r="AA125" i="35"/>
  <c r="E126" i="35"/>
  <c r="F126" i="35"/>
  <c r="G126" i="35"/>
  <c r="H126" i="35"/>
  <c r="I126" i="35"/>
  <c r="J126" i="35"/>
  <c r="K126" i="35"/>
  <c r="P126" i="35"/>
  <c r="Q126" i="35"/>
  <c r="R126" i="35"/>
  <c r="T126" i="35" l="1"/>
  <c r="U126" i="35"/>
  <c r="V126" i="35"/>
  <c r="W126" i="35"/>
  <c r="X126" i="35" l="1"/>
  <c r="Y126" i="35"/>
  <c r="Z126" i="35" s="1"/>
  <c r="AA126" i="35"/>
  <c r="E127" i="35"/>
  <c r="F127" i="35"/>
  <c r="G127" i="35"/>
  <c r="H127" i="35"/>
  <c r="I127" i="35"/>
  <c r="J127" i="35"/>
  <c r="K127" i="35"/>
  <c r="P127" i="35"/>
  <c r="Q127" i="35"/>
  <c r="R127" i="35"/>
  <c r="T127" i="35" l="1"/>
  <c r="U127" i="35"/>
  <c r="V127" i="35"/>
  <c r="W127" i="35"/>
  <c r="X127" i="35" l="1"/>
  <c r="Y127" i="35"/>
  <c r="Z127" i="35" s="1"/>
  <c r="AA127" i="35"/>
  <c r="E128" i="35"/>
  <c r="F128" i="35"/>
  <c r="G128" i="35"/>
  <c r="H128" i="35"/>
  <c r="I128" i="35"/>
  <c r="J128" i="35"/>
  <c r="K128" i="35"/>
  <c r="P128" i="35"/>
  <c r="Q128" i="35"/>
  <c r="R128" i="35"/>
  <c r="T128" i="35"/>
  <c r="U128" i="35"/>
  <c r="V128" i="35"/>
  <c r="W128" i="35"/>
  <c r="X128" i="35" l="1"/>
  <c r="Y128" i="35"/>
  <c r="Z128" i="35" s="1"/>
  <c r="AA128" i="35"/>
  <c r="E129" i="35"/>
  <c r="F129" i="35"/>
  <c r="G129" i="35"/>
  <c r="H129" i="35"/>
  <c r="I129" i="35"/>
  <c r="J129" i="35"/>
  <c r="K129" i="35"/>
  <c r="P129" i="35"/>
  <c r="Q129" i="35"/>
  <c r="R129" i="35"/>
  <c r="T129" i="35" l="1"/>
  <c r="U129" i="35"/>
  <c r="V129" i="35"/>
  <c r="W129" i="35"/>
  <c r="X129" i="35" l="1"/>
  <c r="Y129" i="35"/>
  <c r="Z129" i="35" s="1"/>
  <c r="AA129" i="35"/>
  <c r="E130" i="35"/>
  <c r="F130" i="35"/>
  <c r="G130" i="35"/>
  <c r="H130" i="35"/>
  <c r="I130" i="35"/>
  <c r="J130" i="35"/>
  <c r="K130" i="35"/>
  <c r="P130" i="35"/>
  <c r="Q130" i="35"/>
  <c r="R130" i="35"/>
  <c r="T130" i="35" l="1"/>
  <c r="U130" i="35"/>
  <c r="V130" i="35"/>
  <c r="W130" i="35"/>
  <c r="X130" i="35" l="1"/>
  <c r="Y130" i="35"/>
  <c r="Z130" i="35" s="1"/>
  <c r="AA130" i="35"/>
  <c r="E131" i="35"/>
  <c r="F131" i="35"/>
  <c r="G131" i="35"/>
  <c r="H131" i="35"/>
  <c r="I131" i="35"/>
  <c r="J131" i="35"/>
  <c r="K131" i="35"/>
  <c r="P131" i="35"/>
  <c r="Q131" i="35"/>
  <c r="R131" i="35"/>
  <c r="T131" i="35" l="1"/>
  <c r="U131" i="35"/>
  <c r="V131" i="35"/>
  <c r="W131" i="35"/>
  <c r="X131" i="35" l="1"/>
  <c r="Y131" i="35"/>
  <c r="Z131" i="35" s="1"/>
  <c r="AA131" i="35"/>
  <c r="E132" i="35"/>
  <c r="F132" i="35"/>
  <c r="G132" i="35"/>
  <c r="H132" i="35"/>
  <c r="I132" i="35"/>
  <c r="J132" i="35"/>
  <c r="K132" i="35"/>
  <c r="P132" i="35"/>
  <c r="Q132" i="35"/>
  <c r="R132" i="35"/>
  <c r="T132" i="35" l="1"/>
  <c r="U132" i="35"/>
  <c r="V132" i="35"/>
  <c r="W132" i="35"/>
  <c r="X132" i="35" l="1"/>
  <c r="Y132" i="35"/>
  <c r="Z132" i="35" s="1"/>
  <c r="AA132" i="35"/>
  <c r="E133" i="35"/>
  <c r="F133" i="35"/>
  <c r="G133" i="35"/>
  <c r="H133" i="35"/>
  <c r="I133" i="35"/>
  <c r="J133" i="35"/>
  <c r="K133" i="35"/>
  <c r="P133" i="35"/>
  <c r="Q133" i="35"/>
  <c r="R133" i="35"/>
  <c r="T133" i="35" l="1"/>
  <c r="U133" i="35"/>
  <c r="V133" i="35"/>
  <c r="W133" i="35"/>
  <c r="X133" i="35" l="1"/>
  <c r="Y133" i="35"/>
  <c r="Z133" i="35" s="1"/>
  <c r="AA133" i="35"/>
  <c r="E134" i="35"/>
  <c r="F134" i="35"/>
  <c r="G134" i="35"/>
  <c r="H134" i="35"/>
  <c r="I134" i="35"/>
  <c r="J134" i="35"/>
  <c r="K134" i="35"/>
  <c r="P134" i="35"/>
  <c r="Q134" i="35"/>
  <c r="R134" i="35"/>
  <c r="T134" i="35"/>
  <c r="U134" i="35"/>
  <c r="V134" i="35"/>
  <c r="W134" i="35"/>
  <c r="X134" i="35" l="1"/>
  <c r="Y134" i="35"/>
  <c r="Z134" i="35" s="1"/>
  <c r="AA134" i="35"/>
  <c r="E135" i="35"/>
  <c r="F135" i="35"/>
  <c r="G135" i="35"/>
  <c r="H135" i="35"/>
  <c r="I135" i="35"/>
  <c r="J135" i="35"/>
  <c r="K135" i="35"/>
  <c r="P135" i="35"/>
  <c r="Q135" i="35"/>
  <c r="R135" i="35"/>
  <c r="T135" i="35" l="1"/>
  <c r="U135" i="35"/>
  <c r="V135" i="35"/>
  <c r="W135" i="35"/>
  <c r="X135" i="35" l="1"/>
  <c r="Y135" i="35"/>
  <c r="Z135" i="35" s="1"/>
  <c r="AA135" i="35"/>
  <c r="E136" i="35"/>
  <c r="F136" i="35"/>
  <c r="G136" i="35"/>
  <c r="H136" i="35"/>
  <c r="I136" i="35"/>
  <c r="J136" i="35"/>
  <c r="K136" i="35"/>
  <c r="P136" i="35"/>
  <c r="Q136" i="35"/>
  <c r="R136" i="35"/>
  <c r="T136" i="35" l="1"/>
  <c r="U136" i="35"/>
  <c r="V136" i="35"/>
  <c r="W136" i="35"/>
  <c r="X136" i="35" l="1"/>
  <c r="Y136" i="35"/>
  <c r="Z136" i="35" s="1"/>
  <c r="AA136" i="35"/>
  <c r="E137" i="35"/>
  <c r="F137" i="35"/>
  <c r="G137" i="35"/>
  <c r="H137" i="35"/>
  <c r="I137" i="35"/>
  <c r="J137" i="35"/>
  <c r="K137" i="35"/>
  <c r="P137" i="35"/>
  <c r="Q137" i="35"/>
  <c r="R137" i="35"/>
  <c r="T137" i="35" l="1"/>
  <c r="U137" i="35"/>
  <c r="V137" i="35"/>
  <c r="W137" i="35"/>
  <c r="X137" i="35" l="1"/>
  <c r="Y137" i="35"/>
  <c r="Z137" i="35" s="1"/>
  <c r="AA137" i="35"/>
  <c r="E138" i="35"/>
  <c r="F138" i="35"/>
  <c r="G138" i="35"/>
  <c r="H138" i="35"/>
  <c r="I138" i="35"/>
  <c r="J138" i="35"/>
  <c r="K138" i="35"/>
  <c r="P138" i="35"/>
  <c r="Q138" i="35"/>
  <c r="R138" i="35"/>
  <c r="T138" i="35" l="1"/>
  <c r="U138" i="35"/>
  <c r="V138" i="35"/>
  <c r="W138" i="35"/>
  <c r="X138" i="35" l="1"/>
  <c r="Y138" i="35"/>
  <c r="Z138" i="35" s="1"/>
  <c r="AA138" i="35"/>
  <c r="E139" i="35"/>
  <c r="F139" i="35"/>
  <c r="G139" i="35"/>
  <c r="H139" i="35"/>
  <c r="I139" i="35"/>
  <c r="J139" i="35"/>
  <c r="K139" i="35"/>
  <c r="P139" i="35"/>
  <c r="Q139" i="35"/>
  <c r="R139" i="35"/>
  <c r="T139" i="35"/>
  <c r="U139" i="35"/>
  <c r="V139" i="35"/>
  <c r="W139" i="35"/>
  <c r="X139" i="35" l="1"/>
  <c r="Y139" i="35"/>
  <c r="Z139" i="35" s="1"/>
  <c r="AA139" i="35"/>
  <c r="E140" i="35"/>
  <c r="F140" i="35"/>
  <c r="G140" i="35"/>
  <c r="H140" i="35"/>
  <c r="I140" i="35"/>
  <c r="J140" i="35"/>
  <c r="K140" i="35"/>
  <c r="P140" i="35"/>
  <c r="Q140" i="35"/>
  <c r="R140" i="35"/>
  <c r="T140" i="35" l="1"/>
  <c r="U140" i="35"/>
  <c r="V140" i="35"/>
  <c r="W140" i="35"/>
  <c r="X140" i="35" l="1"/>
  <c r="Y140" i="35"/>
  <c r="Z140" i="35" s="1"/>
  <c r="AA140" i="35"/>
  <c r="E141" i="35"/>
  <c r="F141" i="35"/>
  <c r="G141" i="35"/>
  <c r="H141" i="35"/>
  <c r="I141" i="35"/>
  <c r="J141" i="35"/>
  <c r="K141" i="35"/>
  <c r="P141" i="35"/>
  <c r="Q141" i="35"/>
  <c r="R141" i="35"/>
  <c r="T141" i="35" l="1"/>
  <c r="U141" i="35"/>
  <c r="V141" i="35"/>
  <c r="W141" i="35"/>
  <c r="X141" i="35" l="1"/>
  <c r="Y141" i="35"/>
  <c r="Z141" i="35" s="1"/>
  <c r="AA141" i="35"/>
  <c r="E142" i="35"/>
  <c r="F142" i="35"/>
  <c r="G142" i="35"/>
  <c r="H142" i="35"/>
  <c r="I142" i="35"/>
  <c r="J142" i="35"/>
  <c r="K142" i="35"/>
  <c r="P142" i="35"/>
  <c r="Q142" i="35"/>
  <c r="R142" i="35"/>
  <c r="T142" i="35" l="1"/>
  <c r="U142" i="35"/>
  <c r="V142" i="35"/>
  <c r="W142" i="35"/>
  <c r="X142" i="35" l="1"/>
  <c r="Y142" i="35"/>
  <c r="Z142" i="35" s="1"/>
  <c r="AA142" i="35"/>
  <c r="E143" i="35"/>
  <c r="F143" i="35"/>
  <c r="G143" i="35"/>
  <c r="H143" i="35"/>
  <c r="I143" i="35"/>
  <c r="J143" i="35"/>
  <c r="K143" i="35"/>
  <c r="P143" i="35"/>
  <c r="Q143" i="35"/>
  <c r="R143" i="35"/>
  <c r="T143" i="35" l="1"/>
  <c r="U143" i="35"/>
  <c r="V143" i="35"/>
  <c r="W143" i="35"/>
  <c r="X143" i="35" l="1"/>
  <c r="Y143" i="35"/>
  <c r="Z143" i="35" s="1"/>
  <c r="AA143" i="35"/>
  <c r="E144" i="35"/>
  <c r="F144" i="35"/>
  <c r="G144" i="35"/>
  <c r="H144" i="35"/>
  <c r="I144" i="35"/>
  <c r="J144" i="35"/>
  <c r="K144" i="35"/>
  <c r="P144" i="35"/>
  <c r="Q144" i="35"/>
  <c r="R144" i="35"/>
  <c r="T144" i="35" l="1"/>
  <c r="U144" i="35"/>
  <c r="V144" i="35"/>
  <c r="W144" i="35"/>
  <c r="X144" i="35" l="1"/>
  <c r="Y144" i="35"/>
  <c r="Z144" i="35" s="1"/>
  <c r="AA144" i="35"/>
  <c r="E145" i="35"/>
  <c r="F145" i="35"/>
  <c r="G145" i="35"/>
  <c r="H145" i="35"/>
  <c r="I145" i="35"/>
  <c r="J145" i="35"/>
  <c r="K145" i="35"/>
  <c r="P145" i="35"/>
  <c r="Q145" i="35"/>
  <c r="R145" i="35"/>
  <c r="T145" i="35"/>
  <c r="U145" i="35"/>
  <c r="V145" i="35"/>
  <c r="W145" i="35"/>
  <c r="X145" i="35" l="1"/>
  <c r="Y145" i="35"/>
  <c r="Z145" i="35" s="1"/>
  <c r="AA145" i="35"/>
  <c r="E146" i="35"/>
  <c r="F146" i="35"/>
  <c r="G146" i="35"/>
  <c r="H146" i="35"/>
  <c r="I146" i="35"/>
  <c r="J146" i="35"/>
  <c r="K146" i="35"/>
  <c r="P146" i="35"/>
  <c r="Q146" i="35"/>
  <c r="R146" i="35"/>
  <c r="T146" i="35"/>
  <c r="U146" i="35"/>
  <c r="V146" i="35"/>
  <c r="W146" i="35"/>
  <c r="X146" i="35" l="1"/>
  <c r="Y146" i="35"/>
  <c r="Z146" i="35" s="1"/>
  <c r="AA146" i="35"/>
  <c r="E147" i="35"/>
  <c r="F147" i="35"/>
  <c r="G147" i="35"/>
  <c r="H147" i="35"/>
  <c r="I147" i="35"/>
  <c r="J147" i="35"/>
  <c r="K147" i="35"/>
  <c r="P147" i="35"/>
  <c r="Q147" i="35"/>
  <c r="R147" i="35"/>
  <c r="T147" i="35" l="1"/>
  <c r="U147" i="35"/>
  <c r="V147" i="35"/>
  <c r="W147" i="35"/>
  <c r="X147" i="35" l="1"/>
  <c r="Y147" i="35"/>
  <c r="Z147" i="35" s="1"/>
  <c r="AA147" i="35"/>
  <c r="E148" i="35"/>
  <c r="F148" i="35"/>
  <c r="G148" i="35"/>
  <c r="H148" i="35"/>
  <c r="I148" i="35"/>
  <c r="J148" i="35"/>
  <c r="K148" i="35"/>
  <c r="P148" i="35"/>
  <c r="Q148" i="35"/>
  <c r="R148" i="35"/>
  <c r="T148" i="35" l="1"/>
  <c r="U148" i="35"/>
  <c r="V148" i="35"/>
  <c r="W148" i="35"/>
  <c r="X148" i="35" l="1"/>
  <c r="Y148" i="35"/>
  <c r="Z148" i="35" s="1"/>
  <c r="AA148" i="35"/>
  <c r="E149" i="35"/>
  <c r="F149" i="35"/>
  <c r="G149" i="35"/>
  <c r="H149" i="35"/>
  <c r="I149" i="35"/>
  <c r="J149" i="35"/>
  <c r="K149" i="35"/>
  <c r="P149" i="35"/>
  <c r="Q149" i="35"/>
  <c r="R149" i="35"/>
  <c r="T149" i="35" l="1"/>
  <c r="U149" i="35"/>
  <c r="V149" i="35"/>
  <c r="W149" i="35"/>
  <c r="X149" i="35" l="1"/>
  <c r="Y149" i="35"/>
  <c r="Z149" i="35" s="1"/>
  <c r="AA149" i="35"/>
  <c r="E150" i="35"/>
  <c r="F150" i="35"/>
  <c r="G150" i="35"/>
  <c r="H150" i="35"/>
  <c r="I150" i="35"/>
  <c r="J150" i="35"/>
  <c r="K150" i="35"/>
  <c r="P150" i="35"/>
  <c r="Q150" i="35"/>
  <c r="R150" i="35"/>
  <c r="T150" i="35" l="1"/>
  <c r="U150" i="35"/>
  <c r="V150" i="35"/>
  <c r="W150" i="35"/>
  <c r="X150" i="35" l="1"/>
  <c r="Y150" i="35"/>
  <c r="Z150" i="35" s="1"/>
  <c r="AA150" i="35"/>
  <c r="E151" i="35"/>
  <c r="F151" i="35"/>
  <c r="G151" i="35"/>
  <c r="H151" i="35"/>
  <c r="I151" i="35"/>
  <c r="J151" i="35"/>
  <c r="K151" i="35"/>
  <c r="P151" i="35"/>
  <c r="Q151" i="35"/>
  <c r="R151" i="35"/>
  <c r="T151" i="35"/>
  <c r="U151" i="35"/>
  <c r="V151" i="35"/>
  <c r="W151" i="35"/>
  <c r="X151" i="35" l="1"/>
  <c r="Y151" i="35"/>
  <c r="Z151" i="35" s="1"/>
  <c r="AA151" i="35"/>
  <c r="E152" i="35"/>
  <c r="F152" i="35"/>
  <c r="G152" i="35"/>
  <c r="H152" i="35"/>
  <c r="I152" i="35"/>
  <c r="J152" i="35"/>
  <c r="K152" i="35"/>
  <c r="P152" i="35"/>
  <c r="Q152" i="35"/>
  <c r="R152" i="35"/>
  <c r="T152" i="35" l="1"/>
  <c r="U152" i="35"/>
  <c r="V152" i="35"/>
  <c r="W152" i="35"/>
  <c r="X152" i="35" l="1"/>
  <c r="Y152" i="35"/>
  <c r="Z152" i="35" s="1"/>
  <c r="AA152" i="35"/>
  <c r="E153" i="35"/>
  <c r="F153" i="35"/>
  <c r="G153" i="35"/>
  <c r="H153" i="35"/>
  <c r="I153" i="35"/>
  <c r="J153" i="35"/>
  <c r="K153" i="35"/>
  <c r="P153" i="35"/>
  <c r="Q153" i="35"/>
  <c r="R153" i="35"/>
  <c r="T153" i="35" l="1"/>
  <c r="U153" i="35"/>
  <c r="V153" i="35"/>
  <c r="W153" i="35"/>
  <c r="X153" i="35" l="1"/>
  <c r="Y153" i="35"/>
  <c r="Z153" i="35" s="1"/>
  <c r="AA153" i="35"/>
  <c r="E154" i="35"/>
  <c r="F154" i="35"/>
  <c r="G154" i="35"/>
  <c r="H154" i="35"/>
  <c r="I154" i="35"/>
  <c r="J154" i="35"/>
  <c r="K154" i="35"/>
  <c r="P154" i="35"/>
  <c r="Q154" i="35"/>
  <c r="R154" i="35"/>
  <c r="T154" i="35" l="1"/>
  <c r="U154" i="35"/>
  <c r="V154" i="35"/>
  <c r="W154" i="35"/>
  <c r="X154" i="35" l="1"/>
  <c r="Y154" i="35"/>
  <c r="Z154" i="35" s="1"/>
  <c r="AA154" i="35"/>
  <c r="E155" i="35"/>
  <c r="F155" i="35"/>
  <c r="G155" i="35"/>
  <c r="H155" i="35"/>
  <c r="I155" i="35"/>
  <c r="J155" i="35"/>
  <c r="K155" i="35"/>
  <c r="P155" i="35"/>
  <c r="Q155" i="35"/>
  <c r="R155" i="35"/>
  <c r="T155" i="35" l="1"/>
  <c r="U155" i="35"/>
  <c r="V155" i="35"/>
  <c r="W155" i="35"/>
  <c r="X155" i="35" l="1"/>
  <c r="Y155" i="35"/>
  <c r="Z155" i="35" s="1"/>
  <c r="AA155" i="35"/>
  <c r="E156" i="35"/>
  <c r="F156" i="35"/>
  <c r="G156" i="35"/>
  <c r="H156" i="35"/>
  <c r="I156" i="35"/>
  <c r="J156" i="35"/>
  <c r="K156" i="35"/>
  <c r="P156" i="35"/>
  <c r="Q156" i="35"/>
  <c r="R156" i="35"/>
  <c r="T156" i="35" l="1"/>
  <c r="U156" i="35"/>
  <c r="V156" i="35"/>
  <c r="W156" i="35"/>
  <c r="X156" i="35" l="1"/>
  <c r="Y156" i="35"/>
  <c r="Z156" i="35" s="1"/>
  <c r="AA156" i="35"/>
  <c r="E157" i="35"/>
  <c r="F157" i="35"/>
  <c r="G157" i="35"/>
  <c r="H157" i="35"/>
  <c r="I157" i="35"/>
  <c r="J157" i="35"/>
  <c r="K157" i="35"/>
  <c r="P157" i="35"/>
  <c r="Q157" i="35"/>
  <c r="R157" i="35"/>
  <c r="T157" i="35" l="1"/>
  <c r="U157" i="35"/>
  <c r="V157" i="35"/>
  <c r="W157" i="35"/>
  <c r="X157" i="35" l="1"/>
  <c r="Y157" i="35"/>
  <c r="Z157" i="35" s="1"/>
  <c r="AA157" i="35"/>
  <c r="E158" i="35"/>
  <c r="F158" i="35"/>
  <c r="G158" i="35"/>
  <c r="H158" i="35"/>
  <c r="I158" i="35"/>
  <c r="J158" i="35"/>
  <c r="K158" i="35"/>
  <c r="P158" i="35"/>
  <c r="Q158" i="35"/>
  <c r="R158" i="35"/>
  <c r="T158" i="35" l="1"/>
  <c r="U158" i="35"/>
  <c r="V158" i="35"/>
  <c r="W158" i="35"/>
  <c r="X158" i="35" l="1"/>
  <c r="Y158" i="35"/>
  <c r="Z158" i="35" s="1"/>
  <c r="AA158" i="35"/>
  <c r="E159" i="35"/>
  <c r="F159" i="35"/>
  <c r="G159" i="35"/>
  <c r="H159" i="35"/>
  <c r="I159" i="35"/>
  <c r="J159" i="35"/>
  <c r="K159" i="35"/>
  <c r="P159" i="35"/>
  <c r="Q159" i="35"/>
  <c r="R159" i="35"/>
  <c r="T159" i="35" l="1"/>
  <c r="U159" i="35"/>
  <c r="V159" i="35"/>
  <c r="W159" i="35"/>
  <c r="X159" i="35" l="1"/>
  <c r="Y159" i="35"/>
  <c r="Z159" i="35" s="1"/>
  <c r="AA159" i="35"/>
  <c r="E160" i="35"/>
  <c r="F160" i="35"/>
  <c r="G160" i="35"/>
  <c r="H160" i="35"/>
  <c r="I160" i="35"/>
  <c r="J160" i="35"/>
  <c r="K160" i="35"/>
  <c r="P160" i="35"/>
  <c r="Q160" i="35"/>
  <c r="R160" i="35"/>
  <c r="T160" i="35" l="1"/>
  <c r="U160" i="35"/>
  <c r="V160" i="35"/>
  <c r="W160" i="35"/>
  <c r="X160" i="35" l="1"/>
  <c r="Y160" i="35"/>
  <c r="Z160" i="35" s="1"/>
  <c r="AA160" i="35"/>
  <c r="E161" i="35"/>
  <c r="F161" i="35"/>
  <c r="G161" i="35"/>
  <c r="H161" i="35"/>
  <c r="I161" i="35"/>
  <c r="J161" i="35"/>
  <c r="K161" i="35"/>
  <c r="P161" i="35"/>
  <c r="Q161" i="35"/>
  <c r="R161" i="35"/>
  <c r="T161" i="35" l="1"/>
  <c r="U161" i="35"/>
  <c r="V161" i="35"/>
  <c r="W161" i="35"/>
  <c r="X161" i="35" l="1"/>
  <c r="Y161" i="35"/>
  <c r="Z161" i="35" s="1"/>
  <c r="AA161" i="35"/>
  <c r="E162" i="35"/>
  <c r="F162" i="35"/>
  <c r="G162" i="35"/>
  <c r="H162" i="35"/>
  <c r="I162" i="35"/>
  <c r="J162" i="35"/>
  <c r="K162" i="35"/>
  <c r="P162" i="35"/>
  <c r="Q162" i="35"/>
  <c r="R162" i="35"/>
  <c r="T162" i="35" l="1"/>
  <c r="U162" i="35"/>
  <c r="V162" i="35"/>
  <c r="W162" i="35"/>
  <c r="X162" i="35" l="1"/>
  <c r="Y162" i="35"/>
  <c r="Z162" i="35" s="1"/>
  <c r="AA162" i="35"/>
  <c r="E163" i="35"/>
  <c r="F163" i="35"/>
  <c r="G163" i="35"/>
  <c r="H163" i="35"/>
  <c r="I163" i="35"/>
  <c r="J163" i="35"/>
  <c r="K163" i="35"/>
  <c r="P163" i="35"/>
  <c r="Q163" i="35"/>
  <c r="R163" i="35"/>
  <c r="T163" i="35"/>
  <c r="U163" i="35"/>
  <c r="V163" i="35"/>
  <c r="W163" i="35"/>
  <c r="X163" i="35" l="1"/>
  <c r="Y163" i="35"/>
  <c r="Z163" i="35" s="1"/>
  <c r="AA163" i="35"/>
  <c r="E164" i="35"/>
  <c r="F164" i="35"/>
  <c r="G164" i="35"/>
  <c r="H164" i="35"/>
  <c r="I164" i="35"/>
  <c r="J164" i="35"/>
  <c r="K164" i="35"/>
  <c r="P164" i="35"/>
  <c r="Q164" i="35"/>
  <c r="R164" i="35"/>
  <c r="T164" i="35" l="1"/>
  <c r="U164" i="35"/>
  <c r="V164" i="35"/>
  <c r="W164" i="35"/>
  <c r="X164" i="35" l="1"/>
  <c r="Y164" i="35"/>
  <c r="Z164" i="35" s="1"/>
  <c r="AA164" i="35"/>
  <c r="E165" i="35"/>
  <c r="F165" i="35"/>
  <c r="G165" i="35"/>
  <c r="H165" i="35"/>
  <c r="I165" i="35"/>
  <c r="J165" i="35"/>
  <c r="K165" i="35"/>
  <c r="P165" i="35"/>
  <c r="Q165" i="35"/>
  <c r="R165" i="35"/>
  <c r="T165" i="35" l="1"/>
  <c r="U165" i="35"/>
  <c r="V165" i="35"/>
  <c r="W165" i="35"/>
  <c r="X165" i="35" l="1"/>
  <c r="Y165" i="35"/>
  <c r="Z165" i="35" s="1"/>
  <c r="AA165" i="35"/>
  <c r="E166" i="35"/>
  <c r="F166" i="35"/>
  <c r="G166" i="35"/>
  <c r="H166" i="35"/>
  <c r="I166" i="35"/>
  <c r="J166" i="35"/>
  <c r="K166" i="35"/>
  <c r="P166" i="35"/>
  <c r="Q166" i="35"/>
  <c r="R166" i="35"/>
  <c r="T166" i="35" l="1"/>
  <c r="U166" i="35"/>
  <c r="V166" i="35"/>
  <c r="W166" i="35"/>
  <c r="X166" i="35" l="1"/>
  <c r="Y166" i="35"/>
  <c r="Z166" i="35" s="1"/>
  <c r="AA166" i="35"/>
  <c r="E167" i="35"/>
  <c r="F167" i="35"/>
  <c r="G167" i="35"/>
  <c r="H167" i="35"/>
  <c r="I167" i="35"/>
  <c r="J167" i="35"/>
  <c r="K167" i="35"/>
  <c r="P167" i="35"/>
  <c r="Q167" i="35"/>
  <c r="R167" i="35"/>
  <c r="T167" i="35" l="1"/>
  <c r="U167" i="35"/>
  <c r="V167" i="35"/>
  <c r="W167" i="35"/>
  <c r="X167" i="35" l="1"/>
  <c r="Y167" i="35"/>
  <c r="Z167" i="35" s="1"/>
  <c r="AA167" i="35"/>
  <c r="E168" i="35"/>
  <c r="F168" i="35"/>
  <c r="G168" i="35"/>
  <c r="H168" i="35"/>
  <c r="I168" i="35"/>
  <c r="J168" i="35"/>
  <c r="K168" i="35"/>
  <c r="P168" i="35"/>
  <c r="Q168" i="35"/>
  <c r="R168" i="35"/>
  <c r="T168" i="35" l="1"/>
  <c r="U168" i="35"/>
  <c r="V168" i="35"/>
  <c r="W168" i="35"/>
  <c r="X168" i="35" l="1"/>
  <c r="Y168" i="35"/>
  <c r="Z168" i="35" s="1"/>
  <c r="AA168" i="35"/>
  <c r="E169" i="35"/>
  <c r="F169" i="35"/>
  <c r="G169" i="35"/>
  <c r="H169" i="35"/>
  <c r="I169" i="35"/>
  <c r="J169" i="35"/>
  <c r="K169" i="35"/>
  <c r="P169" i="35"/>
  <c r="Q169" i="35"/>
  <c r="R169" i="35"/>
  <c r="T169" i="35" l="1"/>
  <c r="U169" i="35"/>
  <c r="V169" i="35"/>
  <c r="W169" i="35"/>
  <c r="X169" i="35" l="1"/>
  <c r="Y169" i="35"/>
  <c r="Z169" i="35" s="1"/>
  <c r="AA169" i="35"/>
  <c r="E170" i="35"/>
  <c r="F170" i="35"/>
  <c r="G170" i="35"/>
  <c r="H170" i="35"/>
  <c r="I170" i="35"/>
  <c r="J170" i="35"/>
  <c r="K170" i="35"/>
  <c r="P170" i="35"/>
  <c r="Q170" i="35"/>
  <c r="R170" i="35"/>
  <c r="T170" i="35" l="1"/>
  <c r="U170" i="35"/>
  <c r="V170" i="35"/>
  <c r="W170" i="35"/>
  <c r="X170" i="35" l="1"/>
  <c r="Y170" i="35"/>
  <c r="Z170" i="35" s="1"/>
  <c r="AA170" i="35"/>
  <c r="E171" i="35"/>
  <c r="F171" i="35"/>
  <c r="G171" i="35"/>
  <c r="H171" i="35"/>
  <c r="I171" i="35"/>
  <c r="J171" i="35"/>
  <c r="K171" i="35"/>
  <c r="P171" i="35"/>
  <c r="Q171" i="35"/>
  <c r="R171" i="35"/>
  <c r="T171" i="35" l="1"/>
  <c r="U171" i="35"/>
  <c r="V171" i="35"/>
  <c r="W171" i="35"/>
  <c r="X171" i="35" l="1"/>
  <c r="Y171" i="35"/>
  <c r="Z171" i="35" s="1"/>
  <c r="AA171" i="35"/>
  <c r="E172" i="35"/>
  <c r="F172" i="35"/>
  <c r="G172" i="35"/>
  <c r="H172" i="35"/>
  <c r="I172" i="35"/>
  <c r="J172" i="35"/>
  <c r="K172" i="35"/>
  <c r="P172" i="35"/>
  <c r="Q172" i="35"/>
  <c r="R172" i="35"/>
  <c r="T172" i="35" l="1"/>
  <c r="U172" i="35"/>
  <c r="V172" i="35"/>
  <c r="W172" i="35"/>
  <c r="X172" i="35" l="1"/>
  <c r="Y172" i="35"/>
  <c r="Z172" i="35" s="1"/>
  <c r="AA172" i="35"/>
  <c r="E173" i="35"/>
  <c r="F173" i="35"/>
  <c r="G173" i="35"/>
  <c r="H173" i="35"/>
  <c r="I173" i="35"/>
  <c r="J173" i="35"/>
  <c r="K173" i="35"/>
  <c r="P173" i="35"/>
  <c r="Q173" i="35"/>
  <c r="R173" i="35"/>
  <c r="T173" i="35" l="1"/>
  <c r="U173" i="35"/>
  <c r="V173" i="35"/>
  <c r="W173" i="35"/>
  <c r="X173" i="35" l="1"/>
  <c r="Y173" i="35"/>
  <c r="Z173" i="35" s="1"/>
  <c r="AA173" i="35"/>
  <c r="E174" i="35"/>
  <c r="F174" i="35"/>
  <c r="G174" i="35"/>
  <c r="H174" i="35"/>
  <c r="I174" i="35"/>
  <c r="J174" i="35"/>
  <c r="K174" i="35"/>
  <c r="P174" i="35"/>
  <c r="Q174" i="35"/>
  <c r="R174" i="35"/>
  <c r="T174" i="35" l="1"/>
  <c r="U174" i="35"/>
  <c r="V174" i="35"/>
  <c r="W174" i="35"/>
  <c r="X174" i="35" l="1"/>
  <c r="Y174" i="35"/>
  <c r="Z174" i="35" s="1"/>
  <c r="AA174" i="35"/>
  <c r="E175" i="35"/>
  <c r="F175" i="35"/>
  <c r="G175" i="35"/>
  <c r="H175" i="35"/>
  <c r="I175" i="35"/>
  <c r="J175" i="35"/>
  <c r="K175" i="35"/>
  <c r="P175" i="35"/>
  <c r="Q175" i="35"/>
  <c r="R175" i="35"/>
  <c r="T175" i="35" l="1"/>
  <c r="U175" i="35"/>
  <c r="V175" i="35"/>
  <c r="W175" i="35"/>
  <c r="X175" i="35" l="1"/>
  <c r="Y175" i="35"/>
  <c r="Z175" i="35" s="1"/>
  <c r="AA175" i="35"/>
  <c r="E176" i="35"/>
  <c r="F176" i="35"/>
  <c r="G176" i="35"/>
  <c r="H176" i="35"/>
  <c r="I176" i="35"/>
  <c r="J176" i="35"/>
  <c r="K176" i="35"/>
  <c r="P176" i="35"/>
  <c r="Q176" i="35"/>
  <c r="R176" i="35"/>
  <c r="T176" i="35" l="1"/>
  <c r="U176" i="35"/>
  <c r="V176" i="35"/>
  <c r="W176" i="35"/>
  <c r="X176" i="35" l="1"/>
  <c r="Y176" i="35"/>
  <c r="Z176" i="35" s="1"/>
  <c r="AA176" i="35"/>
  <c r="E177" i="35"/>
  <c r="F177" i="35"/>
  <c r="G177" i="35"/>
  <c r="H177" i="35"/>
  <c r="I177" i="35"/>
  <c r="J177" i="35"/>
  <c r="K177" i="35"/>
  <c r="P177" i="35"/>
  <c r="Q177" i="35"/>
  <c r="R177" i="35"/>
  <c r="T177" i="35" l="1"/>
  <c r="U177" i="35"/>
  <c r="V177" i="35"/>
  <c r="W177" i="35"/>
  <c r="X177" i="35" l="1"/>
  <c r="Y177" i="35"/>
  <c r="Z177" i="35" s="1"/>
  <c r="AA177" i="35"/>
  <c r="E178" i="35"/>
  <c r="F178" i="35"/>
  <c r="G178" i="35"/>
  <c r="H178" i="35"/>
  <c r="I178" i="35"/>
  <c r="J178" i="35"/>
  <c r="K178" i="35"/>
  <c r="P178" i="35"/>
  <c r="Q178" i="35"/>
  <c r="R178" i="35"/>
  <c r="T178" i="35" l="1"/>
  <c r="U178" i="35"/>
  <c r="V178" i="35"/>
  <c r="W178" i="35"/>
  <c r="X178" i="35" l="1"/>
  <c r="Y178" i="35"/>
  <c r="Z178" i="35" s="1"/>
  <c r="AA178" i="35"/>
  <c r="E179" i="35"/>
  <c r="F179" i="35"/>
  <c r="G179" i="35"/>
  <c r="H179" i="35"/>
  <c r="I179" i="35"/>
  <c r="J179" i="35"/>
  <c r="K179" i="35"/>
  <c r="P179" i="35"/>
  <c r="Q179" i="35"/>
  <c r="R179" i="35"/>
  <c r="T179" i="35" l="1"/>
  <c r="U179" i="35"/>
  <c r="V179" i="35"/>
  <c r="W179" i="35"/>
  <c r="X179" i="35" l="1"/>
  <c r="Y179" i="35"/>
  <c r="Z179" i="35" s="1"/>
  <c r="AA179" i="35"/>
  <c r="E180" i="35"/>
  <c r="F180" i="35"/>
  <c r="G180" i="35"/>
  <c r="H180" i="35"/>
  <c r="I180" i="35"/>
  <c r="J180" i="35"/>
  <c r="K180" i="35"/>
  <c r="P180" i="35"/>
  <c r="Q180" i="35"/>
  <c r="R180" i="35"/>
  <c r="T180" i="35" l="1"/>
  <c r="U180" i="35"/>
  <c r="V180" i="35"/>
  <c r="W180" i="35"/>
  <c r="X180" i="35" l="1"/>
  <c r="Y180" i="35"/>
  <c r="Z180" i="35" s="1"/>
  <c r="AA180" i="35"/>
  <c r="E181" i="35"/>
  <c r="F181" i="35"/>
  <c r="G181" i="35"/>
  <c r="H181" i="35"/>
  <c r="I181" i="35"/>
  <c r="J181" i="35"/>
  <c r="K181" i="35"/>
  <c r="P181" i="35"/>
  <c r="Q181" i="35"/>
  <c r="R181" i="35"/>
  <c r="T181" i="35" l="1"/>
  <c r="U181" i="35"/>
  <c r="V181" i="35"/>
  <c r="W181" i="35"/>
  <c r="X181" i="35" l="1"/>
  <c r="Y181" i="35"/>
  <c r="Z181" i="35" s="1"/>
  <c r="AA181" i="35"/>
  <c r="E182" i="35"/>
  <c r="F182" i="35"/>
  <c r="G182" i="35"/>
  <c r="H182" i="35"/>
  <c r="I182" i="35"/>
  <c r="J182" i="35"/>
  <c r="K182" i="35"/>
  <c r="P182" i="35"/>
  <c r="Q182" i="35"/>
  <c r="R182" i="35"/>
  <c r="T182" i="35" l="1"/>
  <c r="U182" i="35"/>
  <c r="V182" i="35"/>
  <c r="W182" i="35"/>
  <c r="X182" i="35" l="1"/>
  <c r="Y182" i="35"/>
  <c r="Z182" i="35" s="1"/>
  <c r="AA182" i="35"/>
  <c r="E183" i="35"/>
  <c r="F183" i="35"/>
  <c r="G183" i="35"/>
  <c r="H183" i="35"/>
  <c r="I183" i="35"/>
  <c r="J183" i="35"/>
  <c r="K183" i="35"/>
  <c r="P183" i="35"/>
  <c r="Q183" i="35"/>
  <c r="R183" i="35"/>
  <c r="T183" i="35" l="1"/>
  <c r="U183" i="35"/>
  <c r="V183" i="35"/>
  <c r="W183" i="35"/>
  <c r="X183" i="35" l="1"/>
  <c r="Y183" i="35"/>
  <c r="Z183" i="35" s="1"/>
  <c r="AA183" i="35"/>
  <c r="E184" i="35"/>
  <c r="F184" i="35"/>
  <c r="G184" i="35"/>
  <c r="H184" i="35"/>
  <c r="I184" i="35"/>
  <c r="J184" i="35"/>
  <c r="K184" i="35"/>
  <c r="P184" i="35"/>
  <c r="Q184" i="35"/>
  <c r="R184" i="35"/>
  <c r="T184" i="35" l="1"/>
  <c r="U184" i="35"/>
  <c r="V184" i="35"/>
  <c r="W184" i="35"/>
  <c r="X184" i="35" l="1"/>
  <c r="Y184" i="35"/>
  <c r="Z184" i="35" s="1"/>
  <c r="AA184" i="35"/>
  <c r="E185" i="35"/>
  <c r="F185" i="35"/>
  <c r="G185" i="35"/>
  <c r="H185" i="35"/>
  <c r="I185" i="35"/>
  <c r="J185" i="35"/>
  <c r="K185" i="35"/>
  <c r="P185" i="35"/>
  <c r="Q185" i="35"/>
  <c r="R185" i="35"/>
  <c r="T185" i="35" l="1"/>
  <c r="U185" i="35"/>
  <c r="V185" i="35"/>
  <c r="W185" i="35"/>
  <c r="X185" i="35" l="1"/>
  <c r="Y185" i="35"/>
  <c r="Z185" i="35" s="1"/>
  <c r="AA185" i="35"/>
  <c r="E186" i="35"/>
  <c r="F186" i="35"/>
  <c r="G186" i="35"/>
  <c r="H186" i="35"/>
  <c r="I186" i="35"/>
  <c r="J186" i="35"/>
  <c r="K186" i="35"/>
  <c r="P186" i="35"/>
  <c r="Q186" i="35"/>
  <c r="R186" i="35"/>
  <c r="T186" i="35"/>
  <c r="U186" i="35"/>
  <c r="V186" i="35"/>
  <c r="W186" i="35"/>
  <c r="X186" i="35" l="1"/>
  <c r="Y186" i="35"/>
  <c r="Z186" i="35" s="1"/>
  <c r="AA186" i="35"/>
  <c r="E187" i="35"/>
  <c r="F187" i="35"/>
  <c r="G187" i="35"/>
  <c r="H187" i="35"/>
  <c r="I187" i="35"/>
  <c r="J187" i="35"/>
  <c r="K187" i="35"/>
  <c r="P187" i="35"/>
  <c r="Q187" i="35"/>
  <c r="R187" i="35"/>
  <c r="T187" i="35" l="1"/>
  <c r="U187" i="35"/>
  <c r="V187" i="35"/>
  <c r="W187" i="35"/>
  <c r="X187" i="35" l="1"/>
  <c r="Y187" i="35"/>
  <c r="Z187" i="35" s="1"/>
  <c r="AA187" i="35"/>
  <c r="E188" i="35"/>
  <c r="F188" i="35"/>
  <c r="G188" i="35"/>
  <c r="H188" i="35"/>
  <c r="I188" i="35"/>
  <c r="J188" i="35"/>
  <c r="K188" i="35"/>
  <c r="P188" i="35"/>
  <c r="Q188" i="35"/>
  <c r="R188" i="35"/>
  <c r="T188" i="35" l="1"/>
  <c r="U188" i="35"/>
  <c r="V188" i="35"/>
  <c r="W188" i="35"/>
  <c r="X188" i="35" l="1"/>
  <c r="Y188" i="35"/>
  <c r="Z188" i="35" s="1"/>
  <c r="AA188" i="35"/>
  <c r="E189" i="35"/>
  <c r="F189" i="35"/>
  <c r="G189" i="35"/>
  <c r="H189" i="35"/>
  <c r="I189" i="35"/>
  <c r="J189" i="35"/>
  <c r="K189" i="35"/>
  <c r="P189" i="35"/>
  <c r="Q189" i="35"/>
  <c r="R189" i="35"/>
  <c r="T189" i="35" l="1"/>
  <c r="U189" i="35"/>
  <c r="V189" i="35"/>
  <c r="W189" i="35"/>
  <c r="X189" i="35" l="1"/>
  <c r="Y189" i="35"/>
  <c r="Z189" i="35" s="1"/>
  <c r="AA189" i="35"/>
  <c r="E190" i="35"/>
  <c r="F190" i="35"/>
  <c r="G190" i="35"/>
  <c r="H190" i="35"/>
  <c r="I190" i="35"/>
  <c r="J190" i="35"/>
  <c r="K190" i="35"/>
  <c r="P190" i="35"/>
  <c r="Q190" i="35"/>
  <c r="R190" i="35"/>
  <c r="T190" i="35" l="1"/>
  <c r="U190" i="35"/>
  <c r="V190" i="35"/>
  <c r="W190" i="35"/>
  <c r="X190" i="35" l="1"/>
  <c r="Y190" i="35"/>
  <c r="Z190" i="35" s="1"/>
  <c r="AA190" i="35"/>
  <c r="E191" i="35"/>
  <c r="F191" i="35"/>
  <c r="G191" i="35"/>
  <c r="H191" i="35"/>
  <c r="I191" i="35"/>
  <c r="J191" i="35"/>
  <c r="K191" i="35"/>
  <c r="P191" i="35"/>
  <c r="Q191" i="35"/>
  <c r="R191" i="35"/>
  <c r="T191" i="35"/>
  <c r="U191" i="35"/>
  <c r="V191" i="35"/>
  <c r="W191" i="35"/>
  <c r="X191" i="35" l="1"/>
  <c r="Y191" i="35"/>
  <c r="Z191" i="35" s="1"/>
  <c r="AA191" i="35"/>
  <c r="E192" i="35"/>
  <c r="F192" i="35"/>
  <c r="G192" i="35"/>
  <c r="H192" i="35"/>
  <c r="I192" i="35"/>
  <c r="J192" i="35"/>
  <c r="K192" i="35"/>
  <c r="P192" i="35"/>
  <c r="Q192" i="35"/>
  <c r="R192" i="35"/>
  <c r="T192" i="35" l="1"/>
  <c r="U192" i="35"/>
  <c r="V192" i="35"/>
  <c r="W192" i="35"/>
  <c r="X192" i="35" l="1"/>
  <c r="Y192" i="35"/>
  <c r="Z192" i="35" s="1"/>
  <c r="AA192" i="35"/>
  <c r="E193" i="35"/>
  <c r="F193" i="35"/>
  <c r="G193" i="35"/>
  <c r="H193" i="35"/>
  <c r="I193" i="35"/>
  <c r="J193" i="35"/>
  <c r="K193" i="35"/>
  <c r="P193" i="35"/>
  <c r="Q193" i="35"/>
  <c r="R193" i="35"/>
  <c r="T193" i="35" l="1"/>
  <c r="U193" i="35"/>
  <c r="V193" i="35"/>
  <c r="W193" i="35"/>
  <c r="X193" i="35" l="1"/>
  <c r="Y193" i="35"/>
  <c r="Z193" i="35" s="1"/>
  <c r="AA193" i="35"/>
  <c r="E194" i="35"/>
  <c r="F194" i="35"/>
  <c r="G194" i="35"/>
  <c r="H194" i="35"/>
  <c r="I194" i="35"/>
  <c r="J194" i="35"/>
  <c r="K194" i="35"/>
  <c r="P194" i="35"/>
  <c r="Q194" i="35"/>
  <c r="R194" i="35"/>
  <c r="T194" i="35" l="1"/>
  <c r="U194" i="35"/>
  <c r="V194" i="35"/>
  <c r="W194" i="35"/>
  <c r="X194" i="35" l="1"/>
  <c r="Y194" i="35"/>
  <c r="Z194" i="35"/>
  <c r="AA194" i="35"/>
  <c r="E195" i="35"/>
  <c r="F195" i="35"/>
  <c r="G195" i="35"/>
  <c r="H195" i="35"/>
  <c r="I195" i="35"/>
  <c r="J195" i="35"/>
  <c r="K195" i="35"/>
  <c r="P195" i="35"/>
  <c r="Q195" i="35"/>
  <c r="R195" i="35"/>
  <c r="T195" i="35" l="1"/>
  <c r="U195" i="35"/>
  <c r="V195" i="35"/>
  <c r="W195" i="35"/>
  <c r="X195" i="35" l="1"/>
  <c r="Y195" i="35"/>
  <c r="Z195" i="35" s="1"/>
  <c r="AA195" i="35"/>
  <c r="E196" i="35"/>
  <c r="F196" i="35"/>
  <c r="G196" i="35"/>
  <c r="H196" i="35"/>
  <c r="I196" i="35"/>
  <c r="J196" i="35"/>
  <c r="K196" i="35"/>
  <c r="P196" i="35"/>
  <c r="Q196" i="35"/>
  <c r="R196" i="35"/>
  <c r="T196" i="35" l="1"/>
  <c r="U196" i="35"/>
  <c r="V196" i="35"/>
  <c r="W196" i="35"/>
  <c r="X196" i="35" l="1"/>
  <c r="Y196" i="35"/>
  <c r="Z196" i="35" s="1"/>
  <c r="AA196" i="35"/>
  <c r="E197" i="35"/>
  <c r="F197" i="35"/>
  <c r="G197" i="35"/>
  <c r="H197" i="35"/>
  <c r="I197" i="35"/>
  <c r="J197" i="35"/>
  <c r="K197" i="35"/>
  <c r="P197" i="35"/>
  <c r="Q197" i="35"/>
  <c r="R197" i="35"/>
  <c r="T197" i="35" l="1"/>
  <c r="U197" i="35"/>
  <c r="V197" i="35"/>
  <c r="W197" i="35"/>
  <c r="X197" i="35" l="1"/>
  <c r="Y197" i="35"/>
  <c r="Z197" i="35" s="1"/>
  <c r="AA197" i="35"/>
  <c r="E198" i="35"/>
  <c r="F198" i="35"/>
  <c r="G198" i="35"/>
  <c r="H198" i="35"/>
  <c r="I198" i="35"/>
  <c r="J198" i="35"/>
  <c r="K198" i="35"/>
  <c r="P198" i="35"/>
  <c r="Q198" i="35"/>
  <c r="R198" i="35"/>
  <c r="T198" i="35"/>
  <c r="U198" i="35"/>
  <c r="V198" i="35"/>
  <c r="W198" i="35"/>
  <c r="X198" i="35" l="1"/>
  <c r="Y198" i="35"/>
  <c r="Z198" i="35" s="1"/>
  <c r="AA198" i="35"/>
  <c r="E199" i="35"/>
  <c r="F199" i="35"/>
  <c r="G199" i="35"/>
  <c r="H199" i="35"/>
  <c r="I199" i="35"/>
  <c r="J199" i="35"/>
  <c r="K199" i="35"/>
  <c r="P199" i="35"/>
  <c r="Q199" i="35"/>
  <c r="R199" i="35"/>
  <c r="T199" i="35"/>
  <c r="U199" i="35"/>
  <c r="V199" i="35"/>
  <c r="W199" i="35"/>
  <c r="X199" i="35" l="1"/>
  <c r="Y199" i="35"/>
  <c r="Z199" i="35" s="1"/>
  <c r="AA199" i="35"/>
  <c r="E200" i="35"/>
  <c r="F200" i="35"/>
  <c r="G200" i="35"/>
  <c r="H200" i="35"/>
  <c r="I200" i="35"/>
  <c r="J200" i="35"/>
  <c r="K200" i="35"/>
  <c r="P200" i="35"/>
  <c r="Q200" i="35"/>
  <c r="R200" i="35"/>
  <c r="T200" i="35" l="1"/>
  <c r="U200" i="35"/>
  <c r="V200" i="35"/>
  <c r="W200" i="35"/>
  <c r="X200" i="35" l="1"/>
  <c r="Y200" i="35"/>
  <c r="Z200" i="35" s="1"/>
  <c r="AA200" i="35"/>
  <c r="E201" i="35"/>
  <c r="F201" i="35"/>
  <c r="G201" i="35"/>
  <c r="H201" i="35"/>
  <c r="I201" i="35"/>
  <c r="J201" i="35"/>
  <c r="K201" i="35"/>
  <c r="P201" i="35"/>
  <c r="Q201" i="35"/>
  <c r="R201" i="35"/>
  <c r="T201" i="35" l="1"/>
  <c r="U201" i="35"/>
  <c r="V201" i="35"/>
  <c r="W201" i="35"/>
  <c r="X201" i="35" l="1"/>
  <c r="Y201" i="35"/>
  <c r="Z201" i="35" s="1"/>
  <c r="AA201" i="35"/>
  <c r="E202" i="35"/>
  <c r="F202" i="35"/>
  <c r="G202" i="35"/>
  <c r="H202" i="35"/>
  <c r="I202" i="35"/>
  <c r="J202" i="35"/>
  <c r="K202" i="35"/>
  <c r="P202" i="35"/>
  <c r="Q202" i="35"/>
  <c r="R202" i="35"/>
  <c r="T202" i="35" l="1"/>
  <c r="U202" i="35"/>
  <c r="V202" i="35"/>
  <c r="W202" i="35"/>
  <c r="X202" i="35" l="1"/>
  <c r="Y202" i="35"/>
  <c r="Z202" i="35" s="1"/>
  <c r="AA202" i="35"/>
  <c r="E203" i="35"/>
  <c r="F203" i="35"/>
  <c r="G203" i="35"/>
  <c r="H203" i="35"/>
  <c r="I203" i="35"/>
  <c r="J203" i="35"/>
  <c r="K203" i="35"/>
  <c r="P203" i="35"/>
  <c r="Q203" i="35"/>
  <c r="R203" i="35"/>
  <c r="T203" i="35"/>
  <c r="U203" i="35"/>
  <c r="V203" i="35"/>
  <c r="W203" i="35"/>
  <c r="X203" i="35" l="1"/>
  <c r="Y203" i="35"/>
  <c r="Z203" i="35" s="1"/>
  <c r="AA203" i="35"/>
  <c r="E204" i="35"/>
  <c r="F204" i="35"/>
  <c r="G204" i="35"/>
  <c r="H204" i="35"/>
  <c r="I204" i="35"/>
  <c r="J204" i="35"/>
  <c r="K204" i="35"/>
  <c r="P204" i="35"/>
  <c r="Q204" i="35"/>
  <c r="R204" i="35"/>
  <c r="T204" i="35"/>
  <c r="U204" i="35"/>
  <c r="V204" i="35"/>
  <c r="W204" i="35"/>
  <c r="X204" i="35" l="1"/>
  <c r="Y204" i="35"/>
  <c r="Z204" i="35" s="1"/>
  <c r="AA204" i="35"/>
  <c r="E205" i="35"/>
  <c r="F205" i="35"/>
  <c r="G205" i="35"/>
  <c r="H205" i="35"/>
  <c r="I205" i="35"/>
  <c r="J205" i="35"/>
  <c r="K205" i="35"/>
  <c r="P205" i="35"/>
  <c r="Q205" i="35"/>
  <c r="R205" i="35"/>
  <c r="T205" i="35" l="1"/>
  <c r="U205" i="35"/>
  <c r="V205" i="35"/>
  <c r="W205" i="35"/>
  <c r="X205" i="35" l="1"/>
  <c r="Y205" i="35"/>
  <c r="Z205" i="35" s="1"/>
  <c r="AA205" i="35"/>
  <c r="E206" i="35"/>
  <c r="F206" i="35"/>
  <c r="G206" i="35"/>
  <c r="H206" i="35"/>
  <c r="I206" i="35"/>
  <c r="J206" i="35"/>
  <c r="K206" i="35"/>
  <c r="P206" i="35"/>
  <c r="Q206" i="35"/>
  <c r="R206" i="35"/>
  <c r="T206" i="35" l="1"/>
  <c r="U206" i="35"/>
  <c r="V206" i="35"/>
  <c r="W206" i="35"/>
  <c r="X206" i="35" l="1"/>
  <c r="Y206" i="35"/>
  <c r="Z206" i="35" s="1"/>
  <c r="AA206" i="35"/>
  <c r="E207" i="35"/>
  <c r="F207" i="35"/>
  <c r="G207" i="35"/>
  <c r="H207" i="35"/>
  <c r="I207" i="35"/>
  <c r="J207" i="35"/>
  <c r="K207" i="35"/>
  <c r="P207" i="35"/>
  <c r="Q207" i="35"/>
  <c r="R207" i="35"/>
  <c r="T207" i="35"/>
  <c r="U207" i="35"/>
  <c r="V207" i="35"/>
  <c r="W207" i="35"/>
  <c r="X207" i="35" l="1"/>
  <c r="Y207" i="35"/>
  <c r="Z207" i="35" s="1"/>
  <c r="AA207" i="35"/>
  <c r="E208" i="35"/>
  <c r="F208" i="35"/>
  <c r="G208" i="35"/>
  <c r="H208" i="35"/>
  <c r="I208" i="35"/>
  <c r="J208" i="35"/>
  <c r="K208" i="35"/>
  <c r="P208" i="35"/>
  <c r="Q208" i="35"/>
  <c r="R208" i="35"/>
  <c r="T208" i="35" l="1"/>
  <c r="U208" i="35"/>
  <c r="V208" i="35"/>
  <c r="W208" i="35"/>
  <c r="X208" i="35" l="1"/>
  <c r="Y208" i="35"/>
  <c r="Z208" i="35" s="1"/>
  <c r="AA208" i="35"/>
  <c r="E209" i="35"/>
  <c r="F209" i="35"/>
  <c r="G209" i="35"/>
  <c r="H209" i="35"/>
  <c r="I209" i="35"/>
  <c r="J209" i="35"/>
  <c r="K209" i="35"/>
  <c r="P209" i="35"/>
  <c r="Q209" i="35"/>
  <c r="R209" i="35"/>
  <c r="T209" i="35"/>
  <c r="U209" i="35"/>
  <c r="V209" i="35"/>
  <c r="W209" i="35"/>
  <c r="X209" i="35" l="1"/>
  <c r="Y209" i="35"/>
  <c r="Z209" i="35" s="1"/>
  <c r="AA209" i="35"/>
  <c r="E210" i="35"/>
  <c r="F210" i="35"/>
  <c r="G210" i="35"/>
  <c r="H210" i="35"/>
  <c r="I210" i="35"/>
  <c r="J210" i="35"/>
  <c r="K210" i="35"/>
  <c r="P210" i="35"/>
  <c r="Q210" i="35"/>
  <c r="R210" i="35"/>
  <c r="T210" i="35" l="1"/>
  <c r="U210" i="35"/>
  <c r="V210" i="35"/>
  <c r="W210" i="35"/>
  <c r="X210" i="35" l="1"/>
  <c r="Y210" i="35"/>
  <c r="Z210" i="35" s="1"/>
  <c r="AA210" i="35"/>
  <c r="E211" i="35"/>
  <c r="F211" i="35"/>
  <c r="G211" i="35"/>
  <c r="H211" i="35"/>
  <c r="I211" i="35"/>
  <c r="J211" i="35"/>
  <c r="K211" i="35"/>
  <c r="P211" i="35"/>
  <c r="Q211" i="35"/>
  <c r="R211" i="35"/>
  <c r="T211" i="35" l="1"/>
  <c r="U211" i="35"/>
  <c r="V211" i="35"/>
  <c r="W211" i="35"/>
  <c r="X211" i="35" l="1"/>
  <c r="Y211" i="35"/>
  <c r="Z211" i="35" s="1"/>
  <c r="AA211" i="35"/>
  <c r="E212" i="35"/>
  <c r="F212" i="35"/>
  <c r="G212" i="35"/>
  <c r="H212" i="35"/>
  <c r="I212" i="35"/>
  <c r="J212" i="35"/>
  <c r="K212" i="35"/>
  <c r="P212" i="35"/>
  <c r="Q212" i="35"/>
  <c r="R212" i="35"/>
  <c r="T212" i="35" l="1"/>
  <c r="U212" i="35"/>
  <c r="V212" i="35"/>
  <c r="W212" i="35"/>
  <c r="X212" i="35" l="1"/>
  <c r="Y212" i="35"/>
  <c r="Z212" i="35" s="1"/>
  <c r="AA212" i="35"/>
  <c r="E213" i="35"/>
  <c r="F213" i="35"/>
  <c r="G213" i="35"/>
  <c r="H213" i="35"/>
  <c r="I213" i="35"/>
  <c r="J213" i="35"/>
  <c r="K213" i="35"/>
  <c r="P213" i="35"/>
  <c r="Q213" i="35"/>
  <c r="R213" i="35"/>
  <c r="T213" i="35" l="1"/>
  <c r="U213" i="35"/>
  <c r="V213" i="35"/>
  <c r="W213" i="35"/>
  <c r="X213" i="35" l="1"/>
  <c r="Y213" i="35"/>
  <c r="Z213" i="35" s="1"/>
  <c r="AA213" i="35"/>
  <c r="E214" i="35"/>
  <c r="F214" i="35"/>
  <c r="G214" i="35"/>
  <c r="H214" i="35"/>
  <c r="I214" i="35"/>
  <c r="J214" i="35"/>
  <c r="K214" i="35"/>
  <c r="P214" i="35"/>
  <c r="Q214" i="35"/>
  <c r="R214" i="35"/>
  <c r="T214" i="35" l="1"/>
  <c r="U214" i="35"/>
  <c r="V214" i="35"/>
  <c r="W214" i="35"/>
  <c r="X214" i="35" l="1"/>
  <c r="Y214" i="35"/>
  <c r="Z214" i="35" s="1"/>
  <c r="AA214" i="35"/>
  <c r="E215" i="35"/>
  <c r="F215" i="35"/>
  <c r="G215" i="35"/>
  <c r="H215" i="35"/>
  <c r="I215" i="35"/>
  <c r="J215" i="35"/>
  <c r="K215" i="35"/>
  <c r="P215" i="35"/>
  <c r="Q215" i="35"/>
  <c r="R215" i="35"/>
  <c r="T215" i="35" l="1"/>
  <c r="U215" i="35"/>
  <c r="V215" i="35"/>
  <c r="W215" i="35"/>
  <c r="X215" i="35" l="1"/>
  <c r="Y215" i="35"/>
  <c r="Z215" i="35" s="1"/>
  <c r="AA215" i="35"/>
  <c r="E216" i="35"/>
  <c r="F216" i="35"/>
  <c r="G216" i="35"/>
  <c r="H216" i="35"/>
  <c r="I216" i="35"/>
  <c r="J216" i="35"/>
  <c r="K216" i="35"/>
  <c r="P216" i="35"/>
  <c r="Q216" i="35"/>
  <c r="R216" i="35"/>
  <c r="T216" i="35"/>
  <c r="U216" i="35"/>
  <c r="V216" i="35"/>
  <c r="W216" i="35"/>
  <c r="X216" i="35" l="1"/>
  <c r="Y216" i="35"/>
  <c r="Z216" i="35" s="1"/>
  <c r="AA216" i="35"/>
  <c r="E217" i="35"/>
  <c r="F217" i="35"/>
  <c r="G217" i="35"/>
  <c r="H217" i="35"/>
  <c r="I217" i="35"/>
  <c r="J217" i="35"/>
  <c r="K217" i="35"/>
  <c r="P217" i="35"/>
  <c r="Q217" i="35"/>
  <c r="R217" i="35"/>
  <c r="T217" i="35"/>
  <c r="U217" i="35"/>
  <c r="V217" i="35"/>
  <c r="W217" i="35"/>
  <c r="X217" i="35" l="1"/>
  <c r="Y217" i="35"/>
  <c r="Z217" i="35" s="1"/>
  <c r="AA217" i="35"/>
  <c r="E218" i="35"/>
  <c r="F218" i="35"/>
  <c r="G218" i="35"/>
  <c r="H218" i="35"/>
  <c r="I218" i="35"/>
  <c r="J218" i="35"/>
  <c r="K218" i="35"/>
  <c r="P218" i="35"/>
  <c r="Q218" i="35"/>
  <c r="R218" i="35"/>
  <c r="T218" i="35" l="1"/>
  <c r="U218" i="35"/>
  <c r="V218" i="35"/>
  <c r="W218" i="35"/>
  <c r="X218" i="35" l="1"/>
  <c r="Y218" i="35"/>
  <c r="Z218" i="35" s="1"/>
  <c r="AA218" i="35"/>
  <c r="E219" i="35"/>
  <c r="F219" i="35"/>
  <c r="G219" i="35"/>
  <c r="H219" i="35"/>
  <c r="I219" i="35"/>
  <c r="J219" i="35"/>
  <c r="K219" i="35"/>
  <c r="P219" i="35"/>
  <c r="Q219" i="35"/>
  <c r="R219" i="35"/>
  <c r="T219" i="35" l="1"/>
  <c r="U219" i="35"/>
  <c r="V219" i="35"/>
  <c r="W219" i="35"/>
  <c r="X219" i="35" l="1"/>
  <c r="Y219" i="35"/>
  <c r="Z219" i="35" s="1"/>
  <c r="AA219" i="35"/>
  <c r="E220" i="35"/>
  <c r="F220" i="35"/>
  <c r="G220" i="35"/>
  <c r="H220" i="35"/>
  <c r="I220" i="35"/>
  <c r="J220" i="35"/>
  <c r="K220" i="35"/>
  <c r="P220" i="35"/>
  <c r="Q220" i="35"/>
  <c r="R220" i="35"/>
  <c r="T220" i="35"/>
  <c r="U220" i="35"/>
  <c r="V220" i="35"/>
  <c r="W220" i="35"/>
  <c r="X220" i="35" l="1"/>
  <c r="Y220" i="35"/>
  <c r="Z220" i="35" s="1"/>
  <c r="AA220" i="35"/>
  <c r="E221" i="35"/>
  <c r="F221" i="35"/>
  <c r="G221" i="35"/>
  <c r="H221" i="35"/>
  <c r="I221" i="35"/>
  <c r="J221" i="35"/>
  <c r="K221" i="35"/>
  <c r="P221" i="35"/>
  <c r="Q221" i="35"/>
  <c r="R221" i="35"/>
  <c r="T221" i="35" l="1"/>
  <c r="U221" i="35"/>
  <c r="V221" i="35"/>
  <c r="W221" i="35"/>
  <c r="X221" i="35" l="1"/>
  <c r="Y221" i="35"/>
  <c r="Z221" i="35" s="1"/>
  <c r="AA221" i="35"/>
  <c r="E222" i="35"/>
  <c r="F222" i="35"/>
  <c r="G222" i="35"/>
  <c r="H222" i="35"/>
  <c r="I222" i="35"/>
  <c r="J222" i="35"/>
  <c r="K222" i="35"/>
  <c r="P222" i="35"/>
  <c r="Q222" i="35"/>
  <c r="R222" i="35"/>
  <c r="T222" i="35" l="1"/>
  <c r="U222" i="35"/>
  <c r="V222" i="35"/>
  <c r="W222" i="35"/>
  <c r="X222" i="35" l="1"/>
  <c r="Y222" i="35"/>
  <c r="Z222" i="35" s="1"/>
  <c r="AA222" i="35"/>
  <c r="E223" i="35"/>
  <c r="F223" i="35"/>
  <c r="G223" i="35"/>
  <c r="H223" i="35"/>
  <c r="I223" i="35"/>
  <c r="J223" i="35"/>
  <c r="K223" i="35"/>
  <c r="P223" i="35"/>
  <c r="Q223" i="35"/>
  <c r="R223" i="35"/>
  <c r="T223" i="35" l="1"/>
  <c r="U223" i="35"/>
  <c r="V223" i="35"/>
  <c r="W223" i="35"/>
  <c r="X223" i="35" l="1"/>
  <c r="Y223" i="35"/>
  <c r="Z223" i="35" s="1"/>
  <c r="AA223" i="35"/>
  <c r="E224" i="35"/>
  <c r="F224" i="35"/>
  <c r="G224" i="35"/>
  <c r="H224" i="35"/>
  <c r="I224" i="35"/>
  <c r="J224" i="35"/>
  <c r="K224" i="35"/>
  <c r="P224" i="35"/>
  <c r="Q224" i="35"/>
  <c r="R224" i="35"/>
  <c r="T224" i="35" l="1"/>
  <c r="U224" i="35"/>
  <c r="V224" i="35"/>
  <c r="W224" i="35"/>
  <c r="X224" i="35" l="1"/>
  <c r="Y224" i="35"/>
  <c r="Z224" i="35" s="1"/>
  <c r="AA224" i="35"/>
  <c r="E225" i="35"/>
  <c r="F225" i="35"/>
  <c r="G225" i="35"/>
  <c r="H225" i="35"/>
  <c r="I225" i="35"/>
  <c r="J225" i="35"/>
  <c r="K225" i="35"/>
  <c r="P225" i="35"/>
  <c r="Q225" i="35"/>
  <c r="R225" i="35"/>
  <c r="T225" i="35" l="1"/>
  <c r="U225" i="35"/>
  <c r="V225" i="35"/>
  <c r="W225" i="35"/>
  <c r="X225" i="35" l="1"/>
  <c r="Y225" i="35"/>
  <c r="Z225" i="35" s="1"/>
  <c r="AA225" i="35"/>
  <c r="E226" i="35"/>
  <c r="F226" i="35"/>
  <c r="G226" i="35"/>
  <c r="H226" i="35"/>
  <c r="I226" i="35"/>
  <c r="J226" i="35"/>
  <c r="K226" i="35"/>
  <c r="P226" i="35"/>
  <c r="Q226" i="35"/>
  <c r="R226" i="35"/>
  <c r="T226" i="35" l="1"/>
  <c r="U226" i="35"/>
  <c r="V226" i="35"/>
  <c r="W226" i="35"/>
  <c r="X226" i="35" l="1"/>
  <c r="Y226" i="35"/>
  <c r="Z226" i="35" s="1"/>
  <c r="AA226" i="35"/>
  <c r="E227" i="35"/>
  <c r="F227" i="35"/>
  <c r="G227" i="35"/>
  <c r="H227" i="35"/>
  <c r="I227" i="35"/>
  <c r="J227" i="35"/>
  <c r="K227" i="35"/>
  <c r="P227" i="35"/>
  <c r="Q227" i="35"/>
  <c r="R227" i="35"/>
  <c r="T227" i="35" l="1"/>
  <c r="U227" i="35"/>
  <c r="V227" i="35"/>
  <c r="W227" i="35"/>
  <c r="X227" i="35" l="1"/>
  <c r="Y227" i="35"/>
  <c r="Z227" i="35" s="1"/>
  <c r="AA227" i="35"/>
  <c r="E228" i="35"/>
  <c r="F228" i="35"/>
  <c r="G228" i="35"/>
  <c r="H228" i="35"/>
  <c r="I228" i="35"/>
  <c r="J228" i="35"/>
  <c r="K228" i="35"/>
  <c r="P228" i="35"/>
  <c r="Q228" i="35"/>
  <c r="R228" i="35"/>
  <c r="T228" i="35" l="1"/>
  <c r="U228" i="35"/>
  <c r="V228" i="35"/>
  <c r="W228" i="35"/>
  <c r="X228" i="35" l="1"/>
  <c r="Y228" i="35"/>
  <c r="Z228" i="35" s="1"/>
  <c r="AA228" i="35"/>
  <c r="E229" i="35"/>
  <c r="F229" i="35"/>
  <c r="G229" i="35"/>
  <c r="H229" i="35"/>
  <c r="I229" i="35"/>
  <c r="J229" i="35"/>
  <c r="K229" i="35"/>
  <c r="P229" i="35"/>
  <c r="Q229" i="35"/>
  <c r="R229" i="35"/>
  <c r="T229" i="35" l="1"/>
  <c r="U229" i="35"/>
  <c r="V229" i="35"/>
  <c r="W229" i="35"/>
  <c r="X229" i="35" l="1"/>
  <c r="Y229" i="35"/>
  <c r="Z229" i="35" s="1"/>
  <c r="AA229" i="35"/>
  <c r="E230" i="35"/>
  <c r="F230" i="35"/>
  <c r="G230" i="35"/>
  <c r="H230" i="35"/>
  <c r="I230" i="35"/>
  <c r="J230" i="35"/>
  <c r="K230" i="35"/>
  <c r="P230" i="35"/>
  <c r="Q230" i="35"/>
  <c r="R230" i="35"/>
  <c r="T230" i="35" l="1"/>
  <c r="U230" i="35"/>
  <c r="V230" i="35"/>
  <c r="W230" i="35"/>
  <c r="X230" i="35" l="1"/>
  <c r="Y230" i="35"/>
  <c r="Z230" i="35" s="1"/>
  <c r="AA230" i="35"/>
  <c r="E231" i="35"/>
  <c r="F231" i="35"/>
  <c r="G231" i="35"/>
  <c r="H231" i="35"/>
  <c r="I231" i="35"/>
  <c r="J231" i="35"/>
  <c r="K231" i="35"/>
  <c r="P231" i="35"/>
  <c r="Q231" i="35"/>
  <c r="R231" i="35"/>
  <c r="T231" i="35" l="1"/>
  <c r="U231" i="35"/>
  <c r="V231" i="35"/>
  <c r="W231" i="35"/>
  <c r="X231" i="35" l="1"/>
  <c r="Y231" i="35"/>
  <c r="Z231" i="35" s="1"/>
  <c r="AA231" i="35"/>
  <c r="E232" i="35"/>
  <c r="F232" i="35"/>
  <c r="G232" i="35"/>
  <c r="H232" i="35"/>
  <c r="I232" i="35"/>
  <c r="J232" i="35"/>
  <c r="K232" i="35"/>
  <c r="P232" i="35"/>
  <c r="Q232" i="35"/>
  <c r="R232" i="35"/>
  <c r="T232" i="35" l="1"/>
  <c r="U232" i="35"/>
  <c r="V232" i="35"/>
  <c r="W232" i="35"/>
  <c r="X232" i="35" l="1"/>
  <c r="Y232" i="35"/>
  <c r="Z232" i="35" s="1"/>
  <c r="AA232" i="35"/>
  <c r="E233" i="35"/>
  <c r="F233" i="35"/>
  <c r="G233" i="35"/>
  <c r="H233" i="35"/>
  <c r="I233" i="35"/>
  <c r="J233" i="35"/>
  <c r="K233" i="35"/>
  <c r="P233" i="35"/>
  <c r="Q233" i="35"/>
  <c r="R233" i="35"/>
  <c r="T233" i="35" l="1"/>
  <c r="U233" i="35"/>
  <c r="V233" i="35"/>
  <c r="W233" i="35"/>
  <c r="X233" i="35" l="1"/>
  <c r="Y233" i="35"/>
  <c r="Z233" i="35" s="1"/>
  <c r="AA233" i="35"/>
  <c r="E234" i="35"/>
  <c r="F234" i="35"/>
  <c r="G234" i="35"/>
  <c r="H234" i="35"/>
  <c r="I234" i="35"/>
  <c r="J234" i="35"/>
  <c r="K234" i="35"/>
  <c r="P234" i="35"/>
  <c r="Q234" i="35"/>
  <c r="R234" i="35"/>
  <c r="T234" i="35" l="1"/>
  <c r="U234" i="35"/>
  <c r="V234" i="35"/>
  <c r="W234" i="35"/>
  <c r="X234" i="35" l="1"/>
  <c r="Y234" i="35"/>
  <c r="Z234" i="35" s="1"/>
  <c r="AA234" i="35"/>
  <c r="E235" i="35"/>
  <c r="F235" i="35"/>
  <c r="G235" i="35"/>
  <c r="H235" i="35"/>
  <c r="I235" i="35"/>
  <c r="J235" i="35"/>
  <c r="K235" i="35"/>
  <c r="P235" i="35"/>
  <c r="Q235" i="35"/>
  <c r="R235" i="35"/>
  <c r="T235" i="35"/>
  <c r="U235" i="35"/>
  <c r="V235" i="35"/>
  <c r="W235" i="35"/>
  <c r="X235" i="35" l="1"/>
  <c r="Y235" i="35"/>
  <c r="Z235" i="35" s="1"/>
  <c r="AA235" i="35"/>
  <c r="E236" i="35"/>
  <c r="F236" i="35"/>
  <c r="G236" i="35"/>
  <c r="H236" i="35"/>
  <c r="I236" i="35"/>
  <c r="J236" i="35"/>
  <c r="K236" i="35"/>
  <c r="P236" i="35"/>
  <c r="Q236" i="35"/>
  <c r="R236" i="35"/>
  <c r="T236" i="35" l="1"/>
  <c r="U236" i="35"/>
  <c r="V236" i="35"/>
  <c r="W236" i="35"/>
  <c r="X236" i="35" l="1"/>
  <c r="Y236" i="35"/>
  <c r="Z236" i="35" s="1"/>
  <c r="AA236" i="35"/>
  <c r="E237" i="35"/>
  <c r="F237" i="35"/>
  <c r="G237" i="35"/>
  <c r="H237" i="35"/>
  <c r="I237" i="35"/>
  <c r="J237" i="35"/>
  <c r="K237" i="35"/>
  <c r="P237" i="35"/>
  <c r="Q237" i="35"/>
  <c r="R237" i="35"/>
  <c r="T237" i="35" l="1"/>
  <c r="U237" i="35"/>
  <c r="V237" i="35"/>
  <c r="W237" i="35"/>
  <c r="X237" i="35" l="1"/>
  <c r="Y237" i="35"/>
  <c r="Z237" i="35" s="1"/>
  <c r="AA237" i="35"/>
  <c r="E238" i="35"/>
  <c r="F238" i="35"/>
  <c r="G238" i="35"/>
  <c r="H238" i="35"/>
  <c r="I238" i="35"/>
  <c r="J238" i="35"/>
  <c r="K238" i="35"/>
  <c r="P238" i="35"/>
  <c r="Q238" i="35"/>
  <c r="R238" i="35"/>
  <c r="T238" i="35" l="1"/>
  <c r="U238" i="35"/>
  <c r="V238" i="35"/>
  <c r="W238" i="35"/>
  <c r="X238" i="35" l="1"/>
  <c r="Y238" i="35"/>
  <c r="Z238" i="35" s="1"/>
  <c r="AA238" i="35"/>
  <c r="E239" i="35"/>
  <c r="F239" i="35"/>
  <c r="G239" i="35"/>
  <c r="H239" i="35"/>
  <c r="I239" i="35"/>
  <c r="J239" i="35"/>
  <c r="K239" i="35"/>
  <c r="P239" i="35"/>
  <c r="Q239" i="35"/>
  <c r="R239" i="35"/>
  <c r="T239" i="35" l="1"/>
  <c r="U239" i="35"/>
  <c r="V239" i="35"/>
  <c r="W239" i="35"/>
  <c r="X239" i="35" l="1"/>
  <c r="Y239" i="35"/>
  <c r="Z239" i="35" s="1"/>
  <c r="AA239" i="35"/>
  <c r="E240" i="35"/>
  <c r="F240" i="35"/>
  <c r="G240" i="35"/>
  <c r="H240" i="35"/>
  <c r="I240" i="35"/>
  <c r="J240" i="35"/>
  <c r="K240" i="35"/>
  <c r="P240" i="35"/>
  <c r="Q240" i="35"/>
  <c r="R240" i="35"/>
  <c r="T240" i="35" l="1"/>
  <c r="U240" i="35"/>
  <c r="V240" i="35"/>
  <c r="W240" i="35"/>
  <c r="X240" i="35" l="1"/>
  <c r="Y240" i="35"/>
  <c r="Z240" i="35" s="1"/>
  <c r="AA240" i="35"/>
  <c r="E241" i="35"/>
  <c r="F241" i="35"/>
  <c r="G241" i="35"/>
  <c r="H241" i="35"/>
  <c r="I241" i="35"/>
  <c r="J241" i="35"/>
  <c r="K241" i="35"/>
  <c r="P241" i="35"/>
  <c r="Q241" i="35"/>
  <c r="R241" i="35"/>
  <c r="T241" i="35" l="1"/>
  <c r="U241" i="35"/>
  <c r="V241" i="35"/>
  <c r="W241" i="35"/>
  <c r="X241" i="35" l="1"/>
  <c r="Y241" i="35"/>
  <c r="Z241" i="35" s="1"/>
  <c r="AA241" i="35"/>
  <c r="E242" i="35"/>
  <c r="F242" i="35"/>
  <c r="G242" i="35"/>
  <c r="H242" i="35"/>
  <c r="I242" i="35"/>
  <c r="J242" i="35"/>
  <c r="K242" i="35"/>
  <c r="P242" i="35"/>
  <c r="Q242" i="35"/>
  <c r="R242" i="35"/>
  <c r="T242" i="35" l="1"/>
  <c r="U242" i="35"/>
  <c r="V242" i="35"/>
  <c r="W242" i="35"/>
  <c r="X242" i="35" l="1"/>
  <c r="Y242" i="35"/>
  <c r="Z242" i="35" s="1"/>
  <c r="AA242" i="35"/>
  <c r="E243" i="35"/>
  <c r="F243" i="35"/>
  <c r="G243" i="35"/>
  <c r="H243" i="35"/>
  <c r="I243" i="35"/>
  <c r="J243" i="35"/>
  <c r="K243" i="35"/>
  <c r="P243" i="35"/>
  <c r="Q243" i="35"/>
  <c r="R243" i="35"/>
  <c r="T243" i="35" l="1"/>
  <c r="U243" i="35"/>
  <c r="V243" i="35"/>
  <c r="W243" i="35"/>
  <c r="X243" i="35" l="1"/>
  <c r="Y243" i="35"/>
  <c r="Z243" i="35" s="1"/>
  <c r="AA243" i="35"/>
  <c r="E244" i="35"/>
  <c r="F244" i="35"/>
  <c r="G244" i="35"/>
  <c r="H244" i="35"/>
  <c r="I244" i="35"/>
  <c r="J244" i="35"/>
  <c r="K244" i="35"/>
  <c r="P244" i="35"/>
  <c r="Q244" i="35"/>
  <c r="R244" i="35"/>
  <c r="T244" i="35" l="1"/>
  <c r="U244" i="35"/>
  <c r="V244" i="35"/>
  <c r="W244" i="35"/>
  <c r="X244" i="35" l="1"/>
  <c r="Y244" i="35"/>
  <c r="Z244" i="35" s="1"/>
  <c r="AA244" i="35"/>
  <c r="E245" i="35"/>
  <c r="F245" i="35"/>
  <c r="G245" i="35"/>
  <c r="H245" i="35"/>
  <c r="I245" i="35"/>
  <c r="J245" i="35"/>
  <c r="K245" i="35"/>
  <c r="P245" i="35"/>
  <c r="Q245" i="35"/>
  <c r="R245" i="35"/>
  <c r="T245" i="35" l="1"/>
  <c r="U245" i="35"/>
  <c r="V245" i="35"/>
  <c r="W245" i="35"/>
  <c r="X245" i="35" l="1"/>
  <c r="Y245" i="35"/>
  <c r="Z245" i="35" s="1"/>
  <c r="AA245" i="35"/>
  <c r="E246" i="35"/>
  <c r="F246" i="35"/>
  <c r="G246" i="35"/>
  <c r="H246" i="35"/>
  <c r="I246" i="35"/>
  <c r="J246" i="35"/>
  <c r="K246" i="35"/>
  <c r="P246" i="35"/>
  <c r="Q246" i="35"/>
  <c r="R246" i="35"/>
  <c r="T246" i="35" l="1"/>
  <c r="U246" i="35"/>
  <c r="V246" i="35"/>
  <c r="W246" i="35"/>
  <c r="X246" i="35" l="1"/>
  <c r="Y246" i="35"/>
  <c r="Z246" i="35" s="1"/>
  <c r="AA246" i="35"/>
  <c r="E247" i="35"/>
  <c r="F247" i="35"/>
  <c r="G247" i="35"/>
  <c r="H247" i="35"/>
  <c r="I247" i="35"/>
  <c r="J247" i="35"/>
  <c r="K247" i="35"/>
  <c r="P247" i="35"/>
  <c r="Q247" i="35"/>
  <c r="R247" i="35"/>
  <c r="T247" i="35" l="1"/>
  <c r="U247" i="35"/>
  <c r="V247" i="35"/>
  <c r="W247" i="35"/>
  <c r="X247" i="35" l="1"/>
  <c r="Y247" i="35"/>
  <c r="Z247" i="35" s="1"/>
  <c r="AA247" i="35"/>
  <c r="E248" i="35"/>
  <c r="F248" i="35"/>
  <c r="G248" i="35"/>
  <c r="H248" i="35"/>
  <c r="I248" i="35"/>
  <c r="J248" i="35"/>
  <c r="K248" i="35"/>
  <c r="P248" i="35"/>
  <c r="Q248" i="35"/>
  <c r="R248" i="35"/>
  <c r="T248" i="35" l="1"/>
  <c r="U248" i="35"/>
  <c r="V248" i="35"/>
  <c r="W248" i="35"/>
  <c r="X248" i="35" l="1"/>
  <c r="Y248" i="35"/>
  <c r="Z248" i="35" s="1"/>
  <c r="AA248" i="35"/>
  <c r="E249" i="35"/>
  <c r="F249" i="35"/>
  <c r="G249" i="35"/>
  <c r="H249" i="35"/>
  <c r="I249" i="35"/>
  <c r="J249" i="35"/>
  <c r="K249" i="35"/>
  <c r="P249" i="35"/>
  <c r="Q249" i="35"/>
  <c r="R249" i="35"/>
  <c r="T249" i="35" l="1"/>
  <c r="U249" i="35"/>
  <c r="V249" i="35"/>
  <c r="W249" i="35"/>
  <c r="X249" i="35" l="1"/>
  <c r="Y249" i="35"/>
  <c r="Z249" i="35" s="1"/>
  <c r="AA249" i="35"/>
  <c r="E250" i="35"/>
  <c r="F250" i="35"/>
  <c r="G250" i="35"/>
  <c r="H250" i="35"/>
  <c r="I250" i="35"/>
  <c r="J250" i="35"/>
  <c r="K250" i="35"/>
  <c r="P250" i="35"/>
  <c r="Q250" i="35"/>
  <c r="R250" i="35"/>
  <c r="T250" i="35" l="1"/>
  <c r="U250" i="35"/>
  <c r="V250" i="35"/>
  <c r="W250" i="35"/>
  <c r="X250" i="35" l="1"/>
  <c r="Y250" i="35"/>
  <c r="Z250" i="35" s="1"/>
  <c r="AA250" i="35"/>
  <c r="E251" i="35"/>
  <c r="F251" i="35"/>
  <c r="G251" i="35"/>
  <c r="H251" i="35"/>
  <c r="I251" i="35"/>
  <c r="J251" i="35"/>
  <c r="K251" i="35"/>
  <c r="P251" i="35"/>
  <c r="Q251" i="35"/>
  <c r="R251" i="35"/>
  <c r="T251" i="35"/>
  <c r="U251" i="35"/>
  <c r="V251" i="35"/>
  <c r="W251" i="35"/>
  <c r="X251" i="35" l="1"/>
  <c r="Y251" i="35"/>
  <c r="Z251" i="35" s="1"/>
  <c r="AA251" i="35"/>
  <c r="E252" i="35"/>
  <c r="F252" i="35"/>
  <c r="G252" i="35"/>
  <c r="H252" i="35"/>
  <c r="I252" i="35"/>
  <c r="J252" i="35"/>
  <c r="K252" i="35"/>
  <c r="P252" i="35"/>
  <c r="Q252" i="35"/>
  <c r="R252" i="35"/>
  <c r="T252" i="35" l="1"/>
  <c r="U252" i="35"/>
  <c r="V252" i="35"/>
  <c r="W252" i="35"/>
  <c r="X252" i="35" l="1"/>
  <c r="Y252" i="35"/>
  <c r="Z252" i="35" s="1"/>
  <c r="AA252" i="35"/>
  <c r="E253" i="35"/>
  <c r="F253" i="35"/>
  <c r="G253" i="35"/>
  <c r="H253" i="35"/>
  <c r="I253" i="35"/>
  <c r="J253" i="35"/>
  <c r="K253" i="35"/>
  <c r="P253" i="35"/>
  <c r="Q253" i="35"/>
  <c r="R253" i="35"/>
  <c r="T253" i="35" l="1"/>
  <c r="U253" i="35"/>
  <c r="V253" i="35"/>
  <c r="W253" i="35"/>
  <c r="X253" i="35" l="1"/>
  <c r="Y253" i="35"/>
  <c r="Z253" i="35" s="1"/>
  <c r="AA253" i="35"/>
  <c r="E254" i="35"/>
  <c r="F254" i="35"/>
  <c r="G254" i="35"/>
  <c r="H254" i="35"/>
  <c r="I254" i="35"/>
  <c r="J254" i="35"/>
  <c r="K254" i="35"/>
  <c r="P254" i="35"/>
  <c r="Q254" i="35"/>
  <c r="R254" i="35"/>
  <c r="T254" i="35" l="1"/>
  <c r="U254" i="35"/>
  <c r="V254" i="35"/>
  <c r="W254" i="35"/>
  <c r="X254" i="35" l="1"/>
  <c r="Y254" i="35"/>
  <c r="Z254" i="35" s="1"/>
  <c r="AA254" i="35"/>
  <c r="E255" i="35"/>
  <c r="F255" i="35"/>
  <c r="G255" i="35"/>
  <c r="H255" i="35"/>
  <c r="I255" i="35"/>
  <c r="J255" i="35"/>
  <c r="K255" i="35"/>
  <c r="P255" i="35"/>
  <c r="Q255" i="35"/>
  <c r="R255" i="35"/>
  <c r="T255" i="35" l="1"/>
  <c r="U255" i="35"/>
  <c r="V255" i="35"/>
  <c r="W255" i="35"/>
  <c r="X255" i="35" l="1"/>
  <c r="Y255" i="35"/>
  <c r="Z255" i="35" s="1"/>
  <c r="AA255" i="35"/>
  <c r="E256" i="35"/>
  <c r="F256" i="35"/>
  <c r="G256" i="35"/>
  <c r="H256" i="35"/>
  <c r="I256" i="35"/>
  <c r="J256" i="35"/>
  <c r="K256" i="35"/>
  <c r="P256" i="35"/>
  <c r="Q256" i="35"/>
  <c r="R256" i="35"/>
  <c r="T256" i="35" l="1"/>
  <c r="U256" i="35"/>
  <c r="V256" i="35"/>
  <c r="W256" i="35"/>
  <c r="X256" i="35" l="1"/>
  <c r="Y256" i="35"/>
  <c r="Z256" i="35" s="1"/>
  <c r="AA256" i="35"/>
  <c r="E257" i="35"/>
  <c r="F257" i="35"/>
  <c r="G257" i="35"/>
  <c r="H257" i="35"/>
  <c r="I257" i="35"/>
  <c r="J257" i="35"/>
  <c r="K257" i="35"/>
  <c r="P257" i="35"/>
  <c r="Q257" i="35"/>
  <c r="R257" i="35"/>
  <c r="T257" i="35" l="1"/>
  <c r="U257" i="35"/>
  <c r="V257" i="35"/>
  <c r="W257" i="35"/>
  <c r="X257" i="35" l="1"/>
  <c r="Y257" i="35"/>
  <c r="Z257" i="35" s="1"/>
  <c r="AA257" i="35"/>
  <c r="E258" i="35"/>
  <c r="F258" i="35"/>
  <c r="G258" i="35"/>
  <c r="H258" i="35"/>
  <c r="I258" i="35"/>
  <c r="J258" i="35"/>
  <c r="K258" i="35"/>
  <c r="P258" i="35"/>
  <c r="Q258" i="35"/>
  <c r="R258" i="35"/>
  <c r="T258" i="35" l="1"/>
  <c r="U258" i="35"/>
  <c r="V258" i="35"/>
  <c r="W258" i="35"/>
  <c r="X258" i="35" l="1"/>
  <c r="Y258" i="35"/>
  <c r="Z258" i="35" s="1"/>
  <c r="AA258" i="35"/>
  <c r="E259" i="35"/>
  <c r="F259" i="35"/>
  <c r="G259" i="35"/>
  <c r="H259" i="35"/>
  <c r="I259" i="35"/>
  <c r="J259" i="35"/>
  <c r="K259" i="35"/>
  <c r="P259" i="35"/>
  <c r="Q259" i="35"/>
  <c r="R259" i="35"/>
  <c r="T259" i="35" l="1"/>
  <c r="U259" i="35"/>
  <c r="V259" i="35"/>
  <c r="W259" i="35"/>
  <c r="X259" i="35" l="1"/>
  <c r="Y259" i="35"/>
  <c r="Z259" i="35" s="1"/>
  <c r="AA259" i="35"/>
  <c r="E260" i="35"/>
  <c r="F260" i="35"/>
  <c r="G260" i="35"/>
  <c r="H260" i="35"/>
  <c r="I260" i="35"/>
  <c r="J260" i="35"/>
  <c r="K260" i="35"/>
  <c r="P260" i="35"/>
  <c r="Q260" i="35"/>
  <c r="R260" i="35"/>
  <c r="T260" i="35" l="1"/>
  <c r="U260" i="35"/>
  <c r="V260" i="35"/>
  <c r="W260" i="35"/>
  <c r="X260" i="35" l="1"/>
  <c r="Y260" i="35"/>
  <c r="Z260" i="35" s="1"/>
  <c r="AA260" i="35"/>
  <c r="E261" i="35"/>
  <c r="F261" i="35"/>
  <c r="G261" i="35"/>
  <c r="H261" i="35"/>
  <c r="I261" i="35"/>
  <c r="J261" i="35"/>
  <c r="K261" i="35"/>
  <c r="P261" i="35"/>
  <c r="Q261" i="35"/>
  <c r="R261" i="35"/>
  <c r="T261" i="35" l="1"/>
  <c r="U261" i="35"/>
  <c r="V261" i="35"/>
  <c r="W261" i="35"/>
  <c r="X261" i="35" l="1"/>
  <c r="Y261" i="35"/>
  <c r="Z261" i="35" s="1"/>
  <c r="AA261" i="35"/>
  <c r="E262" i="35"/>
  <c r="F262" i="35"/>
  <c r="G262" i="35"/>
  <c r="H262" i="35"/>
  <c r="I262" i="35"/>
  <c r="J262" i="35"/>
  <c r="K262" i="35"/>
  <c r="P262" i="35"/>
  <c r="Q262" i="35"/>
  <c r="R262" i="35"/>
  <c r="T262" i="35" l="1"/>
  <c r="U262" i="35"/>
  <c r="V262" i="35"/>
  <c r="W262" i="35"/>
  <c r="X262" i="35" l="1"/>
  <c r="Y262" i="35"/>
  <c r="Z262" i="35" s="1"/>
  <c r="AA262" i="35"/>
  <c r="E263" i="35"/>
  <c r="F263" i="35"/>
  <c r="G263" i="35"/>
  <c r="H263" i="35"/>
  <c r="I263" i="35"/>
  <c r="J263" i="35"/>
  <c r="K263" i="35"/>
  <c r="P263" i="35"/>
  <c r="Q263" i="35"/>
  <c r="R263" i="35"/>
  <c r="T263" i="35" l="1"/>
  <c r="U263" i="35"/>
  <c r="V263" i="35"/>
  <c r="W263" i="35"/>
  <c r="X263" i="35" l="1"/>
  <c r="Y263" i="35"/>
  <c r="Z263" i="35" s="1"/>
  <c r="AA263" i="35"/>
  <c r="E264" i="35"/>
  <c r="F264" i="35"/>
  <c r="G264" i="35"/>
  <c r="H264" i="35"/>
  <c r="I264" i="35"/>
  <c r="J264" i="35"/>
  <c r="K264" i="35"/>
  <c r="P264" i="35"/>
  <c r="Q264" i="35"/>
  <c r="R264" i="35"/>
  <c r="T264" i="35" l="1"/>
  <c r="U264" i="35"/>
  <c r="V264" i="35"/>
  <c r="W264" i="35"/>
  <c r="X264" i="35" l="1"/>
  <c r="Y264" i="35"/>
  <c r="Z264" i="35" s="1"/>
  <c r="AA264" i="35"/>
  <c r="E265" i="35"/>
  <c r="F265" i="35"/>
  <c r="G265" i="35"/>
  <c r="H265" i="35"/>
  <c r="I265" i="35"/>
  <c r="J265" i="35"/>
  <c r="K265" i="35"/>
  <c r="P265" i="35"/>
  <c r="Q265" i="35"/>
  <c r="R265" i="35"/>
  <c r="T265" i="35" l="1"/>
  <c r="U265" i="35"/>
  <c r="V265" i="35"/>
  <c r="W265" i="35"/>
  <c r="X265" i="35" l="1"/>
  <c r="Y265" i="35"/>
  <c r="Z265" i="35" s="1"/>
  <c r="AA265" i="35"/>
  <c r="E266" i="35"/>
  <c r="F266" i="35"/>
  <c r="G266" i="35"/>
  <c r="H266" i="35"/>
  <c r="I266" i="35"/>
  <c r="J266" i="35"/>
  <c r="K266" i="35"/>
  <c r="P266" i="35"/>
  <c r="Q266" i="35"/>
  <c r="R266" i="35"/>
  <c r="T266" i="35" l="1"/>
  <c r="U266" i="35"/>
  <c r="V266" i="35"/>
  <c r="W266" i="35"/>
  <c r="X266" i="35" l="1"/>
  <c r="Y266" i="35"/>
  <c r="Z266" i="35" s="1"/>
  <c r="AA266" i="35"/>
  <c r="E267" i="35"/>
  <c r="F267" i="35"/>
  <c r="G267" i="35"/>
  <c r="H267" i="35"/>
  <c r="I267" i="35"/>
  <c r="J267" i="35"/>
  <c r="K267" i="35"/>
  <c r="P267" i="35"/>
  <c r="Q267" i="35"/>
  <c r="R267" i="35"/>
  <c r="T267" i="35" l="1"/>
  <c r="U267" i="35"/>
  <c r="V267" i="35"/>
  <c r="W267" i="35"/>
  <c r="X267" i="35" l="1"/>
  <c r="Y267" i="35"/>
  <c r="Z267" i="35" s="1"/>
  <c r="AA267" i="35"/>
  <c r="E268" i="35"/>
  <c r="F268" i="35"/>
  <c r="G268" i="35"/>
  <c r="H268" i="35"/>
  <c r="I268" i="35"/>
  <c r="J268" i="35"/>
  <c r="K268" i="35"/>
  <c r="P268" i="35"/>
  <c r="Q268" i="35"/>
  <c r="R268" i="35"/>
  <c r="T268" i="35" l="1"/>
  <c r="U268" i="35"/>
  <c r="V268" i="35"/>
  <c r="W268" i="35"/>
  <c r="X268" i="35" l="1"/>
  <c r="Y268" i="35"/>
  <c r="Z268" i="35" s="1"/>
  <c r="AA268" i="35"/>
  <c r="E269" i="35"/>
  <c r="F269" i="35"/>
  <c r="G269" i="35"/>
  <c r="H269" i="35"/>
  <c r="I269" i="35"/>
  <c r="J269" i="35"/>
  <c r="K269" i="35"/>
  <c r="P269" i="35"/>
  <c r="Q269" i="35"/>
  <c r="R269" i="35"/>
  <c r="T269" i="35" l="1"/>
  <c r="U269" i="35"/>
  <c r="V269" i="35"/>
  <c r="W269" i="35"/>
  <c r="X269" i="35" l="1"/>
  <c r="Y269" i="35"/>
  <c r="Z269" i="35" s="1"/>
  <c r="AA269" i="35"/>
  <c r="E270" i="35"/>
  <c r="F270" i="35"/>
  <c r="G270" i="35"/>
  <c r="H270" i="35"/>
  <c r="I270" i="35"/>
  <c r="J270" i="35"/>
  <c r="K270" i="35"/>
  <c r="P270" i="35"/>
  <c r="Q270" i="35"/>
  <c r="R270" i="35"/>
  <c r="T270" i="35" l="1"/>
  <c r="U270" i="35"/>
  <c r="V270" i="35"/>
  <c r="W270" i="35"/>
  <c r="X270" i="35" l="1"/>
  <c r="Y270" i="35"/>
  <c r="Z270" i="35" s="1"/>
  <c r="AA270" i="35"/>
  <c r="E271" i="35"/>
  <c r="F271" i="35"/>
  <c r="G271" i="35"/>
  <c r="H271" i="35"/>
  <c r="I271" i="35"/>
  <c r="J271" i="35"/>
  <c r="K271" i="35"/>
  <c r="P271" i="35"/>
  <c r="Q271" i="35"/>
  <c r="R271" i="35"/>
  <c r="T271" i="35" l="1"/>
  <c r="U271" i="35"/>
  <c r="V271" i="35"/>
  <c r="W271" i="35"/>
  <c r="X271" i="35" l="1"/>
  <c r="Y271" i="35"/>
  <c r="Z271" i="35" s="1"/>
  <c r="AA271" i="35"/>
  <c r="E272" i="35"/>
  <c r="F272" i="35"/>
  <c r="G272" i="35"/>
  <c r="H272" i="35"/>
  <c r="I272" i="35"/>
  <c r="J272" i="35"/>
  <c r="K272" i="35"/>
  <c r="P272" i="35"/>
  <c r="Q272" i="35"/>
  <c r="R272" i="35"/>
  <c r="T272" i="35" l="1"/>
  <c r="U272" i="35"/>
  <c r="V272" i="35"/>
  <c r="W272" i="35"/>
  <c r="X272" i="35" l="1"/>
  <c r="Y272" i="35"/>
  <c r="Z272" i="35" s="1"/>
  <c r="AA272" i="35"/>
  <c r="E273" i="35"/>
  <c r="F273" i="35"/>
  <c r="G273" i="35"/>
  <c r="H273" i="35"/>
  <c r="I273" i="35"/>
  <c r="J273" i="35"/>
  <c r="K273" i="35"/>
  <c r="P273" i="35"/>
  <c r="Q273" i="35"/>
  <c r="R273" i="35"/>
  <c r="T273" i="35" l="1"/>
  <c r="U273" i="35"/>
  <c r="V273" i="35"/>
  <c r="W273" i="35"/>
  <c r="X273" i="35" l="1"/>
  <c r="Y273" i="35"/>
  <c r="Z273" i="35" s="1"/>
  <c r="AA273" i="35"/>
  <c r="E274" i="35"/>
  <c r="F274" i="35"/>
  <c r="G274" i="35"/>
  <c r="H274" i="35"/>
  <c r="I274" i="35"/>
  <c r="J274" i="35"/>
  <c r="K274" i="35"/>
  <c r="P274" i="35"/>
  <c r="Q274" i="35"/>
  <c r="R274" i="35"/>
  <c r="T274" i="35" l="1"/>
  <c r="U274" i="35"/>
  <c r="V274" i="35"/>
  <c r="W274" i="35"/>
  <c r="X274" i="35" l="1"/>
  <c r="Y274" i="35"/>
  <c r="Z274" i="35" s="1"/>
  <c r="AA274" i="35"/>
  <c r="E275" i="35"/>
  <c r="F275" i="35"/>
  <c r="G275" i="35"/>
  <c r="H275" i="35"/>
  <c r="I275" i="35"/>
  <c r="J275" i="35"/>
  <c r="K275" i="35"/>
  <c r="P275" i="35"/>
  <c r="Q275" i="35"/>
  <c r="R275" i="35"/>
  <c r="T275" i="35" l="1"/>
  <c r="U275" i="35"/>
  <c r="V275" i="35"/>
  <c r="W275" i="35"/>
  <c r="X275" i="35" l="1"/>
  <c r="Y275" i="35"/>
  <c r="Z275" i="35" s="1"/>
  <c r="AA275" i="35"/>
  <c r="E276" i="35"/>
  <c r="F276" i="35"/>
  <c r="G276" i="35"/>
  <c r="H276" i="35"/>
  <c r="I276" i="35"/>
  <c r="J276" i="35"/>
  <c r="K276" i="35"/>
  <c r="P276" i="35"/>
  <c r="Q276" i="35"/>
  <c r="R276" i="35"/>
  <c r="T276" i="35" l="1"/>
  <c r="U276" i="35"/>
  <c r="V276" i="35"/>
  <c r="W276" i="35"/>
  <c r="X276" i="35" l="1"/>
  <c r="Y276" i="35"/>
  <c r="Z276" i="35" s="1"/>
  <c r="AA276" i="35"/>
  <c r="E277" i="35"/>
  <c r="F277" i="35"/>
  <c r="G277" i="35"/>
  <c r="H277" i="35"/>
  <c r="I277" i="35"/>
  <c r="J277" i="35"/>
  <c r="K277" i="35"/>
  <c r="P277" i="35"/>
  <c r="Q277" i="35"/>
  <c r="R277" i="35"/>
  <c r="T277" i="35" l="1"/>
  <c r="U277" i="35"/>
  <c r="V277" i="35"/>
  <c r="W277" i="35"/>
  <c r="X277" i="35" l="1"/>
  <c r="Y277" i="35"/>
  <c r="Z277" i="35" s="1"/>
  <c r="AA277" i="35"/>
  <c r="E278" i="35"/>
  <c r="F278" i="35"/>
  <c r="G278" i="35"/>
  <c r="H278" i="35"/>
  <c r="I278" i="35"/>
  <c r="J278" i="35"/>
  <c r="K278" i="35"/>
  <c r="P278" i="35"/>
  <c r="Q278" i="35"/>
  <c r="R278" i="35"/>
  <c r="T278" i="35" l="1"/>
  <c r="U278" i="35"/>
  <c r="V278" i="35"/>
  <c r="W278" i="35"/>
  <c r="X278" i="35" l="1"/>
  <c r="Y278" i="35"/>
  <c r="Z278" i="35" s="1"/>
  <c r="AA278" i="35"/>
  <c r="E279" i="35"/>
  <c r="F279" i="35"/>
  <c r="G279" i="35"/>
  <c r="H279" i="35"/>
  <c r="I279" i="35"/>
  <c r="J279" i="35"/>
  <c r="K279" i="35"/>
  <c r="P279" i="35"/>
  <c r="Q279" i="35"/>
  <c r="R279" i="35"/>
  <c r="T279" i="35" l="1"/>
  <c r="U279" i="35"/>
  <c r="V279" i="35"/>
  <c r="W279" i="35"/>
  <c r="X279" i="35" l="1"/>
  <c r="Y279" i="35"/>
  <c r="Z279" i="35" s="1"/>
  <c r="AA279" i="35"/>
  <c r="E280" i="35"/>
  <c r="F280" i="35"/>
  <c r="G280" i="35"/>
  <c r="H280" i="35"/>
  <c r="I280" i="35"/>
  <c r="J280" i="35"/>
  <c r="K280" i="35"/>
  <c r="P280" i="35"/>
  <c r="Q280" i="35"/>
  <c r="R280" i="35"/>
  <c r="T280" i="35" l="1"/>
  <c r="U280" i="35"/>
  <c r="V280" i="35"/>
  <c r="W280" i="35"/>
  <c r="X280" i="35" l="1"/>
  <c r="Y280" i="35"/>
  <c r="Z280" i="35" s="1"/>
  <c r="AA280" i="35"/>
  <c r="E281" i="35"/>
  <c r="F281" i="35"/>
  <c r="G281" i="35"/>
  <c r="H281" i="35"/>
  <c r="I281" i="35"/>
  <c r="J281" i="35"/>
  <c r="K281" i="35"/>
  <c r="P281" i="35"/>
  <c r="Q281" i="35"/>
  <c r="R281" i="35"/>
  <c r="T281" i="35" l="1"/>
  <c r="U281" i="35"/>
  <c r="V281" i="35"/>
  <c r="W281" i="35"/>
  <c r="X281" i="35" l="1"/>
  <c r="Y281" i="35"/>
  <c r="Z281" i="35" s="1"/>
  <c r="AA281" i="35"/>
  <c r="E282" i="35"/>
  <c r="F282" i="35"/>
  <c r="G282" i="35"/>
  <c r="H282" i="35"/>
  <c r="I282" i="35"/>
  <c r="J282" i="35"/>
  <c r="K282" i="35"/>
  <c r="P282" i="35"/>
  <c r="Q282" i="35"/>
  <c r="R282" i="35"/>
  <c r="T282" i="35" l="1"/>
  <c r="U282" i="35"/>
  <c r="V282" i="35"/>
  <c r="W282" i="35"/>
  <c r="X282" i="35" l="1"/>
  <c r="Y282" i="35"/>
  <c r="Z282" i="35"/>
  <c r="AA282" i="35"/>
  <c r="E283" i="35"/>
  <c r="F283" i="35"/>
  <c r="G283" i="35"/>
  <c r="H283" i="35"/>
  <c r="I283" i="35"/>
  <c r="J283" i="35"/>
  <c r="K283" i="35"/>
  <c r="P283" i="35"/>
  <c r="Q283" i="35"/>
  <c r="R283" i="35"/>
  <c r="T283" i="35" l="1"/>
  <c r="U283" i="35"/>
  <c r="V283" i="35"/>
  <c r="W283" i="35"/>
  <c r="X283" i="35" l="1"/>
  <c r="Y283" i="35"/>
  <c r="Z283" i="35" s="1"/>
  <c r="AA283" i="35"/>
  <c r="E284" i="35"/>
  <c r="F284" i="35"/>
  <c r="G284" i="35"/>
  <c r="H284" i="35"/>
  <c r="I284" i="35"/>
  <c r="J284" i="35"/>
  <c r="K284" i="35"/>
  <c r="P284" i="35"/>
  <c r="Q284" i="35"/>
  <c r="R284" i="35"/>
  <c r="T284" i="35" l="1"/>
  <c r="U284" i="35"/>
  <c r="V284" i="35"/>
  <c r="W284" i="35"/>
  <c r="X284" i="35" l="1"/>
  <c r="Y284" i="35"/>
  <c r="Z284" i="35" s="1"/>
  <c r="AA284" i="35"/>
  <c r="E285" i="35"/>
  <c r="F285" i="35"/>
  <c r="G285" i="35"/>
  <c r="H285" i="35"/>
  <c r="I285" i="35"/>
  <c r="J285" i="35"/>
  <c r="K285" i="35"/>
  <c r="P285" i="35"/>
  <c r="Q285" i="35"/>
  <c r="R285" i="35"/>
  <c r="T285" i="35" l="1"/>
  <c r="U285" i="35"/>
  <c r="V285" i="35"/>
  <c r="W285" i="35"/>
  <c r="X285" i="35" l="1"/>
  <c r="Y285" i="35"/>
  <c r="Z285" i="35" s="1"/>
  <c r="AA285" i="35"/>
  <c r="E286" i="35"/>
  <c r="F286" i="35"/>
  <c r="G286" i="35"/>
  <c r="H286" i="35"/>
  <c r="I286" i="35"/>
  <c r="J286" i="35"/>
  <c r="K286" i="35"/>
  <c r="P286" i="35"/>
  <c r="Q286" i="35"/>
  <c r="R286" i="35"/>
  <c r="T286" i="35" l="1"/>
  <c r="U286" i="35"/>
  <c r="V286" i="35"/>
  <c r="W286" i="35"/>
  <c r="X286" i="35" l="1"/>
  <c r="Y286" i="35"/>
  <c r="Z286" i="35" s="1"/>
  <c r="AA286" i="35"/>
  <c r="E287" i="35"/>
  <c r="F287" i="35"/>
  <c r="G287" i="35"/>
  <c r="H287" i="35"/>
  <c r="I287" i="35"/>
  <c r="J287" i="35"/>
  <c r="K287" i="35"/>
  <c r="P287" i="35"/>
  <c r="Q287" i="35"/>
  <c r="R287" i="35"/>
  <c r="T287" i="35" l="1"/>
  <c r="U287" i="35"/>
  <c r="V287" i="35"/>
  <c r="W287" i="35"/>
  <c r="X287" i="35" l="1"/>
  <c r="Y287" i="35"/>
  <c r="Z287" i="35" s="1"/>
  <c r="AA287" i="35"/>
  <c r="E288" i="35"/>
  <c r="F288" i="35"/>
  <c r="G288" i="35"/>
  <c r="H288" i="35"/>
  <c r="I288" i="35"/>
  <c r="J288" i="35"/>
  <c r="K288" i="35"/>
  <c r="P288" i="35"/>
  <c r="Q288" i="35"/>
  <c r="R288" i="35"/>
  <c r="T288" i="35" l="1"/>
  <c r="U288" i="35"/>
  <c r="V288" i="35"/>
  <c r="W288" i="35"/>
  <c r="X288" i="35" l="1"/>
  <c r="Y288" i="35"/>
  <c r="Z288" i="35" s="1"/>
  <c r="AA288" i="35"/>
  <c r="E289" i="35"/>
  <c r="F289" i="35"/>
  <c r="G289" i="35"/>
  <c r="H289" i="35"/>
  <c r="I289" i="35"/>
  <c r="J289" i="35"/>
  <c r="K289" i="35"/>
  <c r="P289" i="35"/>
  <c r="Q289" i="35"/>
  <c r="R289" i="35"/>
  <c r="T289" i="35" l="1"/>
  <c r="U289" i="35"/>
  <c r="V289" i="35"/>
  <c r="W289" i="35"/>
  <c r="X289" i="35" l="1"/>
  <c r="Y289" i="35"/>
  <c r="Z289" i="35" s="1"/>
  <c r="AA289" i="35"/>
  <c r="E290" i="35"/>
  <c r="F290" i="35"/>
  <c r="G290" i="35"/>
  <c r="H290" i="35"/>
  <c r="I290" i="35"/>
  <c r="J290" i="35"/>
  <c r="K290" i="35"/>
  <c r="P290" i="35"/>
  <c r="Q290" i="35"/>
  <c r="R290" i="35"/>
  <c r="T290" i="35" l="1"/>
  <c r="U290" i="35"/>
  <c r="V290" i="35"/>
  <c r="W290" i="35"/>
  <c r="X290" i="35" l="1"/>
  <c r="Y290" i="35"/>
  <c r="Z290" i="35" s="1"/>
  <c r="AA290" i="35"/>
  <c r="E291" i="35"/>
  <c r="F291" i="35"/>
  <c r="G291" i="35"/>
  <c r="H291" i="35"/>
  <c r="I291" i="35"/>
  <c r="J291" i="35"/>
  <c r="K291" i="35"/>
  <c r="P291" i="35"/>
  <c r="Q291" i="35"/>
  <c r="R291" i="35"/>
  <c r="T291" i="35" l="1"/>
  <c r="U291" i="35"/>
  <c r="V291" i="35"/>
  <c r="W291" i="35"/>
  <c r="X291" i="35" l="1"/>
  <c r="Y291" i="35"/>
  <c r="Z291" i="35" s="1"/>
  <c r="AA291" i="35"/>
  <c r="E292" i="35"/>
  <c r="F292" i="35"/>
  <c r="G292" i="35"/>
  <c r="H292" i="35"/>
  <c r="I292" i="35"/>
  <c r="J292" i="35"/>
  <c r="K292" i="35"/>
  <c r="P292" i="35"/>
  <c r="Q292" i="35"/>
  <c r="R292" i="35"/>
  <c r="T292" i="35" l="1"/>
  <c r="U292" i="35"/>
  <c r="V292" i="35"/>
  <c r="W292" i="35"/>
  <c r="X292" i="35" l="1"/>
  <c r="Y292" i="35"/>
  <c r="Z292" i="35" s="1"/>
  <c r="AA292" i="35"/>
  <c r="E293" i="35"/>
  <c r="F293" i="35"/>
  <c r="G293" i="35"/>
  <c r="H293" i="35"/>
  <c r="I293" i="35"/>
  <c r="J293" i="35"/>
  <c r="K293" i="35"/>
  <c r="P293" i="35"/>
  <c r="Q293" i="35"/>
  <c r="R293" i="35"/>
  <c r="T293" i="35"/>
  <c r="U293" i="35"/>
  <c r="V293" i="35"/>
  <c r="W293" i="35"/>
  <c r="X293" i="35" l="1"/>
  <c r="Y293" i="35"/>
  <c r="Z293" i="35" s="1"/>
  <c r="AA293" i="35"/>
  <c r="E294" i="35"/>
  <c r="F294" i="35"/>
  <c r="G294" i="35"/>
  <c r="H294" i="35"/>
  <c r="I294" i="35"/>
  <c r="J294" i="35"/>
  <c r="K294" i="35"/>
  <c r="P294" i="35"/>
  <c r="Q294" i="35"/>
  <c r="R294" i="35"/>
  <c r="T294" i="35" l="1"/>
  <c r="U294" i="35"/>
  <c r="V294" i="35"/>
  <c r="W294" i="35"/>
  <c r="X294" i="35" l="1"/>
  <c r="Y294" i="35"/>
  <c r="Z294" i="35" s="1"/>
  <c r="AA294" i="35"/>
  <c r="E295" i="35"/>
  <c r="F295" i="35"/>
  <c r="G295" i="35"/>
  <c r="H295" i="35"/>
  <c r="I295" i="35"/>
  <c r="J295" i="35"/>
  <c r="K295" i="35"/>
  <c r="P295" i="35"/>
  <c r="Q295" i="35"/>
  <c r="R295" i="35"/>
  <c r="T295" i="35" l="1"/>
  <c r="U295" i="35"/>
  <c r="V295" i="35"/>
  <c r="W295" i="35"/>
  <c r="X295" i="35" l="1"/>
  <c r="Y295" i="35"/>
  <c r="Z295" i="35" s="1"/>
  <c r="AA295" i="35"/>
  <c r="E296" i="35"/>
  <c r="F296" i="35"/>
  <c r="G296" i="35"/>
  <c r="H296" i="35"/>
  <c r="I296" i="35"/>
  <c r="J296" i="35"/>
  <c r="K296" i="35"/>
  <c r="P296" i="35"/>
  <c r="Q296" i="35"/>
  <c r="R296" i="35"/>
  <c r="T296" i="35" l="1"/>
  <c r="U296" i="35"/>
  <c r="V296" i="35"/>
  <c r="W296" i="35"/>
  <c r="X296" i="35" l="1"/>
  <c r="Y296" i="35"/>
  <c r="Z296" i="35" s="1"/>
  <c r="AA296" i="35"/>
  <c r="E297" i="35"/>
  <c r="F297" i="35"/>
  <c r="G297" i="35"/>
  <c r="H297" i="35"/>
  <c r="I297" i="35"/>
  <c r="J297" i="35"/>
  <c r="K297" i="35"/>
  <c r="P297" i="35"/>
  <c r="Q297" i="35"/>
  <c r="R297" i="35"/>
  <c r="T297" i="35" l="1"/>
  <c r="U297" i="35"/>
  <c r="V297" i="35"/>
  <c r="W297" i="35"/>
  <c r="X297" i="35" l="1"/>
  <c r="Y297" i="35"/>
  <c r="Z297" i="35" s="1"/>
  <c r="AA297" i="35"/>
  <c r="E298" i="35"/>
  <c r="F298" i="35"/>
  <c r="G298" i="35"/>
  <c r="H298" i="35"/>
  <c r="I298" i="35"/>
  <c r="J298" i="35"/>
  <c r="K298" i="35"/>
  <c r="P298" i="35"/>
  <c r="Q298" i="35"/>
  <c r="R298" i="35"/>
  <c r="T298" i="35" l="1"/>
  <c r="U298" i="35"/>
  <c r="V298" i="35"/>
  <c r="W298" i="35"/>
  <c r="X298" i="35" l="1"/>
  <c r="Y298" i="35"/>
  <c r="Z298" i="35" s="1"/>
  <c r="AA298" i="35"/>
  <c r="E299" i="35"/>
  <c r="F299" i="35"/>
  <c r="G299" i="35"/>
  <c r="H299" i="35"/>
  <c r="I299" i="35"/>
  <c r="J299" i="35"/>
  <c r="K299" i="35"/>
  <c r="P299" i="35"/>
  <c r="Q299" i="35"/>
  <c r="R299" i="35"/>
  <c r="T299" i="35" l="1"/>
  <c r="U299" i="35"/>
  <c r="V299" i="35"/>
  <c r="W299" i="35"/>
  <c r="X299" i="35" l="1"/>
  <c r="Y299" i="35"/>
  <c r="Z299" i="35" s="1"/>
  <c r="AA299" i="35"/>
  <c r="E300" i="35"/>
  <c r="F300" i="35"/>
  <c r="G300" i="35"/>
  <c r="H300" i="35"/>
  <c r="I300" i="35"/>
  <c r="J300" i="35"/>
  <c r="K300" i="35"/>
  <c r="P300" i="35"/>
  <c r="Q300" i="35"/>
  <c r="R300" i="35"/>
  <c r="T300" i="35" l="1"/>
  <c r="U300" i="35"/>
  <c r="V300" i="35"/>
  <c r="W300" i="35"/>
  <c r="X300" i="35" l="1"/>
  <c r="Y300" i="35"/>
  <c r="Z300" i="35" s="1"/>
  <c r="AA300" i="35"/>
  <c r="E301" i="35"/>
  <c r="F301" i="35"/>
  <c r="G301" i="35"/>
  <c r="H301" i="35"/>
  <c r="I301" i="35"/>
  <c r="J301" i="35"/>
  <c r="K301" i="35"/>
  <c r="P301" i="35"/>
  <c r="Q301" i="35"/>
  <c r="R301" i="35"/>
  <c r="T301" i="35" l="1"/>
  <c r="U301" i="35"/>
  <c r="V301" i="35"/>
  <c r="W301" i="35"/>
  <c r="X301" i="35" l="1"/>
  <c r="Y301" i="35"/>
  <c r="Z301" i="35" s="1"/>
  <c r="AA301" i="35"/>
  <c r="E302" i="35"/>
  <c r="F302" i="35"/>
  <c r="G302" i="35"/>
  <c r="H302" i="35"/>
  <c r="I302" i="35"/>
  <c r="J302" i="35"/>
  <c r="K302" i="35"/>
  <c r="P302" i="35"/>
  <c r="Q302" i="35"/>
  <c r="R302" i="35"/>
  <c r="T302" i="35" l="1"/>
  <c r="U302" i="35"/>
  <c r="V302" i="35"/>
  <c r="W302" i="35"/>
  <c r="X302" i="35" l="1"/>
  <c r="Y302" i="35"/>
  <c r="Z302" i="35" s="1"/>
  <c r="AA302" i="35"/>
  <c r="E303" i="35"/>
  <c r="F303" i="35"/>
  <c r="G303" i="35"/>
  <c r="H303" i="35"/>
  <c r="I303" i="35"/>
  <c r="J303" i="35"/>
  <c r="K303" i="35"/>
  <c r="P303" i="35"/>
  <c r="Q303" i="35"/>
  <c r="R303" i="35"/>
  <c r="T303" i="35" l="1"/>
  <c r="U303" i="35"/>
  <c r="V303" i="35"/>
  <c r="W303" i="35"/>
  <c r="X303" i="35" l="1"/>
  <c r="Y303" i="35"/>
  <c r="Z303" i="35" s="1"/>
  <c r="AA303" i="35"/>
  <c r="E304" i="35"/>
  <c r="F304" i="35"/>
  <c r="G304" i="35"/>
  <c r="H304" i="35"/>
  <c r="I304" i="35"/>
  <c r="J304" i="35"/>
  <c r="K304" i="35"/>
  <c r="P304" i="35"/>
  <c r="Q304" i="35"/>
  <c r="R304" i="35"/>
  <c r="T304" i="35" l="1"/>
  <c r="U304" i="35"/>
  <c r="V304" i="35"/>
  <c r="W304" i="35"/>
  <c r="X304" i="35" l="1"/>
  <c r="Y304" i="35"/>
  <c r="Z304" i="35" s="1"/>
  <c r="AA304" i="35"/>
  <c r="E305" i="35"/>
  <c r="F305" i="35"/>
  <c r="G305" i="35"/>
  <c r="H305" i="35"/>
  <c r="I305" i="35"/>
  <c r="J305" i="35"/>
  <c r="K305" i="35"/>
  <c r="P305" i="35"/>
  <c r="Q305" i="35"/>
  <c r="R305" i="35"/>
  <c r="T305" i="35" l="1"/>
  <c r="U305" i="35"/>
  <c r="V305" i="35"/>
  <c r="W305" i="35"/>
  <c r="X305" i="35" l="1"/>
  <c r="Y305" i="35"/>
  <c r="Z305" i="35" s="1"/>
  <c r="AA305" i="35"/>
  <c r="E306" i="35"/>
  <c r="F306" i="35"/>
  <c r="G306" i="35"/>
  <c r="H306" i="35"/>
  <c r="I306" i="35"/>
  <c r="J306" i="35"/>
  <c r="K306" i="35"/>
  <c r="P306" i="35"/>
  <c r="Q306" i="35"/>
  <c r="R306" i="35"/>
  <c r="T306" i="35" l="1"/>
  <c r="U306" i="35"/>
  <c r="V306" i="35"/>
  <c r="W306" i="35"/>
  <c r="X306" i="35" l="1"/>
  <c r="Y306" i="35"/>
  <c r="Z306" i="35" s="1"/>
  <c r="AA306" i="35"/>
  <c r="E307" i="35"/>
  <c r="F307" i="35"/>
  <c r="G307" i="35"/>
  <c r="H307" i="35"/>
  <c r="I307" i="35"/>
  <c r="J307" i="35"/>
  <c r="K307" i="35"/>
  <c r="P307" i="35"/>
  <c r="Q307" i="35"/>
  <c r="R307" i="35"/>
  <c r="T307" i="35" l="1"/>
  <c r="U307" i="35"/>
  <c r="V307" i="35"/>
  <c r="W307" i="35"/>
  <c r="X307" i="35" l="1"/>
  <c r="Y307" i="35"/>
  <c r="Z307" i="35" s="1"/>
  <c r="AA307" i="35"/>
  <c r="E308" i="35"/>
  <c r="F308" i="35"/>
  <c r="G308" i="35"/>
  <c r="H308" i="35"/>
  <c r="I308" i="35"/>
  <c r="J308" i="35"/>
  <c r="K308" i="35"/>
  <c r="P308" i="35"/>
  <c r="Q308" i="35"/>
  <c r="R308" i="35"/>
  <c r="T308" i="35" l="1"/>
  <c r="U308" i="35"/>
  <c r="V308" i="35"/>
  <c r="W308" i="35"/>
  <c r="X308" i="35" l="1"/>
  <c r="Y308" i="35"/>
  <c r="Z308" i="35" s="1"/>
  <c r="AA308" i="35"/>
  <c r="E309" i="35"/>
  <c r="F309" i="35"/>
  <c r="G309" i="35"/>
  <c r="H309" i="35"/>
  <c r="I309" i="35"/>
  <c r="J309" i="35"/>
  <c r="K309" i="35"/>
  <c r="P309" i="35"/>
  <c r="Q309" i="35"/>
  <c r="R309" i="35"/>
  <c r="T309" i="35" l="1"/>
  <c r="U309" i="35"/>
  <c r="V309" i="35"/>
  <c r="W309" i="35"/>
  <c r="X309" i="35" l="1"/>
  <c r="Y309" i="35"/>
  <c r="Z309" i="35" s="1"/>
  <c r="AA309" i="35"/>
  <c r="E310" i="35"/>
  <c r="F310" i="35"/>
  <c r="G310" i="35"/>
  <c r="H310" i="35"/>
  <c r="I310" i="35"/>
  <c r="J310" i="35"/>
  <c r="K310" i="35"/>
  <c r="P310" i="35"/>
  <c r="Q310" i="35"/>
  <c r="R310" i="35"/>
  <c r="T310" i="35" l="1"/>
  <c r="U310" i="35"/>
  <c r="V310" i="35"/>
  <c r="W310" i="35"/>
  <c r="X310" i="35" l="1"/>
  <c r="Y310" i="35"/>
  <c r="Z310" i="35" s="1"/>
  <c r="AA310" i="35"/>
  <c r="E311" i="35"/>
  <c r="F311" i="35"/>
  <c r="G311" i="35"/>
  <c r="H311" i="35"/>
  <c r="I311" i="35"/>
  <c r="J311" i="35"/>
  <c r="K311" i="35"/>
  <c r="P311" i="35"/>
  <c r="Q311" i="35"/>
  <c r="R311" i="35"/>
  <c r="T311" i="35" l="1"/>
  <c r="U311" i="35"/>
  <c r="V311" i="35"/>
  <c r="W311" i="35"/>
  <c r="X311" i="35" l="1"/>
  <c r="Y311" i="35"/>
  <c r="Z311" i="35" s="1"/>
  <c r="AA311" i="35"/>
  <c r="E312" i="35"/>
  <c r="F312" i="35"/>
  <c r="G312" i="35"/>
  <c r="H312" i="35"/>
  <c r="I312" i="35"/>
  <c r="J312" i="35"/>
  <c r="K312" i="35"/>
  <c r="P312" i="35"/>
  <c r="Q312" i="35"/>
  <c r="R312" i="35"/>
  <c r="T312" i="35" l="1"/>
  <c r="U312" i="35"/>
  <c r="V312" i="35"/>
  <c r="W312" i="35"/>
  <c r="X312" i="35" l="1"/>
  <c r="Y312" i="35"/>
  <c r="Z312" i="35" s="1"/>
  <c r="AA312" i="35"/>
  <c r="E313" i="35"/>
  <c r="F313" i="35"/>
  <c r="G313" i="35"/>
  <c r="H313" i="35"/>
  <c r="I313" i="35"/>
  <c r="J313" i="35"/>
  <c r="K313" i="35"/>
  <c r="P313" i="35"/>
  <c r="Q313" i="35"/>
  <c r="R313" i="35"/>
  <c r="T313" i="35" l="1"/>
  <c r="U313" i="35"/>
  <c r="V313" i="35"/>
  <c r="W313" i="35"/>
  <c r="X313" i="35" l="1"/>
  <c r="Y313" i="35"/>
  <c r="Z313" i="35" s="1"/>
  <c r="AA313" i="35"/>
  <c r="E314" i="35"/>
  <c r="F314" i="35"/>
  <c r="G314" i="35"/>
  <c r="H314" i="35"/>
  <c r="I314" i="35"/>
  <c r="J314" i="35"/>
  <c r="K314" i="35"/>
  <c r="P314" i="35"/>
  <c r="Q314" i="35"/>
  <c r="R314" i="35"/>
  <c r="T314" i="35" l="1"/>
  <c r="U314" i="35"/>
  <c r="V314" i="35"/>
  <c r="W314" i="35"/>
  <c r="X314" i="35" l="1"/>
  <c r="Y314" i="35"/>
  <c r="Z314" i="35" s="1"/>
  <c r="AA314" i="35"/>
  <c r="E315" i="35"/>
  <c r="F315" i="35"/>
  <c r="G315" i="35"/>
  <c r="H315" i="35"/>
  <c r="I315" i="35"/>
  <c r="J315" i="35"/>
  <c r="K315" i="35"/>
  <c r="P315" i="35"/>
  <c r="Q315" i="35"/>
  <c r="R315" i="35"/>
  <c r="T315" i="35" l="1"/>
  <c r="U315" i="35"/>
  <c r="V315" i="35"/>
  <c r="W315" i="35"/>
  <c r="X315" i="35" l="1"/>
  <c r="Y315" i="35"/>
  <c r="Z315" i="35" s="1"/>
  <c r="AA315" i="35"/>
  <c r="E316" i="35"/>
  <c r="F316" i="35"/>
  <c r="G316" i="35"/>
  <c r="H316" i="35"/>
  <c r="I316" i="35"/>
  <c r="J316" i="35"/>
  <c r="K316" i="35"/>
  <c r="P316" i="35"/>
  <c r="Q316" i="35"/>
  <c r="R316" i="35"/>
  <c r="T316" i="35" l="1"/>
  <c r="U316" i="35"/>
  <c r="V316" i="35"/>
  <c r="W316" i="35"/>
  <c r="X316" i="35" l="1"/>
  <c r="Y316" i="35"/>
  <c r="Z316" i="35" s="1"/>
  <c r="AA316" i="35"/>
  <c r="E317" i="35"/>
  <c r="F317" i="35"/>
  <c r="G317" i="35"/>
  <c r="H317" i="35"/>
  <c r="I317" i="35"/>
  <c r="J317" i="35"/>
  <c r="K317" i="35"/>
  <c r="P317" i="35"/>
  <c r="Q317" i="35"/>
  <c r="R317" i="35"/>
  <c r="T317" i="35" l="1"/>
  <c r="U317" i="35"/>
  <c r="V317" i="35"/>
  <c r="W317" i="35"/>
  <c r="X317" i="35" l="1"/>
  <c r="Y317" i="35"/>
  <c r="Z317" i="35" s="1"/>
  <c r="AA317" i="35"/>
  <c r="E318" i="35"/>
  <c r="F318" i="35"/>
  <c r="G318" i="35"/>
  <c r="H318" i="35"/>
  <c r="I318" i="35"/>
  <c r="J318" i="35"/>
  <c r="K318" i="35"/>
  <c r="P318" i="35"/>
  <c r="Q318" i="35"/>
  <c r="R318" i="35"/>
  <c r="T318" i="35" l="1"/>
  <c r="U318" i="35"/>
  <c r="V318" i="35"/>
  <c r="W318" i="35"/>
  <c r="X318" i="35" l="1"/>
  <c r="Y318" i="35"/>
  <c r="Z318" i="35" s="1"/>
  <c r="AA318" i="35"/>
  <c r="E319" i="35"/>
  <c r="F319" i="35"/>
  <c r="G319" i="35"/>
  <c r="H319" i="35"/>
  <c r="I319" i="35"/>
  <c r="J319" i="35"/>
  <c r="K319" i="35"/>
  <c r="P319" i="35"/>
  <c r="Q319" i="35"/>
  <c r="R319" i="35"/>
  <c r="T319" i="35" l="1"/>
  <c r="U319" i="35"/>
  <c r="V319" i="35"/>
  <c r="W319" i="35"/>
  <c r="X319" i="35" l="1"/>
  <c r="Y319" i="35"/>
  <c r="Z319" i="35" s="1"/>
  <c r="AA319" i="35"/>
  <c r="E320" i="35"/>
  <c r="F320" i="35"/>
  <c r="G320" i="35"/>
  <c r="H320" i="35"/>
  <c r="I320" i="35"/>
  <c r="J320" i="35"/>
  <c r="K320" i="35"/>
  <c r="P320" i="35"/>
  <c r="Q320" i="35"/>
  <c r="R320" i="35"/>
  <c r="T320" i="35" l="1"/>
  <c r="U320" i="35"/>
  <c r="V320" i="35"/>
  <c r="W320" i="35"/>
  <c r="X320" i="35" l="1"/>
  <c r="Y320" i="35"/>
  <c r="Z320" i="35" s="1"/>
  <c r="AA320" i="35"/>
  <c r="E321" i="35"/>
  <c r="F321" i="35"/>
  <c r="G321" i="35"/>
  <c r="H321" i="35"/>
  <c r="I321" i="35"/>
  <c r="J321" i="35"/>
  <c r="K321" i="35"/>
  <c r="P321" i="35"/>
  <c r="Q321" i="35"/>
  <c r="R321" i="35"/>
  <c r="T321" i="35" l="1"/>
  <c r="U321" i="35"/>
  <c r="V321" i="35"/>
  <c r="W321" i="35"/>
  <c r="X321" i="35" l="1"/>
  <c r="Y321" i="35"/>
  <c r="Z321" i="35" s="1"/>
  <c r="AA321" i="35"/>
  <c r="E322" i="35"/>
  <c r="F322" i="35"/>
  <c r="G322" i="35"/>
  <c r="H322" i="35"/>
  <c r="I322" i="35"/>
  <c r="J322" i="35"/>
  <c r="K322" i="35"/>
  <c r="P322" i="35"/>
  <c r="Q322" i="35"/>
  <c r="R322" i="35"/>
  <c r="T322" i="35" l="1"/>
  <c r="U322" i="35"/>
  <c r="V322" i="35"/>
  <c r="W322" i="35"/>
  <c r="X322" i="35" l="1"/>
  <c r="Y322" i="35"/>
  <c r="Z322" i="35" s="1"/>
  <c r="AA322" i="35"/>
  <c r="E323" i="35"/>
  <c r="F323" i="35"/>
  <c r="G323" i="35"/>
  <c r="H323" i="35"/>
  <c r="I323" i="35"/>
  <c r="J323" i="35"/>
  <c r="K323" i="35"/>
  <c r="P323" i="35"/>
  <c r="Q323" i="35"/>
  <c r="R323" i="35"/>
  <c r="T323" i="35" l="1"/>
  <c r="U323" i="35"/>
  <c r="V323" i="35"/>
  <c r="W323" i="35"/>
  <c r="X323" i="35" l="1"/>
  <c r="Y323" i="35"/>
  <c r="Z323" i="35" s="1"/>
  <c r="AA323" i="35"/>
  <c r="E324" i="35"/>
  <c r="F324" i="35"/>
  <c r="G324" i="35"/>
  <c r="H324" i="35"/>
  <c r="I324" i="35"/>
  <c r="J324" i="35"/>
  <c r="K324" i="35"/>
  <c r="P324" i="35"/>
  <c r="Q324" i="35"/>
  <c r="R324" i="35"/>
  <c r="T324" i="35" l="1"/>
  <c r="U324" i="35"/>
  <c r="V324" i="35"/>
  <c r="W324" i="35"/>
  <c r="X324" i="35" l="1"/>
  <c r="Y324" i="35"/>
  <c r="Z324" i="35" s="1"/>
  <c r="AA324" i="35"/>
  <c r="E325" i="35"/>
  <c r="F325" i="35"/>
  <c r="G325" i="35"/>
  <c r="H325" i="35"/>
  <c r="I325" i="35"/>
  <c r="J325" i="35"/>
  <c r="K325" i="35"/>
  <c r="P325" i="35"/>
  <c r="Q325" i="35"/>
  <c r="R325" i="35"/>
  <c r="T325" i="35" l="1"/>
  <c r="U325" i="35"/>
  <c r="V325" i="35"/>
  <c r="W325" i="35"/>
  <c r="X325" i="35" l="1"/>
  <c r="Y325" i="35"/>
  <c r="Z325" i="35" s="1"/>
  <c r="AA325" i="35"/>
  <c r="E326" i="35"/>
  <c r="F326" i="35"/>
  <c r="G326" i="35"/>
  <c r="H326" i="35"/>
  <c r="I326" i="35"/>
  <c r="J326" i="35"/>
  <c r="K326" i="35"/>
  <c r="P326" i="35"/>
  <c r="Q326" i="35"/>
  <c r="R326" i="35"/>
  <c r="T326" i="35" l="1"/>
  <c r="U326" i="35"/>
  <c r="V326" i="35"/>
  <c r="W326" i="35"/>
  <c r="X326" i="35" l="1"/>
  <c r="Y326" i="35"/>
  <c r="Z326" i="35" s="1"/>
  <c r="AA326" i="35"/>
  <c r="E327" i="35"/>
  <c r="F327" i="35"/>
  <c r="G327" i="35"/>
  <c r="H327" i="35"/>
  <c r="I327" i="35"/>
  <c r="J327" i="35"/>
  <c r="K327" i="35"/>
  <c r="P327" i="35"/>
  <c r="Q327" i="35"/>
  <c r="R327" i="35"/>
  <c r="T327" i="35" l="1"/>
  <c r="U327" i="35"/>
  <c r="V327" i="35"/>
  <c r="W327" i="35"/>
  <c r="X327" i="35" l="1"/>
  <c r="Y327" i="35"/>
  <c r="Z327" i="35" s="1"/>
  <c r="AA327" i="35"/>
  <c r="E328" i="35"/>
  <c r="F328" i="35"/>
  <c r="G328" i="35"/>
  <c r="H328" i="35"/>
  <c r="I328" i="35"/>
  <c r="J328" i="35"/>
  <c r="K328" i="35"/>
  <c r="P328" i="35"/>
  <c r="Q328" i="35"/>
  <c r="R328" i="35"/>
  <c r="T328" i="35" l="1"/>
  <c r="U328" i="35"/>
  <c r="V328" i="35"/>
  <c r="W328" i="35"/>
  <c r="X328" i="35" l="1"/>
  <c r="Y328" i="35"/>
  <c r="Z328" i="35" s="1"/>
  <c r="AA328" i="35"/>
  <c r="E329" i="35"/>
  <c r="F329" i="35"/>
  <c r="G329" i="35"/>
  <c r="H329" i="35"/>
  <c r="I329" i="35"/>
  <c r="J329" i="35"/>
  <c r="K329" i="35"/>
  <c r="P329" i="35"/>
  <c r="Q329" i="35"/>
  <c r="R329" i="35"/>
  <c r="T329" i="35" l="1"/>
  <c r="U329" i="35"/>
  <c r="V329" i="35"/>
  <c r="W329" i="35"/>
  <c r="X329" i="35" l="1"/>
  <c r="Y329" i="35"/>
  <c r="Z329" i="35" s="1"/>
  <c r="AA329" i="35"/>
  <c r="E330" i="35"/>
  <c r="F330" i="35"/>
  <c r="G330" i="35"/>
  <c r="H330" i="35"/>
  <c r="I330" i="35"/>
  <c r="J330" i="35"/>
  <c r="K330" i="35"/>
  <c r="P330" i="35"/>
  <c r="Q330" i="35"/>
  <c r="R330" i="35"/>
  <c r="T330" i="35" l="1"/>
  <c r="U330" i="35"/>
  <c r="V330" i="35"/>
  <c r="W330" i="35"/>
  <c r="X330" i="35" l="1"/>
  <c r="Y330" i="35"/>
  <c r="Z330" i="35" s="1"/>
  <c r="AA330" i="35"/>
  <c r="E331" i="35"/>
  <c r="F331" i="35"/>
  <c r="G331" i="35"/>
  <c r="H331" i="35"/>
  <c r="I331" i="35"/>
  <c r="J331" i="35"/>
  <c r="K331" i="35"/>
  <c r="P331" i="35"/>
  <c r="Q331" i="35"/>
  <c r="R331" i="35"/>
  <c r="T331" i="35" l="1"/>
  <c r="U331" i="35"/>
  <c r="V331" i="35"/>
  <c r="W331" i="35"/>
  <c r="X331" i="35" l="1"/>
  <c r="Y331" i="35"/>
  <c r="Z331" i="35" s="1"/>
  <c r="AA331" i="35"/>
  <c r="E332" i="35"/>
  <c r="F332" i="35"/>
  <c r="G332" i="35"/>
  <c r="H332" i="35"/>
  <c r="I332" i="35"/>
  <c r="J332" i="35"/>
  <c r="K332" i="35"/>
  <c r="P332" i="35"/>
  <c r="Q332" i="35"/>
  <c r="R332" i="35"/>
  <c r="T332" i="35" l="1"/>
  <c r="U332" i="35"/>
  <c r="V332" i="35"/>
  <c r="W332" i="35"/>
  <c r="X332" i="35" l="1"/>
  <c r="Y332" i="35"/>
  <c r="Z332" i="35" s="1"/>
  <c r="AA332" i="35"/>
  <c r="E333" i="35"/>
  <c r="F333" i="35"/>
  <c r="G333" i="35"/>
  <c r="H333" i="35"/>
  <c r="I333" i="35"/>
  <c r="J333" i="35"/>
  <c r="K333" i="35"/>
  <c r="P333" i="35"/>
  <c r="Q333" i="35"/>
  <c r="R333" i="35"/>
  <c r="T333" i="35" l="1"/>
  <c r="U333" i="35"/>
  <c r="V333" i="35"/>
  <c r="W333" i="35"/>
  <c r="X333" i="35" l="1"/>
  <c r="Y333" i="35"/>
  <c r="Z333" i="35" s="1"/>
  <c r="AA333" i="35"/>
  <c r="E334" i="35"/>
  <c r="F334" i="35"/>
  <c r="G334" i="35"/>
  <c r="H334" i="35"/>
  <c r="I334" i="35"/>
  <c r="J334" i="35"/>
  <c r="K334" i="35"/>
  <c r="P334" i="35"/>
  <c r="Q334" i="35"/>
  <c r="R334" i="35"/>
  <c r="T334" i="35" l="1"/>
  <c r="U334" i="35"/>
  <c r="V334" i="35"/>
  <c r="W334" i="35"/>
  <c r="X334" i="35" l="1"/>
  <c r="Y334" i="35"/>
  <c r="Z334" i="35" s="1"/>
  <c r="AA334" i="35"/>
  <c r="E335" i="35"/>
  <c r="F335" i="35"/>
  <c r="G335" i="35"/>
  <c r="H335" i="35"/>
  <c r="I335" i="35"/>
  <c r="J335" i="35"/>
  <c r="K335" i="35"/>
  <c r="P335" i="35"/>
  <c r="Q335" i="35"/>
  <c r="R335" i="35"/>
  <c r="T335" i="35" l="1"/>
  <c r="U335" i="35"/>
  <c r="V335" i="35"/>
  <c r="W335" i="35"/>
  <c r="X335" i="35" l="1"/>
  <c r="Y335" i="35"/>
  <c r="Z335" i="35" s="1"/>
  <c r="AA335" i="35"/>
  <c r="E336" i="35"/>
  <c r="F336" i="35"/>
  <c r="G336" i="35"/>
  <c r="H336" i="35"/>
  <c r="I336" i="35"/>
  <c r="J336" i="35"/>
  <c r="K336" i="35"/>
  <c r="P336" i="35"/>
  <c r="Q336" i="35"/>
  <c r="R336" i="35"/>
  <c r="T336" i="35" l="1"/>
  <c r="U336" i="35"/>
  <c r="V336" i="35"/>
  <c r="W336" i="35"/>
  <c r="X336" i="35" l="1"/>
  <c r="Y336" i="35"/>
  <c r="Z336" i="35" s="1"/>
  <c r="AA336" i="35"/>
  <c r="E337" i="35"/>
  <c r="F337" i="35"/>
  <c r="G337" i="35"/>
  <c r="H337" i="35"/>
  <c r="I337" i="35"/>
  <c r="J337" i="35"/>
  <c r="K337" i="35"/>
  <c r="P337" i="35"/>
  <c r="Q337" i="35"/>
  <c r="R337" i="35"/>
  <c r="T337" i="35" l="1"/>
  <c r="U337" i="35"/>
  <c r="V337" i="35"/>
  <c r="W337" i="35"/>
  <c r="X337" i="35" l="1"/>
  <c r="Y337" i="35"/>
  <c r="Z337" i="35" s="1"/>
  <c r="AA337" i="35"/>
  <c r="E338" i="35"/>
  <c r="F338" i="35"/>
  <c r="G338" i="35"/>
  <c r="H338" i="35"/>
  <c r="I338" i="35"/>
  <c r="J338" i="35"/>
  <c r="K338" i="35"/>
  <c r="P338" i="35"/>
  <c r="Q338" i="35"/>
  <c r="R338" i="35"/>
  <c r="T338" i="35" l="1"/>
  <c r="U338" i="35"/>
  <c r="V338" i="35"/>
  <c r="W338" i="35"/>
  <c r="X338" i="35" l="1"/>
  <c r="Y338" i="35"/>
  <c r="Z338" i="35" s="1"/>
  <c r="AA338" i="35"/>
  <c r="E339" i="35"/>
  <c r="F339" i="35"/>
  <c r="G339" i="35"/>
  <c r="H339" i="35"/>
  <c r="I339" i="35"/>
  <c r="J339" i="35"/>
  <c r="K339" i="35"/>
  <c r="P339" i="35"/>
  <c r="Q339" i="35"/>
  <c r="R339" i="35"/>
  <c r="T339" i="35" l="1"/>
  <c r="U339" i="35"/>
  <c r="V339" i="35"/>
  <c r="W339" i="35"/>
  <c r="X339" i="35" l="1"/>
  <c r="Y339" i="35"/>
  <c r="Z339" i="35" s="1"/>
  <c r="AA339" i="35"/>
  <c r="E340" i="35"/>
  <c r="F340" i="35"/>
  <c r="G340" i="35"/>
  <c r="H340" i="35"/>
  <c r="I340" i="35"/>
  <c r="J340" i="35"/>
  <c r="K340" i="35"/>
  <c r="P340" i="35"/>
  <c r="Q340" i="35"/>
  <c r="R340" i="35"/>
  <c r="T340" i="35" l="1"/>
  <c r="U340" i="35"/>
  <c r="V340" i="35"/>
  <c r="W340" i="35"/>
  <c r="X340" i="35" l="1"/>
  <c r="Y340" i="35"/>
  <c r="Z340" i="35" s="1"/>
  <c r="AA340" i="35"/>
  <c r="E341" i="35"/>
  <c r="F341" i="35"/>
  <c r="G341" i="35"/>
  <c r="H341" i="35"/>
  <c r="I341" i="35"/>
  <c r="J341" i="35"/>
  <c r="K341" i="35"/>
  <c r="P341" i="35"/>
  <c r="Q341" i="35"/>
  <c r="R341" i="35"/>
  <c r="T341" i="35" l="1"/>
  <c r="U341" i="35"/>
  <c r="V341" i="35"/>
  <c r="W341" i="35"/>
  <c r="X341" i="35" l="1"/>
  <c r="Y341" i="35"/>
  <c r="Z341" i="35" s="1"/>
  <c r="AA341" i="35"/>
  <c r="E342" i="35"/>
  <c r="F342" i="35"/>
  <c r="G342" i="35"/>
  <c r="H342" i="35"/>
  <c r="I342" i="35"/>
  <c r="J342" i="35"/>
  <c r="K342" i="35"/>
  <c r="P342" i="35"/>
  <c r="Q342" i="35"/>
  <c r="R342" i="35"/>
  <c r="T342" i="35" l="1"/>
  <c r="U342" i="35"/>
  <c r="V342" i="35"/>
  <c r="W342" i="35"/>
  <c r="X342" i="35" l="1"/>
  <c r="Y342" i="35"/>
  <c r="Z342" i="35" s="1"/>
  <c r="AA342" i="35"/>
  <c r="E343" i="35"/>
  <c r="F343" i="35"/>
  <c r="G343" i="35"/>
  <c r="H343" i="35"/>
  <c r="I343" i="35"/>
  <c r="J343" i="35"/>
  <c r="K343" i="35"/>
  <c r="P343" i="35"/>
  <c r="Q343" i="35"/>
  <c r="R343" i="35"/>
  <c r="T343" i="35" l="1"/>
  <c r="U343" i="35"/>
  <c r="V343" i="35"/>
  <c r="W343" i="35"/>
  <c r="X343" i="35" l="1"/>
  <c r="Y343" i="35"/>
  <c r="Z343" i="35" s="1"/>
  <c r="AA343" i="35"/>
  <c r="E344" i="35"/>
  <c r="F344" i="35"/>
  <c r="G344" i="35"/>
  <c r="H344" i="35"/>
  <c r="I344" i="35"/>
  <c r="J344" i="35"/>
  <c r="K344" i="35"/>
  <c r="P344" i="35"/>
  <c r="Q344" i="35"/>
  <c r="R344" i="35"/>
  <c r="T344" i="35" l="1"/>
  <c r="U344" i="35"/>
  <c r="V344" i="35"/>
  <c r="W344" i="35"/>
  <c r="X344" i="35" l="1"/>
  <c r="Y344" i="35"/>
  <c r="Z344" i="35" s="1"/>
  <c r="AA344" i="35"/>
  <c r="E345" i="35"/>
  <c r="F345" i="35"/>
  <c r="G345" i="35"/>
  <c r="H345" i="35"/>
  <c r="I345" i="35"/>
  <c r="J345" i="35"/>
  <c r="K345" i="35"/>
  <c r="P345" i="35"/>
  <c r="Q345" i="35"/>
  <c r="R345" i="35"/>
  <c r="T345" i="35" l="1"/>
  <c r="U345" i="35"/>
  <c r="V345" i="35"/>
  <c r="W345" i="35"/>
  <c r="X345" i="35" l="1"/>
  <c r="Y345" i="35"/>
  <c r="Z345" i="35" s="1"/>
  <c r="AA345" i="35"/>
  <c r="E346" i="35"/>
  <c r="F346" i="35"/>
  <c r="G346" i="35"/>
  <c r="H346" i="35"/>
  <c r="I346" i="35"/>
  <c r="J346" i="35"/>
  <c r="K346" i="35"/>
  <c r="P346" i="35"/>
  <c r="Q346" i="35"/>
  <c r="R346" i="35"/>
  <c r="T346" i="35" l="1"/>
  <c r="U346" i="35"/>
  <c r="V346" i="35"/>
  <c r="W346" i="35"/>
  <c r="X346" i="35" l="1"/>
  <c r="Y346" i="35"/>
  <c r="Z346" i="35" s="1"/>
  <c r="AA346" i="35"/>
  <c r="E347" i="35"/>
  <c r="F347" i="35"/>
  <c r="G347" i="35"/>
  <c r="H347" i="35"/>
  <c r="I347" i="35"/>
  <c r="J347" i="35"/>
  <c r="K347" i="35"/>
  <c r="P347" i="35"/>
  <c r="Q347" i="35"/>
  <c r="R347" i="35"/>
  <c r="T347" i="35" l="1"/>
  <c r="U347" i="35"/>
  <c r="V347" i="35"/>
  <c r="W347" i="35"/>
  <c r="X347" i="35" l="1"/>
  <c r="Y347" i="35"/>
  <c r="Z347" i="35" s="1"/>
  <c r="AA347" i="35"/>
  <c r="E348" i="35"/>
  <c r="F348" i="35"/>
  <c r="G348" i="35"/>
  <c r="H348" i="35"/>
  <c r="I348" i="35"/>
  <c r="J348" i="35"/>
  <c r="K348" i="35"/>
  <c r="P348" i="35"/>
  <c r="Q348" i="35"/>
  <c r="R348" i="35"/>
  <c r="T348" i="35" l="1"/>
  <c r="U348" i="35"/>
  <c r="V348" i="35"/>
  <c r="W348" i="35"/>
  <c r="X348" i="35" l="1"/>
  <c r="Y348" i="35"/>
  <c r="Z348" i="35" s="1"/>
  <c r="AA348" i="35"/>
  <c r="E349" i="35"/>
  <c r="F349" i="35"/>
  <c r="G349" i="35"/>
  <c r="H349" i="35"/>
  <c r="I349" i="35"/>
  <c r="J349" i="35"/>
  <c r="K349" i="35"/>
  <c r="P349" i="35"/>
  <c r="Q349" i="35"/>
  <c r="R349" i="35"/>
  <c r="T349" i="35" l="1"/>
  <c r="U349" i="35"/>
  <c r="V349" i="35"/>
  <c r="W349" i="35"/>
  <c r="X349" i="35" l="1"/>
  <c r="Y349" i="35"/>
  <c r="Z349" i="35" s="1"/>
  <c r="AA349" i="35"/>
  <c r="E350" i="35"/>
  <c r="F350" i="35"/>
  <c r="G350" i="35"/>
  <c r="H350" i="35"/>
  <c r="I350" i="35"/>
  <c r="J350" i="35"/>
  <c r="K350" i="35"/>
  <c r="P350" i="35"/>
  <c r="Q350" i="35"/>
  <c r="R350" i="35"/>
  <c r="T350" i="35" l="1"/>
  <c r="U350" i="35"/>
  <c r="V350" i="35"/>
  <c r="W350" i="35"/>
  <c r="X350" i="35" l="1"/>
  <c r="Y350" i="35"/>
  <c r="Z350" i="35" s="1"/>
  <c r="AA350" i="35"/>
  <c r="E351" i="35"/>
  <c r="F351" i="35"/>
  <c r="G351" i="35"/>
  <c r="H351" i="35"/>
  <c r="I351" i="35"/>
  <c r="J351" i="35"/>
  <c r="K351" i="35"/>
  <c r="P351" i="35"/>
  <c r="Q351" i="35"/>
  <c r="R351" i="35"/>
  <c r="T351" i="35" l="1"/>
  <c r="U351" i="35"/>
  <c r="V351" i="35"/>
  <c r="W351" i="35"/>
  <c r="X351" i="35" l="1"/>
  <c r="Y351" i="35"/>
  <c r="Z351" i="35" s="1"/>
  <c r="AA351" i="35"/>
  <c r="E352" i="35"/>
  <c r="F352" i="35"/>
  <c r="G352" i="35"/>
  <c r="H352" i="35"/>
  <c r="I352" i="35"/>
  <c r="J352" i="35"/>
  <c r="K352" i="35"/>
  <c r="P352" i="35"/>
  <c r="Q352" i="35"/>
  <c r="R352" i="35"/>
  <c r="T352" i="35" l="1"/>
  <c r="U352" i="35"/>
  <c r="V352" i="35"/>
  <c r="W352" i="35"/>
  <c r="X352" i="35" l="1"/>
  <c r="Y352" i="35"/>
  <c r="Z352" i="35" s="1"/>
  <c r="AA352" i="35"/>
  <c r="E353" i="35"/>
  <c r="F353" i="35"/>
  <c r="G353" i="35"/>
  <c r="H353" i="35"/>
  <c r="I353" i="35"/>
  <c r="J353" i="35"/>
  <c r="K353" i="35"/>
  <c r="P353" i="35"/>
  <c r="Q353" i="35"/>
  <c r="R353" i="35"/>
  <c r="T353" i="35" l="1"/>
  <c r="U353" i="35"/>
  <c r="V353" i="35"/>
  <c r="W353" i="35"/>
  <c r="X353" i="35" l="1"/>
  <c r="Y353" i="35"/>
  <c r="Z353" i="35" s="1"/>
  <c r="AA353" i="35"/>
  <c r="E354" i="35"/>
  <c r="F354" i="35"/>
  <c r="G354" i="35"/>
  <c r="H354" i="35"/>
  <c r="I354" i="35"/>
  <c r="J354" i="35"/>
  <c r="K354" i="35"/>
  <c r="P354" i="35"/>
  <c r="Q354" i="35"/>
  <c r="R354" i="35"/>
  <c r="T354" i="35" l="1"/>
  <c r="U354" i="35"/>
  <c r="V354" i="35"/>
  <c r="W354" i="35"/>
  <c r="X354" i="35" l="1"/>
  <c r="Y354" i="35"/>
  <c r="Z354" i="35" s="1"/>
  <c r="AA354" i="35"/>
  <c r="E355" i="35"/>
  <c r="F355" i="35"/>
  <c r="G355" i="35"/>
  <c r="H355" i="35"/>
  <c r="I355" i="35"/>
  <c r="J355" i="35"/>
  <c r="K355" i="35"/>
  <c r="P355" i="35"/>
  <c r="Q355" i="35"/>
  <c r="R355" i="35"/>
  <c r="T355" i="35" l="1"/>
  <c r="U355" i="35"/>
  <c r="V355" i="35"/>
  <c r="W355" i="35"/>
  <c r="X355" i="35" l="1"/>
  <c r="Y355" i="35"/>
  <c r="Z355" i="35" s="1"/>
  <c r="AA355" i="35"/>
  <c r="E356" i="35"/>
  <c r="F356" i="35"/>
  <c r="G356" i="35"/>
  <c r="H356" i="35"/>
  <c r="I356" i="35"/>
  <c r="J356" i="35"/>
  <c r="K356" i="35"/>
  <c r="P356" i="35"/>
  <c r="Q356" i="35"/>
  <c r="R356" i="35"/>
  <c r="T356" i="35" l="1"/>
  <c r="U356" i="35"/>
  <c r="V356" i="35"/>
  <c r="W356" i="35"/>
  <c r="X356" i="35" l="1"/>
  <c r="Y356" i="35"/>
  <c r="Z356" i="35" s="1"/>
  <c r="AA356" i="35"/>
  <c r="E357" i="35"/>
  <c r="F357" i="35"/>
  <c r="G357" i="35"/>
  <c r="H357" i="35"/>
  <c r="I357" i="35"/>
  <c r="J357" i="35"/>
  <c r="K357" i="35"/>
  <c r="P357" i="35"/>
  <c r="Q357" i="35"/>
  <c r="R357" i="35"/>
  <c r="T357" i="35" l="1"/>
  <c r="U357" i="35"/>
  <c r="V357" i="35"/>
  <c r="W357" i="35"/>
  <c r="X357" i="35" l="1"/>
  <c r="Y357" i="35"/>
  <c r="Z357" i="35" s="1"/>
  <c r="AA357" i="35"/>
  <c r="E358" i="35"/>
  <c r="F358" i="35"/>
  <c r="G358" i="35"/>
  <c r="H358" i="35"/>
  <c r="I358" i="35"/>
  <c r="J358" i="35"/>
  <c r="K358" i="35"/>
  <c r="P358" i="35"/>
  <c r="Q358" i="35"/>
  <c r="R358" i="35"/>
  <c r="T358" i="35" l="1"/>
  <c r="U358" i="35"/>
  <c r="V358" i="35"/>
  <c r="W358" i="35"/>
  <c r="X358" i="35" l="1"/>
  <c r="Y358" i="35"/>
  <c r="Z358" i="35" s="1"/>
  <c r="AA358" i="35"/>
  <c r="E359" i="35"/>
  <c r="F359" i="35"/>
  <c r="G359" i="35"/>
  <c r="H359" i="35"/>
  <c r="I359" i="35"/>
  <c r="J359" i="35"/>
  <c r="K359" i="35"/>
  <c r="P359" i="35"/>
  <c r="Q359" i="35"/>
  <c r="R359" i="35"/>
  <c r="T359" i="35" l="1"/>
  <c r="U359" i="35"/>
  <c r="V359" i="35"/>
  <c r="W359" i="35"/>
  <c r="X359" i="35" l="1"/>
  <c r="Y359" i="35"/>
  <c r="Z359" i="35" s="1"/>
  <c r="AA359" i="35"/>
  <c r="E360" i="35"/>
  <c r="F360" i="35"/>
  <c r="G360" i="35"/>
  <c r="H360" i="35"/>
  <c r="I360" i="35"/>
  <c r="J360" i="35"/>
  <c r="K360" i="35"/>
  <c r="P360" i="35"/>
  <c r="Q360" i="35"/>
  <c r="R360" i="35"/>
  <c r="T360" i="35" l="1"/>
  <c r="U360" i="35"/>
  <c r="V360" i="35"/>
  <c r="W360" i="35"/>
  <c r="X360" i="35" l="1"/>
  <c r="Y360" i="35"/>
  <c r="Z360" i="35" s="1"/>
  <c r="AA360" i="35"/>
  <c r="E361" i="35"/>
  <c r="F361" i="35"/>
  <c r="G361" i="35"/>
  <c r="H361" i="35"/>
  <c r="I361" i="35"/>
  <c r="J361" i="35"/>
  <c r="K361" i="35"/>
  <c r="P361" i="35"/>
  <c r="Q361" i="35"/>
  <c r="R361" i="35"/>
  <c r="T361" i="35" l="1"/>
  <c r="U361" i="35"/>
  <c r="V361" i="35"/>
  <c r="W361" i="35"/>
  <c r="X361" i="35" l="1"/>
  <c r="Y361" i="35"/>
  <c r="Z361" i="35" s="1"/>
  <c r="AA361" i="35"/>
  <c r="E362" i="35"/>
  <c r="F362" i="35"/>
  <c r="G362" i="35"/>
  <c r="H362" i="35"/>
  <c r="I362" i="35"/>
  <c r="J362" i="35"/>
  <c r="K362" i="35"/>
  <c r="P362" i="35"/>
  <c r="Q362" i="35"/>
  <c r="R362" i="35"/>
  <c r="T362" i="35" l="1"/>
  <c r="U362" i="35"/>
  <c r="V362" i="35"/>
  <c r="W362" i="35"/>
  <c r="X362" i="35" l="1"/>
  <c r="Y362" i="35"/>
  <c r="Z362" i="35" s="1"/>
  <c r="AA362" i="35"/>
  <c r="E363" i="35"/>
  <c r="F363" i="35"/>
  <c r="G363" i="35"/>
  <c r="H363" i="35"/>
  <c r="I363" i="35"/>
  <c r="J363" i="35"/>
  <c r="K363" i="35"/>
  <c r="P363" i="35"/>
  <c r="Q363" i="35"/>
  <c r="R363" i="35"/>
  <c r="T363" i="35" l="1"/>
  <c r="U363" i="35"/>
  <c r="V363" i="35"/>
  <c r="W363" i="35"/>
  <c r="X363" i="35" l="1"/>
  <c r="Y363" i="35"/>
  <c r="Z363" i="35" s="1"/>
  <c r="AA363" i="35"/>
  <c r="E364" i="35"/>
  <c r="F364" i="35"/>
  <c r="G364" i="35"/>
  <c r="H364" i="35"/>
  <c r="I364" i="35"/>
  <c r="J364" i="35"/>
  <c r="K364" i="35"/>
  <c r="P364" i="35"/>
  <c r="Q364" i="35"/>
  <c r="R364" i="35"/>
  <c r="T364" i="35" l="1"/>
  <c r="U364" i="35"/>
  <c r="V364" i="35"/>
  <c r="W364" i="35"/>
  <c r="X364" i="35" l="1"/>
  <c r="Y364" i="35"/>
  <c r="Z364" i="35" s="1"/>
  <c r="AA364" i="35"/>
  <c r="E365" i="35"/>
  <c r="F365" i="35"/>
  <c r="G365" i="35"/>
  <c r="H365" i="35"/>
  <c r="I365" i="35"/>
  <c r="J365" i="35"/>
  <c r="K365" i="35"/>
  <c r="P365" i="35"/>
  <c r="Q365" i="35"/>
  <c r="R365" i="35"/>
  <c r="T365" i="35" l="1"/>
  <c r="U365" i="35"/>
  <c r="V365" i="35"/>
  <c r="W365" i="35"/>
  <c r="X365" i="35" l="1"/>
  <c r="Y365" i="35"/>
  <c r="Z365" i="35" s="1"/>
  <c r="AA365" i="35"/>
  <c r="E366" i="35"/>
  <c r="F366" i="35"/>
  <c r="G366" i="35"/>
  <c r="H366" i="35"/>
  <c r="I366" i="35"/>
  <c r="J366" i="35"/>
  <c r="K366" i="35"/>
  <c r="P366" i="35"/>
  <c r="Q366" i="35"/>
  <c r="R366" i="35"/>
  <c r="T366" i="35" l="1"/>
  <c r="U366" i="35"/>
  <c r="V366" i="35"/>
  <c r="W366" i="35"/>
  <c r="X366" i="35" l="1"/>
  <c r="Y366" i="35"/>
  <c r="Z366" i="35" s="1"/>
  <c r="AA366" i="35"/>
  <c r="E367" i="35"/>
  <c r="F367" i="35"/>
  <c r="G367" i="35"/>
  <c r="H367" i="35"/>
  <c r="I367" i="35"/>
  <c r="J367" i="35"/>
  <c r="K367" i="35"/>
  <c r="P367" i="35"/>
  <c r="Q367" i="35"/>
  <c r="R367" i="35"/>
  <c r="T367" i="35" l="1"/>
  <c r="U367" i="35"/>
  <c r="V367" i="35"/>
  <c r="W367" i="35"/>
  <c r="X367" i="35" l="1"/>
  <c r="Y367" i="35"/>
  <c r="Z367" i="35" s="1"/>
  <c r="AA367" i="35"/>
  <c r="E368" i="35"/>
  <c r="F368" i="35"/>
  <c r="G368" i="35"/>
  <c r="H368" i="35"/>
  <c r="I368" i="35"/>
  <c r="J368" i="35"/>
  <c r="K368" i="35"/>
  <c r="P368" i="35"/>
  <c r="Q368" i="35"/>
  <c r="R368" i="35"/>
  <c r="T368" i="35" l="1"/>
  <c r="U368" i="35"/>
  <c r="V368" i="35"/>
  <c r="W368" i="35"/>
  <c r="X368" i="35" l="1"/>
  <c r="Y368" i="35"/>
  <c r="Z368" i="35" s="1"/>
  <c r="AA368" i="35"/>
  <c r="E369" i="35"/>
  <c r="F369" i="35"/>
  <c r="G369" i="35"/>
  <c r="H369" i="35"/>
  <c r="I369" i="35"/>
  <c r="J369" i="35"/>
  <c r="K369" i="35"/>
  <c r="P369" i="35"/>
  <c r="Q369" i="35"/>
  <c r="R369" i="35"/>
  <c r="T369" i="35" l="1"/>
  <c r="U369" i="35"/>
  <c r="V369" i="35"/>
  <c r="W369" i="35"/>
  <c r="X369" i="35" l="1"/>
  <c r="Y369" i="35"/>
  <c r="Z369" i="35" s="1"/>
  <c r="AA369" i="35"/>
  <c r="E370" i="35"/>
  <c r="F370" i="35"/>
  <c r="G370" i="35"/>
  <c r="H370" i="35"/>
  <c r="I370" i="35"/>
  <c r="J370" i="35"/>
  <c r="K370" i="35"/>
  <c r="P370" i="35"/>
  <c r="Q370" i="35"/>
  <c r="R370" i="35"/>
  <c r="T370" i="35" l="1"/>
  <c r="U370" i="35"/>
  <c r="V370" i="35"/>
  <c r="W370" i="35"/>
  <c r="X370" i="35" l="1"/>
  <c r="Y370" i="35"/>
  <c r="Z370" i="35" s="1"/>
  <c r="AA370" i="35"/>
  <c r="E371" i="35"/>
  <c r="F371" i="35"/>
  <c r="G371" i="35"/>
  <c r="H371" i="35"/>
  <c r="I371" i="35"/>
  <c r="J371" i="35"/>
  <c r="K371" i="35"/>
  <c r="P371" i="35"/>
  <c r="Q371" i="35"/>
  <c r="R371" i="35"/>
  <c r="T371" i="35" l="1"/>
  <c r="U371" i="35"/>
  <c r="V371" i="35"/>
  <c r="W371" i="35"/>
  <c r="X371" i="35" l="1"/>
  <c r="Y371" i="35"/>
  <c r="Z371" i="35" s="1"/>
  <c r="AA371" i="35"/>
  <c r="E372" i="35"/>
  <c r="F372" i="35"/>
  <c r="G372" i="35"/>
  <c r="H372" i="35"/>
  <c r="I372" i="35"/>
  <c r="J372" i="35"/>
  <c r="K372" i="35"/>
  <c r="P372" i="35"/>
  <c r="Q372" i="35"/>
  <c r="R372" i="35"/>
  <c r="T372" i="35" l="1"/>
  <c r="U372" i="35"/>
  <c r="V372" i="35"/>
  <c r="W372" i="35"/>
  <c r="X372" i="35" l="1"/>
  <c r="Y372" i="35"/>
  <c r="Z372" i="35" s="1"/>
  <c r="AA372" i="35"/>
  <c r="E373" i="35"/>
  <c r="F373" i="35"/>
  <c r="G373" i="35"/>
  <c r="H373" i="35"/>
  <c r="I373" i="35"/>
  <c r="J373" i="35"/>
  <c r="K373" i="35"/>
  <c r="P373" i="35"/>
  <c r="Q373" i="35"/>
  <c r="R373" i="35"/>
  <c r="T373" i="35" l="1"/>
  <c r="U373" i="35"/>
  <c r="V373" i="35"/>
  <c r="W373" i="35"/>
  <c r="X373" i="35" l="1"/>
  <c r="Y373" i="35"/>
  <c r="Z373" i="35" s="1"/>
  <c r="AA373" i="35"/>
  <c r="E374" i="35"/>
  <c r="F374" i="35"/>
  <c r="G374" i="35"/>
  <c r="H374" i="35"/>
  <c r="I374" i="35"/>
  <c r="J374" i="35"/>
  <c r="K374" i="35"/>
  <c r="P374" i="35"/>
  <c r="Q374" i="35"/>
  <c r="R374" i="35"/>
  <c r="T374" i="35" l="1"/>
  <c r="U374" i="35"/>
  <c r="V374" i="35"/>
  <c r="W374" i="35"/>
  <c r="X374" i="35" l="1"/>
  <c r="Y374" i="35"/>
  <c r="Z374" i="35" s="1"/>
  <c r="AA374" i="35"/>
  <c r="E375" i="35"/>
  <c r="F375" i="35"/>
  <c r="G375" i="35"/>
  <c r="H375" i="35"/>
  <c r="I375" i="35"/>
  <c r="J375" i="35"/>
  <c r="K375" i="35"/>
  <c r="P375" i="35"/>
  <c r="Q375" i="35"/>
  <c r="R375" i="35"/>
  <c r="T375" i="35" l="1"/>
  <c r="U375" i="35"/>
  <c r="V375" i="35"/>
  <c r="W375" i="35"/>
  <c r="X375" i="35" l="1"/>
  <c r="Y375" i="35"/>
  <c r="Z375" i="35" s="1"/>
  <c r="AA375" i="35"/>
  <c r="E376" i="35"/>
  <c r="F376" i="35"/>
  <c r="G376" i="35"/>
  <c r="H376" i="35"/>
  <c r="I376" i="35"/>
  <c r="J376" i="35"/>
  <c r="K376" i="35"/>
  <c r="P376" i="35"/>
  <c r="Q376" i="35"/>
  <c r="R376" i="35"/>
  <c r="T376" i="35" l="1"/>
  <c r="U376" i="35"/>
  <c r="V376" i="35"/>
  <c r="W376" i="35"/>
  <c r="X376" i="35" l="1"/>
  <c r="Y376" i="35"/>
  <c r="Z376" i="35" s="1"/>
  <c r="AA376" i="35"/>
  <c r="E377" i="35"/>
  <c r="F377" i="35"/>
  <c r="G377" i="35"/>
  <c r="H377" i="35"/>
  <c r="I377" i="35"/>
  <c r="J377" i="35"/>
  <c r="K377" i="35"/>
  <c r="P377" i="35"/>
  <c r="Q377" i="35"/>
  <c r="R377" i="35"/>
  <c r="T377" i="35" l="1"/>
  <c r="U377" i="35"/>
  <c r="V377" i="35"/>
  <c r="W377" i="35"/>
  <c r="X377" i="35" l="1"/>
  <c r="Y377" i="35"/>
  <c r="Z377" i="35" s="1"/>
  <c r="AA377" i="35"/>
  <c r="E378" i="35"/>
  <c r="F378" i="35"/>
  <c r="G378" i="35"/>
  <c r="H378" i="35"/>
  <c r="I378" i="35"/>
  <c r="J378" i="35"/>
  <c r="K378" i="35"/>
  <c r="P378" i="35"/>
  <c r="Q378" i="35"/>
  <c r="R378" i="35"/>
  <c r="T378" i="35" l="1"/>
  <c r="U378" i="35"/>
  <c r="V378" i="35"/>
  <c r="W378" i="35"/>
  <c r="X378" i="35" l="1"/>
  <c r="Y378" i="35"/>
  <c r="Z378" i="35" s="1"/>
  <c r="AA378" i="35"/>
  <c r="E379" i="35"/>
  <c r="F379" i="35"/>
  <c r="G379" i="35"/>
  <c r="H379" i="35"/>
  <c r="I379" i="35"/>
  <c r="J379" i="35"/>
  <c r="K379" i="35"/>
  <c r="P379" i="35"/>
  <c r="Q379" i="35"/>
  <c r="R379" i="35"/>
  <c r="T379" i="35" l="1"/>
  <c r="U379" i="35"/>
  <c r="V379" i="35"/>
  <c r="W379" i="35"/>
  <c r="X379" i="35" l="1"/>
  <c r="Y379" i="35"/>
  <c r="Z379" i="35" s="1"/>
  <c r="AA379" i="35"/>
  <c r="E380" i="35"/>
  <c r="F380" i="35"/>
  <c r="G380" i="35"/>
  <c r="H380" i="35"/>
  <c r="I380" i="35"/>
  <c r="J380" i="35"/>
  <c r="K380" i="35"/>
  <c r="P380" i="35"/>
  <c r="Q380" i="35"/>
  <c r="R380" i="35"/>
  <c r="T380" i="35" l="1"/>
  <c r="U380" i="35"/>
  <c r="V380" i="35"/>
  <c r="W380" i="35"/>
  <c r="X380" i="35" l="1"/>
  <c r="Y380" i="35"/>
  <c r="Z380" i="35" s="1"/>
  <c r="AA380" i="35"/>
  <c r="E381" i="35"/>
  <c r="F381" i="35"/>
  <c r="G381" i="35"/>
  <c r="H381" i="35"/>
  <c r="I381" i="35"/>
  <c r="J381" i="35"/>
  <c r="K381" i="35"/>
  <c r="P381" i="35"/>
  <c r="Q381" i="35"/>
  <c r="R381" i="35"/>
  <c r="T381" i="35" l="1"/>
  <c r="U381" i="35"/>
  <c r="V381" i="35"/>
  <c r="W381" i="35"/>
  <c r="X381" i="35" l="1"/>
  <c r="Y381" i="35"/>
  <c r="Z381" i="35" s="1"/>
  <c r="AA381" i="35"/>
  <c r="E382" i="35"/>
  <c r="F382" i="35"/>
  <c r="G382" i="35"/>
  <c r="H382" i="35"/>
  <c r="I382" i="35"/>
  <c r="J382" i="35"/>
  <c r="K382" i="35"/>
  <c r="P382" i="35"/>
  <c r="Q382" i="35"/>
  <c r="R382" i="35"/>
  <c r="T382" i="35" l="1"/>
  <c r="U382" i="35"/>
  <c r="V382" i="35"/>
  <c r="W382" i="35"/>
  <c r="X382" i="35" l="1"/>
  <c r="Y382" i="35"/>
  <c r="Z382" i="35" s="1"/>
  <c r="AA382" i="35"/>
  <c r="E383" i="35"/>
  <c r="F383" i="35"/>
  <c r="G383" i="35"/>
  <c r="H383" i="35"/>
  <c r="I383" i="35"/>
  <c r="J383" i="35"/>
  <c r="K383" i="35"/>
  <c r="P383" i="35"/>
  <c r="Q383" i="35"/>
  <c r="R383" i="35"/>
  <c r="T383" i="35" l="1"/>
  <c r="U383" i="35"/>
  <c r="V383" i="35"/>
  <c r="W383" i="35"/>
  <c r="X383" i="35" l="1"/>
  <c r="Y383" i="35"/>
  <c r="Z383" i="35" s="1"/>
  <c r="AA383" i="35"/>
  <c r="E384" i="35"/>
  <c r="F384" i="35"/>
  <c r="G384" i="35"/>
  <c r="H384" i="35"/>
  <c r="I384" i="35"/>
  <c r="J384" i="35"/>
  <c r="K384" i="35"/>
  <c r="P384" i="35"/>
  <c r="Q384" i="35"/>
  <c r="R384" i="35"/>
  <c r="T384" i="35" l="1"/>
  <c r="U384" i="35"/>
  <c r="V384" i="35"/>
  <c r="W384" i="35"/>
  <c r="X384" i="35" l="1"/>
  <c r="Y384" i="35"/>
  <c r="Z384" i="35" s="1"/>
  <c r="AA384" i="35"/>
  <c r="E385" i="35"/>
  <c r="F385" i="35"/>
  <c r="G385" i="35"/>
  <c r="H385" i="35"/>
  <c r="I385" i="35"/>
  <c r="J385" i="35"/>
  <c r="K385" i="35"/>
  <c r="P385" i="35"/>
  <c r="Q385" i="35"/>
  <c r="R385" i="35"/>
  <c r="T385" i="35" l="1"/>
  <c r="U385" i="35"/>
  <c r="V385" i="35"/>
  <c r="W385" i="35"/>
  <c r="X385" i="35" l="1"/>
  <c r="Y385" i="35"/>
  <c r="Z385" i="35" s="1"/>
  <c r="AA385" i="35"/>
  <c r="E386" i="35"/>
  <c r="F386" i="35"/>
  <c r="G386" i="35"/>
  <c r="H386" i="35"/>
  <c r="I386" i="35"/>
  <c r="J386" i="35"/>
  <c r="K386" i="35"/>
  <c r="P386" i="35"/>
  <c r="Q386" i="35"/>
  <c r="R386" i="35"/>
  <c r="T386" i="35" l="1"/>
  <c r="U386" i="35"/>
  <c r="V386" i="35"/>
  <c r="W386" i="35"/>
  <c r="X386" i="35" l="1"/>
  <c r="Y386" i="35"/>
  <c r="Z386" i="35" s="1"/>
  <c r="AA386" i="35"/>
  <c r="E387" i="35"/>
  <c r="F387" i="35"/>
  <c r="G387" i="35"/>
  <c r="H387" i="35"/>
  <c r="I387" i="35"/>
  <c r="J387" i="35"/>
  <c r="K387" i="35"/>
  <c r="P387" i="35"/>
  <c r="Q387" i="35"/>
  <c r="R387" i="35"/>
  <c r="T387" i="35" l="1"/>
  <c r="U387" i="35"/>
  <c r="V387" i="35"/>
  <c r="W387" i="35"/>
  <c r="X387" i="35" l="1"/>
  <c r="Y387" i="35"/>
  <c r="Z387" i="35" s="1"/>
  <c r="AA387" i="35"/>
  <c r="E388" i="35"/>
  <c r="F388" i="35"/>
  <c r="G388" i="35"/>
  <c r="H388" i="35"/>
  <c r="I388" i="35"/>
  <c r="J388" i="35"/>
  <c r="K388" i="35"/>
  <c r="P388" i="35"/>
  <c r="Q388" i="35"/>
  <c r="R388" i="35"/>
  <c r="T388" i="35" l="1"/>
  <c r="U388" i="35"/>
  <c r="V388" i="35"/>
  <c r="W388" i="35"/>
  <c r="X388" i="35" l="1"/>
  <c r="Y388" i="35"/>
  <c r="Z388" i="35" s="1"/>
  <c r="AA388" i="35"/>
  <c r="E389" i="35"/>
  <c r="F389" i="35"/>
  <c r="G389" i="35"/>
  <c r="H389" i="35"/>
  <c r="I389" i="35"/>
  <c r="J389" i="35"/>
  <c r="K389" i="35"/>
  <c r="P389" i="35"/>
  <c r="Q389" i="35"/>
  <c r="R389" i="35"/>
  <c r="T389" i="35" l="1"/>
  <c r="U389" i="35"/>
  <c r="V389" i="35"/>
  <c r="W389" i="35"/>
  <c r="X389" i="35" l="1"/>
  <c r="Y389" i="35"/>
  <c r="Z389" i="35" s="1"/>
  <c r="AA389" i="35"/>
  <c r="E390" i="35"/>
  <c r="F390" i="35"/>
  <c r="G390" i="35"/>
  <c r="H390" i="35"/>
  <c r="I390" i="35"/>
  <c r="J390" i="35"/>
  <c r="K390" i="35"/>
  <c r="P390" i="35"/>
  <c r="Q390" i="35"/>
  <c r="R390" i="35"/>
  <c r="T390" i="35" l="1"/>
  <c r="U390" i="35"/>
  <c r="V390" i="35"/>
  <c r="W390" i="35"/>
  <c r="X390" i="35" l="1"/>
  <c r="Y390" i="35"/>
  <c r="Z390" i="35" s="1"/>
  <c r="AA390" i="35"/>
  <c r="E391" i="35"/>
  <c r="F391" i="35"/>
  <c r="G391" i="35"/>
  <c r="H391" i="35"/>
  <c r="I391" i="35"/>
  <c r="J391" i="35"/>
  <c r="K391" i="35"/>
  <c r="P391" i="35"/>
  <c r="Q391" i="35"/>
  <c r="R391" i="35"/>
  <c r="T391" i="35" l="1"/>
  <c r="U391" i="35"/>
  <c r="V391" i="35"/>
  <c r="W391" i="35"/>
  <c r="X391" i="35" l="1"/>
  <c r="Y391" i="35"/>
  <c r="Z391" i="35" s="1"/>
  <c r="AA391" i="35"/>
  <c r="E392" i="35"/>
  <c r="F392" i="35"/>
  <c r="G392" i="35"/>
  <c r="H392" i="35"/>
  <c r="I392" i="35"/>
  <c r="J392" i="35"/>
  <c r="K392" i="35"/>
  <c r="P392" i="35"/>
  <c r="Q392" i="35"/>
  <c r="R392" i="35"/>
  <c r="T392" i="35" l="1"/>
  <c r="U392" i="35"/>
  <c r="V392" i="35"/>
  <c r="W392" i="35"/>
  <c r="X392" i="35" l="1"/>
  <c r="Y392" i="35"/>
  <c r="Z392" i="35" s="1"/>
  <c r="AA392" i="35"/>
  <c r="E393" i="35"/>
  <c r="F393" i="35"/>
  <c r="G393" i="35"/>
  <c r="H393" i="35"/>
  <c r="I393" i="35"/>
  <c r="J393" i="35"/>
  <c r="K393" i="35"/>
  <c r="P393" i="35"/>
  <c r="Q393" i="35"/>
  <c r="R393" i="35"/>
  <c r="T393" i="35" l="1"/>
  <c r="U393" i="35"/>
  <c r="V393" i="35"/>
  <c r="W393" i="35"/>
  <c r="X393" i="35" l="1"/>
  <c r="Y393" i="35"/>
  <c r="Z393" i="35" s="1"/>
  <c r="AA393" i="35"/>
  <c r="E394" i="35"/>
  <c r="F394" i="35"/>
  <c r="G394" i="35"/>
  <c r="H394" i="35"/>
  <c r="I394" i="35"/>
  <c r="J394" i="35"/>
  <c r="K394" i="35"/>
  <c r="P394" i="35"/>
  <c r="Q394" i="35"/>
  <c r="R394" i="35"/>
  <c r="T394" i="35" l="1"/>
  <c r="U394" i="35"/>
  <c r="V394" i="35"/>
  <c r="W394" i="35"/>
  <c r="X394" i="35" l="1"/>
  <c r="Y394" i="35"/>
  <c r="Z394" i="35" s="1"/>
  <c r="AA394" i="35"/>
  <c r="E395" i="35"/>
  <c r="F395" i="35"/>
  <c r="G395" i="35"/>
  <c r="H395" i="35"/>
  <c r="I395" i="35"/>
  <c r="J395" i="35"/>
  <c r="K395" i="35"/>
  <c r="P395" i="35"/>
  <c r="Q395" i="35"/>
  <c r="R395" i="35"/>
  <c r="T395" i="35" l="1"/>
  <c r="U395" i="35"/>
  <c r="V395" i="35"/>
  <c r="W395" i="35"/>
  <c r="X395" i="35" l="1"/>
  <c r="Y395" i="35"/>
  <c r="Z395" i="35" s="1"/>
  <c r="AA395" i="35"/>
  <c r="E396" i="35"/>
  <c r="F396" i="35"/>
  <c r="G396" i="35"/>
  <c r="H396" i="35"/>
  <c r="I396" i="35"/>
  <c r="J396" i="35"/>
  <c r="K396" i="35"/>
  <c r="P396" i="35"/>
  <c r="Q396" i="35"/>
  <c r="R396" i="35"/>
  <c r="T396" i="35" l="1"/>
  <c r="U396" i="35"/>
  <c r="V396" i="35"/>
  <c r="W396" i="35"/>
  <c r="X396" i="35" l="1"/>
  <c r="Y396" i="35"/>
  <c r="Z396" i="35" s="1"/>
  <c r="AA396" i="35"/>
  <c r="E397" i="35"/>
  <c r="F397" i="35"/>
  <c r="G397" i="35"/>
  <c r="H397" i="35"/>
  <c r="I397" i="35"/>
  <c r="J397" i="35"/>
  <c r="K397" i="35"/>
  <c r="P397" i="35"/>
  <c r="Q397" i="35"/>
  <c r="R397" i="35"/>
  <c r="T397" i="35" l="1"/>
  <c r="U397" i="35"/>
  <c r="V397" i="35"/>
  <c r="W397" i="35"/>
  <c r="X397" i="35" l="1"/>
  <c r="Y397" i="35"/>
  <c r="Z397" i="35" s="1"/>
  <c r="AA397" i="35"/>
  <c r="E398" i="35"/>
  <c r="F398" i="35"/>
  <c r="G398" i="35"/>
  <c r="H398" i="35"/>
  <c r="I398" i="35"/>
  <c r="J398" i="35"/>
  <c r="K398" i="35"/>
  <c r="P398" i="35"/>
  <c r="Q398" i="35"/>
  <c r="R398" i="35"/>
  <c r="T398" i="35" l="1"/>
  <c r="U398" i="35"/>
  <c r="V398" i="35"/>
  <c r="W398" i="35"/>
  <c r="X398" i="35" l="1"/>
  <c r="Y398" i="35"/>
  <c r="Z398" i="35" s="1"/>
  <c r="AA398" i="35"/>
  <c r="E399" i="35"/>
  <c r="F399" i="35"/>
  <c r="G399" i="35"/>
  <c r="H399" i="35"/>
  <c r="I399" i="35"/>
  <c r="J399" i="35"/>
  <c r="K399" i="35"/>
  <c r="P399" i="35"/>
  <c r="Q399" i="35"/>
  <c r="R399" i="35"/>
  <c r="T399" i="35" l="1"/>
  <c r="U399" i="35"/>
  <c r="V399" i="35"/>
  <c r="W399" i="35"/>
  <c r="X399" i="35" l="1"/>
  <c r="Y399" i="35"/>
  <c r="Z399" i="35" s="1"/>
  <c r="AA399" i="35"/>
  <c r="E400" i="35"/>
  <c r="F400" i="35"/>
  <c r="G400" i="35"/>
  <c r="H400" i="35"/>
  <c r="I400" i="35"/>
  <c r="J400" i="35"/>
  <c r="K400" i="35"/>
  <c r="P400" i="35"/>
  <c r="Q400" i="35"/>
  <c r="R400" i="35"/>
  <c r="T400" i="35" l="1"/>
  <c r="U400" i="35"/>
  <c r="V400" i="35"/>
  <c r="W400" i="35"/>
  <c r="X400" i="35" l="1"/>
  <c r="Y400" i="35"/>
  <c r="Z400" i="35" s="1"/>
  <c r="AA400" i="35"/>
  <c r="E401" i="35"/>
  <c r="F401" i="35"/>
  <c r="G401" i="35"/>
  <c r="H401" i="35"/>
  <c r="I401" i="35"/>
  <c r="J401" i="35"/>
  <c r="K401" i="35"/>
  <c r="P401" i="35"/>
  <c r="Q401" i="35"/>
  <c r="R401" i="35"/>
  <c r="T401" i="35" l="1"/>
  <c r="U401" i="35"/>
  <c r="V401" i="35"/>
  <c r="W401" i="35"/>
  <c r="X401" i="35" l="1"/>
  <c r="Y401" i="35"/>
  <c r="Z401" i="35" s="1"/>
  <c r="AA401" i="35"/>
  <c r="E402" i="35"/>
  <c r="F402" i="35"/>
  <c r="G402" i="35"/>
  <c r="H402" i="35"/>
  <c r="I402" i="35"/>
  <c r="J402" i="35"/>
  <c r="K402" i="35"/>
  <c r="P402" i="35"/>
  <c r="Q402" i="35"/>
  <c r="R402" i="35"/>
  <c r="T402" i="35" l="1"/>
  <c r="U402" i="35"/>
  <c r="V402" i="35"/>
  <c r="W402" i="35"/>
  <c r="X402" i="35" l="1"/>
  <c r="Y402" i="35"/>
  <c r="Z402" i="35" s="1"/>
  <c r="AA402" i="35"/>
  <c r="E403" i="35"/>
  <c r="F403" i="35"/>
  <c r="G403" i="35"/>
  <c r="H403" i="35"/>
  <c r="I403" i="35"/>
  <c r="J403" i="35"/>
  <c r="K403" i="35"/>
  <c r="P403" i="35"/>
  <c r="Q403" i="35"/>
  <c r="R403" i="35"/>
  <c r="T403" i="35" l="1"/>
  <c r="U403" i="35"/>
  <c r="V403" i="35"/>
  <c r="W403" i="35"/>
  <c r="X403" i="35" l="1"/>
  <c r="Y403" i="35"/>
  <c r="Z403" i="35" s="1"/>
  <c r="AA403" i="35"/>
  <c r="E404" i="35"/>
  <c r="F404" i="35"/>
  <c r="G404" i="35"/>
  <c r="H404" i="35"/>
  <c r="I404" i="35"/>
  <c r="J404" i="35"/>
  <c r="K404" i="35"/>
  <c r="P404" i="35"/>
  <c r="Q404" i="35"/>
  <c r="R404" i="35"/>
  <c r="T404" i="35" l="1"/>
  <c r="U404" i="35"/>
  <c r="V404" i="35"/>
  <c r="W404" i="35"/>
  <c r="X404" i="35" l="1"/>
  <c r="Y404" i="35"/>
  <c r="Z404" i="35" s="1"/>
  <c r="AA404" i="35"/>
  <c r="E405" i="35"/>
  <c r="F405" i="35"/>
  <c r="G405" i="35"/>
  <c r="H405" i="35"/>
  <c r="I405" i="35"/>
  <c r="J405" i="35"/>
  <c r="K405" i="35"/>
  <c r="P405" i="35"/>
  <c r="Q405" i="35"/>
  <c r="R405" i="35"/>
  <c r="T405" i="35" l="1"/>
  <c r="U405" i="35"/>
  <c r="V405" i="35"/>
  <c r="W405" i="35"/>
  <c r="X405" i="35" l="1"/>
  <c r="Y405" i="35"/>
  <c r="Z405" i="35" s="1"/>
  <c r="AA405" i="35"/>
  <c r="E406" i="35"/>
  <c r="F406" i="35"/>
  <c r="G406" i="35"/>
  <c r="H406" i="35"/>
  <c r="I406" i="35"/>
  <c r="J406" i="35"/>
  <c r="K406" i="35"/>
  <c r="P406" i="35"/>
  <c r="Q406" i="35"/>
  <c r="R406" i="35"/>
  <c r="T406" i="35" l="1"/>
  <c r="U406" i="35"/>
  <c r="V406" i="35"/>
  <c r="W406" i="35"/>
  <c r="X406" i="35" l="1"/>
  <c r="Y406" i="35"/>
  <c r="Z406" i="35" s="1"/>
  <c r="AA406" i="35"/>
  <c r="E407" i="35"/>
  <c r="F407" i="35"/>
  <c r="G407" i="35"/>
  <c r="H407" i="35"/>
  <c r="I407" i="35"/>
  <c r="J407" i="35"/>
  <c r="K407" i="35"/>
  <c r="P407" i="35"/>
  <c r="Q407" i="35"/>
  <c r="R407" i="35"/>
  <c r="T407" i="35" l="1"/>
  <c r="U407" i="35"/>
  <c r="V407" i="35"/>
  <c r="W407" i="35"/>
  <c r="X407" i="35" l="1"/>
  <c r="Y407" i="35"/>
  <c r="Z407" i="35" s="1"/>
  <c r="AA407" i="35"/>
  <c r="E408" i="35"/>
  <c r="F408" i="35"/>
  <c r="G408" i="35"/>
  <c r="H408" i="35"/>
  <c r="I408" i="35"/>
  <c r="J408" i="35"/>
  <c r="K408" i="35"/>
  <c r="P408" i="35"/>
  <c r="Q408" i="35"/>
  <c r="R408" i="35"/>
  <c r="T408" i="35" l="1"/>
  <c r="U408" i="35"/>
  <c r="V408" i="35"/>
  <c r="W408" i="35"/>
  <c r="X408" i="35" l="1"/>
  <c r="Y408" i="35"/>
  <c r="Z408" i="35" s="1"/>
  <c r="AA408" i="35"/>
  <c r="E409" i="35"/>
  <c r="F409" i="35"/>
  <c r="G409" i="35"/>
  <c r="H409" i="35"/>
  <c r="I409" i="35"/>
  <c r="J409" i="35"/>
  <c r="K409" i="35"/>
  <c r="P409" i="35"/>
  <c r="Q409" i="35"/>
  <c r="R409" i="35"/>
  <c r="T409" i="35" l="1"/>
  <c r="U409" i="35"/>
  <c r="V409" i="35"/>
  <c r="W409" i="35"/>
  <c r="X409" i="35" l="1"/>
  <c r="Y409" i="35"/>
  <c r="Z409" i="35" s="1"/>
  <c r="AA409" i="35"/>
  <c r="E410" i="35"/>
  <c r="F410" i="35"/>
  <c r="G410" i="35"/>
  <c r="H410" i="35"/>
  <c r="I410" i="35"/>
  <c r="J410" i="35"/>
  <c r="K410" i="35"/>
  <c r="P410" i="35"/>
  <c r="Q410" i="35"/>
  <c r="R410" i="35"/>
  <c r="T410" i="35" l="1"/>
  <c r="U410" i="35"/>
  <c r="V410" i="35"/>
  <c r="W410" i="35"/>
  <c r="X410" i="35" l="1"/>
  <c r="Y410" i="35"/>
  <c r="Z410" i="35" s="1"/>
  <c r="AA410" i="35"/>
  <c r="E411" i="35"/>
  <c r="F411" i="35"/>
  <c r="G411" i="35"/>
  <c r="H411" i="35"/>
  <c r="I411" i="35"/>
  <c r="J411" i="35"/>
  <c r="K411" i="35"/>
  <c r="P411" i="35"/>
  <c r="Q411" i="35"/>
  <c r="R411" i="35"/>
  <c r="T411" i="35" l="1"/>
  <c r="U411" i="35"/>
  <c r="V411" i="35"/>
  <c r="W411" i="35"/>
  <c r="X411" i="35" l="1"/>
  <c r="Y411" i="35"/>
  <c r="Z411" i="35" s="1"/>
  <c r="AA411" i="35"/>
  <c r="E412" i="35"/>
  <c r="F412" i="35"/>
  <c r="G412" i="35"/>
  <c r="H412" i="35"/>
  <c r="I412" i="35"/>
  <c r="J412" i="35"/>
  <c r="K412" i="35"/>
  <c r="P412" i="35"/>
  <c r="Q412" i="35"/>
  <c r="R412" i="35"/>
  <c r="T412" i="35" l="1"/>
  <c r="U412" i="35"/>
  <c r="V412" i="35"/>
  <c r="W412" i="35"/>
  <c r="X412" i="35" l="1"/>
  <c r="Y412" i="35"/>
  <c r="Z412" i="35" s="1"/>
  <c r="AA412" i="35"/>
  <c r="E413" i="35"/>
  <c r="F413" i="35"/>
  <c r="G413" i="35"/>
  <c r="H413" i="35"/>
  <c r="I413" i="35"/>
  <c r="J413" i="35"/>
  <c r="K413" i="35"/>
  <c r="P413" i="35"/>
  <c r="Q413" i="35"/>
  <c r="R413" i="35"/>
  <c r="T413" i="35" l="1"/>
  <c r="U413" i="35"/>
  <c r="V413" i="35"/>
  <c r="W413" i="35"/>
  <c r="X413" i="35" l="1"/>
  <c r="Y413" i="35"/>
  <c r="Z413" i="35" s="1"/>
  <c r="AA413" i="35"/>
  <c r="E414" i="35"/>
  <c r="F414" i="35"/>
  <c r="G414" i="35"/>
  <c r="H414" i="35"/>
  <c r="I414" i="35"/>
  <c r="J414" i="35"/>
  <c r="K414" i="35"/>
  <c r="P414" i="35"/>
  <c r="Q414" i="35"/>
  <c r="R414" i="35"/>
  <c r="T414" i="35" l="1"/>
  <c r="U414" i="35"/>
  <c r="V414" i="35"/>
  <c r="W414" i="35"/>
  <c r="X414" i="35" l="1"/>
  <c r="Y414" i="35"/>
  <c r="Z414" i="35" s="1"/>
  <c r="AA414" i="35"/>
  <c r="E415" i="35"/>
  <c r="F415" i="35"/>
  <c r="G415" i="35"/>
  <c r="H415" i="35"/>
  <c r="I415" i="35"/>
  <c r="J415" i="35"/>
  <c r="K415" i="35"/>
  <c r="P415" i="35"/>
  <c r="Q415" i="35"/>
  <c r="R415" i="35"/>
  <c r="T415" i="35" l="1"/>
  <c r="U415" i="35"/>
  <c r="V415" i="35"/>
  <c r="W415" i="35"/>
  <c r="X415" i="35" l="1"/>
  <c r="Y415" i="35"/>
  <c r="Z415" i="35" s="1"/>
  <c r="AA415" i="35"/>
  <c r="E416" i="35"/>
  <c r="F416" i="35"/>
  <c r="G416" i="35"/>
  <c r="H416" i="35"/>
  <c r="I416" i="35"/>
  <c r="J416" i="35"/>
  <c r="K416" i="35"/>
  <c r="P416" i="35"/>
  <c r="Q416" i="35"/>
  <c r="R416" i="35"/>
  <c r="T416" i="35" l="1"/>
  <c r="U416" i="35"/>
  <c r="V416" i="35"/>
  <c r="W416" i="35"/>
  <c r="X416" i="35" l="1"/>
  <c r="Y416" i="35"/>
  <c r="Z416" i="35" s="1"/>
  <c r="AA416" i="35"/>
  <c r="E417" i="35"/>
  <c r="F417" i="35"/>
  <c r="G417" i="35"/>
  <c r="H417" i="35"/>
  <c r="I417" i="35"/>
  <c r="J417" i="35"/>
  <c r="K417" i="35"/>
  <c r="P417" i="35"/>
  <c r="Q417" i="35"/>
  <c r="R417" i="35"/>
  <c r="T417" i="35" l="1"/>
  <c r="U417" i="35"/>
  <c r="V417" i="35"/>
  <c r="W417" i="35"/>
  <c r="X417" i="35" l="1"/>
  <c r="Y417" i="35"/>
  <c r="Z417" i="35" s="1"/>
  <c r="AA417" i="35"/>
  <c r="E418" i="35"/>
  <c r="F418" i="35"/>
  <c r="G418" i="35"/>
  <c r="H418" i="35"/>
  <c r="I418" i="35"/>
  <c r="J418" i="35"/>
  <c r="K418" i="35"/>
  <c r="P418" i="35"/>
  <c r="Q418" i="35"/>
  <c r="R418" i="35"/>
  <c r="T418" i="35" l="1"/>
  <c r="U418" i="35"/>
  <c r="V418" i="35"/>
  <c r="W418" i="35"/>
  <c r="X418" i="35" l="1"/>
  <c r="Y418" i="35"/>
  <c r="Z418" i="35" s="1"/>
  <c r="AA418" i="35"/>
  <c r="E419" i="35"/>
  <c r="F419" i="35"/>
  <c r="G419" i="35"/>
  <c r="H419" i="35"/>
  <c r="I419" i="35"/>
  <c r="J419" i="35"/>
  <c r="K419" i="35"/>
  <c r="P419" i="35"/>
  <c r="Q419" i="35"/>
  <c r="R419" i="35"/>
  <c r="T419" i="35" l="1"/>
  <c r="U419" i="35"/>
  <c r="V419" i="35"/>
  <c r="W419" i="35"/>
  <c r="X419" i="35" l="1"/>
  <c r="Y419" i="35"/>
  <c r="Z419" i="35" s="1"/>
  <c r="AA419" i="35"/>
  <c r="E420" i="35"/>
  <c r="F420" i="35"/>
  <c r="G420" i="35"/>
  <c r="H420" i="35"/>
  <c r="I420" i="35"/>
  <c r="J420" i="35"/>
  <c r="K420" i="35"/>
  <c r="P420" i="35"/>
  <c r="Q420" i="35"/>
  <c r="R420" i="35"/>
  <c r="T420" i="35" l="1"/>
  <c r="U420" i="35"/>
  <c r="V420" i="35"/>
  <c r="W420" i="35"/>
  <c r="X420" i="35" l="1"/>
  <c r="Y420" i="35"/>
  <c r="Z420" i="35" s="1"/>
  <c r="AA420" i="35"/>
  <c r="E421" i="35"/>
  <c r="F421" i="35"/>
  <c r="G421" i="35"/>
  <c r="H421" i="35"/>
  <c r="I421" i="35"/>
  <c r="J421" i="35"/>
  <c r="K421" i="35"/>
  <c r="P421" i="35"/>
  <c r="Q421" i="35"/>
  <c r="R421" i="35"/>
  <c r="T421" i="35" l="1"/>
  <c r="U421" i="35"/>
  <c r="V421" i="35"/>
  <c r="W421" i="35"/>
  <c r="X421" i="35" l="1"/>
  <c r="Y421" i="35"/>
  <c r="Z421" i="35" s="1"/>
  <c r="AA421" i="35"/>
  <c r="E422" i="35"/>
  <c r="F422" i="35"/>
  <c r="G422" i="35"/>
  <c r="H422" i="35"/>
  <c r="I422" i="35"/>
  <c r="J422" i="35"/>
  <c r="K422" i="35"/>
  <c r="P422" i="35"/>
  <c r="Q422" i="35"/>
  <c r="R422" i="35"/>
  <c r="T422" i="35" l="1"/>
  <c r="U422" i="35"/>
  <c r="V422" i="35"/>
  <c r="W422" i="35"/>
  <c r="X422" i="35" l="1"/>
  <c r="Y422" i="35"/>
  <c r="Z422" i="35" s="1"/>
  <c r="AA422" i="35"/>
  <c r="E423" i="35"/>
  <c r="F423" i="35"/>
  <c r="G423" i="35"/>
  <c r="H423" i="35"/>
  <c r="I423" i="35"/>
  <c r="J423" i="35"/>
  <c r="K423" i="35"/>
  <c r="P423" i="35"/>
  <c r="Q423" i="35"/>
  <c r="R423" i="35"/>
  <c r="T423" i="35" l="1"/>
  <c r="U423" i="35"/>
  <c r="V423" i="35"/>
  <c r="W423" i="35"/>
  <c r="X423" i="35" l="1"/>
  <c r="Y423" i="35"/>
  <c r="Z423" i="35" s="1"/>
  <c r="AA423" i="35"/>
  <c r="E424" i="35"/>
  <c r="F424" i="35"/>
  <c r="G424" i="35"/>
  <c r="H424" i="35"/>
  <c r="I424" i="35"/>
  <c r="J424" i="35"/>
  <c r="K424" i="35"/>
  <c r="P424" i="35"/>
  <c r="Q424" i="35"/>
  <c r="R424" i="35"/>
  <c r="T424" i="35" l="1"/>
  <c r="U424" i="35"/>
  <c r="V424" i="35"/>
  <c r="W424" i="35"/>
  <c r="X424" i="35" l="1"/>
  <c r="Y424" i="35"/>
  <c r="Z424" i="35" s="1"/>
  <c r="AA424" i="35"/>
  <c r="E425" i="35"/>
  <c r="F425" i="35"/>
  <c r="G425" i="35"/>
  <c r="H425" i="35"/>
  <c r="I425" i="35"/>
  <c r="J425" i="35"/>
  <c r="K425" i="35"/>
  <c r="P425" i="35"/>
  <c r="Q425" i="35"/>
  <c r="R425" i="35"/>
  <c r="T425" i="35" l="1"/>
  <c r="U425" i="35"/>
  <c r="V425" i="35"/>
  <c r="W425" i="35"/>
  <c r="X425" i="35" l="1"/>
  <c r="Y425" i="35"/>
  <c r="Z425" i="35" s="1"/>
  <c r="AA425" i="35"/>
  <c r="E426" i="35"/>
  <c r="F426" i="35"/>
  <c r="G426" i="35"/>
  <c r="H426" i="35"/>
  <c r="I426" i="35"/>
  <c r="J426" i="35"/>
  <c r="K426" i="35"/>
  <c r="P426" i="35"/>
  <c r="Q426" i="35"/>
  <c r="R426" i="35"/>
  <c r="T426" i="35" l="1"/>
  <c r="U426" i="35"/>
  <c r="V426" i="35"/>
  <c r="W426" i="35"/>
  <c r="X426" i="35" l="1"/>
  <c r="Y426" i="35"/>
  <c r="Z426" i="35" s="1"/>
  <c r="AA426" i="35"/>
  <c r="E427" i="35"/>
  <c r="F427" i="35"/>
  <c r="G427" i="35"/>
  <c r="H427" i="35"/>
  <c r="I427" i="35"/>
  <c r="J427" i="35"/>
  <c r="K427" i="35"/>
  <c r="P427" i="35"/>
  <c r="Q427" i="35"/>
  <c r="R427" i="35"/>
  <c r="T427" i="35" l="1"/>
  <c r="U427" i="35"/>
  <c r="V427" i="35"/>
  <c r="W427" i="35"/>
  <c r="X427" i="35" l="1"/>
  <c r="Y427" i="35"/>
  <c r="Z427" i="35" s="1"/>
  <c r="AA427" i="35"/>
  <c r="E428" i="35"/>
  <c r="F428" i="35"/>
  <c r="G428" i="35"/>
  <c r="H428" i="35"/>
  <c r="I428" i="35"/>
  <c r="J428" i="35"/>
  <c r="K428" i="35"/>
  <c r="P428" i="35"/>
  <c r="Q428" i="35"/>
  <c r="R428" i="35"/>
  <c r="T428" i="35" l="1"/>
  <c r="U428" i="35"/>
  <c r="V428" i="35"/>
  <c r="W428" i="35"/>
  <c r="X428" i="35" l="1"/>
  <c r="Y428" i="35"/>
  <c r="Z428" i="35" s="1"/>
  <c r="AA428" i="35"/>
  <c r="E429" i="35"/>
  <c r="F429" i="35"/>
  <c r="G429" i="35"/>
  <c r="H429" i="35"/>
  <c r="I429" i="35"/>
  <c r="J429" i="35"/>
  <c r="K429" i="35"/>
  <c r="P429" i="35"/>
  <c r="Q429" i="35"/>
  <c r="R429" i="35"/>
  <c r="T429" i="35" l="1"/>
  <c r="U429" i="35"/>
  <c r="V429" i="35"/>
  <c r="W429" i="35"/>
  <c r="X429" i="35" l="1"/>
  <c r="Y429" i="35"/>
  <c r="Z429" i="35" s="1"/>
  <c r="AA429" i="35"/>
  <c r="E430" i="35"/>
  <c r="F430" i="35"/>
  <c r="G430" i="35"/>
  <c r="H430" i="35"/>
  <c r="I430" i="35"/>
  <c r="J430" i="35"/>
  <c r="K430" i="35"/>
  <c r="P430" i="35"/>
  <c r="Q430" i="35"/>
  <c r="R430" i="35"/>
  <c r="T430" i="35" l="1"/>
  <c r="U430" i="35"/>
  <c r="V430" i="35"/>
  <c r="W430" i="35"/>
  <c r="X430" i="35" l="1"/>
  <c r="Y430" i="35"/>
  <c r="Z430" i="35" s="1"/>
  <c r="AA430" i="35"/>
  <c r="E431" i="35"/>
  <c r="F431" i="35"/>
  <c r="G431" i="35"/>
  <c r="H431" i="35"/>
  <c r="I431" i="35"/>
  <c r="J431" i="35"/>
  <c r="K431" i="35"/>
  <c r="P431" i="35"/>
  <c r="Q431" i="35"/>
  <c r="R431" i="35"/>
  <c r="T431" i="35" l="1"/>
  <c r="U431" i="35"/>
  <c r="V431" i="35"/>
  <c r="W431" i="35"/>
  <c r="X431" i="35" l="1"/>
  <c r="Y431" i="35"/>
  <c r="Z431" i="35" s="1"/>
  <c r="AA431" i="35"/>
  <c r="E432" i="35"/>
  <c r="F432" i="35"/>
  <c r="G432" i="35"/>
  <c r="H432" i="35"/>
  <c r="I432" i="35"/>
  <c r="J432" i="35"/>
  <c r="K432" i="35"/>
  <c r="P432" i="35"/>
  <c r="Q432" i="35"/>
  <c r="R432" i="35"/>
  <c r="T432" i="35" l="1"/>
  <c r="U432" i="35"/>
  <c r="V432" i="35"/>
  <c r="W432" i="35"/>
  <c r="X432" i="35" l="1"/>
  <c r="Y432" i="35"/>
  <c r="Z432" i="35" s="1"/>
  <c r="AA432" i="35"/>
  <c r="E433" i="35"/>
  <c r="F433" i="35"/>
  <c r="G433" i="35"/>
  <c r="H433" i="35"/>
  <c r="I433" i="35"/>
  <c r="J433" i="35"/>
  <c r="K433" i="35"/>
  <c r="P433" i="35"/>
  <c r="Q433" i="35"/>
  <c r="R433" i="35"/>
  <c r="T433" i="35" l="1"/>
  <c r="U433" i="35"/>
  <c r="V433" i="35"/>
  <c r="W433" i="35"/>
  <c r="X433" i="35" l="1"/>
  <c r="Y433" i="35"/>
  <c r="Z433" i="35" s="1"/>
  <c r="AA433" i="35"/>
  <c r="E434" i="35"/>
  <c r="F434" i="35"/>
  <c r="G434" i="35"/>
  <c r="H434" i="35"/>
  <c r="I434" i="35"/>
  <c r="J434" i="35"/>
  <c r="K434" i="35"/>
  <c r="P434" i="35"/>
  <c r="Q434" i="35"/>
  <c r="R434" i="35"/>
  <c r="T434" i="35" l="1"/>
  <c r="U434" i="35"/>
  <c r="V434" i="35"/>
  <c r="W434" i="35"/>
  <c r="X434" i="35" l="1"/>
  <c r="Y434" i="35"/>
  <c r="Z434" i="35" s="1"/>
  <c r="AA434" i="35"/>
  <c r="E435" i="35"/>
  <c r="F435" i="35"/>
  <c r="G435" i="35"/>
  <c r="H435" i="35"/>
  <c r="I435" i="35"/>
  <c r="J435" i="35"/>
  <c r="K435" i="35"/>
  <c r="P435" i="35"/>
  <c r="Q435" i="35"/>
  <c r="R435" i="35"/>
  <c r="T435" i="35" l="1"/>
  <c r="U435" i="35"/>
  <c r="V435" i="35"/>
  <c r="W435" i="35"/>
  <c r="X435" i="35" l="1"/>
  <c r="Y435" i="35"/>
  <c r="Z435" i="35" s="1"/>
  <c r="AA435" i="35"/>
  <c r="E436" i="35"/>
  <c r="F436" i="35"/>
  <c r="G436" i="35"/>
  <c r="H436" i="35"/>
  <c r="I436" i="35"/>
  <c r="J436" i="35"/>
  <c r="K436" i="35"/>
  <c r="P436" i="35"/>
  <c r="Q436" i="35"/>
  <c r="R436" i="35"/>
  <c r="T436" i="35"/>
  <c r="U436" i="35"/>
  <c r="V436" i="35"/>
  <c r="W436" i="35"/>
  <c r="X436" i="35" l="1"/>
  <c r="Y436" i="35"/>
  <c r="Z436" i="35" s="1"/>
  <c r="AA436" i="35"/>
  <c r="E437" i="35"/>
  <c r="F437" i="35"/>
  <c r="G437" i="35"/>
  <c r="H437" i="35"/>
  <c r="I437" i="35"/>
  <c r="J437" i="35"/>
  <c r="K437" i="35"/>
  <c r="P437" i="35"/>
  <c r="Q437" i="35"/>
  <c r="R437" i="35"/>
  <c r="T437" i="35" l="1"/>
  <c r="U437" i="35"/>
  <c r="V437" i="35"/>
  <c r="W437" i="35"/>
  <c r="X437" i="35" l="1"/>
  <c r="Y437" i="35"/>
  <c r="Z437" i="35" s="1"/>
  <c r="AA437" i="35"/>
  <c r="E438" i="35"/>
  <c r="F438" i="35"/>
  <c r="G438" i="35"/>
  <c r="H438" i="35"/>
  <c r="I438" i="35"/>
  <c r="J438" i="35"/>
  <c r="K438" i="35"/>
  <c r="P438" i="35"/>
  <c r="Q438" i="35"/>
  <c r="R438" i="35"/>
  <c r="T438" i="35" l="1"/>
  <c r="U438" i="35"/>
  <c r="V438" i="35"/>
  <c r="W438" i="35"/>
  <c r="X438" i="35" l="1"/>
  <c r="Y438" i="35"/>
  <c r="Z438" i="35" s="1"/>
  <c r="AA438" i="35"/>
  <c r="E439" i="35"/>
  <c r="F439" i="35"/>
  <c r="G439" i="35"/>
  <c r="H439" i="35"/>
  <c r="I439" i="35"/>
  <c r="J439" i="35"/>
  <c r="K439" i="35"/>
  <c r="P439" i="35"/>
  <c r="Q439" i="35"/>
  <c r="R439" i="35"/>
  <c r="T439" i="35" l="1"/>
  <c r="U439" i="35"/>
  <c r="V439" i="35"/>
  <c r="W439" i="35"/>
  <c r="X439" i="35" l="1"/>
  <c r="Y439" i="35"/>
  <c r="Z439" i="35" s="1"/>
  <c r="AA439" i="35"/>
  <c r="E440" i="35"/>
  <c r="F440" i="35"/>
  <c r="G440" i="35"/>
  <c r="H440" i="35"/>
  <c r="I440" i="35"/>
  <c r="J440" i="35"/>
  <c r="K440" i="35"/>
  <c r="P440" i="35"/>
  <c r="Q440" i="35"/>
  <c r="R440" i="35"/>
  <c r="T440" i="35" l="1"/>
  <c r="U440" i="35"/>
  <c r="V440" i="35"/>
  <c r="W440" i="35"/>
  <c r="X440" i="35" l="1"/>
  <c r="Y440" i="35"/>
  <c r="Z440" i="35" s="1"/>
  <c r="AA440" i="35"/>
  <c r="E441" i="35"/>
  <c r="F441" i="35"/>
  <c r="G441" i="35"/>
  <c r="H441" i="35"/>
  <c r="I441" i="35"/>
  <c r="J441" i="35"/>
  <c r="K441" i="35"/>
  <c r="P441" i="35"/>
  <c r="Q441" i="35"/>
  <c r="R441" i="35"/>
  <c r="T441" i="35" l="1"/>
  <c r="U441" i="35"/>
  <c r="V441" i="35"/>
  <c r="W441" i="35"/>
  <c r="X441" i="35" l="1"/>
  <c r="Y441" i="35"/>
  <c r="Z441" i="35" s="1"/>
  <c r="AA441" i="35"/>
  <c r="E442" i="35"/>
  <c r="F442" i="35"/>
  <c r="G442" i="35"/>
  <c r="H442" i="35"/>
  <c r="I442" i="35"/>
  <c r="J442" i="35"/>
  <c r="K442" i="35"/>
  <c r="P442" i="35"/>
  <c r="Q442" i="35"/>
  <c r="R442" i="35"/>
  <c r="T442" i="35" l="1"/>
  <c r="U442" i="35"/>
  <c r="V442" i="35"/>
  <c r="W442" i="35"/>
  <c r="X442" i="35" l="1"/>
  <c r="Y442" i="35"/>
  <c r="Z442" i="35" s="1"/>
  <c r="AA442" i="35"/>
  <c r="E443" i="35"/>
  <c r="F443" i="35"/>
  <c r="G443" i="35"/>
  <c r="H443" i="35"/>
  <c r="I443" i="35"/>
  <c r="J443" i="35"/>
  <c r="K443" i="35"/>
  <c r="P443" i="35"/>
  <c r="Q443" i="35"/>
  <c r="R443" i="35"/>
  <c r="T443" i="35"/>
  <c r="U443" i="35"/>
  <c r="V443" i="35"/>
  <c r="W443" i="35"/>
  <c r="X443" i="35" l="1"/>
  <c r="Y443" i="35"/>
  <c r="Z443" i="35" s="1"/>
  <c r="AA443" i="35"/>
  <c r="E444" i="35"/>
  <c r="F444" i="35"/>
  <c r="G444" i="35"/>
  <c r="H444" i="35"/>
  <c r="I444" i="35"/>
  <c r="J444" i="35"/>
  <c r="K444" i="35"/>
  <c r="P444" i="35"/>
  <c r="Q444" i="35"/>
  <c r="R444" i="35"/>
  <c r="T444" i="35" l="1"/>
  <c r="U444" i="35"/>
  <c r="V444" i="35"/>
  <c r="W444" i="35"/>
  <c r="X444" i="35" l="1"/>
  <c r="Y444" i="35"/>
  <c r="Z444" i="35" s="1"/>
  <c r="AA444" i="35"/>
  <c r="E445" i="35"/>
  <c r="F445" i="35"/>
  <c r="G445" i="35"/>
  <c r="H445" i="35"/>
  <c r="I445" i="35"/>
  <c r="J445" i="35"/>
  <c r="K445" i="35"/>
  <c r="P445" i="35"/>
  <c r="Q445" i="35"/>
  <c r="R445" i="35"/>
  <c r="T445" i="35" l="1"/>
  <c r="U445" i="35"/>
  <c r="V445" i="35"/>
  <c r="W445" i="35"/>
  <c r="X445" i="35" l="1"/>
  <c r="Y445" i="35"/>
  <c r="Z445" i="35" s="1"/>
  <c r="AA445" i="35"/>
  <c r="E446" i="35"/>
  <c r="F446" i="35"/>
  <c r="G446" i="35"/>
  <c r="H446" i="35"/>
  <c r="I446" i="35"/>
  <c r="J446" i="35"/>
  <c r="K446" i="35"/>
  <c r="P446" i="35"/>
  <c r="Q446" i="35"/>
  <c r="R446" i="35"/>
  <c r="T446" i="35" l="1"/>
  <c r="U446" i="35"/>
  <c r="V446" i="35"/>
  <c r="W446" i="35"/>
  <c r="X446" i="35" l="1"/>
  <c r="Y446" i="35"/>
  <c r="Z446" i="35" s="1"/>
  <c r="AA446" i="35"/>
  <c r="E447" i="35"/>
  <c r="F447" i="35"/>
  <c r="G447" i="35"/>
  <c r="H447" i="35"/>
  <c r="I447" i="35"/>
  <c r="J447" i="35"/>
  <c r="K447" i="35"/>
  <c r="P447" i="35"/>
  <c r="Q447" i="35"/>
  <c r="R447" i="35"/>
  <c r="T447" i="35" l="1"/>
  <c r="U447" i="35"/>
  <c r="V447" i="35"/>
  <c r="W447" i="35"/>
  <c r="X447" i="35" l="1"/>
  <c r="Y447" i="35"/>
  <c r="Z447" i="35" s="1"/>
  <c r="AA447" i="35"/>
  <c r="E448" i="35"/>
  <c r="F448" i="35"/>
  <c r="G448" i="35"/>
  <c r="H448" i="35"/>
  <c r="I448" i="35"/>
  <c r="J448" i="35"/>
  <c r="K448" i="35"/>
  <c r="P448" i="35"/>
  <c r="Q448" i="35"/>
  <c r="R448" i="35"/>
  <c r="T448" i="35" l="1"/>
  <c r="U448" i="35"/>
  <c r="V448" i="35"/>
  <c r="W448" i="35"/>
  <c r="X448" i="35" l="1"/>
  <c r="Y448" i="35"/>
  <c r="Z448" i="35" s="1"/>
  <c r="AA448" i="35"/>
  <c r="E449" i="35"/>
  <c r="F449" i="35"/>
  <c r="G449" i="35"/>
  <c r="H449" i="35"/>
  <c r="I449" i="35"/>
  <c r="J449" i="35"/>
  <c r="K449" i="35"/>
  <c r="P449" i="35"/>
  <c r="Q449" i="35"/>
  <c r="R449" i="35"/>
  <c r="T449" i="35" l="1"/>
  <c r="U449" i="35"/>
  <c r="V449" i="35"/>
  <c r="W449" i="35"/>
  <c r="X449" i="35" l="1"/>
  <c r="Y449" i="35"/>
  <c r="Z449" i="35" s="1"/>
  <c r="AA449" i="35"/>
  <c r="E450" i="35"/>
  <c r="F450" i="35"/>
  <c r="G450" i="35"/>
  <c r="H450" i="35"/>
  <c r="I450" i="35"/>
  <c r="J450" i="35"/>
  <c r="K450" i="35"/>
  <c r="P450" i="35"/>
  <c r="Q450" i="35"/>
  <c r="R450" i="35"/>
  <c r="T450" i="35" l="1"/>
  <c r="U450" i="35"/>
  <c r="V450" i="35"/>
  <c r="W450" i="35"/>
  <c r="X450" i="35" l="1"/>
  <c r="Y450" i="35"/>
  <c r="Z450" i="35" s="1"/>
  <c r="AA450" i="35"/>
  <c r="E451" i="35"/>
  <c r="F451" i="35"/>
  <c r="G451" i="35"/>
  <c r="H451" i="35"/>
  <c r="I451" i="35"/>
  <c r="J451" i="35"/>
  <c r="K451" i="35"/>
  <c r="P451" i="35"/>
  <c r="Q451" i="35"/>
  <c r="R451" i="35"/>
  <c r="T451" i="35" l="1"/>
  <c r="U451" i="35"/>
  <c r="V451" i="35"/>
  <c r="W451" i="35"/>
  <c r="X451" i="35" l="1"/>
  <c r="Y451" i="35"/>
  <c r="Z451" i="35" s="1"/>
  <c r="AA451" i="35"/>
  <c r="E452" i="35"/>
  <c r="F452" i="35"/>
  <c r="G452" i="35"/>
  <c r="H452" i="35"/>
  <c r="I452" i="35"/>
  <c r="J452" i="35"/>
  <c r="K452" i="35"/>
  <c r="P452" i="35"/>
  <c r="Q452" i="35"/>
  <c r="R452" i="35"/>
  <c r="T452" i="35" l="1"/>
  <c r="U452" i="35"/>
  <c r="V452" i="35"/>
  <c r="W452" i="35"/>
  <c r="X452" i="35" l="1"/>
  <c r="Y452" i="35"/>
  <c r="Z452" i="35" s="1"/>
  <c r="AA452" i="35"/>
  <c r="E453" i="35"/>
  <c r="F453" i="35"/>
  <c r="G453" i="35"/>
  <c r="H453" i="35"/>
  <c r="I453" i="35"/>
  <c r="J453" i="35"/>
  <c r="K453" i="35"/>
  <c r="P453" i="35"/>
  <c r="Q453" i="35"/>
  <c r="R453" i="35"/>
  <c r="T453" i="35" l="1"/>
  <c r="U453" i="35"/>
  <c r="V453" i="35"/>
  <c r="W453" i="35"/>
  <c r="X453" i="35" l="1"/>
  <c r="Y453" i="35"/>
  <c r="Z453" i="35" s="1"/>
  <c r="AA453" i="35"/>
  <c r="E454" i="35"/>
  <c r="F454" i="35"/>
  <c r="G454" i="35"/>
  <c r="H454" i="35"/>
  <c r="I454" i="35"/>
  <c r="J454" i="35"/>
  <c r="K454" i="35"/>
  <c r="P454" i="35"/>
  <c r="Q454" i="35"/>
  <c r="R454" i="35"/>
  <c r="T454" i="35" l="1"/>
  <c r="U454" i="35"/>
  <c r="V454" i="35"/>
  <c r="W454" i="35"/>
  <c r="X454" i="35" l="1"/>
  <c r="Y454" i="35"/>
  <c r="Z454" i="35" s="1"/>
  <c r="AA454" i="35"/>
  <c r="E455" i="35"/>
  <c r="F455" i="35"/>
  <c r="G455" i="35"/>
  <c r="H455" i="35"/>
  <c r="I455" i="35"/>
  <c r="J455" i="35"/>
  <c r="K455" i="35"/>
  <c r="P455" i="35"/>
  <c r="Q455" i="35"/>
  <c r="R455" i="35"/>
  <c r="T455" i="35" l="1"/>
  <c r="U455" i="35"/>
  <c r="V455" i="35"/>
  <c r="W455" i="35"/>
  <c r="X455" i="35" l="1"/>
  <c r="Y455" i="35"/>
  <c r="Z455" i="35" s="1"/>
  <c r="AA455" i="35"/>
  <c r="E456" i="35"/>
  <c r="F456" i="35"/>
  <c r="G456" i="35"/>
  <c r="H456" i="35"/>
  <c r="I456" i="35"/>
  <c r="J456" i="35"/>
  <c r="K456" i="35"/>
  <c r="P456" i="35"/>
  <c r="Q456" i="35"/>
  <c r="R456" i="35"/>
  <c r="T456" i="35" l="1"/>
  <c r="U456" i="35"/>
  <c r="V456" i="35"/>
  <c r="W456" i="35"/>
  <c r="X456" i="35" l="1"/>
  <c r="Y456" i="35"/>
  <c r="Z456" i="35" s="1"/>
  <c r="AA456" i="35"/>
  <c r="E457" i="35"/>
  <c r="F457" i="35"/>
  <c r="G457" i="35"/>
  <c r="H457" i="35"/>
  <c r="I457" i="35"/>
  <c r="J457" i="35"/>
  <c r="K457" i="35"/>
  <c r="P457" i="35"/>
  <c r="Q457" i="35"/>
  <c r="R457" i="35"/>
  <c r="T457" i="35" l="1"/>
  <c r="U457" i="35"/>
  <c r="V457" i="35"/>
  <c r="W457" i="35"/>
  <c r="X457" i="35" l="1"/>
  <c r="Y457" i="35"/>
  <c r="Z457" i="35" s="1"/>
  <c r="AA457" i="35"/>
  <c r="E458" i="35"/>
  <c r="F458" i="35"/>
  <c r="G458" i="35"/>
  <c r="H458" i="35"/>
  <c r="I458" i="35"/>
  <c r="J458" i="35"/>
  <c r="K458" i="35"/>
  <c r="P458" i="35"/>
  <c r="Q458" i="35"/>
  <c r="R458" i="35"/>
  <c r="T458" i="35" l="1"/>
  <c r="U458" i="35"/>
  <c r="V458" i="35"/>
  <c r="W458" i="35"/>
  <c r="X458" i="35" l="1"/>
  <c r="Y458" i="35"/>
  <c r="Z458" i="35" s="1"/>
  <c r="AA458" i="35"/>
  <c r="E459" i="35"/>
  <c r="F459" i="35"/>
  <c r="G459" i="35"/>
  <c r="H459" i="35"/>
  <c r="I459" i="35"/>
  <c r="J459" i="35"/>
  <c r="K459" i="35"/>
  <c r="P459" i="35"/>
  <c r="Q459" i="35"/>
  <c r="R459" i="35"/>
  <c r="T459" i="35" l="1"/>
  <c r="U459" i="35"/>
  <c r="V459" i="35"/>
  <c r="W459" i="35"/>
  <c r="X459" i="35" l="1"/>
  <c r="Y459" i="35"/>
  <c r="Z459" i="35" s="1"/>
  <c r="AA459" i="35"/>
  <c r="E460" i="35"/>
  <c r="F460" i="35"/>
  <c r="G460" i="35"/>
  <c r="H460" i="35"/>
  <c r="I460" i="35"/>
  <c r="J460" i="35"/>
  <c r="K460" i="35"/>
  <c r="P460" i="35"/>
  <c r="Q460" i="35"/>
  <c r="R460" i="35"/>
  <c r="T460" i="35" l="1"/>
  <c r="U460" i="35"/>
  <c r="V460" i="35"/>
  <c r="W460" i="35"/>
  <c r="X460" i="35" l="1"/>
  <c r="Y460" i="35"/>
  <c r="Z460" i="35" s="1"/>
  <c r="AA460" i="35"/>
  <c r="E461" i="35"/>
  <c r="F461" i="35"/>
  <c r="G461" i="35"/>
  <c r="H461" i="35"/>
  <c r="I461" i="35"/>
  <c r="J461" i="35"/>
  <c r="K461" i="35"/>
  <c r="P461" i="35"/>
  <c r="Q461" i="35"/>
  <c r="R461" i="35"/>
  <c r="T461" i="35" l="1"/>
  <c r="U461" i="35"/>
  <c r="V461" i="35"/>
  <c r="W461" i="35"/>
  <c r="X461" i="35" l="1"/>
  <c r="Y461" i="35"/>
  <c r="Z461" i="35" s="1"/>
  <c r="AA461" i="35"/>
  <c r="E462" i="35"/>
  <c r="F462" i="35"/>
  <c r="G462" i="35"/>
  <c r="H462" i="35"/>
  <c r="I462" i="35"/>
  <c r="J462" i="35"/>
  <c r="K462" i="35"/>
  <c r="P462" i="35"/>
  <c r="Q462" i="35"/>
  <c r="R462" i="35"/>
  <c r="T462" i="35" l="1"/>
  <c r="U462" i="35"/>
  <c r="V462" i="35"/>
  <c r="W462" i="35"/>
  <c r="X462" i="35" l="1"/>
  <c r="Y462" i="35"/>
  <c r="Z462" i="35" s="1"/>
  <c r="AA462" i="35"/>
  <c r="E463" i="35"/>
  <c r="F463" i="35"/>
  <c r="G463" i="35"/>
  <c r="H463" i="35"/>
  <c r="I463" i="35"/>
  <c r="J463" i="35"/>
  <c r="K463" i="35"/>
  <c r="P463" i="35"/>
  <c r="Q463" i="35"/>
  <c r="R463" i="35"/>
  <c r="T463" i="35" l="1"/>
  <c r="U463" i="35"/>
  <c r="V463" i="35"/>
  <c r="W463" i="35"/>
  <c r="X463" i="35" l="1"/>
  <c r="Y463" i="35"/>
  <c r="Z463" i="35" s="1"/>
  <c r="AA463" i="35"/>
  <c r="E464" i="35"/>
  <c r="F464" i="35"/>
  <c r="G464" i="35"/>
  <c r="H464" i="35"/>
  <c r="I464" i="35"/>
  <c r="J464" i="35"/>
  <c r="K464" i="35"/>
  <c r="P464" i="35"/>
  <c r="Q464" i="35"/>
  <c r="R464" i="35"/>
  <c r="T464" i="35" l="1"/>
  <c r="U464" i="35"/>
  <c r="V464" i="35"/>
  <c r="W464" i="35"/>
  <c r="X464" i="35" l="1"/>
  <c r="Y464" i="35"/>
  <c r="Z464" i="35" s="1"/>
  <c r="AA464" i="35"/>
  <c r="E465" i="35"/>
  <c r="F465" i="35"/>
  <c r="G465" i="35"/>
  <c r="H465" i="35"/>
  <c r="I465" i="35"/>
  <c r="J465" i="35"/>
  <c r="K465" i="35"/>
  <c r="P465" i="35"/>
  <c r="Q465" i="35"/>
  <c r="R465" i="35"/>
  <c r="T465" i="35" l="1"/>
  <c r="U465" i="35"/>
  <c r="V465" i="35"/>
  <c r="W465" i="35"/>
  <c r="X465" i="35" l="1"/>
  <c r="Y465" i="35"/>
  <c r="Z465" i="35" s="1"/>
  <c r="AA465" i="35"/>
  <c r="E466" i="35"/>
  <c r="F466" i="35"/>
  <c r="G466" i="35"/>
  <c r="H466" i="35"/>
  <c r="I466" i="35"/>
  <c r="J466" i="35"/>
  <c r="K466" i="35"/>
  <c r="P466" i="35"/>
  <c r="Q466" i="35"/>
  <c r="R466" i="35"/>
  <c r="T466" i="35" l="1"/>
  <c r="U466" i="35"/>
  <c r="V466" i="35"/>
  <c r="W466" i="35"/>
  <c r="X466" i="35" l="1"/>
  <c r="Y466" i="35"/>
  <c r="Z466" i="35" s="1"/>
  <c r="AA466" i="35"/>
  <c r="E467" i="35"/>
  <c r="F467" i="35"/>
  <c r="G467" i="35"/>
  <c r="H467" i="35"/>
  <c r="I467" i="35"/>
  <c r="J467" i="35"/>
  <c r="K467" i="35"/>
  <c r="P467" i="35"/>
  <c r="Q467" i="35"/>
  <c r="R467" i="35"/>
  <c r="T467" i="35" l="1"/>
  <c r="U467" i="35"/>
  <c r="V467" i="35"/>
  <c r="W467" i="35"/>
  <c r="X467" i="35" l="1"/>
  <c r="Y467" i="35"/>
  <c r="Z467" i="35" s="1"/>
  <c r="AA467" i="35"/>
  <c r="E468" i="35"/>
  <c r="F468" i="35"/>
  <c r="G468" i="35"/>
  <c r="H468" i="35"/>
  <c r="I468" i="35"/>
  <c r="J468" i="35"/>
  <c r="K468" i="35"/>
  <c r="P468" i="35"/>
  <c r="Q468" i="35"/>
  <c r="R468" i="35"/>
  <c r="T468" i="35" l="1"/>
  <c r="U468" i="35"/>
  <c r="V468" i="35"/>
  <c r="W468" i="35"/>
  <c r="X468" i="35" l="1"/>
  <c r="Y468" i="35"/>
  <c r="Z468" i="35" s="1"/>
  <c r="AA468" i="35"/>
  <c r="E469" i="35"/>
  <c r="F469" i="35"/>
  <c r="G469" i="35"/>
  <c r="H469" i="35"/>
  <c r="I469" i="35"/>
  <c r="J469" i="35"/>
  <c r="K469" i="35"/>
  <c r="P469" i="35"/>
  <c r="Q469" i="35"/>
  <c r="R469" i="35"/>
  <c r="T469" i="35" l="1"/>
  <c r="U469" i="35"/>
  <c r="V469" i="35"/>
  <c r="W469" i="35"/>
  <c r="X469" i="35" l="1"/>
  <c r="Y469" i="35"/>
  <c r="Z469" i="35" s="1"/>
  <c r="AA469" i="35"/>
  <c r="E470" i="35"/>
  <c r="F470" i="35"/>
  <c r="G470" i="35"/>
  <c r="H470" i="35"/>
  <c r="I470" i="35"/>
  <c r="J470" i="35"/>
  <c r="K470" i="35"/>
  <c r="P470" i="35"/>
  <c r="Q470" i="35"/>
  <c r="R470" i="35"/>
  <c r="T470" i="35" l="1"/>
  <c r="U470" i="35"/>
  <c r="V470" i="35"/>
  <c r="W470" i="35"/>
  <c r="X470" i="35" l="1"/>
  <c r="Y470" i="35"/>
  <c r="Z470" i="35" s="1"/>
  <c r="AA470" i="35"/>
  <c r="E471" i="35"/>
  <c r="F471" i="35"/>
  <c r="G471" i="35"/>
  <c r="H471" i="35"/>
  <c r="I471" i="35"/>
  <c r="J471" i="35"/>
  <c r="K471" i="35"/>
  <c r="P471" i="35"/>
  <c r="Q471" i="35"/>
  <c r="R471" i="35"/>
  <c r="T471" i="35" l="1"/>
  <c r="U471" i="35"/>
  <c r="V471" i="35"/>
  <c r="W471" i="35"/>
  <c r="X471" i="35" l="1"/>
  <c r="Y471" i="35"/>
  <c r="Z471" i="35" s="1"/>
  <c r="AA471" i="35"/>
  <c r="E472" i="35"/>
  <c r="F472" i="35"/>
  <c r="G472" i="35"/>
  <c r="H472" i="35"/>
  <c r="I472" i="35"/>
  <c r="J472" i="35"/>
  <c r="K472" i="35"/>
  <c r="P472" i="35"/>
  <c r="Q472" i="35"/>
  <c r="R472" i="35"/>
  <c r="T472" i="35" l="1"/>
  <c r="U472" i="35"/>
  <c r="V472" i="35"/>
  <c r="W472" i="35"/>
  <c r="X472" i="35" l="1"/>
  <c r="Y472" i="35"/>
  <c r="Z472" i="35" s="1"/>
  <c r="AA472" i="35"/>
  <c r="E473" i="35"/>
  <c r="F473" i="35"/>
  <c r="G473" i="35"/>
  <c r="H473" i="35"/>
  <c r="I473" i="35"/>
  <c r="J473" i="35"/>
  <c r="K473" i="35"/>
  <c r="P473" i="35"/>
  <c r="Q473" i="35"/>
  <c r="R473" i="35"/>
  <c r="T473" i="35" l="1"/>
  <c r="U473" i="35"/>
  <c r="V473" i="35"/>
  <c r="W473" i="35"/>
  <c r="X473" i="35" l="1"/>
  <c r="Y473" i="35"/>
  <c r="Z473" i="35" s="1"/>
  <c r="AA473" i="35"/>
  <c r="E474" i="35"/>
  <c r="F474" i="35"/>
  <c r="G474" i="35"/>
  <c r="H474" i="35"/>
  <c r="I474" i="35"/>
  <c r="J474" i="35"/>
  <c r="K474" i="35"/>
  <c r="P474" i="35"/>
  <c r="Q474" i="35"/>
  <c r="R474" i="35"/>
  <c r="T474" i="35" l="1"/>
  <c r="U474" i="35"/>
  <c r="V474" i="35"/>
  <c r="W474" i="35"/>
  <c r="X474" i="35" l="1"/>
  <c r="Y474" i="35"/>
  <c r="Z474" i="35" s="1"/>
  <c r="AA474" i="35"/>
  <c r="E475" i="35"/>
  <c r="F475" i="35"/>
  <c r="G475" i="35"/>
  <c r="H475" i="35"/>
  <c r="I475" i="35"/>
  <c r="J475" i="35"/>
  <c r="K475" i="35"/>
  <c r="P475" i="35"/>
  <c r="Q475" i="35"/>
  <c r="R475" i="35"/>
  <c r="T475" i="35" l="1"/>
  <c r="U475" i="35"/>
  <c r="V475" i="35"/>
  <c r="W475" i="35"/>
  <c r="X475" i="35" l="1"/>
  <c r="Y475" i="35"/>
  <c r="Z475" i="35" s="1"/>
  <c r="AA475" i="35"/>
  <c r="E476" i="35"/>
  <c r="F476" i="35"/>
  <c r="G476" i="35"/>
  <c r="H476" i="35"/>
  <c r="I476" i="35"/>
  <c r="J476" i="35"/>
  <c r="K476" i="35"/>
  <c r="P476" i="35"/>
  <c r="Q476" i="35"/>
  <c r="R476" i="35"/>
  <c r="T476" i="35" l="1"/>
  <c r="U476" i="35"/>
  <c r="V476" i="35"/>
  <c r="W476" i="35"/>
  <c r="X476" i="35" l="1"/>
  <c r="Y476" i="35"/>
  <c r="Z476" i="35" s="1"/>
  <c r="AA476" i="35"/>
  <c r="E477" i="35"/>
  <c r="F477" i="35"/>
  <c r="G477" i="35"/>
  <c r="H477" i="35"/>
  <c r="I477" i="35"/>
  <c r="J477" i="35"/>
  <c r="K477" i="35"/>
  <c r="P477" i="35"/>
  <c r="Q477" i="35"/>
  <c r="R477" i="35"/>
  <c r="T477" i="35" l="1"/>
  <c r="U477" i="35"/>
  <c r="V477" i="35"/>
  <c r="W477" i="35"/>
  <c r="X477" i="35" l="1"/>
  <c r="Y477" i="35"/>
  <c r="Z477" i="35" s="1"/>
  <c r="AA477" i="35"/>
  <c r="E478" i="35"/>
  <c r="F478" i="35"/>
  <c r="G478" i="35"/>
  <c r="H478" i="35"/>
  <c r="I478" i="35"/>
  <c r="J478" i="35"/>
  <c r="K478" i="35"/>
  <c r="P478" i="35"/>
  <c r="Q478" i="35"/>
  <c r="R478" i="35"/>
  <c r="T478" i="35" l="1"/>
  <c r="U478" i="35"/>
  <c r="V478" i="35"/>
  <c r="W478" i="35"/>
  <c r="X478" i="35" l="1"/>
  <c r="Y478" i="35"/>
  <c r="Z478" i="35" s="1"/>
  <c r="AA478" i="35"/>
  <c r="E479" i="35"/>
  <c r="F479" i="35"/>
  <c r="G479" i="35"/>
  <c r="H479" i="35"/>
  <c r="I479" i="35"/>
  <c r="J479" i="35"/>
  <c r="K479" i="35"/>
  <c r="P479" i="35"/>
  <c r="Q479" i="35"/>
  <c r="R479" i="35"/>
  <c r="T479" i="35" l="1"/>
  <c r="U479" i="35"/>
  <c r="V479" i="35"/>
  <c r="W479" i="35"/>
  <c r="X479" i="35" l="1"/>
  <c r="Y479" i="35"/>
  <c r="Z479" i="35" s="1"/>
  <c r="AA479" i="35"/>
  <c r="E480" i="35"/>
  <c r="F480" i="35"/>
  <c r="G480" i="35"/>
  <c r="H480" i="35"/>
  <c r="I480" i="35"/>
  <c r="J480" i="35"/>
  <c r="K480" i="35"/>
  <c r="P480" i="35"/>
  <c r="Q480" i="35"/>
  <c r="R480" i="35"/>
  <c r="T480" i="35" l="1"/>
  <c r="U480" i="35"/>
  <c r="V480" i="35"/>
  <c r="W480" i="35"/>
  <c r="X480" i="35" l="1"/>
  <c r="Y480" i="35"/>
  <c r="Z480" i="35" s="1"/>
  <c r="AA480" i="35"/>
  <c r="E481" i="35"/>
  <c r="F481" i="35"/>
  <c r="G481" i="35"/>
  <c r="H481" i="35"/>
  <c r="I481" i="35"/>
  <c r="J481" i="35"/>
  <c r="K481" i="35"/>
  <c r="P481" i="35"/>
  <c r="Q481" i="35"/>
  <c r="R481" i="35"/>
  <c r="T481" i="35"/>
  <c r="U481" i="35"/>
  <c r="V481" i="35"/>
  <c r="W481" i="35"/>
  <c r="X481" i="35" l="1"/>
  <c r="Y481" i="35"/>
  <c r="Z481" i="35" s="1"/>
  <c r="AA481" i="35"/>
  <c r="E482" i="35"/>
  <c r="F482" i="35"/>
  <c r="G482" i="35"/>
  <c r="H482" i="35"/>
  <c r="I482" i="35"/>
  <c r="J482" i="35"/>
  <c r="K482" i="35"/>
  <c r="P482" i="35"/>
  <c r="Q482" i="35"/>
  <c r="R482" i="35"/>
  <c r="T482" i="35" l="1"/>
  <c r="U482" i="35"/>
  <c r="V482" i="35"/>
  <c r="W482" i="35"/>
  <c r="X482" i="35" l="1"/>
  <c r="Y482" i="35"/>
  <c r="Z482" i="35" s="1"/>
  <c r="AA482" i="35"/>
  <c r="E483" i="35"/>
  <c r="F483" i="35"/>
  <c r="G483" i="35"/>
  <c r="H483" i="35"/>
  <c r="I483" i="35"/>
  <c r="J483" i="35"/>
  <c r="K483" i="35"/>
  <c r="P483" i="35"/>
  <c r="Q483" i="35"/>
  <c r="R483" i="35"/>
  <c r="T483" i="35" l="1"/>
  <c r="U483" i="35"/>
  <c r="V483" i="35"/>
  <c r="W483" i="35"/>
  <c r="X483" i="35" l="1"/>
  <c r="Y483" i="35"/>
  <c r="Z483" i="35" s="1"/>
  <c r="AA483" i="35"/>
  <c r="E484" i="35"/>
  <c r="F484" i="35"/>
  <c r="G484" i="35"/>
  <c r="H484" i="35"/>
  <c r="I484" i="35"/>
  <c r="J484" i="35"/>
  <c r="K484" i="35"/>
  <c r="P484" i="35"/>
  <c r="Q484" i="35"/>
  <c r="R484" i="35"/>
  <c r="T484" i="35" l="1"/>
  <c r="U484" i="35"/>
  <c r="V484" i="35"/>
  <c r="W484" i="35"/>
  <c r="X484" i="35" l="1"/>
  <c r="Y484" i="35"/>
  <c r="Z484" i="35" s="1"/>
  <c r="AA484" i="35"/>
  <c r="E485" i="35"/>
  <c r="F485" i="35"/>
  <c r="G485" i="35"/>
  <c r="H485" i="35"/>
  <c r="I485" i="35"/>
  <c r="J485" i="35"/>
  <c r="K485" i="35"/>
  <c r="P485" i="35"/>
  <c r="Q485" i="35"/>
  <c r="R485" i="35"/>
  <c r="T485" i="35"/>
  <c r="U485" i="35"/>
  <c r="V485" i="35"/>
  <c r="W485" i="35"/>
  <c r="X485" i="35" l="1"/>
  <c r="Y485" i="35"/>
  <c r="Z485" i="35" s="1"/>
  <c r="AA485" i="35"/>
  <c r="E486" i="35"/>
  <c r="F486" i="35"/>
  <c r="G486" i="35"/>
  <c r="H486" i="35"/>
  <c r="I486" i="35"/>
  <c r="J486" i="35"/>
  <c r="K486" i="35"/>
  <c r="P486" i="35"/>
  <c r="Q486" i="35"/>
  <c r="R486" i="35"/>
  <c r="T486" i="35" l="1"/>
  <c r="U486" i="35"/>
  <c r="V486" i="35"/>
  <c r="W486" i="35"/>
  <c r="X486" i="35" l="1"/>
  <c r="Y486" i="35"/>
  <c r="Z486" i="35" s="1"/>
  <c r="AA486" i="35"/>
  <c r="E487" i="35"/>
  <c r="F487" i="35"/>
  <c r="G487" i="35"/>
  <c r="H487" i="35"/>
  <c r="I487" i="35"/>
  <c r="J487" i="35"/>
  <c r="K487" i="35"/>
  <c r="P487" i="35"/>
  <c r="Q487" i="35"/>
  <c r="R487" i="35"/>
  <c r="T487" i="35" l="1"/>
  <c r="U487" i="35"/>
  <c r="V487" i="35"/>
  <c r="W487" i="35"/>
  <c r="X487" i="35" l="1"/>
  <c r="Y487" i="35"/>
  <c r="Z487" i="35" s="1"/>
  <c r="AA487" i="35"/>
  <c r="E488" i="35"/>
  <c r="F488" i="35"/>
  <c r="G488" i="35"/>
  <c r="H488" i="35"/>
  <c r="I488" i="35"/>
  <c r="J488" i="35"/>
  <c r="K488" i="35"/>
  <c r="P488" i="35"/>
  <c r="Q488" i="35"/>
  <c r="R488" i="35"/>
  <c r="T488" i="35" l="1"/>
  <c r="U488" i="35"/>
  <c r="V488" i="35"/>
  <c r="W488" i="35"/>
  <c r="X488" i="35" l="1"/>
  <c r="Y488" i="35"/>
  <c r="Z488" i="35" s="1"/>
  <c r="AA488" i="35"/>
  <c r="E489" i="35"/>
  <c r="F489" i="35"/>
  <c r="G489" i="35"/>
  <c r="H489" i="35"/>
  <c r="I489" i="35"/>
  <c r="J489" i="35"/>
  <c r="K489" i="35"/>
  <c r="P489" i="35"/>
  <c r="Q489" i="35"/>
  <c r="R489" i="35"/>
  <c r="T489" i="35" l="1"/>
  <c r="U489" i="35"/>
  <c r="V489" i="35"/>
  <c r="W489" i="35"/>
  <c r="X489" i="35" l="1"/>
  <c r="Y489" i="35"/>
  <c r="Z489" i="35" s="1"/>
  <c r="AA489" i="35"/>
  <c r="E490" i="35"/>
  <c r="F490" i="35"/>
  <c r="G490" i="35"/>
  <c r="H490" i="35"/>
  <c r="I490" i="35"/>
  <c r="J490" i="35"/>
  <c r="K490" i="35"/>
  <c r="P490" i="35"/>
  <c r="Q490" i="35"/>
  <c r="R490" i="35"/>
  <c r="T490" i="35"/>
  <c r="U490" i="35"/>
  <c r="V490" i="35"/>
  <c r="W490" i="35"/>
  <c r="X490" i="35" l="1"/>
  <c r="Y490" i="35"/>
  <c r="Z490" i="35" s="1"/>
  <c r="AA490" i="35"/>
  <c r="E491" i="35"/>
  <c r="F491" i="35"/>
  <c r="G491" i="35"/>
  <c r="H491" i="35"/>
  <c r="I491" i="35"/>
  <c r="J491" i="35"/>
  <c r="K491" i="35"/>
  <c r="P491" i="35"/>
  <c r="Q491" i="35"/>
  <c r="R491" i="35"/>
  <c r="T491" i="35" l="1"/>
  <c r="U491" i="35"/>
  <c r="V491" i="35"/>
  <c r="W491" i="35"/>
  <c r="X491" i="35" l="1"/>
  <c r="Y491" i="35"/>
  <c r="Z491" i="35" s="1"/>
  <c r="AA491" i="35"/>
  <c r="F7" i="35"/>
  <c r="N73" i="35"/>
  <c r="N76" i="35"/>
  <c r="N61" i="35"/>
  <c r="N31" i="35"/>
  <c r="N28" i="35"/>
  <c r="N13" i="35"/>
  <c r="N10" i="35"/>
  <c r="N53" i="35"/>
  <c r="N50" i="35"/>
  <c r="N29" i="35"/>
  <c r="T8" i="35"/>
  <c r="T74" i="35"/>
  <c r="T77" i="35"/>
  <c r="T62" i="35"/>
  <c r="T47" i="35"/>
  <c r="T59" i="35"/>
  <c r="T56" i="35"/>
  <c r="T53" i="35"/>
  <c r="T50" i="35"/>
  <c r="T44" i="35"/>
  <c r="T35" i="35"/>
  <c r="T38" i="35"/>
  <c r="T41" i="35"/>
  <c r="T32" i="35"/>
  <c r="T29" i="35"/>
  <c r="T26" i="35"/>
  <c r="T23" i="35"/>
  <c r="T20" i="35"/>
  <c r="T17" i="35"/>
  <c r="T14" i="35"/>
  <c r="T11" i="35"/>
  <c r="T5" i="35"/>
  <c r="T65" i="35"/>
  <c r="T68" i="35"/>
  <c r="T71" i="35"/>
  <c r="T73" i="35"/>
  <c r="T76" i="35"/>
  <c r="T61" i="35"/>
  <c r="T46" i="35"/>
  <c r="T58" i="35"/>
  <c r="T55" i="35"/>
  <c r="T52" i="35"/>
  <c r="T49" i="35"/>
  <c r="T43" i="35"/>
  <c r="T34" i="35"/>
  <c r="T37" i="35"/>
  <c r="T40" i="35"/>
  <c r="T31" i="35"/>
  <c r="T28" i="35"/>
  <c r="T25" i="35"/>
  <c r="T22" i="35"/>
  <c r="T19" i="35"/>
  <c r="T16" i="35"/>
  <c r="T13" i="35"/>
  <c r="T10" i="35"/>
  <c r="T4" i="35"/>
  <c r="T64" i="35"/>
  <c r="T67" i="35"/>
  <c r="T70" i="35"/>
  <c r="T9" i="35"/>
  <c r="T75" i="35"/>
  <c r="T78" i="35"/>
  <c r="T63" i="35"/>
  <c r="T48" i="35"/>
  <c r="T60" i="35"/>
  <c r="T57" i="35"/>
  <c r="T54" i="35"/>
  <c r="T51" i="35"/>
  <c r="T45" i="35"/>
  <c r="T36" i="35"/>
  <c r="T39" i="35"/>
  <c r="T42" i="35"/>
  <c r="T33" i="35"/>
  <c r="T30" i="35"/>
  <c r="T27" i="35"/>
  <c r="T24" i="35"/>
  <c r="T21" i="35"/>
  <c r="T18" i="35"/>
  <c r="T15" i="35"/>
  <c r="T12" i="35"/>
  <c r="T6" i="35"/>
  <c r="T66" i="35"/>
  <c r="T69" i="35"/>
  <c r="T72" i="35"/>
  <c r="T79" i="35"/>
  <c r="F76" i="35"/>
  <c r="G76" i="35"/>
  <c r="H76" i="35"/>
  <c r="F61" i="35"/>
  <c r="G61" i="35"/>
  <c r="H61" i="35"/>
  <c r="F46" i="35"/>
  <c r="G46" i="35"/>
  <c r="H46" i="35"/>
  <c r="F58" i="35"/>
  <c r="G58" i="35"/>
  <c r="H58" i="35"/>
  <c r="F55" i="35"/>
  <c r="G55" i="35"/>
  <c r="H55" i="35"/>
  <c r="F52" i="35"/>
  <c r="G52" i="35"/>
  <c r="H52" i="35"/>
  <c r="F49" i="35"/>
  <c r="G49" i="35"/>
  <c r="H49" i="35"/>
  <c r="F43" i="35"/>
  <c r="G43" i="35"/>
  <c r="H43" i="35"/>
  <c r="F34" i="35"/>
  <c r="G34" i="35"/>
  <c r="H34" i="35"/>
  <c r="F37" i="35"/>
  <c r="G37" i="35"/>
  <c r="H37" i="35"/>
  <c r="F40" i="35"/>
  <c r="G40" i="35"/>
  <c r="H40" i="35"/>
  <c r="F31" i="35"/>
  <c r="G31" i="35"/>
  <c r="H31" i="35"/>
  <c r="F28" i="35"/>
  <c r="G28" i="35"/>
  <c r="H28" i="35"/>
  <c r="F25" i="35"/>
  <c r="G25" i="35"/>
  <c r="H25" i="35"/>
  <c r="F22" i="35"/>
  <c r="G22" i="35"/>
  <c r="H22" i="35"/>
  <c r="F19" i="35"/>
  <c r="G19" i="35"/>
  <c r="H19" i="35"/>
  <c r="F16" i="35"/>
  <c r="G16" i="35"/>
  <c r="H16" i="35"/>
  <c r="F13" i="35"/>
  <c r="G13" i="35"/>
  <c r="H13" i="35"/>
  <c r="F10" i="35"/>
  <c r="G10" i="35"/>
  <c r="H10" i="35"/>
  <c r="F4" i="35"/>
  <c r="G4" i="35"/>
  <c r="H4" i="35"/>
  <c r="F64" i="35"/>
  <c r="G64" i="35"/>
  <c r="H64" i="35"/>
  <c r="F67" i="35"/>
  <c r="G67" i="35"/>
  <c r="H67" i="35"/>
  <c r="F70" i="35"/>
  <c r="G70" i="35"/>
  <c r="H70" i="35"/>
  <c r="F8" i="35"/>
  <c r="G8" i="35"/>
  <c r="H8" i="35"/>
  <c r="F74" i="35"/>
  <c r="G74" i="35"/>
  <c r="H74" i="35"/>
  <c r="F77" i="35"/>
  <c r="G77" i="35"/>
  <c r="H77" i="35"/>
  <c r="F62" i="35"/>
  <c r="G62" i="35"/>
  <c r="H62" i="35"/>
  <c r="F47" i="35"/>
  <c r="G47" i="35"/>
  <c r="H47" i="35"/>
  <c r="F59" i="35"/>
  <c r="G59" i="35"/>
  <c r="H59" i="35"/>
  <c r="F56" i="35"/>
  <c r="G56" i="35"/>
  <c r="H56" i="35"/>
  <c r="F53" i="35"/>
  <c r="O53" i="35" s="1"/>
  <c r="G53" i="35"/>
  <c r="H53" i="35"/>
  <c r="F50" i="35"/>
  <c r="G50" i="35"/>
  <c r="H50" i="35"/>
  <c r="F44" i="35"/>
  <c r="G44" i="35"/>
  <c r="H44" i="35"/>
  <c r="F35" i="35"/>
  <c r="G35" i="35"/>
  <c r="H35" i="35"/>
  <c r="F38" i="35"/>
  <c r="G38" i="35"/>
  <c r="H38" i="35"/>
  <c r="F41" i="35"/>
  <c r="G41" i="35"/>
  <c r="H41" i="35"/>
  <c r="F32" i="35"/>
  <c r="G32" i="35"/>
  <c r="H32" i="35"/>
  <c r="F29" i="35"/>
  <c r="G29" i="35"/>
  <c r="H29" i="35"/>
  <c r="F26" i="35"/>
  <c r="G26" i="35"/>
  <c r="H26" i="35"/>
  <c r="F23" i="35"/>
  <c r="G23" i="35"/>
  <c r="H23" i="35"/>
  <c r="F20" i="35"/>
  <c r="G20" i="35"/>
  <c r="H20" i="35"/>
  <c r="F17" i="35"/>
  <c r="G17" i="35"/>
  <c r="H17" i="35"/>
  <c r="F14" i="35"/>
  <c r="G14" i="35"/>
  <c r="H14" i="35"/>
  <c r="F11" i="35"/>
  <c r="G11" i="35"/>
  <c r="H11" i="35"/>
  <c r="F5" i="35"/>
  <c r="G5" i="35"/>
  <c r="H5" i="35"/>
  <c r="F65" i="35"/>
  <c r="G65" i="35"/>
  <c r="H65" i="35"/>
  <c r="F68" i="35"/>
  <c r="G68" i="35"/>
  <c r="H68" i="35"/>
  <c r="F71" i="35"/>
  <c r="G71" i="35"/>
  <c r="H71" i="35"/>
  <c r="F9" i="35"/>
  <c r="G9" i="35"/>
  <c r="H9" i="35"/>
  <c r="F75" i="35"/>
  <c r="G75" i="35"/>
  <c r="H75" i="35"/>
  <c r="F78" i="35"/>
  <c r="G78" i="35"/>
  <c r="H78" i="35"/>
  <c r="F63" i="35"/>
  <c r="G63" i="35"/>
  <c r="H63" i="35"/>
  <c r="F48" i="35"/>
  <c r="G48" i="35"/>
  <c r="H48" i="35"/>
  <c r="F60" i="35"/>
  <c r="G60" i="35"/>
  <c r="H60" i="35"/>
  <c r="F57" i="35"/>
  <c r="G57" i="35"/>
  <c r="H57" i="35"/>
  <c r="F54" i="35"/>
  <c r="G54" i="35"/>
  <c r="H54" i="35"/>
  <c r="F51" i="35"/>
  <c r="G51" i="35"/>
  <c r="H51" i="35"/>
  <c r="F45" i="35"/>
  <c r="G45" i="35"/>
  <c r="H45" i="35"/>
  <c r="F36" i="35"/>
  <c r="G36" i="35"/>
  <c r="H36" i="35"/>
  <c r="F39" i="35"/>
  <c r="G39" i="35"/>
  <c r="H39" i="35"/>
  <c r="F42" i="35"/>
  <c r="G42" i="35"/>
  <c r="H42" i="35"/>
  <c r="F33" i="35"/>
  <c r="G33" i="35"/>
  <c r="H33" i="35"/>
  <c r="F30" i="35"/>
  <c r="G30" i="35"/>
  <c r="H30" i="35"/>
  <c r="F27" i="35"/>
  <c r="G27" i="35"/>
  <c r="H27" i="35"/>
  <c r="F24" i="35"/>
  <c r="G24" i="35"/>
  <c r="H24" i="35"/>
  <c r="F21" i="35"/>
  <c r="G21" i="35"/>
  <c r="H21" i="35"/>
  <c r="F18" i="35"/>
  <c r="G18" i="35"/>
  <c r="H18" i="35"/>
  <c r="F15" i="35"/>
  <c r="G15" i="35"/>
  <c r="H15" i="35"/>
  <c r="F12" i="35"/>
  <c r="G12" i="35"/>
  <c r="H12" i="35"/>
  <c r="F6" i="35"/>
  <c r="G6" i="35"/>
  <c r="H6" i="35"/>
  <c r="F66" i="35"/>
  <c r="G66" i="35"/>
  <c r="H66" i="35"/>
  <c r="F69" i="35"/>
  <c r="G69" i="35"/>
  <c r="H69" i="35"/>
  <c r="F72" i="35"/>
  <c r="G72" i="35"/>
  <c r="H72" i="35"/>
  <c r="F79" i="35"/>
  <c r="G79" i="35"/>
  <c r="H79" i="35"/>
  <c r="T7" i="35"/>
  <c r="E7" i="35"/>
  <c r="E73" i="35"/>
  <c r="E76" i="35"/>
  <c r="E61" i="35"/>
  <c r="E46" i="35"/>
  <c r="E58" i="35"/>
  <c r="E55" i="35"/>
  <c r="E52" i="35"/>
  <c r="E49" i="35"/>
  <c r="E43" i="35"/>
  <c r="E34" i="35"/>
  <c r="E37" i="35"/>
  <c r="E40" i="35"/>
  <c r="E31" i="35"/>
  <c r="E28" i="35"/>
  <c r="E25" i="35"/>
  <c r="E22" i="35"/>
  <c r="E19" i="35"/>
  <c r="E16" i="35"/>
  <c r="E13" i="35"/>
  <c r="E10" i="35"/>
  <c r="E4" i="35"/>
  <c r="E64" i="35"/>
  <c r="E67" i="35"/>
  <c r="E70" i="35"/>
  <c r="E8" i="35"/>
  <c r="E74" i="35"/>
  <c r="E77" i="35"/>
  <c r="E62" i="35"/>
  <c r="E47" i="35"/>
  <c r="E59" i="35"/>
  <c r="E56" i="35"/>
  <c r="E53" i="35"/>
  <c r="E50" i="35"/>
  <c r="E44" i="35"/>
  <c r="E35" i="35"/>
  <c r="E38" i="35"/>
  <c r="E41" i="35"/>
  <c r="E32" i="35"/>
  <c r="E29" i="35"/>
  <c r="E26" i="35"/>
  <c r="E23" i="35"/>
  <c r="E20" i="35"/>
  <c r="E17" i="35"/>
  <c r="E14" i="35"/>
  <c r="E11" i="35"/>
  <c r="E5" i="35"/>
  <c r="E65" i="35"/>
  <c r="E68" i="35"/>
  <c r="E71" i="35"/>
  <c r="E9" i="35"/>
  <c r="E75" i="35"/>
  <c r="E78" i="35"/>
  <c r="E63" i="35"/>
  <c r="E48" i="35"/>
  <c r="E60" i="35"/>
  <c r="E57" i="35"/>
  <c r="E54" i="35"/>
  <c r="E51" i="35"/>
  <c r="E45" i="35"/>
  <c r="E36" i="35"/>
  <c r="E39" i="35"/>
  <c r="E42" i="35"/>
  <c r="E33" i="35"/>
  <c r="E30" i="35"/>
  <c r="E27" i="35"/>
  <c r="E24" i="35"/>
  <c r="E21" i="35"/>
  <c r="E18" i="35"/>
  <c r="E15" i="35"/>
  <c r="E12" i="35"/>
  <c r="E6" i="35"/>
  <c r="E66" i="35"/>
  <c r="E69" i="35"/>
  <c r="E72" i="35"/>
  <c r="E79" i="35"/>
  <c r="B4" i="36"/>
  <c r="B5" i="36"/>
  <c r="B6" i="36"/>
  <c r="B7" i="36"/>
  <c r="Z7" i="36"/>
  <c r="AD6" i="36"/>
  <c r="Z6" i="36"/>
  <c r="Z5" i="36"/>
  <c r="AD4" i="36"/>
  <c r="Z4" i="36"/>
  <c r="B4" i="34"/>
  <c r="N34" i="35" s="1"/>
  <c r="B5" i="34"/>
  <c r="B6" i="34"/>
  <c r="B7" i="34"/>
  <c r="B8" i="34"/>
  <c r="N56" i="35" s="1"/>
  <c r="B9" i="34"/>
  <c r="N75" i="35" s="1"/>
  <c r="B10" i="34"/>
  <c r="N12" i="35" s="1"/>
  <c r="B11" i="34"/>
  <c r="N57" i="35" s="1"/>
  <c r="B12" i="34"/>
  <c r="B13" i="34"/>
  <c r="B14" i="34"/>
  <c r="Z14" i="34"/>
  <c r="AD13" i="34"/>
  <c r="Z13" i="34"/>
  <c r="U12" i="34"/>
  <c r="T12" i="34"/>
  <c r="Z11" i="34"/>
  <c r="AD10" i="34"/>
  <c r="Z10" i="34"/>
  <c r="AD9" i="34"/>
  <c r="AB9" i="34"/>
  <c r="Z9" i="34"/>
  <c r="U9" i="34"/>
  <c r="T9" i="34"/>
  <c r="AD8" i="34"/>
  <c r="Z8" i="34"/>
  <c r="U8" i="34"/>
  <c r="T8" i="34"/>
  <c r="S8" i="34"/>
  <c r="Z7" i="34"/>
  <c r="AD6" i="34"/>
  <c r="Z6" i="34"/>
  <c r="AD5" i="34"/>
  <c r="AB5" i="34"/>
  <c r="Z5" i="34"/>
  <c r="U5" i="34"/>
  <c r="T5" i="34"/>
  <c r="Z4" i="34"/>
  <c r="AD4" i="34" s="1"/>
  <c r="T4" i="34" s="1"/>
  <c r="B51" i="33"/>
  <c r="AB51" i="33"/>
  <c r="B5" i="33"/>
  <c r="B6" i="33"/>
  <c r="B7" i="33"/>
  <c r="B8" i="33"/>
  <c r="B9" i="33"/>
  <c r="B10" i="33"/>
  <c r="B11" i="33"/>
  <c r="B12" i="33"/>
  <c r="B13" i="33"/>
  <c r="B14" i="33"/>
  <c r="B15" i="33"/>
  <c r="B16" i="33"/>
  <c r="B17" i="33"/>
  <c r="B18" i="33"/>
  <c r="B19" i="33"/>
  <c r="B20" i="33"/>
  <c r="B21" i="33"/>
  <c r="B22" i="33"/>
  <c r="B23" i="33"/>
  <c r="B24" i="33"/>
  <c r="B25" i="33"/>
  <c r="B26" i="33"/>
  <c r="B27" i="33"/>
  <c r="B28" i="33"/>
  <c r="B29" i="33"/>
  <c r="B30" i="33"/>
  <c r="B31" i="33"/>
  <c r="B32" i="33"/>
  <c r="B33" i="33"/>
  <c r="B34" i="33"/>
  <c r="B35" i="33"/>
  <c r="B36" i="33"/>
  <c r="B37" i="33"/>
  <c r="B38" i="33"/>
  <c r="B39" i="33"/>
  <c r="B40" i="33"/>
  <c r="B41" i="33"/>
  <c r="B42" i="33"/>
  <c r="B43" i="33"/>
  <c r="B44" i="33"/>
  <c r="B45" i="33"/>
  <c r="B46" i="33"/>
  <c r="B47" i="33"/>
  <c r="B48" i="33"/>
  <c r="B49" i="33"/>
  <c r="B50" i="33"/>
  <c r="B52" i="33"/>
  <c r="B53" i="33"/>
  <c r="B54" i="33"/>
  <c r="B55" i="33"/>
  <c r="B56" i="33"/>
  <c r="B57" i="33"/>
  <c r="B58" i="33"/>
  <c r="B59" i="33"/>
  <c r="B60" i="33"/>
  <c r="B61" i="33"/>
  <c r="B62" i="33"/>
  <c r="B63" i="33"/>
  <c r="B64" i="33"/>
  <c r="B65" i="33"/>
  <c r="B66" i="33"/>
  <c r="B67" i="33"/>
  <c r="B68" i="33"/>
  <c r="B69" i="33"/>
  <c r="B70" i="33"/>
  <c r="B71" i="33"/>
  <c r="B72" i="33"/>
  <c r="B73" i="33"/>
  <c r="B74" i="33"/>
  <c r="B75" i="33"/>
  <c r="B76" i="33"/>
  <c r="B77" i="33"/>
  <c r="B78" i="33"/>
  <c r="B79" i="33"/>
  <c r="B80" i="33"/>
  <c r="B81" i="33"/>
  <c r="B82" i="33"/>
  <c r="B83" i="33"/>
  <c r="B84" i="33"/>
  <c r="B85" i="33"/>
  <c r="B4" i="33"/>
  <c r="AF85" i="33"/>
  <c r="AD85" i="33"/>
  <c r="AB85" i="33"/>
  <c r="W85" i="33"/>
  <c r="V85" i="33"/>
  <c r="AB84" i="33"/>
  <c r="AF84" i="33" s="1"/>
  <c r="V84" i="33" s="1"/>
  <c r="U84" i="33"/>
  <c r="AB83" i="33"/>
  <c r="AB82" i="33"/>
  <c r="AF82" i="33" s="1"/>
  <c r="W82" i="33"/>
  <c r="V82" i="33"/>
  <c r="U82" i="33"/>
  <c r="AF81" i="33"/>
  <c r="AD81" i="33"/>
  <c r="AB81" i="33"/>
  <c r="W81" i="33"/>
  <c r="V81" i="33"/>
  <c r="AB80" i="33"/>
  <c r="AF80" i="33" s="1"/>
  <c r="V80" i="33" s="1"/>
  <c r="U80" i="33"/>
  <c r="AB79" i="33"/>
  <c r="AB78" i="33"/>
  <c r="AF78" i="33" s="1"/>
  <c r="W78" i="33"/>
  <c r="V78" i="33"/>
  <c r="AF77" i="33"/>
  <c r="AD77" i="33"/>
  <c r="AB77" i="33"/>
  <c r="W77" i="33"/>
  <c r="V77" i="33"/>
  <c r="AB76" i="33"/>
  <c r="AF76" i="33" s="1"/>
  <c r="V76" i="33" s="1"/>
  <c r="U76" i="33"/>
  <c r="AB75" i="33"/>
  <c r="AB74" i="33"/>
  <c r="AF74" i="33" s="1"/>
  <c r="W74" i="33"/>
  <c r="V74" i="33"/>
  <c r="AF73" i="33"/>
  <c r="AD73" i="33"/>
  <c r="AB73" i="33"/>
  <c r="W73" i="33"/>
  <c r="V73" i="33"/>
  <c r="AB72" i="33"/>
  <c r="AF72" i="33" s="1"/>
  <c r="V72" i="33" s="1"/>
  <c r="U72" i="33"/>
  <c r="AB71" i="33"/>
  <c r="AB70" i="33"/>
  <c r="AF70" i="33" s="1"/>
  <c r="W70" i="33"/>
  <c r="V70" i="33"/>
  <c r="W69" i="33"/>
  <c r="V69" i="33"/>
  <c r="U69" i="33"/>
  <c r="W68" i="33"/>
  <c r="V68" i="33"/>
  <c r="W67" i="33"/>
  <c r="V67" i="33"/>
  <c r="AF66" i="33"/>
  <c r="V66" i="33"/>
  <c r="U66" i="33"/>
  <c r="AF65" i="33"/>
  <c r="AB65" i="33"/>
  <c r="AF64" i="33"/>
  <c r="AB64" i="33"/>
  <c r="AB63" i="33"/>
  <c r="AF63" i="33" s="1"/>
  <c r="W63" i="33"/>
  <c r="V63" i="33"/>
  <c r="U63" i="33"/>
  <c r="AB62" i="33"/>
  <c r="W62" i="33"/>
  <c r="V62" i="33"/>
  <c r="AF61" i="33"/>
  <c r="AB61" i="33"/>
  <c r="AF60" i="33"/>
  <c r="AB60" i="33"/>
  <c r="AB59" i="33"/>
  <c r="AF59" i="33" s="1"/>
  <c r="W59" i="33"/>
  <c r="V59" i="33"/>
  <c r="U59" i="33"/>
  <c r="AB58" i="33"/>
  <c r="W58" i="33"/>
  <c r="V58" i="33"/>
  <c r="AF57" i="33"/>
  <c r="AB57" i="33"/>
  <c r="AF56" i="33"/>
  <c r="AB56" i="33"/>
  <c r="AB55" i="33"/>
  <c r="AF55" i="33" s="1"/>
  <c r="W55" i="33"/>
  <c r="V55" i="33"/>
  <c r="U55" i="33"/>
  <c r="AB54" i="33"/>
  <c r="W54" i="33"/>
  <c r="V54" i="33"/>
  <c r="AB53" i="33"/>
  <c r="W52" i="33"/>
  <c r="V52" i="33"/>
  <c r="W50" i="33"/>
  <c r="V50" i="33"/>
  <c r="AB49" i="33"/>
  <c r="W48" i="33"/>
  <c r="V48" i="33"/>
  <c r="AB47" i="33"/>
  <c r="W46" i="33"/>
  <c r="V46" i="33"/>
  <c r="AB45" i="33"/>
  <c r="W44" i="33"/>
  <c r="V44" i="33"/>
  <c r="AF43" i="33"/>
  <c r="AD43" i="33"/>
  <c r="AB43" i="33"/>
  <c r="W43" i="33"/>
  <c r="V43" i="33"/>
  <c r="AB42" i="33"/>
  <c r="AF42" i="33" s="1"/>
  <c r="V42" i="33" s="1"/>
  <c r="U42" i="33"/>
  <c r="AB41" i="33"/>
  <c r="AB40" i="33"/>
  <c r="AF40" i="33" s="1"/>
  <c r="W40" i="33"/>
  <c r="V40" i="33"/>
  <c r="AF39" i="33"/>
  <c r="AB39" i="33"/>
  <c r="AF38" i="33"/>
  <c r="AB38" i="33"/>
  <c r="AB37" i="33"/>
  <c r="AF37" i="33" s="1"/>
  <c r="W37" i="33"/>
  <c r="V37" i="33"/>
  <c r="U37" i="33"/>
  <c r="AF36" i="33"/>
  <c r="AB36" i="33"/>
  <c r="W36" i="33"/>
  <c r="V36" i="33"/>
  <c r="AF35" i="33"/>
  <c r="AF34" i="33"/>
  <c r="AF33" i="33"/>
  <c r="AF32" i="33"/>
  <c r="AF31" i="33"/>
  <c r="W30" i="33"/>
  <c r="V30" i="33"/>
  <c r="U30" i="33"/>
  <c r="AF29" i="33"/>
  <c r="AB29" i="33"/>
  <c r="AB28" i="33"/>
  <c r="AF28" i="33" s="1"/>
  <c r="AB27" i="33"/>
  <c r="AF27" i="33" s="1"/>
  <c r="W26" i="33"/>
  <c r="V26" i="33"/>
  <c r="U26" i="33"/>
  <c r="V25" i="33"/>
  <c r="U25" i="33"/>
  <c r="AF24" i="33"/>
  <c r="AB24" i="33"/>
  <c r="AB23" i="33"/>
  <c r="AF23" i="33" s="1"/>
  <c r="AB22" i="33"/>
  <c r="AF22" i="33" s="1"/>
  <c r="AB21" i="33"/>
  <c r="AF21" i="33" s="1"/>
  <c r="AB20" i="33"/>
  <c r="AF20" i="33" s="1"/>
  <c r="AB19" i="33"/>
  <c r="AF19" i="33" s="1"/>
  <c r="AB18" i="33"/>
  <c r="AF18" i="33" s="1"/>
  <c r="AB17" i="33"/>
  <c r="AF16" i="33"/>
  <c r="AB16" i="33"/>
  <c r="AF15" i="33"/>
  <c r="AB15" i="33"/>
  <c r="AB14" i="33"/>
  <c r="W14" i="33"/>
  <c r="V14" i="33"/>
  <c r="AB13" i="33"/>
  <c r="AF12" i="33"/>
  <c r="AB12" i="33"/>
  <c r="AF11" i="33"/>
  <c r="AB11" i="33"/>
  <c r="AB10" i="33"/>
  <c r="W10" i="33"/>
  <c r="V10" i="33"/>
  <c r="AB9" i="33"/>
  <c r="AF8" i="33"/>
  <c r="AB8" i="33"/>
  <c r="AF7" i="33"/>
  <c r="AB7" i="33"/>
  <c r="AD6" i="33"/>
  <c r="AB6" i="33"/>
  <c r="AF6" i="33" s="1"/>
  <c r="AD5" i="33"/>
  <c r="AB5" i="33"/>
  <c r="AF5" i="33" s="1"/>
  <c r="AD4" i="33"/>
  <c r="AB4" i="33"/>
  <c r="AF4" i="33" s="1"/>
  <c r="B16" i="27"/>
  <c r="B27" i="27"/>
  <c r="B38" i="27"/>
  <c r="B52" i="27"/>
  <c r="B60" i="27"/>
  <c r="B71" i="27"/>
  <c r="B79" i="27"/>
  <c r="B91" i="27"/>
  <c r="B102" i="27"/>
  <c r="B114" i="27"/>
  <c r="B125" i="27"/>
  <c r="B134" i="27"/>
  <c r="B143" i="27"/>
  <c r="B152" i="27"/>
  <c r="B161" i="27"/>
  <c r="B170" i="27"/>
  <c r="B181" i="27"/>
  <c r="B192" i="27"/>
  <c r="B203" i="27"/>
  <c r="B210" i="27"/>
  <c r="B217" i="27"/>
  <c r="B224" i="27"/>
  <c r="B236" i="27"/>
  <c r="B247" i="27"/>
  <c r="B258" i="27"/>
  <c r="B269" i="27"/>
  <c r="AC269" i="27"/>
  <c r="AC258" i="27"/>
  <c r="AC247" i="27"/>
  <c r="AC236" i="27"/>
  <c r="AC224" i="27"/>
  <c r="AC217" i="27"/>
  <c r="AC210" i="27"/>
  <c r="AC203" i="27"/>
  <c r="AC192" i="27"/>
  <c r="AC181" i="27"/>
  <c r="AC170" i="27"/>
  <c r="AC161" i="27"/>
  <c r="AC152" i="27"/>
  <c r="AC143" i="27"/>
  <c r="AC134" i="27"/>
  <c r="AC125" i="27"/>
  <c r="AC114" i="27"/>
  <c r="AC102" i="27"/>
  <c r="AC91" i="27"/>
  <c r="AC79" i="27"/>
  <c r="AC71" i="27"/>
  <c r="AC60" i="27"/>
  <c r="AC52" i="27"/>
  <c r="AC38" i="27"/>
  <c r="AC27" i="27"/>
  <c r="AC16" i="27"/>
  <c r="P73" i="35"/>
  <c r="P61" i="35"/>
  <c r="P58" i="35"/>
  <c r="P52" i="35"/>
  <c r="P43" i="35"/>
  <c r="P37" i="35"/>
  <c r="P31" i="35"/>
  <c r="P25" i="35"/>
  <c r="P19" i="35"/>
  <c r="P16" i="35"/>
  <c r="P10" i="35"/>
  <c r="P4" i="35"/>
  <c r="P64" i="35"/>
  <c r="P70" i="35"/>
  <c r="P74" i="35"/>
  <c r="P62" i="35"/>
  <c r="P59" i="35"/>
  <c r="P53" i="35"/>
  <c r="P44" i="35"/>
  <c r="P38" i="35"/>
  <c r="P32" i="35"/>
  <c r="P26" i="35"/>
  <c r="P20" i="35"/>
  <c r="P17" i="35"/>
  <c r="P11" i="35"/>
  <c r="P5" i="35"/>
  <c r="P65" i="35"/>
  <c r="P71" i="35"/>
  <c r="P75" i="35"/>
  <c r="P63" i="35"/>
  <c r="P60" i="35"/>
  <c r="P54" i="35"/>
  <c r="P45" i="35"/>
  <c r="P39" i="35"/>
  <c r="P33" i="35"/>
  <c r="P27" i="35"/>
  <c r="P21" i="35"/>
  <c r="P18" i="35"/>
  <c r="P12" i="35"/>
  <c r="P6" i="35"/>
  <c r="P66" i="35"/>
  <c r="P72" i="35"/>
  <c r="Q73" i="35"/>
  <c r="Q61" i="35"/>
  <c r="Q58" i="35"/>
  <c r="Q52" i="35"/>
  <c r="Q43" i="35"/>
  <c r="Q37" i="35"/>
  <c r="Q31" i="35"/>
  <c r="Q25" i="35"/>
  <c r="Q19" i="35"/>
  <c r="Q16" i="35"/>
  <c r="Q10" i="35"/>
  <c r="Q4" i="35"/>
  <c r="Q64" i="35"/>
  <c r="Q70" i="35"/>
  <c r="Q74" i="35"/>
  <c r="Q62" i="35"/>
  <c r="Q59" i="35"/>
  <c r="Q53" i="35"/>
  <c r="Q44" i="35"/>
  <c r="Q38" i="35"/>
  <c r="Q32" i="35"/>
  <c r="Q26" i="35"/>
  <c r="Q20" i="35"/>
  <c r="Q17" i="35"/>
  <c r="Q11" i="35"/>
  <c r="Q5" i="35"/>
  <c r="Q65" i="35"/>
  <c r="Q71" i="35"/>
  <c r="Q75" i="35"/>
  <c r="Q63" i="35"/>
  <c r="Q60" i="35"/>
  <c r="Q54" i="35"/>
  <c r="Q45" i="35"/>
  <c r="Q39" i="35"/>
  <c r="Q33" i="35"/>
  <c r="Q27" i="35"/>
  <c r="Q21" i="35"/>
  <c r="Q18" i="35"/>
  <c r="Q12" i="35"/>
  <c r="Q6" i="35"/>
  <c r="Q66" i="35"/>
  <c r="Q72" i="35"/>
  <c r="R73" i="35"/>
  <c r="R61" i="35"/>
  <c r="R58" i="35"/>
  <c r="R52" i="35"/>
  <c r="R43" i="35"/>
  <c r="R37" i="35"/>
  <c r="R31" i="35"/>
  <c r="R25" i="35"/>
  <c r="R19" i="35"/>
  <c r="R16" i="35"/>
  <c r="R10" i="35"/>
  <c r="R4" i="35"/>
  <c r="R64" i="35"/>
  <c r="R70" i="35"/>
  <c r="R74" i="35"/>
  <c r="R62" i="35"/>
  <c r="R59" i="35"/>
  <c r="R53" i="35"/>
  <c r="R44" i="35"/>
  <c r="R38" i="35"/>
  <c r="R32" i="35"/>
  <c r="R26" i="35"/>
  <c r="R20" i="35"/>
  <c r="R17" i="35"/>
  <c r="R11" i="35"/>
  <c r="R5" i="35"/>
  <c r="R65" i="35"/>
  <c r="R71" i="35"/>
  <c r="R75" i="35"/>
  <c r="R63" i="35"/>
  <c r="R60" i="35"/>
  <c r="R54" i="35"/>
  <c r="R45" i="35"/>
  <c r="R39" i="35"/>
  <c r="R33" i="35"/>
  <c r="R27" i="35"/>
  <c r="R21" i="35"/>
  <c r="R18" i="35"/>
  <c r="R12" i="35"/>
  <c r="R6" i="35"/>
  <c r="R66" i="35"/>
  <c r="R72" i="35"/>
  <c r="P76" i="35"/>
  <c r="P46" i="35"/>
  <c r="P55" i="35"/>
  <c r="P49" i="35"/>
  <c r="P34" i="35"/>
  <c r="P40" i="35"/>
  <c r="P28" i="35"/>
  <c r="P22" i="35"/>
  <c r="P13" i="35"/>
  <c r="P67" i="35"/>
  <c r="P8" i="35"/>
  <c r="P77" i="35"/>
  <c r="P47" i="35"/>
  <c r="P56" i="35"/>
  <c r="P50" i="35"/>
  <c r="P35" i="35"/>
  <c r="P41" i="35"/>
  <c r="P29" i="35"/>
  <c r="P23" i="35"/>
  <c r="P14" i="35"/>
  <c r="P68" i="35"/>
  <c r="P9" i="35"/>
  <c r="P78" i="35"/>
  <c r="P48" i="35"/>
  <c r="P57" i="35"/>
  <c r="P51" i="35"/>
  <c r="P36" i="35"/>
  <c r="P42" i="35"/>
  <c r="P30" i="35"/>
  <c r="P24" i="35"/>
  <c r="P15" i="35"/>
  <c r="P69" i="35"/>
  <c r="P79" i="35"/>
  <c r="Q76" i="35"/>
  <c r="Q46" i="35"/>
  <c r="Q55" i="35"/>
  <c r="Q49" i="35"/>
  <c r="Q34" i="35"/>
  <c r="Q40" i="35"/>
  <c r="Q28" i="35"/>
  <c r="Q22" i="35"/>
  <c r="Q13" i="35"/>
  <c r="Q67" i="35"/>
  <c r="Q8" i="35"/>
  <c r="Q77" i="35"/>
  <c r="Q47" i="35"/>
  <c r="Q56" i="35"/>
  <c r="Q50" i="35"/>
  <c r="Q35" i="35"/>
  <c r="Q41" i="35"/>
  <c r="Q29" i="35"/>
  <c r="Q23" i="35"/>
  <c r="Q14" i="35"/>
  <c r="Q68" i="35"/>
  <c r="Q9" i="35"/>
  <c r="Q78" i="35"/>
  <c r="Q48" i="35"/>
  <c r="Q57" i="35"/>
  <c r="Q51" i="35"/>
  <c r="Q36" i="35"/>
  <c r="Q42" i="35"/>
  <c r="Q30" i="35"/>
  <c r="Q24" i="35"/>
  <c r="Q15" i="35"/>
  <c r="Q69" i="35"/>
  <c r="Q79" i="35"/>
  <c r="R76" i="35"/>
  <c r="R56" i="35"/>
  <c r="R36" i="35"/>
  <c r="R69" i="35"/>
  <c r="R49" i="35"/>
  <c r="R41" i="35"/>
  <c r="R9" i="35"/>
  <c r="R24" i="35"/>
  <c r="R28" i="35"/>
  <c r="R77" i="35"/>
  <c r="R57" i="35"/>
  <c r="R46" i="35"/>
  <c r="R13" i="35"/>
  <c r="R50" i="35"/>
  <c r="R42" i="35"/>
  <c r="R79" i="35"/>
  <c r="R34" i="35"/>
  <c r="R67" i="35"/>
  <c r="R29" i="35"/>
  <c r="R78" i="35"/>
  <c r="R22" i="35"/>
  <c r="R47" i="35"/>
  <c r="R14" i="35"/>
  <c r="R51" i="35"/>
  <c r="R40" i="35"/>
  <c r="R8" i="35"/>
  <c r="R23" i="35"/>
  <c r="R48" i="35"/>
  <c r="R15" i="35"/>
  <c r="R55" i="35"/>
  <c r="R35" i="35"/>
  <c r="R68" i="35"/>
  <c r="R30" i="35"/>
  <c r="U73" i="35"/>
  <c r="U76" i="35"/>
  <c r="U61" i="35"/>
  <c r="U46" i="35"/>
  <c r="U58" i="35"/>
  <c r="U55" i="35"/>
  <c r="U52" i="35"/>
  <c r="U49" i="35"/>
  <c r="U43" i="35"/>
  <c r="U34" i="35"/>
  <c r="U37" i="35"/>
  <c r="U40" i="35"/>
  <c r="U31" i="35"/>
  <c r="U28" i="35"/>
  <c r="U25" i="35"/>
  <c r="U22" i="35"/>
  <c r="U19" i="35"/>
  <c r="U16" i="35"/>
  <c r="U13" i="35"/>
  <c r="U10" i="35"/>
  <c r="U4" i="35"/>
  <c r="U64" i="35"/>
  <c r="U67" i="35"/>
  <c r="U70" i="35"/>
  <c r="U8" i="35"/>
  <c r="U74" i="35"/>
  <c r="U77" i="35"/>
  <c r="U62" i="35"/>
  <c r="U47" i="35"/>
  <c r="U59" i="35"/>
  <c r="U56" i="35"/>
  <c r="U53" i="35"/>
  <c r="U50" i="35"/>
  <c r="U44" i="35"/>
  <c r="U35" i="35"/>
  <c r="U38" i="35"/>
  <c r="U41" i="35"/>
  <c r="U32" i="35"/>
  <c r="U29" i="35"/>
  <c r="U26" i="35"/>
  <c r="U23" i="35"/>
  <c r="U20" i="35"/>
  <c r="U17" i="35"/>
  <c r="U14" i="35"/>
  <c r="U11" i="35"/>
  <c r="U5" i="35"/>
  <c r="U65" i="35"/>
  <c r="U68" i="35"/>
  <c r="U71" i="35"/>
  <c r="U9" i="35"/>
  <c r="U75" i="35"/>
  <c r="U78" i="35"/>
  <c r="U63" i="35"/>
  <c r="U48" i="35"/>
  <c r="U60" i="35"/>
  <c r="U57" i="35"/>
  <c r="U54" i="35"/>
  <c r="U51" i="35"/>
  <c r="U45" i="35"/>
  <c r="U36" i="35"/>
  <c r="U39" i="35"/>
  <c r="U42" i="35"/>
  <c r="U33" i="35"/>
  <c r="U30" i="35"/>
  <c r="U27" i="35"/>
  <c r="U24" i="35"/>
  <c r="U21" i="35"/>
  <c r="U18" i="35"/>
  <c r="U15" i="35"/>
  <c r="U12" i="35"/>
  <c r="U6" i="35"/>
  <c r="U66" i="35"/>
  <c r="U69" i="35"/>
  <c r="U72" i="35"/>
  <c r="U79" i="35"/>
  <c r="V73" i="35"/>
  <c r="V76" i="35"/>
  <c r="V61" i="35"/>
  <c r="V46" i="35"/>
  <c r="V58" i="35"/>
  <c r="V55" i="35"/>
  <c r="V52" i="35"/>
  <c r="V49" i="35"/>
  <c r="V43" i="35"/>
  <c r="V34" i="35"/>
  <c r="V37" i="35"/>
  <c r="V40" i="35"/>
  <c r="V31" i="35"/>
  <c r="V28" i="35"/>
  <c r="V25" i="35"/>
  <c r="V22" i="35"/>
  <c r="V19" i="35"/>
  <c r="V16" i="35"/>
  <c r="V13" i="35"/>
  <c r="V10" i="35"/>
  <c r="V4" i="35"/>
  <c r="V64" i="35"/>
  <c r="V67" i="35"/>
  <c r="V70" i="35"/>
  <c r="V8" i="35"/>
  <c r="V74" i="35"/>
  <c r="V77" i="35"/>
  <c r="V62" i="35"/>
  <c r="V47" i="35"/>
  <c r="V59" i="35"/>
  <c r="V56" i="35"/>
  <c r="V53" i="35"/>
  <c r="V50" i="35"/>
  <c r="V44" i="35"/>
  <c r="V35" i="35"/>
  <c r="V38" i="35"/>
  <c r="V41" i="35"/>
  <c r="V32" i="35"/>
  <c r="V29" i="35"/>
  <c r="V26" i="35"/>
  <c r="V23" i="35"/>
  <c r="V20" i="35"/>
  <c r="V17" i="35"/>
  <c r="V14" i="35"/>
  <c r="V11" i="35"/>
  <c r="V5" i="35"/>
  <c r="V65" i="35"/>
  <c r="V68" i="35"/>
  <c r="V71" i="35"/>
  <c r="V9" i="35"/>
  <c r="V75" i="35"/>
  <c r="V78" i="35"/>
  <c r="V63" i="35"/>
  <c r="V48" i="35"/>
  <c r="V60" i="35"/>
  <c r="V57" i="35"/>
  <c r="V54" i="35"/>
  <c r="V51" i="35"/>
  <c r="V45" i="35"/>
  <c r="V36" i="35"/>
  <c r="V39" i="35"/>
  <c r="V42" i="35"/>
  <c r="V33" i="35"/>
  <c r="V30" i="35"/>
  <c r="V27" i="35"/>
  <c r="V24" i="35"/>
  <c r="V21" i="35"/>
  <c r="V18" i="35"/>
  <c r="V15" i="35"/>
  <c r="V12" i="35"/>
  <c r="V6" i="35"/>
  <c r="V66" i="35"/>
  <c r="V69" i="35"/>
  <c r="V72" i="35"/>
  <c r="V79" i="35"/>
  <c r="W73" i="35"/>
  <c r="W76" i="35"/>
  <c r="W61" i="35"/>
  <c r="W46" i="35"/>
  <c r="W58" i="35"/>
  <c r="W55" i="35"/>
  <c r="W52" i="35"/>
  <c r="W49" i="35"/>
  <c r="W43" i="35"/>
  <c r="W34" i="35"/>
  <c r="W37" i="35"/>
  <c r="W40" i="35"/>
  <c r="W31" i="35"/>
  <c r="W28" i="35"/>
  <c r="W25" i="35"/>
  <c r="W22" i="35"/>
  <c r="W19" i="35"/>
  <c r="W16" i="35"/>
  <c r="W13" i="35"/>
  <c r="W10" i="35"/>
  <c r="W4" i="35"/>
  <c r="W64" i="35"/>
  <c r="W67" i="35"/>
  <c r="W70" i="35"/>
  <c r="W8" i="35"/>
  <c r="W74" i="35"/>
  <c r="W77" i="35"/>
  <c r="W62" i="35"/>
  <c r="W47" i="35"/>
  <c r="W59" i="35"/>
  <c r="W56" i="35"/>
  <c r="W53" i="35"/>
  <c r="W50" i="35"/>
  <c r="W44" i="35"/>
  <c r="W35" i="35"/>
  <c r="W38" i="35"/>
  <c r="W41" i="35"/>
  <c r="W32" i="35"/>
  <c r="W29" i="35"/>
  <c r="W26" i="35"/>
  <c r="W23" i="35"/>
  <c r="W20" i="35"/>
  <c r="W17" i="35"/>
  <c r="W14" i="35"/>
  <c r="W11" i="35"/>
  <c r="W5" i="35"/>
  <c r="W65" i="35"/>
  <c r="W68" i="35"/>
  <c r="W71" i="35"/>
  <c r="W9" i="35"/>
  <c r="W75" i="35"/>
  <c r="W78" i="35"/>
  <c r="W63" i="35"/>
  <c r="W48" i="35"/>
  <c r="W60" i="35"/>
  <c r="W57" i="35"/>
  <c r="W54" i="35"/>
  <c r="W51" i="35"/>
  <c r="W45" i="35"/>
  <c r="W36" i="35"/>
  <c r="W39" i="35"/>
  <c r="W42" i="35"/>
  <c r="W33" i="35"/>
  <c r="W30" i="35"/>
  <c r="W27" i="35"/>
  <c r="W24" i="35"/>
  <c r="W21" i="35"/>
  <c r="W18" i="35"/>
  <c r="W15" i="35"/>
  <c r="W12" i="35"/>
  <c r="W6" i="35"/>
  <c r="W66" i="35"/>
  <c r="W69" i="35"/>
  <c r="W72" i="35"/>
  <c r="W79" i="35"/>
  <c r="J46" i="35"/>
  <c r="J49" i="35"/>
  <c r="J40" i="35"/>
  <c r="J22" i="35"/>
  <c r="J13" i="35"/>
  <c r="J8" i="35"/>
  <c r="J47" i="35"/>
  <c r="J50" i="35"/>
  <c r="J41" i="35"/>
  <c r="J23" i="35"/>
  <c r="J14" i="35"/>
  <c r="J9" i="35"/>
  <c r="J48" i="35"/>
  <c r="J51" i="35"/>
  <c r="J42" i="35"/>
  <c r="J24" i="35"/>
  <c r="J15" i="35"/>
  <c r="J79" i="35"/>
  <c r="I61" i="35"/>
  <c r="K46" i="35"/>
  <c r="I52" i="35"/>
  <c r="K49" i="35"/>
  <c r="I37" i="35"/>
  <c r="K40" i="35"/>
  <c r="I25" i="35"/>
  <c r="K22" i="35"/>
  <c r="I16" i="35"/>
  <c r="K13" i="35"/>
  <c r="I4" i="35"/>
  <c r="I70" i="35"/>
  <c r="K8" i="35"/>
  <c r="I62" i="35"/>
  <c r="K47" i="35"/>
  <c r="I53" i="35"/>
  <c r="K50" i="35"/>
  <c r="I38" i="35"/>
  <c r="K41" i="35"/>
  <c r="I26" i="35"/>
  <c r="K23" i="35"/>
  <c r="I17" i="35"/>
  <c r="K14" i="35"/>
  <c r="I5" i="35"/>
  <c r="I71" i="35"/>
  <c r="K9" i="35"/>
  <c r="I63" i="35"/>
  <c r="K48" i="35"/>
  <c r="I54" i="35"/>
  <c r="K51" i="35"/>
  <c r="I39" i="35"/>
  <c r="K42" i="35"/>
  <c r="I27" i="35"/>
  <c r="K24" i="35"/>
  <c r="I18" i="35"/>
  <c r="K15" i="35"/>
  <c r="I6" i="35"/>
  <c r="I72" i="35"/>
  <c r="K79" i="35"/>
  <c r="J61" i="35"/>
  <c r="J52" i="35"/>
  <c r="J37" i="35"/>
  <c r="J25" i="35"/>
  <c r="J16" i="35"/>
  <c r="J4" i="35"/>
  <c r="J70" i="35"/>
  <c r="J62" i="35"/>
  <c r="J53" i="35"/>
  <c r="J38" i="35"/>
  <c r="J26" i="35"/>
  <c r="J17" i="35"/>
  <c r="J5" i="35"/>
  <c r="J71" i="35"/>
  <c r="J63" i="35"/>
  <c r="J54" i="35"/>
  <c r="J39" i="35"/>
  <c r="J27" i="35"/>
  <c r="J18" i="35"/>
  <c r="J6" i="35"/>
  <c r="J72" i="35"/>
  <c r="I76" i="35"/>
  <c r="K61" i="35"/>
  <c r="I55" i="35"/>
  <c r="K52" i="35"/>
  <c r="I34" i="35"/>
  <c r="K37" i="35"/>
  <c r="I28" i="35"/>
  <c r="K25" i="35"/>
  <c r="K16" i="35"/>
  <c r="K4" i="35"/>
  <c r="I67" i="35"/>
  <c r="K70" i="35"/>
  <c r="I77" i="35"/>
  <c r="K62" i="35"/>
  <c r="I56" i="35"/>
  <c r="K53" i="35"/>
  <c r="I35" i="35"/>
  <c r="K38" i="35"/>
  <c r="I29" i="35"/>
  <c r="K26" i="35"/>
  <c r="K17" i="35"/>
  <c r="K5" i="35"/>
  <c r="I68" i="35"/>
  <c r="K71" i="35"/>
  <c r="I78" i="35"/>
  <c r="K63" i="35"/>
  <c r="I57" i="35"/>
  <c r="K54" i="35"/>
  <c r="I36" i="35"/>
  <c r="K39" i="35"/>
  <c r="I30" i="35"/>
  <c r="K27" i="35"/>
  <c r="K18" i="35"/>
  <c r="K6" i="35"/>
  <c r="I69" i="35"/>
  <c r="K72" i="35"/>
  <c r="J76" i="35"/>
  <c r="K76" i="35"/>
  <c r="J58" i="35"/>
  <c r="I46" i="35"/>
  <c r="K58" i="35"/>
  <c r="I49" i="35"/>
  <c r="K43" i="35"/>
  <c r="I40" i="35"/>
  <c r="K31" i="35"/>
  <c r="I22" i="35"/>
  <c r="K19" i="35"/>
  <c r="I13" i="35"/>
  <c r="K10" i="35"/>
  <c r="K64" i="35"/>
  <c r="I8" i="35"/>
  <c r="K74" i="35"/>
  <c r="I47" i="35"/>
  <c r="K59" i="35"/>
  <c r="I50" i="35"/>
  <c r="K44" i="35"/>
  <c r="I41" i="35"/>
  <c r="K32" i="35"/>
  <c r="I23" i="35"/>
  <c r="K20" i="35"/>
  <c r="I14" i="35"/>
  <c r="K11" i="35"/>
  <c r="K65" i="35"/>
  <c r="I9" i="35"/>
  <c r="K75" i="35"/>
  <c r="I48" i="35"/>
  <c r="K60" i="35"/>
  <c r="I51" i="35"/>
  <c r="K45" i="35"/>
  <c r="I42" i="35"/>
  <c r="K33" i="35"/>
  <c r="I24" i="35"/>
  <c r="K21" i="35"/>
  <c r="I15" i="35"/>
  <c r="K12" i="35"/>
  <c r="K66" i="35"/>
  <c r="I79" i="35"/>
  <c r="J55" i="35"/>
  <c r="J34" i="35"/>
  <c r="J28" i="35"/>
  <c r="J67" i="35"/>
  <c r="J77" i="35"/>
  <c r="J56" i="35"/>
  <c r="J35" i="35"/>
  <c r="J29" i="35"/>
  <c r="J68" i="35"/>
  <c r="J78" i="35"/>
  <c r="J57" i="35"/>
  <c r="J36" i="35"/>
  <c r="J30" i="35"/>
  <c r="J69" i="35"/>
  <c r="K55" i="35"/>
  <c r="K34" i="35"/>
  <c r="K28" i="35"/>
  <c r="K67" i="35"/>
  <c r="K77" i="35"/>
  <c r="K56" i="35"/>
  <c r="K35" i="35"/>
  <c r="K29" i="35"/>
  <c r="K68" i="35"/>
  <c r="K78" i="35"/>
  <c r="K57" i="35"/>
  <c r="K36" i="35"/>
  <c r="K30" i="35"/>
  <c r="K69" i="35"/>
  <c r="I43" i="35"/>
  <c r="I31" i="35"/>
  <c r="I19" i="35"/>
  <c r="I10" i="35"/>
  <c r="I64" i="35"/>
  <c r="I74" i="35"/>
  <c r="I59" i="35"/>
  <c r="I44" i="35"/>
  <c r="I32" i="35"/>
  <c r="I20" i="35"/>
  <c r="I11" i="35"/>
  <c r="I65" i="35"/>
  <c r="I75" i="35"/>
  <c r="I60" i="35"/>
  <c r="I45" i="35"/>
  <c r="I33" i="35"/>
  <c r="I21" i="35"/>
  <c r="I12" i="35"/>
  <c r="I66" i="35"/>
  <c r="I58" i="35"/>
  <c r="J43" i="35"/>
  <c r="J31" i="35"/>
  <c r="J19" i="35"/>
  <c r="J10" i="35"/>
  <c r="J64" i="35"/>
  <c r="J74" i="35"/>
  <c r="J59" i="35"/>
  <c r="J44" i="35"/>
  <c r="J32" i="35"/>
  <c r="J20" i="35"/>
  <c r="J11" i="35"/>
  <c r="J65" i="35"/>
  <c r="J75" i="35"/>
  <c r="J60" i="35"/>
  <c r="J66" i="35"/>
  <c r="J33" i="35"/>
  <c r="J12" i="35"/>
  <c r="J45" i="35"/>
  <c r="J21" i="35"/>
  <c r="I73" i="35"/>
  <c r="J73" i="35"/>
  <c r="K73" i="35"/>
  <c r="W7" i="35"/>
  <c r="V7" i="35"/>
  <c r="U7" i="35"/>
  <c r="R7" i="35"/>
  <c r="Q7" i="35"/>
  <c r="P7" i="35"/>
  <c r="K7" i="35"/>
  <c r="J7" i="35"/>
  <c r="I7" i="35"/>
  <c r="O31" i="35" l="1"/>
  <c r="N78" i="35"/>
  <c r="N68" i="35"/>
  <c r="N42" i="35"/>
  <c r="O42" i="35" s="1"/>
  <c r="N65" i="35"/>
  <c r="O65" i="35" s="1"/>
  <c r="N59" i="35"/>
  <c r="O59" i="35" s="1"/>
  <c r="N40" i="35"/>
  <c r="O40" i="35" s="1"/>
  <c r="N15" i="35"/>
  <c r="O15" i="35" s="1"/>
  <c r="N39" i="35"/>
  <c r="O39" i="35" s="1"/>
  <c r="N20" i="35"/>
  <c r="N77" i="35"/>
  <c r="N37" i="35"/>
  <c r="O37" i="35" s="1"/>
  <c r="N79" i="35"/>
  <c r="O68" i="35"/>
  <c r="N18" i="35"/>
  <c r="O18" i="35" s="1"/>
  <c r="N36" i="35"/>
  <c r="O36" i="35" s="1"/>
  <c r="N23" i="35"/>
  <c r="N67" i="35"/>
  <c r="O77" i="35"/>
  <c r="M80" i="35"/>
  <c r="C80" i="35" s="1"/>
  <c r="N80" i="35"/>
  <c r="O80" i="35" s="1"/>
  <c r="M81" i="35"/>
  <c r="C81" i="35" s="1"/>
  <c r="N81" i="35"/>
  <c r="O81" i="35" s="1"/>
  <c r="N82" i="35"/>
  <c r="O82" i="35" s="1"/>
  <c r="M82" i="35"/>
  <c r="C82" i="35" s="1"/>
  <c r="M83" i="35"/>
  <c r="C83" i="35" s="1"/>
  <c r="N83" i="35"/>
  <c r="O83" i="35" s="1"/>
  <c r="M84" i="35"/>
  <c r="C84" i="35" s="1"/>
  <c r="N84" i="35"/>
  <c r="O84" i="35" s="1"/>
  <c r="M85" i="35"/>
  <c r="C85" i="35" s="1"/>
  <c r="N85" i="35"/>
  <c r="O85" i="35" s="1"/>
  <c r="M86" i="35"/>
  <c r="C86" i="35" s="1"/>
  <c r="N86" i="35"/>
  <c r="O86" i="35" s="1"/>
  <c r="M87" i="35"/>
  <c r="C87" i="35" s="1"/>
  <c r="N87" i="35"/>
  <c r="O87" i="35" s="1"/>
  <c r="M88" i="35"/>
  <c r="C88" i="35" s="1"/>
  <c r="N88" i="35"/>
  <c r="O88" i="35" s="1"/>
  <c r="M89" i="35"/>
  <c r="C89" i="35" s="1"/>
  <c r="N89" i="35"/>
  <c r="O89" i="35" s="1"/>
  <c r="M90" i="35"/>
  <c r="C90" i="35" s="1"/>
  <c r="N90" i="35"/>
  <c r="O90" i="35" s="1"/>
  <c r="N91" i="35"/>
  <c r="O91" i="35" s="1"/>
  <c r="M91" i="35"/>
  <c r="C91" i="35" s="1"/>
  <c r="M92" i="35"/>
  <c r="C92" i="35" s="1"/>
  <c r="N92" i="35"/>
  <c r="O92" i="35" s="1"/>
  <c r="M93" i="35"/>
  <c r="C93" i="35" s="1"/>
  <c r="N93" i="35"/>
  <c r="O93" i="35" s="1"/>
  <c r="M94" i="35"/>
  <c r="C94" i="35" s="1"/>
  <c r="N94" i="35"/>
  <c r="O94" i="35" s="1"/>
  <c r="N95" i="35"/>
  <c r="O95" i="35" s="1"/>
  <c r="M95" i="35"/>
  <c r="C95" i="35" s="1"/>
  <c r="M96" i="35"/>
  <c r="C96" i="35" s="1"/>
  <c r="N96" i="35"/>
  <c r="O96" i="35" s="1"/>
  <c r="M97" i="35"/>
  <c r="C97" i="35" s="1"/>
  <c r="N97" i="35"/>
  <c r="O97" i="35" s="1"/>
  <c r="M98" i="35"/>
  <c r="C98" i="35" s="1"/>
  <c r="N98" i="35"/>
  <c r="O98" i="35" s="1"/>
  <c r="M99" i="35"/>
  <c r="C99" i="35" s="1"/>
  <c r="N99" i="35"/>
  <c r="O99" i="35" s="1"/>
  <c r="M100" i="35"/>
  <c r="C100" i="35" s="1"/>
  <c r="N100" i="35"/>
  <c r="O100" i="35" s="1"/>
  <c r="M101" i="35"/>
  <c r="C101" i="35" s="1"/>
  <c r="N101" i="35"/>
  <c r="O101" i="35" s="1"/>
  <c r="M102" i="35"/>
  <c r="C102" i="35" s="1"/>
  <c r="N102" i="35"/>
  <c r="O102" i="35" s="1"/>
  <c r="M103" i="35"/>
  <c r="C103" i="35" s="1"/>
  <c r="N103" i="35"/>
  <c r="O103" i="35" s="1"/>
  <c r="N104" i="35"/>
  <c r="O104" i="35" s="1"/>
  <c r="M104" i="35"/>
  <c r="C104" i="35" s="1"/>
  <c r="M105" i="35"/>
  <c r="C105" i="35" s="1"/>
  <c r="N105" i="35"/>
  <c r="O105" i="35" s="1"/>
  <c r="N106" i="35"/>
  <c r="O106" i="35" s="1"/>
  <c r="M106" i="35"/>
  <c r="C106" i="35" s="1"/>
  <c r="N107" i="35"/>
  <c r="O107" i="35" s="1"/>
  <c r="M107" i="35"/>
  <c r="C107" i="35" s="1"/>
  <c r="N108" i="35"/>
  <c r="O108" i="35" s="1"/>
  <c r="M108" i="35"/>
  <c r="C108" i="35" s="1"/>
  <c r="M109" i="35"/>
  <c r="C109" i="35" s="1"/>
  <c r="N109" i="35"/>
  <c r="O109" i="35" s="1"/>
  <c r="M110" i="35"/>
  <c r="C110" i="35" s="1"/>
  <c r="N110" i="35"/>
  <c r="O110" i="35" s="1"/>
  <c r="M111" i="35"/>
  <c r="C111" i="35" s="1"/>
  <c r="N111" i="35"/>
  <c r="O111" i="35" s="1"/>
  <c r="M112" i="35"/>
  <c r="C112" i="35" s="1"/>
  <c r="N112" i="35"/>
  <c r="O112" i="35" s="1"/>
  <c r="M113" i="35"/>
  <c r="C113" i="35" s="1"/>
  <c r="N113" i="35"/>
  <c r="O113" i="35" s="1"/>
  <c r="M114" i="35"/>
  <c r="C114" i="35" s="1"/>
  <c r="N114" i="35"/>
  <c r="O114" i="35" s="1"/>
  <c r="M115" i="35"/>
  <c r="C115" i="35" s="1"/>
  <c r="N115" i="35"/>
  <c r="O115" i="35" s="1"/>
  <c r="M116" i="35"/>
  <c r="C116" i="35" s="1"/>
  <c r="N116" i="35"/>
  <c r="O116" i="35" s="1"/>
  <c r="N117" i="35"/>
  <c r="O117" i="35" s="1"/>
  <c r="M117" i="35"/>
  <c r="C117" i="35" s="1"/>
  <c r="N118" i="35"/>
  <c r="O118" i="35" s="1"/>
  <c r="M118" i="35"/>
  <c r="C118" i="35" s="1"/>
  <c r="N119" i="35"/>
  <c r="O119" i="35" s="1"/>
  <c r="M119" i="35"/>
  <c r="C119" i="35" s="1"/>
  <c r="N120" i="35"/>
  <c r="O120" i="35" s="1"/>
  <c r="M120" i="35"/>
  <c r="C120" i="35" s="1"/>
  <c r="N121" i="35"/>
  <c r="O121" i="35" s="1"/>
  <c r="M121" i="35"/>
  <c r="C121" i="35" s="1"/>
  <c r="M122" i="35"/>
  <c r="C122" i="35" s="1"/>
  <c r="N122" i="35"/>
  <c r="O122" i="35" s="1"/>
  <c r="M123" i="35"/>
  <c r="C123" i="35" s="1"/>
  <c r="N123" i="35"/>
  <c r="O123" i="35" s="1"/>
  <c r="M124" i="35"/>
  <c r="C124" i="35" s="1"/>
  <c r="N124" i="35"/>
  <c r="O124" i="35" s="1"/>
  <c r="M125" i="35"/>
  <c r="C125" i="35" s="1"/>
  <c r="N125" i="35"/>
  <c r="O125" i="35" s="1"/>
  <c r="M126" i="35"/>
  <c r="C126" i="35" s="1"/>
  <c r="N126" i="35"/>
  <c r="O126" i="35" s="1"/>
  <c r="M127" i="35"/>
  <c r="C127" i="35" s="1"/>
  <c r="N127" i="35"/>
  <c r="O127" i="35" s="1"/>
  <c r="M128" i="35"/>
  <c r="C128" i="35" s="1"/>
  <c r="N128" i="35"/>
  <c r="O128" i="35" s="1"/>
  <c r="M129" i="35"/>
  <c r="C129" i="35" s="1"/>
  <c r="N129" i="35"/>
  <c r="O129" i="35" s="1"/>
  <c r="M130" i="35"/>
  <c r="C130" i="35" s="1"/>
  <c r="N130" i="35"/>
  <c r="O130" i="35" s="1"/>
  <c r="M131" i="35"/>
  <c r="C131" i="35" s="1"/>
  <c r="N131" i="35"/>
  <c r="O131" i="35" s="1"/>
  <c r="M132" i="35"/>
  <c r="C132" i="35" s="1"/>
  <c r="N132" i="35"/>
  <c r="O132" i="35" s="1"/>
  <c r="M133" i="35"/>
  <c r="C133" i="35" s="1"/>
  <c r="N133" i="35"/>
  <c r="O133" i="35" s="1"/>
  <c r="M134" i="35"/>
  <c r="C134" i="35" s="1"/>
  <c r="N134" i="35"/>
  <c r="O134" i="35" s="1"/>
  <c r="M135" i="35"/>
  <c r="C135" i="35" s="1"/>
  <c r="N135" i="35"/>
  <c r="O135" i="35" s="1"/>
  <c r="M136" i="35"/>
  <c r="C136" i="35" s="1"/>
  <c r="N136" i="35"/>
  <c r="O136" i="35" s="1"/>
  <c r="M137" i="35"/>
  <c r="C137" i="35" s="1"/>
  <c r="N137" i="35"/>
  <c r="O137" i="35" s="1"/>
  <c r="M138" i="35"/>
  <c r="C138" i="35" s="1"/>
  <c r="N138" i="35"/>
  <c r="O138" i="35" s="1"/>
  <c r="M139" i="35"/>
  <c r="C139" i="35" s="1"/>
  <c r="N139" i="35"/>
  <c r="O139" i="35" s="1"/>
  <c r="M140" i="35"/>
  <c r="C140" i="35" s="1"/>
  <c r="N140" i="35"/>
  <c r="O140" i="35" s="1"/>
  <c r="M141" i="35"/>
  <c r="C141" i="35" s="1"/>
  <c r="N141" i="35"/>
  <c r="O141" i="35" s="1"/>
  <c r="M142" i="35"/>
  <c r="C142" i="35" s="1"/>
  <c r="N142" i="35"/>
  <c r="O142" i="35" s="1"/>
  <c r="M143" i="35"/>
  <c r="C143" i="35" s="1"/>
  <c r="N143" i="35"/>
  <c r="O143" i="35" s="1"/>
  <c r="M144" i="35"/>
  <c r="C144" i="35" s="1"/>
  <c r="N144" i="35"/>
  <c r="O144" i="35" s="1"/>
  <c r="M145" i="35"/>
  <c r="C145" i="35" s="1"/>
  <c r="N145" i="35"/>
  <c r="O145" i="35" s="1"/>
  <c r="M146" i="35"/>
  <c r="C146" i="35" s="1"/>
  <c r="N146" i="35"/>
  <c r="O146" i="35" s="1"/>
  <c r="M147" i="35"/>
  <c r="C147" i="35" s="1"/>
  <c r="N147" i="35"/>
  <c r="O147" i="35" s="1"/>
  <c r="N148" i="35"/>
  <c r="O148" i="35" s="1"/>
  <c r="M148" i="35"/>
  <c r="C148" i="35" s="1"/>
  <c r="M149" i="35"/>
  <c r="C149" i="35" s="1"/>
  <c r="N149" i="35"/>
  <c r="O149" i="35" s="1"/>
  <c r="M150" i="35"/>
  <c r="C150" i="35" s="1"/>
  <c r="N150" i="35"/>
  <c r="O150" i="35" s="1"/>
  <c r="M151" i="35"/>
  <c r="C151" i="35" s="1"/>
  <c r="N151" i="35"/>
  <c r="O151" i="35" s="1"/>
  <c r="M152" i="35"/>
  <c r="C152" i="35" s="1"/>
  <c r="N152" i="35"/>
  <c r="O152" i="35" s="1"/>
  <c r="M153" i="35"/>
  <c r="C153" i="35" s="1"/>
  <c r="N153" i="35"/>
  <c r="O153" i="35" s="1"/>
  <c r="M154" i="35"/>
  <c r="C154" i="35" s="1"/>
  <c r="N154" i="35"/>
  <c r="O154" i="35" s="1"/>
  <c r="M155" i="35"/>
  <c r="C155" i="35" s="1"/>
  <c r="N155" i="35"/>
  <c r="O155" i="35" s="1"/>
  <c r="M156" i="35"/>
  <c r="C156" i="35" s="1"/>
  <c r="N156" i="35"/>
  <c r="O156" i="35" s="1"/>
  <c r="M157" i="35"/>
  <c r="C157" i="35" s="1"/>
  <c r="N157" i="35"/>
  <c r="O157" i="35" s="1"/>
  <c r="N158" i="35"/>
  <c r="O158" i="35" s="1"/>
  <c r="M158" i="35"/>
  <c r="C158" i="35" s="1"/>
  <c r="M159" i="35"/>
  <c r="C159" i="35" s="1"/>
  <c r="N159" i="35"/>
  <c r="O159" i="35" s="1"/>
  <c r="M160" i="35"/>
  <c r="C160" i="35" s="1"/>
  <c r="N160" i="35"/>
  <c r="O160" i="35" s="1"/>
  <c r="M161" i="35"/>
  <c r="C161" i="35" s="1"/>
  <c r="N161" i="35"/>
  <c r="O161" i="35" s="1"/>
  <c r="M162" i="35"/>
  <c r="C162" i="35" s="1"/>
  <c r="N162" i="35"/>
  <c r="O162" i="35" s="1"/>
  <c r="M163" i="35"/>
  <c r="C163" i="35" s="1"/>
  <c r="N163" i="35"/>
  <c r="O163" i="35" s="1"/>
  <c r="N164" i="35"/>
  <c r="O164" i="35" s="1"/>
  <c r="M164" i="35"/>
  <c r="C164" i="35" s="1"/>
  <c r="N165" i="35"/>
  <c r="O165" i="35" s="1"/>
  <c r="M165" i="35"/>
  <c r="C165" i="35" s="1"/>
  <c r="M166" i="35"/>
  <c r="C166" i="35" s="1"/>
  <c r="N166" i="35"/>
  <c r="O166" i="35" s="1"/>
  <c r="M167" i="35"/>
  <c r="C167" i="35" s="1"/>
  <c r="N167" i="35"/>
  <c r="O167" i="35" s="1"/>
  <c r="N168" i="35"/>
  <c r="O168" i="35" s="1"/>
  <c r="M168" i="35"/>
  <c r="C168" i="35" s="1"/>
  <c r="M169" i="35"/>
  <c r="C169" i="35" s="1"/>
  <c r="N169" i="35"/>
  <c r="O169" i="35" s="1"/>
  <c r="N170" i="35"/>
  <c r="O170" i="35" s="1"/>
  <c r="M170" i="35"/>
  <c r="C170" i="35" s="1"/>
  <c r="N171" i="35"/>
  <c r="O171" i="35" s="1"/>
  <c r="M171" i="35"/>
  <c r="C171" i="35" s="1"/>
  <c r="M172" i="35"/>
  <c r="C172" i="35" s="1"/>
  <c r="N172" i="35"/>
  <c r="O172" i="35" s="1"/>
  <c r="M173" i="35"/>
  <c r="C173" i="35" s="1"/>
  <c r="N173" i="35"/>
  <c r="O173" i="35" s="1"/>
  <c r="N174" i="35"/>
  <c r="O174" i="35" s="1"/>
  <c r="M174" i="35"/>
  <c r="C174" i="35" s="1"/>
  <c r="M175" i="35"/>
  <c r="C175" i="35" s="1"/>
  <c r="N175" i="35"/>
  <c r="O175" i="35" s="1"/>
  <c r="M176" i="35"/>
  <c r="C176" i="35" s="1"/>
  <c r="N176" i="35"/>
  <c r="O176" i="35" s="1"/>
  <c r="M177" i="35"/>
  <c r="C177" i="35" s="1"/>
  <c r="N177" i="35"/>
  <c r="O177" i="35" s="1"/>
  <c r="M178" i="35"/>
  <c r="C178" i="35" s="1"/>
  <c r="N178" i="35"/>
  <c r="O178" i="35" s="1"/>
  <c r="M179" i="35"/>
  <c r="C179" i="35" s="1"/>
  <c r="N179" i="35"/>
  <c r="O179" i="35" s="1"/>
  <c r="M180" i="35"/>
  <c r="C180" i="35" s="1"/>
  <c r="N180" i="35"/>
  <c r="O180" i="35" s="1"/>
  <c r="M181" i="35"/>
  <c r="C181" i="35" s="1"/>
  <c r="N181" i="35"/>
  <c r="O181" i="35" s="1"/>
  <c r="M182" i="35"/>
  <c r="C182" i="35" s="1"/>
  <c r="N182" i="35"/>
  <c r="O182" i="35" s="1"/>
  <c r="M183" i="35"/>
  <c r="C183" i="35" s="1"/>
  <c r="N183" i="35"/>
  <c r="O183" i="35" s="1"/>
  <c r="M184" i="35"/>
  <c r="C184" i="35" s="1"/>
  <c r="N184" i="35"/>
  <c r="O184" i="35" s="1"/>
  <c r="M185" i="35"/>
  <c r="C185" i="35" s="1"/>
  <c r="N185" i="35"/>
  <c r="O185" i="35" s="1"/>
  <c r="M186" i="35"/>
  <c r="C186" i="35" s="1"/>
  <c r="N186" i="35"/>
  <c r="O186" i="35" s="1"/>
  <c r="M187" i="35"/>
  <c r="C187" i="35" s="1"/>
  <c r="N187" i="35"/>
  <c r="O187" i="35" s="1"/>
  <c r="M188" i="35"/>
  <c r="C188" i="35" s="1"/>
  <c r="N188" i="35"/>
  <c r="O188" i="35" s="1"/>
  <c r="M189" i="35"/>
  <c r="C189" i="35" s="1"/>
  <c r="N189" i="35"/>
  <c r="O189" i="35" s="1"/>
  <c r="M190" i="35"/>
  <c r="C190" i="35" s="1"/>
  <c r="N190" i="35"/>
  <c r="O190" i="35" s="1"/>
  <c r="M191" i="35"/>
  <c r="C191" i="35" s="1"/>
  <c r="N191" i="35"/>
  <c r="O191" i="35" s="1"/>
  <c r="M192" i="35"/>
  <c r="C192" i="35" s="1"/>
  <c r="N192" i="35"/>
  <c r="O192" i="35" s="1"/>
  <c r="M193" i="35"/>
  <c r="C193" i="35" s="1"/>
  <c r="N193" i="35"/>
  <c r="O193" i="35" s="1"/>
  <c r="M194" i="35"/>
  <c r="C194" i="35" s="1"/>
  <c r="N194" i="35"/>
  <c r="O194" i="35" s="1"/>
  <c r="M195" i="35"/>
  <c r="C195" i="35" s="1"/>
  <c r="N195" i="35"/>
  <c r="O195" i="35" s="1"/>
  <c r="M196" i="35"/>
  <c r="C196" i="35" s="1"/>
  <c r="N196" i="35"/>
  <c r="O196" i="35" s="1"/>
  <c r="M197" i="35"/>
  <c r="C197" i="35" s="1"/>
  <c r="N197" i="35"/>
  <c r="O197" i="35" s="1"/>
  <c r="M198" i="35"/>
  <c r="C198" i="35" s="1"/>
  <c r="N198" i="35"/>
  <c r="O198" i="35" s="1"/>
  <c r="M199" i="35"/>
  <c r="C199" i="35" s="1"/>
  <c r="N199" i="35"/>
  <c r="O199" i="35" s="1"/>
  <c r="M200" i="35"/>
  <c r="C200" i="35" s="1"/>
  <c r="N200" i="35"/>
  <c r="O200" i="35" s="1"/>
  <c r="M201" i="35"/>
  <c r="C201" i="35" s="1"/>
  <c r="N201" i="35"/>
  <c r="O201" i="35" s="1"/>
  <c r="M202" i="35"/>
  <c r="C202" i="35" s="1"/>
  <c r="N202" i="35"/>
  <c r="O202" i="35" s="1"/>
  <c r="M203" i="35"/>
  <c r="C203" i="35" s="1"/>
  <c r="N203" i="35"/>
  <c r="O203" i="35" s="1"/>
  <c r="M204" i="35"/>
  <c r="C204" i="35" s="1"/>
  <c r="N204" i="35"/>
  <c r="O204" i="35" s="1"/>
  <c r="M205" i="35"/>
  <c r="C205" i="35" s="1"/>
  <c r="N205" i="35"/>
  <c r="O205" i="35" s="1"/>
  <c r="M206" i="35"/>
  <c r="C206" i="35" s="1"/>
  <c r="N206" i="35"/>
  <c r="O206" i="35" s="1"/>
  <c r="M207" i="35"/>
  <c r="C207" i="35" s="1"/>
  <c r="N207" i="35"/>
  <c r="O207" i="35" s="1"/>
  <c r="M208" i="35"/>
  <c r="C208" i="35" s="1"/>
  <c r="N208" i="35"/>
  <c r="O208" i="35" s="1"/>
  <c r="M209" i="35"/>
  <c r="C209" i="35" s="1"/>
  <c r="N209" i="35"/>
  <c r="O209" i="35" s="1"/>
  <c r="M210" i="35"/>
  <c r="C210" i="35" s="1"/>
  <c r="N210" i="35"/>
  <c r="O210" i="35" s="1"/>
  <c r="M211" i="35"/>
  <c r="C211" i="35" s="1"/>
  <c r="N211" i="35"/>
  <c r="O211" i="35" s="1"/>
  <c r="M212" i="35"/>
  <c r="C212" i="35" s="1"/>
  <c r="N212" i="35"/>
  <c r="O212" i="35" s="1"/>
  <c r="M213" i="35"/>
  <c r="C213" i="35" s="1"/>
  <c r="N213" i="35"/>
  <c r="O213" i="35" s="1"/>
  <c r="M214" i="35"/>
  <c r="C214" i="35" s="1"/>
  <c r="N214" i="35"/>
  <c r="O214" i="35" s="1"/>
  <c r="M215" i="35"/>
  <c r="C215" i="35" s="1"/>
  <c r="N215" i="35"/>
  <c r="O215" i="35" s="1"/>
  <c r="N216" i="35"/>
  <c r="O216" i="35" s="1"/>
  <c r="M216" i="35"/>
  <c r="C216" i="35" s="1"/>
  <c r="M217" i="35"/>
  <c r="C217" i="35" s="1"/>
  <c r="N217" i="35"/>
  <c r="O217" i="35" s="1"/>
  <c r="M218" i="35"/>
  <c r="C218" i="35" s="1"/>
  <c r="N218" i="35"/>
  <c r="O218" i="35" s="1"/>
  <c r="N219" i="35"/>
  <c r="O219" i="35" s="1"/>
  <c r="M219" i="35"/>
  <c r="C219" i="35" s="1"/>
  <c r="M220" i="35"/>
  <c r="C220" i="35" s="1"/>
  <c r="N220" i="35"/>
  <c r="O220" i="35" s="1"/>
  <c r="M221" i="35"/>
  <c r="C221" i="35" s="1"/>
  <c r="N221" i="35"/>
  <c r="O221" i="35" s="1"/>
  <c r="M222" i="35"/>
  <c r="C222" i="35" s="1"/>
  <c r="N222" i="35"/>
  <c r="O222" i="35" s="1"/>
  <c r="M223" i="35"/>
  <c r="C223" i="35" s="1"/>
  <c r="N223" i="35"/>
  <c r="O223" i="35" s="1"/>
  <c r="M224" i="35"/>
  <c r="C224" i="35" s="1"/>
  <c r="N224" i="35"/>
  <c r="O224" i="35" s="1"/>
  <c r="M225" i="35"/>
  <c r="C225" i="35" s="1"/>
  <c r="N225" i="35"/>
  <c r="O225" i="35" s="1"/>
  <c r="M226" i="35"/>
  <c r="C226" i="35" s="1"/>
  <c r="N226" i="35"/>
  <c r="O226" i="35" s="1"/>
  <c r="M227" i="35"/>
  <c r="C227" i="35" s="1"/>
  <c r="N227" i="35"/>
  <c r="O227" i="35" s="1"/>
  <c r="M228" i="35"/>
  <c r="C228" i="35" s="1"/>
  <c r="N228" i="35"/>
  <c r="O228" i="35" s="1"/>
  <c r="M229" i="35"/>
  <c r="C229" i="35" s="1"/>
  <c r="N229" i="35"/>
  <c r="O229" i="35" s="1"/>
  <c r="M230" i="35"/>
  <c r="C230" i="35" s="1"/>
  <c r="N230" i="35"/>
  <c r="O230" i="35" s="1"/>
  <c r="N231" i="35"/>
  <c r="O231" i="35" s="1"/>
  <c r="M231" i="35"/>
  <c r="C231" i="35" s="1"/>
  <c r="M232" i="35"/>
  <c r="C232" i="35" s="1"/>
  <c r="N232" i="35"/>
  <c r="O232" i="35" s="1"/>
  <c r="M233" i="35"/>
  <c r="C233" i="35" s="1"/>
  <c r="N233" i="35"/>
  <c r="O233" i="35" s="1"/>
  <c r="M234" i="35"/>
  <c r="C234" i="35" s="1"/>
  <c r="N234" i="35"/>
  <c r="O234" i="35" s="1"/>
  <c r="M235" i="35"/>
  <c r="C235" i="35" s="1"/>
  <c r="N235" i="35"/>
  <c r="O235" i="35" s="1"/>
  <c r="M236" i="35"/>
  <c r="C236" i="35" s="1"/>
  <c r="N236" i="35"/>
  <c r="O236" i="35" s="1"/>
  <c r="N237" i="35"/>
  <c r="O237" i="35" s="1"/>
  <c r="M237" i="35"/>
  <c r="C237" i="35" s="1"/>
  <c r="N238" i="35"/>
  <c r="O238" i="35" s="1"/>
  <c r="M238" i="35"/>
  <c r="C238" i="35" s="1"/>
  <c r="N239" i="35"/>
  <c r="O239" i="35" s="1"/>
  <c r="M239" i="35"/>
  <c r="C239" i="35" s="1"/>
  <c r="N240" i="35"/>
  <c r="O240" i="35" s="1"/>
  <c r="M240" i="35"/>
  <c r="C240" i="35" s="1"/>
  <c r="M241" i="35"/>
  <c r="C241" i="35" s="1"/>
  <c r="N241" i="35"/>
  <c r="O241" i="35" s="1"/>
  <c r="M242" i="35"/>
  <c r="C242" i="35" s="1"/>
  <c r="N242" i="35"/>
  <c r="O242" i="35" s="1"/>
  <c r="M243" i="35"/>
  <c r="C243" i="35" s="1"/>
  <c r="N243" i="35"/>
  <c r="O243" i="35" s="1"/>
  <c r="M244" i="35"/>
  <c r="C244" i="35" s="1"/>
  <c r="N244" i="35"/>
  <c r="O244" i="35" s="1"/>
  <c r="M245" i="35"/>
  <c r="C245" i="35" s="1"/>
  <c r="N245" i="35"/>
  <c r="O245" i="35" s="1"/>
  <c r="M246" i="35"/>
  <c r="C246" i="35" s="1"/>
  <c r="N246" i="35"/>
  <c r="O246" i="35" s="1"/>
  <c r="M247" i="35"/>
  <c r="C247" i="35" s="1"/>
  <c r="N247" i="35"/>
  <c r="O247" i="35" s="1"/>
  <c r="M248" i="35"/>
  <c r="C248" i="35" s="1"/>
  <c r="N248" i="35"/>
  <c r="O248" i="35" s="1"/>
  <c r="M249" i="35"/>
  <c r="C249" i="35" s="1"/>
  <c r="N249" i="35"/>
  <c r="O249" i="35" s="1"/>
  <c r="M250" i="35"/>
  <c r="C250" i="35" s="1"/>
  <c r="N250" i="35"/>
  <c r="O250" i="35" s="1"/>
  <c r="M251" i="35"/>
  <c r="C251" i="35" s="1"/>
  <c r="N251" i="35"/>
  <c r="O251" i="35" s="1"/>
  <c r="M252" i="35"/>
  <c r="C252" i="35" s="1"/>
  <c r="N252" i="35"/>
  <c r="O252" i="35" s="1"/>
  <c r="M253" i="35"/>
  <c r="C253" i="35" s="1"/>
  <c r="N253" i="35"/>
  <c r="O253" i="35" s="1"/>
  <c r="M254" i="35"/>
  <c r="C254" i="35" s="1"/>
  <c r="N254" i="35"/>
  <c r="O254" i="35" s="1"/>
  <c r="M255" i="35"/>
  <c r="C255" i="35" s="1"/>
  <c r="N255" i="35"/>
  <c r="O255" i="35" s="1"/>
  <c r="M256" i="35"/>
  <c r="C256" i="35" s="1"/>
  <c r="N256" i="35"/>
  <c r="O256" i="35" s="1"/>
  <c r="M257" i="35"/>
  <c r="C257" i="35" s="1"/>
  <c r="N257" i="35"/>
  <c r="O257" i="35" s="1"/>
  <c r="M258" i="35"/>
  <c r="C258" i="35" s="1"/>
  <c r="N258" i="35"/>
  <c r="O258" i="35" s="1"/>
  <c r="M259" i="35"/>
  <c r="C259" i="35" s="1"/>
  <c r="N259" i="35"/>
  <c r="O259" i="35" s="1"/>
  <c r="M260" i="35"/>
  <c r="C260" i="35" s="1"/>
  <c r="N260" i="35"/>
  <c r="O260" i="35" s="1"/>
  <c r="M261" i="35"/>
  <c r="C261" i="35" s="1"/>
  <c r="N261" i="35"/>
  <c r="O261" i="35" s="1"/>
  <c r="M262" i="35"/>
  <c r="C262" i="35" s="1"/>
  <c r="N262" i="35"/>
  <c r="O262" i="35" s="1"/>
  <c r="M263" i="35"/>
  <c r="C263" i="35" s="1"/>
  <c r="N263" i="35"/>
  <c r="O263" i="35" s="1"/>
  <c r="M264" i="35"/>
  <c r="C264" i="35" s="1"/>
  <c r="N264" i="35"/>
  <c r="O264" i="35" s="1"/>
  <c r="M265" i="35"/>
  <c r="C265" i="35" s="1"/>
  <c r="N265" i="35"/>
  <c r="O265" i="35" s="1"/>
  <c r="M266" i="35"/>
  <c r="C266" i="35" s="1"/>
  <c r="N266" i="35"/>
  <c r="O266" i="35" s="1"/>
  <c r="M267" i="35"/>
  <c r="C267" i="35" s="1"/>
  <c r="N267" i="35"/>
  <c r="O267" i="35" s="1"/>
  <c r="M268" i="35"/>
  <c r="C268" i="35" s="1"/>
  <c r="N268" i="35"/>
  <c r="O268" i="35" s="1"/>
  <c r="M269" i="35"/>
  <c r="C269" i="35" s="1"/>
  <c r="N269" i="35"/>
  <c r="O269" i="35" s="1"/>
  <c r="M270" i="35"/>
  <c r="C270" i="35" s="1"/>
  <c r="N270" i="35"/>
  <c r="O270" i="35" s="1"/>
  <c r="M271" i="35"/>
  <c r="C271" i="35" s="1"/>
  <c r="N271" i="35"/>
  <c r="O271" i="35" s="1"/>
  <c r="M272" i="35"/>
  <c r="C272" i="35" s="1"/>
  <c r="N272" i="35"/>
  <c r="O272" i="35" s="1"/>
  <c r="M273" i="35"/>
  <c r="C273" i="35" s="1"/>
  <c r="N273" i="35"/>
  <c r="O273" i="35" s="1"/>
  <c r="M274" i="35"/>
  <c r="C274" i="35" s="1"/>
  <c r="N274" i="35"/>
  <c r="O274" i="35" s="1"/>
  <c r="M275" i="35"/>
  <c r="C275" i="35" s="1"/>
  <c r="N275" i="35"/>
  <c r="O275" i="35" s="1"/>
  <c r="M276" i="35"/>
  <c r="C276" i="35" s="1"/>
  <c r="N276" i="35"/>
  <c r="O276" i="35" s="1"/>
  <c r="M277" i="35"/>
  <c r="C277" i="35" s="1"/>
  <c r="N277" i="35"/>
  <c r="O277" i="35" s="1"/>
  <c r="M278" i="35"/>
  <c r="C278" i="35" s="1"/>
  <c r="N278" i="35"/>
  <c r="O278" i="35" s="1"/>
  <c r="M279" i="35"/>
  <c r="C279" i="35" s="1"/>
  <c r="N279" i="35"/>
  <c r="O279" i="35" s="1"/>
  <c r="M280" i="35"/>
  <c r="C280" i="35" s="1"/>
  <c r="N280" i="35"/>
  <c r="O280" i="35" s="1"/>
  <c r="M281" i="35"/>
  <c r="C281" i="35" s="1"/>
  <c r="N281" i="35"/>
  <c r="O281" i="35" s="1"/>
  <c r="M282" i="35"/>
  <c r="C282" i="35" s="1"/>
  <c r="N282" i="35"/>
  <c r="O282" i="35" s="1"/>
  <c r="M283" i="35"/>
  <c r="C283" i="35" s="1"/>
  <c r="N283" i="35"/>
  <c r="O283" i="35" s="1"/>
  <c r="M284" i="35"/>
  <c r="C284" i="35" s="1"/>
  <c r="N284" i="35"/>
  <c r="O284" i="35" s="1"/>
  <c r="M285" i="35"/>
  <c r="C285" i="35" s="1"/>
  <c r="N285" i="35"/>
  <c r="O285" i="35" s="1"/>
  <c r="M286" i="35"/>
  <c r="C286" i="35" s="1"/>
  <c r="N286" i="35"/>
  <c r="O286" i="35" s="1"/>
  <c r="M287" i="35"/>
  <c r="C287" i="35" s="1"/>
  <c r="N287" i="35"/>
  <c r="O287" i="35" s="1"/>
  <c r="M288" i="35"/>
  <c r="C288" i="35" s="1"/>
  <c r="N288" i="35"/>
  <c r="O288" i="35" s="1"/>
  <c r="M289" i="35"/>
  <c r="C289" i="35" s="1"/>
  <c r="N289" i="35"/>
  <c r="O289" i="35" s="1"/>
  <c r="M290" i="35"/>
  <c r="C290" i="35" s="1"/>
  <c r="N290" i="35"/>
  <c r="O290" i="35" s="1"/>
  <c r="M291" i="35"/>
  <c r="C291" i="35" s="1"/>
  <c r="N291" i="35"/>
  <c r="O291" i="35" s="1"/>
  <c r="M292" i="35"/>
  <c r="C292" i="35" s="1"/>
  <c r="N292" i="35"/>
  <c r="O292" i="35" s="1"/>
  <c r="M293" i="35"/>
  <c r="C293" i="35" s="1"/>
  <c r="N293" i="35"/>
  <c r="O293" i="35" s="1"/>
  <c r="N294" i="35"/>
  <c r="O294" i="35" s="1"/>
  <c r="M294" i="35"/>
  <c r="C294" i="35" s="1"/>
  <c r="M295" i="35"/>
  <c r="C295" i="35" s="1"/>
  <c r="N295" i="35"/>
  <c r="O295" i="35" s="1"/>
  <c r="M296" i="35"/>
  <c r="C296" i="35" s="1"/>
  <c r="N296" i="35"/>
  <c r="O296" i="35" s="1"/>
  <c r="M297" i="35"/>
  <c r="C297" i="35" s="1"/>
  <c r="N297" i="35"/>
  <c r="O297" i="35" s="1"/>
  <c r="M298" i="35"/>
  <c r="C298" i="35" s="1"/>
  <c r="N298" i="35"/>
  <c r="O298" i="35" s="1"/>
  <c r="M299" i="35"/>
  <c r="C299" i="35" s="1"/>
  <c r="N299" i="35"/>
  <c r="O299" i="35" s="1"/>
  <c r="M300" i="35"/>
  <c r="C300" i="35" s="1"/>
  <c r="N300" i="35"/>
  <c r="O300" i="35" s="1"/>
  <c r="M301" i="35"/>
  <c r="C301" i="35" s="1"/>
  <c r="N301" i="35"/>
  <c r="O301" i="35" s="1"/>
  <c r="M302" i="35"/>
  <c r="C302" i="35" s="1"/>
  <c r="N302" i="35"/>
  <c r="O302" i="35" s="1"/>
  <c r="M303" i="35"/>
  <c r="C303" i="35" s="1"/>
  <c r="N303" i="35"/>
  <c r="O303" i="35" s="1"/>
  <c r="M304" i="35"/>
  <c r="C304" i="35" s="1"/>
  <c r="N304" i="35"/>
  <c r="O304" i="35" s="1"/>
  <c r="M305" i="35"/>
  <c r="C305" i="35" s="1"/>
  <c r="N305" i="35"/>
  <c r="O305" i="35" s="1"/>
  <c r="N306" i="35"/>
  <c r="O306" i="35" s="1"/>
  <c r="M306" i="35"/>
  <c r="C306" i="35" s="1"/>
  <c r="M307" i="35"/>
  <c r="C307" i="35" s="1"/>
  <c r="N307" i="35"/>
  <c r="O307" i="35" s="1"/>
  <c r="M308" i="35"/>
  <c r="C308" i="35" s="1"/>
  <c r="N308" i="35"/>
  <c r="O308" i="35" s="1"/>
  <c r="M309" i="35"/>
  <c r="C309" i="35" s="1"/>
  <c r="N309" i="35"/>
  <c r="O309" i="35" s="1"/>
  <c r="M310" i="35"/>
  <c r="C310" i="35" s="1"/>
  <c r="N310" i="35"/>
  <c r="O310" i="35" s="1"/>
  <c r="M311" i="35"/>
  <c r="C311" i="35" s="1"/>
  <c r="N311" i="35"/>
  <c r="O311" i="35" s="1"/>
  <c r="M312" i="35"/>
  <c r="C312" i="35" s="1"/>
  <c r="N312" i="35"/>
  <c r="O312" i="35" s="1"/>
  <c r="M313" i="35"/>
  <c r="C313" i="35" s="1"/>
  <c r="N313" i="35"/>
  <c r="O313" i="35" s="1"/>
  <c r="M314" i="35"/>
  <c r="C314" i="35" s="1"/>
  <c r="N314" i="35"/>
  <c r="O314" i="35" s="1"/>
  <c r="M315" i="35"/>
  <c r="C315" i="35" s="1"/>
  <c r="N315" i="35"/>
  <c r="O315" i="35" s="1"/>
  <c r="M316" i="35"/>
  <c r="C316" i="35" s="1"/>
  <c r="N316" i="35"/>
  <c r="O316" i="35" s="1"/>
  <c r="M317" i="35"/>
  <c r="C317" i="35" s="1"/>
  <c r="N317" i="35"/>
  <c r="O317" i="35" s="1"/>
  <c r="M318" i="35"/>
  <c r="C318" i="35" s="1"/>
  <c r="N318" i="35"/>
  <c r="O318" i="35" s="1"/>
  <c r="M319" i="35"/>
  <c r="C319" i="35" s="1"/>
  <c r="N319" i="35"/>
  <c r="O319" i="35" s="1"/>
  <c r="M320" i="35"/>
  <c r="C320" i="35" s="1"/>
  <c r="N320" i="35"/>
  <c r="O320" i="35" s="1"/>
  <c r="N321" i="35"/>
  <c r="O321" i="35" s="1"/>
  <c r="M321" i="35"/>
  <c r="C321" i="35" s="1"/>
  <c r="M322" i="35"/>
  <c r="C322" i="35" s="1"/>
  <c r="N322" i="35"/>
  <c r="O322" i="35" s="1"/>
  <c r="N323" i="35"/>
  <c r="O323" i="35" s="1"/>
  <c r="M323" i="35"/>
  <c r="C323" i="35" s="1"/>
  <c r="M324" i="35"/>
  <c r="C324" i="35" s="1"/>
  <c r="N324" i="35"/>
  <c r="O324" i="35" s="1"/>
  <c r="M325" i="35"/>
  <c r="C325" i="35" s="1"/>
  <c r="N325" i="35"/>
  <c r="O325" i="35" s="1"/>
  <c r="M326" i="35"/>
  <c r="C326" i="35" s="1"/>
  <c r="N326" i="35"/>
  <c r="O326" i="35" s="1"/>
  <c r="M327" i="35"/>
  <c r="C327" i="35" s="1"/>
  <c r="N327" i="35"/>
  <c r="O327" i="35" s="1"/>
  <c r="M328" i="35"/>
  <c r="C328" i="35" s="1"/>
  <c r="N328" i="35"/>
  <c r="O328" i="35" s="1"/>
  <c r="M329" i="35"/>
  <c r="C329" i="35" s="1"/>
  <c r="N329" i="35"/>
  <c r="O329" i="35" s="1"/>
  <c r="M330" i="35"/>
  <c r="C330" i="35" s="1"/>
  <c r="N330" i="35"/>
  <c r="O330" i="35" s="1"/>
  <c r="M331" i="35"/>
  <c r="C331" i="35" s="1"/>
  <c r="N331" i="35"/>
  <c r="O331" i="35" s="1"/>
  <c r="M332" i="35"/>
  <c r="C332" i="35" s="1"/>
  <c r="N332" i="35"/>
  <c r="O332" i="35" s="1"/>
  <c r="M333" i="35"/>
  <c r="C333" i="35" s="1"/>
  <c r="N333" i="35"/>
  <c r="O333" i="35" s="1"/>
  <c r="M334" i="35"/>
  <c r="C334" i="35" s="1"/>
  <c r="N334" i="35"/>
  <c r="O334" i="35" s="1"/>
  <c r="M335" i="35"/>
  <c r="C335" i="35" s="1"/>
  <c r="N335" i="35"/>
  <c r="O335" i="35" s="1"/>
  <c r="M336" i="35"/>
  <c r="C336" i="35" s="1"/>
  <c r="N336" i="35"/>
  <c r="O336" i="35" s="1"/>
  <c r="M337" i="35"/>
  <c r="C337" i="35" s="1"/>
  <c r="N337" i="35"/>
  <c r="O337" i="35" s="1"/>
  <c r="M338" i="35"/>
  <c r="C338" i="35" s="1"/>
  <c r="N338" i="35"/>
  <c r="O338" i="35" s="1"/>
  <c r="M339" i="35"/>
  <c r="C339" i="35" s="1"/>
  <c r="N339" i="35"/>
  <c r="O339" i="35" s="1"/>
  <c r="M340" i="35"/>
  <c r="C340" i="35" s="1"/>
  <c r="N340" i="35"/>
  <c r="O340" i="35" s="1"/>
  <c r="M341" i="35"/>
  <c r="C341" i="35" s="1"/>
  <c r="N341" i="35"/>
  <c r="O341" i="35" s="1"/>
  <c r="M342" i="35"/>
  <c r="C342" i="35" s="1"/>
  <c r="N342" i="35"/>
  <c r="O342" i="35" s="1"/>
  <c r="M343" i="35"/>
  <c r="C343" i="35" s="1"/>
  <c r="N343" i="35"/>
  <c r="O343" i="35" s="1"/>
  <c r="M344" i="35"/>
  <c r="C344" i="35" s="1"/>
  <c r="N344" i="35"/>
  <c r="O344" i="35" s="1"/>
  <c r="M345" i="35"/>
  <c r="C345" i="35" s="1"/>
  <c r="N345" i="35"/>
  <c r="O345" i="35" s="1"/>
  <c r="M346" i="35"/>
  <c r="C346" i="35" s="1"/>
  <c r="N346" i="35"/>
  <c r="O346" i="35" s="1"/>
  <c r="M347" i="35"/>
  <c r="C347" i="35" s="1"/>
  <c r="N347" i="35"/>
  <c r="O347" i="35" s="1"/>
  <c r="M348" i="35"/>
  <c r="C348" i="35" s="1"/>
  <c r="N348" i="35"/>
  <c r="O348" i="35" s="1"/>
  <c r="M349" i="35"/>
  <c r="C349" i="35" s="1"/>
  <c r="N349" i="35"/>
  <c r="O349" i="35" s="1"/>
  <c r="M350" i="35"/>
  <c r="C350" i="35" s="1"/>
  <c r="N350" i="35"/>
  <c r="O350" i="35" s="1"/>
  <c r="M351" i="35"/>
  <c r="C351" i="35" s="1"/>
  <c r="N351" i="35"/>
  <c r="O351" i="35" s="1"/>
  <c r="M352" i="35"/>
  <c r="C352" i="35" s="1"/>
  <c r="N352" i="35"/>
  <c r="O352" i="35" s="1"/>
  <c r="M353" i="35"/>
  <c r="C353" i="35" s="1"/>
  <c r="N353" i="35"/>
  <c r="O353" i="35" s="1"/>
  <c r="M354" i="35"/>
  <c r="C354" i="35" s="1"/>
  <c r="N354" i="35"/>
  <c r="O354" i="35" s="1"/>
  <c r="M355" i="35"/>
  <c r="C355" i="35" s="1"/>
  <c r="N355" i="35"/>
  <c r="O355" i="35" s="1"/>
  <c r="M356" i="35"/>
  <c r="C356" i="35" s="1"/>
  <c r="N356" i="35"/>
  <c r="O356" i="35" s="1"/>
  <c r="M357" i="35"/>
  <c r="C357" i="35" s="1"/>
  <c r="N357" i="35"/>
  <c r="O357" i="35" s="1"/>
  <c r="M358" i="35"/>
  <c r="C358" i="35" s="1"/>
  <c r="N358" i="35"/>
  <c r="O358" i="35" s="1"/>
  <c r="M359" i="35"/>
  <c r="C359" i="35" s="1"/>
  <c r="N359" i="35"/>
  <c r="O359" i="35" s="1"/>
  <c r="M360" i="35"/>
  <c r="C360" i="35" s="1"/>
  <c r="N360" i="35"/>
  <c r="O360" i="35" s="1"/>
  <c r="M361" i="35"/>
  <c r="C361" i="35" s="1"/>
  <c r="N361" i="35"/>
  <c r="O361" i="35" s="1"/>
  <c r="M362" i="35"/>
  <c r="C362" i="35" s="1"/>
  <c r="N362" i="35"/>
  <c r="O362" i="35" s="1"/>
  <c r="M363" i="35"/>
  <c r="C363" i="35" s="1"/>
  <c r="N363" i="35"/>
  <c r="O363" i="35" s="1"/>
  <c r="M364" i="35"/>
  <c r="C364" i="35" s="1"/>
  <c r="N364" i="35"/>
  <c r="O364" i="35" s="1"/>
  <c r="M365" i="35"/>
  <c r="C365" i="35" s="1"/>
  <c r="N365" i="35"/>
  <c r="O365" i="35" s="1"/>
  <c r="M366" i="35"/>
  <c r="C366" i="35" s="1"/>
  <c r="N366" i="35"/>
  <c r="O366" i="35" s="1"/>
  <c r="M367" i="35"/>
  <c r="C367" i="35" s="1"/>
  <c r="N367" i="35"/>
  <c r="O367" i="35" s="1"/>
  <c r="M368" i="35"/>
  <c r="C368" i="35" s="1"/>
  <c r="N368" i="35"/>
  <c r="O368" i="35" s="1"/>
  <c r="M369" i="35"/>
  <c r="C369" i="35" s="1"/>
  <c r="N369" i="35"/>
  <c r="O369" i="35" s="1"/>
  <c r="M370" i="35"/>
  <c r="C370" i="35" s="1"/>
  <c r="N370" i="35"/>
  <c r="O370" i="35" s="1"/>
  <c r="M371" i="35"/>
  <c r="C371" i="35" s="1"/>
  <c r="N371" i="35"/>
  <c r="O371" i="35" s="1"/>
  <c r="M372" i="35"/>
  <c r="C372" i="35" s="1"/>
  <c r="N372" i="35"/>
  <c r="O372" i="35" s="1"/>
  <c r="M373" i="35"/>
  <c r="C373" i="35" s="1"/>
  <c r="N373" i="35"/>
  <c r="O373" i="35" s="1"/>
  <c r="M374" i="35"/>
  <c r="C374" i="35" s="1"/>
  <c r="N374" i="35"/>
  <c r="O374" i="35" s="1"/>
  <c r="M375" i="35"/>
  <c r="C375" i="35" s="1"/>
  <c r="N375" i="35"/>
  <c r="O375" i="35" s="1"/>
  <c r="M376" i="35"/>
  <c r="C376" i="35" s="1"/>
  <c r="N376" i="35"/>
  <c r="O376" i="35" s="1"/>
  <c r="M377" i="35"/>
  <c r="C377" i="35" s="1"/>
  <c r="N377" i="35"/>
  <c r="O377" i="35" s="1"/>
  <c r="M378" i="35"/>
  <c r="C378" i="35" s="1"/>
  <c r="N378" i="35"/>
  <c r="O378" i="35" s="1"/>
  <c r="M379" i="35"/>
  <c r="C379" i="35" s="1"/>
  <c r="N379" i="35"/>
  <c r="O379" i="35" s="1"/>
  <c r="M380" i="35"/>
  <c r="C380" i="35" s="1"/>
  <c r="N380" i="35"/>
  <c r="O380" i="35" s="1"/>
  <c r="M381" i="35"/>
  <c r="C381" i="35" s="1"/>
  <c r="N381" i="35"/>
  <c r="O381" i="35" s="1"/>
  <c r="N382" i="35"/>
  <c r="O382" i="35" s="1"/>
  <c r="M382" i="35"/>
  <c r="C382" i="35" s="1"/>
  <c r="N383" i="35"/>
  <c r="O383" i="35" s="1"/>
  <c r="M383" i="35"/>
  <c r="C383" i="35" s="1"/>
  <c r="M384" i="35"/>
  <c r="C384" i="35" s="1"/>
  <c r="N384" i="35"/>
  <c r="O384" i="35" s="1"/>
  <c r="M385" i="35"/>
  <c r="C385" i="35" s="1"/>
  <c r="N385" i="35"/>
  <c r="O385" i="35" s="1"/>
  <c r="M386" i="35"/>
  <c r="C386" i="35" s="1"/>
  <c r="N386" i="35"/>
  <c r="O386" i="35" s="1"/>
  <c r="M387" i="35"/>
  <c r="C387" i="35" s="1"/>
  <c r="N387" i="35"/>
  <c r="O387" i="35" s="1"/>
  <c r="M388" i="35"/>
  <c r="C388" i="35" s="1"/>
  <c r="N388" i="35"/>
  <c r="O388" i="35" s="1"/>
  <c r="M389" i="35"/>
  <c r="C389" i="35" s="1"/>
  <c r="N389" i="35"/>
  <c r="O389" i="35" s="1"/>
  <c r="M390" i="35"/>
  <c r="C390" i="35" s="1"/>
  <c r="N390" i="35"/>
  <c r="O390" i="35" s="1"/>
  <c r="M391" i="35"/>
  <c r="C391" i="35" s="1"/>
  <c r="N391" i="35"/>
  <c r="O391" i="35" s="1"/>
  <c r="M392" i="35"/>
  <c r="C392" i="35" s="1"/>
  <c r="N392" i="35"/>
  <c r="O392" i="35" s="1"/>
  <c r="M393" i="35"/>
  <c r="C393" i="35" s="1"/>
  <c r="N393" i="35"/>
  <c r="O393" i="35" s="1"/>
  <c r="N394" i="35"/>
  <c r="O394" i="35" s="1"/>
  <c r="M394" i="35"/>
  <c r="C394" i="35" s="1"/>
  <c r="M395" i="35"/>
  <c r="C395" i="35" s="1"/>
  <c r="N395" i="35"/>
  <c r="O395" i="35" s="1"/>
  <c r="M396" i="35"/>
  <c r="C396" i="35" s="1"/>
  <c r="N396" i="35"/>
  <c r="O396" i="35" s="1"/>
  <c r="M397" i="35"/>
  <c r="C397" i="35" s="1"/>
  <c r="N397" i="35"/>
  <c r="O397" i="35" s="1"/>
  <c r="M398" i="35"/>
  <c r="C398" i="35" s="1"/>
  <c r="N398" i="35"/>
  <c r="O398" i="35" s="1"/>
  <c r="M399" i="35"/>
  <c r="C399" i="35" s="1"/>
  <c r="N399" i="35"/>
  <c r="O399" i="35" s="1"/>
  <c r="M400" i="35"/>
  <c r="C400" i="35" s="1"/>
  <c r="N400" i="35"/>
  <c r="O400" i="35" s="1"/>
  <c r="M401" i="35"/>
  <c r="C401" i="35" s="1"/>
  <c r="N401" i="35"/>
  <c r="O401" i="35" s="1"/>
  <c r="M402" i="35"/>
  <c r="C402" i="35" s="1"/>
  <c r="N402" i="35"/>
  <c r="O402" i="35" s="1"/>
  <c r="M403" i="35"/>
  <c r="C403" i="35" s="1"/>
  <c r="N403" i="35"/>
  <c r="O403" i="35" s="1"/>
  <c r="M404" i="35"/>
  <c r="C404" i="35" s="1"/>
  <c r="N404" i="35"/>
  <c r="O404" i="35" s="1"/>
  <c r="M405" i="35"/>
  <c r="C405" i="35" s="1"/>
  <c r="N405" i="35"/>
  <c r="O405" i="35" s="1"/>
  <c r="M406" i="35"/>
  <c r="C406" i="35" s="1"/>
  <c r="N406" i="35"/>
  <c r="O406" i="35" s="1"/>
  <c r="M407" i="35"/>
  <c r="C407" i="35" s="1"/>
  <c r="N407" i="35"/>
  <c r="O407" i="35" s="1"/>
  <c r="M408" i="35"/>
  <c r="C408" i="35" s="1"/>
  <c r="N408" i="35"/>
  <c r="O408" i="35" s="1"/>
  <c r="M409" i="35"/>
  <c r="C409" i="35" s="1"/>
  <c r="N409" i="35"/>
  <c r="O409" i="35" s="1"/>
  <c r="M410" i="35"/>
  <c r="C410" i="35" s="1"/>
  <c r="N410" i="35"/>
  <c r="O410" i="35" s="1"/>
  <c r="M411" i="35"/>
  <c r="C411" i="35" s="1"/>
  <c r="N411" i="35"/>
  <c r="O411" i="35" s="1"/>
  <c r="M412" i="35"/>
  <c r="C412" i="35" s="1"/>
  <c r="N412" i="35"/>
  <c r="O412" i="35" s="1"/>
  <c r="M413" i="35"/>
  <c r="C413" i="35" s="1"/>
  <c r="N413" i="35"/>
  <c r="O413" i="35" s="1"/>
  <c r="M414" i="35"/>
  <c r="C414" i="35" s="1"/>
  <c r="N414" i="35"/>
  <c r="O414" i="35" s="1"/>
  <c r="M415" i="35"/>
  <c r="C415" i="35" s="1"/>
  <c r="N415" i="35"/>
  <c r="O415" i="35" s="1"/>
  <c r="M416" i="35"/>
  <c r="C416" i="35" s="1"/>
  <c r="N416" i="35"/>
  <c r="O416" i="35" s="1"/>
  <c r="M417" i="35"/>
  <c r="C417" i="35" s="1"/>
  <c r="N417" i="35"/>
  <c r="O417" i="35" s="1"/>
  <c r="M418" i="35"/>
  <c r="C418" i="35" s="1"/>
  <c r="N418" i="35"/>
  <c r="O418" i="35" s="1"/>
  <c r="M419" i="35"/>
  <c r="C419" i="35" s="1"/>
  <c r="N419" i="35"/>
  <c r="O419" i="35" s="1"/>
  <c r="M420" i="35"/>
  <c r="C420" i="35" s="1"/>
  <c r="N420" i="35"/>
  <c r="O420" i="35" s="1"/>
  <c r="M421" i="35"/>
  <c r="C421" i="35" s="1"/>
  <c r="N421" i="35"/>
  <c r="O421" i="35" s="1"/>
  <c r="M422" i="35"/>
  <c r="C422" i="35" s="1"/>
  <c r="N422" i="35"/>
  <c r="O422" i="35" s="1"/>
  <c r="M423" i="35"/>
  <c r="C423" i="35" s="1"/>
  <c r="N423" i="35"/>
  <c r="O423" i="35" s="1"/>
  <c r="M424" i="35"/>
  <c r="C424" i="35" s="1"/>
  <c r="N424" i="35"/>
  <c r="O424" i="35" s="1"/>
  <c r="M425" i="35"/>
  <c r="C425" i="35" s="1"/>
  <c r="N425" i="35"/>
  <c r="O425" i="35" s="1"/>
  <c r="M426" i="35"/>
  <c r="C426" i="35" s="1"/>
  <c r="N426" i="35"/>
  <c r="O426" i="35" s="1"/>
  <c r="N427" i="35"/>
  <c r="O427" i="35" s="1"/>
  <c r="M427" i="35"/>
  <c r="C427" i="35" s="1"/>
  <c r="M428" i="35"/>
  <c r="C428" i="35" s="1"/>
  <c r="N428" i="35"/>
  <c r="O428" i="35" s="1"/>
  <c r="M429" i="35"/>
  <c r="C429" i="35" s="1"/>
  <c r="N429" i="35"/>
  <c r="O429" i="35" s="1"/>
  <c r="M430" i="35"/>
  <c r="C430" i="35" s="1"/>
  <c r="N430" i="35"/>
  <c r="O430" i="35" s="1"/>
  <c r="M431" i="35"/>
  <c r="C431" i="35" s="1"/>
  <c r="N431" i="35"/>
  <c r="O431" i="35" s="1"/>
  <c r="M432" i="35"/>
  <c r="C432" i="35" s="1"/>
  <c r="N432" i="35"/>
  <c r="O432" i="35" s="1"/>
  <c r="M433" i="35"/>
  <c r="C433" i="35" s="1"/>
  <c r="N433" i="35"/>
  <c r="O433" i="35" s="1"/>
  <c r="M434" i="35"/>
  <c r="C434" i="35" s="1"/>
  <c r="N434" i="35"/>
  <c r="O434" i="35" s="1"/>
  <c r="M435" i="35"/>
  <c r="C435" i="35" s="1"/>
  <c r="N435" i="35"/>
  <c r="O435" i="35" s="1"/>
  <c r="M436" i="35"/>
  <c r="C436" i="35" s="1"/>
  <c r="N436" i="35"/>
  <c r="O436" i="35" s="1"/>
  <c r="M437" i="35"/>
  <c r="C437" i="35" s="1"/>
  <c r="N437" i="35"/>
  <c r="O437" i="35" s="1"/>
  <c r="M438" i="35"/>
  <c r="C438" i="35" s="1"/>
  <c r="N438" i="35"/>
  <c r="O438" i="35" s="1"/>
  <c r="M439" i="35"/>
  <c r="C439" i="35" s="1"/>
  <c r="N439" i="35"/>
  <c r="O439" i="35" s="1"/>
  <c r="M440" i="35"/>
  <c r="C440" i="35" s="1"/>
  <c r="N440" i="35"/>
  <c r="O440" i="35" s="1"/>
  <c r="M441" i="35"/>
  <c r="C441" i="35" s="1"/>
  <c r="N441" i="35"/>
  <c r="O441" i="35" s="1"/>
  <c r="M442" i="35"/>
  <c r="C442" i="35" s="1"/>
  <c r="N442" i="35"/>
  <c r="O442" i="35" s="1"/>
  <c r="M443" i="35"/>
  <c r="C443" i="35" s="1"/>
  <c r="N443" i="35"/>
  <c r="O443" i="35" s="1"/>
  <c r="M444" i="35"/>
  <c r="C444" i="35" s="1"/>
  <c r="N444" i="35"/>
  <c r="O444" i="35" s="1"/>
  <c r="M445" i="35"/>
  <c r="C445" i="35" s="1"/>
  <c r="N445" i="35"/>
  <c r="O445" i="35" s="1"/>
  <c r="M446" i="35"/>
  <c r="C446" i="35" s="1"/>
  <c r="N446" i="35"/>
  <c r="O446" i="35" s="1"/>
  <c r="M447" i="35"/>
  <c r="C447" i="35" s="1"/>
  <c r="N447" i="35"/>
  <c r="O447" i="35" s="1"/>
  <c r="M448" i="35"/>
  <c r="C448" i="35" s="1"/>
  <c r="N448" i="35"/>
  <c r="O448" i="35" s="1"/>
  <c r="M449" i="35"/>
  <c r="C449" i="35" s="1"/>
  <c r="N449" i="35"/>
  <c r="O449" i="35" s="1"/>
  <c r="M450" i="35"/>
  <c r="C450" i="35" s="1"/>
  <c r="N450" i="35"/>
  <c r="O450" i="35" s="1"/>
  <c r="M451" i="35"/>
  <c r="C451" i="35" s="1"/>
  <c r="N451" i="35"/>
  <c r="O451" i="35" s="1"/>
  <c r="M452" i="35"/>
  <c r="C452" i="35" s="1"/>
  <c r="N452" i="35"/>
  <c r="O452" i="35" s="1"/>
  <c r="M453" i="35"/>
  <c r="C453" i="35" s="1"/>
  <c r="N453" i="35"/>
  <c r="O453" i="35" s="1"/>
  <c r="N454" i="35"/>
  <c r="O454" i="35" s="1"/>
  <c r="M454" i="35"/>
  <c r="C454" i="35" s="1"/>
  <c r="M455" i="35"/>
  <c r="C455" i="35" s="1"/>
  <c r="N455" i="35"/>
  <c r="O455" i="35" s="1"/>
  <c r="M456" i="35"/>
  <c r="C456" i="35" s="1"/>
  <c r="N456" i="35"/>
  <c r="O456" i="35" s="1"/>
  <c r="M457" i="35"/>
  <c r="C457" i="35" s="1"/>
  <c r="N457" i="35"/>
  <c r="O457" i="35" s="1"/>
  <c r="M458" i="35"/>
  <c r="C458" i="35" s="1"/>
  <c r="N458" i="35"/>
  <c r="O458" i="35" s="1"/>
  <c r="M459" i="35"/>
  <c r="C459" i="35" s="1"/>
  <c r="N459" i="35"/>
  <c r="O459" i="35" s="1"/>
  <c r="M460" i="35"/>
  <c r="C460" i="35" s="1"/>
  <c r="N460" i="35"/>
  <c r="O460" i="35" s="1"/>
  <c r="M461" i="35"/>
  <c r="C461" i="35" s="1"/>
  <c r="N461" i="35"/>
  <c r="O461" i="35" s="1"/>
  <c r="M462" i="35"/>
  <c r="C462" i="35" s="1"/>
  <c r="N462" i="35"/>
  <c r="O462" i="35" s="1"/>
  <c r="M463" i="35"/>
  <c r="C463" i="35" s="1"/>
  <c r="N463" i="35"/>
  <c r="O463" i="35" s="1"/>
  <c r="M464" i="35"/>
  <c r="C464" i="35" s="1"/>
  <c r="N464" i="35"/>
  <c r="O464" i="35" s="1"/>
  <c r="M465" i="35"/>
  <c r="C465" i="35" s="1"/>
  <c r="N465" i="35"/>
  <c r="O465" i="35" s="1"/>
  <c r="M466" i="35"/>
  <c r="C466" i="35" s="1"/>
  <c r="N466" i="35"/>
  <c r="O466" i="35" s="1"/>
  <c r="M467" i="35"/>
  <c r="C467" i="35" s="1"/>
  <c r="N467" i="35"/>
  <c r="O467" i="35" s="1"/>
  <c r="M468" i="35"/>
  <c r="C468" i="35" s="1"/>
  <c r="N468" i="35"/>
  <c r="O468" i="35" s="1"/>
  <c r="M469" i="35"/>
  <c r="C469" i="35" s="1"/>
  <c r="N469" i="35"/>
  <c r="O469" i="35" s="1"/>
  <c r="M470" i="35"/>
  <c r="C470" i="35" s="1"/>
  <c r="N470" i="35"/>
  <c r="O470" i="35" s="1"/>
  <c r="M471" i="35"/>
  <c r="C471" i="35" s="1"/>
  <c r="N471" i="35"/>
  <c r="O471" i="35" s="1"/>
  <c r="M472" i="35"/>
  <c r="C472" i="35" s="1"/>
  <c r="N472" i="35"/>
  <c r="O472" i="35" s="1"/>
  <c r="M473" i="35"/>
  <c r="C473" i="35" s="1"/>
  <c r="N473" i="35"/>
  <c r="O473" i="35" s="1"/>
  <c r="M474" i="35"/>
  <c r="C474" i="35" s="1"/>
  <c r="N474" i="35"/>
  <c r="O474" i="35" s="1"/>
  <c r="M475" i="35"/>
  <c r="C475" i="35" s="1"/>
  <c r="N475" i="35"/>
  <c r="O475" i="35" s="1"/>
  <c r="M476" i="35"/>
  <c r="C476" i="35" s="1"/>
  <c r="N476" i="35"/>
  <c r="O476" i="35" s="1"/>
  <c r="M477" i="35"/>
  <c r="C477" i="35" s="1"/>
  <c r="N477" i="35"/>
  <c r="O477" i="35" s="1"/>
  <c r="M478" i="35"/>
  <c r="C478" i="35" s="1"/>
  <c r="N478" i="35"/>
  <c r="O478" i="35" s="1"/>
  <c r="M479" i="35"/>
  <c r="C479" i="35" s="1"/>
  <c r="N479" i="35"/>
  <c r="O479" i="35" s="1"/>
  <c r="M480" i="35"/>
  <c r="C480" i="35" s="1"/>
  <c r="N480" i="35"/>
  <c r="O480" i="35" s="1"/>
  <c r="M481" i="35"/>
  <c r="C481" i="35" s="1"/>
  <c r="N481" i="35"/>
  <c r="O481" i="35" s="1"/>
  <c r="M482" i="35"/>
  <c r="C482" i="35" s="1"/>
  <c r="N482" i="35"/>
  <c r="O482" i="35" s="1"/>
  <c r="M483" i="35"/>
  <c r="C483" i="35" s="1"/>
  <c r="N483" i="35"/>
  <c r="O483" i="35" s="1"/>
  <c r="M484" i="35"/>
  <c r="C484" i="35" s="1"/>
  <c r="N484" i="35"/>
  <c r="O484" i="35" s="1"/>
  <c r="M485" i="35"/>
  <c r="C485" i="35" s="1"/>
  <c r="N485" i="35"/>
  <c r="O485" i="35" s="1"/>
  <c r="M486" i="35"/>
  <c r="C486" i="35" s="1"/>
  <c r="N486" i="35"/>
  <c r="O486" i="35" s="1"/>
  <c r="M487" i="35"/>
  <c r="C487" i="35" s="1"/>
  <c r="N487" i="35"/>
  <c r="O487" i="35" s="1"/>
  <c r="M488" i="35"/>
  <c r="C488" i="35" s="1"/>
  <c r="N488" i="35"/>
  <c r="O488" i="35" s="1"/>
  <c r="M489" i="35"/>
  <c r="C489" i="35" s="1"/>
  <c r="N489" i="35"/>
  <c r="O489" i="35" s="1"/>
  <c r="M490" i="35"/>
  <c r="C490" i="35" s="1"/>
  <c r="N490" i="35"/>
  <c r="O490" i="35" s="1"/>
  <c r="M491" i="35"/>
  <c r="C491" i="35" s="1"/>
  <c r="N491" i="35"/>
  <c r="O491" i="35" s="1"/>
  <c r="N45" i="35"/>
  <c r="O45" i="35" s="1"/>
  <c r="N26" i="35"/>
  <c r="O26" i="35" s="1"/>
  <c r="N64" i="35"/>
  <c r="O64" i="35" s="1"/>
  <c r="N46" i="35"/>
  <c r="O46" i="35" s="1"/>
  <c r="O28" i="35"/>
  <c r="O20" i="35"/>
  <c r="O76" i="35"/>
  <c r="O29" i="35"/>
  <c r="O56" i="35"/>
  <c r="O79" i="35"/>
  <c r="O57" i="35"/>
  <c r="O61" i="35"/>
  <c r="O23" i="35"/>
  <c r="O67" i="35"/>
  <c r="O34" i="35"/>
  <c r="O10" i="35"/>
  <c r="O12" i="35"/>
  <c r="O78" i="35"/>
  <c r="O50" i="35"/>
  <c r="O13" i="35"/>
  <c r="O75" i="35"/>
  <c r="M59" i="35"/>
  <c r="C59" i="35" s="1"/>
  <c r="N52" i="35"/>
  <c r="O52" i="35" s="1"/>
  <c r="N25" i="35"/>
  <c r="O25" i="35" s="1"/>
  <c r="N4" i="35"/>
  <c r="O4" i="35" s="1"/>
  <c r="N62" i="35"/>
  <c r="O62" i="35" s="1"/>
  <c r="N38" i="35"/>
  <c r="O38" i="35" s="1"/>
  <c r="N17" i="35"/>
  <c r="O17" i="35" s="1"/>
  <c r="N71" i="35"/>
  <c r="O71" i="35" s="1"/>
  <c r="N54" i="35"/>
  <c r="O54" i="35" s="1"/>
  <c r="N27" i="35"/>
  <c r="O27" i="35" s="1"/>
  <c r="N6" i="35"/>
  <c r="O6" i="35" s="1"/>
  <c r="N7" i="35"/>
  <c r="O7" i="35" s="1"/>
  <c r="N49" i="35"/>
  <c r="O49" i="35" s="1"/>
  <c r="N22" i="35"/>
  <c r="O22" i="35" s="1"/>
  <c r="N47" i="35"/>
  <c r="O47" i="35" s="1"/>
  <c r="N41" i="35"/>
  <c r="O41" i="35" s="1"/>
  <c r="N14" i="35"/>
  <c r="O14" i="35" s="1"/>
  <c r="N9" i="35"/>
  <c r="O9" i="35" s="1"/>
  <c r="N51" i="35"/>
  <c r="O51" i="35" s="1"/>
  <c r="N24" i="35"/>
  <c r="O24" i="35" s="1"/>
  <c r="N72" i="35"/>
  <c r="O72" i="35" s="1"/>
  <c r="N21" i="35"/>
  <c r="O21" i="35" s="1"/>
  <c r="N60" i="35"/>
  <c r="O60" i="35" s="1"/>
  <c r="N5" i="35"/>
  <c r="O5" i="35" s="1"/>
  <c r="N32" i="35"/>
  <c r="O32" i="35" s="1"/>
  <c r="N74" i="35"/>
  <c r="O74" i="35" s="1"/>
  <c r="N16" i="35"/>
  <c r="O16" i="35" s="1"/>
  <c r="N43" i="35"/>
  <c r="O43" i="35" s="1"/>
  <c r="N69" i="35"/>
  <c r="O69" i="35" s="1"/>
  <c r="N30" i="35"/>
  <c r="O30" i="35" s="1"/>
  <c r="N48" i="35"/>
  <c r="O48" i="35" s="1"/>
  <c r="N35" i="35"/>
  <c r="O35" i="35" s="1"/>
  <c r="N8" i="35"/>
  <c r="O8" i="35" s="1"/>
  <c r="N55" i="35"/>
  <c r="O55" i="35" s="1"/>
  <c r="M7" i="35"/>
  <c r="C7" i="35" s="1"/>
  <c r="N66" i="35"/>
  <c r="O66" i="35" s="1"/>
  <c r="N33" i="35"/>
  <c r="O33" i="35" s="1"/>
  <c r="N63" i="35"/>
  <c r="O63" i="35" s="1"/>
  <c r="N11" i="35"/>
  <c r="O11" i="35" s="1"/>
  <c r="N44" i="35"/>
  <c r="O44" i="35" s="1"/>
  <c r="N70" i="35"/>
  <c r="O70" i="35" s="1"/>
  <c r="N19" i="35"/>
  <c r="O19" i="35" s="1"/>
  <c r="N58" i="35"/>
  <c r="O58" i="35" s="1"/>
  <c r="M72" i="35"/>
  <c r="C72" i="35" s="1"/>
  <c r="M18" i="35"/>
  <c r="C18" i="35" s="1"/>
  <c r="M39" i="35"/>
  <c r="C39" i="35" s="1"/>
  <c r="M63" i="35"/>
  <c r="C63" i="35" s="1"/>
  <c r="M22" i="35"/>
  <c r="C22" i="35" s="1"/>
  <c r="M49" i="35"/>
  <c r="C49" i="35" s="1"/>
  <c r="M14" i="35"/>
  <c r="C14" i="35" s="1"/>
  <c r="M41" i="35"/>
  <c r="C41" i="35" s="1"/>
  <c r="M47" i="35"/>
  <c r="C47" i="35" s="1"/>
  <c r="M69" i="35"/>
  <c r="C69" i="35" s="1"/>
  <c r="M36" i="35"/>
  <c r="M78" i="35"/>
  <c r="C78" i="35" s="1"/>
  <c r="M4" i="35"/>
  <c r="C4" i="35" s="1"/>
  <c r="M25" i="35"/>
  <c r="C25" i="35" s="1"/>
  <c r="M52" i="35"/>
  <c r="C52" i="35" s="1"/>
  <c r="M71" i="35"/>
  <c r="C71" i="35" s="1"/>
  <c r="M17" i="35"/>
  <c r="C17" i="35" s="1"/>
  <c r="M38" i="35"/>
  <c r="C38" i="35" s="1"/>
  <c r="M62" i="35"/>
  <c r="C62" i="35" s="1"/>
  <c r="M66" i="35"/>
  <c r="C66" i="35" s="1"/>
  <c r="M21" i="35"/>
  <c r="C21" i="35" s="1"/>
  <c r="M45" i="35"/>
  <c r="C45" i="35" s="1"/>
  <c r="M75" i="35"/>
  <c r="C75" i="35" s="1"/>
  <c r="M28" i="35"/>
  <c r="C28" i="35" s="1"/>
  <c r="M55" i="35"/>
  <c r="C55" i="35" s="1"/>
  <c r="M68" i="35"/>
  <c r="C68" i="35" s="1"/>
  <c r="M35" i="35"/>
  <c r="C35" i="35" s="1"/>
  <c r="M77" i="35"/>
  <c r="C77" i="35" s="1"/>
  <c r="M24" i="35"/>
  <c r="C24" i="35" s="1"/>
  <c r="M51" i="35"/>
  <c r="C51" i="35" s="1"/>
  <c r="M9" i="35"/>
  <c r="C9" i="35" s="1"/>
  <c r="M10" i="35"/>
  <c r="C10" i="35" s="1"/>
  <c r="M31" i="35"/>
  <c r="C31" i="35" s="1"/>
  <c r="M58" i="35"/>
  <c r="C58" i="35" s="1"/>
  <c r="M65" i="35"/>
  <c r="C65" i="35" s="1"/>
  <c r="M20" i="35"/>
  <c r="C20" i="35" s="1"/>
  <c r="M44" i="35"/>
  <c r="C44" i="35" s="1"/>
  <c r="M74" i="35"/>
  <c r="C74" i="35" s="1"/>
  <c r="M6" i="35"/>
  <c r="C6" i="35" s="1"/>
  <c r="M27" i="35"/>
  <c r="C27" i="35" s="1"/>
  <c r="M54" i="35"/>
  <c r="C54" i="35" s="1"/>
  <c r="M8" i="35"/>
  <c r="C8" i="35" s="1"/>
  <c r="M13" i="35"/>
  <c r="C13" i="35" s="1"/>
  <c r="M40" i="35"/>
  <c r="C40" i="35" s="1"/>
  <c r="M46" i="35"/>
  <c r="C46" i="35" s="1"/>
  <c r="M23" i="35"/>
  <c r="C23" i="35" s="1"/>
  <c r="M50" i="35"/>
  <c r="C50" i="35" s="1"/>
  <c r="M30" i="35"/>
  <c r="C30" i="35" s="1"/>
  <c r="M57" i="35"/>
  <c r="C57" i="35" s="1"/>
  <c r="M70" i="35"/>
  <c r="C70" i="35" s="1"/>
  <c r="M16" i="35"/>
  <c r="C16" i="35" s="1"/>
  <c r="M37" i="35"/>
  <c r="C37" i="35" s="1"/>
  <c r="M61" i="35"/>
  <c r="C61" i="35" s="1"/>
  <c r="M5" i="35"/>
  <c r="C5" i="35" s="1"/>
  <c r="M26" i="35"/>
  <c r="C26" i="35" s="1"/>
  <c r="M53" i="35"/>
  <c r="C53" i="35" s="1"/>
  <c r="M12" i="35"/>
  <c r="C12" i="35" s="1"/>
  <c r="M33" i="35"/>
  <c r="C33" i="35" s="1"/>
  <c r="M60" i="35"/>
  <c r="C60" i="35" s="1"/>
  <c r="M67" i="35"/>
  <c r="C67" i="35" s="1"/>
  <c r="M34" i="35"/>
  <c r="C34" i="35" s="1"/>
  <c r="M76" i="35"/>
  <c r="C76" i="35" s="1"/>
  <c r="M29" i="35"/>
  <c r="C29" i="35" s="1"/>
  <c r="M56" i="35"/>
  <c r="C56" i="35" s="1"/>
  <c r="M79" i="35"/>
  <c r="C79" i="35" s="1"/>
  <c r="M15" i="35"/>
  <c r="C15" i="35" s="1"/>
  <c r="M42" i="35"/>
  <c r="C42" i="35" s="1"/>
  <c r="M48" i="35"/>
  <c r="C48" i="35" s="1"/>
  <c r="M64" i="35"/>
  <c r="C64" i="35" s="1"/>
  <c r="M19" i="35"/>
  <c r="C19" i="35" s="1"/>
  <c r="M43" i="35"/>
  <c r="C43" i="35" s="1"/>
  <c r="M73" i="35"/>
  <c r="C73" i="35" s="1"/>
  <c r="M11" i="35"/>
  <c r="C11" i="35" s="1"/>
  <c r="M32" i="35"/>
  <c r="C32" i="35" s="1"/>
  <c r="C36" i="35"/>
  <c r="AA79" i="35"/>
  <c r="AA72" i="35"/>
  <c r="AA69" i="35"/>
  <c r="AA66" i="35"/>
  <c r="AA6" i="35"/>
  <c r="AA12" i="35"/>
  <c r="AA15" i="35"/>
  <c r="AA18" i="35"/>
  <c r="AA21" i="35"/>
  <c r="AA24" i="35"/>
  <c r="AA27" i="35"/>
  <c r="AA30" i="35"/>
  <c r="AA33" i="35"/>
  <c r="AA42" i="35"/>
  <c r="AA39" i="35"/>
  <c r="AA36" i="35"/>
  <c r="AA45" i="35"/>
  <c r="AA51" i="35"/>
  <c r="AA54" i="35"/>
  <c r="AA57" i="35"/>
  <c r="AA60" i="35"/>
  <c r="AA48" i="35"/>
  <c r="AA63" i="35"/>
  <c r="AA78" i="35"/>
  <c r="AA75" i="35"/>
  <c r="AA9" i="35"/>
  <c r="AA71" i="35"/>
  <c r="AA68" i="35"/>
  <c r="AA65" i="35"/>
  <c r="AA5" i="35"/>
  <c r="AA11" i="35"/>
  <c r="AA14" i="35"/>
  <c r="AA17" i="35"/>
  <c r="AA20" i="35"/>
  <c r="AA23" i="35"/>
  <c r="AA26" i="35"/>
  <c r="AA29" i="35"/>
  <c r="AA32" i="35"/>
  <c r="AA41" i="35"/>
  <c r="AA38" i="35"/>
  <c r="AA35" i="35"/>
  <c r="AA44" i="35"/>
  <c r="AA50" i="35"/>
  <c r="AA53" i="35"/>
  <c r="AA56" i="35"/>
  <c r="AA59" i="35"/>
  <c r="AA47" i="35"/>
  <c r="AA62" i="35"/>
  <c r="AA77" i="35"/>
  <c r="AA74" i="35"/>
  <c r="AA8" i="35"/>
  <c r="AA70" i="35"/>
  <c r="AA67" i="35"/>
  <c r="AA64" i="35"/>
  <c r="AA4" i="35"/>
  <c r="AA10" i="35"/>
  <c r="AA13" i="35"/>
  <c r="AA16" i="35"/>
  <c r="AA19" i="35"/>
  <c r="AA22" i="35"/>
  <c r="AA25" i="35"/>
  <c r="AA28" i="35"/>
  <c r="AA31" i="35"/>
  <c r="AA40" i="35"/>
  <c r="AA37" i="35"/>
  <c r="AA34" i="35"/>
  <c r="AA43" i="35"/>
  <c r="AA49" i="35"/>
  <c r="AA52" i="35"/>
  <c r="AA55" i="35"/>
  <c r="AA58" i="35"/>
  <c r="AA46" i="35"/>
  <c r="AA61" i="35"/>
  <c r="AA76" i="35"/>
  <c r="AA73" i="35"/>
  <c r="Y79" i="35"/>
  <c r="Z79" i="35" s="1"/>
  <c r="Y72" i="35"/>
  <c r="Z72" i="35" s="1"/>
  <c r="Y69" i="35"/>
  <c r="Z69" i="35" s="1"/>
  <c r="Y66" i="35"/>
  <c r="Z66" i="35" s="1"/>
  <c r="Y6" i="35"/>
  <c r="Z6" i="35" s="1"/>
  <c r="Y12" i="35"/>
  <c r="Z12" i="35" s="1"/>
  <c r="Y15" i="35"/>
  <c r="Z15" i="35" s="1"/>
  <c r="Y18" i="35"/>
  <c r="Z18" i="35" s="1"/>
  <c r="Y21" i="35"/>
  <c r="Z21" i="35" s="1"/>
  <c r="Y24" i="35"/>
  <c r="Z24" i="35" s="1"/>
  <c r="Y27" i="35"/>
  <c r="Z27" i="35" s="1"/>
  <c r="Y30" i="35"/>
  <c r="Z30" i="35" s="1"/>
  <c r="Y33" i="35"/>
  <c r="Z33" i="35" s="1"/>
  <c r="Y42" i="35"/>
  <c r="Z42" i="35" s="1"/>
  <c r="Y39" i="35"/>
  <c r="Z39" i="35" s="1"/>
  <c r="Y36" i="35"/>
  <c r="Z36" i="35" s="1"/>
  <c r="Y45" i="35"/>
  <c r="Z45" i="35" s="1"/>
  <c r="Y51" i="35"/>
  <c r="Z51" i="35" s="1"/>
  <c r="Y54" i="35"/>
  <c r="Z54" i="35" s="1"/>
  <c r="Y57" i="35"/>
  <c r="Z57" i="35" s="1"/>
  <c r="Y60" i="35"/>
  <c r="Z60" i="35" s="1"/>
  <c r="Y48" i="35"/>
  <c r="Z48" i="35" s="1"/>
  <c r="Y63" i="35"/>
  <c r="Z63" i="35" s="1"/>
  <c r="Y78" i="35"/>
  <c r="Z78" i="35" s="1"/>
  <c r="Y75" i="35"/>
  <c r="Z75" i="35" s="1"/>
  <c r="Y9" i="35"/>
  <c r="Z9" i="35" s="1"/>
  <c r="Y71" i="35"/>
  <c r="Z71" i="35" s="1"/>
  <c r="Y68" i="35"/>
  <c r="Z68" i="35" s="1"/>
  <c r="Y65" i="35"/>
  <c r="Z65" i="35" s="1"/>
  <c r="Y5" i="35"/>
  <c r="Z5" i="35" s="1"/>
  <c r="Y11" i="35"/>
  <c r="Z11" i="35" s="1"/>
  <c r="Y14" i="35"/>
  <c r="Z14" i="35" s="1"/>
  <c r="Y17" i="35"/>
  <c r="Z17" i="35" s="1"/>
  <c r="Y20" i="35"/>
  <c r="Z20" i="35" s="1"/>
  <c r="Y23" i="35"/>
  <c r="Z23" i="35" s="1"/>
  <c r="Y26" i="35"/>
  <c r="Z26" i="35" s="1"/>
  <c r="Y29" i="35"/>
  <c r="Z29" i="35" s="1"/>
  <c r="Y32" i="35"/>
  <c r="Z32" i="35" s="1"/>
  <c r="Y41" i="35"/>
  <c r="Z41" i="35" s="1"/>
  <c r="Y38" i="35"/>
  <c r="Z38" i="35" s="1"/>
  <c r="Y35" i="35"/>
  <c r="Z35" i="35" s="1"/>
  <c r="Y44" i="35"/>
  <c r="Z44" i="35" s="1"/>
  <c r="Y50" i="35"/>
  <c r="Z50" i="35" s="1"/>
  <c r="Y53" i="35"/>
  <c r="Z53" i="35" s="1"/>
  <c r="Y56" i="35"/>
  <c r="Z56" i="35" s="1"/>
  <c r="Y59" i="35"/>
  <c r="Z59" i="35" s="1"/>
  <c r="Y47" i="35"/>
  <c r="Z47" i="35" s="1"/>
  <c r="Y62" i="35"/>
  <c r="Z62" i="35" s="1"/>
  <c r="Y77" i="35"/>
  <c r="Z77" i="35" s="1"/>
  <c r="Y74" i="35"/>
  <c r="Z74" i="35" s="1"/>
  <c r="Y8" i="35"/>
  <c r="Z8" i="35" s="1"/>
  <c r="Y70" i="35"/>
  <c r="Z70" i="35" s="1"/>
  <c r="Y67" i="35"/>
  <c r="Z67" i="35" s="1"/>
  <c r="Y64" i="35"/>
  <c r="Z64" i="35" s="1"/>
  <c r="Y4" i="35"/>
  <c r="Z4" i="35" s="1"/>
  <c r="Y10" i="35"/>
  <c r="Z10" i="35" s="1"/>
  <c r="Y13" i="35"/>
  <c r="Z13" i="35" s="1"/>
  <c r="Y16" i="35"/>
  <c r="Z16" i="35" s="1"/>
  <c r="Y19" i="35"/>
  <c r="Z19" i="35" s="1"/>
  <c r="Y22" i="35"/>
  <c r="Z22" i="35" s="1"/>
  <c r="Y25" i="35"/>
  <c r="Z25" i="35" s="1"/>
  <c r="Y28" i="35"/>
  <c r="Z28" i="35" s="1"/>
  <c r="Y31" i="35"/>
  <c r="Z31" i="35" s="1"/>
  <c r="Y40" i="35"/>
  <c r="Z40" i="35" s="1"/>
  <c r="Y37" i="35"/>
  <c r="Z37" i="35" s="1"/>
  <c r="Y34" i="35"/>
  <c r="Z34" i="35" s="1"/>
  <c r="Y43" i="35"/>
  <c r="Z43" i="35" s="1"/>
  <c r="Y49" i="35"/>
  <c r="Z49" i="35" s="1"/>
  <c r="Y52" i="35"/>
  <c r="Z52" i="35" s="1"/>
  <c r="Y55" i="35"/>
  <c r="Z55" i="35" s="1"/>
  <c r="Y58" i="35"/>
  <c r="Z58" i="35" s="1"/>
  <c r="Y46" i="35"/>
  <c r="Z46" i="35" s="1"/>
  <c r="Y61" i="35"/>
  <c r="Z61" i="35" s="1"/>
  <c r="Y76" i="35"/>
  <c r="Z76" i="35" s="1"/>
  <c r="Y73" i="35"/>
  <c r="Z73" i="35" s="1"/>
  <c r="X79" i="35"/>
  <c r="X72" i="35"/>
  <c r="X69" i="35"/>
  <c r="X66" i="35"/>
  <c r="X6" i="35"/>
  <c r="X12" i="35"/>
  <c r="X15" i="35"/>
  <c r="X18" i="35"/>
  <c r="X21" i="35"/>
  <c r="X24" i="35"/>
  <c r="X27" i="35"/>
  <c r="X30" i="35"/>
  <c r="X33" i="35"/>
  <c r="X42" i="35"/>
  <c r="X39" i="35"/>
  <c r="X36" i="35"/>
  <c r="X45" i="35"/>
  <c r="X51" i="35"/>
  <c r="X54" i="35"/>
  <c r="X57" i="35"/>
  <c r="X60" i="35"/>
  <c r="X48" i="35"/>
  <c r="X63" i="35"/>
  <c r="X78" i="35"/>
  <c r="X75" i="35"/>
  <c r="X9" i="35"/>
  <c r="X71" i="35"/>
  <c r="X68" i="35"/>
  <c r="X65" i="35"/>
  <c r="X5" i="35"/>
  <c r="X11" i="35"/>
  <c r="X14" i="35"/>
  <c r="X17" i="35"/>
  <c r="X20" i="35"/>
  <c r="X23" i="35"/>
  <c r="X26" i="35"/>
  <c r="X29" i="35"/>
  <c r="X32" i="35"/>
  <c r="X41" i="35"/>
  <c r="X38" i="35"/>
  <c r="X35" i="35"/>
  <c r="X44" i="35"/>
  <c r="X50" i="35"/>
  <c r="X53" i="35"/>
  <c r="X56" i="35"/>
  <c r="X59" i="35"/>
  <c r="X47" i="35"/>
  <c r="X62" i="35"/>
  <c r="X77" i="35"/>
  <c r="X74" i="35"/>
  <c r="X8" i="35"/>
  <c r="X70" i="35"/>
  <c r="X67" i="35"/>
  <c r="X64" i="35"/>
  <c r="X4" i="35"/>
  <c r="X10" i="35"/>
  <c r="X13" i="35"/>
  <c r="X16" i="35"/>
  <c r="X19" i="35"/>
  <c r="X22" i="35"/>
  <c r="X25" i="35"/>
  <c r="X28" i="35"/>
  <c r="X31" i="35"/>
  <c r="X40" i="35"/>
  <c r="X37" i="35"/>
  <c r="X34" i="35"/>
  <c r="X43" i="35"/>
  <c r="X49" i="35"/>
  <c r="X52" i="35"/>
  <c r="X55" i="35"/>
  <c r="X58" i="35"/>
  <c r="X46" i="35"/>
  <c r="X61" i="35"/>
  <c r="X76" i="35"/>
  <c r="X73" i="35"/>
  <c r="F73" i="35"/>
  <c r="O73" i="35" s="1"/>
  <c r="G7" i="35"/>
  <c r="H7" i="35"/>
  <c r="H73" i="35"/>
  <c r="G73" i="35"/>
  <c r="AA7" i="35"/>
  <c r="X7" i="35"/>
  <c r="Y7" i="35"/>
  <c r="Z7" i="35" s="1"/>
  <c r="AF25" i="33"/>
  <c r="AG11" i="27"/>
  <c r="AE11" i="27"/>
  <c r="AC11" i="27"/>
  <c r="X11" i="27"/>
  <c r="W11" i="27"/>
  <c r="AG19" i="27"/>
  <c r="AE19" i="27"/>
  <c r="AC19" i="27"/>
  <c r="X19" i="27"/>
  <c r="W19" i="27"/>
  <c r="AG30" i="27"/>
  <c r="AE30" i="27"/>
  <c r="AC30" i="27"/>
  <c r="X30" i="27"/>
  <c r="W30" i="27"/>
  <c r="AG47" i="27"/>
  <c r="AE47" i="27"/>
  <c r="AC47" i="27"/>
  <c r="X47" i="27"/>
  <c r="W47" i="27"/>
  <c r="AG55" i="27"/>
  <c r="AE55" i="27"/>
  <c r="AC55" i="27"/>
  <c r="X55" i="27"/>
  <c r="W55" i="27"/>
  <c r="AG66" i="27"/>
  <c r="AE66" i="27"/>
  <c r="AC66" i="27"/>
  <c r="X66" i="27"/>
  <c r="W66" i="27"/>
  <c r="AG74" i="27"/>
  <c r="AE74" i="27"/>
  <c r="AC74" i="27"/>
  <c r="X74" i="27"/>
  <c r="W74" i="27"/>
  <c r="AG86" i="27"/>
  <c r="AE86" i="27"/>
  <c r="AC86" i="27"/>
  <c r="X86" i="27"/>
  <c r="W86" i="27"/>
  <c r="AG206" i="27"/>
  <c r="AE206" i="27"/>
  <c r="AC206" i="27"/>
  <c r="X206" i="27"/>
  <c r="W206" i="27"/>
  <c r="AG268" i="27"/>
  <c r="AE268" i="27"/>
  <c r="AC268" i="27"/>
  <c r="X268" i="27"/>
  <c r="W268" i="27"/>
  <c r="AG264" i="27"/>
  <c r="AE264" i="27"/>
  <c r="AC264" i="27"/>
  <c r="X264" i="27"/>
  <c r="W264" i="27"/>
  <c r="AG257" i="27"/>
  <c r="AE257" i="27"/>
  <c r="AC257" i="27"/>
  <c r="X257" i="27"/>
  <c r="W257" i="27"/>
  <c r="AG253" i="27"/>
  <c r="AE253" i="27"/>
  <c r="AC253" i="27"/>
  <c r="X253" i="27"/>
  <c r="W253" i="27"/>
  <c r="AG246" i="27"/>
  <c r="AE246" i="27"/>
  <c r="AC246" i="27"/>
  <c r="X246" i="27"/>
  <c r="W246" i="27"/>
  <c r="AG242" i="27"/>
  <c r="AE242" i="27"/>
  <c r="AC242" i="27"/>
  <c r="X242" i="27"/>
  <c r="W242" i="27"/>
  <c r="AG235" i="27"/>
  <c r="AE235" i="27"/>
  <c r="AC235" i="27"/>
  <c r="X235" i="27"/>
  <c r="W235" i="27"/>
  <c r="AG231" i="27"/>
  <c r="AE231" i="27"/>
  <c r="AC231" i="27"/>
  <c r="X231" i="27"/>
  <c r="W231" i="27"/>
  <c r="AG220" i="27"/>
  <c r="AE220" i="27"/>
  <c r="AC220" i="27"/>
  <c r="X220" i="27"/>
  <c r="W220" i="27"/>
  <c r="AG213" i="27"/>
  <c r="AE213" i="27"/>
  <c r="AC213" i="27"/>
  <c r="X213" i="27"/>
  <c r="W213" i="27"/>
  <c r="AG198" i="27"/>
  <c r="AE198" i="27"/>
  <c r="AC198" i="27"/>
  <c r="X198" i="27"/>
  <c r="W198" i="27"/>
  <c r="AG187" i="27"/>
  <c r="AE187" i="27"/>
  <c r="AC187" i="27"/>
  <c r="X187" i="27"/>
  <c r="W187" i="27"/>
  <c r="AG176" i="27"/>
  <c r="AE176" i="27"/>
  <c r="AC176" i="27"/>
  <c r="X176" i="27"/>
  <c r="W176" i="27"/>
  <c r="AG167" i="27"/>
  <c r="AE167" i="27"/>
  <c r="AC167" i="27"/>
  <c r="X167" i="27"/>
  <c r="W167" i="27"/>
  <c r="AG158" i="27"/>
  <c r="AE158" i="27"/>
  <c r="AC158" i="27"/>
  <c r="X158" i="27"/>
  <c r="W158" i="27"/>
  <c r="AG124" i="27"/>
  <c r="AE124" i="27"/>
  <c r="AC124" i="27"/>
  <c r="X124" i="27"/>
  <c r="W124" i="27"/>
  <c r="AG97" i="27"/>
  <c r="AE97" i="27"/>
  <c r="AC97" i="27"/>
  <c r="X97" i="27"/>
  <c r="W97" i="27"/>
  <c r="AG120" i="27"/>
  <c r="AE120" i="27"/>
  <c r="AC120" i="27"/>
  <c r="X120" i="27"/>
  <c r="W120" i="27"/>
  <c r="AG149" i="27"/>
  <c r="AE149" i="27"/>
  <c r="AC149" i="27"/>
  <c r="X149" i="27"/>
  <c r="W149" i="27"/>
  <c r="AG131" i="27"/>
  <c r="AE131" i="27"/>
  <c r="AC131" i="27"/>
  <c r="X131" i="27"/>
  <c r="W131" i="27"/>
  <c r="AG140" i="27"/>
  <c r="X140" i="27"/>
  <c r="W140" i="27"/>
  <c r="H33" i="12"/>
  <c r="D62" i="17"/>
  <c r="V259" i="27"/>
  <c r="AC267" i="27"/>
  <c r="AG267" i="27" s="1"/>
  <c r="W267" i="27" s="1"/>
  <c r="V267" i="27"/>
  <c r="AC266" i="27"/>
  <c r="AG265" i="27"/>
  <c r="AC265" i="27"/>
  <c r="AC263" i="27"/>
  <c r="AG263" i="27" s="1"/>
  <c r="W263" i="27" s="1"/>
  <c r="AG262" i="27"/>
  <c r="AC262" i="27"/>
  <c r="AG261" i="27"/>
  <c r="AC261" i="27"/>
  <c r="AG260" i="27"/>
  <c r="AC260" i="27"/>
  <c r="AC259" i="27"/>
  <c r="AG259" i="27" s="1"/>
  <c r="X259" i="27"/>
  <c r="B268" i="27"/>
  <c r="B267" i="27"/>
  <c r="B266" i="27"/>
  <c r="B265" i="27"/>
  <c r="B264" i="27"/>
  <c r="B263" i="27"/>
  <c r="B262" i="27"/>
  <c r="B261" i="27"/>
  <c r="B260" i="27"/>
  <c r="B259" i="27"/>
  <c r="B257" i="27"/>
  <c r="AC256" i="27"/>
  <c r="AG256" i="27" s="1"/>
  <c r="W256" i="27" s="1"/>
  <c r="V256" i="27"/>
  <c r="B256" i="27"/>
  <c r="AC255" i="27"/>
  <c r="B255" i="27"/>
  <c r="AG254" i="27"/>
  <c r="AC254" i="27"/>
  <c r="B254" i="27"/>
  <c r="B253" i="27"/>
  <c r="AC252" i="27"/>
  <c r="AG252" i="27" s="1"/>
  <c r="W252" i="27" s="1"/>
  <c r="B252" i="27"/>
  <c r="AG251" i="27"/>
  <c r="AC251" i="27"/>
  <c r="B251" i="27"/>
  <c r="AG250" i="27"/>
  <c r="AC250" i="27"/>
  <c r="B250" i="27"/>
  <c r="AG249" i="27"/>
  <c r="AC249" i="27"/>
  <c r="B249" i="27"/>
  <c r="AC248" i="27"/>
  <c r="AG248" i="27" s="1"/>
  <c r="X248" i="27"/>
  <c r="B248" i="27"/>
  <c r="B246" i="27"/>
  <c r="AC245" i="27"/>
  <c r="AG245" i="27" s="1"/>
  <c r="W245" i="27" s="1"/>
  <c r="V245" i="27"/>
  <c r="B245" i="27"/>
  <c r="AC244" i="27"/>
  <c r="B244" i="27"/>
  <c r="AG243" i="27"/>
  <c r="AC243" i="27"/>
  <c r="B243" i="27"/>
  <c r="B242" i="27"/>
  <c r="AC241" i="27"/>
  <c r="AG241" i="27" s="1"/>
  <c r="W241" i="27" s="1"/>
  <c r="B241" i="27"/>
  <c r="AG240" i="27"/>
  <c r="AC240" i="27"/>
  <c r="B240" i="27"/>
  <c r="AG239" i="27"/>
  <c r="AC239" i="27"/>
  <c r="B239" i="27"/>
  <c r="AG238" i="27"/>
  <c r="AC238" i="27"/>
  <c r="B238" i="27"/>
  <c r="AC237" i="27"/>
  <c r="AG237" i="27" s="1"/>
  <c r="X237" i="27"/>
  <c r="B237" i="27"/>
  <c r="B235" i="27"/>
  <c r="AC234" i="27"/>
  <c r="AG234" i="27" s="1"/>
  <c r="W234" i="27" s="1"/>
  <c r="V234" i="27"/>
  <c r="B234" i="27"/>
  <c r="AC233" i="27"/>
  <c r="B233" i="27"/>
  <c r="AG232" i="27"/>
  <c r="AC232" i="27"/>
  <c r="B232" i="27"/>
  <c r="B231" i="27"/>
  <c r="AC230" i="27"/>
  <c r="AG230" i="27" s="1"/>
  <c r="W230" i="27" s="1"/>
  <c r="B230" i="27"/>
  <c r="AG229" i="27"/>
  <c r="AC229" i="27"/>
  <c r="B229" i="27"/>
  <c r="AG228" i="27"/>
  <c r="AC228" i="27"/>
  <c r="B228" i="27"/>
  <c r="AG227" i="27"/>
  <c r="AC227" i="27"/>
  <c r="B227" i="27"/>
  <c r="AC226" i="27"/>
  <c r="AG226" i="27" s="1"/>
  <c r="X226" i="27"/>
  <c r="B226" i="27"/>
  <c r="B225" i="27"/>
  <c r="V225" i="27"/>
  <c r="X225" i="27"/>
  <c r="AG223" i="27"/>
  <c r="AC223" i="27"/>
  <c r="B223" i="27"/>
  <c r="AG222" i="27"/>
  <c r="AC222" i="27"/>
  <c r="B222" i="27"/>
  <c r="AG221" i="27"/>
  <c r="AC221" i="27"/>
  <c r="B221" i="27"/>
  <c r="B220" i="27"/>
  <c r="AG219" i="27"/>
  <c r="AC219" i="27"/>
  <c r="X219" i="27"/>
  <c r="V219" i="27"/>
  <c r="B219" i="27"/>
  <c r="X218" i="27"/>
  <c r="B218" i="27"/>
  <c r="AG216" i="27"/>
  <c r="AC216" i="27"/>
  <c r="B216" i="27"/>
  <c r="AG215" i="27"/>
  <c r="AC215" i="27"/>
  <c r="B215" i="27"/>
  <c r="AG214" i="27"/>
  <c r="AC214" i="27"/>
  <c r="B214" i="27"/>
  <c r="B213" i="27"/>
  <c r="AG212" i="27"/>
  <c r="AC212" i="27"/>
  <c r="X212" i="27"/>
  <c r="V212" i="27"/>
  <c r="B212" i="27"/>
  <c r="X211" i="27"/>
  <c r="B211" i="27"/>
  <c r="AG204" i="27"/>
  <c r="W204" i="27"/>
  <c r="V204" i="27"/>
  <c r="AG209" i="27"/>
  <c r="AC209" i="27"/>
  <c r="B209" i="27"/>
  <c r="AG208" i="27"/>
  <c r="AC208" i="27"/>
  <c r="B208" i="27"/>
  <c r="AG207" i="27"/>
  <c r="AC207" i="27"/>
  <c r="B207" i="27"/>
  <c r="B206" i="27"/>
  <c r="AC205" i="27"/>
  <c r="AG205" i="27" s="1"/>
  <c r="W205" i="27" s="1"/>
  <c r="B205" i="27"/>
  <c r="B204" i="27"/>
  <c r="B171" i="27"/>
  <c r="B172" i="27"/>
  <c r="B173" i="27"/>
  <c r="B174" i="27"/>
  <c r="B175" i="27"/>
  <c r="B176" i="27"/>
  <c r="B177" i="27"/>
  <c r="B178" i="27"/>
  <c r="B179" i="27"/>
  <c r="B180" i="27"/>
  <c r="B182" i="27"/>
  <c r="B183" i="27"/>
  <c r="B184" i="27"/>
  <c r="B185" i="27"/>
  <c r="B186" i="27"/>
  <c r="B187" i="27"/>
  <c r="B188" i="27"/>
  <c r="B189" i="27"/>
  <c r="B190" i="27"/>
  <c r="B191" i="27"/>
  <c r="B193" i="27"/>
  <c r="B194" i="27"/>
  <c r="B195" i="27"/>
  <c r="B196" i="27"/>
  <c r="B197" i="27"/>
  <c r="B198" i="27"/>
  <c r="B199" i="27"/>
  <c r="B200" i="27"/>
  <c r="B201" i="27"/>
  <c r="B202" i="27"/>
  <c r="AG202" i="27"/>
  <c r="AC202" i="27"/>
  <c r="AG201" i="27"/>
  <c r="AC201" i="27"/>
  <c r="AG200" i="27"/>
  <c r="AC200" i="27"/>
  <c r="AG199" i="27"/>
  <c r="AC199" i="27"/>
  <c r="AC197" i="27"/>
  <c r="AG197" i="27" s="1"/>
  <c r="W197" i="27" s="1"/>
  <c r="AG196" i="27"/>
  <c r="AC196" i="27"/>
  <c r="AG195" i="27"/>
  <c r="AC195" i="27"/>
  <c r="AC194" i="27"/>
  <c r="AG194" i="27" s="1"/>
  <c r="X194" i="27"/>
  <c r="V194" i="27"/>
  <c r="AC193" i="27"/>
  <c r="X193" i="27"/>
  <c r="AG191" i="27"/>
  <c r="AC191" i="27"/>
  <c r="AG190" i="27"/>
  <c r="AC190" i="27"/>
  <c r="AG189" i="27"/>
  <c r="AC189" i="27"/>
  <c r="AG188" i="27"/>
  <c r="AC188" i="27"/>
  <c r="AC186" i="27"/>
  <c r="AG186" i="27" s="1"/>
  <c r="W186" i="27" s="1"/>
  <c r="AG185" i="27"/>
  <c r="AC185" i="27"/>
  <c r="AG184" i="27"/>
  <c r="AC184" i="27"/>
  <c r="AC183" i="27"/>
  <c r="AG183" i="27" s="1"/>
  <c r="X183" i="27"/>
  <c r="V183" i="27"/>
  <c r="AC182" i="27"/>
  <c r="X182" i="27"/>
  <c r="AG180" i="27"/>
  <c r="AC180" i="27"/>
  <c r="AG179" i="27"/>
  <c r="AC179" i="27"/>
  <c r="AG178" i="27"/>
  <c r="AC178" i="27"/>
  <c r="AG177" i="27"/>
  <c r="AC177" i="27"/>
  <c r="AC175" i="27"/>
  <c r="AG175" i="27" s="1"/>
  <c r="W175" i="27" s="1"/>
  <c r="AG174" i="27"/>
  <c r="AC174" i="27"/>
  <c r="AG173" i="27"/>
  <c r="AC173" i="27"/>
  <c r="AC172" i="27"/>
  <c r="AG172" i="27" s="1"/>
  <c r="X172" i="27"/>
  <c r="V172" i="27"/>
  <c r="AC171" i="27"/>
  <c r="X171" i="27"/>
  <c r="B153" i="27"/>
  <c r="B154" i="27"/>
  <c r="B155" i="27"/>
  <c r="B156" i="27"/>
  <c r="B157" i="27"/>
  <c r="B158" i="27"/>
  <c r="B159" i="27"/>
  <c r="B160" i="27"/>
  <c r="B162" i="27"/>
  <c r="B163" i="27"/>
  <c r="B164" i="27"/>
  <c r="B165" i="27"/>
  <c r="B166" i="27"/>
  <c r="B167" i="27"/>
  <c r="B168" i="27"/>
  <c r="B169" i="27"/>
  <c r="AC169" i="27"/>
  <c r="AG168" i="27"/>
  <c r="AC168" i="27"/>
  <c r="AC166" i="27"/>
  <c r="AG166" i="27" s="1"/>
  <c r="W166" i="27" s="1"/>
  <c r="AG165" i="27"/>
  <c r="AC165" i="27"/>
  <c r="AG164" i="27"/>
  <c r="AC164" i="27"/>
  <c r="AG163" i="27"/>
  <c r="AC163" i="27"/>
  <c r="X162" i="27"/>
  <c r="AC160" i="27"/>
  <c r="AG159" i="27"/>
  <c r="AC159" i="27"/>
  <c r="AC157" i="27"/>
  <c r="AG157" i="27" s="1"/>
  <c r="W157" i="27" s="1"/>
  <c r="AG156" i="27"/>
  <c r="AC156" i="27"/>
  <c r="AG155" i="27"/>
  <c r="AC155" i="27"/>
  <c r="AG154" i="27"/>
  <c r="AC154" i="27"/>
  <c r="X153" i="27"/>
  <c r="AC151" i="27"/>
  <c r="B151" i="27"/>
  <c r="AG150" i="27"/>
  <c r="AC150" i="27"/>
  <c r="B150" i="27"/>
  <c r="B149" i="27"/>
  <c r="AC148" i="27"/>
  <c r="AG148" i="27" s="1"/>
  <c r="W148" i="27" s="1"/>
  <c r="B148" i="27"/>
  <c r="AG147" i="27"/>
  <c r="AC147" i="27"/>
  <c r="B147" i="27"/>
  <c r="AG146" i="27"/>
  <c r="AC146" i="27"/>
  <c r="B146" i="27"/>
  <c r="AG145" i="27"/>
  <c r="AC145" i="27"/>
  <c r="B145" i="27"/>
  <c r="X144" i="27"/>
  <c r="B144" i="27"/>
  <c r="AC142" i="27"/>
  <c r="B142" i="27"/>
  <c r="AG141" i="27"/>
  <c r="AC141" i="27"/>
  <c r="B141" i="27"/>
  <c r="AE140" i="27"/>
  <c r="AC140" i="27"/>
  <c r="B140" i="27"/>
  <c r="AC139" i="27"/>
  <c r="AG139" i="27" s="1"/>
  <c r="W139" i="27" s="1"/>
  <c r="B139" i="27"/>
  <c r="AG138" i="27"/>
  <c r="AC138" i="27"/>
  <c r="B138" i="27"/>
  <c r="AG137" i="27"/>
  <c r="AC137" i="27"/>
  <c r="B137" i="27"/>
  <c r="AG136" i="27"/>
  <c r="AC136" i="27"/>
  <c r="B136" i="27"/>
  <c r="X135" i="27"/>
  <c r="B135" i="27"/>
  <c r="B127" i="27"/>
  <c r="B128" i="27"/>
  <c r="B129" i="27"/>
  <c r="B130" i="27"/>
  <c r="B131" i="27"/>
  <c r="B132" i="27"/>
  <c r="B133" i="27"/>
  <c r="B126" i="27"/>
  <c r="AC133" i="27"/>
  <c r="AG132" i="27"/>
  <c r="AC132" i="27"/>
  <c r="AC130" i="27"/>
  <c r="AG130" i="27" s="1"/>
  <c r="W130" i="27" s="1"/>
  <c r="AG129" i="27"/>
  <c r="AC129" i="27"/>
  <c r="AG128" i="27"/>
  <c r="AC128" i="27"/>
  <c r="AG127" i="27"/>
  <c r="AC127" i="27"/>
  <c r="X126" i="27"/>
  <c r="B4" i="27"/>
  <c r="B124" i="27"/>
  <c r="B123" i="27"/>
  <c r="V123" i="27"/>
  <c r="AC123" i="27"/>
  <c r="AG123" i="27" s="1"/>
  <c r="W123" i="27" s="1"/>
  <c r="B116" i="27"/>
  <c r="B117" i="27"/>
  <c r="B118" i="27"/>
  <c r="B119" i="27"/>
  <c r="B120" i="27"/>
  <c r="B121" i="27"/>
  <c r="B122" i="27"/>
  <c r="AC115" i="27"/>
  <c r="AG115" i="27" s="1"/>
  <c r="X115" i="27"/>
  <c r="AC122" i="27"/>
  <c r="AG121" i="27"/>
  <c r="AC121" i="27"/>
  <c r="AC119" i="27"/>
  <c r="AG119" i="27" s="1"/>
  <c r="W119" i="27" s="1"/>
  <c r="AG118" i="27"/>
  <c r="AC118" i="27"/>
  <c r="AG117" i="27"/>
  <c r="AC117" i="27"/>
  <c r="AG116" i="27"/>
  <c r="AC116" i="27"/>
  <c r="B115" i="27"/>
  <c r="X109" i="27"/>
  <c r="AG113" i="27"/>
  <c r="AC113" i="27"/>
  <c r="B113" i="27"/>
  <c r="AG112" i="27"/>
  <c r="AC112" i="27"/>
  <c r="B112" i="27"/>
  <c r="AG111" i="27"/>
  <c r="AC111" i="27"/>
  <c r="B111" i="27"/>
  <c r="AG110" i="27"/>
  <c r="AC110" i="27"/>
  <c r="B110" i="27"/>
  <c r="B109" i="27"/>
  <c r="AC108" i="27"/>
  <c r="B108" i="27"/>
  <c r="AG107" i="27"/>
  <c r="AC107" i="27"/>
  <c r="B107" i="27"/>
  <c r="AG106" i="27"/>
  <c r="AC106" i="27"/>
  <c r="B106" i="27"/>
  <c r="AE105" i="27"/>
  <c r="AC105" i="27"/>
  <c r="AG105" i="27" s="1"/>
  <c r="B105" i="27"/>
  <c r="AE104" i="27"/>
  <c r="AC104" i="27"/>
  <c r="AG104" i="27" s="1"/>
  <c r="B104" i="27"/>
  <c r="AE103" i="27"/>
  <c r="AC103" i="27"/>
  <c r="AG103" i="27" s="1"/>
  <c r="B103" i="27"/>
  <c r="B93" i="27"/>
  <c r="B94" i="27"/>
  <c r="B95" i="27"/>
  <c r="B96" i="27"/>
  <c r="B97" i="27"/>
  <c r="B98" i="27"/>
  <c r="B99" i="27"/>
  <c r="B100" i="27"/>
  <c r="B101" i="27"/>
  <c r="B92" i="27"/>
  <c r="AC92" i="27"/>
  <c r="AC93" i="27"/>
  <c r="AG93" i="27" s="1"/>
  <c r="AC94" i="27"/>
  <c r="AC95" i="27"/>
  <c r="AG92" i="27"/>
  <c r="V93" i="27"/>
  <c r="X93" i="27"/>
  <c r="X92" i="27"/>
  <c r="AG101" i="27"/>
  <c r="AC101" i="27"/>
  <c r="AG100" i="27"/>
  <c r="AC100" i="27"/>
  <c r="AG99" i="27"/>
  <c r="AC99" i="27"/>
  <c r="AG98" i="27"/>
  <c r="AC98" i="27"/>
  <c r="AC96" i="27"/>
  <c r="AG96" i="27" s="1"/>
  <c r="W96" i="27" s="1"/>
  <c r="AG95" i="27"/>
  <c r="AG94" i="27"/>
  <c r="B81" i="27"/>
  <c r="B82" i="27"/>
  <c r="B83" i="27"/>
  <c r="B84" i="27"/>
  <c r="B85" i="27"/>
  <c r="B86" i="27"/>
  <c r="B87" i="27"/>
  <c r="B88" i="27"/>
  <c r="B89" i="27"/>
  <c r="B90" i="27"/>
  <c r="AG90" i="27"/>
  <c r="AC90" i="27"/>
  <c r="AG89" i="27"/>
  <c r="AC89" i="27"/>
  <c r="AG88" i="27"/>
  <c r="AC88" i="27"/>
  <c r="AG87" i="27"/>
  <c r="AC87" i="27"/>
  <c r="AC85" i="27"/>
  <c r="AG85" i="27" s="1"/>
  <c r="W85" i="27" s="1"/>
  <c r="AG82" i="27"/>
  <c r="AG83" i="27"/>
  <c r="AG84" i="27"/>
  <c r="B80" i="27"/>
  <c r="B73" i="27"/>
  <c r="B74" i="27"/>
  <c r="B75" i="27"/>
  <c r="B76" i="27"/>
  <c r="B77" i="27"/>
  <c r="B78" i="27"/>
  <c r="AG78" i="27"/>
  <c r="AC78" i="27"/>
  <c r="AG77" i="27"/>
  <c r="AC77" i="27"/>
  <c r="AG76" i="27"/>
  <c r="AC76" i="27"/>
  <c r="AG75" i="27"/>
  <c r="AC75" i="27"/>
  <c r="AG73" i="27"/>
  <c r="AC73" i="27"/>
  <c r="X73" i="27"/>
  <c r="V73" i="27"/>
  <c r="V72" i="27"/>
  <c r="X72" i="27"/>
  <c r="B72" i="27"/>
  <c r="B62" i="27"/>
  <c r="B63" i="27"/>
  <c r="B64" i="27"/>
  <c r="B65" i="27"/>
  <c r="B66" i="27"/>
  <c r="B67" i="27"/>
  <c r="B68" i="27"/>
  <c r="B69" i="27"/>
  <c r="B70" i="27"/>
  <c r="AG70" i="27"/>
  <c r="AC70" i="27"/>
  <c r="AG69" i="27"/>
  <c r="AC69" i="27"/>
  <c r="AG68" i="27"/>
  <c r="AC68" i="27"/>
  <c r="AG67" i="27"/>
  <c r="AC67" i="27"/>
  <c r="AG65" i="27"/>
  <c r="AC65" i="27"/>
  <c r="X65" i="27"/>
  <c r="V65" i="27"/>
  <c r="AG64" i="27"/>
  <c r="AC64" i="27"/>
  <c r="AC63" i="27"/>
  <c r="AG63" i="27" s="1"/>
  <c r="AC62" i="27"/>
  <c r="AG62" i="27" s="1"/>
  <c r="B54" i="27"/>
  <c r="AC54" i="27"/>
  <c r="AG54" i="27" s="1"/>
  <c r="W54" i="27" s="1"/>
  <c r="AC46" i="27"/>
  <c r="AG46" i="27" s="1"/>
  <c r="W46" i="27" s="1"/>
  <c r="B46" i="27"/>
  <c r="X61" i="27"/>
  <c r="V61" i="27"/>
  <c r="B61" i="27"/>
  <c r="AG59" i="27"/>
  <c r="AC59" i="27"/>
  <c r="B59" i="27"/>
  <c r="AG58" i="27"/>
  <c r="AC58" i="27"/>
  <c r="B58" i="27"/>
  <c r="AG57" i="27"/>
  <c r="AC57" i="27"/>
  <c r="B57" i="27"/>
  <c r="AG56" i="27"/>
  <c r="AC56" i="27"/>
  <c r="B56" i="27"/>
  <c r="B55" i="27"/>
  <c r="W53" i="27"/>
  <c r="V53" i="27"/>
  <c r="B53" i="27"/>
  <c r="B40" i="27"/>
  <c r="B41" i="27"/>
  <c r="B42" i="27"/>
  <c r="B43" i="27"/>
  <c r="B44" i="27"/>
  <c r="B45" i="27"/>
  <c r="B47" i="27"/>
  <c r="B48" i="27"/>
  <c r="B49" i="27"/>
  <c r="B50" i="27"/>
  <c r="B51" i="27"/>
  <c r="AG45" i="27"/>
  <c r="AG51" i="27"/>
  <c r="AC51" i="27"/>
  <c r="AG50" i="27"/>
  <c r="AC50" i="27"/>
  <c r="AG49" i="27"/>
  <c r="AC49" i="27"/>
  <c r="AG48" i="27"/>
  <c r="AC48" i="27"/>
  <c r="AC39" i="27"/>
  <c r="AG39" i="27" s="1"/>
  <c r="AC40" i="27"/>
  <c r="AG40" i="27" s="1"/>
  <c r="AC41" i="27"/>
  <c r="AG41" i="27" s="1"/>
  <c r="AC42" i="27"/>
  <c r="AG42" i="27" s="1"/>
  <c r="AC43" i="27"/>
  <c r="AG43" i="27" s="1"/>
  <c r="AC44" i="27"/>
  <c r="AG44" i="27" s="1"/>
  <c r="AC45" i="27"/>
  <c r="B39" i="27"/>
  <c r="AC37" i="27"/>
  <c r="B37" i="27"/>
  <c r="AG36" i="27"/>
  <c r="AC36" i="27"/>
  <c r="B36" i="27"/>
  <c r="AG35" i="27"/>
  <c r="AC35" i="27"/>
  <c r="B35" i="27"/>
  <c r="AG34" i="27"/>
  <c r="AC34" i="27"/>
  <c r="B34" i="27"/>
  <c r="AG33" i="27"/>
  <c r="AC33" i="27"/>
  <c r="B33" i="27"/>
  <c r="AG32" i="27"/>
  <c r="AC32" i="27"/>
  <c r="B32" i="27"/>
  <c r="AG31" i="27"/>
  <c r="AC31" i="27"/>
  <c r="B31" i="27"/>
  <c r="B30" i="27"/>
  <c r="AG29" i="27"/>
  <c r="AC29" i="27"/>
  <c r="X29" i="27"/>
  <c r="V29" i="27"/>
  <c r="V28" i="27" s="1"/>
  <c r="B29" i="27"/>
  <c r="AC28" i="27"/>
  <c r="X28" i="27"/>
  <c r="B28" i="27"/>
  <c r="B26" i="27"/>
  <c r="AC26" i="27"/>
  <c r="AG25" i="27"/>
  <c r="AC25" i="27"/>
  <c r="B25" i="27"/>
  <c r="AG24" i="27"/>
  <c r="AC24" i="27"/>
  <c r="B24" i="27"/>
  <c r="B19" i="27"/>
  <c r="B20" i="27"/>
  <c r="B21" i="27"/>
  <c r="B22" i="27"/>
  <c r="B23" i="27"/>
  <c r="AG23" i="27"/>
  <c r="AC23" i="27"/>
  <c r="AG22" i="27"/>
  <c r="AC22" i="27"/>
  <c r="AG21" i="27"/>
  <c r="AC21" i="27"/>
  <c r="AG20" i="27"/>
  <c r="AC20" i="27"/>
  <c r="AE5" i="27"/>
  <c r="AE6" i="27"/>
  <c r="AE4" i="27"/>
  <c r="AG8" i="27"/>
  <c r="AG7" i="27"/>
  <c r="AC17" i="27"/>
  <c r="AC4" i="27"/>
  <c r="AG4" i="27" s="1"/>
  <c r="AC5" i="27"/>
  <c r="AG5" i="27" s="1"/>
  <c r="AC6" i="27"/>
  <c r="AG6" i="27" s="1"/>
  <c r="AC7" i="27"/>
  <c r="AC8" i="27"/>
  <c r="AC9" i="27"/>
  <c r="AC10" i="27"/>
  <c r="AG10" i="27" s="1"/>
  <c r="W10" i="27" s="1"/>
  <c r="AC12" i="27"/>
  <c r="AC14" i="27"/>
  <c r="AC15" i="27"/>
  <c r="AC18" i="27"/>
  <c r="AG13" i="27"/>
  <c r="AC13" i="27"/>
  <c r="AG12" i="27"/>
  <c r="AG18" i="27"/>
  <c r="X17" i="27"/>
  <c r="X18" i="27"/>
  <c r="AG15" i="27"/>
  <c r="V18" i="27"/>
  <c r="V17" i="27" s="1"/>
  <c r="E32" i="12"/>
  <c r="F32" i="12"/>
  <c r="G32" i="12"/>
  <c r="H32" i="12"/>
  <c r="W73" i="27" s="1"/>
  <c r="I32" i="12"/>
  <c r="J32" i="12"/>
  <c r="K32" i="12"/>
  <c r="L32" i="12"/>
  <c r="M32" i="12"/>
  <c r="N32" i="12"/>
  <c r="O32" i="12"/>
  <c r="P32" i="12"/>
  <c r="G32" i="13"/>
  <c r="B18" i="27"/>
  <c r="B11" i="27"/>
  <c r="B12" i="27"/>
  <c r="B13" i="27"/>
  <c r="B14" i="27"/>
  <c r="B15" i="27"/>
  <c r="B5" i="27"/>
  <c r="B6" i="27"/>
  <c r="B7" i="27"/>
  <c r="B8" i="27"/>
  <c r="B9" i="27"/>
  <c r="B10" i="27"/>
  <c r="B17" i="27"/>
  <c r="D6" i="14"/>
  <c r="W65" i="27" l="1"/>
  <c r="W219" i="27"/>
  <c r="W18" i="27"/>
  <c r="W29" i="27"/>
  <c r="W212" i="27"/>
  <c r="AG53" i="27"/>
  <c r="B12" i="6" l="1"/>
  <c r="C9" i="6"/>
  <c r="C7" i="6"/>
  <c r="B4" i="6"/>
  <c r="C5" i="6"/>
  <c r="C6" i="6" a="1"/>
  <c r="C6" i="6" s="1"/>
  <c r="C8" i="6"/>
  <c r="G8" i="6"/>
  <c r="D5" i="6"/>
  <c r="E5" i="6" s="1"/>
  <c r="D9" i="6"/>
  <c r="L9" i="6" s="1"/>
  <c r="Q9" i="6" s="1"/>
  <c r="H8" i="6"/>
  <c r="N13" i="4"/>
  <c r="O13" i="4" s="1"/>
  <c r="N14" i="4"/>
  <c r="M14" i="4"/>
  <c r="M15" i="4"/>
  <c r="M13" i="4"/>
  <c r="N7" i="4"/>
  <c r="D30" i="17"/>
  <c r="D61" i="17"/>
  <c r="D65" i="17"/>
  <c r="D64" i="17"/>
  <c r="D63" i="17"/>
  <c r="G19" i="13"/>
  <c r="G18" i="13"/>
  <c r="G17" i="13"/>
  <c r="G16" i="13"/>
  <c r="N16" i="12"/>
  <c r="E31" i="12"/>
  <c r="F31" i="12"/>
  <c r="G31" i="12"/>
  <c r="H31" i="12"/>
  <c r="I31" i="12"/>
  <c r="J31" i="12"/>
  <c r="K31" i="12"/>
  <c r="L31" i="12"/>
  <c r="M31" i="12"/>
  <c r="N31" i="12"/>
  <c r="O31" i="12"/>
  <c r="P31" i="12"/>
  <c r="H30" i="12"/>
  <c r="W109" i="27" s="1"/>
  <c r="B31" i="12"/>
  <c r="N10" i="6"/>
  <c r="O10" i="6"/>
  <c r="P10" i="6"/>
  <c r="Q10" i="6"/>
  <c r="R10" i="6"/>
  <c r="N11" i="6"/>
  <c r="O11" i="6"/>
  <c r="P11" i="6"/>
  <c r="Q11" i="6"/>
  <c r="R11" i="6"/>
  <c r="N25" i="6"/>
  <c r="O25" i="6"/>
  <c r="P25" i="6"/>
  <c r="Q25" i="6"/>
  <c r="R25" i="6"/>
  <c r="N26" i="6"/>
  <c r="O26" i="6"/>
  <c r="P26" i="6"/>
  <c r="Q26" i="6"/>
  <c r="R26" i="6"/>
  <c r="N40" i="6"/>
  <c r="O40" i="6"/>
  <c r="P40" i="6"/>
  <c r="Q40" i="6"/>
  <c r="R40" i="6"/>
  <c r="N41" i="6"/>
  <c r="O41" i="6"/>
  <c r="P41" i="6"/>
  <c r="Q41" i="6"/>
  <c r="R41" i="6"/>
  <c r="M4" i="4"/>
  <c r="N4" i="4"/>
  <c r="E9" i="6"/>
  <c r="G35" i="6"/>
  <c r="G20" i="6"/>
  <c r="E21" i="6"/>
  <c r="H21" i="6" s="1"/>
  <c r="E36" i="6"/>
  <c r="F36" i="6" s="1"/>
  <c r="F19" i="4"/>
  <c r="P30" i="12"/>
  <c r="O30" i="12"/>
  <c r="N30" i="12"/>
  <c r="M30" i="12"/>
  <c r="L30" i="12"/>
  <c r="K30" i="12"/>
  <c r="J30" i="12"/>
  <c r="I30" i="12"/>
  <c r="G30" i="12"/>
  <c r="F30" i="12"/>
  <c r="E30" i="12"/>
  <c r="B30" i="12"/>
  <c r="P29" i="12"/>
  <c r="O29" i="12"/>
  <c r="N29" i="12"/>
  <c r="M29" i="12"/>
  <c r="L29" i="12"/>
  <c r="K29" i="12"/>
  <c r="J29" i="12"/>
  <c r="I29" i="12"/>
  <c r="H29" i="12"/>
  <c r="G29" i="12"/>
  <c r="F29" i="12"/>
  <c r="E29" i="12"/>
  <c r="B29" i="12"/>
  <c r="P28" i="12"/>
  <c r="O28" i="12"/>
  <c r="N28" i="12"/>
  <c r="M28" i="12"/>
  <c r="L28" i="12"/>
  <c r="K28" i="12"/>
  <c r="J28" i="12"/>
  <c r="I28" i="12"/>
  <c r="H28" i="12"/>
  <c r="G28" i="12"/>
  <c r="F28" i="12"/>
  <c r="E28" i="12"/>
  <c r="B28" i="12"/>
  <c r="P27" i="12"/>
  <c r="O27" i="12"/>
  <c r="N27" i="12"/>
  <c r="M27" i="12"/>
  <c r="L27" i="12"/>
  <c r="K27" i="12"/>
  <c r="J27" i="12"/>
  <c r="I27" i="12"/>
  <c r="H27" i="12"/>
  <c r="G27" i="12"/>
  <c r="F27" i="12"/>
  <c r="E27" i="12"/>
  <c r="B27" i="12"/>
  <c r="P26" i="12"/>
  <c r="O26" i="12"/>
  <c r="N26" i="12"/>
  <c r="M26" i="12"/>
  <c r="L26" i="12"/>
  <c r="K26" i="12"/>
  <c r="J26" i="12"/>
  <c r="I26" i="12"/>
  <c r="H26" i="12"/>
  <c r="C50" i="17" s="1"/>
  <c r="G26" i="12"/>
  <c r="F26" i="12"/>
  <c r="E26" i="12"/>
  <c r="B26" i="12"/>
  <c r="P25" i="12"/>
  <c r="O25" i="12"/>
  <c r="N25" i="12"/>
  <c r="M25" i="12"/>
  <c r="L25" i="12"/>
  <c r="K25" i="12"/>
  <c r="J25" i="12"/>
  <c r="I25" i="12"/>
  <c r="H25" i="12"/>
  <c r="G25" i="12"/>
  <c r="F25" i="12"/>
  <c r="E25" i="12"/>
  <c r="B25" i="12"/>
  <c r="P24" i="12"/>
  <c r="O24" i="12"/>
  <c r="N24" i="12"/>
  <c r="M24" i="12"/>
  <c r="L24" i="12"/>
  <c r="K24" i="12"/>
  <c r="J24" i="12"/>
  <c r="I24" i="12"/>
  <c r="H24" i="12"/>
  <c r="G24" i="12"/>
  <c r="F24" i="12"/>
  <c r="E24" i="12"/>
  <c r="B24" i="12"/>
  <c r="P23" i="12"/>
  <c r="O23" i="12"/>
  <c r="N23" i="12"/>
  <c r="M23" i="12"/>
  <c r="L23" i="12"/>
  <c r="K23" i="12"/>
  <c r="J23" i="12"/>
  <c r="I23" i="12"/>
  <c r="H23" i="12"/>
  <c r="G23" i="12"/>
  <c r="F23" i="12"/>
  <c r="E23" i="12"/>
  <c r="B23" i="12"/>
  <c r="P22" i="12"/>
  <c r="O22" i="12"/>
  <c r="N22" i="12"/>
  <c r="M22" i="12"/>
  <c r="L22" i="12"/>
  <c r="K22" i="12"/>
  <c r="J22" i="12"/>
  <c r="I22" i="12"/>
  <c r="H22" i="12"/>
  <c r="G22" i="12"/>
  <c r="F22" i="12"/>
  <c r="E22" i="12"/>
  <c r="B22" i="12"/>
  <c r="P21" i="12"/>
  <c r="O21" i="12"/>
  <c r="N21" i="12"/>
  <c r="M21" i="12"/>
  <c r="L21" i="12"/>
  <c r="K21" i="12"/>
  <c r="J21" i="12"/>
  <c r="I21" i="12"/>
  <c r="H21" i="12"/>
  <c r="G21" i="12"/>
  <c r="F21" i="12"/>
  <c r="E21" i="12"/>
  <c r="B21" i="12"/>
  <c r="P20" i="12"/>
  <c r="O20" i="12"/>
  <c r="N20" i="12"/>
  <c r="M20" i="12"/>
  <c r="L20" i="12"/>
  <c r="K20" i="12"/>
  <c r="J20" i="12"/>
  <c r="I20" i="12"/>
  <c r="H20" i="12"/>
  <c r="G20" i="12"/>
  <c r="F20" i="12"/>
  <c r="E20" i="12"/>
  <c r="B20" i="12"/>
  <c r="P19" i="12"/>
  <c r="O19" i="12"/>
  <c r="N19" i="12"/>
  <c r="M19" i="12"/>
  <c r="L19" i="12"/>
  <c r="K19" i="12"/>
  <c r="J19" i="12"/>
  <c r="I19" i="12"/>
  <c r="H19" i="12"/>
  <c r="G19" i="12"/>
  <c r="F19" i="12"/>
  <c r="E19" i="12"/>
  <c r="B19" i="12"/>
  <c r="P18" i="12"/>
  <c r="O18" i="12"/>
  <c r="N18" i="12"/>
  <c r="M18" i="12"/>
  <c r="L18" i="12"/>
  <c r="K18" i="12"/>
  <c r="J18" i="12"/>
  <c r="I18" i="12"/>
  <c r="H18" i="12"/>
  <c r="W115" i="27" s="1"/>
  <c r="G18" i="12"/>
  <c r="F18" i="12"/>
  <c r="E18" i="12"/>
  <c r="B18" i="12"/>
  <c r="P17" i="12"/>
  <c r="O17" i="12"/>
  <c r="N17" i="12"/>
  <c r="M17" i="12"/>
  <c r="L17" i="12"/>
  <c r="K17" i="12"/>
  <c r="J17" i="12"/>
  <c r="I17" i="12"/>
  <c r="H17" i="12"/>
  <c r="W237" i="27" s="1"/>
  <c r="G17" i="12"/>
  <c r="F17" i="12"/>
  <c r="E17" i="12"/>
  <c r="B17" i="12"/>
  <c r="P16" i="12"/>
  <c r="O16" i="12"/>
  <c r="M16" i="12"/>
  <c r="L16" i="12"/>
  <c r="K16" i="12"/>
  <c r="J16" i="12"/>
  <c r="I16" i="12"/>
  <c r="H16" i="12"/>
  <c r="G16" i="12"/>
  <c r="E16" i="12"/>
  <c r="B16" i="12"/>
  <c r="P15" i="12"/>
  <c r="O15" i="12"/>
  <c r="N15" i="12"/>
  <c r="M15" i="12"/>
  <c r="L15" i="12"/>
  <c r="K15" i="12"/>
  <c r="J15" i="12"/>
  <c r="I15" i="12"/>
  <c r="H15" i="12"/>
  <c r="G15" i="12"/>
  <c r="F15" i="12"/>
  <c r="E15" i="12"/>
  <c r="B15" i="12"/>
  <c r="P14" i="12"/>
  <c r="O14" i="12"/>
  <c r="N14" i="12"/>
  <c r="M14" i="12"/>
  <c r="L14" i="12"/>
  <c r="K14" i="12"/>
  <c r="J14" i="12"/>
  <c r="I14" i="12"/>
  <c r="H14" i="12"/>
  <c r="G14" i="12"/>
  <c r="F14" i="12"/>
  <c r="E14" i="12"/>
  <c r="B14" i="12"/>
  <c r="P13" i="12"/>
  <c r="O13" i="12"/>
  <c r="N13" i="12"/>
  <c r="M13" i="12"/>
  <c r="L13" i="12"/>
  <c r="K13" i="12"/>
  <c r="J13" i="12"/>
  <c r="I13" i="12"/>
  <c r="H13" i="12"/>
  <c r="W259" i="27" s="1"/>
  <c r="G13" i="12"/>
  <c r="F13" i="12"/>
  <c r="E13" i="12"/>
  <c r="B13" i="12"/>
  <c r="P12" i="12"/>
  <c r="O12" i="12"/>
  <c r="N12" i="12"/>
  <c r="M12" i="12"/>
  <c r="L12" i="12"/>
  <c r="K12" i="12"/>
  <c r="J12" i="12"/>
  <c r="I12" i="12"/>
  <c r="H12" i="12"/>
  <c r="G12" i="12"/>
  <c r="F12" i="12"/>
  <c r="E12" i="12"/>
  <c r="B12" i="12"/>
  <c r="P11" i="12"/>
  <c r="O11" i="12"/>
  <c r="N11" i="12"/>
  <c r="M11" i="12"/>
  <c r="L11" i="12"/>
  <c r="K11" i="12"/>
  <c r="J11" i="12"/>
  <c r="I11" i="12"/>
  <c r="H11" i="12"/>
  <c r="G11" i="12"/>
  <c r="F11" i="12"/>
  <c r="E11" i="12"/>
  <c r="B11" i="12"/>
  <c r="P10" i="12"/>
  <c r="O10" i="12"/>
  <c r="N10" i="12"/>
  <c r="M10" i="12"/>
  <c r="L10" i="12"/>
  <c r="K10" i="12"/>
  <c r="J10" i="12"/>
  <c r="I10" i="12"/>
  <c r="H10" i="12"/>
  <c r="G10" i="12"/>
  <c r="F10" i="12"/>
  <c r="E10" i="12"/>
  <c r="B10" i="12"/>
  <c r="P9" i="12"/>
  <c r="O9" i="12"/>
  <c r="N9" i="12"/>
  <c r="M9" i="12"/>
  <c r="L9" i="12"/>
  <c r="K9" i="12"/>
  <c r="J9" i="12"/>
  <c r="I9" i="12"/>
  <c r="H9" i="12"/>
  <c r="G9" i="12"/>
  <c r="F9" i="12"/>
  <c r="E9" i="12"/>
  <c r="B9" i="12"/>
  <c r="P8" i="12"/>
  <c r="O8" i="12"/>
  <c r="N8" i="12"/>
  <c r="M8" i="12"/>
  <c r="L8" i="12"/>
  <c r="K8" i="12"/>
  <c r="J8" i="12"/>
  <c r="I8" i="12"/>
  <c r="H8" i="12"/>
  <c r="G8" i="12"/>
  <c r="F8" i="12"/>
  <c r="E8" i="12"/>
  <c r="B8" i="12"/>
  <c r="P7" i="12"/>
  <c r="O7" i="12"/>
  <c r="N7" i="12"/>
  <c r="M7" i="12"/>
  <c r="L7" i="12"/>
  <c r="K7" i="12"/>
  <c r="J7" i="12"/>
  <c r="I7" i="12"/>
  <c r="H7" i="12"/>
  <c r="G7" i="12"/>
  <c r="F7" i="12"/>
  <c r="E7" i="12"/>
  <c r="P6" i="12"/>
  <c r="O6" i="12"/>
  <c r="N6" i="12"/>
  <c r="M6" i="12"/>
  <c r="L6" i="12"/>
  <c r="K6" i="12"/>
  <c r="J6" i="12"/>
  <c r="I6" i="12"/>
  <c r="H6" i="12"/>
  <c r="G6" i="12"/>
  <c r="F6" i="12"/>
  <c r="E6" i="12"/>
  <c r="P5" i="12"/>
  <c r="O5" i="12"/>
  <c r="N5" i="12"/>
  <c r="M5" i="12"/>
  <c r="L5" i="12"/>
  <c r="K5" i="12"/>
  <c r="J5" i="12"/>
  <c r="I5" i="12"/>
  <c r="H5" i="12"/>
  <c r="G5" i="12"/>
  <c r="F5" i="12"/>
  <c r="E5" i="12"/>
  <c r="C5" i="12"/>
  <c r="B5" i="12"/>
  <c r="P4" i="12"/>
  <c r="O4" i="12"/>
  <c r="N4" i="12"/>
  <c r="M4" i="12"/>
  <c r="L4" i="12"/>
  <c r="K4" i="12"/>
  <c r="J4" i="12"/>
  <c r="I4" i="12"/>
  <c r="H4" i="12"/>
  <c r="G4" i="12"/>
  <c r="F4" i="12"/>
  <c r="E4" i="12"/>
  <c r="C4" i="12"/>
  <c r="B4" i="12"/>
  <c r="P3" i="12"/>
  <c r="O3" i="12"/>
  <c r="N3" i="12"/>
  <c r="M3" i="12"/>
  <c r="L3" i="12"/>
  <c r="K3" i="12"/>
  <c r="J3" i="12"/>
  <c r="I3" i="12"/>
  <c r="H3" i="12"/>
  <c r="C13" i="17" s="1"/>
  <c r="G3" i="12"/>
  <c r="F3" i="12"/>
  <c r="E3" i="12"/>
  <c r="B3" i="12"/>
  <c r="P2" i="12"/>
  <c r="O2" i="12"/>
  <c r="N2" i="12"/>
  <c r="M2" i="12"/>
  <c r="L2" i="12"/>
  <c r="K2" i="12"/>
  <c r="J2" i="12"/>
  <c r="I2" i="12"/>
  <c r="H2" i="12"/>
  <c r="G2" i="12"/>
  <c r="F2" i="12"/>
  <c r="E2" i="12"/>
  <c r="C2" i="12"/>
  <c r="B2" i="12"/>
  <c r="B28" i="10"/>
  <c r="B27" i="10"/>
  <c r="B26" i="10"/>
  <c r="B25" i="10"/>
  <c r="B24" i="10"/>
  <c r="B23" i="10"/>
  <c r="B22" i="10"/>
  <c r="B21" i="10"/>
  <c r="B20" i="10"/>
  <c r="B19" i="10"/>
  <c r="B18" i="10"/>
  <c r="B17" i="10"/>
  <c r="B16" i="10"/>
  <c r="B15" i="10"/>
  <c r="B14" i="10"/>
  <c r="B12" i="10"/>
  <c r="B11" i="10"/>
  <c r="B10" i="10"/>
  <c r="B9" i="10"/>
  <c r="B8" i="10"/>
  <c r="C5" i="10"/>
  <c r="B5" i="10"/>
  <c r="C4" i="10"/>
  <c r="B4" i="10"/>
  <c r="C3" i="10"/>
  <c r="B3" i="10"/>
  <c r="C2" i="10"/>
  <c r="B2" i="10"/>
  <c r="M39" i="6"/>
  <c r="R39" i="6" s="1"/>
  <c r="L39" i="6"/>
  <c r="Q39" i="6" s="1"/>
  <c r="K39" i="6"/>
  <c r="P39" i="6" s="1"/>
  <c r="J39" i="6"/>
  <c r="O39" i="6" s="1"/>
  <c r="I39" i="6"/>
  <c r="N39" i="6" s="1"/>
  <c r="H39" i="6"/>
  <c r="G39" i="6"/>
  <c r="F39" i="6"/>
  <c r="M38" i="6"/>
  <c r="R38" i="6" s="1"/>
  <c r="L38" i="6"/>
  <c r="Q38" i="6" s="1"/>
  <c r="K38" i="6"/>
  <c r="P38" i="6" s="1"/>
  <c r="J38" i="6"/>
  <c r="O38" i="6" s="1"/>
  <c r="I38" i="6"/>
  <c r="N38" i="6" s="1"/>
  <c r="H38" i="6"/>
  <c r="G38" i="6"/>
  <c r="F38" i="6"/>
  <c r="M37" i="6"/>
  <c r="R37" i="6" s="1"/>
  <c r="L37" i="6"/>
  <c r="Q37" i="6" s="1"/>
  <c r="K37" i="6"/>
  <c r="P37" i="6" s="1"/>
  <c r="J37" i="6"/>
  <c r="O37" i="6" s="1"/>
  <c r="I37" i="6"/>
  <c r="N37" i="6" s="1"/>
  <c r="H37" i="6"/>
  <c r="G37" i="6"/>
  <c r="F37" i="6"/>
  <c r="M36" i="6"/>
  <c r="R36" i="6" s="1"/>
  <c r="L36" i="6"/>
  <c r="Q36" i="6" s="1"/>
  <c r="K36" i="6"/>
  <c r="P36" i="6" s="1"/>
  <c r="J36" i="6"/>
  <c r="O36" i="6" s="1"/>
  <c r="I36" i="6"/>
  <c r="N36" i="6" s="1"/>
  <c r="H36" i="6"/>
  <c r="M35" i="6"/>
  <c r="R35" i="6" s="1"/>
  <c r="L35" i="6"/>
  <c r="K35" i="6"/>
  <c r="P35" i="6" s="1"/>
  <c r="J35" i="6"/>
  <c r="O35" i="6" s="1"/>
  <c r="I35" i="6"/>
  <c r="N35" i="6" s="1"/>
  <c r="H35" i="6"/>
  <c r="F35" i="6"/>
  <c r="M34" i="6"/>
  <c r="R34" i="6" s="1"/>
  <c r="L34" i="6"/>
  <c r="Q34" i="6" s="1"/>
  <c r="K34" i="6"/>
  <c r="P34" i="6" s="1"/>
  <c r="J34" i="6"/>
  <c r="O34" i="6" s="1"/>
  <c r="I34" i="6"/>
  <c r="N34" i="6" s="1"/>
  <c r="H34" i="6"/>
  <c r="G34" i="6"/>
  <c r="F34" i="6"/>
  <c r="D33" i="6"/>
  <c r="M24" i="6"/>
  <c r="R24" i="6" s="1"/>
  <c r="L24" i="6"/>
  <c r="Q24" i="6" s="1"/>
  <c r="K24" i="6"/>
  <c r="P24" i="6" s="1"/>
  <c r="J24" i="6"/>
  <c r="O24" i="6" s="1"/>
  <c r="I24" i="6"/>
  <c r="N24" i="6" s="1"/>
  <c r="H24" i="6"/>
  <c r="G24" i="6"/>
  <c r="F24" i="6"/>
  <c r="M23" i="6"/>
  <c r="R23" i="6" s="1"/>
  <c r="L23" i="6"/>
  <c r="Q23" i="6" s="1"/>
  <c r="K23" i="6"/>
  <c r="P23" i="6" s="1"/>
  <c r="J23" i="6"/>
  <c r="O23" i="6" s="1"/>
  <c r="I23" i="6"/>
  <c r="N23" i="6" s="1"/>
  <c r="H23" i="6"/>
  <c r="G23" i="6"/>
  <c r="F23" i="6"/>
  <c r="M22" i="6"/>
  <c r="R22" i="6" s="1"/>
  <c r="L22" i="6"/>
  <c r="Q22" i="6" s="1"/>
  <c r="K22" i="6"/>
  <c r="P22" i="6" s="1"/>
  <c r="J22" i="6"/>
  <c r="O22" i="6" s="1"/>
  <c r="I22" i="6"/>
  <c r="N22" i="6" s="1"/>
  <c r="H22" i="6"/>
  <c r="G22" i="6"/>
  <c r="F22" i="6"/>
  <c r="M21" i="6"/>
  <c r="R21" i="6" s="1"/>
  <c r="L21" i="6"/>
  <c r="Q21" i="6" s="1"/>
  <c r="K21" i="6"/>
  <c r="P21" i="6" s="1"/>
  <c r="J21" i="6"/>
  <c r="O21" i="6" s="1"/>
  <c r="I21" i="6"/>
  <c r="N21" i="6" s="1"/>
  <c r="M20" i="6"/>
  <c r="R20" i="6" s="1"/>
  <c r="L20" i="6"/>
  <c r="K20" i="6"/>
  <c r="P20" i="6" s="1"/>
  <c r="J20" i="6"/>
  <c r="O20" i="6" s="1"/>
  <c r="I20" i="6"/>
  <c r="N20" i="6" s="1"/>
  <c r="H20" i="6"/>
  <c r="M19" i="6"/>
  <c r="R19" i="6" s="1"/>
  <c r="L19" i="6"/>
  <c r="Q19" i="6" s="1"/>
  <c r="K19" i="6"/>
  <c r="P19" i="6" s="1"/>
  <c r="J19" i="6"/>
  <c r="O19" i="6" s="1"/>
  <c r="I19" i="6"/>
  <c r="N19" i="6" s="1"/>
  <c r="H19" i="6"/>
  <c r="G19" i="6"/>
  <c r="F19" i="6"/>
  <c r="D18" i="6"/>
  <c r="M7" i="6"/>
  <c r="R7" i="6" s="1"/>
  <c r="L7" i="6"/>
  <c r="Q7" i="6" s="1"/>
  <c r="K7" i="6"/>
  <c r="P7" i="6" s="1"/>
  <c r="J7" i="6"/>
  <c r="O7" i="6" s="1"/>
  <c r="O6" i="6" s="1"/>
  <c r="I7" i="6"/>
  <c r="N7" i="6" s="1"/>
  <c r="F7" i="6"/>
  <c r="M8" i="6"/>
  <c r="R8" i="6" s="1"/>
  <c r="L8" i="6"/>
  <c r="K8" i="6"/>
  <c r="P8" i="6" s="1"/>
  <c r="J8" i="6"/>
  <c r="O8" i="6" s="1"/>
  <c r="I8" i="6"/>
  <c r="N8" i="6" s="1"/>
  <c r="M6" i="6"/>
  <c r="R6" i="6" s="1"/>
  <c r="L6" i="6"/>
  <c r="Q6" i="6" s="1"/>
  <c r="K6" i="6"/>
  <c r="P6" i="6" s="1"/>
  <c r="J6" i="6"/>
  <c r="I6" i="6"/>
  <c r="N6" i="6" s="1"/>
  <c r="F6" i="6"/>
  <c r="V29" i="4"/>
  <c r="AA29" i="4" s="1"/>
  <c r="U29" i="4"/>
  <c r="Z29" i="4" s="1"/>
  <c r="T29" i="4"/>
  <c r="S29" i="4"/>
  <c r="X29" i="4" s="1"/>
  <c r="R29" i="4"/>
  <c r="W29" i="4" s="1"/>
  <c r="N29" i="4"/>
  <c r="K29" i="4"/>
  <c r="L29" i="4" s="1"/>
  <c r="F29" i="4"/>
  <c r="V28" i="4"/>
  <c r="AA28" i="4" s="1"/>
  <c r="U28" i="4"/>
  <c r="Z28" i="4" s="1"/>
  <c r="T28" i="4"/>
  <c r="Y28" i="4" s="1"/>
  <c r="S28" i="4"/>
  <c r="R28" i="4"/>
  <c r="W28" i="4" s="1"/>
  <c r="N28" i="4"/>
  <c r="O28" i="4" s="1"/>
  <c r="G28" i="4"/>
  <c r="I28" i="4" s="1"/>
  <c r="V27" i="4"/>
  <c r="AA27" i="4" s="1"/>
  <c r="U27" i="4"/>
  <c r="Z27" i="4" s="1"/>
  <c r="T27" i="4"/>
  <c r="Y27" i="4" s="1"/>
  <c r="S27" i="4"/>
  <c r="R27" i="4"/>
  <c r="N27" i="4"/>
  <c r="O27" i="4" s="1"/>
  <c r="G27" i="4"/>
  <c r="I27" i="4" s="1"/>
  <c r="K27" i="4" s="1"/>
  <c r="L27" i="4" s="1"/>
  <c r="V26" i="4"/>
  <c r="AA26" i="4" s="1"/>
  <c r="U26" i="4"/>
  <c r="Z26" i="4" s="1"/>
  <c r="T26" i="4"/>
  <c r="Y26" i="4" s="1"/>
  <c r="S26" i="4"/>
  <c r="X26" i="4" s="1"/>
  <c r="R26" i="4"/>
  <c r="N26" i="4"/>
  <c r="O26" i="4" s="1"/>
  <c r="G26" i="4"/>
  <c r="I26" i="4" s="1"/>
  <c r="J26" i="4" s="1"/>
  <c r="V25" i="4"/>
  <c r="AA25" i="4" s="1"/>
  <c r="U25" i="4"/>
  <c r="Z25" i="4" s="1"/>
  <c r="T25" i="4"/>
  <c r="Y25" i="4" s="1"/>
  <c r="S25" i="4"/>
  <c r="R25" i="4"/>
  <c r="N25" i="4"/>
  <c r="O25" i="4" s="1"/>
  <c r="G25" i="4"/>
  <c r="I25" i="4" s="1"/>
  <c r="J25" i="4" s="1"/>
  <c r="V24" i="4"/>
  <c r="AA24" i="4" s="1"/>
  <c r="U24" i="4"/>
  <c r="Z24" i="4" s="1"/>
  <c r="T24" i="4"/>
  <c r="Y24" i="4" s="1"/>
  <c r="S24" i="4"/>
  <c r="X24" i="4" s="1"/>
  <c r="R24" i="4"/>
  <c r="N24" i="4"/>
  <c r="O24" i="4" s="1"/>
  <c r="G24" i="4"/>
  <c r="I24" i="4" s="1"/>
  <c r="J24" i="4" s="1"/>
  <c r="K24" i="4" s="1"/>
  <c r="L24" i="4" s="1"/>
  <c r="V23" i="4"/>
  <c r="AA23" i="4" s="1"/>
  <c r="U23" i="4"/>
  <c r="Z23" i="4" s="1"/>
  <c r="T23" i="4"/>
  <c r="Y23" i="4" s="1"/>
  <c r="S23" i="4"/>
  <c r="X23" i="4" s="1"/>
  <c r="R23" i="4"/>
  <c r="W23" i="4" s="1"/>
  <c r="N23" i="4"/>
  <c r="O23" i="4" s="1"/>
  <c r="G23" i="4"/>
  <c r="I23" i="4" s="1"/>
  <c r="J23" i="4" s="1"/>
  <c r="K23" i="4" s="1"/>
  <c r="L23" i="4" s="1"/>
  <c r="V19" i="4"/>
  <c r="AA19" i="4" s="1"/>
  <c r="U19" i="4"/>
  <c r="Z19" i="4" s="1"/>
  <c r="T19" i="4"/>
  <c r="S19" i="4"/>
  <c r="X19" i="4" s="1"/>
  <c r="R19" i="4"/>
  <c r="W19" i="4" s="1"/>
  <c r="N19" i="4"/>
  <c r="K19" i="4"/>
  <c r="L19" i="4" s="1"/>
  <c r="V18" i="4"/>
  <c r="AA18" i="4" s="1"/>
  <c r="U18" i="4"/>
  <c r="Z18" i="4" s="1"/>
  <c r="T18" i="4"/>
  <c r="Y18" i="4" s="1"/>
  <c r="S18" i="4"/>
  <c r="R18" i="4"/>
  <c r="W18" i="4" s="1"/>
  <c r="N18" i="4"/>
  <c r="O18" i="4" s="1"/>
  <c r="G18" i="4"/>
  <c r="I18" i="4" s="1"/>
  <c r="J18" i="4" s="1"/>
  <c r="K18" i="4" s="1"/>
  <c r="L18" i="4" s="1"/>
  <c r="V17" i="4"/>
  <c r="AA17" i="4" s="1"/>
  <c r="U17" i="4"/>
  <c r="Z17" i="4" s="1"/>
  <c r="T17" i="4"/>
  <c r="Y17" i="4" s="1"/>
  <c r="S17" i="4"/>
  <c r="R17" i="4"/>
  <c r="W17" i="4" s="1"/>
  <c r="N17" i="4"/>
  <c r="G17" i="4"/>
  <c r="I17" i="4" s="1"/>
  <c r="J17" i="4" s="1"/>
  <c r="K17" i="4" s="1"/>
  <c r="L17" i="4" s="1"/>
  <c r="V16" i="4"/>
  <c r="AA16" i="4" s="1"/>
  <c r="U16" i="4"/>
  <c r="Z16" i="4" s="1"/>
  <c r="T16" i="4"/>
  <c r="Y16" i="4" s="1"/>
  <c r="S16" i="4"/>
  <c r="X16" i="4" s="1"/>
  <c r="R16" i="4"/>
  <c r="N16" i="4"/>
  <c r="O16" i="4" s="1"/>
  <c r="G16" i="4"/>
  <c r="I16" i="4" s="1"/>
  <c r="J16" i="4" s="1"/>
  <c r="K16" i="4" s="1"/>
  <c r="L16" i="4" s="1"/>
  <c r="V15" i="4"/>
  <c r="AA15" i="4" s="1"/>
  <c r="U15" i="4"/>
  <c r="Z15" i="4" s="1"/>
  <c r="T15" i="4"/>
  <c r="S15" i="4"/>
  <c r="X15" i="4" s="1"/>
  <c r="R15" i="4"/>
  <c r="N15" i="4"/>
  <c r="O15" i="4" s="1"/>
  <c r="G15" i="4"/>
  <c r="I15" i="4" s="1"/>
  <c r="J15" i="4" s="1"/>
  <c r="K15" i="4" s="1"/>
  <c r="L15" i="4" s="1"/>
  <c r="V14" i="4"/>
  <c r="AA14" i="4" s="1"/>
  <c r="U14" i="4"/>
  <c r="Z14" i="4" s="1"/>
  <c r="T14" i="4"/>
  <c r="Y14" i="4" s="1"/>
  <c r="S14" i="4"/>
  <c r="X14" i="4" s="1"/>
  <c r="R14" i="4"/>
  <c r="G14" i="4"/>
  <c r="I14" i="4" s="1"/>
  <c r="J14" i="4" s="1"/>
  <c r="V13" i="4"/>
  <c r="AA13" i="4" s="1"/>
  <c r="U13" i="4"/>
  <c r="Z13" i="4" s="1"/>
  <c r="T13" i="4"/>
  <c r="Y13" i="4" s="1"/>
  <c r="S13" i="4"/>
  <c r="X13" i="4" s="1"/>
  <c r="R13" i="4"/>
  <c r="G13" i="4"/>
  <c r="I13" i="4" s="1"/>
  <c r="J13" i="4" s="1"/>
  <c r="K13" i="4" s="1"/>
  <c r="L13" i="4" s="1"/>
  <c r="V9" i="4"/>
  <c r="AA9" i="4" s="1"/>
  <c r="U9" i="4"/>
  <c r="Z9" i="4" s="1"/>
  <c r="T9" i="4"/>
  <c r="S9" i="4"/>
  <c r="X9" i="4" s="1"/>
  <c r="R9" i="4"/>
  <c r="W9" i="4" s="1"/>
  <c r="N9" i="4"/>
  <c r="K9" i="4"/>
  <c r="L9" i="4" s="1"/>
  <c r="F9" i="4"/>
  <c r="V8" i="4"/>
  <c r="AA8" i="4" s="1"/>
  <c r="U8" i="4"/>
  <c r="Z8" i="4" s="1"/>
  <c r="T8" i="4"/>
  <c r="Y8" i="4" s="1"/>
  <c r="S8" i="4"/>
  <c r="R8" i="4"/>
  <c r="W8" i="4" s="1"/>
  <c r="N8" i="4"/>
  <c r="P8" i="4" s="1"/>
  <c r="G8" i="4"/>
  <c r="I8" i="4" s="1"/>
  <c r="J8" i="4" s="1"/>
  <c r="K8" i="4" s="1"/>
  <c r="L8" i="4" s="1"/>
  <c r="V7" i="4"/>
  <c r="AA7" i="4" s="1"/>
  <c r="U7" i="4"/>
  <c r="Z7" i="4" s="1"/>
  <c r="T7" i="4"/>
  <c r="Y7" i="4" s="1"/>
  <c r="S7" i="4"/>
  <c r="R7" i="4"/>
  <c r="W7" i="4" s="1"/>
  <c r="G7" i="4"/>
  <c r="I7" i="4" s="1"/>
  <c r="J7" i="4" s="1"/>
  <c r="K7" i="4" s="1"/>
  <c r="L7" i="4" s="1"/>
  <c r="V6" i="4"/>
  <c r="AA6" i="4" s="1"/>
  <c r="U6" i="4"/>
  <c r="Z6" i="4" s="1"/>
  <c r="T6" i="4"/>
  <c r="Y6" i="4" s="1"/>
  <c r="S6" i="4"/>
  <c r="X6" i="4" s="1"/>
  <c r="R6" i="4"/>
  <c r="N6" i="4"/>
  <c r="M6" i="4"/>
  <c r="G6" i="4"/>
  <c r="I6" i="4" s="1"/>
  <c r="J6" i="4" s="1"/>
  <c r="K6" i="4" s="1"/>
  <c r="L6" i="4" s="1"/>
  <c r="V5" i="4"/>
  <c r="AA5" i="4" s="1"/>
  <c r="U5" i="4"/>
  <c r="Z5" i="4" s="1"/>
  <c r="T5" i="4"/>
  <c r="Y5" i="4" s="1"/>
  <c r="S5" i="4"/>
  <c r="X5" i="4" s="1"/>
  <c r="R5" i="4"/>
  <c r="N5" i="4"/>
  <c r="M5" i="4"/>
  <c r="G5" i="4"/>
  <c r="I5" i="4" s="1"/>
  <c r="J5" i="4" s="1"/>
  <c r="K5" i="4" s="1"/>
  <c r="L5" i="4" s="1"/>
  <c r="V4" i="4"/>
  <c r="U4" i="4"/>
  <c r="Z4" i="4" s="1"/>
  <c r="T4" i="4"/>
  <c r="Y4" i="4" s="1"/>
  <c r="S4" i="4"/>
  <c r="X4" i="4" s="1"/>
  <c r="R4" i="4"/>
  <c r="G4" i="4"/>
  <c r="I4" i="4" s="1"/>
  <c r="J4" i="4" s="1"/>
  <c r="V3" i="4"/>
  <c r="AA3" i="4" s="1"/>
  <c r="U3" i="4"/>
  <c r="Z3" i="4" s="1"/>
  <c r="T3" i="4"/>
  <c r="Y3" i="4" s="1"/>
  <c r="S3" i="4"/>
  <c r="X3" i="4" s="1"/>
  <c r="R3" i="4"/>
  <c r="W3" i="4" s="1"/>
  <c r="I3" i="4"/>
  <c r="J3" i="4" s="1"/>
  <c r="K3" i="4" s="1"/>
  <c r="L3" i="4" s="1"/>
  <c r="B7" i="1"/>
  <c r="C61" i="17" l="1"/>
  <c r="C27" i="17"/>
  <c r="W92" i="27"/>
  <c r="C17" i="17"/>
  <c r="W225" i="27"/>
  <c r="C65" i="17"/>
  <c r="W248" i="27"/>
  <c r="C14" i="17"/>
  <c r="W72" i="27"/>
  <c r="C48" i="17"/>
  <c r="W153" i="27"/>
  <c r="C30" i="17"/>
  <c r="W172" i="27"/>
  <c r="W93" i="27"/>
  <c r="W183" i="27"/>
  <c r="W194" i="27"/>
  <c r="C28" i="17"/>
  <c r="W182" i="27"/>
  <c r="C46" i="17"/>
  <c r="W135" i="27"/>
  <c r="C62" i="17"/>
  <c r="W226" i="27"/>
  <c r="C16" i="17"/>
  <c r="W218" i="27"/>
  <c r="C45" i="17"/>
  <c r="W126" i="27"/>
  <c r="C12" i="17"/>
  <c r="W61" i="27"/>
  <c r="C4" i="17"/>
  <c r="W28" i="27"/>
  <c r="C15" i="17"/>
  <c r="W211" i="27"/>
  <c r="C26" i="17"/>
  <c r="W171" i="27"/>
  <c r="C29" i="17"/>
  <c r="W193" i="27"/>
  <c r="C47" i="17"/>
  <c r="W144" i="27"/>
  <c r="C49" i="17"/>
  <c r="W162" i="27"/>
  <c r="K26" i="4"/>
  <c r="AG81" i="27"/>
  <c r="K25" i="4"/>
  <c r="L25" i="4" s="1"/>
  <c r="X25" i="4" s="1"/>
  <c r="AG80" i="27"/>
  <c r="K9" i="6"/>
  <c r="P9" i="6" s="1"/>
  <c r="F9" i="6"/>
  <c r="M9" i="6"/>
  <c r="R9" i="6" s="1"/>
  <c r="I9" i="6"/>
  <c r="N9" i="6" s="1"/>
  <c r="J9" i="6"/>
  <c r="O9" i="6" s="1"/>
  <c r="G9" i="6"/>
  <c r="H9" i="6"/>
  <c r="C64" i="17"/>
  <c r="C3" i="17"/>
  <c r="W17" i="27"/>
  <c r="C63" i="17"/>
  <c r="Q35" i="6"/>
  <c r="Q20" i="6"/>
  <c r="O4" i="4"/>
  <c r="M7" i="4"/>
  <c r="P7" i="4" s="1"/>
  <c r="O6" i="4"/>
  <c r="O19" i="4"/>
  <c r="O5" i="4"/>
  <c r="M17" i="4"/>
  <c r="O17" i="4" s="1"/>
  <c r="O29" i="4"/>
  <c r="O30" i="4" s="1"/>
  <c r="H33" i="6" s="1" a="1"/>
  <c r="H33" i="6" s="1"/>
  <c r="H42" i="6" s="1"/>
  <c r="H43" i="6" s="1"/>
  <c r="O14" i="4"/>
  <c r="F5" i="6"/>
  <c r="Q9" i="4"/>
  <c r="F16" i="12"/>
  <c r="F21" i="6"/>
  <c r="F8" i="6"/>
  <c r="F20" i="6"/>
  <c r="K28" i="4"/>
  <c r="L28" i="4" s="1"/>
  <c r="W27" i="4"/>
  <c r="W16" i="4"/>
  <c r="W6" i="4"/>
  <c r="V10" i="4"/>
  <c r="M5" i="6" s="1"/>
  <c r="X7" i="4"/>
  <c r="W24" i="4"/>
  <c r="W13" i="4"/>
  <c r="X8" i="4"/>
  <c r="Y19" i="4"/>
  <c r="E18" i="6" a="1"/>
  <c r="E18" i="6" s="1"/>
  <c r="E33" i="6" a="1"/>
  <c r="E33" i="6" s="1"/>
  <c r="R20" i="4"/>
  <c r="I18" i="6" s="1"/>
  <c r="AA4" i="4"/>
  <c r="AA10" i="4" s="1"/>
  <c r="Y9" i="4"/>
  <c r="Y10" i="4" s="1"/>
  <c r="G7" i="6" s="1"/>
  <c r="T10" i="4"/>
  <c r="K5" i="6" s="1"/>
  <c r="X17" i="4"/>
  <c r="W25" i="4"/>
  <c r="U10" i="4"/>
  <c r="L5" i="6" s="1"/>
  <c r="T20" i="4"/>
  <c r="K18" i="6" s="1"/>
  <c r="Z30" i="4"/>
  <c r="L26" i="4"/>
  <c r="AA30" i="4"/>
  <c r="W5" i="4"/>
  <c r="Y29" i="4"/>
  <c r="Y30" i="4" s="1"/>
  <c r="R10" i="4"/>
  <c r="T30" i="4"/>
  <c r="K33" i="6" s="1"/>
  <c r="P33" i="6" s="1"/>
  <c r="P42" i="6" s="1"/>
  <c r="Y15" i="4"/>
  <c r="R30" i="4"/>
  <c r="I33" i="6" s="1"/>
  <c r="V20" i="4"/>
  <c r="M18" i="6" s="1"/>
  <c r="R18" i="6" s="1"/>
  <c r="R27" i="6" s="1"/>
  <c r="X27" i="4"/>
  <c r="S10" i="4"/>
  <c r="J5" i="6" s="1"/>
  <c r="J10" i="4"/>
  <c r="X28" i="4"/>
  <c r="U30" i="4"/>
  <c r="L33" i="6" s="1"/>
  <c r="K4" i="4"/>
  <c r="S20" i="4"/>
  <c r="J18" i="6" s="1"/>
  <c r="V30" i="4"/>
  <c r="M33" i="6" s="1"/>
  <c r="J20" i="4"/>
  <c r="F18" i="6" s="1" a="1"/>
  <c r="F18" i="6" s="1"/>
  <c r="F27" i="6" s="1"/>
  <c r="U20" i="4"/>
  <c r="L18" i="6" s="1"/>
  <c r="Q18" i="6" s="1"/>
  <c r="Q27" i="6" s="1"/>
  <c r="S30" i="4"/>
  <c r="J33" i="6" s="1"/>
  <c r="Z10" i="4"/>
  <c r="X18" i="4"/>
  <c r="J30" i="4"/>
  <c r="F33" i="6" s="1" a="1"/>
  <c r="F33" i="6" s="1"/>
  <c r="F42" i="6" s="1"/>
  <c r="W15" i="4"/>
  <c r="Z20" i="4"/>
  <c r="AA20" i="4"/>
  <c r="K14" i="4"/>
  <c r="K20" i="4" s="1"/>
  <c r="K30" i="4" l="1"/>
  <c r="Q10" i="4"/>
  <c r="H7" i="6"/>
  <c r="P10" i="4"/>
  <c r="O20" i="4"/>
  <c r="D13" i="17" s="1"/>
  <c r="L30" i="4"/>
  <c r="G33" i="6" s="1" a="1"/>
  <c r="G33" i="6" s="1"/>
  <c r="O10" i="4"/>
  <c r="H18" i="6" a="1"/>
  <c r="H18" i="6" s="1"/>
  <c r="H27" i="6" s="1"/>
  <c r="H28" i="6" s="1"/>
  <c r="X20" i="4"/>
  <c r="O18" i="6" s="1"/>
  <c r="O27" i="6" s="1"/>
  <c r="Q8" i="6"/>
  <c r="F12" i="6"/>
  <c r="J12" i="6"/>
  <c r="L42" i="6"/>
  <c r="Q33" i="6"/>
  <c r="Q42" i="6" s="1"/>
  <c r="M12" i="6"/>
  <c r="R5" i="6"/>
  <c r="R12" i="6" s="1"/>
  <c r="K27" i="6"/>
  <c r="P18" i="6"/>
  <c r="P27" i="6" s="1"/>
  <c r="K12" i="6"/>
  <c r="P5" i="6"/>
  <c r="P12" i="6" s="1"/>
  <c r="L12" i="6"/>
  <c r="Q5" i="6"/>
  <c r="M42" i="6"/>
  <c r="R33" i="6"/>
  <c r="R42" i="6" s="1"/>
  <c r="I12" i="6"/>
  <c r="J27" i="6"/>
  <c r="I27" i="6"/>
  <c r="W26" i="4"/>
  <c r="W30" i="4" s="1"/>
  <c r="N33" i="6" s="1"/>
  <c r="N42" i="6" s="1"/>
  <c r="X10" i="4"/>
  <c r="G6" i="6" s="1"/>
  <c r="Y20" i="4"/>
  <c r="X30" i="4"/>
  <c r="L4" i="4"/>
  <c r="K10" i="4"/>
  <c r="M27" i="6"/>
  <c r="K42" i="6"/>
  <c r="L27" i="6"/>
  <c r="J42" i="6"/>
  <c r="I42" i="6"/>
  <c r="L14" i="4"/>
  <c r="L20" i="4" l="1"/>
  <c r="G42" i="6"/>
  <c r="H6" i="6"/>
  <c r="H5" i="6"/>
  <c r="Q12" i="6"/>
  <c r="O33" i="6"/>
  <c r="O42" i="6" s="1"/>
  <c r="O5" i="6"/>
  <c r="O12" i="6" s="1"/>
  <c r="L10" i="4"/>
  <c r="W4" i="4"/>
  <c r="W10" i="4" s="1"/>
  <c r="W14" i="4"/>
  <c r="W20" i="4" s="1"/>
  <c r="G18" i="6" a="1"/>
  <c r="G18" i="6" s="1"/>
  <c r="H12" i="6" l="1"/>
  <c r="H13" i="6" s="1"/>
  <c r="G5" i="6"/>
  <c r="N5" i="6" s="1"/>
  <c r="N12" i="6" s="1"/>
  <c r="N18" i="6"/>
  <c r="N27" i="6" s="1"/>
  <c r="G27" i="6"/>
  <c r="G12" i="6"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Carter Powers</author>
  </authors>
  <commentList>
    <comment ref="H15" authorId="0" shapeId="0" xr:uid="{8DBEB8DE-5BEA-4EA2-B70A-319DDC31DD23}">
      <text>
        <r>
          <rPr>
            <b/>
            <sz val="9"/>
            <color indexed="81"/>
            <rFont val="Tahoma"/>
            <family val="2"/>
          </rPr>
          <t>Carter Powers:</t>
        </r>
        <r>
          <rPr>
            <sz val="9"/>
            <color indexed="81"/>
            <rFont val="Tahoma"/>
            <family val="2"/>
          </rPr>
          <t xml:space="preserve">
Has battens but not plasterboard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<sst xmlns="http://schemas.openxmlformats.org/spreadsheetml/2006/main" count="11991" uniqueCount="995">
  <si>
    <t>Material</t>
  </si>
  <si>
    <t>Type</t>
  </si>
  <si>
    <t>Use</t>
  </si>
  <si>
    <t>Timber</t>
  </si>
  <si>
    <t>Structural</t>
  </si>
  <si>
    <t>N/A</t>
  </si>
  <si>
    <t>Length (m)</t>
  </si>
  <si>
    <t>Height (m)</t>
  </si>
  <si>
    <t>Thickness (m)</t>
  </si>
  <si>
    <t>Element Volume (m3)</t>
  </si>
  <si>
    <t># of element</t>
  </si>
  <si>
    <t>Total Volume (m3)</t>
  </si>
  <si>
    <t>Mass (kg)</t>
  </si>
  <si>
    <t>Wall Stud</t>
  </si>
  <si>
    <t>Wall Track</t>
  </si>
  <si>
    <t>Noggin</t>
  </si>
  <si>
    <t>Mineral Wool Insulation</t>
  </si>
  <si>
    <t>PIR Insulation</t>
  </si>
  <si>
    <t>Weather Membrane (Tyvek = 60g/m2)</t>
  </si>
  <si>
    <t>Total</t>
  </si>
  <si>
    <t>Top &amp; Bottom Plate</t>
  </si>
  <si>
    <t>OSB Sheathing</t>
  </si>
  <si>
    <t>Weather Membrane (Tyvek 60g/m2)</t>
  </si>
  <si>
    <t>Base panel</t>
  </si>
  <si>
    <t>ICF</t>
  </si>
  <si>
    <t>MODELED MMC SYSTEMS</t>
  </si>
  <si>
    <t>Element</t>
  </si>
  <si>
    <t>OSB</t>
  </si>
  <si>
    <t>PIR</t>
  </si>
  <si>
    <t>Tyvek Membrane</t>
  </si>
  <si>
    <t>Value</t>
  </si>
  <si>
    <t>indicates direct input. Users can change this value to customise the calculations</t>
  </si>
  <si>
    <t>Light Gauge Steel</t>
  </si>
  <si>
    <t>Mineral Wool</t>
  </si>
  <si>
    <t>Value is formulaically calculated</t>
  </si>
  <si>
    <t>Value is being used for calculations elsewhere in the model</t>
  </si>
  <si>
    <t>Identifier</t>
  </si>
  <si>
    <t>Database/Data Source</t>
  </si>
  <si>
    <t>Reasoning</t>
  </si>
  <si>
    <t>Search (General)</t>
  </si>
  <si>
    <t>LGS</t>
  </si>
  <si>
    <t>SIP</t>
  </si>
  <si>
    <t>Benchmark (Traditional)</t>
  </si>
  <si>
    <t>EcoPlatform</t>
  </si>
  <si>
    <t>40,000 EPD documents with a strong reputation for quality EPDs and a large amount of EPDs for construction data. Includes international programmes not included in EPD Ireland (2).</t>
  </si>
  <si>
    <t>English results only.</t>
  </si>
  <si>
    <t>Keywords: "Timber Frame". Excluded EPDs that included only the insulation installed into timber frame buildings</t>
  </si>
  <si>
    <t>Keywords: "Insulating Concrete Formwork", "ICF"</t>
  </si>
  <si>
    <t xml:space="preserve">Keywords: "Light Gauge Steel", "LGS", only included EPDs that covered fabricated LGS structural frames, not individual LGS pieces </t>
  </si>
  <si>
    <t>Keywords: "Structural Insulated Panels", "SIP"</t>
  </si>
  <si>
    <t>Keywords: "Concrete block", "Masonry". Only included concrete block for use in buildings, not road paving or other structures like retaining walls. Filtered to Ireland to make a targeted comparison to using concrete blocks in Ireland specifically</t>
  </si>
  <si>
    <t>Ireland Green Building Council EPD Ireland</t>
  </si>
  <si>
    <t>Database specifically for EPDs of construction products in Ireland by Irish companies. Does not include international programmes</t>
  </si>
  <si>
    <t>Keywords: "Concrete block", "Masonry". Only included concrete block for use in buildings, not road paving or other structures like retaining walls.</t>
  </si>
  <si>
    <t>The International EPD System</t>
  </si>
  <si>
    <t>Large database of EPD documents across the world including many for construction products. Includes many products from the EU which are relevant to the Irish Context.</t>
  </si>
  <si>
    <t>Filtered by construction products and searched the results for 2D panelised systems</t>
  </si>
  <si>
    <t>North American Steel EPDs</t>
  </si>
  <si>
    <t>Analyzed provided links</t>
  </si>
  <si>
    <t>EPD HUB</t>
  </si>
  <si>
    <t>Contains EPDs for Donaldson Timber Systems wood panels, the first UK company to publish EPD for panelised timber frame panels</t>
  </si>
  <si>
    <t>Searched for Donaldson Timber Systems EPDs specifically</t>
  </si>
  <si>
    <t>Not included</t>
  </si>
  <si>
    <t>EPD Registry</t>
  </si>
  <si>
    <t>No results for the keywords used for the other databases.</t>
  </si>
  <si>
    <t>LCA Database</t>
  </si>
  <si>
    <t>Source ID</t>
  </si>
  <si>
    <t>EPD Product Name</t>
  </si>
  <si>
    <t>Product Description</t>
  </si>
  <si>
    <t>System Type</t>
  </si>
  <si>
    <t>Valid Until</t>
  </si>
  <si>
    <t>EPD Owner</t>
  </si>
  <si>
    <t>EPD Operator</t>
  </si>
  <si>
    <t>Link</t>
  </si>
  <si>
    <t>Data Source</t>
  </si>
  <si>
    <t>LCIA Method</t>
  </si>
  <si>
    <t>U Value or Conductivity</t>
  </si>
  <si>
    <t>Completeness</t>
  </si>
  <si>
    <t>Belgard Concrete Block Products</t>
  </si>
  <si>
    <t>The declared product, common masonry unit for use in external walls and exposed internal walls in load
bearing or non-load bearing building and civil engineering applications with UN CPC classification 3755 -Manufactured Concrete and Concrete Masonry Products. The block products are available in a range of types and sizes, including solid and cavity blocks, high strength blocks, fine texture blocks and aristocrat blocks. The values presented in this EPD are declared as average environmental performance for a number of products within each product category.</t>
  </si>
  <si>
    <t>Concrete Block</t>
  </si>
  <si>
    <t>Ireland</t>
  </si>
  <si>
    <t>Roadstone</t>
  </si>
  <si>
    <t>International EPD</t>
  </si>
  <si>
    <t>https://api.environdec.com/api/v1/EPDLibrary/Files/a0e82a6d-4826-4069-a6f4-08da599e304a/Data</t>
  </si>
  <si>
    <t>Ecoinvent 3.5</t>
  </si>
  <si>
    <t>GCCA Online Tool for EPDs of concrete and cement</t>
  </si>
  <si>
    <t>A1-A3, C1-C4, D</t>
  </si>
  <si>
    <t>1m3 of Concrete Shaped in Solid and Cavity Block Product</t>
  </si>
  <si>
    <t>1.01-1.19W/mK (λ10, dry,solid), 1.24-1.56W/mK (λ10, dry,cavity)</t>
  </si>
  <si>
    <t>Structural block only, no steel reinforcement or insulation</t>
  </si>
  <si>
    <t>Mannok Aircrete block High Ten</t>
  </si>
  <si>
    <t>The Aircrete blocks are high performance thermal blocks which are precision manufactured using autoclaved aerated concrete (AAC).</t>
  </si>
  <si>
    <t>MannokBuild</t>
  </si>
  <si>
    <t>EPD Ireland</t>
  </si>
  <si>
    <t xml:space="preserve">https://www.igbc.ie/epd/mannok-aircrete-block-high-ten/ </t>
  </si>
  <si>
    <t>Ecoinvent 3.8</t>
  </si>
  <si>
    <t>Ecochain Helix v 4.3.1</t>
  </si>
  <si>
    <t>A1-A5,B1-B7, C1-C4, D</t>
  </si>
  <si>
    <t>1000 kg of precast concrete block at the factory gate</t>
  </si>
  <si>
    <t>0.21 W/mK</t>
  </si>
  <si>
    <t>Mannok Aircrete block Seven</t>
  </si>
  <si>
    <t xml:space="preserve">https://www.igbc.ie/epd/mannok-aircrete-block-seven/ </t>
  </si>
  <si>
    <t>0.19 W/mK</t>
  </si>
  <si>
    <t>Mannok Aircrete block Standard</t>
  </si>
  <si>
    <t xml:space="preserve">https://www.igbc.ie/epd/mannok-aircrete-block-standard/ </t>
  </si>
  <si>
    <t>0.17 W/mK</t>
  </si>
  <si>
    <t>Mannok Aircrete block Super</t>
  </si>
  <si>
    <t xml:space="preserve">https://www.igbc.ie/epd/mannok-aircrete-block-super/ </t>
  </si>
  <si>
    <t>0.12 W/mK</t>
  </si>
  <si>
    <t>Nudura ICF</t>
  </si>
  <si>
    <t>standard 6'' form of ICF panels with plastic binders</t>
  </si>
  <si>
    <t>Canada</t>
  </si>
  <si>
    <t>Tremco Canada</t>
  </si>
  <si>
    <t>https://www.nordicform.fi/wp-content/uploads/2025/06/Nudura-EPD-EN-15804.pdf</t>
  </si>
  <si>
    <t>SimaPro 9.1</t>
  </si>
  <si>
    <t>A1-A3,C1-C4, D</t>
  </si>
  <si>
    <t>1 panel of ICF system - 1.0 * 6.91 kg (Mass)</t>
  </si>
  <si>
    <t xml:space="preserve">R24 </t>
  </si>
  <si>
    <t>Plastic formwork insulation only. No concrete or steel reinforcement or finish</t>
  </si>
  <si>
    <t>Thermomur ICF</t>
  </si>
  <si>
    <t>Thermomur® is based on moulded blocks ofJackopor® (EPS). The blocks are stacked as building blocks, reinforced and finally filled with concrete. The blocks are reinforced with plastic binders in between</t>
  </si>
  <si>
    <t>Norway</t>
  </si>
  <si>
    <t>Bewi Insulation Scandinavia</t>
  </si>
  <si>
    <t>Norwegian EPD Foundation</t>
  </si>
  <si>
    <t xml:space="preserve">https://epdnorway.lca-data.com/resource/datastocks/91413340-7bf0-4f88-a952-0f91cba685df/processes/5d67bcbf-ad00-4a7b-a8f6-1503be58536d/epd?version=00.04.000 </t>
  </si>
  <si>
    <t>EcoInvent 3.6, Plastics Europe</t>
  </si>
  <si>
    <t>LCA.no EPD generator</t>
  </si>
  <si>
    <t>A1-A5, C1-C4, D</t>
  </si>
  <si>
    <t>1 m^2 of Thermomur panel including transportation to site, waste handling and recovery</t>
  </si>
  <si>
    <t>5.96 m2K/W for 350 unit</t>
  </si>
  <si>
    <t>AMVIC EPS Insulating Concrete Formwork</t>
  </si>
  <si>
    <t>The installed system comprises two EPS panels, connected with polypropylene connectors, pre-assembled at Amvic's production site in Ballycoolin, Dublin. There is an internal hollow core of 150mm that is filled on-site with readymixed concrete.</t>
  </si>
  <si>
    <t>Amvic Ireland</t>
  </si>
  <si>
    <t xml:space="preserve">https://www.igbc.ie/wp-content/uploads/2023/10/EPD-Amvic-EPS-11-10-23-EPDIE-23-120.pdf </t>
  </si>
  <si>
    <t>Ecochain version 3.5.80</t>
  </si>
  <si>
    <t>1m² of EPS Insulating Concrete Formwork</t>
  </si>
  <si>
    <t>300: 5.06 m2K/W 350: 6.2 m2K/W</t>
  </si>
  <si>
    <t>SIGMAT Light Gauge Steel Frame</t>
  </si>
  <si>
    <t>Light gauge steel FRAME for load bearing buildings as preassembled frames to the construction industry for Infill, load bearing and modular applications.</t>
  </si>
  <si>
    <t>United Kingdom</t>
  </si>
  <si>
    <t>Sigmat Limited</t>
  </si>
  <si>
    <t xml:space="preserve">https://www.environdec.com/library/epd11145 </t>
  </si>
  <si>
    <t>Ecoinvent 3.8, One Click LCA</t>
  </si>
  <si>
    <t>One Click LCA EPD Generator</t>
  </si>
  <si>
    <t>1 kg of SIGMAT LIGHT GAUGE STEEL FRAME</t>
  </si>
  <si>
    <t>Structural steel frame only, no insulation</t>
  </si>
  <si>
    <t>Cold Formed Steel Framing</t>
  </si>
  <si>
    <t>includes structural and non-structural framing components for walls, floors, ceilings, and roofs composed of hot-dipped galvanized cold-formed steel members and flat straps used for bracing</t>
  </si>
  <si>
    <t>United States</t>
  </si>
  <si>
    <t>Steel Framing Industry Association</t>
  </si>
  <si>
    <t>SCS Global Services</t>
  </si>
  <si>
    <t xml:space="preserve">https://sfia.memberclicks.net/assets/TechFiles/SCS-EPD-07103_SFIA_012522.pdf </t>
  </si>
  <si>
    <t>Ecoinvent 3.71</t>
  </si>
  <si>
    <t>OpenLCA 1.10</t>
  </si>
  <si>
    <t>A1-A3</t>
  </si>
  <si>
    <t>One (metric) ton of industry averaged cold form steel framing product</t>
  </si>
  <si>
    <t xml:space="preserve">Individual steel components, not fabricated into a frame </t>
  </si>
  <si>
    <t>Cold Formed Steel Sections and Panels</t>
  </si>
  <si>
    <t>Average of a variety of cold-formed steel sections and panels used in a variety of applications</t>
  </si>
  <si>
    <t>Canadian Sheet Steel Building Institute</t>
  </si>
  <si>
    <t>CSA Group</t>
  </si>
  <si>
    <t xml:space="preserve">https://www.cisc-icca.ca/wp-content/uploads/2024/12/CSSBI_EPD_2022_Cold-Formed-Sections-and-Panels_ISBN_V2.pdf </t>
  </si>
  <si>
    <t>Gabi 10.6, EcoInvent 3.6</t>
  </si>
  <si>
    <t>TRACI v2.1</t>
  </si>
  <si>
    <t>1 metric ton of cold formed steel sections and panels with a density of 7,800 kg/m3 or 487 lb/ft3</t>
  </si>
  <si>
    <t>Horizon Light Gauge Steel Frame</t>
  </si>
  <si>
    <t>Design, fabrication and installation of Light Guage Steel Frame Building Structure. Provision of panelized frames for both the infill and the loadbearing markets. Our stud profiles are rolled in-house from steel coil with a strip width of 188mm. The gauge of studs varies between 1.2mm and 1.5mm and the stud height is 89mm. The coils are galvanized with Z275 coating to each side and the steel strength is S450.</t>
  </si>
  <si>
    <t>Horizon Offsite Limited</t>
  </si>
  <si>
    <t xml:space="preserve">https://api.environdec.com/api/v1/EPDLibrary/Files/d6aaae8d-144c-43e2-9b04-08db7e35bd3c/Data </t>
  </si>
  <si>
    <t>Ecoinvent 3.6, One Click LCA</t>
  </si>
  <si>
    <t>1 kg of Horizon Light Gauge Steel Frame</t>
  </si>
  <si>
    <t>Insulated Metal Panels</t>
  </si>
  <si>
    <t>Comprised of a polyurethane core between two pre-finished steel sheets which form an insulated metal panel used as exterial wall/roof cladding, interior ceiling, and partition walls (can be structural)</t>
  </si>
  <si>
    <t>Metal Construction Association</t>
  </si>
  <si>
    <t>UL Environment</t>
  </si>
  <si>
    <t xml:space="preserve">https://www.metalconstruction.org/view/download.php/online-education/education-materials/imp-educational-materials/environmental-product-declaration-for-insulated-metal-panels </t>
  </si>
  <si>
    <t>GaBi 2019</t>
  </si>
  <si>
    <t>GaBi 9</t>
  </si>
  <si>
    <t>100 m^2 of Insulated Metal Panels</t>
  </si>
  <si>
    <t>0.014-0.72 W/m2K</t>
  </si>
  <si>
    <t>Structural and insulation</t>
  </si>
  <si>
    <t>SIP (Structural Insulated Panel) elements type of SP-170 for passive house</t>
  </si>
  <si>
    <t>The SIP panel is a building material made of an EPS insulation board glued between two OSB boards using a special material.</t>
  </si>
  <si>
    <t>Europe</t>
  </si>
  <si>
    <t>ADAM-HOUSE Innovative Construction and Real Estate Development Ltd</t>
  </si>
  <si>
    <t xml:space="preserve">https://www.environdec.com/library/epd14599 </t>
  </si>
  <si>
    <t>Ecoinvent 3.10, GaBi database</t>
  </si>
  <si>
    <t>GaBi Professional v.10</t>
  </si>
  <si>
    <t>1 m2 SIP panel products at the factory gate ready for distribution.</t>
  </si>
  <si>
    <t>4.28 m2K/W</t>
  </si>
  <si>
    <t>SIP (Structural Insulated Panel) elements type of SP-270 for passive house</t>
  </si>
  <si>
    <t xml:space="preserve">https://api.environdec.com/api/v1/EPDLibrary/Files/00e162ed-1ebf-4473-dff7-08dcc7536db3/Data </t>
  </si>
  <si>
    <t>6.97 m2K/W</t>
  </si>
  <si>
    <t>Structural Insulated Panels From New Zealand Structural Insulated Panels (NZSIP) Limited</t>
  </si>
  <si>
    <t>NZSIP Smart Panels are manufactured out of Strandboard facings with a factory foam injected polyurethane insulation (PUR) core. The panels are 115mm, 165mm or 215 mm thick, nominally 1205 mm wide, with standard lengths up to 3.6 m. Panels can also be manufactured to varying lengths and widths depending on their design location. The panels have different types of joinery depending on function. Wall panels use camlocks, floor panels use timber joists and roof panels use timber rafter and end plates where required.</t>
  </si>
  <si>
    <t>New Zealand</t>
  </si>
  <si>
    <t>NZSIP Limited</t>
  </si>
  <si>
    <t>EPD Australasia Limited (International EPD)</t>
  </si>
  <si>
    <t>https://www.environdec.com/library/epd7434</t>
  </si>
  <si>
    <t>GaBi 2021</t>
  </si>
  <si>
    <t>GaBi (version unknown)</t>
  </si>
  <si>
    <t>1m² of structural insulated panel with a specific thermal resistance (R-value) covering the following product:  115mm Wall Panels (R4.5) 165mm Floor, Wall &amp; Roof Panels (R7)  215mm Floor &amp; Roof Panels (R9.4)</t>
  </si>
  <si>
    <t>4.5 m2K/W (115mm), 7 m2K/W (165mm)</t>
  </si>
  <si>
    <t>Graphite MgO SIP panel</t>
  </si>
  <si>
    <t>New house building panel, made by environmentally friendly and energy-saving construction technology. Special prefabricated elements are used to construct buildings using this method. These are made of two 12 mm MgO sheets with 140 graphite powder insulation EPS material sandwiched between them.</t>
  </si>
  <si>
    <t>Hungary</t>
  </si>
  <si>
    <t>Költözzma Ltd.</t>
  </si>
  <si>
    <t>https://www.environdec.com/library/epd10892</t>
  </si>
  <si>
    <t>Ecoinvent 3.10, Managed LCA content version 10 (GaBi/Sphera)</t>
  </si>
  <si>
    <t xml:space="preserve">LCA for Experts </t>
  </si>
  <si>
    <t>1 m2 product (MgO SIP panel) at the factory gate ready for distribution. The following technical information supports the functional unit definition: • weight of the product: 23,2kg/m2 • width: 165mm • thermal conductivity: 0,032W/mk</t>
  </si>
  <si>
    <t>0.11 W/m2K</t>
  </si>
  <si>
    <t>Open panel/Timber Frame/Gable Panel</t>
  </si>
  <si>
    <t>An open timber wall panel features a framework of exposed wood, typically characterised by the use of timber beams and posts, OSB, and breather membrane to the external face.</t>
  </si>
  <si>
    <t>Timber Frame</t>
  </si>
  <si>
    <t>WB Timber Innovations Ltd</t>
  </si>
  <si>
    <t xml:space="preserve">https://www.environdec.com/library/epd16039 </t>
  </si>
  <si>
    <t>Ecoinvent 3.10, OneClick LCA 1.13</t>
  </si>
  <si>
    <t>1 m^3 Open Panel</t>
  </si>
  <si>
    <t>Unknown, product can have U values if the panel is finished</t>
  </si>
  <si>
    <t>Structural frame with OBS board and membrane, no insulation</t>
  </si>
  <si>
    <t>ALPHA - Open Panel</t>
  </si>
  <si>
    <t>Our Alpha – Open Panel timber frame is the common timber frame build
system in the UK, providing the structural inner leaf walls for buildings using
a timber studwork factory formed into panels with structural sheathing and
exterior breather membrane</t>
  </si>
  <si>
    <t>Donaldson Timber Systems</t>
  </si>
  <si>
    <t>EPD Hub</t>
  </si>
  <si>
    <t xml:space="preserve">https://manage.epdhub.com/?epd=HUB-1609 </t>
  </si>
  <si>
    <t>Ecoinvent 3.8, Plastics Europe, Federal LCA commons, One Click LCA</t>
  </si>
  <si>
    <t>1m2 of Alpha panel mass 21.04 kg</t>
  </si>
  <si>
    <t>0.32-0.14 W/m2K (when insulation added)</t>
  </si>
  <si>
    <t xml:space="preserve">Structural frame </t>
  </si>
  <si>
    <t>PREFAB TIMBER FRAME ELEMENT</t>
  </si>
  <si>
    <t>Modular structural timber</t>
  </si>
  <si>
    <t>UAB Skado Medis</t>
  </si>
  <si>
    <t xml:space="preserve">https://www.environdec.com/library/epd2561 </t>
  </si>
  <si>
    <t>Ecoinvent 3.10</t>
  </si>
  <si>
    <t>SimaPro 9.6.0.1</t>
  </si>
  <si>
    <t>1 m2 of prefab timber frame element. Which is equal to 45.20 kg of the product. The
average specific thickness for the prefab timber frame element is 272 mm.</t>
  </si>
  <si>
    <t>0.18 W/m2K (250 mm panel)</t>
  </si>
  <si>
    <t>Completely finished wall including cladding, insulation,membranes, etc.</t>
  </si>
  <si>
    <t>SIPA B6.5</t>
  </si>
  <si>
    <t>Structural Insulated Panel Association</t>
  </si>
  <si>
    <t xml:space="preserve">https://manage.epdhub.com/?epd=HUB-2458 </t>
  </si>
  <si>
    <t>1 m2 of structurally insulated panel averaged from 11 manufacturers</t>
  </si>
  <si>
    <t>3.7 m2K/W (avg)</t>
  </si>
  <si>
    <t>PorterSIPS B6.5</t>
  </si>
  <si>
    <t>PorterSIPS</t>
  </si>
  <si>
    <t>https://manage.epdhub.com/?epd=HUB-2457</t>
  </si>
  <si>
    <t xml:space="preserve">1 m2 of structurally insulated panel </t>
  </si>
  <si>
    <t>Delta - Pre-Insulated Panel</t>
  </si>
  <si>
    <t>Pre-insulated Timber Frame semi-closed panel</t>
  </si>
  <si>
    <t xml:space="preserve">https://manage.epdhub.com/?epd=HUB-3061 </t>
  </si>
  <si>
    <t>Ecoinvent 3.10.1, One Click LCA</t>
  </si>
  <si>
    <t>1 m2 of Delta Panel 23.57 kg</t>
  </si>
  <si>
    <t>0.27-0.13 W/m2K</t>
  </si>
  <si>
    <t>SIGMA II - Solid Stud Closed Panel</t>
  </si>
  <si>
    <t>Solid Stud closed timber frame panel</t>
  </si>
  <si>
    <t xml:space="preserve">https://manage.epdhub.com/?epd=HUB-3060 </t>
  </si>
  <si>
    <t>1 m2 of Sigma II Panel 23.75kg</t>
  </si>
  <si>
    <t>0.26-0.13 W/m2K</t>
  </si>
  <si>
    <t>Structural, insulation, and sheathing</t>
  </si>
  <si>
    <t>SIGMA II C Studs Closed Panel</t>
  </si>
  <si>
    <t>C profile stud closed timber frame panel</t>
  </si>
  <si>
    <t xml:space="preserve">https://manage.epdhub.com/?epd=HUB-3059 </t>
  </si>
  <si>
    <t>1 m2 of Sigma II Panel 31.66 kg</t>
  </si>
  <si>
    <t>Light gauge galvanized steel profiles for construction</t>
  </si>
  <si>
    <t>Light gauge galvanized steel framing profiles and components used in the construction of load-bearing metal structures and substructures for dry construction systems.The profiles are used as load-bearing elements in the construction of metal frameworks, dry-lining systems, the Steel Framing system, steel battens for secondary substructures, floating floor systems, and support structures for photovoltaic panels</t>
  </si>
  <si>
    <t>LGS (Not MMC)</t>
  </si>
  <si>
    <t>Spain</t>
  </si>
  <si>
    <t>MetalPerfil</t>
  </si>
  <si>
    <t xml:space="preserve">https://www.environdec.com/library/epd11545 </t>
  </si>
  <si>
    <t>EcoInvent 3.9.1</t>
  </si>
  <si>
    <t>SimaPro 9.5.0.2</t>
  </si>
  <si>
    <t>1 Kg of light gauge galvanized steel profile installed, with a thickness of 2,38 [mm] and with metallic protective coating. The representative product has been calculated as the weighted average of all profiles manufacturing.</t>
  </si>
  <si>
    <t>Nichiha Architectural Wall Panels</t>
  </si>
  <si>
    <t>Nichiha Architectural Wall Panels (AWP) are manufactured through a dry process of cement, sand, and wood fibers formed under high pressure in molds. The panels are prefinished with factory-applied paint for enhanced UV, chip, and crack resistance, ensuring vibrant, long-lasting color. The AWP are installed on a hidden track system with a built-in rainscreen, they are ideal for both commercial and residential applications.</t>
  </si>
  <si>
    <t>Prefabricated Cladding</t>
  </si>
  <si>
    <t>Nichiha USA</t>
  </si>
  <si>
    <t xml:space="preserve">https://api.environdec.com/api/v1/EPDLibrary/Files/9c39d1fe-43ea-4eec-6e08-08ddae78753c/Data </t>
  </si>
  <si>
    <t>Ecoinvent 3.9.1</t>
  </si>
  <si>
    <t>SimaPro 9.5</t>
  </si>
  <si>
    <t>A1-A3,A4,C1-C4,D</t>
  </si>
  <si>
    <t>1 (one) m2 of Architectural Wall Panel</t>
  </si>
  <si>
    <t>0.47 m2K/W (R value of 0.47, units assumed)</t>
  </si>
  <si>
    <t>Cladding only</t>
  </si>
  <si>
    <t>Brick</t>
  </si>
  <si>
    <t>Breedon Brick Ltd/Kingscourt Brick</t>
  </si>
  <si>
    <t>https://www.igbc.ie/epd/kingscourt-brick/</t>
  </si>
  <si>
    <t>EcoChain 2020</t>
  </si>
  <si>
    <t>1 tonne of brick</t>
  </si>
  <si>
    <t>0.63w/mK</t>
  </si>
  <si>
    <t>Wall facing only</t>
  </si>
  <si>
    <t>C28/35 Readymix Concrete (0% GGBS Cement Replacement)</t>
  </si>
  <si>
    <t>Ready mix concrete in Ireland</t>
  </si>
  <si>
    <t>Concrete</t>
  </si>
  <si>
    <t>Irish Concrete Federation</t>
  </si>
  <si>
    <t xml:space="preserve">https://www.igbc.ie/wp-content/uploads/2025/06/EPD-Irish-Concrete-Federation-C2835-Readymix-Concrete-0-19-06-25-EPDIE-24-195.pdf </t>
  </si>
  <si>
    <t>EcoChain 4.3.1</t>
  </si>
  <si>
    <t>1 m3 of concrete</t>
  </si>
  <si>
    <t>unknown N/A</t>
  </si>
  <si>
    <t>material for ICF structure</t>
  </si>
  <si>
    <t>Country or Region</t>
  </si>
  <si>
    <t>Scope</t>
  </si>
  <si>
    <t>Functional or Declared Unit</t>
  </si>
  <si>
    <t>Product Name</t>
  </si>
  <si>
    <t>FU</t>
  </si>
  <si>
    <t>Units</t>
  </si>
  <si>
    <t>A1</t>
  </si>
  <si>
    <t>A2</t>
  </si>
  <si>
    <t>A3</t>
  </si>
  <si>
    <t>A1-3</t>
  </si>
  <si>
    <t>A4</t>
  </si>
  <si>
    <t>A5</t>
  </si>
  <si>
    <t>B</t>
  </si>
  <si>
    <t>C1</t>
  </si>
  <si>
    <t>C2</t>
  </si>
  <si>
    <t>C3</t>
  </si>
  <si>
    <t>C4</t>
  </si>
  <si>
    <t>D</t>
  </si>
  <si>
    <t>Alpha - Open Panel</t>
  </si>
  <si>
    <t>kg CO2e</t>
  </si>
  <si>
    <t>Open Panel/Timber Frame/Gable Panel</t>
  </si>
  <si>
    <t>1m^2 of EPS (300m)</t>
  </si>
  <si>
    <t>1m^2 of EPS (350m)</t>
  </si>
  <si>
    <t>Prefab timber frame element</t>
  </si>
  <si>
    <t>SIGMAT Light gauge steel frame</t>
  </si>
  <si>
    <t>1 m2 of 115 mm wall panels</t>
  </si>
  <si>
    <t>1 m2 of 165 mm wall panels</t>
  </si>
  <si>
    <t>1 m2 of 165 mm roof panels</t>
  </si>
  <si>
    <t>1 m2 of 165 mm floor panels</t>
  </si>
  <si>
    <t>1 m2 of 215 mm roof panels</t>
  </si>
  <si>
    <t>1 m2 of 215 mm floor panels</t>
  </si>
  <si>
    <t>Normalization Processs (kg CO2e/m^2)</t>
  </si>
  <si>
    <t>Normalization Factor</t>
  </si>
  <si>
    <t>None</t>
  </si>
  <si>
    <t>From the manufacturer's panel information, their standard studwork is 140 mm</t>
  </si>
  <si>
    <t>In a specific paragraph on the website, Nudura mentions that a single standard ICF panel has 1.11 m^2 of wall area. So dividing by 1.11 gets the impacts per m^2</t>
  </si>
  <si>
    <t>Going to use the same generic standards that were developed from the Horizon LGS frame</t>
  </si>
  <si>
    <t xml:space="preserve">None </t>
  </si>
  <si>
    <t xml:space="preserve">Using the dimensions of the stud frame, a desnity of 7800 kg/m^3 and a generic wall size of 2.7 x 2.4 m, the mass of steel in that area was determined as 30.66 kg which is 4.73 kg/m^2. </t>
  </si>
  <si>
    <t>Value was not reported in original data source</t>
  </si>
  <si>
    <t>1 m2 open panel</t>
  </si>
  <si>
    <t>1 m2 of architectural panel</t>
  </si>
  <si>
    <t>Exterior Cladding</t>
  </si>
  <si>
    <t>Insulation</t>
  </si>
  <si>
    <t>Membrane</t>
  </si>
  <si>
    <t>External Finish</t>
  </si>
  <si>
    <t>Internal Finish</t>
  </si>
  <si>
    <t>indicates that value is retrieved from elsewhere in the model</t>
  </si>
  <si>
    <t>Plasterboard</t>
  </si>
  <si>
    <t>Conditional formatting that represents a value that satisfies the assumptions of the model</t>
  </si>
  <si>
    <t>No</t>
  </si>
  <si>
    <t>Yes</t>
  </si>
  <si>
    <t xml:space="preserve">kg CO2e per panel </t>
  </si>
  <si>
    <t>kg CO2e per m2</t>
  </si>
  <si>
    <t>Cavity</t>
  </si>
  <si>
    <t>Thermal Conductivity (W/m-K)</t>
  </si>
  <si>
    <t>Item</t>
  </si>
  <si>
    <t>Outside Surface</t>
  </si>
  <si>
    <t>GWP Fossil (kg CO2e/m^2)</t>
  </si>
  <si>
    <t>U value (K/m^2-K):</t>
  </si>
  <si>
    <t>Inside Surface (Wall)</t>
  </si>
  <si>
    <t>Fixed Boundary Surfaces</t>
  </si>
  <si>
    <t>Brick Cavity</t>
  </si>
  <si>
    <t>Panel #1</t>
  </si>
  <si>
    <t>Panel #2</t>
  </si>
  <si>
    <t>Name:</t>
  </si>
  <si>
    <t>System from BASE SYSTEMS Sheet</t>
  </si>
  <si>
    <t>Additional Materials *Currently works for solid materials only</t>
  </si>
  <si>
    <t>Timber Pre-insulated Panel</t>
  </si>
  <si>
    <t>Adding materials past this point will not register in the Xlookup functions. The functions need to be edited to increase the dimensions of the search array past row 500</t>
  </si>
  <si>
    <t>A1-A3 kg CO2e/m^2 (normalised)</t>
  </si>
  <si>
    <t>Thermal resistance (m^2-K/W)</t>
  </si>
  <si>
    <t>Thermal Resistance m2/K</t>
  </si>
  <si>
    <t>Structural GWP</t>
  </si>
  <si>
    <t>Insulation GWP</t>
  </si>
  <si>
    <t>System</t>
  </si>
  <si>
    <t>Name</t>
  </si>
  <si>
    <t>Panel #3</t>
  </si>
  <si>
    <t>External Finish GWP</t>
  </si>
  <si>
    <t>Internal Finish GWP</t>
  </si>
  <si>
    <t>Membrane GWP</t>
  </si>
  <si>
    <t>Add-On 1</t>
  </si>
  <si>
    <t>Add-On 2</t>
  </si>
  <si>
    <t>Add-On 3</t>
  </si>
  <si>
    <t>Add-On 4</t>
  </si>
  <si>
    <t>Add-On 5</t>
  </si>
  <si>
    <t>Add-On 6</t>
  </si>
  <si>
    <t>Description</t>
  </si>
  <si>
    <t>Brick Cladding</t>
  </si>
  <si>
    <t>Internal Plasterboard</t>
  </si>
  <si>
    <t>Additional  2</t>
  </si>
  <si>
    <t>Additional  3</t>
  </si>
  <si>
    <t>Additional  4</t>
  </si>
  <si>
    <t>Additional  5</t>
  </si>
  <si>
    <t>Additional  6</t>
  </si>
  <si>
    <t>Additional 1</t>
  </si>
  <si>
    <t>Thermal Resistance (m2-K/W)</t>
  </si>
  <si>
    <t>(Gray area is used as the dropdown list for the materials sheet)</t>
  </si>
  <si>
    <t>Conditional formatting that represents a value that fails to satisfy the assumptions of the model</t>
  </si>
  <si>
    <t>Target U Value: W/m2-K</t>
  </si>
  <si>
    <t>Formatting Guide</t>
  </si>
  <si>
    <t>MMC A1-A3 LCA and EPD Analysis Database and Calculator Tool</t>
  </si>
  <si>
    <t>Author</t>
  </si>
  <si>
    <t>Carter Patrick Powers</t>
  </si>
  <si>
    <t>Updated</t>
  </si>
  <si>
    <t>About</t>
  </si>
  <si>
    <t>Contents</t>
  </si>
  <si>
    <t>MATERIALS</t>
  </si>
  <si>
    <t>Sheet</t>
  </si>
  <si>
    <t>BASE SYSTEMS</t>
  </si>
  <si>
    <t>BUILT UP PANELS</t>
  </si>
  <si>
    <t>LCA OVERVIEW</t>
  </si>
  <si>
    <t>EPD OVERVIEW</t>
  </si>
  <si>
    <t>BASE EPD VALUES</t>
  </si>
  <si>
    <t>BUILT UP EPD SYSTEMS</t>
  </si>
  <si>
    <t>SCENARIO ASSUMPTIONS</t>
  </si>
  <si>
    <t>RESULTS</t>
  </si>
  <si>
    <t>EPD DATABASES</t>
  </si>
  <si>
    <t>EPD REPOSITORY</t>
  </si>
  <si>
    <t>RAW GWP FOSSIL</t>
  </si>
  <si>
    <t>GWP NORMALISED</t>
  </si>
  <si>
    <t>NORMALISATION FACTORS</t>
  </si>
  <si>
    <t xml:space="preserve">Inputs to functionality requirements and target U-value for a complete wall </t>
  </si>
  <si>
    <t>Cradle-to-Gate A1-A3 Fossil GWP of 2D External Wall Light Gauge Steel (LGS), Timber Frame, Structural Insulated Panel (SIP), Insulating Concrete Framework (ICF) systems. Insulation, weatherproofing, internal and external finishes are included, and traditional concrete block construction methods are also included for comparison purposes.</t>
  </si>
  <si>
    <t>This workbook is a consolidated LCA database and calculator for the Platform4MMC project. It includes direct LCA calculations and existing EPDs for MMC and traditional construction projects and models a complete 2D external wall based on assumed required components and an assumed total U-value to compare embodied carbon in kg CO2e per m^2 wall area across different systems</t>
  </si>
  <si>
    <t xml:space="preserve">Resulting GWP calculations from LCA and EPD modeled external walls are tabulated and displayed with stacked bar charts separating emissions by wall component </t>
  </si>
  <si>
    <t>Database of materials including use category, density, carbon factor per kg, and thermal conductivity. Data sources include ICE Advanced v4</t>
  </si>
  <si>
    <t xml:space="preserve">Calculated models for LGS, Timber Frame, ICF, and concrete block masonry systems using material database. </t>
  </si>
  <si>
    <t>Final build-up of completed model using base systems and additional materials to satisfy requirements set in SCENARIO ASSUMPTIONS</t>
  </si>
  <si>
    <t>Detailed explanation about the design of the direct LCA calculation model</t>
  </si>
  <si>
    <t xml:space="preserve">Final build-up of completed wall using base EPDs and generic materials from the MATERIALS database. </t>
  </si>
  <si>
    <t>Normalised A1-A3 Fossil GWP, thermal resistance, and additional information for MMC and non MMC EPDs for use in BUILT UP EPD SYSTEMS</t>
  </si>
  <si>
    <t>Sources where EPDs were gathered and search methodology</t>
  </si>
  <si>
    <t>List of included EPDs and descriptive information. Links are included when available.</t>
  </si>
  <si>
    <t>Raw GWP Fossil as reported in the EPD document for the original Declared or Functional Unit for all stages of the Life Cycle.</t>
  </si>
  <si>
    <t>GWP Fossil from all stages of the life cycle normalised to 1 square metre of wall area.</t>
  </si>
  <si>
    <t>Normalisation factors used for each EPD including derivation methodology and assumptions.</t>
  </si>
  <si>
    <t>Detailed explanation about the design of the EPD-based wall model</t>
  </si>
  <si>
    <t>Input these values manually from dropdown</t>
  </si>
  <si>
    <t>Density (kg/m^3)</t>
  </si>
  <si>
    <t>kg CO2e per kg material (ICE v4 Advanced)</t>
  </si>
  <si>
    <t>EPS 2 x 75mm</t>
  </si>
  <si>
    <t>300 mm ICF Wall</t>
  </si>
  <si>
    <t>EPS (2 × 75 mm)</t>
  </si>
  <si>
    <t>Concrete core</t>
  </si>
  <si>
    <t>Steel rebar</t>
  </si>
  <si>
    <t>Polypropylene webs</t>
  </si>
  <si>
    <t>Waterproof membrane (Tyvek 60g/m2)</t>
  </si>
  <si>
    <t>Ready-Mix Concrete</t>
  </si>
  <si>
    <t>Proportion Factor</t>
  </si>
  <si>
    <t>System Name</t>
  </si>
  <si>
    <t>ID Code</t>
  </si>
  <si>
    <t>Structural/Base GWP</t>
  </si>
  <si>
    <t>T1</t>
  </si>
  <si>
    <t>T2</t>
  </si>
  <si>
    <t>T3</t>
  </si>
  <si>
    <t>T4</t>
  </si>
  <si>
    <t>T5</t>
  </si>
  <si>
    <t>S1</t>
  </si>
  <si>
    <t>S3</t>
  </si>
  <si>
    <t>S4</t>
  </si>
  <si>
    <t>Traditional</t>
  </si>
  <si>
    <t>PIR + Mineral Wool</t>
  </si>
  <si>
    <t>Composite Fiber</t>
  </si>
  <si>
    <t>Aluminum</t>
  </si>
  <si>
    <t>E1</t>
  </si>
  <si>
    <t>I1</t>
  </si>
  <si>
    <t>Fixed Boundary Surfaces (TGD Part L)</t>
  </si>
  <si>
    <t>Item Category</t>
  </si>
  <si>
    <t>Weatherproofing</t>
  </si>
  <si>
    <t>Code Name</t>
  </si>
  <si>
    <t>Type and Subtype Code:</t>
  </si>
  <si>
    <t>T2S2</t>
  </si>
  <si>
    <t>Weatherproofing/Other</t>
  </si>
  <si>
    <t>Internal Finish/Battens</t>
  </si>
  <si>
    <t>B1</t>
  </si>
  <si>
    <t>Membrane/Weatherproofing</t>
  </si>
  <si>
    <t>Length</t>
  </si>
  <si>
    <t>Width</t>
  </si>
  <si>
    <t>Panel Thickness</t>
  </si>
  <si>
    <t>Formed Concrete</t>
  </si>
  <si>
    <t>Insulation Code</t>
  </si>
  <si>
    <t>Batten Code</t>
  </si>
  <si>
    <t>Other Code</t>
  </si>
  <si>
    <t>Structural Subtype</t>
  </si>
  <si>
    <t>AMVIC EPS Insulating Concrete Formwork (300m)</t>
  </si>
  <si>
    <t>AMVIC EPS Insulating Concrete Formwork (350m)</t>
  </si>
  <si>
    <t>All of the ICF EPDs use a 150mm concrete cavity. Multiplying by the width of this cavity gets kg CO2e per m2.</t>
  </si>
  <si>
    <t>1 m2 of wall with concrete</t>
  </si>
  <si>
    <t>Average of many different block types that all have different widths which mean that the normalization to wall area would be different depending on what block is being used. Assuming blocks are laid on their side so the thickness is 215mm</t>
  </si>
  <si>
    <t>830 kg/m^3 density. Varying thicknesses, assuming 215mm wall thickness. Divide by density and thickness</t>
  </si>
  <si>
    <t>760 kg/m^3 density. Assuming 215 mm thick</t>
  </si>
  <si>
    <t>650 kg/m^3 density. Assuming 215 mm thick</t>
  </si>
  <si>
    <t>480 kg/m^3 density. Assuming 215 mm thick</t>
  </si>
  <si>
    <t>Mortar</t>
  </si>
  <si>
    <t>R value</t>
  </si>
  <si>
    <t>W1</t>
  </si>
  <si>
    <t>Structural + Factory Added Value GWP</t>
  </si>
  <si>
    <t>On-Site Insulation GWP</t>
  </si>
  <si>
    <t>On-Site Membrane GWP</t>
  </si>
  <si>
    <t>Panel Information</t>
  </si>
  <si>
    <t>Factory Thermal resistance (m2-K/W)</t>
  </si>
  <si>
    <t>LGS OPEN PANEL 1</t>
  </si>
  <si>
    <t>On-site Insulation</t>
  </si>
  <si>
    <t>Factory produced system + onsite structure</t>
  </si>
  <si>
    <t>Onsite Insulation Thermal Resistance</t>
  </si>
  <si>
    <t>Onsite Weather Thermal Resistance</t>
  </si>
  <si>
    <t>Type Code</t>
  </si>
  <si>
    <t>System ID Code:</t>
  </si>
  <si>
    <t>Model Types</t>
  </si>
  <si>
    <t>M1</t>
  </si>
  <si>
    <t>LCA</t>
  </si>
  <si>
    <t>EPD</t>
  </si>
  <si>
    <t>PAPER</t>
  </si>
  <si>
    <t>M# T# S# I# W# E# B#</t>
  </si>
  <si>
    <t>Sheet Model:</t>
  </si>
  <si>
    <t>System Types (Dropdown list)</t>
  </si>
  <si>
    <t>Comments</t>
  </si>
  <si>
    <t>Model Source</t>
  </si>
  <si>
    <t>System Subtype</t>
  </si>
  <si>
    <t>Component Name</t>
  </si>
  <si>
    <t>Product info Available?</t>
  </si>
  <si>
    <t xml:space="preserve"> R value (m^2-K/W)</t>
  </si>
  <si>
    <t>Standalone Use?</t>
  </si>
  <si>
    <t>Yes = completes function alone, No = needs additional pieces</t>
  </si>
  <si>
    <t>Components included</t>
  </si>
  <si>
    <t>Raw A1-A3/Conversion factor</t>
  </si>
  <si>
    <t>Raw GWP Declared Unit</t>
  </si>
  <si>
    <t>Partial</t>
  </si>
  <si>
    <t>Use Types</t>
  </si>
  <si>
    <t>Use Type</t>
  </si>
  <si>
    <t>Structual + Insulation</t>
  </si>
  <si>
    <t>Structural, Insulation, Weatherproofing</t>
  </si>
  <si>
    <t>Unique ID</t>
  </si>
  <si>
    <t>to differentiate between multiple systems of the same type, subtype, and source in the naming convention</t>
  </si>
  <si>
    <t>Horizon</t>
  </si>
  <si>
    <t>Element Volume (m^3)</t>
  </si>
  <si>
    <t>No. of elements in 1 panel</t>
  </si>
  <si>
    <t>Steel Frame</t>
  </si>
  <si>
    <t>Additional Components Needed to Achieve Use</t>
  </si>
  <si>
    <t>A1-A3 Fossil kg CO2e/m^2 wall area</t>
  </si>
  <si>
    <t>Steel Tracks, Noggin</t>
  </si>
  <si>
    <t>Vertical Steel Stud</t>
  </si>
  <si>
    <t>Percent of wall area</t>
  </si>
  <si>
    <t>kg</t>
  </si>
  <si>
    <t>Material Density (kg/m^3)</t>
  </si>
  <si>
    <t>Length (m) (on wall)</t>
  </si>
  <si>
    <t>Stud, Noggin</t>
  </si>
  <si>
    <t>Stud, Tracks</t>
  </si>
  <si>
    <t>A</t>
  </si>
  <si>
    <t>LGS Open Panel  A</t>
  </si>
  <si>
    <t>Wool insulation for inside stud spacing</t>
  </si>
  <si>
    <t>Extra insulation outside panel</t>
  </si>
  <si>
    <t>Breather Paper for moisture</t>
  </si>
  <si>
    <t>Red = unknown/NA/Placeholder; Orange = self calculated; Black = provided (may be converted from other units)</t>
  </si>
  <si>
    <t>Target R Value m2-K/W</t>
  </si>
  <si>
    <t>External Finish Type</t>
  </si>
  <si>
    <t>Open</t>
  </si>
  <si>
    <t>Pre-Insulated</t>
  </si>
  <si>
    <t xml:space="preserve">Closed </t>
  </si>
  <si>
    <t>(panel)</t>
  </si>
  <si>
    <t>Component Source</t>
  </si>
  <si>
    <t>Mortar, Cavity (for thermal calculation)</t>
  </si>
  <si>
    <t>Brick blocks (100 mm)</t>
  </si>
  <si>
    <t>Total Mass per m^2 (kg)</t>
  </si>
  <si>
    <t>Battens</t>
  </si>
  <si>
    <t>Thermal Conductivity W/m-K</t>
  </si>
  <si>
    <t>Kingscourt Clay Brick, Sand-faced clay brick</t>
  </si>
  <si>
    <t>1000 kg of brick</t>
  </si>
  <si>
    <t>Missing Product Info</t>
  </si>
  <si>
    <t>Kingscourt Brick (Total GWP)</t>
  </si>
  <si>
    <t>Using autumn dragface brick product, Bricks are 102.5 mm thick, density of 1970 kg/m^3. So 1 m2 has .1025 m3 and 201.975 kg. multiplying kg co2e per 1000 kg * 201.975 kg/m^2 wall area gets the normalised value</t>
  </si>
  <si>
    <t>1 m2 of brick</t>
  </si>
  <si>
    <t>brick</t>
  </si>
  <si>
    <t>ton</t>
  </si>
  <si>
    <t>Brick, Cavity</t>
  </si>
  <si>
    <t>Mortar Brick</t>
  </si>
  <si>
    <t>Battens/fastening, cavitty</t>
  </si>
  <si>
    <t>battens and plasterboard</t>
  </si>
  <si>
    <t>cavity, plasterboard</t>
  </si>
  <si>
    <r>
      <t xml:space="preserve">battens cavity </t>
    </r>
    <r>
      <rPr>
        <sz val="11"/>
        <color rgb="FFA20000"/>
        <rFont val="Calibri"/>
        <family val="2"/>
        <scheme val="minor"/>
      </rPr>
      <t>(50 mm)</t>
    </r>
  </si>
  <si>
    <t>Gypsum plasterboard</t>
  </si>
  <si>
    <t>cavity for bricks</t>
  </si>
  <si>
    <t>mortar used for brick</t>
  </si>
  <si>
    <t>Clay brick for external finish</t>
  </si>
  <si>
    <t>Bright yellow indicates issue with original calculation</t>
  </si>
  <si>
    <t>Bright yellow indicates potential issue with original calculation</t>
  </si>
  <si>
    <t>Row Labels</t>
  </si>
  <si>
    <t>A_LCA_LGSOpen_Brick</t>
  </si>
  <si>
    <t>Horizon_EPD_LGSOpen_Brick</t>
  </si>
  <si>
    <t>Grand Total</t>
  </si>
  <si>
    <t>Column Labels</t>
  </si>
  <si>
    <t>Sum of A1-A3 Fossil kg CO2e/m^2 wall area</t>
  </si>
  <si>
    <t>Sum of  R value (m^2-K/W)</t>
  </si>
  <si>
    <t>System Description (Short)</t>
  </si>
  <si>
    <t>(All)</t>
  </si>
  <si>
    <t>EPD Based LGS system using Horizon LGS Frame and Kingscourt Brick EPDs filled in with additional materials as necessary</t>
  </si>
  <si>
    <t>System Description (mid length)</t>
  </si>
  <si>
    <t>Direct Calculation Model A for LGS Open Panel with PIR and mineral wool insulation</t>
  </si>
  <si>
    <t>LGS Open Panel A (Brick Finish)</t>
  </si>
  <si>
    <t>Horizon EPD Open Panel (Brick Finish)</t>
  </si>
  <si>
    <t>Modeled Systems</t>
  </si>
  <si>
    <t>SIGMAT</t>
  </si>
  <si>
    <t>SIGMAT EPD Open Panel (Brick Finish)</t>
  </si>
  <si>
    <t>SIGMAT_EPD_LGSOpen_Brick</t>
  </si>
  <si>
    <t>LCA Model A for Open Timber Panel</t>
  </si>
  <si>
    <t>Direct Calculation Model A for Timber Open Panel with PIR and mineral wool insulation and tyvek membrane</t>
  </si>
  <si>
    <t>Sheathing</t>
  </si>
  <si>
    <t>A_LCA_TimberOpen_Brick</t>
  </si>
  <si>
    <t>Direct Calculation Model A for Combining Studs, OSB, membrane, and insulation into one panel for a direct comparison to pre-insulated panel EPDs</t>
  </si>
  <si>
    <t>Pre-insulated panel</t>
  </si>
  <si>
    <t>Wall studs, top &amp; bottom plate, noggin, PIR and mineral wool, tyvek membrane, OSB sheathing</t>
  </si>
  <si>
    <t>Donaldson</t>
  </si>
  <si>
    <t>Donaldson Alpha Open Panel EPD (Brick finish)</t>
  </si>
  <si>
    <t>System built from UK company Donaldson Timber System's Alpha - Open Panel product EPD and filled with assumed values of mineral wool and PIR from materials database. Brick finish is based on Kingscourt brick EPD from Ireland</t>
  </si>
  <si>
    <t>Studs, top and bottom plate, noggin, OSB sheathing etc.</t>
  </si>
  <si>
    <t>Insulation type used, panel dimensions</t>
  </si>
  <si>
    <t>m^2</t>
  </si>
  <si>
    <t>A_LCA_TimberPre-Insulated_Brick</t>
  </si>
  <si>
    <t>Donaldson_EPD_TimberOpen_Brick</t>
  </si>
  <si>
    <t>Donaldson_EPD_TimberPre-Insulated_Brick</t>
  </si>
  <si>
    <t>System built from UK company Donaldson Timber System's Delta - PreInsulated Panel product EPD. Brick finish is based on Kingscourt brick EPD from Ireland</t>
  </si>
  <si>
    <t>Sum of Total Mass per m^2 (kg)</t>
  </si>
  <si>
    <t>R value, Insulation type used, panel dimensions</t>
  </si>
  <si>
    <t>Studs, top and bottom plate, noggin, OSB sheathing, unknown insulation</t>
  </si>
  <si>
    <t>Plastic webs to hold EPS pieces together</t>
  </si>
  <si>
    <t>EPS</t>
  </si>
  <si>
    <t>EPS Pieces</t>
  </si>
  <si>
    <t>web supports</t>
  </si>
  <si>
    <t>none</t>
  </si>
  <si>
    <t>steel reinforcement</t>
  </si>
  <si>
    <t xml:space="preserve">rebar pieces to reinforce concrete </t>
  </si>
  <si>
    <t>concrete</t>
  </si>
  <si>
    <t>ready mix concrete poured into ICF form</t>
  </si>
  <si>
    <t>LCA ICF Model A (Brick Finish)</t>
  </si>
  <si>
    <t>Direct Calculation Model A representing a generic ICF form and associated concrete and steel reinforcement. Brick exterior finish is used</t>
  </si>
  <si>
    <t>Nudura</t>
  </si>
  <si>
    <t>Nudura ICF EPD (Brick Finish)</t>
  </si>
  <si>
    <t>EPS, plastic webs</t>
  </si>
  <si>
    <t>reinforcement</t>
  </si>
  <si>
    <t>Panel</t>
  </si>
  <si>
    <t>m^3</t>
  </si>
  <si>
    <t>Aircrete Standard</t>
  </si>
  <si>
    <t>Exterior cladding panel</t>
  </si>
  <si>
    <t>Panel track</t>
  </si>
  <si>
    <t>Panel track info/impacts, weight</t>
  </si>
  <si>
    <t>A_LCA_ICFFormed Concrete_Brick</t>
  </si>
  <si>
    <t>Nudura_EPD_ICFFormed Concrete_Brick</t>
  </si>
  <si>
    <t>A_LCA_LGSOpen_Composite Fiber</t>
  </si>
  <si>
    <t>LGS Open Panel A (Nichiha Panel Finish)</t>
  </si>
  <si>
    <t>Aircrete Standard Concrete masonry EPD (brick finish)</t>
  </si>
  <si>
    <t>Benchmark traditional aerated concrete block</t>
  </si>
  <si>
    <t>Thermal Concrete block</t>
  </si>
  <si>
    <t>tonne</t>
  </si>
  <si>
    <t>Aircrete Standard_EPD_Concrete BlockTraditional_Brick</t>
  </si>
  <si>
    <t>EPS rigid insulation</t>
  </si>
  <si>
    <t>Concrete mortar</t>
  </si>
  <si>
    <t>System Issues Description</t>
  </si>
  <si>
    <t>Issue</t>
  </si>
  <si>
    <t>Unchecked</t>
  </si>
  <si>
    <t>Component Calculation Completeness</t>
  </si>
  <si>
    <t>Component Calculations Checked?</t>
  </si>
  <si>
    <t>Placeholder</t>
  </si>
  <si>
    <t>thermal resistance based on wall factor may be incorrect</t>
  </si>
  <si>
    <t>Mineral wool dimensions overlap with studs. If mineral wool is being placed inside stud spacing, the mass balance doesn't add up</t>
  </si>
  <si>
    <t>Kingscourt brick does not report fossil GWP, only total GWP</t>
  </si>
  <si>
    <t>insulation from LCA model A. Different dimensions may be used</t>
  </si>
  <si>
    <t>Membrane from model A. Different membrane may be used</t>
  </si>
  <si>
    <t>Final = finalized and checked. Unchecked = no known issues, needs check. Placeholder = using placeholder data. Incomplete = missing required information. Issue = calculation or data problem</t>
  </si>
  <si>
    <t>Incomplete</t>
  </si>
  <si>
    <t>R value and dimensions unknown for open panel</t>
  </si>
  <si>
    <t>R value, insulation type, and dimensions unknown for open panel</t>
  </si>
  <si>
    <t>assuming the same steel reinforcement as Model A</t>
  </si>
  <si>
    <t>Panel mounting track system not included</t>
  </si>
  <si>
    <t>Unsure if 215 mm is proper thickness or if they are using the 100 mm side + other construction pieces</t>
  </si>
  <si>
    <t>Plasterboard may be unnecessary for concrete block walls</t>
  </si>
  <si>
    <t>Exterior cladding might be a second concrete block layer instead of clay brick</t>
  </si>
  <si>
    <t>Column Name</t>
  </si>
  <si>
    <t>Data type</t>
  </si>
  <si>
    <t>Column Use</t>
  </si>
  <si>
    <t>Text</t>
  </si>
  <si>
    <t>Dropdown</t>
  </si>
  <si>
    <t>Formula</t>
  </si>
  <si>
    <t>Importance for Components</t>
  </si>
  <si>
    <t>Required, Valuable, Unnecessary</t>
  </si>
  <si>
    <t>Valuable</t>
  </si>
  <si>
    <t>Unnecessary</t>
  </si>
  <si>
    <t>Required</t>
  </si>
  <si>
    <t>Required if possible</t>
  </si>
  <si>
    <t>description of component and what is included</t>
  </si>
  <si>
    <t>Creates a concatenated name for each system</t>
  </si>
  <si>
    <t>Identifies which calculation method is used</t>
  </si>
  <si>
    <t>Required (at least note which system types can be used for the material/component)</t>
  </si>
  <si>
    <t>Required (at least note which system subtypes can be used for the material/component)</t>
  </si>
  <si>
    <t xml:space="preserve">Type of building system: LGS, Timber, SIP, ICF, etc. </t>
  </si>
  <si>
    <t>Related subtype of system type: open/pre-insulated panel, etc.</t>
  </si>
  <si>
    <t>Type of external finish used</t>
  </si>
  <si>
    <t>Required if system is internal finish</t>
  </si>
  <si>
    <t>A unique text name given to differentiate systems with the same attributes</t>
  </si>
  <si>
    <t xml:space="preserve">short description of the system for </t>
  </si>
  <si>
    <t>longer, more detailed system description for documentation</t>
  </si>
  <si>
    <t>Flag for the completeness and accuracy of a component calculation. Identifies whether calculations have gone through final check, calculation or data issues, or placeholder data</t>
  </si>
  <si>
    <t>Describes issues/notes for flags in the above section</t>
  </si>
  <si>
    <t>Flag for whether the component has gone through a final check</t>
  </si>
  <si>
    <t>Name of the component or material</t>
  </si>
  <si>
    <t>Database source that the master sheet got the component from</t>
  </si>
  <si>
    <t>use for the material or component. Structural, Insulation, Weatherproofing (membrane), Internal and External Finish required. Can support multiple uses in one component.</t>
  </si>
  <si>
    <t>Flag for whether the component can stand alone or requires additional components (such as wall studs needing other pieces to complete the structural frame)</t>
  </si>
  <si>
    <t>if standalone use is flagged as "no", this column explains which additional components must be added to create a complete system.</t>
  </si>
  <si>
    <t>Describes any missing product information</t>
  </si>
  <si>
    <t>Flag for whether the component has all relevant information available. Primarily used for EPDs</t>
  </si>
  <si>
    <t>Required, if W/m-K not given and value is available</t>
  </si>
  <si>
    <t>Thermal Resistance of component as used in the system. Needed to calculate the total system R and U value</t>
  </si>
  <si>
    <t>Normalised A1-A3 GWP in kg CO2e per m2 of wall area. The most important value in the table.</t>
  </si>
  <si>
    <t>Any raw GWP values used to calculate the normalised value if available. For example, kg co2e per kg of material.</t>
  </si>
  <si>
    <t>the unit used in the raw GWP factor</t>
  </si>
  <si>
    <t>Valuable for R value calculation from thermal conductivity if resistance is unknown</t>
  </si>
  <si>
    <t xml:space="preserve">horizontal length that one piece  . Mostly used for wall studs and things like that to calculate </t>
  </si>
  <si>
    <t>percent of the total wall area that the component makes up. Used for calculating R value of partial components in the wall</t>
  </si>
  <si>
    <t>Density of the component/material.</t>
  </si>
  <si>
    <t>Counts number of identical pieces in the component.</t>
  </si>
  <si>
    <t>The volume of the element including wall area and the thickness. This is the volume of one element if there are multiple pieces of the component (i.e. two pieces of EPS insulation for an ICF piece). Used for mass calculation.</t>
  </si>
  <si>
    <t>Required, if m^2-K/W not given and value is available</t>
  </si>
  <si>
    <t>Total mass that the component contributes per m2 of wall area.</t>
  </si>
  <si>
    <t>The thermal conductivity of the material. Density divided by this value gives the R value.</t>
  </si>
  <si>
    <t>Percent</t>
  </si>
  <si>
    <t>Number</t>
  </si>
  <si>
    <t>Structural Panel with EPS insulation and 2 OBS boards</t>
  </si>
  <si>
    <t>Need proper membrane used for SIP</t>
  </si>
  <si>
    <t>SP-170</t>
  </si>
  <si>
    <t>Adam House SP-170 panel (brick finish)</t>
  </si>
  <si>
    <t>170 mm SIP panel from Adam House using EPS and OSB panels. Includes structural and insulation use</t>
  </si>
  <si>
    <t>SP-270</t>
  </si>
  <si>
    <t>270 mm SIP panel from Adam House using EPS and OSB panels. Includes structural and insulation use</t>
  </si>
  <si>
    <t>MgO</t>
  </si>
  <si>
    <t>Adam House SP-270 panel (brick finish)</t>
  </si>
  <si>
    <t>graphite MgO SIP (brick finish)</t>
  </si>
  <si>
    <t>Bricks for external finish</t>
  </si>
  <si>
    <t>SIP made of two 12 mm MgO sheets with 140 graphite powder insulation EPS material sandwiched between them.</t>
  </si>
  <si>
    <t>NZSIP 115</t>
  </si>
  <si>
    <t>USASIP</t>
  </si>
  <si>
    <t>SIP from New Zealand with EPS and OSB board. EPD includes a few different types of wall, roof, and floor panels. This system uses the 115 mm wall panels</t>
  </si>
  <si>
    <t>Thermomur</t>
  </si>
  <si>
    <t>Amvic300</t>
  </si>
  <si>
    <t>Amvic350</t>
  </si>
  <si>
    <t>Thermomur_EPD_ICFFormed Concrete_Brick</t>
  </si>
  <si>
    <t>Amvic300_EPD_ICFFormed Concrete_Brick</t>
  </si>
  <si>
    <t>Amvic350_EPD_ICFFormed Concrete_Brick</t>
  </si>
  <si>
    <t>(Multiple Items)</t>
  </si>
  <si>
    <t>LCA Model A for Closed Timber Panel</t>
  </si>
  <si>
    <t>Wall studs, top &amp; bottom plate, noggin, PIR and mineral wool, tyvek membrane,2x OSB sheathing, battens</t>
  </si>
  <si>
    <t>Need proper value added for battens</t>
  </si>
  <si>
    <t>Donaldson Delta Pre-Insulated Panel EPD (Brick finish)</t>
  </si>
  <si>
    <t>Donaldson Solid</t>
  </si>
  <si>
    <t>System built from UK company Donaldson Timber System's Sigma II Solid Stud Closed Panel product EPD. Brick finish is based on Kingscourt brick EPD from Ireland</t>
  </si>
  <si>
    <t>Two thicknesses available for solid studs. One does not meet U value target (I believe provided numbers include external finish). EPD does not clarify which thickness is used/whether averaging is used</t>
  </si>
  <si>
    <t>Donaldson C Stud</t>
  </si>
  <si>
    <t>Donaldson Sigma II Solid Stud Closed Panel EPD (Brick finish)</t>
  </si>
  <si>
    <t>Donaldson Sigma II C Stud Closed Panel EPD (Brick finish)</t>
  </si>
  <si>
    <t>System built from UK company Donaldson Timber System's Sigma II C Stud Closed Panel product EPD. Brick finish is based on Kingscourt brick EPD from Ireland</t>
  </si>
  <si>
    <t>Two thicknesses available for C studs. One does not meet U value target (I believe provided numbers include external finish). EPD does not clarify which thickness is used/whether averaging is used</t>
  </si>
  <si>
    <t>SP-170_EPD_SIPClosed _Brick</t>
  </si>
  <si>
    <t>SP-270_EPD_SIPClosed _Brick</t>
  </si>
  <si>
    <t>MgO_EPD_SIPClosed _Brick</t>
  </si>
  <si>
    <t>NZSIP 115_EPD_SIPClosed _Brick</t>
  </si>
  <si>
    <t>USASIP_EPD_SIPClosed _Brick</t>
  </si>
  <si>
    <t>A_LCA_TimberClosed _Brick</t>
  </si>
  <si>
    <t>Donaldson Solid_EPD_TimberClosed _Brick</t>
  </si>
  <si>
    <t>Donaldson C Stud_EPD_TimberClosed _Brick</t>
  </si>
  <si>
    <t>Complete System</t>
  </si>
  <si>
    <t>SkadoMedis</t>
  </si>
  <si>
    <t>SkadoMedis Prefab Timber Element (built in timber cladding)</t>
  </si>
  <si>
    <t>This system uses the prefabricated timber element EPD from manfuacturer UAB Skado Medis. The panel includes structural, insulation, weatherproofing, internal and external finish and is defined as a complete system</t>
  </si>
  <si>
    <t>External timber cladding (spruce)
• Paint and primer (water and acrylate-based topcoat)
• Battening (softwood)
• Windproof membranes (HDPE)
• Gypsum boards
• Studs (structural graded timber)
• Mineral wool
• Water vapor control layers (PE)
• Particleboard
• Fastening materials (nails, screws, tapes, nets, and mesh)</t>
  </si>
  <si>
    <t>SkadoMedis_EPD_TimberClosed _Timber</t>
  </si>
  <si>
    <t>New Zealand 115mm SIP (Brick Finish)</t>
  </si>
  <si>
    <t>US SIP Average (Brick Finish)</t>
  </si>
  <si>
    <t>Thermomur ICF Average (Brick Finish)</t>
  </si>
  <si>
    <t>Amvic ICF 300 mm version (Brick Finish)</t>
  </si>
  <si>
    <t>Amvic ICF 350 mm version (Brick Finish)</t>
  </si>
  <si>
    <t>Aircrete High Ten</t>
  </si>
  <si>
    <t>Aircrete Seven</t>
  </si>
  <si>
    <t>Aircrete Super</t>
  </si>
  <si>
    <t>Aircrete High Ten_EPD_Concrete BlockTraditional_Brick</t>
  </si>
  <si>
    <t>Aircrete Seven_EPD_Concrete BlockTraditional_Brick</t>
  </si>
  <si>
    <t>Aircrete Super_EPD_Concrete BlockTraditional_Brick</t>
  </si>
  <si>
    <t>1m3 of Concrete Shaped in Solid Block Product</t>
  </si>
  <si>
    <t>Belgard Concrete Solid Block</t>
  </si>
  <si>
    <t>Aircrete High Ten  Concrete masonry EPD (brick finish)</t>
  </si>
  <si>
    <t>Aircrete Seven Concrete masonry EPD (brick finish)</t>
  </si>
  <si>
    <t>Aircrete Super Concrete masonry EPD (brick finish)</t>
  </si>
  <si>
    <t>Roadstone Solid</t>
  </si>
  <si>
    <t>Roadstone Solid_EPD_Concrete BlockTraditional_Brick</t>
  </si>
  <si>
    <t>Mannok website mentioned EPS so used 50 mm of EPS to reach proper R value. Unsure if this is accurate to Mannok's system</t>
  </si>
  <si>
    <t>Mannok website mentioned EPS so used 75 mm of EPS to reach proper R value. Unsure if this is accurate to Mannok's system</t>
  </si>
  <si>
    <t>Tiger Mortar General Masonry</t>
  </si>
  <si>
    <t>mortar mix for general brick and block masonry</t>
  </si>
  <si>
    <t>Thailand</t>
  </si>
  <si>
    <t>SCG Cement</t>
  </si>
  <si>
    <t xml:space="preserve">https://api.environdec.com/api/v1/EPDLibrary/Files/8e44b6f4-38fa-4ea2-fd09-08dcecf14061/Data </t>
  </si>
  <si>
    <t>GCCA EPD Tool v.4.2</t>
  </si>
  <si>
    <t>1 tonne of mortar</t>
  </si>
  <si>
    <t>unknown NA</t>
  </si>
  <si>
    <t>Density missing, this is a placeholder and doing a back of envelope for density and volume to normalise. Mortar needs to be updated</t>
  </si>
  <si>
    <t>1 tonne of masonry</t>
  </si>
  <si>
    <t>Placeholder calculation here. Using 0.031 tonnes per m2 as an estimate.</t>
  </si>
  <si>
    <t>normalisation for this mortar EPD is estimated. Need the density of the mortar and the volume of the mortar in the wall</t>
  </si>
  <si>
    <t>Density of the mortar</t>
  </si>
  <si>
    <t>unsure which specific fasteners are used</t>
  </si>
  <si>
    <t>General fastener placeholder</t>
  </si>
  <si>
    <t>Fixings</t>
  </si>
  <si>
    <t>Screws, Nails, Fasteners</t>
  </si>
  <si>
    <t>Which fasteners are needed</t>
  </si>
  <si>
    <t>Base EPD</t>
  </si>
  <si>
    <t>Additional EPD</t>
  </si>
  <si>
    <t>ICE Database</t>
  </si>
  <si>
    <t>Other Assumption</t>
  </si>
  <si>
    <t>Component Data Source</t>
  </si>
  <si>
    <t>(blank)</t>
  </si>
  <si>
    <t>Structure Type</t>
  </si>
  <si>
    <t>Planar</t>
  </si>
  <si>
    <t>Framed</t>
  </si>
  <si>
    <t>Construction Type (Framed or Planar)</t>
  </si>
  <si>
    <t>Concrete Block EPD System</t>
  </si>
  <si>
    <t>Roadstone solid concrete blocks (not thermal) system with brick finish.</t>
  </si>
  <si>
    <t>A_LCA_ICFFormed Concrete</t>
  </si>
  <si>
    <t>Aircrete High Ten_EPD_Concrete BlockTraditional</t>
  </si>
  <si>
    <t>Aircrete Seven_EPD_Concrete BlockTraditional</t>
  </si>
  <si>
    <t>Aircrete Standard_EPD_Concrete BlockTraditional</t>
  </si>
  <si>
    <t>Aircrete Super_EPD_Concrete BlockTraditional</t>
  </si>
  <si>
    <t>Amvic300_EPD_ICFFormed Concrete</t>
  </si>
  <si>
    <t>Amvic350_EPD_ICFFormed Concrete</t>
  </si>
  <si>
    <t xml:space="preserve">Donaldson C Stud_EPD_TimberClosed </t>
  </si>
  <si>
    <t xml:space="preserve">Donaldson Solid_EPD_TimberClosed </t>
  </si>
  <si>
    <t>Donaldson_EPD_TimberOpen</t>
  </si>
  <si>
    <t>Donaldson_EPD_TimberPre-Insulated</t>
  </si>
  <si>
    <t>Horizon_EPD_LGSOpen</t>
  </si>
  <si>
    <t xml:space="preserve">MgO_EPD_SIPClosed </t>
  </si>
  <si>
    <t>Nudura_EPD_ICFFormed Concrete</t>
  </si>
  <si>
    <t xml:space="preserve">NZSIP 115_EPD_SIPClosed </t>
  </si>
  <si>
    <t>Roadstone Solid_EPD_Concrete BlockTraditional</t>
  </si>
  <si>
    <t>SIGMAT_EPD_LGSOpen</t>
  </si>
  <si>
    <t xml:space="preserve">SkadoMedis_EPD_TimberClosed </t>
  </si>
  <si>
    <t xml:space="preserve">SP-170_EPD_SIPClosed </t>
  </si>
  <si>
    <t xml:space="preserve">SP-270_EPD_SIPClosed </t>
  </si>
  <si>
    <t>Thermomur_EPD_ICFFormed Concrete</t>
  </si>
  <si>
    <t xml:space="preserve">USASIP_EPD_SIPClosed </t>
  </si>
  <si>
    <t>Sum of U-Value</t>
  </si>
  <si>
    <t>Solid Brick</t>
  </si>
  <si>
    <t>Hollow Brick</t>
  </si>
  <si>
    <t>EPD_Composite Fiber</t>
  </si>
  <si>
    <t>EPD_Solid Brick</t>
  </si>
  <si>
    <t>LCA_Solid Brick</t>
  </si>
  <si>
    <t>Gypsum Plasterboard</t>
  </si>
  <si>
    <t>Base System</t>
  </si>
  <si>
    <t>System Name (Short)</t>
  </si>
  <si>
    <t>Base GWP</t>
  </si>
  <si>
    <t>Base R Value</t>
  </si>
  <si>
    <t>Base Mass</t>
  </si>
  <si>
    <t>Ext Finish</t>
  </si>
  <si>
    <t>Ext Finish Name (Short)</t>
  </si>
  <si>
    <t>Int Finish</t>
  </si>
  <si>
    <t>Int Finish Name (Short)</t>
  </si>
  <si>
    <t>Complete System Name (Concatenated)</t>
  </si>
  <si>
    <t>Total GWP</t>
  </si>
  <si>
    <t>Total R value</t>
  </si>
  <si>
    <t>Total U Value</t>
  </si>
  <si>
    <t>Total Mass</t>
  </si>
  <si>
    <t>Internal Finish Type</t>
  </si>
  <si>
    <t>MMC Method</t>
  </si>
  <si>
    <t>Method  Subtype</t>
  </si>
  <si>
    <t>Structural Type</t>
  </si>
  <si>
    <t>LCASolBrick</t>
  </si>
  <si>
    <t>Ext Finish GWP</t>
  </si>
  <si>
    <t>Ext Finish R Value</t>
  </si>
  <si>
    <t>Ext Finish Mass</t>
  </si>
  <si>
    <t>Sum of Base GWP</t>
  </si>
  <si>
    <t>Sum of Ext Finish GWP</t>
  </si>
  <si>
    <t>Int Finish GWP</t>
  </si>
  <si>
    <t>Int Finish R Value</t>
  </si>
  <si>
    <t>Int Finish Mass</t>
  </si>
  <si>
    <t>Sum of Int Finish GWP</t>
  </si>
  <si>
    <t xml:space="preserve">System Description </t>
  </si>
  <si>
    <t>GPlas</t>
  </si>
  <si>
    <t>EPDSolBrick</t>
  </si>
  <si>
    <t>1LCALGSOP</t>
  </si>
  <si>
    <t>1LCAICF</t>
  </si>
  <si>
    <t>NudEPDICF</t>
  </si>
  <si>
    <t>SP-170EPDSIP</t>
  </si>
  <si>
    <t>SP-270EPDSIP</t>
  </si>
  <si>
    <t>MgOEPDSIP</t>
  </si>
  <si>
    <t>NZEPDSIP</t>
  </si>
  <si>
    <t>USEPDSIP</t>
  </si>
  <si>
    <t>thermEPDICF</t>
  </si>
  <si>
    <t>Amv300EPDICF</t>
  </si>
  <si>
    <t>Amv350EPDICF</t>
  </si>
  <si>
    <t>1LCATimCL</t>
  </si>
  <si>
    <t>HorEPDLGSOP</t>
  </si>
  <si>
    <t>1LCATimOP</t>
  </si>
  <si>
    <t>DonEPDTimOP</t>
  </si>
  <si>
    <t>AirStandEPDCBlk</t>
  </si>
  <si>
    <t>DonSolEPDTimCL</t>
  </si>
  <si>
    <t>DonCsEPDTimCL</t>
  </si>
  <si>
    <t>DonEPDTimIN</t>
  </si>
  <si>
    <t>1LCATimIN</t>
  </si>
  <si>
    <t>SkadoEPDTimFULL</t>
  </si>
  <si>
    <t>AirHTenEPDCBlk</t>
  </si>
  <si>
    <t>ArSevenEPDCBlk</t>
  </si>
  <si>
    <t>RoadstoneEPDCBlk</t>
  </si>
  <si>
    <t>AirSuperEPDCBlk</t>
  </si>
  <si>
    <t>EPDComFiber</t>
  </si>
  <si>
    <t>1_LCA_LGSOpen</t>
  </si>
  <si>
    <t>1_LCA_TimberOpen</t>
  </si>
  <si>
    <t>1_LCA_TimberPre-Insulated</t>
  </si>
  <si>
    <t xml:space="preserve">1_LCA_TimberClosed </t>
  </si>
  <si>
    <t>thermEPDICF_LCASolBrick_GPlas</t>
  </si>
  <si>
    <t>1LCALGSOP_LCASolBrick_GPlas</t>
  </si>
  <si>
    <t>1LCAICF_LCASolBrick_GPlas</t>
  </si>
  <si>
    <t>AirHTenEPDCBlk_LCASolBrick_GPlas</t>
  </si>
  <si>
    <t>ArSevenEPDCBlk_LCASolBrick_GPlas</t>
  </si>
  <si>
    <t>AirStandEPDCBlk_LCASolBrick_GPlas</t>
  </si>
  <si>
    <t>AirSuperEPDCBlk_LCASolBrick_GPlas</t>
  </si>
  <si>
    <t>Amv300EPDICF_LCASolBrick_GPlas</t>
  </si>
  <si>
    <t>Amv350EPDICF_LCASolBrick_GPlas</t>
  </si>
  <si>
    <t>DonCsEPDTimCL_LCASolBrick_GPlas</t>
  </si>
  <si>
    <t>DonSolEPDTimCL_LCASolBrick_GPlas</t>
  </si>
  <si>
    <t>DonEPDTimOP_LCASolBrick_GPlas</t>
  </si>
  <si>
    <t>DonEPDTimIN_LCASolBrick_GPlas</t>
  </si>
  <si>
    <t>HorEPDLGSOP_LCASolBrick_GPlas</t>
  </si>
  <si>
    <t>MgOEPDSIP_LCASolBrick_GPlas</t>
  </si>
  <si>
    <t>NudEPDICF_LCASolBrick_GPlas</t>
  </si>
  <si>
    <t>NZEPDSIP_LCASolBrick_GPlas</t>
  </si>
  <si>
    <t>RoadstoneEPDCBlk_LCASolBrick_GPlas</t>
  </si>
  <si>
    <t>SkadoEPDTimFULL_LCASolBrick_GPlas</t>
  </si>
  <si>
    <t>SP-170EPDSIP_LCASolBrick_GPlas</t>
  </si>
  <si>
    <t>SP-270EPDSIP_LCASolBrick_GPlas</t>
  </si>
  <si>
    <t>USEPDSIP_LCASolBrick_GPlas</t>
  </si>
  <si>
    <t>1LCATimOP_LCASolBrick_GPlas</t>
  </si>
  <si>
    <t>1LCATimIN_LCASolBrick_GPlas</t>
  </si>
  <si>
    <t>1LCATimCL_LCASolBrick_GPlas</t>
  </si>
  <si>
    <t>thermEPDICF_EPDSolBrick_GPlas</t>
  </si>
  <si>
    <t>1LCALGSOP_EPDSolBrick_GPlas</t>
  </si>
  <si>
    <t>1LCAICF_EPDSolBrick_GPlas</t>
  </si>
  <si>
    <t>AirHTenEPDCBlk_EPDSolBrick_GPlas</t>
  </si>
  <si>
    <t>ArSevenEPDCBlk_EPDSolBrick_GPlas</t>
  </si>
  <si>
    <t>AirStandEPDCBlk_EPDSolBrick_GPlas</t>
  </si>
  <si>
    <t>AirSuperEPDCBlk_EPDSolBrick_GPlas</t>
  </si>
  <si>
    <t>Amv300EPDICF_EPDSolBrick_GPlas</t>
  </si>
  <si>
    <t>Amv350EPDICF_EPDSolBrick_GPlas</t>
  </si>
  <si>
    <t>DonCsEPDTimCL_EPDSolBrick_GPlas</t>
  </si>
  <si>
    <t>DonSolEPDTimCL_EPDSolBrick_GPlas</t>
  </si>
  <si>
    <t>DonEPDTimOP_EPDSolBrick_GPlas</t>
  </si>
  <si>
    <t>DonEPDTimIN_EPDSolBrick_GPlas</t>
  </si>
  <si>
    <t>HorEPDLGSOP_EPDSolBrick_GPlas</t>
  </si>
  <si>
    <t>MgOEPDSIP_EPDSolBrick_GPlas</t>
  </si>
  <si>
    <t>NudEPDICF_EPDSolBrick_GPlas</t>
  </si>
  <si>
    <t>NZEPDSIP_EPDSolBrick_GPlas</t>
  </si>
  <si>
    <t>RoadstoneEPDCBlk_EPDSolBrick_GPlas</t>
  </si>
  <si>
    <t>SkadoEPDTimFULL_EPDSolBrick_GPlas</t>
  </si>
  <si>
    <t>SP-170EPDSIP_EPDSolBrick_GPlas</t>
  </si>
  <si>
    <t>SP-270EPDSIP_EPDSolBrick_GPlas</t>
  </si>
  <si>
    <t>USEPDSIP_EPDSolBrick_GPlas</t>
  </si>
  <si>
    <t>1LCATimOP_EPDSolBrick_GPlas</t>
  </si>
  <si>
    <t>1LCATimIN_EPDSolBrick_GPlas</t>
  </si>
  <si>
    <t>1LCATimCL_EPDSolBrick_GPlas</t>
  </si>
  <si>
    <t>thermEPDICF_EPDComFiber_GPlas</t>
  </si>
  <si>
    <t>1LCALGSOP_EPDComFiber_GPlas</t>
  </si>
  <si>
    <t>1LCAICF_EPDComFiber_GPlas</t>
  </si>
  <si>
    <t>AirHTenEPDCBlk_EPDComFiber_GPlas</t>
  </si>
  <si>
    <t>ArSevenEPDCBlk_EPDComFiber_GPlas</t>
  </si>
  <si>
    <t>AirStandEPDCBlk_EPDComFiber_GPlas</t>
  </si>
  <si>
    <t>AirSuperEPDCBlk_EPDComFiber_GPlas</t>
  </si>
  <si>
    <t>Amv300EPDICF_EPDComFiber_GPlas</t>
  </si>
  <si>
    <t>Amv350EPDICF_EPDComFiber_GPlas</t>
  </si>
  <si>
    <t>DonCsEPDTimCL_EPDComFiber_GPlas</t>
  </si>
  <si>
    <t>DonSolEPDTimCL_EPDComFiber_GPlas</t>
  </si>
  <si>
    <t>DonEPDTimOP_EPDComFiber_GPlas</t>
  </si>
  <si>
    <t>DonEPDTimIN_EPDComFiber_GPlas</t>
  </si>
  <si>
    <t>HorEPDLGSOP_EPDComFiber_GPlas</t>
  </si>
  <si>
    <t>MgOEPDSIP_EPDComFiber_GPlas</t>
  </si>
  <si>
    <t>NudEPDICF_EPDComFiber_GPlas</t>
  </si>
  <si>
    <t>NZEPDSIP_EPDComFiber_GPlas</t>
  </si>
  <si>
    <t>RoadstoneEPDCBlk_EPDComFiber_GPlas</t>
  </si>
  <si>
    <t>SkadoEPDTimFULL_EPDComFiber_GPlas</t>
  </si>
  <si>
    <t>SP-170EPDSIP_EPDComFiber_GPlas</t>
  </si>
  <si>
    <t>SP-270EPDSIP_EPDComFiber_GPlas</t>
  </si>
  <si>
    <t>USEPDSIP_EPDComFiber_GPlas</t>
  </si>
  <si>
    <t>1LCATimOP_EPDComFiber_GPlas</t>
  </si>
  <si>
    <t>1LCATimIN_EPDComFiber_GPlas</t>
  </si>
  <si>
    <t>1LCATimCL_EPDComFiber_GPlas</t>
  </si>
  <si>
    <t>Compatible Systems</t>
  </si>
  <si>
    <t>LGS, Timber, ICF, SIP, Concrete Block</t>
  </si>
  <si>
    <t>Compatibility Flag</t>
  </si>
  <si>
    <t>YES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</si>
</sst>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000"/>
    <numFmt numFmtId="165" formatCode="0.00000"/>
    <numFmt numFmtId="166" formatCode="0.000"/>
  </numFmts>
  <fonts count="25" x14ac:knownFonts="1">
    <font>
      <sz val="11"/>
      <color theme="1"/>
      <name val="Calibri"/>
      <family val="2"/>
      <scheme val="minor"/>
    </font>
    <font>
      <sz val="11"/>
      <color theme="1"/>
      <name val="Calibri"/>
      <family val="2"/>
      <scheme val="minor"/>
    </font>
    <font>
      <b/>
      <sz val="11"/>
      <color theme="1"/>
      <name val="Calibri"/>
      <family val="2"/>
      <scheme val="minor"/>
    </font>
    <font>
      <b/>
      <sz val="10"/>
      <color theme="1"/>
      <name val="Arial"/>
      <family val="2"/>
    </font>
    <font>
      <sz val="10"/>
      <color theme="1"/>
      <name val="Arial"/>
      <family val="2"/>
    </font>
    <font>
      <u/>
      <sz val="11"/>
      <color theme="10"/>
      <name val="Calibri"/>
      <family val="2"/>
      <scheme val="minor"/>
    </font>
    <font>
      <b/>
      <sz val="16"/>
      <color theme="0"/>
      <name val="Calibri"/>
      <family val="2"/>
      <scheme val="minor"/>
    </font>
    <font>
      <sz val="8"/>
      <name val="Calibri"/>
      <family val="2"/>
      <scheme val="minor"/>
    </font>
    <font>
      <sz val="18"/>
      <color theme="1"/>
      <name val="Calibri"/>
      <family val="2"/>
      <scheme val="minor"/>
    </font>
    <font>
      <u/>
      <sz val="18"/>
      <color theme="4" tint="-0.249977111117893"/>
      <name val="Calibri"/>
      <family val="2"/>
      <scheme val="minor"/>
    </font>
    <font>
      <b/>
      <sz val="11"/>
      <color rgb="FFFF0000"/>
      <name val="Calibri"/>
      <family val="2"/>
      <scheme val="minor"/>
    </font>
    <font>
      <b/>
      <u/>
      <sz val="10"/>
      <color theme="1"/>
      <name val="Arial"/>
      <family val="2"/>
    </font>
    <font>
      <b/>
      <u/>
      <sz val="11"/>
      <color theme="1"/>
      <name val="Calibri"/>
      <family val="2"/>
      <scheme val="minor"/>
    </font>
    <font>
      <sz val="10"/>
      <color rgb="FFFF0000"/>
      <name val="Arial"/>
      <family val="2"/>
    </font>
    <font>
      <sz val="11"/>
      <color rgb="FFFF0000"/>
      <name val="Calibri"/>
      <family val="2"/>
      <scheme val="minor"/>
    </font>
    <font>
      <sz val="9"/>
      <color indexed="81"/>
      <name val="Tahoma"/>
      <family val="2"/>
    </font>
    <font>
      <b/>
      <sz val="9"/>
      <color indexed="81"/>
      <name val="Tahoma"/>
      <family val="2"/>
    </font>
    <font>
      <sz val="11"/>
      <color rgb="FFA20000"/>
      <name val="Calibri"/>
      <family val="2"/>
      <scheme val="minor"/>
    </font>
    <font>
      <b/>
      <u/>
      <sz val="11"/>
      <color rgb="FFA20000"/>
      <name val="Calibri"/>
      <family val="2"/>
      <scheme val="minor"/>
    </font>
    <font>
      <u/>
      <sz val="11"/>
      <color theme="1"/>
      <name val="Calibri"/>
      <family val="2"/>
      <scheme val="minor"/>
    </font>
    <font>
      <sz val="11"/>
      <name val="Calibri"/>
      <family val="2"/>
      <scheme val="minor"/>
    </font>
    <font>
      <sz val="11"/>
      <color rgb="FFC00000"/>
      <name val="Calibri"/>
      <family val="2"/>
      <scheme val="minor"/>
    </font>
    <font>
      <b/>
      <u/>
      <sz val="11"/>
      <color rgb="FFC00000"/>
      <name val="Calibri"/>
      <family val="2"/>
      <scheme val="minor"/>
    </font>
    <font>
      <b/>
      <u/>
      <sz val="11"/>
      <color rgb="FFFF0000"/>
      <name val="Calibri"/>
      <family val="2"/>
      <scheme val="minor"/>
    </font>
    <font>
      <u/>
      <sz val="11"/>
      <color rgb="FFC00000"/>
      <name val="Calibri"/>
      <family val="2"/>
      <scheme val="minor"/>
    </font>
  </fonts>
  <fills count="23">
    <fill>
      <patternFill patternType="none"/>
    </fill>
    <fill>
      <patternFill patternType="gray125"/>
    </fill>
    <fill>
      <patternFill patternType="solid">
        <fgColor rgb="FFFFFFCC"/>
      </patternFill>
    </fill>
    <fill>
      <patternFill patternType="solid">
        <fgColor theme="8" tint="0.79998168889431442"/>
        <bgColor indexed="64"/>
      </patternFill>
    </fill>
    <fill>
      <patternFill patternType="solid">
        <fgColor theme="0"/>
        <bgColor indexed="64"/>
      </patternFill>
    </fill>
    <fill>
      <patternFill patternType="solid">
        <fgColor theme="0"/>
        <bgColor theme="8" tint="0.59999389629810485"/>
      </patternFill>
    </fill>
    <fill>
      <patternFill patternType="solid">
        <fgColor theme="0" tint="-0.14999847407452621"/>
        <bgColor theme="8" tint="0.79998168889431442"/>
      </patternFill>
    </fill>
    <fill>
      <patternFill patternType="solid">
        <fgColor theme="1" tint="0.249977111117893"/>
        <bgColor theme="9"/>
      </patternFill>
    </fill>
    <fill>
      <patternFill patternType="solid">
        <fgColor theme="0" tint="-0.14999847407452621"/>
        <bgColor indexed="64"/>
      </patternFill>
    </fill>
    <fill>
      <patternFill patternType="solid">
        <fgColor theme="0"/>
        <bgColor theme="4" tint="0.59999389629810485"/>
      </patternFill>
    </fill>
    <fill>
      <patternFill patternType="solid">
        <fgColor theme="1" tint="0.249977111117893"/>
        <bgColor theme="5"/>
      </patternFill>
    </fill>
    <fill>
      <patternFill patternType="solid">
        <fgColor theme="7" tint="0.39997558519241921"/>
        <bgColor indexed="64"/>
      </patternFill>
    </fill>
    <fill>
      <patternFill patternType="solid">
        <fgColor theme="1"/>
        <bgColor indexed="64"/>
      </patternFill>
    </fill>
    <fill>
      <patternFill patternType="solid">
        <fgColor theme="1" tint="0.249977111117893"/>
        <bgColor indexed="64"/>
      </patternFill>
    </fill>
    <fill>
      <patternFill patternType="solid">
        <fgColor rgb="FF00B050"/>
        <bgColor indexed="64"/>
      </patternFill>
    </fill>
    <fill>
      <patternFill patternType="solid">
        <fgColor theme="2" tint="-9.9978637043366805E-2"/>
        <bgColor indexed="64"/>
      </patternFill>
    </fill>
    <fill>
      <patternFill patternType="solid">
        <fgColor theme="0"/>
        <bgColor theme="9"/>
      </patternFill>
    </fill>
    <fill>
      <patternFill patternType="solid">
        <fgColor theme="0"/>
        <bgColor theme="4" tint="0.79998168889431442"/>
      </patternFill>
    </fill>
    <fill>
      <patternFill patternType="solid">
        <fgColor rgb="FFFFFF00"/>
        <bgColor indexed="64"/>
      </patternFill>
    </fill>
    <fill>
      <patternFill patternType="solid">
        <fgColor theme="7"/>
        <bgColor indexed="64"/>
      </patternFill>
    </fill>
    <fill>
      <patternFill patternType="solid">
        <fgColor theme="7" tint="0.79998168889431442"/>
        <bgColor indexed="65"/>
      </patternFill>
    </fill>
    <fill>
      <patternFill patternType="solid">
        <fgColor theme="7" tint="0.79998168889431442"/>
        <bgColor indexed="64"/>
      </patternFill>
    </fill>
    <fill>
      <patternFill patternType="solid">
        <fgColor theme="7" tint="0.79998168889431442"/>
        <bgColor theme="4" tint="0.59999389629810485"/>
      </patternFill>
    </fill>
  </fills>
  <borders count="16">
    <border>
      <left/>
      <right/>
      <top/>
      <bottom/>
      <diagonal/>
    </border>
    <border>
      <left style="thin">
        <color rgb="FFB2B2B2"/>
      </left>
      <right style="thin">
        <color rgb="FFB2B2B2"/>
      </right>
      <top style="thin">
        <color rgb="FFB2B2B2"/>
      </top>
      <bottom style="thin">
        <color rgb="FFB2B2B2"/>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style="thin">
        <color indexed="64"/>
      </right>
      <top/>
      <bottom/>
      <diagonal/>
    </border>
    <border>
      <left/>
      <right style="thin">
        <color rgb="FFB2B2B2"/>
      </right>
      <top/>
      <bottom/>
      <diagonal/>
    </border>
  </borders>
  <cellStyleXfs count="4">
    <xf numFmtId="0" fontId="0" fillId="0" borderId="0"/>
    <xf numFmtId="9" fontId="1" fillId="0" borderId="0" applyFont="0" applyFill="0" applyBorder="0" applyAlignment="0" applyProtection="0"/>
    <xf numFmtId="0" fontId="1" fillId="2" borderId="1" applyNumberFormat="0" applyFont="0" applyAlignment="0" applyProtection="0"/>
    <xf numFmtId="0" fontId="5" fillId="0" borderId="0" applyNumberFormat="0" applyFill="0" applyBorder="0" applyAlignment="0" applyProtection="0"/>
  </cellStyleXfs>
  <cellXfs count="181">
    <xf numFmtId="0" fontId="0" fillId="0" borderId="0" xfId="0"/>
    <xf numFmtId="0" fontId="8" fillId="5" borderId="4" xfId="0" applyFont="1" applyFill="1" applyBorder="1" applyAlignment="1">
      <alignment horizontal="center" vertical="center"/>
    </xf>
    <xf numFmtId="0" fontId="9" fillId="5" borderId="4" xfId="0" applyFont="1" applyFill="1" applyBorder="1" applyAlignment="1">
      <alignment horizontal="center" vertical="center" wrapText="1"/>
    </xf>
    <xf numFmtId="0" fontId="0" fillId="5" borderId="4" xfId="0" applyFill="1" applyBorder="1" applyAlignment="1">
      <alignment wrapText="1"/>
    </xf>
    <xf numFmtId="0" fontId="8" fillId="6" borderId="4" xfId="0" applyFont="1" applyFill="1" applyBorder="1" applyAlignment="1">
      <alignment horizontal="center" vertical="center"/>
    </xf>
    <xf numFmtId="0" fontId="9" fillId="6" borderId="4" xfId="0" applyFont="1" applyFill="1" applyBorder="1" applyAlignment="1">
      <alignment horizontal="center" vertical="center" wrapText="1"/>
    </xf>
    <xf numFmtId="0" fontId="0" fillId="6" borderId="4" xfId="0" applyFill="1" applyBorder="1" applyAlignment="1">
      <alignment wrapText="1"/>
    </xf>
    <xf numFmtId="0" fontId="6" fillId="7" borderId="4" xfId="0" applyFont="1" applyFill="1" applyBorder="1" applyAlignment="1">
      <alignment horizontal="center" vertical="center" wrapText="1"/>
    </xf>
    <xf numFmtId="0" fontId="5" fillId="8" borderId="4" xfId="3" applyFill="1" applyBorder="1" applyAlignment="1"/>
    <xf numFmtId="0" fontId="5" fillId="0" borderId="4" xfId="3" applyBorder="1" applyAlignment="1"/>
    <xf numFmtId="0" fontId="6" fillId="10" borderId="0" xfId="0" applyFont="1" applyFill="1" applyAlignment="1">
      <alignment horizontal="center" vertical="center"/>
    </xf>
    <xf numFmtId="0" fontId="0" fillId="0" borderId="0" xfId="0" applyAlignment="1">
      <alignment wrapText="1"/>
    </xf>
    <xf numFmtId="11" fontId="0" fillId="0" borderId="0" xfId="0" applyNumberFormat="1"/>
    <xf numFmtId="0" fontId="0" fillId="4" borderId="0" xfId="0" applyFill="1"/>
    <xf numFmtId="0" fontId="0" fillId="0" borderId="0" xfId="0" applyAlignment="1">
      <alignment horizontal="center"/>
    </xf>
    <xf numFmtId="0" fontId="0" fillId="0" borderId="4" xfId="0" applyBorder="1"/>
    <xf numFmtId="0" fontId="6" fillId="10" borderId="0" xfId="0" applyFont="1" applyFill="1" applyAlignment="1">
      <alignment horizontal="center" vertical="center" wrapText="1"/>
    </xf>
    <xf numFmtId="0" fontId="0" fillId="9" borderId="4" xfId="0" applyFill="1" applyBorder="1"/>
    <xf numFmtId="0" fontId="0" fillId="9" borderId="4" xfId="0" applyFill="1" applyBorder="1" applyAlignment="1">
      <alignment wrapText="1"/>
    </xf>
    <xf numFmtId="11" fontId="0" fillId="9" borderId="4" xfId="0" applyNumberFormat="1" applyFill="1" applyBorder="1"/>
    <xf numFmtId="0" fontId="6" fillId="10" borderId="4" xfId="0" applyFont="1" applyFill="1" applyBorder="1" applyAlignment="1">
      <alignment horizontal="center" vertical="center"/>
    </xf>
    <xf numFmtId="0" fontId="6" fillId="10" borderId="4" xfId="0" applyFont="1" applyFill="1" applyBorder="1" applyAlignment="1">
      <alignment horizontal="center" vertical="center" wrapText="1"/>
    </xf>
    <xf numFmtId="11" fontId="10" fillId="4" borderId="4" xfId="0" applyNumberFormat="1" applyFont="1" applyFill="1" applyBorder="1"/>
    <xf numFmtId="11" fontId="0" fillId="4" borderId="4" xfId="0" applyNumberFormat="1" applyFill="1" applyBorder="1"/>
    <xf numFmtId="0" fontId="12" fillId="0" borderId="0" xfId="0" applyFont="1" applyAlignment="1">
      <alignment horizontal="center" vertical="center"/>
    </xf>
    <xf numFmtId="0" fontId="2" fillId="0" borderId="4" xfId="0" applyFont="1" applyBorder="1" applyAlignment="1">
      <alignment horizontal="center" vertical="center"/>
    </xf>
    <xf numFmtId="11" fontId="4" fillId="11" borderId="1" xfId="2" applyNumberFormat="1" applyFont="1" applyFill="1" applyAlignment="1">
      <alignment horizontal="center" vertical="center"/>
    </xf>
    <xf numFmtId="11" fontId="4" fillId="2" borderId="1" xfId="2" applyNumberFormat="1" applyFont="1" applyAlignment="1">
      <alignment horizontal="center" vertical="center"/>
    </xf>
    <xf numFmtId="0" fontId="0" fillId="12" borderId="0" xfId="0" applyFill="1"/>
    <xf numFmtId="11" fontId="0" fillId="12" borderId="0" xfId="0" applyNumberFormat="1" applyFill="1"/>
    <xf numFmtId="0" fontId="4" fillId="0" borderId="4" xfId="0" applyFont="1" applyBorder="1" applyAlignment="1">
      <alignment wrapText="1"/>
    </xf>
    <xf numFmtId="0" fontId="4" fillId="2" borderId="4" xfId="2" applyFont="1" applyBorder="1" applyAlignment="1">
      <alignment horizontal="center" vertical="center"/>
    </xf>
    <xf numFmtId="0" fontId="4" fillId="3" borderId="4" xfId="2" applyFont="1" applyFill="1" applyBorder="1" applyAlignment="1">
      <alignment horizontal="center" vertical="center"/>
    </xf>
    <xf numFmtId="0" fontId="0" fillId="0" borderId="4" xfId="0" applyBorder="1" applyAlignment="1">
      <alignment horizontal="center" vertical="center"/>
    </xf>
    <xf numFmtId="0" fontId="4" fillId="2" borderId="4" xfId="2" applyFont="1" applyBorder="1" applyAlignment="1">
      <alignment horizontal="center" vertical="center" wrapText="1"/>
    </xf>
    <xf numFmtId="0" fontId="3" fillId="0" borderId="4" xfId="0" applyFont="1" applyBorder="1" applyAlignment="1">
      <alignment wrapText="1"/>
    </xf>
    <xf numFmtId="0" fontId="11" fillId="3" borderId="4" xfId="2" applyFont="1" applyFill="1" applyBorder="1" applyAlignment="1">
      <alignment horizontal="center" vertical="center"/>
    </xf>
    <xf numFmtId="0" fontId="12" fillId="0" borderId="4" xfId="0" applyFont="1" applyBorder="1" applyAlignment="1">
      <alignment horizontal="center" vertical="center"/>
    </xf>
    <xf numFmtId="0" fontId="6" fillId="7" borderId="3" xfId="0" applyFont="1" applyFill="1" applyBorder="1" applyAlignment="1">
      <alignment horizontal="center" vertical="center" wrapText="1"/>
    </xf>
    <xf numFmtId="0" fontId="12" fillId="0" borderId="0" xfId="0" applyFont="1" applyAlignment="1">
      <alignment horizontal="center"/>
    </xf>
    <xf numFmtId="11" fontId="12" fillId="0" borderId="0" xfId="0" applyNumberFormat="1" applyFont="1" applyAlignment="1">
      <alignment horizontal="center" vertical="center"/>
    </xf>
    <xf numFmtId="11" fontId="0" fillId="0" borderId="0" xfId="0" applyNumberFormat="1" applyAlignment="1">
      <alignment horizontal="center" vertical="center"/>
    </xf>
    <xf numFmtId="0" fontId="0" fillId="13" borderId="5" xfId="0" applyFill="1" applyBorder="1"/>
    <xf numFmtId="0" fontId="0" fillId="15" borderId="0" xfId="0" applyFill="1"/>
    <xf numFmtId="0" fontId="2" fillId="0" borderId="0" xfId="0" applyFont="1"/>
    <xf numFmtId="0" fontId="0" fillId="15" borderId="4" xfId="0" applyFill="1" applyBorder="1" applyAlignment="1">
      <alignment horizontal="center" vertical="center"/>
    </xf>
    <xf numFmtId="0" fontId="6" fillId="7" borderId="6" xfId="0" applyFont="1" applyFill="1" applyBorder="1" applyAlignment="1">
      <alignment horizontal="center" vertical="center" wrapText="1"/>
    </xf>
    <xf numFmtId="0" fontId="6" fillId="7" borderId="7" xfId="0" applyFont="1" applyFill="1" applyBorder="1" applyAlignment="1">
      <alignment horizontal="center" vertical="center" wrapText="1"/>
    </xf>
    <xf numFmtId="0" fontId="6" fillId="7" borderId="8" xfId="0" applyFont="1" applyFill="1" applyBorder="1" applyAlignment="1">
      <alignment horizontal="center" vertical="center" wrapText="1"/>
    </xf>
    <xf numFmtId="0" fontId="2" fillId="0" borderId="4" xfId="0" applyFont="1" applyBorder="1" applyAlignment="1">
      <alignment wrapText="1"/>
    </xf>
    <xf numFmtId="0" fontId="0" fillId="0" borderId="4" xfId="0" applyBorder="1" applyAlignment="1">
      <alignment horizontal="center" vertical="center" wrapText="1"/>
    </xf>
    <xf numFmtId="11" fontId="4" fillId="11" borderId="4" xfId="2" applyNumberFormat="1" applyFont="1" applyFill="1" applyBorder="1" applyAlignment="1">
      <alignment horizontal="center" vertical="center" wrapText="1"/>
    </xf>
    <xf numFmtId="11" fontId="4" fillId="11" borderId="4" xfId="2" applyNumberFormat="1" applyFont="1" applyFill="1" applyBorder="1" applyAlignment="1">
      <alignment horizontal="center" vertical="center"/>
    </xf>
    <xf numFmtId="11" fontId="4" fillId="3" borderId="4" xfId="2" applyNumberFormat="1" applyFont="1" applyFill="1" applyBorder="1" applyAlignment="1">
      <alignment horizontal="center" vertical="center"/>
    </xf>
    <xf numFmtId="11" fontId="4" fillId="2" borderId="4" xfId="2" applyNumberFormat="1" applyFont="1" applyBorder="1" applyAlignment="1">
      <alignment horizontal="center" vertical="center"/>
    </xf>
    <xf numFmtId="11" fontId="11" fillId="3" borderId="4" xfId="2" applyNumberFormat="1" applyFont="1" applyFill="1" applyBorder="1" applyAlignment="1">
      <alignment horizontal="center" vertical="center"/>
    </xf>
    <xf numFmtId="2" fontId="2" fillId="0" borderId="4" xfId="0" applyNumberFormat="1" applyFont="1" applyBorder="1" applyAlignment="1">
      <alignment horizontal="center" vertical="center"/>
    </xf>
    <xf numFmtId="0" fontId="6" fillId="16" borderId="9" xfId="0" applyFont="1" applyFill="1" applyBorder="1" applyAlignment="1">
      <alignment vertical="center" wrapText="1"/>
    </xf>
    <xf numFmtId="0" fontId="6" fillId="16" borderId="10" xfId="0" applyFont="1" applyFill="1" applyBorder="1" applyAlignment="1">
      <alignment vertical="center" wrapText="1"/>
    </xf>
    <xf numFmtId="0" fontId="6" fillId="16" borderId="11" xfId="0" applyFont="1" applyFill="1" applyBorder="1" applyAlignment="1">
      <alignment vertical="center" wrapText="1"/>
    </xf>
    <xf numFmtId="0" fontId="6" fillId="16" borderId="0" xfId="0" applyFont="1" applyFill="1" applyAlignment="1">
      <alignment vertical="center" wrapText="1"/>
    </xf>
    <xf numFmtId="0" fontId="0" fillId="15" borderId="13" xfId="0" applyFill="1" applyBorder="1"/>
    <xf numFmtId="0" fontId="0" fillId="15" borderId="6" xfId="0" applyFill="1" applyBorder="1"/>
    <xf numFmtId="0" fontId="0" fillId="0" borderId="0" xfId="0" applyAlignment="1">
      <alignment horizontal="center" vertical="center" wrapText="1"/>
    </xf>
    <xf numFmtId="0" fontId="0" fillId="2" borderId="4" xfId="2" applyFont="1" applyBorder="1" applyAlignment="1">
      <alignment horizontal="center" vertical="center"/>
    </xf>
    <xf numFmtId="0" fontId="0" fillId="11" borderId="4" xfId="2" applyFont="1" applyFill="1" applyBorder="1" applyAlignment="1">
      <alignment horizontal="center" vertical="center"/>
    </xf>
    <xf numFmtId="0" fontId="0" fillId="3" borderId="4" xfId="2" applyFont="1" applyFill="1" applyBorder="1" applyAlignment="1">
      <alignment horizontal="center" vertical="center"/>
    </xf>
    <xf numFmtId="0" fontId="12" fillId="0" borderId="4" xfId="2" applyFont="1" applyFill="1" applyBorder="1" applyAlignment="1">
      <alignment horizontal="center" vertical="center"/>
    </xf>
    <xf numFmtId="0" fontId="10" fillId="4" borderId="4" xfId="0" applyFont="1" applyFill="1" applyBorder="1" applyAlignment="1">
      <alignment horizontal="center" vertical="center"/>
    </xf>
    <xf numFmtId="0" fontId="0" fillId="15" borderId="12" xfId="0" applyFill="1" applyBorder="1"/>
    <xf numFmtId="0" fontId="0" fillId="4" borderId="5" xfId="0" applyFill="1" applyBorder="1"/>
    <xf numFmtId="0" fontId="4" fillId="4" borderId="0" xfId="0" applyFont="1" applyFill="1" applyAlignment="1">
      <alignment wrapText="1"/>
    </xf>
    <xf numFmtId="0" fontId="2" fillId="4" borderId="0" xfId="0" applyFont="1" applyFill="1"/>
    <xf numFmtId="15" fontId="0" fillId="4" borderId="0" xfId="0" applyNumberFormat="1" applyFill="1"/>
    <xf numFmtId="0" fontId="0" fillId="14" borderId="4" xfId="0" applyFill="1" applyBorder="1" applyAlignment="1">
      <alignment horizontal="center" vertical="center"/>
    </xf>
    <xf numFmtId="11" fontId="12" fillId="9" borderId="4" xfId="0" applyNumberFormat="1" applyFont="1" applyFill="1" applyBorder="1" applyAlignment="1">
      <alignment horizontal="center" vertical="center"/>
    </xf>
    <xf numFmtId="11" fontId="12" fillId="17" borderId="4" xfId="0" applyNumberFormat="1" applyFont="1" applyFill="1" applyBorder="1" applyAlignment="1">
      <alignment horizontal="center" vertical="center"/>
    </xf>
    <xf numFmtId="11" fontId="12" fillId="9" borderId="4" xfId="0" applyNumberFormat="1" applyFont="1" applyFill="1" applyBorder="1"/>
    <xf numFmtId="0" fontId="12" fillId="4" borderId="0" xfId="0" applyFont="1" applyFill="1"/>
    <xf numFmtId="49" fontId="4" fillId="2" borderId="1" xfId="2" applyNumberFormat="1" applyFont="1" applyAlignment="1">
      <alignment horizontal="center" vertical="center"/>
    </xf>
    <xf numFmtId="11" fontId="12" fillId="0" borderId="0" xfId="0" applyNumberFormat="1" applyFont="1" applyAlignment="1">
      <alignment horizontal="center"/>
    </xf>
    <xf numFmtId="11" fontId="4" fillId="3" borderId="4" xfId="1" applyNumberFormat="1" applyFont="1" applyFill="1" applyBorder="1" applyAlignment="1">
      <alignment horizontal="center" vertical="center"/>
    </xf>
    <xf numFmtId="11" fontId="4" fillId="0" borderId="4" xfId="0" applyNumberFormat="1" applyFont="1" applyBorder="1" applyAlignment="1">
      <alignment wrapText="1"/>
    </xf>
    <xf numFmtId="11" fontId="0" fillId="0" borderId="4" xfId="0" applyNumberFormat="1" applyBorder="1"/>
    <xf numFmtId="11" fontId="0" fillId="4" borderId="5" xfId="0" applyNumberFormat="1" applyFill="1" applyBorder="1"/>
    <xf numFmtId="11" fontId="0" fillId="13" borderId="5" xfId="0" applyNumberFormat="1" applyFill="1" applyBorder="1"/>
    <xf numFmtId="11" fontId="13" fillId="2" borderId="4" xfId="2" applyNumberFormat="1" applyFont="1" applyBorder="1" applyAlignment="1">
      <alignment horizontal="center" vertical="center"/>
    </xf>
    <xf numFmtId="11" fontId="14" fillId="0" borderId="4" xfId="0" applyNumberFormat="1" applyFont="1" applyBorder="1"/>
    <xf numFmtId="0" fontId="0" fillId="4" borderId="5" xfId="0" applyFill="1" applyBorder="1" applyAlignment="1">
      <alignment horizontal="center" vertical="center"/>
    </xf>
    <xf numFmtId="10" fontId="4" fillId="3" borderId="4" xfId="1" applyNumberFormat="1" applyFont="1" applyFill="1" applyBorder="1" applyAlignment="1">
      <alignment horizontal="center" vertical="center"/>
    </xf>
    <xf numFmtId="10" fontId="4" fillId="2" borderId="4" xfId="2" applyNumberFormat="1" applyFont="1" applyBorder="1" applyAlignment="1">
      <alignment horizontal="center" vertical="center"/>
    </xf>
    <xf numFmtId="2" fontId="4" fillId="2" borderId="4" xfId="2" applyNumberFormat="1" applyFont="1" applyBorder="1" applyAlignment="1">
      <alignment horizontal="center" vertical="center"/>
    </xf>
    <xf numFmtId="2" fontId="4" fillId="3" borderId="4" xfId="2" applyNumberFormat="1" applyFont="1" applyFill="1" applyBorder="1" applyAlignment="1">
      <alignment horizontal="center" vertical="center"/>
    </xf>
    <xf numFmtId="2" fontId="4" fillId="0" borderId="4" xfId="0" applyNumberFormat="1" applyFont="1" applyBorder="1" applyAlignment="1">
      <alignment wrapText="1"/>
    </xf>
    <xf numFmtId="2" fontId="11" fillId="3" borderId="4" xfId="2" applyNumberFormat="1" applyFont="1" applyFill="1" applyBorder="1" applyAlignment="1">
      <alignment horizontal="center" vertical="center"/>
    </xf>
    <xf numFmtId="11" fontId="13" fillId="2" borderId="1" xfId="2" applyNumberFormat="1" applyFont="1" applyAlignment="1">
      <alignment horizontal="center" vertical="center"/>
    </xf>
    <xf numFmtId="0" fontId="0" fillId="9" borderId="13" xfId="0" applyFill="1" applyBorder="1"/>
    <xf numFmtId="11" fontId="12" fillId="17" borderId="13" xfId="0" applyNumberFormat="1" applyFont="1" applyFill="1" applyBorder="1" applyAlignment="1">
      <alignment horizontal="center" vertical="center"/>
    </xf>
    <xf numFmtId="0" fontId="0" fillId="9" borderId="13" xfId="0" applyFill="1" applyBorder="1" applyAlignment="1">
      <alignment wrapText="1"/>
    </xf>
    <xf numFmtId="11" fontId="14" fillId="4" borderId="4" xfId="0" applyNumberFormat="1" applyFont="1" applyFill="1" applyBorder="1"/>
    <xf numFmtId="11" fontId="4" fillId="2" borderId="15" xfId="2" applyNumberFormat="1" applyFont="1" applyBorder="1" applyAlignment="1">
      <alignment horizontal="center" vertical="center"/>
    </xf>
    <xf numFmtId="164" fontId="4" fillId="2" borderId="4" xfId="2" applyNumberFormat="1" applyFont="1" applyBorder="1" applyAlignment="1">
      <alignment horizontal="center" vertical="center"/>
    </xf>
    <xf numFmtId="165" fontId="4" fillId="3" borderId="4" xfId="2" applyNumberFormat="1" applyFont="1" applyFill="1" applyBorder="1" applyAlignment="1">
      <alignment horizontal="center" vertical="center"/>
    </xf>
    <xf numFmtId="2" fontId="4" fillId="18" borderId="4" xfId="2" applyNumberFormat="1" applyFont="1" applyFill="1" applyBorder="1" applyAlignment="1">
      <alignment horizontal="center" vertical="center"/>
    </xf>
    <xf numFmtId="0" fontId="3" fillId="3" borderId="4" xfId="2" applyFont="1" applyFill="1" applyBorder="1" applyAlignment="1">
      <alignment horizontal="center" vertical="center"/>
    </xf>
    <xf numFmtId="0" fontId="0" fillId="15" borderId="13" xfId="0" applyFill="1" applyBorder="1" applyAlignment="1">
      <alignment wrapText="1"/>
    </xf>
    <xf numFmtId="2" fontId="0" fillId="0" borderId="0" xfId="0" applyNumberFormat="1"/>
    <xf numFmtId="11" fontId="18" fillId="0" borderId="0" xfId="0" applyNumberFormat="1" applyFont="1" applyAlignment="1">
      <alignment horizontal="center"/>
    </xf>
    <xf numFmtId="11" fontId="18" fillId="0" borderId="0" xfId="0" applyNumberFormat="1" applyFont="1" applyAlignment="1">
      <alignment horizontal="center" vertical="center"/>
    </xf>
    <xf numFmtId="0" fontId="17" fillId="0" borderId="0" xfId="0" applyFont="1"/>
    <xf numFmtId="0" fontId="0" fillId="0" borderId="0" xfId="0" applyAlignment="1">
      <alignment horizontal="center" vertical="center"/>
    </xf>
    <xf numFmtId="2" fontId="0" fillId="0" borderId="0" xfId="0" applyNumberFormat="1" applyAlignment="1">
      <alignment horizontal="center" vertical="center"/>
    </xf>
    <xf numFmtId="2" fontId="0" fillId="3" borderId="4" xfId="2" applyNumberFormat="1" applyFont="1" applyFill="1" applyBorder="1" applyAlignment="1">
      <alignment horizontal="center" vertical="center"/>
    </xf>
    <xf numFmtId="11" fontId="0" fillId="9" borderId="13" xfId="0" applyNumberFormat="1" applyFill="1" applyBorder="1"/>
    <xf numFmtId="11" fontId="22" fillId="0" borderId="0" xfId="0" applyNumberFormat="1" applyFont="1" applyAlignment="1">
      <alignment horizontal="center" vertical="center"/>
    </xf>
    <xf numFmtId="0" fontId="0" fillId="3" borderId="0" xfId="0" applyFill="1"/>
    <xf numFmtId="9" fontId="0" fillId="18" borderId="0" xfId="1" applyFont="1" applyFill="1"/>
    <xf numFmtId="164" fontId="4" fillId="18" borderId="4" xfId="2" applyNumberFormat="1" applyFont="1" applyFill="1" applyBorder="1" applyAlignment="1">
      <alignment horizontal="center" vertical="center"/>
    </xf>
    <xf numFmtId="0" fontId="0" fillId="0" borderId="0" xfId="0" pivotButton="1"/>
    <xf numFmtId="0" fontId="0" fillId="0" borderId="0" xfId="0" applyAlignment="1">
      <alignment horizontal="left"/>
    </xf>
    <xf numFmtId="0" fontId="0" fillId="0" borderId="0" xfId="0" applyAlignment="1">
      <alignment horizontal="left" indent="1"/>
    </xf>
    <xf numFmtId="2" fontId="4" fillId="18" borderId="0" xfId="2" applyNumberFormat="1" applyFont="1" applyFill="1" applyBorder="1" applyAlignment="1">
      <alignment horizontal="center" vertical="center"/>
    </xf>
    <xf numFmtId="164" fontId="4" fillId="18" borderId="0" xfId="2" applyNumberFormat="1" applyFont="1" applyFill="1" applyBorder="1" applyAlignment="1">
      <alignment horizontal="center" vertical="center"/>
    </xf>
    <xf numFmtId="0" fontId="0" fillId="0" borderId="0" xfId="0" applyAlignment="1">
      <alignment horizontal="left" indent="2"/>
    </xf>
    <xf numFmtId="11" fontId="0" fillId="19" borderId="0" xfId="0" applyNumberFormat="1" applyFill="1"/>
    <xf numFmtId="0" fontId="0" fillId="19" borderId="0" xfId="0" applyFill="1"/>
    <xf numFmtId="0" fontId="2" fillId="0" borderId="3" xfId="0" applyFont="1" applyBorder="1" applyAlignment="1">
      <alignment horizontal="center" vertical="center"/>
    </xf>
    <xf numFmtId="0" fontId="2" fillId="0" borderId="3" xfId="0" applyFont="1" applyBorder="1" applyAlignment="1">
      <alignment horizontal="center" vertical="center" wrapText="1"/>
    </xf>
    <xf numFmtId="0" fontId="0" fillId="0" borderId="4" xfId="0" applyBorder="1" applyAlignment="1">
      <alignment wrapText="1"/>
    </xf>
    <xf numFmtId="0" fontId="0" fillId="21" borderId="0" xfId="0" applyFill="1"/>
    <xf numFmtId="0" fontId="0" fillId="21" borderId="4" xfId="0" applyFill="1" applyBorder="1"/>
    <xf numFmtId="0" fontId="4" fillId="21" borderId="0" xfId="0" applyFont="1" applyFill="1"/>
    <xf numFmtId="0" fontId="4" fillId="21" borderId="4" xfId="0" applyFont="1" applyFill="1" applyBorder="1"/>
    <xf numFmtId="0" fontId="4" fillId="20" borderId="4" xfId="2" applyFont="1" applyFill="1" applyBorder="1" applyAlignment="1">
      <alignment horizontal="center" vertical="center"/>
    </xf>
    <xf numFmtId="0" fontId="17" fillId="21" borderId="0" xfId="0" applyFont="1" applyFill="1"/>
    <xf numFmtId="0" fontId="4" fillId="20" borderId="0" xfId="2" applyFont="1" applyFill="1" applyBorder="1" applyAlignment="1">
      <alignment horizontal="center" vertical="center"/>
    </xf>
    <xf numFmtId="0" fontId="0" fillId="22" borderId="13" xfId="0" applyFill="1" applyBorder="1"/>
    <xf numFmtId="49" fontId="4" fillId="20" borderId="1" xfId="2" applyNumberFormat="1" applyFont="1" applyFill="1" applyAlignment="1">
      <alignment horizontal="center" vertical="center"/>
    </xf>
    <xf numFmtId="11" fontId="17" fillId="21" borderId="0" xfId="0" applyNumberFormat="1" applyFont="1" applyFill="1"/>
    <xf numFmtId="11" fontId="0" fillId="21" borderId="0" xfId="0" applyNumberFormat="1" applyFill="1"/>
    <xf numFmtId="2" fontId="17" fillId="21" borderId="0" xfId="0" applyNumberFormat="1" applyFont="1" applyFill="1"/>
    <xf numFmtId="2" fontId="0" fillId="21" borderId="0" xfId="0" applyNumberFormat="1" applyFill="1"/>
    <xf numFmtId="2" fontId="19" fillId="21" borderId="0" xfId="0" applyNumberFormat="1" applyFont="1" applyFill="1"/>
    <xf numFmtId="2" fontId="4" fillId="21" borderId="0" xfId="2" applyNumberFormat="1" applyFont="1" applyFill="1" applyBorder="1" applyAlignment="1">
      <alignment horizontal="center" vertical="center"/>
    </xf>
    <xf numFmtId="164" fontId="4" fillId="21" borderId="0" xfId="2" applyNumberFormat="1" applyFont="1" applyFill="1" applyBorder="1" applyAlignment="1">
      <alignment horizontal="center" vertical="center"/>
    </xf>
    <xf numFmtId="2" fontId="4" fillId="21" borderId="4" xfId="2" applyNumberFormat="1" applyFont="1" applyFill="1" applyBorder="1" applyAlignment="1">
      <alignment horizontal="center" vertical="center"/>
    </xf>
    <xf numFmtId="164" fontId="4" fillId="21" borderId="4" xfId="2" applyNumberFormat="1" applyFont="1" applyFill="1" applyBorder="1" applyAlignment="1">
      <alignment horizontal="center" vertical="center"/>
    </xf>
    <xf numFmtId="0" fontId="21" fillId="21" borderId="0" xfId="0" applyFont="1" applyFill="1"/>
    <xf numFmtId="11" fontId="20" fillId="21" borderId="0" xfId="0" applyNumberFormat="1" applyFont="1" applyFill="1"/>
    <xf numFmtId="9" fontId="0" fillId="21" borderId="0" xfId="1" applyFont="1" applyFill="1"/>
    <xf numFmtId="11" fontId="0" fillId="21" borderId="0" xfId="0" applyNumberFormat="1" applyFill="1" applyAlignment="1">
      <alignment horizontal="center"/>
    </xf>
    <xf numFmtId="11" fontId="21" fillId="21" borderId="0" xfId="0" applyNumberFormat="1" applyFont="1" applyFill="1" applyAlignment="1">
      <alignment horizontal="center"/>
    </xf>
    <xf numFmtId="9" fontId="17" fillId="21" borderId="0" xfId="1" applyFont="1" applyFill="1"/>
    <xf numFmtId="11" fontId="17" fillId="21" borderId="0" xfId="0" applyNumberFormat="1" applyFont="1" applyFill="1" applyAlignment="1">
      <alignment horizontal="center"/>
    </xf>
    <xf numFmtId="11" fontId="21" fillId="21" borderId="0" xfId="0" applyNumberFormat="1" applyFont="1" applyFill="1"/>
    <xf numFmtId="11" fontId="4" fillId="21" borderId="4" xfId="2" applyNumberFormat="1" applyFont="1" applyFill="1" applyBorder="1" applyAlignment="1">
      <alignment horizontal="center" vertical="center"/>
    </xf>
    <xf numFmtId="11" fontId="12" fillId="21" borderId="0" xfId="0" applyNumberFormat="1" applyFont="1" applyFill="1" applyAlignment="1">
      <alignment horizontal="center"/>
    </xf>
    <xf numFmtId="11" fontId="22" fillId="21" borderId="0" xfId="0" applyNumberFormat="1" applyFont="1" applyFill="1" applyAlignment="1">
      <alignment horizontal="center" vertical="center"/>
    </xf>
    <xf numFmtId="0" fontId="0" fillId="21" borderId="4" xfId="2" applyFont="1" applyFill="1" applyBorder="1" applyAlignment="1">
      <alignment horizontal="center" vertical="center"/>
    </xf>
    <xf numFmtId="2" fontId="4" fillId="21" borderId="15" xfId="2" applyNumberFormat="1" applyFont="1" applyFill="1" applyBorder="1" applyAlignment="1">
      <alignment horizontal="center" vertical="center"/>
    </xf>
    <xf numFmtId="0" fontId="23" fillId="0" borderId="0" xfId="0" applyFont="1" applyAlignment="1">
      <alignment horizontal="center" vertical="center"/>
    </xf>
    <xf numFmtId="2" fontId="24" fillId="21" borderId="0" xfId="0" applyNumberFormat="1" applyFont="1" applyFill="1"/>
    <xf numFmtId="166" fontId="0" fillId="3" borderId="0" xfId="0" applyNumberFormat="1" applyFill="1"/>
    <xf numFmtId="0" fontId="8" fillId="6" borderId="13" xfId="0" applyFont="1" applyFill="1" applyBorder="1" applyAlignment="1">
      <alignment horizontal="center" vertical="center"/>
    </xf>
    <xf numFmtId="0" fontId="0" fillId="6" borderId="13" xfId="0" applyFill="1" applyBorder="1" applyAlignment="1">
      <alignment wrapText="1"/>
    </xf>
    <xf numFmtId="0" fontId="5" fillId="0" borderId="0" xfId="3"/>
    <xf numFmtId="0" fontId="6" fillId="7" borderId="11" xfId="0" applyFont="1" applyFill="1" applyBorder="1" applyAlignment="1">
      <alignment horizontal="center" vertical="center" wrapText="1"/>
    </xf>
    <xf numFmtId="0" fontId="6" fillId="7" borderId="0" xfId="0" applyFont="1" applyFill="1" applyAlignment="1">
      <alignment horizontal="center" vertical="center" wrapText="1"/>
    </xf>
    <xf numFmtId="0" fontId="0" fillId="4" borderId="0" xfId="0" applyFill="1" applyAlignment="1">
      <alignment horizontal="center" wrapText="1"/>
    </xf>
    <xf numFmtId="0" fontId="0" fillId="4" borderId="14" xfId="0" applyFill="1" applyBorder="1" applyAlignment="1">
      <alignment horizontal="center" wrapText="1"/>
    </xf>
    <xf numFmtId="0" fontId="2" fillId="4" borderId="0" xfId="0" applyFont="1" applyFill="1" applyAlignment="1">
      <alignment horizontal="center" vertical="center" wrapText="1"/>
    </xf>
    <xf numFmtId="0" fontId="0" fillId="4" borderId="0" xfId="0" applyFill="1" applyAlignment="1">
      <alignment horizontal="center" vertical="center" wrapText="1"/>
    </xf>
    <xf numFmtId="0" fontId="6" fillId="7" borderId="2" xfId="0" applyFont="1" applyFill="1" applyBorder="1" applyAlignment="1">
      <alignment horizontal="center" vertical="center" wrapText="1"/>
    </xf>
    <xf numFmtId="0" fontId="6" fillId="7" borderId="3" xfId="0" applyFont="1" applyFill="1" applyBorder="1" applyAlignment="1">
      <alignment horizontal="center" vertical="center" wrapText="1"/>
    </xf>
    <xf numFmtId="0" fontId="2" fillId="0" borderId="4" xfId="0" applyFont="1" applyBorder="1" applyAlignment="1">
      <alignment horizontal="center" wrapText="1"/>
    </xf>
    <xf numFmtId="0" fontId="6" fillId="16" borderId="0" xfId="0" applyFont="1" applyFill="1" applyAlignment="1">
      <alignment horizontal="center" vertical="center" wrapText="1"/>
    </xf>
    <xf numFmtId="0" fontId="2" fillId="0" borderId="4" xfId="0" applyFont="1" applyBorder="1" applyAlignment="1">
      <alignment horizontal="center" vertical="center" wrapText="1"/>
    </xf>
    <xf numFmtId="0" fontId="0" fillId="15" borderId="3" xfId="0" applyFill="1" applyBorder="1" applyAlignment="1">
      <alignment horizontal="center" vertical="center"/>
    </xf>
    <xf numFmtId="0" fontId="0" fillId="21" borderId="0" xfId="0" applyFill="1" applyAlignment="1"/>
    <xf numFmtId="0" fontId="0" fillId="0" borderId="0" xfId="0" applyAlignment="1"/>
    <xf numFmtId="0" fontId="0" fillId="0" borderId="0" xfId="0" applyNumberFormat="1"/>
  </cellXfs>
  <cellStyles count="4">
    <cellStyle name="Hyperlink" xfId="3" builtinId="8"/>
    <cellStyle name="Normal" xfId="0" builtinId="0"/>
    <cellStyle name="Note" xfId="2" builtinId="10"/>
    <cellStyle name="Percent" xfId="1" builtinId="5"/>
  </cellStyles>
  <dxfs count="150">
    <dxf>
      <fill>
        <patternFill>
          <bgColor rgb="FFFF5050"/>
        </patternFill>
      </fill>
    </dxf>
    <dxf>
      <fill>
        <patternFill>
          <bgColor rgb="FF00B050"/>
        </patternFill>
      </fill>
    </dxf>
    <dxf>
      <fill>
        <patternFill>
          <bgColor rgb="FFFF5050"/>
        </patternFill>
      </fill>
    </dxf>
    <dxf>
      <fill>
        <patternFill>
          <bgColor rgb="FF00B050"/>
        </patternFill>
      </fill>
    </dxf>
    <dxf>
      <fill>
        <patternFill>
          <bgColor rgb="FFFF5050"/>
        </patternFill>
      </fill>
    </dxf>
    <dxf>
      <fill>
        <patternFill>
          <bgColor rgb="FF00B050"/>
        </patternFill>
      </fill>
    </dxf>
    <dxf>
      <fill>
        <patternFill>
          <bgColor rgb="FFFF5050"/>
        </patternFill>
      </fill>
    </dxf>
    <dxf>
      <fill>
        <patternFill>
          <bgColor rgb="FF00B050"/>
        </patternFill>
      </fill>
    </dxf>
    <dxf>
      <fill>
        <patternFill>
          <bgColor rgb="FFFF5050"/>
        </patternFill>
      </fill>
    </dxf>
    <dxf>
      <fill>
        <patternFill>
          <bgColor rgb="FF00B050"/>
        </patternFill>
      </fill>
    </dxf>
    <dxf>
      <fill>
        <patternFill>
          <bgColor rgb="FFFF5050"/>
        </patternFill>
      </fill>
    </dxf>
    <dxf>
      <fill>
        <patternFill>
          <bgColor rgb="FF00B050"/>
        </patternFill>
      </fill>
    </dxf>
    <dxf>
      <fill>
        <patternFill>
          <bgColor rgb="FFFF5050"/>
        </patternFill>
      </fill>
    </dxf>
    <dxf>
      <fill>
        <patternFill>
          <bgColor rgb="FF00B050"/>
        </patternFill>
      </fill>
    </dxf>
    <dxf>
      <fill>
        <patternFill>
          <bgColor rgb="FFFF5050"/>
        </patternFill>
      </fill>
    </dxf>
    <dxf>
      <fill>
        <patternFill>
          <bgColor rgb="FF00B050"/>
        </patternFill>
      </fill>
    </dxf>
    <dxf>
      <fill>
        <patternFill>
          <bgColor rgb="FFFF5050"/>
        </patternFill>
      </fill>
    </dxf>
    <dxf>
      <fill>
        <patternFill>
          <bgColor rgb="FF00B050"/>
        </patternFill>
      </fill>
    </dxf>
    <dxf>
      <fill>
        <patternFill>
          <bgColor rgb="FFFF5050"/>
        </patternFill>
      </fill>
    </dxf>
    <dxf>
      <fill>
        <patternFill>
          <bgColor rgb="FF00B050"/>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theme="8" tint="0.59996337778862885"/>
        </patternFill>
      </fill>
    </dxf>
    <dxf>
      <font>
        <color rgb="FF9C5700"/>
      </font>
      <fill>
        <patternFill>
          <bgColor rgb="FFFFEB9C"/>
        </patternFill>
      </fill>
    </dxf>
    <dxf>
      <font>
        <b/>
        <i val="0"/>
        <color rgb="FFFF0000"/>
      </font>
      <fill>
        <patternFill>
          <bgColor theme="7" tint="0.59996337778862885"/>
        </patternFill>
      </fill>
      <border>
        <left style="thin">
          <color rgb="FF9C0006"/>
        </left>
        <right style="thin">
          <color rgb="FF9C0006"/>
        </right>
        <top style="thin">
          <color rgb="FF9C0006"/>
        </top>
        <bottom style="thin">
          <color rgb="FF9C0006"/>
        </bottom>
      </border>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theme="8" tint="0.59996337778862885"/>
        </patternFill>
      </fill>
    </dxf>
    <dxf>
      <font>
        <color rgb="FF9C5700"/>
      </font>
      <fill>
        <patternFill>
          <bgColor rgb="FFFFEB9C"/>
        </patternFill>
      </fill>
    </dxf>
    <dxf>
      <font>
        <b/>
        <i val="0"/>
        <color rgb="FFFF0000"/>
      </font>
      <fill>
        <patternFill>
          <bgColor theme="7" tint="0.59996337778862885"/>
        </patternFill>
      </fill>
      <border>
        <left style="thin">
          <color rgb="FF9C0006"/>
        </left>
        <right style="thin">
          <color rgb="FF9C0006"/>
        </right>
        <top style="thin">
          <color rgb="FF9C0006"/>
        </top>
        <bottom style="thin">
          <color rgb="FF9C0006"/>
        </bottom>
      </border>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theme="8" tint="0.59996337778862885"/>
        </patternFill>
      </fill>
    </dxf>
    <dxf>
      <font>
        <color rgb="FF9C5700"/>
      </font>
      <fill>
        <patternFill>
          <bgColor rgb="FFFFEB9C"/>
        </patternFill>
      </fill>
    </dxf>
    <dxf>
      <font>
        <b/>
        <i val="0"/>
        <color rgb="FFFF0000"/>
      </font>
      <fill>
        <patternFill>
          <bgColor theme="7" tint="0.59996337778862885"/>
        </patternFill>
      </fill>
      <border>
        <left style="thin">
          <color rgb="FF9C0006"/>
        </left>
        <right style="thin">
          <color rgb="FF9C0006"/>
        </right>
        <top style="thin">
          <color rgb="FF9C0006"/>
        </top>
        <bottom style="thin">
          <color rgb="FF9C0006"/>
        </bottom>
      </border>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theme="8" tint="0.59996337778862885"/>
        </patternFill>
      </fill>
    </dxf>
    <dxf>
      <font>
        <color rgb="FF9C5700"/>
      </font>
      <fill>
        <patternFill>
          <bgColor rgb="FFFFEB9C"/>
        </patternFill>
      </fill>
    </dxf>
    <dxf>
      <font>
        <b/>
        <i val="0"/>
        <color rgb="FFFF0000"/>
      </font>
      <fill>
        <patternFill>
          <bgColor theme="7" tint="0.59996337778862885"/>
        </patternFill>
      </fill>
      <border>
        <left style="thin">
          <color rgb="FF9C0006"/>
        </left>
        <right style="thin">
          <color rgb="FF9C0006"/>
        </right>
        <top style="thin">
          <color rgb="FF9C0006"/>
        </top>
        <bottom style="thin">
          <color rgb="FF9C0006"/>
        </bottom>
      </border>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ill>
        <patternFill>
          <bgColor rgb="FFFF5050"/>
        </patternFill>
      </fill>
    </dxf>
    <dxf>
      <fill>
        <patternFill>
          <bgColor rgb="FF00B050"/>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ill>
        <patternFill patternType="solid">
          <fgColor indexed="64"/>
          <bgColor theme="7" tint="0.79998168889431442"/>
        </patternFill>
      </fill>
    </dxf>
    <dxf>
      <numFmt numFmtId="15" formatCode="0.00E+00"/>
    </dxf>
    <dxf>
      <numFmt numFmtId="2" formatCode="0.00"/>
      <fill>
        <patternFill>
          <fgColor indexed="64"/>
          <bgColor theme="7" tint="0.79998168889431442"/>
        </patternFill>
      </fill>
    </dxf>
    <dxf>
      <fill>
        <patternFill patternType="solid">
          <fgColor indexed="64"/>
          <bgColor theme="7" tint="0.79998168889431442"/>
        </patternFill>
      </fill>
    </dxf>
    <dxf>
      <fill>
        <patternFill patternType="solid">
          <fgColor indexed="64"/>
          <bgColor theme="7" tint="0.79998168889431442"/>
        </patternFill>
      </fill>
      <alignment horizontal="general" vertical="bottom" textRotation="0" wrapText="0" indent="0" justifyLastLine="0" shrinkToFit="0" readingOrder="0"/>
    </dxf>
    <dxf>
      <fill>
        <patternFill>
          <bgColor theme="7" tint="0.79998168889431442"/>
        </patternFill>
      </fill>
    </dxf>
    <dxf>
      <fill>
        <patternFill>
          <bgColor theme="7" tint="0.79998168889431442"/>
        </patternFill>
      </fill>
    </dxf>
    <dxf>
      <fill>
        <patternFill>
          <bgColor theme="7" tint="0.79998168889431442"/>
        </patternFill>
      </fill>
      <alignment textRotation="0" wrapText="0" indent="0" justifyLastLine="0" shrinkToFit="0" readingOrder="0"/>
    </dxf>
    <dxf>
      <alignment horizontal="general" vertical="bottom" textRotation="0" wrapText="0" indent="0" justifyLastLine="0" shrinkToFit="0" readingOrder="0"/>
    </dxf>
    <dxf>
      <fill>
        <patternFill patternType="solid">
          <fgColor indexed="64"/>
          <bgColor theme="7" tint="0.79998168889431442"/>
        </patternFill>
      </fill>
    </dxf>
    <dxf>
      <alignment horizontal="center" vertical="center" textRotation="0" wrapText="0" indent="0" justifyLastLine="0" shrinkToFit="0" readingOrder="0"/>
    </dxf>
    <dxf>
      <fill>
        <patternFill patternType="solid">
          <fgColor indexed="64"/>
          <bgColor theme="7" tint="0.79998168889431442"/>
        </patternFill>
      </fill>
    </dxf>
    <dxf>
      <fill>
        <patternFill patternType="solid">
          <fgColor indexed="64"/>
          <bgColor theme="7" tint="0.79998168889431442"/>
        </patternFill>
      </fill>
      <alignment textRotation="0" wrapText="0" indent="0" justifyLastLine="0" shrinkToFit="0" readingOrder="0"/>
    </dxf>
    <dxf>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7" tint="0.79998168889431442"/>
        </patternFill>
      </fill>
    </dxf>
    <dxf>
      <alignment horizontal="center" vertical="center" textRotation="0" wrapText="1" indent="0" justifyLastLine="0" shrinkToFit="0" readingOrder="0"/>
    </dxf>
    <dxf>
      <numFmt numFmtId="15" formatCode="0.00E+00"/>
    </dxf>
    <dxf>
      <numFmt numFmtId="2" formatCode="0.00"/>
      <fill>
        <patternFill>
          <fgColor indexed="64"/>
          <bgColor theme="7" tint="0.79998168889431442"/>
        </patternFill>
      </fill>
    </dxf>
    <dxf>
      <fill>
        <patternFill patternType="solid">
          <fgColor indexed="64"/>
          <bgColor theme="7" tint="0.79998168889431442"/>
        </patternFill>
      </fill>
    </dxf>
    <dxf>
      <fill>
        <patternFill patternType="solid">
          <fgColor indexed="64"/>
          <bgColor theme="7" tint="0.79998168889431442"/>
        </patternFill>
      </fill>
      <alignment horizontal="general" vertical="bottom" textRotation="0" wrapText="0" indent="0" justifyLastLine="0" shrinkToFit="0" readingOrder="0"/>
    </dxf>
    <dxf>
      <fill>
        <patternFill>
          <bgColor theme="7" tint="0.79998168889431442"/>
        </patternFill>
      </fill>
    </dxf>
    <dxf>
      <fill>
        <patternFill>
          <bgColor theme="7" tint="0.79998168889431442"/>
        </patternFill>
      </fill>
    </dxf>
    <dxf>
      <fill>
        <patternFill>
          <bgColor theme="7" tint="0.79998168889431442"/>
        </patternFill>
      </fill>
      <alignment textRotation="0" wrapText="0" indent="0" justifyLastLine="0" shrinkToFit="0" readingOrder="0"/>
    </dxf>
    <dxf>
      <alignment horizontal="general" vertical="bottom" textRotation="0" wrapText="0" indent="0" justifyLastLine="0" shrinkToFit="0" readingOrder="0"/>
    </dxf>
    <dxf>
      <fill>
        <patternFill patternType="solid">
          <fgColor indexed="64"/>
          <bgColor theme="7" tint="0.79998168889431442"/>
        </patternFill>
      </fill>
    </dxf>
    <dxf>
      <alignment horizontal="center" vertical="center" textRotation="0" wrapText="0" indent="0" justifyLastLine="0" shrinkToFit="0" readingOrder="0"/>
    </dxf>
    <dxf>
      <fill>
        <patternFill patternType="solid">
          <fgColor indexed="64"/>
          <bgColor theme="7" tint="0.79998168889431442"/>
        </patternFill>
      </fill>
      <alignment textRotation="0" wrapText="0" indent="0" justifyLastLine="0" shrinkToFit="0" readingOrder="0"/>
    </dxf>
    <dxf>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7" tint="0.79998168889431442"/>
        </patternFill>
      </fill>
    </dxf>
    <dxf>
      <alignment horizontal="center" vertical="center" textRotation="0" wrapText="1" indent="0" justifyLastLine="0" shrinkToFit="0" readingOrder="0"/>
    </dxf>
    <dxf>
      <numFmt numFmtId="15" formatCode="0.00E+00"/>
    </dxf>
    <dxf>
      <numFmt numFmtId="2" formatCode="0.00"/>
      <fill>
        <patternFill>
          <fgColor indexed="64"/>
          <bgColor theme="7" tint="0.79998168889431442"/>
        </patternFill>
      </fill>
    </dxf>
    <dxf>
      <fill>
        <patternFill patternType="solid">
          <fgColor indexed="64"/>
          <bgColor theme="7" tint="0.79998168889431442"/>
        </patternFill>
      </fill>
    </dxf>
    <dxf>
      <fill>
        <patternFill patternType="solid">
          <fgColor indexed="64"/>
          <bgColor theme="7" tint="0.79998168889431442"/>
        </patternFill>
      </fill>
      <alignment horizontal="general" vertical="bottom" textRotation="0" wrapText="0" indent="0" justifyLastLine="0" shrinkToFit="0" readingOrder="0"/>
    </dxf>
    <dxf>
      <fill>
        <patternFill>
          <bgColor theme="7" tint="0.79998168889431442"/>
        </patternFill>
      </fill>
    </dxf>
    <dxf>
      <fill>
        <patternFill>
          <bgColor theme="7" tint="0.79998168889431442"/>
        </patternFill>
      </fill>
    </dxf>
    <dxf>
      <fill>
        <patternFill>
          <bgColor theme="7" tint="0.79998168889431442"/>
        </patternFill>
      </fill>
      <alignment textRotation="0" wrapText="0" indent="0" justifyLastLine="0" shrinkToFit="0" readingOrder="0"/>
    </dxf>
    <dxf>
      <alignment horizontal="general" vertical="bottom" textRotation="0" wrapText="0" indent="0" justifyLastLine="0" shrinkToFit="0" readingOrder="0"/>
    </dxf>
    <dxf>
      <fill>
        <patternFill patternType="solid">
          <fgColor indexed="64"/>
          <bgColor theme="7" tint="0.79998168889431442"/>
        </patternFill>
      </fill>
    </dxf>
    <dxf>
      <alignment horizontal="center" vertical="center" textRotation="0" wrapText="0" indent="0" justifyLastLine="0" shrinkToFit="0" readingOrder="0"/>
    </dxf>
    <dxf>
      <fill>
        <patternFill patternType="solid">
          <fgColor indexed="64"/>
          <bgColor theme="7" tint="0.79998168889431442"/>
        </patternFill>
      </fill>
    </dxf>
    <dxf>
      <fill>
        <patternFill patternType="solid">
          <fgColor indexed="64"/>
          <bgColor theme="7" tint="0.79998168889431442"/>
        </patternFill>
      </fill>
      <alignment textRotation="0" wrapText="0" indent="0" justifyLastLine="0" shrinkToFit="0" readingOrder="0"/>
    </dxf>
    <dxf>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7" tint="0.79998168889431442"/>
        </patternFill>
      </fill>
    </dxf>
    <dxf>
      <alignment horizontal="center" vertical="center" textRotation="0" wrapText="1" indent="0" justifyLastLine="0" shrinkToFit="0" readingOrder="0"/>
    </dxf>
    <dxf>
      <fill>
        <patternFill patternType="solid">
          <fgColor indexed="64"/>
          <bgColor theme="7" tint="0.79998168889431442"/>
        </patternFill>
      </fill>
    </dxf>
    <dxf>
      <numFmt numFmtId="15" formatCode="0.00E+00"/>
    </dxf>
    <dxf>
      <numFmt numFmtId="2" formatCode="0.00"/>
      <fill>
        <patternFill>
          <fgColor indexed="64"/>
          <bgColor theme="7" tint="0.79998168889431442"/>
        </patternFill>
      </fill>
    </dxf>
    <dxf>
      <fill>
        <patternFill patternType="solid">
          <fgColor indexed="64"/>
          <bgColor theme="7" tint="0.79998168889431442"/>
        </patternFill>
      </fill>
    </dxf>
    <dxf>
      <fill>
        <patternFill patternType="solid">
          <fgColor indexed="64"/>
          <bgColor theme="7" tint="0.79998168889431442"/>
        </patternFill>
      </fill>
      <alignment horizontal="general" vertical="bottom" textRotation="0" wrapText="0" indent="0" justifyLastLine="0" shrinkToFit="0" readingOrder="0"/>
    </dxf>
    <dxf>
      <fill>
        <patternFill>
          <bgColor theme="7" tint="0.79998168889431442"/>
        </patternFill>
      </fill>
    </dxf>
    <dxf>
      <fill>
        <patternFill>
          <bgColor theme="7" tint="0.79998168889431442"/>
        </patternFill>
      </fill>
    </dxf>
    <dxf>
      <fill>
        <patternFill>
          <bgColor theme="7" tint="0.79998168889431442"/>
        </patternFill>
      </fill>
      <alignment textRotation="0" wrapText="0" indent="0" justifyLastLine="0" shrinkToFit="0" readingOrder="0"/>
    </dxf>
    <dxf>
      <alignment horizontal="general" vertical="bottom" textRotation="0" wrapText="0" indent="0" justifyLastLine="0" shrinkToFit="0" readingOrder="0"/>
    </dxf>
    <dxf>
      <fill>
        <patternFill patternType="solid">
          <fgColor indexed="64"/>
          <bgColor theme="7" tint="0.79998168889431442"/>
        </patternFill>
      </fill>
    </dxf>
    <dxf>
      <alignment horizontal="center" vertical="center" textRotation="0" wrapText="0" indent="0" justifyLastLine="0" shrinkToFit="0" readingOrder="0"/>
    </dxf>
    <dxf>
      <fill>
        <patternFill patternType="solid">
          <fgColor indexed="64"/>
          <bgColor theme="7" tint="0.79998168889431442"/>
        </patternFill>
      </fill>
      <alignment textRotation="0" wrapText="0" indent="0" justifyLastLine="0" shrinkToFit="0" readingOrder="0"/>
    </dxf>
    <dxf>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7" tint="0.79998168889431442"/>
        </patternFill>
      </fill>
    </dxf>
    <dxf>
      <alignment horizontal="center" vertical="center" textRotation="0" wrapText="1" indent="0" justifyLastLine="0" shrinkToFit="0" readingOrder="0"/>
    </dxf>
  </dxfs>
  <tableStyles count="0" defaultTableStyle="TableStyleMedium2" defaultPivotStyle="PivotStyleLight16"/>
  <colors>
    <mruColors>
      <color rgb="FFFF5050"/>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pivotCacheDefinition" Target="pivotCache/pivotCacheDefinition1.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heetMetadata" Target="metadata.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pivotCacheDefinition" Target="pivotCache/pivotCacheDefinition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pivotCacheDefinition" Target="pivotCache/pivotCacheDefinition3.xml"/><Relationship Id="rId36"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pivotCacheDefinition" Target="pivotCache/pivotCacheDefinition2.xml"/><Relationship Id="rId30" Type="http://schemas.openxmlformats.org/officeDocument/2006/relationships/pivotCacheDefinition" Target="pivotCache/pivotCacheDefinition5.xml"/><Relationship Id="rId35" Type="http://schemas.openxmlformats.org/officeDocument/2006/relationships/calcChain" Target="calcChain.xml"/><Relationship Id="rId8" Type="http://schemas.openxmlformats.org/officeDocument/2006/relationships/worksheet" Target="worksheets/sheet8.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[MMC_LCA_Consolidated_Spreadsheet_MacroEnabled.xlsm]GWP RESULTS (COMPONENT)!PivotTable1</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'GWP RESULTS (COMPONENT)'!$D$10:$D$11</c:f>
              <c:strCache>
                <c:ptCount val="1"/>
                <c:pt idx="0">
                  <c:v>Complete System</c:v>
                </c:pt>
              </c:strCache>
            </c:strRef>
          </c:tx>
          <c:spPr>
            <a:solidFill>
              <a:schemeClr val="accent1"/>
            </a:solidFill>
            <a:ln>
              <a:noFill/>
            </a:ln>
            <a:effectLst/>
          </c:spPr>
          <c:invertIfNegative val="0"/>
          <c:cat>
            <c:strRef>
              <c:f>'GWP RESULTS (COMPONENT)'!$C$12:$C$25</c:f>
              <c:strCache>
                <c:ptCount val="13"/>
                <c:pt idx="0">
                  <c:v>A_LCA_ICFFormed Concrete_Brick</c:v>
                </c:pt>
                <c:pt idx="1">
                  <c:v>A_LCA_TimberClosed _Brick</c:v>
                </c:pt>
                <c:pt idx="2">
                  <c:v>A_LCA_TimberOpen_Brick</c:v>
                </c:pt>
                <c:pt idx="3">
                  <c:v>A_LCA_TimberPre-Insulated_Brick</c:v>
                </c:pt>
                <c:pt idx="4">
                  <c:v>Amvic300_EPD_ICFFormed Concrete_Brick</c:v>
                </c:pt>
                <c:pt idx="5">
                  <c:v>Amvic350_EPD_ICFFormed Concrete_Brick</c:v>
                </c:pt>
                <c:pt idx="6">
                  <c:v>Donaldson C Stud_EPD_TimberClosed _Brick</c:v>
                </c:pt>
                <c:pt idx="7">
                  <c:v>Donaldson Solid_EPD_TimberClosed _Brick</c:v>
                </c:pt>
                <c:pt idx="8">
                  <c:v>Donaldson_EPD_TimberOpen_Brick</c:v>
                </c:pt>
                <c:pt idx="9">
                  <c:v>Donaldson_EPD_TimberPre-Insulated_Brick</c:v>
                </c:pt>
                <c:pt idx="10">
                  <c:v>Nudura_EPD_ICFFormed Concrete_Brick</c:v>
                </c:pt>
                <c:pt idx="11">
                  <c:v>SkadoMedis_EPD_TimberClosed _Timber</c:v>
                </c:pt>
                <c:pt idx="12">
                  <c:v>Thermomur_EPD_ICFFormed Concrete_Brick</c:v>
                </c:pt>
              </c:strCache>
            </c:strRef>
          </c:cat>
          <c:val>
            <c:numRef>
              <c:f>'GWP RESULTS (COMPONENT)'!$D$12:$D$25</c:f>
              <c:numCache>
                <c:formatCode>General</c:formatCode>
                <c:ptCount val="13"/>
                <c:pt idx="11">
                  <c:v>24.7</c:v>
                </c:pt>
              </c:numCache>
            </c:numRef>
          </c:val>
          <c:extLst>
            <c:ext xmlns:c16="http://schemas.microsoft.com/office/drawing/2014/chart" uri="{C3380CC4-5D6E-409C-BE32-E72D297353CC}">
              <c16:uniqueId val="{00000000-4881-4346-9843-DDA8C6925339}"/>
            </c:ext>
          </c:extLst>
        </c:ser>
        <c:ser>
          <c:idx val="1"/>
          <c:order val="1"/>
          <c:tx>
            <c:strRef>
              <c:f>'GWP RESULTS (COMPONENT)'!$E$10:$E$11</c:f>
              <c:strCache>
                <c:ptCount val="1"/>
                <c:pt idx="0">
                  <c:v>External Finish</c:v>
                </c:pt>
              </c:strCache>
            </c:strRef>
          </c:tx>
          <c:spPr>
            <a:solidFill>
              <a:schemeClr val="accent2"/>
            </a:solidFill>
            <a:ln>
              <a:noFill/>
            </a:ln>
            <a:effectLst/>
          </c:spPr>
          <c:invertIfNegative val="0"/>
          <c:cat>
            <c:strRef>
              <c:f>'GWP RESULTS (COMPONENT)'!$C$12:$C$25</c:f>
              <c:strCache>
                <c:ptCount val="13"/>
                <c:pt idx="0">
                  <c:v>A_LCA_ICFFormed Concrete_Brick</c:v>
                </c:pt>
                <c:pt idx="1">
                  <c:v>A_LCA_TimberClosed _Brick</c:v>
                </c:pt>
                <c:pt idx="2">
                  <c:v>A_LCA_TimberOpen_Brick</c:v>
                </c:pt>
                <c:pt idx="3">
                  <c:v>A_LCA_TimberPre-Insulated_Brick</c:v>
                </c:pt>
                <c:pt idx="4">
                  <c:v>Amvic300_EPD_ICFFormed Concrete_Brick</c:v>
                </c:pt>
                <c:pt idx="5">
                  <c:v>Amvic350_EPD_ICFFormed Concrete_Brick</c:v>
                </c:pt>
                <c:pt idx="6">
                  <c:v>Donaldson C Stud_EPD_TimberClosed _Brick</c:v>
                </c:pt>
                <c:pt idx="7">
                  <c:v>Donaldson Solid_EPD_TimberClosed _Brick</c:v>
                </c:pt>
                <c:pt idx="8">
                  <c:v>Donaldson_EPD_TimberOpen_Brick</c:v>
                </c:pt>
                <c:pt idx="9">
                  <c:v>Donaldson_EPD_TimberPre-Insulated_Brick</c:v>
                </c:pt>
                <c:pt idx="10">
                  <c:v>Nudura_EPD_ICFFormed Concrete_Brick</c:v>
                </c:pt>
                <c:pt idx="11">
                  <c:v>SkadoMedis_EPD_TimberClosed _Timber</c:v>
                </c:pt>
                <c:pt idx="12">
                  <c:v>Thermomur_EPD_ICFFormed Concrete_Brick</c:v>
                </c:pt>
              </c:strCache>
            </c:strRef>
          </c:cat>
          <c:val>
            <c:numRef>
              <c:f>'GWP RESULTS (COMPONENT)'!$E$12:$E$25</c:f>
              <c:numCache>
                <c:formatCode>General</c:formatCode>
                <c:ptCount val="13"/>
                <c:pt idx="0">
                  <c:v>46.384999999999998</c:v>
                </c:pt>
                <c:pt idx="1">
                  <c:v>46.384999999999998</c:v>
                </c:pt>
                <c:pt idx="2">
                  <c:v>46.384999999999998</c:v>
                </c:pt>
                <c:pt idx="3">
                  <c:v>46.384999999999998</c:v>
                </c:pt>
                <c:pt idx="4">
                  <c:v>46.384999999999998</c:v>
                </c:pt>
                <c:pt idx="5">
                  <c:v>46.384999999999998</c:v>
                </c:pt>
                <c:pt idx="6">
                  <c:v>46.801724999999998</c:v>
                </c:pt>
                <c:pt idx="7">
                  <c:v>46.801724999999998</c:v>
                </c:pt>
                <c:pt idx="8">
                  <c:v>46.801724999999998</c:v>
                </c:pt>
                <c:pt idx="9">
                  <c:v>46.801724999999998</c:v>
                </c:pt>
                <c:pt idx="10">
                  <c:v>46.384999999999998</c:v>
                </c:pt>
                <c:pt idx="12">
                  <c:v>46.384999999999998</c:v>
                </c:pt>
              </c:numCache>
            </c:numRef>
          </c:val>
          <c:extLst>
            <c:ext xmlns:c16="http://schemas.microsoft.com/office/drawing/2014/chart" uri="{C3380CC4-5D6E-409C-BE32-E72D297353CC}">
              <c16:uniqueId val="{00000021-E860-47C3-BD70-1299DF345B6C}"/>
            </c:ext>
          </c:extLst>
        </c:ser>
        <c:ser>
          <c:idx val="2"/>
          <c:order val="2"/>
          <c:tx>
            <c:strRef>
              <c:f>'GWP RESULTS (COMPONENT)'!$F$10:$F$11</c:f>
              <c:strCache>
                <c:ptCount val="1"/>
                <c:pt idx="0">
                  <c:v>Fixings</c:v>
                </c:pt>
              </c:strCache>
            </c:strRef>
          </c:tx>
          <c:spPr>
            <a:solidFill>
              <a:schemeClr val="accent3"/>
            </a:solidFill>
            <a:ln>
              <a:noFill/>
            </a:ln>
            <a:effectLst/>
          </c:spPr>
          <c:invertIfNegative val="0"/>
          <c:cat>
            <c:strRef>
              <c:f>'GWP RESULTS (COMPONENT)'!$C$12:$C$25</c:f>
              <c:strCache>
                <c:ptCount val="13"/>
                <c:pt idx="0">
                  <c:v>A_LCA_ICFFormed Concrete_Brick</c:v>
                </c:pt>
                <c:pt idx="1">
                  <c:v>A_LCA_TimberClosed _Brick</c:v>
                </c:pt>
                <c:pt idx="2">
                  <c:v>A_LCA_TimberOpen_Brick</c:v>
                </c:pt>
                <c:pt idx="3">
                  <c:v>A_LCA_TimberPre-Insulated_Brick</c:v>
                </c:pt>
                <c:pt idx="4">
                  <c:v>Amvic300_EPD_ICFFormed Concrete_Brick</c:v>
                </c:pt>
                <c:pt idx="5">
                  <c:v>Amvic350_EPD_ICFFormed Concrete_Brick</c:v>
                </c:pt>
                <c:pt idx="6">
                  <c:v>Donaldson C Stud_EPD_TimberClosed _Brick</c:v>
                </c:pt>
                <c:pt idx="7">
                  <c:v>Donaldson Solid_EPD_TimberClosed _Brick</c:v>
                </c:pt>
                <c:pt idx="8">
                  <c:v>Donaldson_EPD_TimberOpen_Brick</c:v>
                </c:pt>
                <c:pt idx="9">
                  <c:v>Donaldson_EPD_TimberPre-Insulated_Brick</c:v>
                </c:pt>
                <c:pt idx="10">
                  <c:v>Nudura_EPD_ICFFormed Concrete_Brick</c:v>
                </c:pt>
                <c:pt idx="11">
                  <c:v>SkadoMedis_EPD_TimberClosed _Timber</c:v>
                </c:pt>
                <c:pt idx="12">
                  <c:v>Thermomur_EPD_ICFFormed Concrete_Brick</c:v>
                </c:pt>
              </c:strCache>
            </c:strRef>
          </c:cat>
          <c:val>
            <c:numRef>
              <c:f>'GWP RESULTS (COMPONENT)'!$F$12:$F$25</c:f>
              <c:numCache>
                <c:formatCode>General</c:formatCode>
                <c:ptCount val="13"/>
                <c:pt idx="0">
                  <c:v>1</c:v>
                </c:pt>
                <c:pt idx="1">
                  <c:v>1</c:v>
                </c:pt>
                <c:pt idx="2">
                  <c:v>1</c:v>
                </c:pt>
                <c:pt idx="3">
                  <c:v>1</c:v>
                </c:pt>
                <c:pt idx="4">
                  <c:v>1</c:v>
                </c:pt>
                <c:pt idx="5">
                  <c:v>1</c:v>
                </c:pt>
                <c:pt idx="6">
                  <c:v>1</c:v>
                </c:pt>
                <c:pt idx="7">
                  <c:v>1</c:v>
                </c:pt>
                <c:pt idx="8">
                  <c:v>1</c:v>
                </c:pt>
                <c:pt idx="9">
                  <c:v>1</c:v>
                </c:pt>
                <c:pt idx="10">
                  <c:v>1</c:v>
                </c:pt>
                <c:pt idx="12">
                  <c:v>1</c:v>
                </c:pt>
              </c:numCache>
            </c:numRef>
          </c:val>
          <c:extLst>
            <c:ext xmlns:c16="http://schemas.microsoft.com/office/drawing/2014/chart" uri="{C3380CC4-5D6E-409C-BE32-E72D297353CC}">
              <c16:uniqueId val="{00000022-E860-47C3-BD70-1299DF345B6C}"/>
            </c:ext>
          </c:extLst>
        </c:ser>
        <c:ser>
          <c:idx val="3"/>
          <c:order val="3"/>
          <c:tx>
            <c:strRef>
              <c:f>'GWP RESULTS (COMPONENT)'!$G$10:$G$11</c:f>
              <c:strCache>
                <c:ptCount val="1"/>
                <c:pt idx="0">
                  <c:v>Insulation</c:v>
                </c:pt>
              </c:strCache>
            </c:strRef>
          </c:tx>
          <c:spPr>
            <a:solidFill>
              <a:schemeClr val="accent4"/>
            </a:solidFill>
            <a:ln>
              <a:noFill/>
            </a:ln>
            <a:effectLst/>
          </c:spPr>
          <c:invertIfNegative val="0"/>
          <c:cat>
            <c:strRef>
              <c:f>'GWP RESULTS (COMPONENT)'!$C$12:$C$25</c:f>
              <c:strCache>
                <c:ptCount val="13"/>
                <c:pt idx="0">
                  <c:v>A_LCA_ICFFormed Concrete_Brick</c:v>
                </c:pt>
                <c:pt idx="1">
                  <c:v>A_LCA_TimberClosed _Brick</c:v>
                </c:pt>
                <c:pt idx="2">
                  <c:v>A_LCA_TimberOpen_Brick</c:v>
                </c:pt>
                <c:pt idx="3">
                  <c:v>A_LCA_TimberPre-Insulated_Brick</c:v>
                </c:pt>
                <c:pt idx="4">
                  <c:v>Amvic300_EPD_ICFFormed Concrete_Brick</c:v>
                </c:pt>
                <c:pt idx="5">
                  <c:v>Amvic350_EPD_ICFFormed Concrete_Brick</c:v>
                </c:pt>
                <c:pt idx="6">
                  <c:v>Donaldson C Stud_EPD_TimberClosed _Brick</c:v>
                </c:pt>
                <c:pt idx="7">
                  <c:v>Donaldson Solid_EPD_TimberClosed _Brick</c:v>
                </c:pt>
                <c:pt idx="8">
                  <c:v>Donaldson_EPD_TimberOpen_Brick</c:v>
                </c:pt>
                <c:pt idx="9">
                  <c:v>Donaldson_EPD_TimberPre-Insulated_Brick</c:v>
                </c:pt>
                <c:pt idx="10">
                  <c:v>Nudura_EPD_ICFFormed Concrete_Brick</c:v>
                </c:pt>
                <c:pt idx="11">
                  <c:v>SkadoMedis_EPD_TimberClosed _Timber</c:v>
                </c:pt>
                <c:pt idx="12">
                  <c:v>Thermomur_EPD_ICFFormed Concrete_Brick</c:v>
                </c:pt>
              </c:strCache>
            </c:strRef>
          </c:cat>
          <c:val>
            <c:numRef>
              <c:f>'GWP RESULTS (COMPONENT)'!$G$12:$G$25</c:f>
              <c:numCache>
                <c:formatCode>General</c:formatCode>
                <c:ptCount val="13"/>
                <c:pt idx="0">
                  <c:v>15.443402777777781</c:v>
                </c:pt>
                <c:pt idx="2">
                  <c:v>16.965440000000001</c:v>
                </c:pt>
                <c:pt idx="4">
                  <c:v>20.672000000000001</c:v>
                </c:pt>
                <c:pt idx="5">
                  <c:v>26.036999999999999</c:v>
                </c:pt>
                <c:pt idx="8">
                  <c:v>16.965440000000001</c:v>
                </c:pt>
                <c:pt idx="10">
                  <c:v>15.390090090090087</c:v>
                </c:pt>
                <c:pt idx="12">
                  <c:v>26.438000000000002</c:v>
                </c:pt>
              </c:numCache>
            </c:numRef>
          </c:val>
          <c:extLst>
            <c:ext xmlns:c16="http://schemas.microsoft.com/office/drawing/2014/chart" uri="{C3380CC4-5D6E-409C-BE32-E72D297353CC}">
              <c16:uniqueId val="{00000023-E860-47C3-BD70-1299DF345B6C}"/>
            </c:ext>
          </c:extLst>
        </c:ser>
        <c:ser>
          <c:idx val="4"/>
          <c:order val="4"/>
          <c:tx>
            <c:strRef>
              <c:f>'GWP RESULTS (COMPONENT)'!$H$10:$H$11</c:f>
              <c:strCache>
                <c:ptCount val="1"/>
                <c:pt idx="0">
                  <c:v>Internal Finish</c:v>
                </c:pt>
              </c:strCache>
            </c:strRef>
          </c:tx>
          <c:spPr>
            <a:solidFill>
              <a:schemeClr val="accent5"/>
            </a:solidFill>
            <a:ln>
              <a:noFill/>
            </a:ln>
            <a:effectLst/>
          </c:spPr>
          <c:invertIfNegative val="0"/>
          <c:cat>
            <c:strRef>
              <c:f>'GWP RESULTS (COMPONENT)'!$C$12:$C$25</c:f>
              <c:strCache>
                <c:ptCount val="13"/>
                <c:pt idx="0">
                  <c:v>A_LCA_ICFFormed Concrete_Brick</c:v>
                </c:pt>
                <c:pt idx="1">
                  <c:v>A_LCA_TimberClosed _Brick</c:v>
                </c:pt>
                <c:pt idx="2">
                  <c:v>A_LCA_TimberOpen_Brick</c:v>
                </c:pt>
                <c:pt idx="3">
                  <c:v>A_LCA_TimberPre-Insulated_Brick</c:v>
                </c:pt>
                <c:pt idx="4">
                  <c:v>Amvic300_EPD_ICFFormed Concrete_Brick</c:v>
                </c:pt>
                <c:pt idx="5">
                  <c:v>Amvic350_EPD_ICFFormed Concrete_Brick</c:v>
                </c:pt>
                <c:pt idx="6">
                  <c:v>Donaldson C Stud_EPD_TimberClosed _Brick</c:v>
                </c:pt>
                <c:pt idx="7">
                  <c:v>Donaldson Solid_EPD_TimberClosed _Brick</c:v>
                </c:pt>
                <c:pt idx="8">
                  <c:v>Donaldson_EPD_TimberOpen_Brick</c:v>
                </c:pt>
                <c:pt idx="9">
                  <c:v>Donaldson_EPD_TimberPre-Insulated_Brick</c:v>
                </c:pt>
                <c:pt idx="10">
                  <c:v>Nudura_EPD_ICFFormed Concrete_Brick</c:v>
                </c:pt>
                <c:pt idx="11">
                  <c:v>SkadoMedis_EPD_TimberClosed _Timber</c:v>
                </c:pt>
                <c:pt idx="12">
                  <c:v>Thermomur_EPD_ICFFormed Concrete_Brick</c:v>
                </c:pt>
              </c:strCache>
            </c:strRef>
          </c:cat>
          <c:val>
            <c:numRef>
              <c:f>'GWP RESULTS (COMPONENT)'!$H$12:$H$25</c:f>
              <c:numCache>
                <c:formatCode>General</c:formatCode>
                <c:ptCount val="13"/>
                <c:pt idx="0">
                  <c:v>2.839</c:v>
                </c:pt>
                <c:pt idx="1">
                  <c:v>1.839</c:v>
                </c:pt>
                <c:pt idx="2">
                  <c:v>2.839</c:v>
                </c:pt>
                <c:pt idx="3">
                  <c:v>2.839</c:v>
                </c:pt>
                <c:pt idx="4">
                  <c:v>2.839</c:v>
                </c:pt>
                <c:pt idx="5">
                  <c:v>2.839</c:v>
                </c:pt>
                <c:pt idx="6">
                  <c:v>1.839</c:v>
                </c:pt>
                <c:pt idx="7">
                  <c:v>1.839</c:v>
                </c:pt>
                <c:pt idx="8">
                  <c:v>2.839</c:v>
                </c:pt>
                <c:pt idx="9">
                  <c:v>2.839</c:v>
                </c:pt>
                <c:pt idx="10">
                  <c:v>2.839</c:v>
                </c:pt>
                <c:pt idx="12">
                  <c:v>2.839</c:v>
                </c:pt>
              </c:numCache>
            </c:numRef>
          </c:val>
          <c:extLst>
            <c:ext xmlns:c16="http://schemas.microsoft.com/office/drawing/2014/chart" uri="{C3380CC4-5D6E-409C-BE32-E72D297353CC}">
              <c16:uniqueId val="{00000024-E860-47C3-BD70-1299DF345B6C}"/>
            </c:ext>
          </c:extLst>
        </c:ser>
        <c:ser>
          <c:idx val="5"/>
          <c:order val="5"/>
          <c:tx>
            <c:strRef>
              <c:f>'GWP RESULTS (COMPONENT)'!$I$10:$I$11</c:f>
              <c:strCache>
                <c:ptCount val="1"/>
                <c:pt idx="0">
                  <c:v>Sheathing</c:v>
                </c:pt>
              </c:strCache>
            </c:strRef>
          </c:tx>
          <c:spPr>
            <a:solidFill>
              <a:schemeClr val="accent6"/>
            </a:solidFill>
            <a:ln>
              <a:noFill/>
            </a:ln>
            <a:effectLst/>
          </c:spPr>
          <c:invertIfNegative val="0"/>
          <c:cat>
            <c:strRef>
              <c:f>'GWP RESULTS (COMPONENT)'!$C$12:$C$25</c:f>
              <c:strCache>
                <c:ptCount val="13"/>
                <c:pt idx="0">
                  <c:v>A_LCA_ICFFormed Concrete_Brick</c:v>
                </c:pt>
                <c:pt idx="1">
                  <c:v>A_LCA_TimberClosed _Brick</c:v>
                </c:pt>
                <c:pt idx="2">
                  <c:v>A_LCA_TimberOpen_Brick</c:v>
                </c:pt>
                <c:pt idx="3">
                  <c:v>A_LCA_TimberPre-Insulated_Brick</c:v>
                </c:pt>
                <c:pt idx="4">
                  <c:v>Amvic300_EPD_ICFFormed Concrete_Brick</c:v>
                </c:pt>
                <c:pt idx="5">
                  <c:v>Amvic350_EPD_ICFFormed Concrete_Brick</c:v>
                </c:pt>
                <c:pt idx="6">
                  <c:v>Donaldson C Stud_EPD_TimberClosed _Brick</c:v>
                </c:pt>
                <c:pt idx="7">
                  <c:v>Donaldson Solid_EPD_TimberClosed _Brick</c:v>
                </c:pt>
                <c:pt idx="8">
                  <c:v>Donaldson_EPD_TimberOpen_Brick</c:v>
                </c:pt>
                <c:pt idx="9">
                  <c:v>Donaldson_EPD_TimberPre-Insulated_Brick</c:v>
                </c:pt>
                <c:pt idx="10">
                  <c:v>Nudura_EPD_ICFFormed Concrete_Brick</c:v>
                </c:pt>
                <c:pt idx="11">
                  <c:v>SkadoMedis_EPD_TimberClosed _Timber</c:v>
                </c:pt>
                <c:pt idx="12">
                  <c:v>Thermomur_EPD_ICFFormed Concrete_Brick</c:v>
                </c:pt>
              </c:strCache>
            </c:strRef>
          </c:cat>
          <c:val>
            <c:numRef>
              <c:f>'GWP RESULTS (COMPONENT)'!$I$12:$I$25</c:f>
              <c:numCache>
                <c:formatCode>General</c:formatCode>
                <c:ptCount val="13"/>
                <c:pt idx="2">
                  <c:v>2.4569999999999999</c:v>
                </c:pt>
              </c:numCache>
            </c:numRef>
          </c:val>
          <c:extLst>
            <c:ext xmlns:c16="http://schemas.microsoft.com/office/drawing/2014/chart" uri="{C3380CC4-5D6E-409C-BE32-E72D297353CC}">
              <c16:uniqueId val="{00000000-2599-4C99-9CCE-A01C388732D3}"/>
            </c:ext>
          </c:extLst>
        </c:ser>
        <c:ser>
          <c:idx val="6"/>
          <c:order val="6"/>
          <c:tx>
            <c:strRef>
              <c:f>'GWP RESULTS (COMPONENT)'!$J$10:$J$11</c:f>
              <c:strCache>
                <c:ptCount val="1"/>
                <c:pt idx="0">
                  <c:v>Structural</c:v>
                </c:pt>
              </c:strCache>
            </c:strRef>
          </c:tx>
          <c:spPr>
            <a:solidFill>
              <a:schemeClr val="accent1">
                <a:lumMod val="60000"/>
              </a:schemeClr>
            </a:solidFill>
            <a:ln>
              <a:noFill/>
            </a:ln>
            <a:effectLst/>
          </c:spPr>
          <c:invertIfNegative val="0"/>
          <c:cat>
            <c:strRef>
              <c:f>'GWP RESULTS (COMPONENT)'!$C$12:$C$25</c:f>
              <c:strCache>
                <c:ptCount val="13"/>
                <c:pt idx="0">
                  <c:v>A_LCA_ICFFormed Concrete_Brick</c:v>
                </c:pt>
                <c:pt idx="1">
                  <c:v>A_LCA_TimberClosed _Brick</c:v>
                </c:pt>
                <c:pt idx="2">
                  <c:v>A_LCA_TimberOpen_Brick</c:v>
                </c:pt>
                <c:pt idx="3">
                  <c:v>A_LCA_TimberPre-Insulated_Brick</c:v>
                </c:pt>
                <c:pt idx="4">
                  <c:v>Amvic300_EPD_ICFFormed Concrete_Brick</c:v>
                </c:pt>
                <c:pt idx="5">
                  <c:v>Amvic350_EPD_ICFFormed Concrete_Brick</c:v>
                </c:pt>
                <c:pt idx="6">
                  <c:v>Donaldson C Stud_EPD_TimberClosed _Brick</c:v>
                </c:pt>
                <c:pt idx="7">
                  <c:v>Donaldson Solid_EPD_TimberClosed _Brick</c:v>
                </c:pt>
                <c:pt idx="8">
                  <c:v>Donaldson_EPD_TimberOpen_Brick</c:v>
                </c:pt>
                <c:pt idx="9">
                  <c:v>Donaldson_EPD_TimberPre-Insulated_Brick</c:v>
                </c:pt>
                <c:pt idx="10">
                  <c:v>Nudura_EPD_ICFFormed Concrete_Brick</c:v>
                </c:pt>
                <c:pt idx="11">
                  <c:v>SkadoMedis_EPD_TimberClosed _Timber</c:v>
                </c:pt>
                <c:pt idx="12">
                  <c:v>Thermomur_EPD_ICFFormed Concrete_Brick</c:v>
                </c:pt>
              </c:strCache>
            </c:strRef>
          </c:cat>
          <c:val>
            <c:numRef>
              <c:f>'GWP RESULTS (COMPONENT)'!$J$12:$J$25</c:f>
              <c:numCache>
                <c:formatCode>General</c:formatCode>
                <c:ptCount val="13"/>
                <c:pt idx="0">
                  <c:v>49.463402777777773</c:v>
                </c:pt>
                <c:pt idx="2">
                  <c:v>2.3537952083333336</c:v>
                </c:pt>
                <c:pt idx="4">
                  <c:v>46.812902777777779</c:v>
                </c:pt>
                <c:pt idx="5">
                  <c:v>46.812902777777779</c:v>
                </c:pt>
                <c:pt idx="8">
                  <c:v>14.681000000000001</c:v>
                </c:pt>
                <c:pt idx="10">
                  <c:v>46.812902777777779</c:v>
                </c:pt>
                <c:pt idx="12">
                  <c:v>46.812902777777779</c:v>
                </c:pt>
              </c:numCache>
            </c:numRef>
          </c:val>
          <c:extLst>
            <c:ext xmlns:c16="http://schemas.microsoft.com/office/drawing/2014/chart" uri="{C3380CC4-5D6E-409C-BE32-E72D297353CC}">
              <c16:uniqueId val="{00000002-2599-4C99-9CCE-A01C388732D3}"/>
            </c:ext>
          </c:extLst>
        </c:ser>
        <c:ser>
          <c:idx val="7"/>
          <c:order val="7"/>
          <c:tx>
            <c:strRef>
              <c:f>'GWP RESULTS (COMPONENT)'!$K$10:$K$11</c:f>
              <c:strCache>
                <c:ptCount val="1"/>
                <c:pt idx="0">
                  <c:v>Structural, Insulation, Weatherproofing</c:v>
                </c:pt>
              </c:strCache>
            </c:strRef>
          </c:tx>
          <c:spPr>
            <a:solidFill>
              <a:schemeClr val="accent2">
                <a:lumMod val="60000"/>
              </a:schemeClr>
            </a:solidFill>
            <a:ln>
              <a:noFill/>
            </a:ln>
            <a:effectLst/>
          </c:spPr>
          <c:invertIfNegative val="0"/>
          <c:cat>
            <c:strRef>
              <c:f>'GWP RESULTS (COMPONENT)'!$C$12:$C$25</c:f>
              <c:strCache>
                <c:ptCount val="13"/>
                <c:pt idx="0">
                  <c:v>A_LCA_ICFFormed Concrete_Brick</c:v>
                </c:pt>
                <c:pt idx="1">
                  <c:v>A_LCA_TimberClosed _Brick</c:v>
                </c:pt>
                <c:pt idx="2">
                  <c:v>A_LCA_TimberOpen_Brick</c:v>
                </c:pt>
                <c:pt idx="3">
                  <c:v>A_LCA_TimberPre-Insulated_Brick</c:v>
                </c:pt>
                <c:pt idx="4">
                  <c:v>Amvic300_EPD_ICFFormed Concrete_Brick</c:v>
                </c:pt>
                <c:pt idx="5">
                  <c:v>Amvic350_EPD_ICFFormed Concrete_Brick</c:v>
                </c:pt>
                <c:pt idx="6">
                  <c:v>Donaldson C Stud_EPD_TimberClosed _Brick</c:v>
                </c:pt>
                <c:pt idx="7">
                  <c:v>Donaldson Solid_EPD_TimberClosed _Brick</c:v>
                </c:pt>
                <c:pt idx="8">
                  <c:v>Donaldson_EPD_TimberOpen_Brick</c:v>
                </c:pt>
                <c:pt idx="9">
                  <c:v>Donaldson_EPD_TimberPre-Insulated_Brick</c:v>
                </c:pt>
                <c:pt idx="10">
                  <c:v>Nudura_EPD_ICFFormed Concrete_Brick</c:v>
                </c:pt>
                <c:pt idx="11">
                  <c:v>SkadoMedis_EPD_TimberClosed _Timber</c:v>
                </c:pt>
                <c:pt idx="12">
                  <c:v>Thermomur_EPD_ICFFormed Concrete_Brick</c:v>
                </c:pt>
              </c:strCache>
            </c:strRef>
          </c:cat>
          <c:val>
            <c:numRef>
              <c:f>'GWP RESULTS (COMPONENT)'!$K$12:$K$25</c:f>
              <c:numCache>
                <c:formatCode>General</c:formatCode>
                <c:ptCount val="13"/>
                <c:pt idx="1">
                  <c:v>25.485526875000001</c:v>
                </c:pt>
                <c:pt idx="3">
                  <c:v>22.028526875000001</c:v>
                </c:pt>
                <c:pt idx="6">
                  <c:v>27.8</c:v>
                </c:pt>
                <c:pt idx="7">
                  <c:v>21.7</c:v>
                </c:pt>
                <c:pt idx="9">
                  <c:v>18.8</c:v>
                </c:pt>
              </c:numCache>
            </c:numRef>
          </c:val>
          <c:extLst>
            <c:ext xmlns:c16="http://schemas.microsoft.com/office/drawing/2014/chart" uri="{C3380CC4-5D6E-409C-BE32-E72D297353CC}">
              <c16:uniqueId val="{00000003-2599-4C99-9CCE-A01C388732D3}"/>
            </c:ext>
          </c:extLst>
        </c:ser>
        <c:ser>
          <c:idx val="8"/>
          <c:order val="8"/>
          <c:tx>
            <c:strRef>
              <c:f>'GWP RESULTS (COMPONENT)'!$L$10:$L$11</c:f>
              <c:strCache>
                <c:ptCount val="1"/>
                <c:pt idx="0">
                  <c:v>Weatherproofing</c:v>
                </c:pt>
              </c:strCache>
            </c:strRef>
          </c:tx>
          <c:spPr>
            <a:solidFill>
              <a:srgbClr val="FF0000"/>
            </a:solidFill>
            <a:ln>
              <a:noFill/>
            </a:ln>
            <a:effectLst/>
          </c:spPr>
          <c:invertIfNegative val="0"/>
          <c:cat>
            <c:strRef>
              <c:f>'GWP RESULTS (COMPONENT)'!$C$12:$C$25</c:f>
              <c:strCache>
                <c:ptCount val="13"/>
                <c:pt idx="0">
                  <c:v>A_LCA_ICFFormed Concrete_Brick</c:v>
                </c:pt>
                <c:pt idx="1">
                  <c:v>A_LCA_TimberClosed _Brick</c:v>
                </c:pt>
                <c:pt idx="2">
                  <c:v>A_LCA_TimberOpen_Brick</c:v>
                </c:pt>
                <c:pt idx="3">
                  <c:v>A_LCA_TimberPre-Insulated_Brick</c:v>
                </c:pt>
                <c:pt idx="4">
                  <c:v>Amvic300_EPD_ICFFormed Concrete_Brick</c:v>
                </c:pt>
                <c:pt idx="5">
                  <c:v>Amvic350_EPD_ICFFormed Concrete_Brick</c:v>
                </c:pt>
                <c:pt idx="6">
                  <c:v>Donaldson C Stud_EPD_TimberClosed _Brick</c:v>
                </c:pt>
                <c:pt idx="7">
                  <c:v>Donaldson Solid_EPD_TimberClosed _Brick</c:v>
                </c:pt>
                <c:pt idx="8">
                  <c:v>Donaldson_EPD_TimberOpen_Brick</c:v>
                </c:pt>
                <c:pt idx="9">
                  <c:v>Donaldson_EPD_TimberPre-Insulated_Brick</c:v>
                </c:pt>
                <c:pt idx="10">
                  <c:v>Nudura_EPD_ICFFormed Concrete_Brick</c:v>
                </c:pt>
                <c:pt idx="11">
                  <c:v>SkadoMedis_EPD_TimberClosed _Timber</c:v>
                </c:pt>
                <c:pt idx="12">
                  <c:v>Thermomur_EPD_ICFFormed Concrete_Brick</c:v>
                </c:pt>
              </c:strCache>
            </c:strRef>
          </c:cat>
          <c:val>
            <c:numRef>
              <c:f>'GWP RESULTS (COMPONENT)'!$L$12:$L$25</c:f>
              <c:numCache>
                <c:formatCode>General</c:formatCode>
                <c:ptCount val="13"/>
                <c:pt idx="0">
                  <c:v>0.25229166666666669</c:v>
                </c:pt>
                <c:pt idx="2">
                  <c:v>0.25229166666666669</c:v>
                </c:pt>
                <c:pt idx="4">
                  <c:v>0.25229166666666669</c:v>
                </c:pt>
                <c:pt idx="5">
                  <c:v>0.25229166666666669</c:v>
                </c:pt>
                <c:pt idx="8">
                  <c:v>0.25229166666666669</c:v>
                </c:pt>
                <c:pt idx="10">
                  <c:v>0.25229166666666669</c:v>
                </c:pt>
                <c:pt idx="12">
                  <c:v>0.25229166666666669</c:v>
                </c:pt>
              </c:numCache>
            </c:numRef>
          </c:val>
          <c:extLst>
            <c:ext xmlns:c16="http://schemas.microsoft.com/office/drawing/2014/chart" uri="{C3380CC4-5D6E-409C-BE32-E72D297353CC}">
              <c16:uniqueId val="{00000004-2599-4C99-9CCE-A01C388732D3}"/>
            </c:ext>
          </c:extLst>
        </c:ser>
        <c:dLbls>
          <c:showLegendKey val="0"/>
          <c:showVal val="0"/>
          <c:showCatName val="0"/>
          <c:showSerName val="0"/>
          <c:showPercent val="0"/>
          <c:showBubbleSize val="0"/>
        </c:dLbls>
        <c:gapWidth val="150"/>
        <c:overlap val="100"/>
        <c:axId val="744058351"/>
        <c:axId val="744056431"/>
      </c:barChart>
      <c:catAx>
        <c:axId val="7440583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4056431"/>
        <c:crosses val="autoZero"/>
        <c:auto val="1"/>
        <c:lblAlgn val="ctr"/>
        <c:lblOffset val="100"/>
        <c:noMultiLvlLbl val="0"/>
      </c:catAx>
      <c:valAx>
        <c:axId val="74405643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405835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[MMC_LCA_Consolidated_Spreadsheet_MacroEnabled.xlsm]GWP RESULTS (DATA SOURCE)!PivotTable1</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percentStacked"/>
        <c:varyColors val="0"/>
        <c:ser>
          <c:idx val="0"/>
          <c:order val="0"/>
          <c:tx>
            <c:strRef>
              <c:f>'GWP RESULTS (DATA SOURCE)'!$G$5:$G$6</c:f>
              <c:strCache>
                <c:ptCount val="1"/>
                <c:pt idx="0">
                  <c:v>Additional EPD</c:v>
                </c:pt>
              </c:strCache>
            </c:strRef>
          </c:tx>
          <c:spPr>
            <a:solidFill>
              <a:schemeClr val="accent1"/>
            </a:solidFill>
            <a:ln>
              <a:noFill/>
            </a:ln>
            <a:effectLst/>
          </c:spPr>
          <c:invertIfNegative val="0"/>
          <c:cat>
            <c:strRef>
              <c:f>'GWP RESULTS (DATA SOURCE)'!$F$7:$F$34</c:f>
              <c:strCache>
                <c:ptCount val="27"/>
                <c:pt idx="0">
                  <c:v>A_LCA_ICFFormed Concrete_Brick</c:v>
                </c:pt>
                <c:pt idx="1">
                  <c:v>A_LCA_LGSOpen_Brick</c:v>
                </c:pt>
                <c:pt idx="2">
                  <c:v>A_LCA_LGSOpen_Composite Fiber</c:v>
                </c:pt>
                <c:pt idx="3">
                  <c:v>A_LCA_TimberClosed _Brick</c:v>
                </c:pt>
                <c:pt idx="4">
                  <c:v>A_LCA_TimberOpen_Brick</c:v>
                </c:pt>
                <c:pt idx="5">
                  <c:v>A_LCA_TimberPre-Insulated_Brick</c:v>
                </c:pt>
                <c:pt idx="6">
                  <c:v>Aircrete High Ten_EPD_Concrete BlockTraditional_Brick</c:v>
                </c:pt>
                <c:pt idx="7">
                  <c:v>Aircrete Seven_EPD_Concrete BlockTraditional_Brick</c:v>
                </c:pt>
                <c:pt idx="8">
                  <c:v>Aircrete Standard_EPD_Concrete BlockTraditional_Brick</c:v>
                </c:pt>
                <c:pt idx="9">
                  <c:v>Aircrete Super_EPD_Concrete BlockTraditional_Brick</c:v>
                </c:pt>
                <c:pt idx="10">
                  <c:v>Amvic300_EPD_ICFFormed Concrete_Brick</c:v>
                </c:pt>
                <c:pt idx="11">
                  <c:v>Amvic350_EPD_ICFFormed Concrete_Brick</c:v>
                </c:pt>
                <c:pt idx="12">
                  <c:v>Donaldson C Stud_EPD_TimberClosed _Brick</c:v>
                </c:pt>
                <c:pt idx="13">
                  <c:v>Donaldson Solid_EPD_TimberClosed _Brick</c:v>
                </c:pt>
                <c:pt idx="14">
                  <c:v>Donaldson_EPD_TimberOpen_Brick</c:v>
                </c:pt>
                <c:pt idx="15">
                  <c:v>Donaldson_EPD_TimberPre-Insulated_Brick</c:v>
                </c:pt>
                <c:pt idx="16">
                  <c:v>Horizon_EPD_LGSOpen_Brick</c:v>
                </c:pt>
                <c:pt idx="17">
                  <c:v>MgO_EPD_SIPClosed _Brick</c:v>
                </c:pt>
                <c:pt idx="18">
                  <c:v>Nudura_EPD_ICFFormed Concrete_Brick</c:v>
                </c:pt>
                <c:pt idx="19">
                  <c:v>NZSIP 115_EPD_SIPClosed _Brick</c:v>
                </c:pt>
                <c:pt idx="20">
                  <c:v>Roadstone Solid_EPD_Concrete BlockTraditional_Brick</c:v>
                </c:pt>
                <c:pt idx="21">
                  <c:v>SIGMAT_EPD_LGSOpen_Brick</c:v>
                </c:pt>
                <c:pt idx="22">
                  <c:v>SkadoMedis_EPD_TimberClosed _Timber</c:v>
                </c:pt>
                <c:pt idx="23">
                  <c:v>SP-170_EPD_SIPClosed _Brick</c:v>
                </c:pt>
                <c:pt idx="24">
                  <c:v>SP-270_EPD_SIPClosed _Brick</c:v>
                </c:pt>
                <c:pt idx="25">
                  <c:v>Thermomur_EPD_ICFFormed Concrete_Brick</c:v>
                </c:pt>
                <c:pt idx="26">
                  <c:v>USASIP_EPD_SIPClosed _Brick</c:v>
                </c:pt>
              </c:strCache>
            </c:strRef>
          </c:cat>
          <c:val>
            <c:numRef>
              <c:f>'GWP RESULTS (DATA SOURCE)'!$G$7:$G$34</c:f>
              <c:numCache>
                <c:formatCode>General</c:formatCode>
                <c:ptCount val="27"/>
                <c:pt idx="0">
                  <c:v>4.1849999999999996</c:v>
                </c:pt>
                <c:pt idx="1">
                  <c:v>4.1849999999999996</c:v>
                </c:pt>
                <c:pt idx="3">
                  <c:v>4.1849999999999996</c:v>
                </c:pt>
                <c:pt idx="4">
                  <c:v>4.1849999999999996</c:v>
                </c:pt>
                <c:pt idx="5">
                  <c:v>4.1849999999999996</c:v>
                </c:pt>
                <c:pt idx="6">
                  <c:v>8.3699999999999992</c:v>
                </c:pt>
                <c:pt idx="7">
                  <c:v>8.3699999999999992</c:v>
                </c:pt>
                <c:pt idx="8">
                  <c:v>8.3699999999999992</c:v>
                </c:pt>
                <c:pt idx="9">
                  <c:v>8.3699999999999992</c:v>
                </c:pt>
                <c:pt idx="10">
                  <c:v>38.6145</c:v>
                </c:pt>
                <c:pt idx="11">
                  <c:v>38.6145</c:v>
                </c:pt>
                <c:pt idx="12">
                  <c:v>46.801724999999998</c:v>
                </c:pt>
                <c:pt idx="13">
                  <c:v>46.801724999999998</c:v>
                </c:pt>
                <c:pt idx="14">
                  <c:v>46.801724999999998</c:v>
                </c:pt>
                <c:pt idx="15">
                  <c:v>46.801724999999998</c:v>
                </c:pt>
                <c:pt idx="16">
                  <c:v>46.801724999999998</c:v>
                </c:pt>
                <c:pt idx="17">
                  <c:v>4.1849999999999996</c:v>
                </c:pt>
                <c:pt idx="18">
                  <c:v>38.6145</c:v>
                </c:pt>
                <c:pt idx="19">
                  <c:v>4.1849999999999996</c:v>
                </c:pt>
                <c:pt idx="20">
                  <c:v>8.3699999999999992</c:v>
                </c:pt>
                <c:pt idx="21">
                  <c:v>46.801724999999998</c:v>
                </c:pt>
                <c:pt idx="23">
                  <c:v>4.1849999999999996</c:v>
                </c:pt>
                <c:pt idx="24">
                  <c:v>4.1849999999999996</c:v>
                </c:pt>
                <c:pt idx="25">
                  <c:v>38.6145</c:v>
                </c:pt>
                <c:pt idx="26">
                  <c:v>4.1849999999999996</c:v>
                </c:pt>
              </c:numCache>
            </c:numRef>
          </c:val>
          <c:extLst>
            <c:ext xmlns:c16="http://schemas.microsoft.com/office/drawing/2014/chart" uri="{C3380CC4-5D6E-409C-BE32-E72D297353CC}">
              <c16:uniqueId val="{00000000-5EB9-4B8C-AD33-1258E98D16A9}"/>
            </c:ext>
          </c:extLst>
        </c:ser>
        <c:ser>
          <c:idx val="1"/>
          <c:order val="1"/>
          <c:tx>
            <c:strRef>
              <c:f>'GWP RESULTS (DATA SOURCE)'!$H$5:$H$6</c:f>
              <c:strCache>
                <c:ptCount val="1"/>
                <c:pt idx="0">
                  <c:v>Base EPD</c:v>
                </c:pt>
              </c:strCache>
            </c:strRef>
          </c:tx>
          <c:spPr>
            <a:solidFill>
              <a:schemeClr val="accent2"/>
            </a:solidFill>
            <a:ln>
              <a:noFill/>
            </a:ln>
            <a:effectLst/>
          </c:spPr>
          <c:invertIfNegative val="0"/>
          <c:cat>
            <c:strRef>
              <c:f>'GWP RESULTS (DATA SOURCE)'!$F$7:$F$34</c:f>
              <c:strCache>
                <c:ptCount val="27"/>
                <c:pt idx="0">
                  <c:v>A_LCA_ICFFormed Concrete_Brick</c:v>
                </c:pt>
                <c:pt idx="1">
                  <c:v>A_LCA_LGSOpen_Brick</c:v>
                </c:pt>
                <c:pt idx="2">
                  <c:v>A_LCA_LGSOpen_Composite Fiber</c:v>
                </c:pt>
                <c:pt idx="3">
                  <c:v>A_LCA_TimberClosed _Brick</c:v>
                </c:pt>
                <c:pt idx="4">
                  <c:v>A_LCA_TimberOpen_Brick</c:v>
                </c:pt>
                <c:pt idx="5">
                  <c:v>A_LCA_TimberPre-Insulated_Brick</c:v>
                </c:pt>
                <c:pt idx="6">
                  <c:v>Aircrete High Ten_EPD_Concrete BlockTraditional_Brick</c:v>
                </c:pt>
                <c:pt idx="7">
                  <c:v>Aircrete Seven_EPD_Concrete BlockTraditional_Brick</c:v>
                </c:pt>
                <c:pt idx="8">
                  <c:v>Aircrete Standard_EPD_Concrete BlockTraditional_Brick</c:v>
                </c:pt>
                <c:pt idx="9">
                  <c:v>Aircrete Super_EPD_Concrete BlockTraditional_Brick</c:v>
                </c:pt>
                <c:pt idx="10">
                  <c:v>Amvic300_EPD_ICFFormed Concrete_Brick</c:v>
                </c:pt>
                <c:pt idx="11">
                  <c:v>Amvic350_EPD_ICFFormed Concrete_Brick</c:v>
                </c:pt>
                <c:pt idx="12">
                  <c:v>Donaldson C Stud_EPD_TimberClosed _Brick</c:v>
                </c:pt>
                <c:pt idx="13">
                  <c:v>Donaldson Solid_EPD_TimberClosed _Brick</c:v>
                </c:pt>
                <c:pt idx="14">
                  <c:v>Donaldson_EPD_TimberOpen_Brick</c:v>
                </c:pt>
                <c:pt idx="15">
                  <c:v>Donaldson_EPD_TimberPre-Insulated_Brick</c:v>
                </c:pt>
                <c:pt idx="16">
                  <c:v>Horizon_EPD_LGSOpen_Brick</c:v>
                </c:pt>
                <c:pt idx="17">
                  <c:v>MgO_EPD_SIPClosed _Brick</c:v>
                </c:pt>
                <c:pt idx="18">
                  <c:v>Nudura_EPD_ICFFormed Concrete_Brick</c:v>
                </c:pt>
                <c:pt idx="19">
                  <c:v>NZSIP 115_EPD_SIPClosed _Brick</c:v>
                </c:pt>
                <c:pt idx="20">
                  <c:v>Roadstone Solid_EPD_Concrete BlockTraditional_Brick</c:v>
                </c:pt>
                <c:pt idx="21">
                  <c:v>SIGMAT_EPD_LGSOpen_Brick</c:v>
                </c:pt>
                <c:pt idx="22">
                  <c:v>SkadoMedis_EPD_TimberClosed _Timber</c:v>
                </c:pt>
                <c:pt idx="23">
                  <c:v>SP-170_EPD_SIPClosed _Brick</c:v>
                </c:pt>
                <c:pt idx="24">
                  <c:v>SP-270_EPD_SIPClosed _Brick</c:v>
                </c:pt>
                <c:pt idx="25">
                  <c:v>Thermomur_EPD_ICFFormed Concrete_Brick</c:v>
                </c:pt>
                <c:pt idx="26">
                  <c:v>USASIP_EPD_SIPClosed _Brick</c:v>
                </c:pt>
              </c:strCache>
            </c:strRef>
          </c:cat>
          <c:val>
            <c:numRef>
              <c:f>'GWP RESULTS (DATA SOURCE)'!$H$7:$H$34</c:f>
              <c:numCache>
                <c:formatCode>General</c:formatCode>
                <c:ptCount val="27"/>
                <c:pt idx="2">
                  <c:v>21</c:v>
                </c:pt>
                <c:pt idx="6">
                  <c:v>49.964215500000002</c:v>
                </c:pt>
                <c:pt idx="7">
                  <c:v>53.283106000000011</c:v>
                </c:pt>
                <c:pt idx="8">
                  <c:v>45.864552500000002</c:v>
                </c:pt>
                <c:pt idx="9">
                  <c:v>36.921864000000006</c:v>
                </c:pt>
                <c:pt idx="10">
                  <c:v>20.672000000000001</c:v>
                </c:pt>
                <c:pt idx="11">
                  <c:v>26.036999999999999</c:v>
                </c:pt>
                <c:pt idx="12">
                  <c:v>27.8</c:v>
                </c:pt>
                <c:pt idx="13">
                  <c:v>21.7</c:v>
                </c:pt>
                <c:pt idx="14">
                  <c:v>14.681000000000001</c:v>
                </c:pt>
                <c:pt idx="15">
                  <c:v>18.8</c:v>
                </c:pt>
                <c:pt idx="16">
                  <c:v>9.9992200000000011</c:v>
                </c:pt>
                <c:pt idx="18">
                  <c:v>15.390090090090087</c:v>
                </c:pt>
                <c:pt idx="19">
                  <c:v>40</c:v>
                </c:pt>
                <c:pt idx="20">
                  <c:v>20.360500000000002</c:v>
                </c:pt>
                <c:pt idx="21">
                  <c:v>15.372500000000002</c:v>
                </c:pt>
                <c:pt idx="22">
                  <c:v>24.7</c:v>
                </c:pt>
                <c:pt idx="23">
                  <c:v>19.5</c:v>
                </c:pt>
                <c:pt idx="24">
                  <c:v>24.6</c:v>
                </c:pt>
                <c:pt idx="25">
                  <c:v>26.438000000000002</c:v>
                </c:pt>
                <c:pt idx="26">
                  <c:v>23.1</c:v>
                </c:pt>
              </c:numCache>
            </c:numRef>
          </c:val>
          <c:extLst>
            <c:ext xmlns:c16="http://schemas.microsoft.com/office/drawing/2014/chart" uri="{C3380CC4-5D6E-409C-BE32-E72D297353CC}">
              <c16:uniqueId val="{00000001-5EB9-4B8C-AD33-1258E98D16A9}"/>
            </c:ext>
          </c:extLst>
        </c:ser>
        <c:ser>
          <c:idx val="2"/>
          <c:order val="2"/>
          <c:tx>
            <c:strRef>
              <c:f>'GWP RESULTS (DATA SOURCE)'!$I$5:$I$6</c:f>
              <c:strCache>
                <c:ptCount val="1"/>
                <c:pt idx="0">
                  <c:v>EPD</c:v>
                </c:pt>
              </c:strCache>
            </c:strRef>
          </c:tx>
          <c:spPr>
            <a:solidFill>
              <a:schemeClr val="accent3"/>
            </a:solidFill>
            <a:ln>
              <a:noFill/>
            </a:ln>
            <a:effectLst/>
          </c:spPr>
          <c:invertIfNegative val="0"/>
          <c:cat>
            <c:strRef>
              <c:f>'GWP RESULTS (DATA SOURCE)'!$F$7:$F$34</c:f>
              <c:strCache>
                <c:ptCount val="27"/>
                <c:pt idx="0">
                  <c:v>A_LCA_ICFFormed Concrete_Brick</c:v>
                </c:pt>
                <c:pt idx="1">
                  <c:v>A_LCA_LGSOpen_Brick</c:v>
                </c:pt>
                <c:pt idx="2">
                  <c:v>A_LCA_LGSOpen_Composite Fiber</c:v>
                </c:pt>
                <c:pt idx="3">
                  <c:v>A_LCA_TimberClosed _Brick</c:v>
                </c:pt>
                <c:pt idx="4">
                  <c:v>A_LCA_TimberOpen_Brick</c:v>
                </c:pt>
                <c:pt idx="5">
                  <c:v>A_LCA_TimberPre-Insulated_Brick</c:v>
                </c:pt>
                <c:pt idx="6">
                  <c:v>Aircrete High Ten_EPD_Concrete BlockTraditional_Brick</c:v>
                </c:pt>
                <c:pt idx="7">
                  <c:v>Aircrete Seven_EPD_Concrete BlockTraditional_Brick</c:v>
                </c:pt>
                <c:pt idx="8">
                  <c:v>Aircrete Standard_EPD_Concrete BlockTraditional_Brick</c:v>
                </c:pt>
                <c:pt idx="9">
                  <c:v>Aircrete Super_EPD_Concrete BlockTraditional_Brick</c:v>
                </c:pt>
                <c:pt idx="10">
                  <c:v>Amvic300_EPD_ICFFormed Concrete_Brick</c:v>
                </c:pt>
                <c:pt idx="11">
                  <c:v>Amvic350_EPD_ICFFormed Concrete_Brick</c:v>
                </c:pt>
                <c:pt idx="12">
                  <c:v>Donaldson C Stud_EPD_TimberClosed _Brick</c:v>
                </c:pt>
                <c:pt idx="13">
                  <c:v>Donaldson Solid_EPD_TimberClosed _Brick</c:v>
                </c:pt>
                <c:pt idx="14">
                  <c:v>Donaldson_EPD_TimberOpen_Brick</c:v>
                </c:pt>
                <c:pt idx="15">
                  <c:v>Donaldson_EPD_TimberPre-Insulated_Brick</c:v>
                </c:pt>
                <c:pt idx="16">
                  <c:v>Horizon_EPD_LGSOpen_Brick</c:v>
                </c:pt>
                <c:pt idx="17">
                  <c:v>MgO_EPD_SIPClosed _Brick</c:v>
                </c:pt>
                <c:pt idx="18">
                  <c:v>Nudura_EPD_ICFFormed Concrete_Brick</c:v>
                </c:pt>
                <c:pt idx="19">
                  <c:v>NZSIP 115_EPD_SIPClosed _Brick</c:v>
                </c:pt>
                <c:pt idx="20">
                  <c:v>Roadstone Solid_EPD_Concrete BlockTraditional_Brick</c:v>
                </c:pt>
                <c:pt idx="21">
                  <c:v>SIGMAT_EPD_LGSOpen_Brick</c:v>
                </c:pt>
                <c:pt idx="22">
                  <c:v>SkadoMedis_EPD_TimberClosed _Timber</c:v>
                </c:pt>
                <c:pt idx="23">
                  <c:v>SP-170_EPD_SIPClosed _Brick</c:v>
                </c:pt>
                <c:pt idx="24">
                  <c:v>SP-270_EPD_SIPClosed _Brick</c:v>
                </c:pt>
                <c:pt idx="25">
                  <c:v>Thermomur_EPD_ICFFormed Concrete_Brick</c:v>
                </c:pt>
                <c:pt idx="26">
                  <c:v>USASIP_EPD_SIPClosed _Brick</c:v>
                </c:pt>
              </c:strCache>
            </c:strRef>
          </c:cat>
          <c:val>
            <c:numRef>
              <c:f>'GWP RESULTS (DATA SOURCE)'!$I$7:$I$34</c:f>
              <c:numCache>
                <c:formatCode>General</c:formatCode>
                <c:ptCount val="27"/>
                <c:pt idx="17">
                  <c:v>44.4</c:v>
                </c:pt>
              </c:numCache>
            </c:numRef>
          </c:val>
          <c:extLst>
            <c:ext xmlns:c16="http://schemas.microsoft.com/office/drawing/2014/chart" uri="{C3380CC4-5D6E-409C-BE32-E72D297353CC}">
              <c16:uniqueId val="{00000002-5EB9-4B8C-AD33-1258E98D16A9}"/>
            </c:ext>
          </c:extLst>
        </c:ser>
        <c:ser>
          <c:idx val="3"/>
          <c:order val="3"/>
          <c:tx>
            <c:strRef>
              <c:f>'GWP RESULTS (DATA SOURCE)'!$J$5:$J$6</c:f>
              <c:strCache>
                <c:ptCount val="1"/>
                <c:pt idx="0">
                  <c:v>ICE Database</c:v>
                </c:pt>
              </c:strCache>
            </c:strRef>
          </c:tx>
          <c:spPr>
            <a:solidFill>
              <a:schemeClr val="accent4"/>
            </a:solidFill>
            <a:ln>
              <a:noFill/>
            </a:ln>
            <a:effectLst/>
          </c:spPr>
          <c:invertIfNegative val="0"/>
          <c:cat>
            <c:strRef>
              <c:f>'GWP RESULTS (DATA SOURCE)'!$F$7:$F$34</c:f>
              <c:strCache>
                <c:ptCount val="27"/>
                <c:pt idx="0">
                  <c:v>A_LCA_ICFFormed Concrete_Brick</c:v>
                </c:pt>
                <c:pt idx="1">
                  <c:v>A_LCA_LGSOpen_Brick</c:v>
                </c:pt>
                <c:pt idx="2">
                  <c:v>A_LCA_LGSOpen_Composite Fiber</c:v>
                </c:pt>
                <c:pt idx="3">
                  <c:v>A_LCA_TimberClosed _Brick</c:v>
                </c:pt>
                <c:pt idx="4">
                  <c:v>A_LCA_TimberOpen_Brick</c:v>
                </c:pt>
                <c:pt idx="5">
                  <c:v>A_LCA_TimberPre-Insulated_Brick</c:v>
                </c:pt>
                <c:pt idx="6">
                  <c:v>Aircrete High Ten_EPD_Concrete BlockTraditional_Brick</c:v>
                </c:pt>
                <c:pt idx="7">
                  <c:v>Aircrete Seven_EPD_Concrete BlockTraditional_Brick</c:v>
                </c:pt>
                <c:pt idx="8">
                  <c:v>Aircrete Standard_EPD_Concrete BlockTraditional_Brick</c:v>
                </c:pt>
                <c:pt idx="9">
                  <c:v>Aircrete Super_EPD_Concrete BlockTraditional_Brick</c:v>
                </c:pt>
                <c:pt idx="10">
                  <c:v>Amvic300_EPD_ICFFormed Concrete_Brick</c:v>
                </c:pt>
                <c:pt idx="11">
                  <c:v>Amvic350_EPD_ICFFormed Concrete_Brick</c:v>
                </c:pt>
                <c:pt idx="12">
                  <c:v>Donaldson C Stud_EPD_TimberClosed _Brick</c:v>
                </c:pt>
                <c:pt idx="13">
                  <c:v>Donaldson Solid_EPD_TimberClosed _Brick</c:v>
                </c:pt>
                <c:pt idx="14">
                  <c:v>Donaldson_EPD_TimberOpen_Brick</c:v>
                </c:pt>
                <c:pt idx="15">
                  <c:v>Donaldson_EPD_TimberPre-Insulated_Brick</c:v>
                </c:pt>
                <c:pt idx="16">
                  <c:v>Horizon_EPD_LGSOpen_Brick</c:v>
                </c:pt>
                <c:pt idx="17">
                  <c:v>MgO_EPD_SIPClosed _Brick</c:v>
                </c:pt>
                <c:pt idx="18">
                  <c:v>Nudura_EPD_ICFFormed Concrete_Brick</c:v>
                </c:pt>
                <c:pt idx="19">
                  <c:v>NZSIP 115_EPD_SIPClosed _Brick</c:v>
                </c:pt>
                <c:pt idx="20">
                  <c:v>Roadstone Solid_EPD_Concrete BlockTraditional_Brick</c:v>
                </c:pt>
                <c:pt idx="21">
                  <c:v>SIGMAT_EPD_LGSOpen_Brick</c:v>
                </c:pt>
                <c:pt idx="22">
                  <c:v>SkadoMedis_EPD_TimberClosed _Timber</c:v>
                </c:pt>
                <c:pt idx="23">
                  <c:v>SP-170_EPD_SIPClosed _Brick</c:v>
                </c:pt>
                <c:pt idx="24">
                  <c:v>SP-270_EPD_SIPClosed _Brick</c:v>
                </c:pt>
                <c:pt idx="25">
                  <c:v>Thermomur_EPD_ICFFormed Concrete_Brick</c:v>
                </c:pt>
                <c:pt idx="26">
                  <c:v>USASIP_EPD_SIPClosed _Brick</c:v>
                </c:pt>
              </c:strCache>
            </c:strRef>
          </c:cat>
          <c:val>
            <c:numRef>
              <c:f>'GWP RESULTS (DATA SOURCE)'!$J$7:$J$34</c:f>
              <c:numCache>
                <c:formatCode>General</c:formatCode>
                <c:ptCount val="27"/>
                <c:pt idx="0">
                  <c:v>65.159097222222215</c:v>
                </c:pt>
                <c:pt idx="1">
                  <c:v>32.295684666666659</c:v>
                </c:pt>
                <c:pt idx="2">
                  <c:v>32.295684666666659</c:v>
                </c:pt>
                <c:pt idx="3">
                  <c:v>25.485526875000001</c:v>
                </c:pt>
                <c:pt idx="4">
                  <c:v>22.028526875000001</c:v>
                </c:pt>
                <c:pt idx="5">
                  <c:v>22.028526875000001</c:v>
                </c:pt>
                <c:pt idx="6">
                  <c:v>7.1710416666666665</c:v>
                </c:pt>
                <c:pt idx="7">
                  <c:v>7.1710416666666665</c:v>
                </c:pt>
                <c:pt idx="8">
                  <c:v>7.1710416666666665</c:v>
                </c:pt>
                <c:pt idx="9">
                  <c:v>4.8647916666666662</c:v>
                </c:pt>
                <c:pt idx="10">
                  <c:v>12.635694444444445</c:v>
                </c:pt>
                <c:pt idx="11">
                  <c:v>12.635694444444445</c:v>
                </c:pt>
                <c:pt idx="14">
                  <c:v>17.217731666666669</c:v>
                </c:pt>
                <c:pt idx="16">
                  <c:v>17.160131666666665</c:v>
                </c:pt>
                <c:pt idx="17">
                  <c:v>0.25229166666666669</c:v>
                </c:pt>
                <c:pt idx="18">
                  <c:v>12.635694444444445</c:v>
                </c:pt>
                <c:pt idx="19">
                  <c:v>0.25229166666666669</c:v>
                </c:pt>
                <c:pt idx="20">
                  <c:v>9.477291666666666</c:v>
                </c:pt>
                <c:pt idx="21">
                  <c:v>17.160131666666665</c:v>
                </c:pt>
                <c:pt idx="23">
                  <c:v>0.25229166666666669</c:v>
                </c:pt>
                <c:pt idx="24">
                  <c:v>0.25229166666666669</c:v>
                </c:pt>
                <c:pt idx="25">
                  <c:v>12.635694444444445</c:v>
                </c:pt>
                <c:pt idx="26">
                  <c:v>0.25229166666666669</c:v>
                </c:pt>
              </c:numCache>
            </c:numRef>
          </c:val>
          <c:extLst>
            <c:ext xmlns:c16="http://schemas.microsoft.com/office/drawing/2014/chart" uri="{C3380CC4-5D6E-409C-BE32-E72D297353CC}">
              <c16:uniqueId val="{00000003-5EB9-4B8C-AD33-1258E98D16A9}"/>
            </c:ext>
          </c:extLst>
        </c:ser>
        <c:ser>
          <c:idx val="4"/>
          <c:order val="4"/>
          <c:tx>
            <c:strRef>
              <c:f>'GWP RESULTS (DATA SOURCE)'!$K$5:$K$6</c:f>
              <c:strCache>
                <c:ptCount val="1"/>
                <c:pt idx="0">
                  <c:v>Other Assumption</c:v>
                </c:pt>
              </c:strCache>
            </c:strRef>
          </c:tx>
          <c:spPr>
            <a:solidFill>
              <a:schemeClr val="accent5"/>
            </a:solidFill>
            <a:ln>
              <a:noFill/>
            </a:ln>
            <a:effectLst/>
          </c:spPr>
          <c:invertIfNegative val="0"/>
          <c:cat>
            <c:strRef>
              <c:f>'GWP RESULTS (DATA SOURCE)'!$F$7:$F$34</c:f>
              <c:strCache>
                <c:ptCount val="27"/>
                <c:pt idx="0">
                  <c:v>A_LCA_ICFFormed Concrete_Brick</c:v>
                </c:pt>
                <c:pt idx="1">
                  <c:v>A_LCA_LGSOpen_Brick</c:v>
                </c:pt>
                <c:pt idx="2">
                  <c:v>A_LCA_LGSOpen_Composite Fiber</c:v>
                </c:pt>
                <c:pt idx="3">
                  <c:v>A_LCA_TimberClosed _Brick</c:v>
                </c:pt>
                <c:pt idx="4">
                  <c:v>A_LCA_TimberOpen_Brick</c:v>
                </c:pt>
                <c:pt idx="5">
                  <c:v>A_LCA_TimberPre-Insulated_Brick</c:v>
                </c:pt>
                <c:pt idx="6">
                  <c:v>Aircrete High Ten_EPD_Concrete BlockTraditional_Brick</c:v>
                </c:pt>
                <c:pt idx="7">
                  <c:v>Aircrete Seven_EPD_Concrete BlockTraditional_Brick</c:v>
                </c:pt>
                <c:pt idx="8">
                  <c:v>Aircrete Standard_EPD_Concrete BlockTraditional_Brick</c:v>
                </c:pt>
                <c:pt idx="9">
                  <c:v>Aircrete Super_EPD_Concrete BlockTraditional_Brick</c:v>
                </c:pt>
                <c:pt idx="10">
                  <c:v>Amvic300_EPD_ICFFormed Concrete_Brick</c:v>
                </c:pt>
                <c:pt idx="11">
                  <c:v>Amvic350_EPD_ICFFormed Concrete_Brick</c:v>
                </c:pt>
                <c:pt idx="12">
                  <c:v>Donaldson C Stud_EPD_TimberClosed _Brick</c:v>
                </c:pt>
                <c:pt idx="13">
                  <c:v>Donaldson Solid_EPD_TimberClosed _Brick</c:v>
                </c:pt>
                <c:pt idx="14">
                  <c:v>Donaldson_EPD_TimberOpen_Brick</c:v>
                </c:pt>
                <c:pt idx="15">
                  <c:v>Donaldson_EPD_TimberPre-Insulated_Brick</c:v>
                </c:pt>
                <c:pt idx="16">
                  <c:v>Horizon_EPD_LGSOpen_Brick</c:v>
                </c:pt>
                <c:pt idx="17">
                  <c:v>MgO_EPD_SIPClosed _Brick</c:v>
                </c:pt>
                <c:pt idx="18">
                  <c:v>Nudura_EPD_ICFFormed Concrete_Brick</c:v>
                </c:pt>
                <c:pt idx="19">
                  <c:v>NZSIP 115_EPD_SIPClosed _Brick</c:v>
                </c:pt>
                <c:pt idx="20">
                  <c:v>Roadstone Solid_EPD_Concrete BlockTraditional_Brick</c:v>
                </c:pt>
                <c:pt idx="21">
                  <c:v>SIGMAT_EPD_LGSOpen_Brick</c:v>
                </c:pt>
                <c:pt idx="22">
                  <c:v>SkadoMedis_EPD_TimberClosed _Timber</c:v>
                </c:pt>
                <c:pt idx="23">
                  <c:v>SP-170_EPD_SIPClosed _Brick</c:v>
                </c:pt>
                <c:pt idx="24">
                  <c:v>SP-270_EPD_SIPClosed _Brick</c:v>
                </c:pt>
                <c:pt idx="25">
                  <c:v>Thermomur_EPD_ICFFormed Concrete_Brick</c:v>
                </c:pt>
                <c:pt idx="26">
                  <c:v>USASIP_EPD_SIPClosed _Brick</c:v>
                </c:pt>
              </c:strCache>
            </c:strRef>
          </c:cat>
          <c:val>
            <c:numRef>
              <c:f>'GWP RESULTS (DATA SOURCE)'!$K$7:$K$34</c:f>
              <c:numCache>
                <c:formatCode>General</c:formatCode>
                <c:ptCount val="2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7">
                  <c:v>0</c:v>
                </c:pt>
                <c:pt idx="18">
                  <c:v>0</c:v>
                </c:pt>
                <c:pt idx="19">
                  <c:v>0</c:v>
                </c:pt>
                <c:pt idx="20">
                  <c:v>0</c:v>
                </c:pt>
                <c:pt idx="21">
                  <c:v>0</c:v>
                </c:pt>
                <c:pt idx="23">
                  <c:v>0</c:v>
                </c:pt>
                <c:pt idx="24">
                  <c:v>0</c:v>
                </c:pt>
                <c:pt idx="25">
                  <c:v>0</c:v>
                </c:pt>
                <c:pt idx="26">
                  <c:v>0</c:v>
                </c:pt>
              </c:numCache>
            </c:numRef>
          </c:val>
          <c:extLst>
            <c:ext xmlns:c16="http://schemas.microsoft.com/office/drawing/2014/chart" uri="{C3380CC4-5D6E-409C-BE32-E72D297353CC}">
              <c16:uniqueId val="{00000004-5EB9-4B8C-AD33-1258E98D16A9}"/>
            </c:ext>
          </c:extLst>
        </c:ser>
        <c:ser>
          <c:idx val="5"/>
          <c:order val="5"/>
          <c:tx>
            <c:strRef>
              <c:f>'GWP RESULTS (DATA SOURCE)'!$L$5:$L$6</c:f>
              <c:strCache>
                <c:ptCount val="1"/>
                <c:pt idx="0">
                  <c:v>Placeholder</c:v>
                </c:pt>
              </c:strCache>
            </c:strRef>
          </c:tx>
          <c:spPr>
            <a:solidFill>
              <a:schemeClr val="accent6"/>
            </a:solidFill>
            <a:ln>
              <a:noFill/>
            </a:ln>
            <a:effectLst/>
          </c:spPr>
          <c:invertIfNegative val="0"/>
          <c:cat>
            <c:strRef>
              <c:f>'GWP RESULTS (DATA SOURCE)'!$F$7:$F$34</c:f>
              <c:strCache>
                <c:ptCount val="27"/>
                <c:pt idx="0">
                  <c:v>A_LCA_ICFFormed Concrete_Brick</c:v>
                </c:pt>
                <c:pt idx="1">
                  <c:v>A_LCA_LGSOpen_Brick</c:v>
                </c:pt>
                <c:pt idx="2">
                  <c:v>A_LCA_LGSOpen_Composite Fiber</c:v>
                </c:pt>
                <c:pt idx="3">
                  <c:v>A_LCA_TimberClosed _Brick</c:v>
                </c:pt>
                <c:pt idx="4">
                  <c:v>A_LCA_TimberOpen_Brick</c:v>
                </c:pt>
                <c:pt idx="5">
                  <c:v>A_LCA_TimberPre-Insulated_Brick</c:v>
                </c:pt>
                <c:pt idx="6">
                  <c:v>Aircrete High Ten_EPD_Concrete BlockTraditional_Brick</c:v>
                </c:pt>
                <c:pt idx="7">
                  <c:v>Aircrete Seven_EPD_Concrete BlockTraditional_Brick</c:v>
                </c:pt>
                <c:pt idx="8">
                  <c:v>Aircrete Standard_EPD_Concrete BlockTraditional_Brick</c:v>
                </c:pt>
                <c:pt idx="9">
                  <c:v>Aircrete Super_EPD_Concrete BlockTraditional_Brick</c:v>
                </c:pt>
                <c:pt idx="10">
                  <c:v>Amvic300_EPD_ICFFormed Concrete_Brick</c:v>
                </c:pt>
                <c:pt idx="11">
                  <c:v>Amvic350_EPD_ICFFormed Concrete_Brick</c:v>
                </c:pt>
                <c:pt idx="12">
                  <c:v>Donaldson C Stud_EPD_TimberClosed _Brick</c:v>
                </c:pt>
                <c:pt idx="13">
                  <c:v>Donaldson Solid_EPD_TimberClosed _Brick</c:v>
                </c:pt>
                <c:pt idx="14">
                  <c:v>Donaldson_EPD_TimberOpen_Brick</c:v>
                </c:pt>
                <c:pt idx="15">
                  <c:v>Donaldson_EPD_TimberPre-Insulated_Brick</c:v>
                </c:pt>
                <c:pt idx="16">
                  <c:v>Horizon_EPD_LGSOpen_Brick</c:v>
                </c:pt>
                <c:pt idx="17">
                  <c:v>MgO_EPD_SIPClosed _Brick</c:v>
                </c:pt>
                <c:pt idx="18">
                  <c:v>Nudura_EPD_ICFFormed Concrete_Brick</c:v>
                </c:pt>
                <c:pt idx="19">
                  <c:v>NZSIP 115_EPD_SIPClosed _Brick</c:v>
                </c:pt>
                <c:pt idx="20">
                  <c:v>Roadstone Solid_EPD_Concrete BlockTraditional_Brick</c:v>
                </c:pt>
                <c:pt idx="21">
                  <c:v>SIGMAT_EPD_LGSOpen_Brick</c:v>
                </c:pt>
                <c:pt idx="22">
                  <c:v>SkadoMedis_EPD_TimberClosed _Timber</c:v>
                </c:pt>
                <c:pt idx="23">
                  <c:v>SP-170_EPD_SIPClosed _Brick</c:v>
                </c:pt>
                <c:pt idx="24">
                  <c:v>SP-270_EPD_SIPClosed _Brick</c:v>
                </c:pt>
                <c:pt idx="25">
                  <c:v>Thermomur_EPD_ICFFormed Concrete_Brick</c:v>
                </c:pt>
                <c:pt idx="26">
                  <c:v>USASIP_EPD_SIPClosed _Brick</c:v>
                </c:pt>
              </c:strCache>
            </c:strRef>
          </c:cat>
          <c:val>
            <c:numRef>
              <c:f>'GWP RESULTS (DATA SOURCE)'!$L$7:$L$34</c:f>
              <c:numCache>
                <c:formatCode>General</c:formatCode>
                <c:ptCount val="27"/>
                <c:pt idx="0">
                  <c:v>46.038999999999994</c:v>
                </c:pt>
                <c:pt idx="1">
                  <c:v>46.038999999999994</c:v>
                </c:pt>
                <c:pt idx="2">
                  <c:v>3.839</c:v>
                </c:pt>
                <c:pt idx="3">
                  <c:v>45.038999999999994</c:v>
                </c:pt>
                <c:pt idx="4">
                  <c:v>46.038999999999994</c:v>
                </c:pt>
                <c:pt idx="5">
                  <c:v>46.038999999999994</c:v>
                </c:pt>
                <c:pt idx="6">
                  <c:v>46.038999999999994</c:v>
                </c:pt>
                <c:pt idx="7">
                  <c:v>46.038999999999994</c:v>
                </c:pt>
                <c:pt idx="8">
                  <c:v>46.038999999999994</c:v>
                </c:pt>
                <c:pt idx="9">
                  <c:v>46.038999999999994</c:v>
                </c:pt>
                <c:pt idx="10">
                  <c:v>46.038999999999994</c:v>
                </c:pt>
                <c:pt idx="11">
                  <c:v>46.038999999999994</c:v>
                </c:pt>
                <c:pt idx="12">
                  <c:v>2.839</c:v>
                </c:pt>
                <c:pt idx="13">
                  <c:v>2.839</c:v>
                </c:pt>
                <c:pt idx="14">
                  <c:v>3.839</c:v>
                </c:pt>
                <c:pt idx="15">
                  <c:v>3.839</c:v>
                </c:pt>
                <c:pt idx="16">
                  <c:v>3.839</c:v>
                </c:pt>
                <c:pt idx="17">
                  <c:v>46.038999999999994</c:v>
                </c:pt>
                <c:pt idx="18">
                  <c:v>46.038999999999994</c:v>
                </c:pt>
                <c:pt idx="19">
                  <c:v>46.038999999999994</c:v>
                </c:pt>
                <c:pt idx="20">
                  <c:v>46.038999999999994</c:v>
                </c:pt>
                <c:pt idx="21">
                  <c:v>3.839</c:v>
                </c:pt>
                <c:pt idx="23">
                  <c:v>46.038999999999994</c:v>
                </c:pt>
                <c:pt idx="24">
                  <c:v>46.038999999999994</c:v>
                </c:pt>
                <c:pt idx="25">
                  <c:v>46.038999999999994</c:v>
                </c:pt>
                <c:pt idx="26">
                  <c:v>46.038999999999994</c:v>
                </c:pt>
              </c:numCache>
            </c:numRef>
          </c:val>
          <c:extLst>
            <c:ext xmlns:c16="http://schemas.microsoft.com/office/drawing/2014/chart" uri="{C3380CC4-5D6E-409C-BE32-E72D297353CC}">
              <c16:uniqueId val="{00000005-5EB9-4B8C-AD33-1258E98D16A9}"/>
            </c:ext>
          </c:extLst>
        </c:ser>
        <c:dLbls>
          <c:showLegendKey val="0"/>
          <c:showVal val="0"/>
          <c:showCatName val="0"/>
          <c:showSerName val="0"/>
          <c:showPercent val="0"/>
          <c:showBubbleSize val="0"/>
        </c:dLbls>
        <c:gapWidth val="150"/>
        <c:overlap val="100"/>
        <c:axId val="1298029631"/>
        <c:axId val="1366830431"/>
      </c:barChart>
      <c:catAx>
        <c:axId val="129802963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66830431"/>
        <c:crosses val="autoZero"/>
        <c:auto val="1"/>
        <c:lblAlgn val="ctr"/>
        <c:lblOffset val="100"/>
        <c:noMultiLvlLbl val="0"/>
      </c:catAx>
      <c:valAx>
        <c:axId val="1366830431"/>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802963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[MMC_LCA_Consolidated_Spreadsheet_MacroEnabled.xlsm]U &amp; R VALUE!PivotTable2</c:name>
    <c:fmtId val="2"/>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'U &amp; R VALUE'!$E$5:$E$6</c:f>
              <c:strCache>
                <c:ptCount val="1"/>
                <c:pt idx="0">
                  <c:v>External Finish</c:v>
                </c:pt>
              </c:strCache>
            </c:strRef>
          </c:tx>
          <c:spPr>
            <a:solidFill>
              <a:schemeClr val="accent1"/>
            </a:solidFill>
            <a:ln>
              <a:noFill/>
            </a:ln>
            <a:effectLst/>
          </c:spPr>
          <c:invertIfNegative val="0"/>
          <c:cat>
            <c:strRef>
              <c:f>'U &amp; R VALUE'!$D$7:$D$12</c:f>
              <c:strCache>
                <c:ptCount val="5"/>
                <c:pt idx="0">
                  <c:v>Aircrete High Ten_EPD_Concrete BlockTraditional_Brick</c:v>
                </c:pt>
                <c:pt idx="1">
                  <c:v>Aircrete Seven_EPD_Concrete BlockTraditional_Brick</c:v>
                </c:pt>
                <c:pt idx="2">
                  <c:v>Aircrete Standard_EPD_Concrete BlockTraditional_Brick</c:v>
                </c:pt>
                <c:pt idx="3">
                  <c:v>Aircrete Super_EPD_Concrete BlockTraditional_Brick</c:v>
                </c:pt>
                <c:pt idx="4">
                  <c:v>Roadstone Solid_EPD_Concrete BlockTraditional_Brick</c:v>
                </c:pt>
              </c:strCache>
            </c:strRef>
          </c:cat>
          <c:val>
            <c:numRef>
              <c:f>'U &amp; R VALUE'!$E$7:$E$12</c:f>
              <c:numCache>
                <c:formatCode>General</c:formatCode>
                <c:ptCount val="5"/>
                <c:pt idx="0">
                  <c:v>2.1298701298701297</c:v>
                </c:pt>
                <c:pt idx="1">
                  <c:v>2.1298701298701297</c:v>
                </c:pt>
                <c:pt idx="2">
                  <c:v>2.1298701298701297</c:v>
                </c:pt>
                <c:pt idx="3">
                  <c:v>2.1298701298701297</c:v>
                </c:pt>
                <c:pt idx="4">
                  <c:v>2.1298701298701297</c:v>
                </c:pt>
              </c:numCache>
            </c:numRef>
          </c:val>
          <c:extLst>
            <c:ext xmlns:c16="http://schemas.microsoft.com/office/drawing/2014/chart" uri="{C3380CC4-5D6E-409C-BE32-E72D297353CC}">
              <c16:uniqueId val="{00000000-D930-412B-BD8C-020A55F3328B}"/>
            </c:ext>
          </c:extLst>
        </c:ser>
        <c:ser>
          <c:idx val="1"/>
          <c:order val="1"/>
          <c:tx>
            <c:strRef>
              <c:f>'U &amp; R VALUE'!$F$5:$F$6</c:f>
              <c:strCache>
                <c:ptCount val="1"/>
                <c:pt idx="0">
                  <c:v>Insulation</c:v>
                </c:pt>
              </c:strCache>
            </c:strRef>
          </c:tx>
          <c:spPr>
            <a:solidFill>
              <a:schemeClr val="accent2"/>
            </a:solidFill>
            <a:ln>
              <a:noFill/>
            </a:ln>
            <a:effectLst/>
          </c:spPr>
          <c:invertIfNegative val="0"/>
          <c:cat>
            <c:strRef>
              <c:f>'U &amp; R VALUE'!$D$7:$D$12</c:f>
              <c:strCache>
                <c:ptCount val="5"/>
                <c:pt idx="0">
                  <c:v>Aircrete High Ten_EPD_Concrete BlockTraditional_Brick</c:v>
                </c:pt>
                <c:pt idx="1">
                  <c:v>Aircrete Seven_EPD_Concrete BlockTraditional_Brick</c:v>
                </c:pt>
                <c:pt idx="2">
                  <c:v>Aircrete Standard_EPD_Concrete BlockTraditional_Brick</c:v>
                </c:pt>
                <c:pt idx="3">
                  <c:v>Aircrete Super_EPD_Concrete BlockTraditional_Brick</c:v>
                </c:pt>
                <c:pt idx="4">
                  <c:v>Roadstone Solid_EPD_Concrete BlockTraditional_Brick</c:v>
                </c:pt>
              </c:strCache>
            </c:strRef>
          </c:cat>
          <c:val>
            <c:numRef>
              <c:f>'U &amp; R VALUE'!$F$7:$F$12</c:f>
              <c:numCache>
                <c:formatCode>General</c:formatCode>
                <c:ptCount val="5"/>
                <c:pt idx="0">
                  <c:v>2.1428571428571428</c:v>
                </c:pt>
                <c:pt idx="1">
                  <c:v>2.1428571428571428</c:v>
                </c:pt>
                <c:pt idx="2">
                  <c:v>2.1428571428571428</c:v>
                </c:pt>
                <c:pt idx="3">
                  <c:v>1.4285714285714286</c:v>
                </c:pt>
                <c:pt idx="4">
                  <c:v>2.8571428571428572</c:v>
                </c:pt>
              </c:numCache>
            </c:numRef>
          </c:val>
          <c:extLst>
            <c:ext xmlns:c16="http://schemas.microsoft.com/office/drawing/2014/chart" uri="{C3380CC4-5D6E-409C-BE32-E72D297353CC}">
              <c16:uniqueId val="{00000001-D930-412B-BD8C-020A55F3328B}"/>
            </c:ext>
          </c:extLst>
        </c:ser>
        <c:ser>
          <c:idx val="2"/>
          <c:order val="2"/>
          <c:tx>
            <c:strRef>
              <c:f>'U &amp; R VALUE'!$G$5:$G$6</c:f>
              <c:strCache>
                <c:ptCount val="1"/>
                <c:pt idx="0">
                  <c:v>Internal Finish</c:v>
                </c:pt>
              </c:strCache>
            </c:strRef>
          </c:tx>
          <c:spPr>
            <a:solidFill>
              <a:schemeClr val="accent3"/>
            </a:solidFill>
            <a:ln>
              <a:noFill/>
            </a:ln>
            <a:effectLst/>
          </c:spPr>
          <c:invertIfNegative val="0"/>
          <c:cat>
            <c:strRef>
              <c:f>'U &amp; R VALUE'!$D$7:$D$12</c:f>
              <c:strCache>
                <c:ptCount val="5"/>
                <c:pt idx="0">
                  <c:v>Aircrete High Ten_EPD_Concrete BlockTraditional_Brick</c:v>
                </c:pt>
                <c:pt idx="1">
                  <c:v>Aircrete Seven_EPD_Concrete BlockTraditional_Brick</c:v>
                </c:pt>
                <c:pt idx="2">
                  <c:v>Aircrete Standard_EPD_Concrete BlockTraditional_Brick</c:v>
                </c:pt>
                <c:pt idx="3">
                  <c:v>Aircrete Super_EPD_Concrete BlockTraditional_Brick</c:v>
                </c:pt>
                <c:pt idx="4">
                  <c:v>Roadstone Solid_EPD_Concrete BlockTraditional_Brick</c:v>
                </c:pt>
              </c:strCache>
            </c:strRef>
          </c:cat>
          <c:val>
            <c:numRef>
              <c:f>'U &amp; R VALUE'!$G$7:$G$12</c:f>
              <c:numCache>
                <c:formatCode>General</c:formatCode>
                <c:ptCount val="5"/>
                <c:pt idx="0">
                  <c:v>0.56578947368421051</c:v>
                </c:pt>
                <c:pt idx="1">
                  <c:v>0.56578947368421051</c:v>
                </c:pt>
                <c:pt idx="2">
                  <c:v>0.56578947368421051</c:v>
                </c:pt>
                <c:pt idx="3">
                  <c:v>0.56578947368421051</c:v>
                </c:pt>
                <c:pt idx="4">
                  <c:v>0.56578947368421051</c:v>
                </c:pt>
              </c:numCache>
            </c:numRef>
          </c:val>
          <c:extLst>
            <c:ext xmlns:c16="http://schemas.microsoft.com/office/drawing/2014/chart" uri="{C3380CC4-5D6E-409C-BE32-E72D297353CC}">
              <c16:uniqueId val="{00000002-D930-412B-BD8C-020A55F3328B}"/>
            </c:ext>
          </c:extLst>
        </c:ser>
        <c:ser>
          <c:idx val="3"/>
          <c:order val="3"/>
          <c:tx>
            <c:strRef>
              <c:f>'U &amp; R VALUE'!$H$5:$H$6</c:f>
              <c:strCache>
                <c:ptCount val="1"/>
                <c:pt idx="0">
                  <c:v>Structural</c:v>
                </c:pt>
              </c:strCache>
            </c:strRef>
          </c:tx>
          <c:spPr>
            <a:solidFill>
              <a:schemeClr val="accent4"/>
            </a:solidFill>
            <a:ln>
              <a:noFill/>
            </a:ln>
            <a:effectLst/>
          </c:spPr>
          <c:invertIfNegative val="0"/>
          <c:cat>
            <c:strRef>
              <c:f>'U &amp; R VALUE'!$D$7:$D$12</c:f>
              <c:strCache>
                <c:ptCount val="5"/>
                <c:pt idx="0">
                  <c:v>Aircrete High Ten_EPD_Concrete BlockTraditional_Brick</c:v>
                </c:pt>
                <c:pt idx="1">
                  <c:v>Aircrete Seven_EPD_Concrete BlockTraditional_Brick</c:v>
                </c:pt>
                <c:pt idx="2">
                  <c:v>Aircrete Standard_EPD_Concrete BlockTraditional_Brick</c:v>
                </c:pt>
                <c:pt idx="3">
                  <c:v>Aircrete Super_EPD_Concrete BlockTraditional_Brick</c:v>
                </c:pt>
                <c:pt idx="4">
                  <c:v>Roadstone Solid_EPD_Concrete BlockTraditional_Brick</c:v>
                </c:pt>
              </c:strCache>
            </c:strRef>
          </c:cat>
          <c:val>
            <c:numRef>
              <c:f>'U &amp; R VALUE'!$H$7:$H$12</c:f>
              <c:numCache>
                <c:formatCode>General</c:formatCode>
                <c:ptCount val="5"/>
                <c:pt idx="0">
                  <c:v>1.02</c:v>
                </c:pt>
                <c:pt idx="1">
                  <c:v>1.1299999999999999</c:v>
                </c:pt>
                <c:pt idx="2">
                  <c:v>1.26</c:v>
                </c:pt>
                <c:pt idx="3">
                  <c:v>1.79</c:v>
                </c:pt>
                <c:pt idx="4">
                  <c:v>0.19545454545454544</c:v>
                </c:pt>
              </c:numCache>
            </c:numRef>
          </c:val>
          <c:extLst>
            <c:ext xmlns:c16="http://schemas.microsoft.com/office/drawing/2014/chart" uri="{C3380CC4-5D6E-409C-BE32-E72D297353CC}">
              <c16:uniqueId val="{00000003-D930-412B-BD8C-020A55F3328B}"/>
            </c:ext>
          </c:extLst>
        </c:ser>
        <c:ser>
          <c:idx val="4"/>
          <c:order val="4"/>
          <c:tx>
            <c:strRef>
              <c:f>'U &amp; R VALUE'!$I$5:$I$6</c:f>
              <c:strCache>
                <c:ptCount val="1"/>
                <c:pt idx="0">
                  <c:v>Weatherproofing</c:v>
                </c:pt>
              </c:strCache>
            </c:strRef>
          </c:tx>
          <c:spPr>
            <a:solidFill>
              <a:schemeClr val="accent5"/>
            </a:solidFill>
            <a:ln>
              <a:noFill/>
            </a:ln>
            <a:effectLst/>
          </c:spPr>
          <c:invertIfNegative val="0"/>
          <c:cat>
            <c:strRef>
              <c:f>'U &amp; R VALUE'!$D$7:$D$12</c:f>
              <c:strCache>
                <c:ptCount val="5"/>
                <c:pt idx="0">
                  <c:v>Aircrete High Ten_EPD_Concrete BlockTraditional_Brick</c:v>
                </c:pt>
                <c:pt idx="1">
                  <c:v>Aircrete Seven_EPD_Concrete BlockTraditional_Brick</c:v>
                </c:pt>
                <c:pt idx="2">
                  <c:v>Aircrete Standard_EPD_Concrete BlockTraditional_Brick</c:v>
                </c:pt>
                <c:pt idx="3">
                  <c:v>Aircrete Super_EPD_Concrete BlockTraditional_Brick</c:v>
                </c:pt>
                <c:pt idx="4">
                  <c:v>Roadstone Solid_EPD_Concrete BlockTraditional_Brick</c:v>
                </c:pt>
              </c:strCache>
            </c:strRef>
          </c:cat>
          <c:val>
            <c:numRef>
              <c:f>'U &amp; R VALUE'!$I$7:$I$12</c:f>
              <c:numCache>
                <c:formatCode>General</c:formatCode>
                <c:ptCount val="5"/>
                <c:pt idx="0">
                  <c:v>1.5E-3</c:v>
                </c:pt>
                <c:pt idx="1">
                  <c:v>1.5E-3</c:v>
                </c:pt>
                <c:pt idx="2">
                  <c:v>1.5E-3</c:v>
                </c:pt>
                <c:pt idx="3">
                  <c:v>1.5E-3</c:v>
                </c:pt>
                <c:pt idx="4">
                  <c:v>1.5E-3</c:v>
                </c:pt>
              </c:numCache>
            </c:numRef>
          </c:val>
          <c:extLst>
            <c:ext xmlns:c16="http://schemas.microsoft.com/office/drawing/2014/chart" uri="{C3380CC4-5D6E-409C-BE32-E72D297353CC}">
              <c16:uniqueId val="{00000004-D930-412B-BD8C-020A55F3328B}"/>
            </c:ext>
          </c:extLst>
        </c:ser>
        <c:ser>
          <c:idx val="5"/>
          <c:order val="5"/>
          <c:tx>
            <c:strRef>
              <c:f>'U &amp; R VALUE'!$J$5:$J$6</c:f>
              <c:strCache>
                <c:ptCount val="1"/>
                <c:pt idx="0">
                  <c:v>Fixings</c:v>
                </c:pt>
              </c:strCache>
            </c:strRef>
          </c:tx>
          <c:spPr>
            <a:solidFill>
              <a:schemeClr val="accent6"/>
            </a:solidFill>
            <a:ln>
              <a:noFill/>
            </a:ln>
            <a:effectLst/>
          </c:spPr>
          <c:invertIfNegative val="0"/>
          <c:cat>
            <c:strRef>
              <c:f>'U &amp; R VALUE'!$D$7:$D$12</c:f>
              <c:strCache>
                <c:ptCount val="5"/>
                <c:pt idx="0">
                  <c:v>Aircrete High Ten_EPD_Concrete BlockTraditional_Brick</c:v>
                </c:pt>
                <c:pt idx="1">
                  <c:v>Aircrete Seven_EPD_Concrete BlockTraditional_Brick</c:v>
                </c:pt>
                <c:pt idx="2">
                  <c:v>Aircrete Standard_EPD_Concrete BlockTraditional_Brick</c:v>
                </c:pt>
                <c:pt idx="3">
                  <c:v>Aircrete Super_EPD_Concrete BlockTraditional_Brick</c:v>
                </c:pt>
                <c:pt idx="4">
                  <c:v>Roadstone Solid_EPD_Concrete BlockTraditional_Brick</c:v>
                </c:pt>
              </c:strCache>
            </c:strRef>
          </c:cat>
          <c:val>
            <c:numRef>
              <c:f>'U &amp; R VALUE'!$J$7:$J$12</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0-AE75-49D6-9F30-9A6B472ED7D4}"/>
            </c:ext>
          </c:extLst>
        </c:ser>
        <c:dLbls>
          <c:showLegendKey val="0"/>
          <c:showVal val="0"/>
          <c:showCatName val="0"/>
          <c:showSerName val="0"/>
          <c:showPercent val="0"/>
          <c:showBubbleSize val="0"/>
        </c:dLbls>
        <c:gapWidth val="150"/>
        <c:overlap val="100"/>
        <c:axId val="744040591"/>
        <c:axId val="744024271"/>
      </c:barChart>
      <c:catAx>
        <c:axId val="74404059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4024271"/>
        <c:crosses val="autoZero"/>
        <c:auto val="1"/>
        <c:lblAlgn val="ctr"/>
        <c:lblOffset val="100"/>
        <c:noMultiLvlLbl val="0"/>
      </c:catAx>
      <c:valAx>
        <c:axId val="74402427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404059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[MMC_LCA_Consolidated_Spreadsheet_MacroEnabled.xlsm]U &amp; R VALUE!PivotTable2</c:name>
    <c:fmtId val="3"/>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'U &amp; R VALUE'!$E$5:$E$6</c:f>
              <c:strCache>
                <c:ptCount val="1"/>
                <c:pt idx="0">
                  <c:v>External Finish</c:v>
                </c:pt>
              </c:strCache>
            </c:strRef>
          </c:tx>
          <c:spPr>
            <a:solidFill>
              <a:schemeClr val="accent1"/>
            </a:solidFill>
            <a:ln>
              <a:noFill/>
            </a:ln>
            <a:effectLst/>
          </c:spPr>
          <c:invertIfNegative val="0"/>
          <c:cat>
            <c:strRef>
              <c:f>'U &amp; R VALUE'!$D$7:$D$12</c:f>
              <c:strCache>
                <c:ptCount val="5"/>
                <c:pt idx="0">
                  <c:v>Aircrete High Ten_EPD_Concrete BlockTraditional_Brick</c:v>
                </c:pt>
                <c:pt idx="1">
                  <c:v>Aircrete Seven_EPD_Concrete BlockTraditional_Brick</c:v>
                </c:pt>
                <c:pt idx="2">
                  <c:v>Aircrete Standard_EPD_Concrete BlockTraditional_Brick</c:v>
                </c:pt>
                <c:pt idx="3">
                  <c:v>Aircrete Super_EPD_Concrete BlockTraditional_Brick</c:v>
                </c:pt>
                <c:pt idx="4">
                  <c:v>Roadstone Solid_EPD_Concrete BlockTraditional_Brick</c:v>
                </c:pt>
              </c:strCache>
            </c:strRef>
          </c:cat>
          <c:val>
            <c:numRef>
              <c:f>'U &amp; R VALUE'!$E$7:$E$12</c:f>
              <c:numCache>
                <c:formatCode>General</c:formatCode>
                <c:ptCount val="5"/>
                <c:pt idx="0">
                  <c:v>2.1298701298701297</c:v>
                </c:pt>
                <c:pt idx="1">
                  <c:v>2.1298701298701297</c:v>
                </c:pt>
                <c:pt idx="2">
                  <c:v>2.1298701298701297</c:v>
                </c:pt>
                <c:pt idx="3">
                  <c:v>2.1298701298701297</c:v>
                </c:pt>
                <c:pt idx="4">
                  <c:v>2.1298701298701297</c:v>
                </c:pt>
              </c:numCache>
            </c:numRef>
          </c:val>
          <c:extLst>
            <c:ext xmlns:c16="http://schemas.microsoft.com/office/drawing/2014/chart" uri="{C3380CC4-5D6E-409C-BE32-E72D297353CC}">
              <c16:uniqueId val="{00000000-914D-4E08-A1B6-8A0C8B876B6B}"/>
            </c:ext>
          </c:extLst>
        </c:ser>
        <c:ser>
          <c:idx val="1"/>
          <c:order val="1"/>
          <c:tx>
            <c:strRef>
              <c:f>'U &amp; R VALUE'!$F$5:$F$6</c:f>
              <c:strCache>
                <c:ptCount val="1"/>
                <c:pt idx="0">
                  <c:v>Insulation</c:v>
                </c:pt>
              </c:strCache>
            </c:strRef>
          </c:tx>
          <c:spPr>
            <a:solidFill>
              <a:schemeClr val="accent2"/>
            </a:solidFill>
            <a:ln>
              <a:noFill/>
            </a:ln>
            <a:effectLst/>
          </c:spPr>
          <c:invertIfNegative val="0"/>
          <c:cat>
            <c:strRef>
              <c:f>'U &amp; R VALUE'!$D$7:$D$12</c:f>
              <c:strCache>
                <c:ptCount val="5"/>
                <c:pt idx="0">
                  <c:v>Aircrete High Ten_EPD_Concrete BlockTraditional_Brick</c:v>
                </c:pt>
                <c:pt idx="1">
                  <c:v>Aircrete Seven_EPD_Concrete BlockTraditional_Brick</c:v>
                </c:pt>
                <c:pt idx="2">
                  <c:v>Aircrete Standard_EPD_Concrete BlockTraditional_Brick</c:v>
                </c:pt>
                <c:pt idx="3">
                  <c:v>Aircrete Super_EPD_Concrete BlockTraditional_Brick</c:v>
                </c:pt>
                <c:pt idx="4">
                  <c:v>Roadstone Solid_EPD_Concrete BlockTraditional_Brick</c:v>
                </c:pt>
              </c:strCache>
            </c:strRef>
          </c:cat>
          <c:val>
            <c:numRef>
              <c:f>'U &amp; R VALUE'!$F$7:$F$12</c:f>
              <c:numCache>
                <c:formatCode>General</c:formatCode>
                <c:ptCount val="5"/>
                <c:pt idx="0">
                  <c:v>2.1428571428571428</c:v>
                </c:pt>
                <c:pt idx="1">
                  <c:v>2.1428571428571428</c:v>
                </c:pt>
                <c:pt idx="2">
                  <c:v>2.1428571428571428</c:v>
                </c:pt>
                <c:pt idx="3">
                  <c:v>1.4285714285714286</c:v>
                </c:pt>
                <c:pt idx="4">
                  <c:v>2.8571428571428572</c:v>
                </c:pt>
              </c:numCache>
            </c:numRef>
          </c:val>
          <c:extLst>
            <c:ext xmlns:c16="http://schemas.microsoft.com/office/drawing/2014/chart" uri="{C3380CC4-5D6E-409C-BE32-E72D297353CC}">
              <c16:uniqueId val="{00000001-914D-4E08-A1B6-8A0C8B876B6B}"/>
            </c:ext>
          </c:extLst>
        </c:ser>
        <c:ser>
          <c:idx val="2"/>
          <c:order val="2"/>
          <c:tx>
            <c:strRef>
              <c:f>'U &amp; R VALUE'!$G$5:$G$6</c:f>
              <c:strCache>
                <c:ptCount val="1"/>
                <c:pt idx="0">
                  <c:v>Internal Finish</c:v>
                </c:pt>
              </c:strCache>
            </c:strRef>
          </c:tx>
          <c:spPr>
            <a:solidFill>
              <a:schemeClr val="accent3"/>
            </a:solidFill>
            <a:ln>
              <a:noFill/>
            </a:ln>
            <a:effectLst/>
          </c:spPr>
          <c:invertIfNegative val="0"/>
          <c:cat>
            <c:strRef>
              <c:f>'U &amp; R VALUE'!$D$7:$D$12</c:f>
              <c:strCache>
                <c:ptCount val="5"/>
                <c:pt idx="0">
                  <c:v>Aircrete High Ten_EPD_Concrete BlockTraditional_Brick</c:v>
                </c:pt>
                <c:pt idx="1">
                  <c:v>Aircrete Seven_EPD_Concrete BlockTraditional_Brick</c:v>
                </c:pt>
                <c:pt idx="2">
                  <c:v>Aircrete Standard_EPD_Concrete BlockTraditional_Brick</c:v>
                </c:pt>
                <c:pt idx="3">
                  <c:v>Aircrete Super_EPD_Concrete BlockTraditional_Brick</c:v>
                </c:pt>
                <c:pt idx="4">
                  <c:v>Roadstone Solid_EPD_Concrete BlockTraditional_Brick</c:v>
                </c:pt>
              </c:strCache>
            </c:strRef>
          </c:cat>
          <c:val>
            <c:numRef>
              <c:f>'U &amp; R VALUE'!$G$7:$G$12</c:f>
              <c:numCache>
                <c:formatCode>General</c:formatCode>
                <c:ptCount val="5"/>
                <c:pt idx="0">
                  <c:v>0.56578947368421051</c:v>
                </c:pt>
                <c:pt idx="1">
                  <c:v>0.56578947368421051</c:v>
                </c:pt>
                <c:pt idx="2">
                  <c:v>0.56578947368421051</c:v>
                </c:pt>
                <c:pt idx="3">
                  <c:v>0.56578947368421051</c:v>
                </c:pt>
                <c:pt idx="4">
                  <c:v>0.56578947368421051</c:v>
                </c:pt>
              </c:numCache>
            </c:numRef>
          </c:val>
          <c:extLst>
            <c:ext xmlns:c16="http://schemas.microsoft.com/office/drawing/2014/chart" uri="{C3380CC4-5D6E-409C-BE32-E72D297353CC}">
              <c16:uniqueId val="{00000002-914D-4E08-A1B6-8A0C8B876B6B}"/>
            </c:ext>
          </c:extLst>
        </c:ser>
        <c:ser>
          <c:idx val="3"/>
          <c:order val="3"/>
          <c:tx>
            <c:strRef>
              <c:f>'U &amp; R VALUE'!$H$5:$H$6</c:f>
              <c:strCache>
                <c:ptCount val="1"/>
                <c:pt idx="0">
                  <c:v>Structural</c:v>
                </c:pt>
              </c:strCache>
            </c:strRef>
          </c:tx>
          <c:spPr>
            <a:solidFill>
              <a:schemeClr val="accent4"/>
            </a:solidFill>
            <a:ln>
              <a:noFill/>
            </a:ln>
            <a:effectLst/>
          </c:spPr>
          <c:invertIfNegative val="0"/>
          <c:cat>
            <c:strRef>
              <c:f>'U &amp; R VALUE'!$D$7:$D$12</c:f>
              <c:strCache>
                <c:ptCount val="5"/>
                <c:pt idx="0">
                  <c:v>Aircrete High Ten_EPD_Concrete BlockTraditional_Brick</c:v>
                </c:pt>
                <c:pt idx="1">
                  <c:v>Aircrete Seven_EPD_Concrete BlockTraditional_Brick</c:v>
                </c:pt>
                <c:pt idx="2">
                  <c:v>Aircrete Standard_EPD_Concrete BlockTraditional_Brick</c:v>
                </c:pt>
                <c:pt idx="3">
                  <c:v>Aircrete Super_EPD_Concrete BlockTraditional_Brick</c:v>
                </c:pt>
                <c:pt idx="4">
                  <c:v>Roadstone Solid_EPD_Concrete BlockTraditional_Brick</c:v>
                </c:pt>
              </c:strCache>
            </c:strRef>
          </c:cat>
          <c:val>
            <c:numRef>
              <c:f>'U &amp; R VALUE'!$H$7:$H$12</c:f>
              <c:numCache>
                <c:formatCode>General</c:formatCode>
                <c:ptCount val="5"/>
                <c:pt idx="0">
                  <c:v>1.02</c:v>
                </c:pt>
                <c:pt idx="1">
                  <c:v>1.1299999999999999</c:v>
                </c:pt>
                <c:pt idx="2">
                  <c:v>1.26</c:v>
                </c:pt>
                <c:pt idx="3">
                  <c:v>1.79</c:v>
                </c:pt>
                <c:pt idx="4">
                  <c:v>0.19545454545454544</c:v>
                </c:pt>
              </c:numCache>
            </c:numRef>
          </c:val>
          <c:extLst>
            <c:ext xmlns:c16="http://schemas.microsoft.com/office/drawing/2014/chart" uri="{C3380CC4-5D6E-409C-BE32-E72D297353CC}">
              <c16:uniqueId val="{00000003-914D-4E08-A1B6-8A0C8B876B6B}"/>
            </c:ext>
          </c:extLst>
        </c:ser>
        <c:ser>
          <c:idx val="4"/>
          <c:order val="4"/>
          <c:tx>
            <c:strRef>
              <c:f>'U &amp; R VALUE'!$I$5:$I$6</c:f>
              <c:strCache>
                <c:ptCount val="1"/>
                <c:pt idx="0">
                  <c:v>Weatherproofing</c:v>
                </c:pt>
              </c:strCache>
            </c:strRef>
          </c:tx>
          <c:spPr>
            <a:solidFill>
              <a:schemeClr val="accent5"/>
            </a:solidFill>
            <a:ln>
              <a:noFill/>
            </a:ln>
            <a:effectLst/>
          </c:spPr>
          <c:invertIfNegative val="0"/>
          <c:cat>
            <c:strRef>
              <c:f>'U &amp; R VALUE'!$D$7:$D$12</c:f>
              <c:strCache>
                <c:ptCount val="5"/>
                <c:pt idx="0">
                  <c:v>Aircrete High Ten_EPD_Concrete BlockTraditional_Brick</c:v>
                </c:pt>
                <c:pt idx="1">
                  <c:v>Aircrete Seven_EPD_Concrete BlockTraditional_Brick</c:v>
                </c:pt>
                <c:pt idx="2">
                  <c:v>Aircrete Standard_EPD_Concrete BlockTraditional_Brick</c:v>
                </c:pt>
                <c:pt idx="3">
                  <c:v>Aircrete Super_EPD_Concrete BlockTraditional_Brick</c:v>
                </c:pt>
                <c:pt idx="4">
                  <c:v>Roadstone Solid_EPD_Concrete BlockTraditional_Brick</c:v>
                </c:pt>
              </c:strCache>
            </c:strRef>
          </c:cat>
          <c:val>
            <c:numRef>
              <c:f>'U &amp; R VALUE'!$I$7:$I$12</c:f>
              <c:numCache>
                <c:formatCode>General</c:formatCode>
                <c:ptCount val="5"/>
                <c:pt idx="0">
                  <c:v>1.5E-3</c:v>
                </c:pt>
                <c:pt idx="1">
                  <c:v>1.5E-3</c:v>
                </c:pt>
                <c:pt idx="2">
                  <c:v>1.5E-3</c:v>
                </c:pt>
                <c:pt idx="3">
                  <c:v>1.5E-3</c:v>
                </c:pt>
                <c:pt idx="4">
                  <c:v>1.5E-3</c:v>
                </c:pt>
              </c:numCache>
            </c:numRef>
          </c:val>
          <c:extLst>
            <c:ext xmlns:c16="http://schemas.microsoft.com/office/drawing/2014/chart" uri="{C3380CC4-5D6E-409C-BE32-E72D297353CC}">
              <c16:uniqueId val="{00000005-914D-4E08-A1B6-8A0C8B876B6B}"/>
            </c:ext>
          </c:extLst>
        </c:ser>
        <c:ser>
          <c:idx val="5"/>
          <c:order val="5"/>
          <c:tx>
            <c:strRef>
              <c:f>'U &amp; R VALUE'!$J$5:$J$6</c:f>
              <c:strCache>
                <c:ptCount val="1"/>
                <c:pt idx="0">
                  <c:v>Fixings</c:v>
                </c:pt>
              </c:strCache>
            </c:strRef>
          </c:tx>
          <c:spPr>
            <a:solidFill>
              <a:schemeClr val="accent6"/>
            </a:solidFill>
            <a:ln>
              <a:noFill/>
            </a:ln>
            <a:effectLst/>
          </c:spPr>
          <c:invertIfNegative val="0"/>
          <c:cat>
            <c:strRef>
              <c:f>'U &amp; R VALUE'!$D$7:$D$12</c:f>
              <c:strCache>
                <c:ptCount val="5"/>
                <c:pt idx="0">
                  <c:v>Aircrete High Ten_EPD_Concrete BlockTraditional_Brick</c:v>
                </c:pt>
                <c:pt idx="1">
                  <c:v>Aircrete Seven_EPD_Concrete BlockTraditional_Brick</c:v>
                </c:pt>
                <c:pt idx="2">
                  <c:v>Aircrete Standard_EPD_Concrete BlockTraditional_Brick</c:v>
                </c:pt>
                <c:pt idx="3">
                  <c:v>Aircrete Super_EPD_Concrete BlockTraditional_Brick</c:v>
                </c:pt>
                <c:pt idx="4">
                  <c:v>Roadstone Solid_EPD_Concrete BlockTraditional_Brick</c:v>
                </c:pt>
              </c:strCache>
            </c:strRef>
          </c:cat>
          <c:val>
            <c:numRef>
              <c:f>'U &amp; R VALUE'!$J$7:$J$12</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0-30D3-43F7-BDD5-15CD1E5BB054}"/>
            </c:ext>
          </c:extLst>
        </c:ser>
        <c:dLbls>
          <c:showLegendKey val="0"/>
          <c:showVal val="0"/>
          <c:showCatName val="0"/>
          <c:showSerName val="0"/>
          <c:showPercent val="0"/>
          <c:showBubbleSize val="0"/>
        </c:dLbls>
        <c:gapWidth val="150"/>
        <c:overlap val="100"/>
        <c:axId val="40186752"/>
        <c:axId val="40173312"/>
      </c:barChart>
      <c:catAx>
        <c:axId val="401867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173312"/>
        <c:crosses val="autoZero"/>
        <c:auto val="1"/>
        <c:lblAlgn val="ctr"/>
        <c:lblOffset val="100"/>
        <c:noMultiLvlLbl val="0"/>
      </c:catAx>
      <c:valAx>
        <c:axId val="4017331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18675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[MMC_LCA_Consolidated_Spreadsheet_MacroEnabled.xlsm]MASS PER M2!PivotTable4</c:name>
    <c:fmtId val="5"/>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'MASS PER M2'!$E$4:$E$5</c:f>
              <c:strCache>
                <c:ptCount val="1"/>
                <c:pt idx="0">
                  <c:v>External Finish</c:v>
                </c:pt>
              </c:strCache>
            </c:strRef>
          </c:tx>
          <c:spPr>
            <a:solidFill>
              <a:schemeClr val="accent1"/>
            </a:solidFill>
            <a:ln>
              <a:noFill/>
            </a:ln>
            <a:effectLst/>
          </c:spPr>
          <c:invertIfNegative val="0"/>
          <c:cat>
            <c:strRef>
              <c:f>'MASS PER M2'!$D$6:$D$33</c:f>
              <c:strCache>
                <c:ptCount val="27"/>
                <c:pt idx="0">
                  <c:v>A_LCA_LGSOpen_Brick</c:v>
                </c:pt>
                <c:pt idx="1">
                  <c:v>A_LCA_TimberOpen_Brick</c:v>
                </c:pt>
                <c:pt idx="2">
                  <c:v>A_LCA_TimberPre-Insulated_Brick</c:v>
                </c:pt>
                <c:pt idx="3">
                  <c:v>Donaldson_EPD_TimberOpen_Brick</c:v>
                </c:pt>
                <c:pt idx="4">
                  <c:v>Donaldson_EPD_TimberPre-Insulated_Brick</c:v>
                </c:pt>
                <c:pt idx="5">
                  <c:v>Horizon_EPD_LGSOpen_Brick</c:v>
                </c:pt>
                <c:pt idx="6">
                  <c:v>SIGMAT_EPD_LGSOpen_Brick</c:v>
                </c:pt>
                <c:pt idx="7">
                  <c:v>A_LCA_ICFFormed Concrete_Brick</c:v>
                </c:pt>
                <c:pt idx="8">
                  <c:v>Nudura_EPD_ICFFormed Concrete_Brick</c:v>
                </c:pt>
                <c:pt idx="9">
                  <c:v>A_LCA_LGSOpen_Composite Fiber</c:v>
                </c:pt>
                <c:pt idx="10">
                  <c:v>Aircrete Standard_EPD_Concrete BlockTraditional_Brick</c:v>
                </c:pt>
                <c:pt idx="11">
                  <c:v>Thermomur_EPD_ICFFormed Concrete_Brick</c:v>
                </c:pt>
                <c:pt idx="12">
                  <c:v>Amvic300_EPD_ICFFormed Concrete_Brick</c:v>
                </c:pt>
                <c:pt idx="13">
                  <c:v>Amvic350_EPD_ICFFormed Concrete_Brick</c:v>
                </c:pt>
                <c:pt idx="14">
                  <c:v>SP-170_EPD_SIPClosed _Brick</c:v>
                </c:pt>
                <c:pt idx="15">
                  <c:v>SP-270_EPD_SIPClosed _Brick</c:v>
                </c:pt>
                <c:pt idx="16">
                  <c:v>MgO_EPD_SIPClosed _Brick</c:v>
                </c:pt>
                <c:pt idx="17">
                  <c:v>NZSIP 115_EPD_SIPClosed _Brick</c:v>
                </c:pt>
                <c:pt idx="18">
                  <c:v>USASIP_EPD_SIPClosed _Brick</c:v>
                </c:pt>
                <c:pt idx="19">
                  <c:v>A_LCA_TimberClosed _Brick</c:v>
                </c:pt>
                <c:pt idx="20">
                  <c:v>Donaldson Solid_EPD_TimberClosed _Brick</c:v>
                </c:pt>
                <c:pt idx="21">
                  <c:v>Donaldson C Stud_EPD_TimberClosed _Brick</c:v>
                </c:pt>
                <c:pt idx="22">
                  <c:v>SkadoMedis_EPD_TimberClosed _Timber</c:v>
                </c:pt>
                <c:pt idx="23">
                  <c:v>Aircrete High Ten_EPD_Concrete BlockTraditional_Brick</c:v>
                </c:pt>
                <c:pt idx="24">
                  <c:v>Aircrete Seven_EPD_Concrete BlockTraditional_Brick</c:v>
                </c:pt>
                <c:pt idx="25">
                  <c:v>Aircrete Super_EPD_Concrete BlockTraditional_Brick</c:v>
                </c:pt>
                <c:pt idx="26">
                  <c:v>Roadstone Solid_EPD_Concrete BlockTraditional_Brick</c:v>
                </c:pt>
              </c:strCache>
            </c:strRef>
          </c:cat>
          <c:val>
            <c:numRef>
              <c:f>'MASS PER M2'!$E$6:$E$33</c:f>
              <c:numCache>
                <c:formatCode>General</c:formatCode>
                <c:ptCount val="27"/>
                <c:pt idx="0">
                  <c:v>231.12</c:v>
                </c:pt>
                <c:pt idx="1">
                  <c:v>231.12</c:v>
                </c:pt>
                <c:pt idx="2">
                  <c:v>231.12</c:v>
                </c:pt>
                <c:pt idx="3">
                  <c:v>233.04499999999999</c:v>
                </c:pt>
                <c:pt idx="4">
                  <c:v>233.04499999999999</c:v>
                </c:pt>
                <c:pt idx="5">
                  <c:v>233.04499999999999</c:v>
                </c:pt>
                <c:pt idx="6">
                  <c:v>233.04499999999999</c:v>
                </c:pt>
                <c:pt idx="7">
                  <c:v>231.12</c:v>
                </c:pt>
                <c:pt idx="8">
                  <c:v>231.12</c:v>
                </c:pt>
                <c:pt idx="9">
                  <c:v>0.12</c:v>
                </c:pt>
                <c:pt idx="10">
                  <c:v>262.12</c:v>
                </c:pt>
                <c:pt idx="11">
                  <c:v>231.12</c:v>
                </c:pt>
                <c:pt idx="12">
                  <c:v>231.12</c:v>
                </c:pt>
                <c:pt idx="13">
                  <c:v>231.12</c:v>
                </c:pt>
                <c:pt idx="14">
                  <c:v>231.12</c:v>
                </c:pt>
                <c:pt idx="15">
                  <c:v>231.12</c:v>
                </c:pt>
                <c:pt idx="16">
                  <c:v>231.12</c:v>
                </c:pt>
                <c:pt idx="17">
                  <c:v>231.12</c:v>
                </c:pt>
                <c:pt idx="18">
                  <c:v>231.12</c:v>
                </c:pt>
                <c:pt idx="19">
                  <c:v>231.12</c:v>
                </c:pt>
                <c:pt idx="20">
                  <c:v>233.04499999999999</c:v>
                </c:pt>
                <c:pt idx="21">
                  <c:v>233.04499999999999</c:v>
                </c:pt>
                <c:pt idx="23">
                  <c:v>262.12</c:v>
                </c:pt>
                <c:pt idx="24">
                  <c:v>262.12</c:v>
                </c:pt>
                <c:pt idx="25">
                  <c:v>262.12</c:v>
                </c:pt>
                <c:pt idx="26">
                  <c:v>262.12</c:v>
                </c:pt>
              </c:numCache>
            </c:numRef>
          </c:val>
          <c:extLst>
            <c:ext xmlns:c16="http://schemas.microsoft.com/office/drawing/2014/chart" uri="{C3380CC4-5D6E-409C-BE32-E72D297353CC}">
              <c16:uniqueId val="{00000000-E4D3-465C-83A4-C040204AEF2A}"/>
            </c:ext>
          </c:extLst>
        </c:ser>
        <c:ser>
          <c:idx val="1"/>
          <c:order val="1"/>
          <c:tx>
            <c:strRef>
              <c:f>'MASS PER M2'!$F$4:$F$5</c:f>
              <c:strCache>
                <c:ptCount val="1"/>
                <c:pt idx="0">
                  <c:v>Insulation</c:v>
                </c:pt>
              </c:strCache>
            </c:strRef>
          </c:tx>
          <c:spPr>
            <a:solidFill>
              <a:schemeClr val="accent2"/>
            </a:solidFill>
            <a:ln>
              <a:noFill/>
            </a:ln>
            <a:effectLst/>
          </c:spPr>
          <c:invertIfNegative val="0"/>
          <c:cat>
            <c:strRef>
              <c:f>'MASS PER M2'!$D$6:$D$33</c:f>
              <c:strCache>
                <c:ptCount val="27"/>
                <c:pt idx="0">
                  <c:v>A_LCA_LGSOpen_Brick</c:v>
                </c:pt>
                <c:pt idx="1">
                  <c:v>A_LCA_TimberOpen_Brick</c:v>
                </c:pt>
                <c:pt idx="2">
                  <c:v>A_LCA_TimberPre-Insulated_Brick</c:v>
                </c:pt>
                <c:pt idx="3">
                  <c:v>Donaldson_EPD_TimberOpen_Brick</c:v>
                </c:pt>
                <c:pt idx="4">
                  <c:v>Donaldson_EPD_TimberPre-Insulated_Brick</c:v>
                </c:pt>
                <c:pt idx="5">
                  <c:v>Horizon_EPD_LGSOpen_Brick</c:v>
                </c:pt>
                <c:pt idx="6">
                  <c:v>SIGMAT_EPD_LGSOpen_Brick</c:v>
                </c:pt>
                <c:pt idx="7">
                  <c:v>A_LCA_ICFFormed Concrete_Brick</c:v>
                </c:pt>
                <c:pt idx="8">
                  <c:v>Nudura_EPD_ICFFormed Concrete_Brick</c:v>
                </c:pt>
                <c:pt idx="9">
                  <c:v>A_LCA_LGSOpen_Composite Fiber</c:v>
                </c:pt>
                <c:pt idx="10">
                  <c:v>Aircrete Standard_EPD_Concrete BlockTraditional_Brick</c:v>
                </c:pt>
                <c:pt idx="11">
                  <c:v>Thermomur_EPD_ICFFormed Concrete_Brick</c:v>
                </c:pt>
                <c:pt idx="12">
                  <c:v>Amvic300_EPD_ICFFormed Concrete_Brick</c:v>
                </c:pt>
                <c:pt idx="13">
                  <c:v>Amvic350_EPD_ICFFormed Concrete_Brick</c:v>
                </c:pt>
                <c:pt idx="14">
                  <c:v>SP-170_EPD_SIPClosed _Brick</c:v>
                </c:pt>
                <c:pt idx="15">
                  <c:v>SP-270_EPD_SIPClosed _Brick</c:v>
                </c:pt>
                <c:pt idx="16">
                  <c:v>MgO_EPD_SIPClosed _Brick</c:v>
                </c:pt>
                <c:pt idx="17">
                  <c:v>NZSIP 115_EPD_SIPClosed _Brick</c:v>
                </c:pt>
                <c:pt idx="18">
                  <c:v>USASIP_EPD_SIPClosed _Brick</c:v>
                </c:pt>
                <c:pt idx="19">
                  <c:v>A_LCA_TimberClosed _Brick</c:v>
                </c:pt>
                <c:pt idx="20">
                  <c:v>Donaldson Solid_EPD_TimberClosed _Brick</c:v>
                </c:pt>
                <c:pt idx="21">
                  <c:v>Donaldson C Stud_EPD_TimberClosed _Brick</c:v>
                </c:pt>
                <c:pt idx="22">
                  <c:v>SkadoMedis_EPD_TimberClosed _Timber</c:v>
                </c:pt>
                <c:pt idx="23">
                  <c:v>Aircrete High Ten_EPD_Concrete BlockTraditional_Brick</c:v>
                </c:pt>
                <c:pt idx="24">
                  <c:v>Aircrete Seven_EPD_Concrete BlockTraditional_Brick</c:v>
                </c:pt>
                <c:pt idx="25">
                  <c:v>Aircrete Super_EPD_Concrete BlockTraditional_Brick</c:v>
                </c:pt>
                <c:pt idx="26">
                  <c:v>Roadstone Solid_EPD_Concrete BlockTraditional_Brick</c:v>
                </c:pt>
              </c:strCache>
            </c:strRef>
          </c:cat>
          <c:val>
            <c:numRef>
              <c:f>'MASS PER M2'!$F$6:$F$33</c:f>
              <c:numCache>
                <c:formatCode>General</c:formatCode>
                <c:ptCount val="27"/>
                <c:pt idx="0">
                  <c:v>9.76</c:v>
                </c:pt>
                <c:pt idx="1">
                  <c:v>12.16</c:v>
                </c:pt>
                <c:pt idx="3">
                  <c:v>12.16</c:v>
                </c:pt>
                <c:pt idx="5">
                  <c:v>9.76</c:v>
                </c:pt>
                <c:pt idx="6">
                  <c:v>9.76</c:v>
                </c:pt>
                <c:pt idx="7">
                  <c:v>4.6180555555555562</c:v>
                </c:pt>
                <c:pt idx="8">
                  <c:v>6.2190000000000003</c:v>
                </c:pt>
                <c:pt idx="9">
                  <c:v>9.76</c:v>
                </c:pt>
                <c:pt idx="10">
                  <c:v>1.875</c:v>
                </c:pt>
                <c:pt idx="11">
                  <c:v>8.18</c:v>
                </c:pt>
                <c:pt idx="12">
                  <c:v>6.37</c:v>
                </c:pt>
                <c:pt idx="13">
                  <c:v>7.74</c:v>
                </c:pt>
                <c:pt idx="23">
                  <c:v>1.875</c:v>
                </c:pt>
                <c:pt idx="24">
                  <c:v>1.875</c:v>
                </c:pt>
                <c:pt idx="25">
                  <c:v>1.25</c:v>
                </c:pt>
                <c:pt idx="26">
                  <c:v>2.5</c:v>
                </c:pt>
              </c:numCache>
            </c:numRef>
          </c:val>
          <c:extLst>
            <c:ext xmlns:c16="http://schemas.microsoft.com/office/drawing/2014/chart" uri="{C3380CC4-5D6E-409C-BE32-E72D297353CC}">
              <c16:uniqueId val="{00000001-E4D3-465C-83A4-C040204AEF2A}"/>
            </c:ext>
          </c:extLst>
        </c:ser>
        <c:ser>
          <c:idx val="2"/>
          <c:order val="2"/>
          <c:tx>
            <c:strRef>
              <c:f>'MASS PER M2'!$G$4:$G$5</c:f>
              <c:strCache>
                <c:ptCount val="1"/>
                <c:pt idx="0">
                  <c:v>Internal Finish</c:v>
                </c:pt>
              </c:strCache>
            </c:strRef>
          </c:tx>
          <c:spPr>
            <a:solidFill>
              <a:schemeClr val="accent3"/>
            </a:solidFill>
            <a:ln>
              <a:noFill/>
            </a:ln>
            <a:effectLst/>
          </c:spPr>
          <c:invertIfNegative val="0"/>
          <c:cat>
            <c:strRef>
              <c:f>'MASS PER M2'!$D$6:$D$33</c:f>
              <c:strCache>
                <c:ptCount val="27"/>
                <c:pt idx="0">
                  <c:v>A_LCA_LGSOpen_Brick</c:v>
                </c:pt>
                <c:pt idx="1">
                  <c:v>A_LCA_TimberOpen_Brick</c:v>
                </c:pt>
                <c:pt idx="2">
                  <c:v>A_LCA_TimberPre-Insulated_Brick</c:v>
                </c:pt>
                <c:pt idx="3">
                  <c:v>Donaldson_EPD_TimberOpen_Brick</c:v>
                </c:pt>
                <c:pt idx="4">
                  <c:v>Donaldson_EPD_TimberPre-Insulated_Brick</c:v>
                </c:pt>
                <c:pt idx="5">
                  <c:v>Horizon_EPD_LGSOpen_Brick</c:v>
                </c:pt>
                <c:pt idx="6">
                  <c:v>SIGMAT_EPD_LGSOpen_Brick</c:v>
                </c:pt>
                <c:pt idx="7">
                  <c:v>A_LCA_ICFFormed Concrete_Brick</c:v>
                </c:pt>
                <c:pt idx="8">
                  <c:v>Nudura_EPD_ICFFormed Concrete_Brick</c:v>
                </c:pt>
                <c:pt idx="9">
                  <c:v>A_LCA_LGSOpen_Composite Fiber</c:v>
                </c:pt>
                <c:pt idx="10">
                  <c:v>Aircrete Standard_EPD_Concrete BlockTraditional_Brick</c:v>
                </c:pt>
                <c:pt idx="11">
                  <c:v>Thermomur_EPD_ICFFormed Concrete_Brick</c:v>
                </c:pt>
                <c:pt idx="12">
                  <c:v>Amvic300_EPD_ICFFormed Concrete_Brick</c:v>
                </c:pt>
                <c:pt idx="13">
                  <c:v>Amvic350_EPD_ICFFormed Concrete_Brick</c:v>
                </c:pt>
                <c:pt idx="14">
                  <c:v>SP-170_EPD_SIPClosed _Brick</c:v>
                </c:pt>
                <c:pt idx="15">
                  <c:v>SP-270_EPD_SIPClosed _Brick</c:v>
                </c:pt>
                <c:pt idx="16">
                  <c:v>MgO_EPD_SIPClosed _Brick</c:v>
                </c:pt>
                <c:pt idx="17">
                  <c:v>NZSIP 115_EPD_SIPClosed _Brick</c:v>
                </c:pt>
                <c:pt idx="18">
                  <c:v>USASIP_EPD_SIPClosed _Brick</c:v>
                </c:pt>
                <c:pt idx="19">
                  <c:v>A_LCA_TimberClosed _Brick</c:v>
                </c:pt>
                <c:pt idx="20">
                  <c:v>Donaldson Solid_EPD_TimberClosed _Brick</c:v>
                </c:pt>
                <c:pt idx="21">
                  <c:v>Donaldson C Stud_EPD_TimberClosed _Brick</c:v>
                </c:pt>
                <c:pt idx="22">
                  <c:v>SkadoMedis_EPD_TimberClosed _Timber</c:v>
                </c:pt>
                <c:pt idx="23">
                  <c:v>Aircrete High Ten_EPD_Concrete BlockTraditional_Brick</c:v>
                </c:pt>
                <c:pt idx="24">
                  <c:v>Aircrete Seven_EPD_Concrete BlockTraditional_Brick</c:v>
                </c:pt>
                <c:pt idx="25">
                  <c:v>Aircrete Super_EPD_Concrete BlockTraditional_Brick</c:v>
                </c:pt>
                <c:pt idx="26">
                  <c:v>Roadstone Solid_EPD_Concrete BlockTraditional_Brick</c:v>
                </c:pt>
              </c:strCache>
            </c:strRef>
          </c:cat>
          <c:val>
            <c:numRef>
              <c:f>'MASS PER M2'!$G$6:$G$33</c:f>
              <c:numCache>
                <c:formatCode>General</c:formatCode>
                <c:ptCount val="27"/>
                <c:pt idx="0">
                  <c:v>9.3350000000000009</c:v>
                </c:pt>
                <c:pt idx="1">
                  <c:v>9.2850000000000001</c:v>
                </c:pt>
                <c:pt idx="2">
                  <c:v>9.2850000000000001</c:v>
                </c:pt>
                <c:pt idx="3">
                  <c:v>9.2850000000000001</c:v>
                </c:pt>
                <c:pt idx="4">
                  <c:v>9.2850000000000001</c:v>
                </c:pt>
                <c:pt idx="5">
                  <c:v>9.2850000000000001</c:v>
                </c:pt>
                <c:pt idx="6">
                  <c:v>9.2850000000000001</c:v>
                </c:pt>
                <c:pt idx="7">
                  <c:v>9.2850000000000001</c:v>
                </c:pt>
                <c:pt idx="8">
                  <c:v>9.2850000000000001</c:v>
                </c:pt>
                <c:pt idx="9">
                  <c:v>9.2850000000000001</c:v>
                </c:pt>
                <c:pt idx="10">
                  <c:v>9.2850000000000001</c:v>
                </c:pt>
                <c:pt idx="11">
                  <c:v>9.2850000000000001</c:v>
                </c:pt>
                <c:pt idx="12">
                  <c:v>9.2850000000000001</c:v>
                </c:pt>
                <c:pt idx="13">
                  <c:v>9.2850000000000001</c:v>
                </c:pt>
                <c:pt idx="14">
                  <c:v>9.2850000000000001</c:v>
                </c:pt>
                <c:pt idx="15">
                  <c:v>9.2850000000000001</c:v>
                </c:pt>
                <c:pt idx="16">
                  <c:v>9.2850000000000001</c:v>
                </c:pt>
                <c:pt idx="17">
                  <c:v>9.2850000000000001</c:v>
                </c:pt>
                <c:pt idx="18">
                  <c:v>9.2850000000000001</c:v>
                </c:pt>
                <c:pt idx="19">
                  <c:v>9.2850000000000001</c:v>
                </c:pt>
                <c:pt idx="20">
                  <c:v>9.2850000000000001</c:v>
                </c:pt>
                <c:pt idx="21">
                  <c:v>9.2850000000000001</c:v>
                </c:pt>
                <c:pt idx="23">
                  <c:v>9.2850000000000001</c:v>
                </c:pt>
                <c:pt idx="24">
                  <c:v>9.2850000000000001</c:v>
                </c:pt>
                <c:pt idx="25">
                  <c:v>9.2850000000000001</c:v>
                </c:pt>
                <c:pt idx="26">
                  <c:v>9.2850000000000001</c:v>
                </c:pt>
              </c:numCache>
            </c:numRef>
          </c:val>
          <c:extLst>
            <c:ext xmlns:c16="http://schemas.microsoft.com/office/drawing/2014/chart" uri="{C3380CC4-5D6E-409C-BE32-E72D297353CC}">
              <c16:uniqueId val="{00000002-E4D3-465C-83A4-C040204AEF2A}"/>
            </c:ext>
          </c:extLst>
        </c:ser>
        <c:ser>
          <c:idx val="3"/>
          <c:order val="3"/>
          <c:tx>
            <c:strRef>
              <c:f>'MASS PER M2'!$H$4:$H$5</c:f>
              <c:strCache>
                <c:ptCount val="1"/>
                <c:pt idx="0">
                  <c:v>Sheathing</c:v>
                </c:pt>
              </c:strCache>
            </c:strRef>
          </c:tx>
          <c:spPr>
            <a:solidFill>
              <a:schemeClr val="accent4"/>
            </a:solidFill>
            <a:ln>
              <a:noFill/>
            </a:ln>
            <a:effectLst/>
          </c:spPr>
          <c:invertIfNegative val="0"/>
          <c:cat>
            <c:strRef>
              <c:f>'MASS PER M2'!$D$6:$D$33</c:f>
              <c:strCache>
                <c:ptCount val="27"/>
                <c:pt idx="0">
                  <c:v>A_LCA_LGSOpen_Brick</c:v>
                </c:pt>
                <c:pt idx="1">
                  <c:v>A_LCA_TimberOpen_Brick</c:v>
                </c:pt>
                <c:pt idx="2">
                  <c:v>A_LCA_TimberPre-Insulated_Brick</c:v>
                </c:pt>
                <c:pt idx="3">
                  <c:v>Donaldson_EPD_TimberOpen_Brick</c:v>
                </c:pt>
                <c:pt idx="4">
                  <c:v>Donaldson_EPD_TimberPre-Insulated_Brick</c:v>
                </c:pt>
                <c:pt idx="5">
                  <c:v>Horizon_EPD_LGSOpen_Brick</c:v>
                </c:pt>
                <c:pt idx="6">
                  <c:v>SIGMAT_EPD_LGSOpen_Brick</c:v>
                </c:pt>
                <c:pt idx="7">
                  <c:v>A_LCA_ICFFormed Concrete_Brick</c:v>
                </c:pt>
                <c:pt idx="8">
                  <c:v>Nudura_EPD_ICFFormed Concrete_Brick</c:v>
                </c:pt>
                <c:pt idx="9">
                  <c:v>A_LCA_LGSOpen_Composite Fiber</c:v>
                </c:pt>
                <c:pt idx="10">
                  <c:v>Aircrete Standard_EPD_Concrete BlockTraditional_Brick</c:v>
                </c:pt>
                <c:pt idx="11">
                  <c:v>Thermomur_EPD_ICFFormed Concrete_Brick</c:v>
                </c:pt>
                <c:pt idx="12">
                  <c:v>Amvic300_EPD_ICFFormed Concrete_Brick</c:v>
                </c:pt>
                <c:pt idx="13">
                  <c:v>Amvic350_EPD_ICFFormed Concrete_Brick</c:v>
                </c:pt>
                <c:pt idx="14">
                  <c:v>SP-170_EPD_SIPClosed _Brick</c:v>
                </c:pt>
                <c:pt idx="15">
                  <c:v>SP-270_EPD_SIPClosed _Brick</c:v>
                </c:pt>
                <c:pt idx="16">
                  <c:v>MgO_EPD_SIPClosed _Brick</c:v>
                </c:pt>
                <c:pt idx="17">
                  <c:v>NZSIP 115_EPD_SIPClosed _Brick</c:v>
                </c:pt>
                <c:pt idx="18">
                  <c:v>USASIP_EPD_SIPClosed _Brick</c:v>
                </c:pt>
                <c:pt idx="19">
                  <c:v>A_LCA_TimberClosed _Brick</c:v>
                </c:pt>
                <c:pt idx="20">
                  <c:v>Donaldson Solid_EPD_TimberClosed _Brick</c:v>
                </c:pt>
                <c:pt idx="21">
                  <c:v>Donaldson C Stud_EPD_TimberClosed _Brick</c:v>
                </c:pt>
                <c:pt idx="22">
                  <c:v>SkadoMedis_EPD_TimberClosed _Timber</c:v>
                </c:pt>
                <c:pt idx="23">
                  <c:v>Aircrete High Ten_EPD_Concrete BlockTraditional_Brick</c:v>
                </c:pt>
                <c:pt idx="24">
                  <c:v>Aircrete Seven_EPD_Concrete BlockTraditional_Brick</c:v>
                </c:pt>
                <c:pt idx="25">
                  <c:v>Aircrete Super_EPD_Concrete BlockTraditional_Brick</c:v>
                </c:pt>
                <c:pt idx="26">
                  <c:v>Roadstone Solid_EPD_Concrete BlockTraditional_Brick</c:v>
                </c:pt>
              </c:strCache>
            </c:strRef>
          </c:cat>
          <c:val>
            <c:numRef>
              <c:f>'MASS PER M2'!$H$6:$H$33</c:f>
              <c:numCache>
                <c:formatCode>General</c:formatCode>
                <c:ptCount val="27"/>
                <c:pt idx="1">
                  <c:v>5.4</c:v>
                </c:pt>
              </c:numCache>
            </c:numRef>
          </c:val>
          <c:extLst>
            <c:ext xmlns:c16="http://schemas.microsoft.com/office/drawing/2014/chart" uri="{C3380CC4-5D6E-409C-BE32-E72D297353CC}">
              <c16:uniqueId val="{00000003-E4D3-465C-83A4-C040204AEF2A}"/>
            </c:ext>
          </c:extLst>
        </c:ser>
        <c:ser>
          <c:idx val="4"/>
          <c:order val="4"/>
          <c:tx>
            <c:strRef>
              <c:f>'MASS PER M2'!$I$4:$I$5</c:f>
              <c:strCache>
                <c:ptCount val="1"/>
                <c:pt idx="0">
                  <c:v>Structural</c:v>
                </c:pt>
              </c:strCache>
            </c:strRef>
          </c:tx>
          <c:spPr>
            <a:solidFill>
              <a:schemeClr val="accent5"/>
            </a:solidFill>
            <a:ln>
              <a:noFill/>
            </a:ln>
            <a:effectLst/>
          </c:spPr>
          <c:invertIfNegative val="0"/>
          <c:cat>
            <c:strRef>
              <c:f>'MASS PER M2'!$D$6:$D$33</c:f>
              <c:strCache>
                <c:ptCount val="27"/>
                <c:pt idx="0">
                  <c:v>A_LCA_LGSOpen_Brick</c:v>
                </c:pt>
                <c:pt idx="1">
                  <c:v>A_LCA_TimberOpen_Brick</c:v>
                </c:pt>
                <c:pt idx="2">
                  <c:v>A_LCA_TimberPre-Insulated_Brick</c:v>
                </c:pt>
                <c:pt idx="3">
                  <c:v>Donaldson_EPD_TimberOpen_Brick</c:v>
                </c:pt>
                <c:pt idx="4">
                  <c:v>Donaldson_EPD_TimberPre-Insulated_Brick</c:v>
                </c:pt>
                <c:pt idx="5">
                  <c:v>Horizon_EPD_LGSOpen_Brick</c:v>
                </c:pt>
                <c:pt idx="6">
                  <c:v>SIGMAT_EPD_LGSOpen_Brick</c:v>
                </c:pt>
                <c:pt idx="7">
                  <c:v>A_LCA_ICFFormed Concrete_Brick</c:v>
                </c:pt>
                <c:pt idx="8">
                  <c:v>Nudura_EPD_ICFFormed Concrete_Brick</c:v>
                </c:pt>
                <c:pt idx="9">
                  <c:v>A_LCA_LGSOpen_Composite Fiber</c:v>
                </c:pt>
                <c:pt idx="10">
                  <c:v>Aircrete Standard_EPD_Concrete BlockTraditional_Brick</c:v>
                </c:pt>
                <c:pt idx="11">
                  <c:v>Thermomur_EPD_ICFFormed Concrete_Brick</c:v>
                </c:pt>
                <c:pt idx="12">
                  <c:v>Amvic300_EPD_ICFFormed Concrete_Brick</c:v>
                </c:pt>
                <c:pt idx="13">
                  <c:v>Amvic350_EPD_ICFFormed Concrete_Brick</c:v>
                </c:pt>
                <c:pt idx="14">
                  <c:v>SP-170_EPD_SIPClosed _Brick</c:v>
                </c:pt>
                <c:pt idx="15">
                  <c:v>SP-270_EPD_SIPClosed _Brick</c:v>
                </c:pt>
                <c:pt idx="16">
                  <c:v>MgO_EPD_SIPClosed _Brick</c:v>
                </c:pt>
                <c:pt idx="17">
                  <c:v>NZSIP 115_EPD_SIPClosed _Brick</c:v>
                </c:pt>
                <c:pt idx="18">
                  <c:v>USASIP_EPD_SIPClosed _Brick</c:v>
                </c:pt>
                <c:pt idx="19">
                  <c:v>A_LCA_TimberClosed _Brick</c:v>
                </c:pt>
                <c:pt idx="20">
                  <c:v>Donaldson Solid_EPD_TimberClosed _Brick</c:v>
                </c:pt>
                <c:pt idx="21">
                  <c:v>Donaldson C Stud_EPD_TimberClosed _Brick</c:v>
                </c:pt>
                <c:pt idx="22">
                  <c:v>SkadoMedis_EPD_TimberClosed _Timber</c:v>
                </c:pt>
                <c:pt idx="23">
                  <c:v>Aircrete High Ten_EPD_Concrete BlockTraditional_Brick</c:v>
                </c:pt>
                <c:pt idx="24">
                  <c:v>Aircrete Seven_EPD_Concrete BlockTraditional_Brick</c:v>
                </c:pt>
                <c:pt idx="25">
                  <c:v>Aircrete Super_EPD_Concrete BlockTraditional_Brick</c:v>
                </c:pt>
                <c:pt idx="26">
                  <c:v>Roadstone Solid_EPD_Concrete BlockTraditional_Brick</c:v>
                </c:pt>
              </c:strCache>
            </c:strRef>
          </c:cat>
          <c:val>
            <c:numRef>
              <c:f>'MASS PER M2'!$I$6:$I$33</c:f>
              <c:numCache>
                <c:formatCode>General</c:formatCode>
                <c:ptCount val="27"/>
                <c:pt idx="0">
                  <c:v>5.5847999999999987</c:v>
                </c:pt>
                <c:pt idx="1">
                  <c:v>8.9497916666666661</c:v>
                </c:pt>
                <c:pt idx="3">
                  <c:v>21.04</c:v>
                </c:pt>
                <c:pt idx="5">
                  <c:v>4.7300000000000004</c:v>
                </c:pt>
                <c:pt idx="6">
                  <c:v>4.7300000000000004</c:v>
                </c:pt>
                <c:pt idx="7">
                  <c:v>367.19965277777777</c:v>
                </c:pt>
                <c:pt idx="8">
                  <c:v>361.8</c:v>
                </c:pt>
                <c:pt idx="9">
                  <c:v>5.5847999999999987</c:v>
                </c:pt>
                <c:pt idx="10">
                  <c:v>139.75</c:v>
                </c:pt>
                <c:pt idx="11">
                  <c:v>361.8</c:v>
                </c:pt>
                <c:pt idx="12">
                  <c:v>361.8</c:v>
                </c:pt>
                <c:pt idx="13">
                  <c:v>361.8</c:v>
                </c:pt>
                <c:pt idx="23">
                  <c:v>178.45</c:v>
                </c:pt>
                <c:pt idx="24">
                  <c:v>163.4</c:v>
                </c:pt>
                <c:pt idx="25">
                  <c:v>103.2</c:v>
                </c:pt>
                <c:pt idx="26">
                  <c:v>103.2</c:v>
                </c:pt>
              </c:numCache>
            </c:numRef>
          </c:val>
          <c:extLst>
            <c:ext xmlns:c16="http://schemas.microsoft.com/office/drawing/2014/chart" uri="{C3380CC4-5D6E-409C-BE32-E72D297353CC}">
              <c16:uniqueId val="{00000004-E4D3-465C-83A4-C040204AEF2A}"/>
            </c:ext>
          </c:extLst>
        </c:ser>
        <c:ser>
          <c:idx val="5"/>
          <c:order val="5"/>
          <c:tx>
            <c:strRef>
              <c:f>'MASS PER M2'!$J$4:$J$5</c:f>
              <c:strCache>
                <c:ptCount val="1"/>
                <c:pt idx="0">
                  <c:v>Structural, Insulation, Weatherproofing</c:v>
                </c:pt>
              </c:strCache>
            </c:strRef>
          </c:tx>
          <c:spPr>
            <a:solidFill>
              <a:schemeClr val="accent6"/>
            </a:solidFill>
            <a:ln>
              <a:noFill/>
            </a:ln>
            <a:effectLst/>
          </c:spPr>
          <c:invertIfNegative val="0"/>
          <c:cat>
            <c:strRef>
              <c:f>'MASS PER M2'!$D$6:$D$33</c:f>
              <c:strCache>
                <c:ptCount val="27"/>
                <c:pt idx="0">
                  <c:v>A_LCA_LGSOpen_Brick</c:v>
                </c:pt>
                <c:pt idx="1">
                  <c:v>A_LCA_TimberOpen_Brick</c:v>
                </c:pt>
                <c:pt idx="2">
                  <c:v>A_LCA_TimberPre-Insulated_Brick</c:v>
                </c:pt>
                <c:pt idx="3">
                  <c:v>Donaldson_EPD_TimberOpen_Brick</c:v>
                </c:pt>
                <c:pt idx="4">
                  <c:v>Donaldson_EPD_TimberPre-Insulated_Brick</c:v>
                </c:pt>
                <c:pt idx="5">
                  <c:v>Horizon_EPD_LGSOpen_Brick</c:v>
                </c:pt>
                <c:pt idx="6">
                  <c:v>SIGMAT_EPD_LGSOpen_Brick</c:v>
                </c:pt>
                <c:pt idx="7">
                  <c:v>A_LCA_ICFFormed Concrete_Brick</c:v>
                </c:pt>
                <c:pt idx="8">
                  <c:v>Nudura_EPD_ICFFormed Concrete_Brick</c:v>
                </c:pt>
                <c:pt idx="9">
                  <c:v>A_LCA_LGSOpen_Composite Fiber</c:v>
                </c:pt>
                <c:pt idx="10">
                  <c:v>Aircrete Standard_EPD_Concrete BlockTraditional_Brick</c:v>
                </c:pt>
                <c:pt idx="11">
                  <c:v>Thermomur_EPD_ICFFormed Concrete_Brick</c:v>
                </c:pt>
                <c:pt idx="12">
                  <c:v>Amvic300_EPD_ICFFormed Concrete_Brick</c:v>
                </c:pt>
                <c:pt idx="13">
                  <c:v>Amvic350_EPD_ICFFormed Concrete_Brick</c:v>
                </c:pt>
                <c:pt idx="14">
                  <c:v>SP-170_EPD_SIPClosed _Brick</c:v>
                </c:pt>
                <c:pt idx="15">
                  <c:v>SP-270_EPD_SIPClosed _Brick</c:v>
                </c:pt>
                <c:pt idx="16">
                  <c:v>MgO_EPD_SIPClosed _Brick</c:v>
                </c:pt>
                <c:pt idx="17">
                  <c:v>NZSIP 115_EPD_SIPClosed _Brick</c:v>
                </c:pt>
                <c:pt idx="18">
                  <c:v>USASIP_EPD_SIPClosed _Brick</c:v>
                </c:pt>
                <c:pt idx="19">
                  <c:v>A_LCA_TimberClosed _Brick</c:v>
                </c:pt>
                <c:pt idx="20">
                  <c:v>Donaldson Solid_EPD_TimberClosed _Brick</c:v>
                </c:pt>
                <c:pt idx="21">
                  <c:v>Donaldson C Stud_EPD_TimberClosed _Brick</c:v>
                </c:pt>
                <c:pt idx="22">
                  <c:v>SkadoMedis_EPD_TimberClosed _Timber</c:v>
                </c:pt>
                <c:pt idx="23">
                  <c:v>Aircrete High Ten_EPD_Concrete BlockTraditional_Brick</c:v>
                </c:pt>
                <c:pt idx="24">
                  <c:v>Aircrete Seven_EPD_Concrete BlockTraditional_Brick</c:v>
                </c:pt>
                <c:pt idx="25">
                  <c:v>Aircrete Super_EPD_Concrete BlockTraditional_Brick</c:v>
                </c:pt>
                <c:pt idx="26">
                  <c:v>Roadstone Solid_EPD_Concrete BlockTraditional_Brick</c:v>
                </c:pt>
              </c:strCache>
            </c:strRef>
          </c:cat>
          <c:val>
            <c:numRef>
              <c:f>'MASS PER M2'!$J$6:$J$33</c:f>
              <c:numCache>
                <c:formatCode>General</c:formatCode>
                <c:ptCount val="27"/>
                <c:pt idx="2">
                  <c:v>26.570555555555558</c:v>
                </c:pt>
                <c:pt idx="4">
                  <c:v>23.57</c:v>
                </c:pt>
                <c:pt idx="19">
                  <c:v>32.143472222222222</c:v>
                </c:pt>
                <c:pt idx="20">
                  <c:v>23.75</c:v>
                </c:pt>
                <c:pt idx="21">
                  <c:v>31.66</c:v>
                </c:pt>
              </c:numCache>
            </c:numRef>
          </c:val>
          <c:extLst>
            <c:ext xmlns:c16="http://schemas.microsoft.com/office/drawing/2014/chart" uri="{C3380CC4-5D6E-409C-BE32-E72D297353CC}">
              <c16:uniqueId val="{00000005-E4D3-465C-83A4-C040204AEF2A}"/>
            </c:ext>
          </c:extLst>
        </c:ser>
        <c:ser>
          <c:idx val="6"/>
          <c:order val="6"/>
          <c:tx>
            <c:strRef>
              <c:f>'MASS PER M2'!$K$4:$K$5</c:f>
              <c:strCache>
                <c:ptCount val="1"/>
                <c:pt idx="0">
                  <c:v>Weatherproofing</c:v>
                </c:pt>
              </c:strCache>
            </c:strRef>
          </c:tx>
          <c:spPr>
            <a:solidFill>
              <a:srgbClr val="FF0000"/>
            </a:solidFill>
            <a:ln>
              <a:noFill/>
            </a:ln>
            <a:effectLst/>
          </c:spPr>
          <c:invertIfNegative val="0"/>
          <c:cat>
            <c:strRef>
              <c:f>'MASS PER M2'!$D$6:$D$33</c:f>
              <c:strCache>
                <c:ptCount val="27"/>
                <c:pt idx="0">
                  <c:v>A_LCA_LGSOpen_Brick</c:v>
                </c:pt>
                <c:pt idx="1">
                  <c:v>A_LCA_TimberOpen_Brick</c:v>
                </c:pt>
                <c:pt idx="2">
                  <c:v>A_LCA_TimberPre-Insulated_Brick</c:v>
                </c:pt>
                <c:pt idx="3">
                  <c:v>Donaldson_EPD_TimberOpen_Brick</c:v>
                </c:pt>
                <c:pt idx="4">
                  <c:v>Donaldson_EPD_TimberPre-Insulated_Brick</c:v>
                </c:pt>
                <c:pt idx="5">
                  <c:v>Horizon_EPD_LGSOpen_Brick</c:v>
                </c:pt>
                <c:pt idx="6">
                  <c:v>SIGMAT_EPD_LGSOpen_Brick</c:v>
                </c:pt>
                <c:pt idx="7">
                  <c:v>A_LCA_ICFFormed Concrete_Brick</c:v>
                </c:pt>
                <c:pt idx="8">
                  <c:v>Nudura_EPD_ICFFormed Concrete_Brick</c:v>
                </c:pt>
                <c:pt idx="9">
                  <c:v>A_LCA_LGSOpen_Composite Fiber</c:v>
                </c:pt>
                <c:pt idx="10">
                  <c:v>Aircrete Standard_EPD_Concrete BlockTraditional_Brick</c:v>
                </c:pt>
                <c:pt idx="11">
                  <c:v>Thermomur_EPD_ICFFormed Concrete_Brick</c:v>
                </c:pt>
                <c:pt idx="12">
                  <c:v>Amvic300_EPD_ICFFormed Concrete_Brick</c:v>
                </c:pt>
                <c:pt idx="13">
                  <c:v>Amvic350_EPD_ICFFormed Concrete_Brick</c:v>
                </c:pt>
                <c:pt idx="14">
                  <c:v>SP-170_EPD_SIPClosed _Brick</c:v>
                </c:pt>
                <c:pt idx="15">
                  <c:v>SP-270_EPD_SIPClosed _Brick</c:v>
                </c:pt>
                <c:pt idx="16">
                  <c:v>MgO_EPD_SIPClosed _Brick</c:v>
                </c:pt>
                <c:pt idx="17">
                  <c:v>NZSIP 115_EPD_SIPClosed _Brick</c:v>
                </c:pt>
                <c:pt idx="18">
                  <c:v>USASIP_EPD_SIPClosed _Brick</c:v>
                </c:pt>
                <c:pt idx="19">
                  <c:v>A_LCA_TimberClosed _Brick</c:v>
                </c:pt>
                <c:pt idx="20">
                  <c:v>Donaldson Solid_EPD_TimberClosed _Brick</c:v>
                </c:pt>
                <c:pt idx="21">
                  <c:v>Donaldson C Stud_EPD_TimberClosed _Brick</c:v>
                </c:pt>
                <c:pt idx="22">
                  <c:v>SkadoMedis_EPD_TimberClosed _Timber</c:v>
                </c:pt>
                <c:pt idx="23">
                  <c:v>Aircrete High Ten_EPD_Concrete BlockTraditional_Brick</c:v>
                </c:pt>
                <c:pt idx="24">
                  <c:v>Aircrete Seven_EPD_Concrete BlockTraditional_Brick</c:v>
                </c:pt>
                <c:pt idx="25">
                  <c:v>Aircrete Super_EPD_Concrete BlockTraditional_Brick</c:v>
                </c:pt>
                <c:pt idx="26">
                  <c:v>Roadstone Solid_EPD_Concrete BlockTraditional_Brick</c:v>
                </c:pt>
              </c:strCache>
            </c:strRef>
          </c:cat>
          <c:val>
            <c:numRef>
              <c:f>'MASS PER M2'!$K$6:$K$33</c:f>
              <c:numCache>
                <c:formatCode>General</c:formatCode>
                <c:ptCount val="27"/>
                <c:pt idx="0">
                  <c:v>0.34599999999999997</c:v>
                </c:pt>
                <c:pt idx="1">
                  <c:v>6.0763888888888888E-2</c:v>
                </c:pt>
                <c:pt idx="3">
                  <c:v>6.0763888888888888E-2</c:v>
                </c:pt>
                <c:pt idx="5">
                  <c:v>0.34599999999999997</c:v>
                </c:pt>
                <c:pt idx="6">
                  <c:v>0.34599999999999997</c:v>
                </c:pt>
                <c:pt idx="7">
                  <c:v>6.0069444444444439E-2</c:v>
                </c:pt>
                <c:pt idx="8">
                  <c:v>0</c:v>
                </c:pt>
                <c:pt idx="9">
                  <c:v>0.34599999999999997</c:v>
                </c:pt>
                <c:pt idx="10">
                  <c:v>0.34599999999999997</c:v>
                </c:pt>
                <c:pt idx="11">
                  <c:v>0</c:v>
                </c:pt>
                <c:pt idx="12">
                  <c:v>0</c:v>
                </c:pt>
                <c:pt idx="13">
                  <c:v>0</c:v>
                </c:pt>
                <c:pt idx="14">
                  <c:v>0.34599999999999997</c:v>
                </c:pt>
                <c:pt idx="15">
                  <c:v>0.34599999999999997</c:v>
                </c:pt>
                <c:pt idx="16">
                  <c:v>0.34599999999999997</c:v>
                </c:pt>
                <c:pt idx="17">
                  <c:v>0.34599999999999997</c:v>
                </c:pt>
                <c:pt idx="18">
                  <c:v>0.34599999999999997</c:v>
                </c:pt>
                <c:pt idx="23">
                  <c:v>0.34599999999999997</c:v>
                </c:pt>
                <c:pt idx="24">
                  <c:v>0.34599999999999997</c:v>
                </c:pt>
                <c:pt idx="25">
                  <c:v>0.34599999999999997</c:v>
                </c:pt>
                <c:pt idx="26">
                  <c:v>0.34599999999999997</c:v>
                </c:pt>
              </c:numCache>
            </c:numRef>
          </c:val>
          <c:extLst>
            <c:ext xmlns:c16="http://schemas.microsoft.com/office/drawing/2014/chart" uri="{C3380CC4-5D6E-409C-BE32-E72D297353CC}">
              <c16:uniqueId val="{00000006-E4D3-465C-83A4-C040204AEF2A}"/>
            </c:ext>
          </c:extLst>
        </c:ser>
        <c:ser>
          <c:idx val="7"/>
          <c:order val="7"/>
          <c:tx>
            <c:strRef>
              <c:f>'MASS PER M2'!$L$4:$L$5</c:f>
              <c:strCache>
                <c:ptCount val="1"/>
                <c:pt idx="0">
                  <c:v>Structual + Insulation</c:v>
                </c:pt>
              </c:strCache>
            </c:strRef>
          </c:tx>
          <c:spPr>
            <a:solidFill>
              <a:schemeClr val="accent2">
                <a:lumMod val="60000"/>
              </a:schemeClr>
            </a:solidFill>
            <a:ln>
              <a:noFill/>
            </a:ln>
            <a:effectLst/>
          </c:spPr>
          <c:invertIfNegative val="0"/>
          <c:cat>
            <c:strRef>
              <c:f>'MASS PER M2'!$D$6:$D$33</c:f>
              <c:strCache>
                <c:ptCount val="27"/>
                <c:pt idx="0">
                  <c:v>A_LCA_LGSOpen_Brick</c:v>
                </c:pt>
                <c:pt idx="1">
                  <c:v>A_LCA_TimberOpen_Brick</c:v>
                </c:pt>
                <c:pt idx="2">
                  <c:v>A_LCA_TimberPre-Insulated_Brick</c:v>
                </c:pt>
                <c:pt idx="3">
                  <c:v>Donaldson_EPD_TimberOpen_Brick</c:v>
                </c:pt>
                <c:pt idx="4">
                  <c:v>Donaldson_EPD_TimberPre-Insulated_Brick</c:v>
                </c:pt>
                <c:pt idx="5">
                  <c:v>Horizon_EPD_LGSOpen_Brick</c:v>
                </c:pt>
                <c:pt idx="6">
                  <c:v>SIGMAT_EPD_LGSOpen_Brick</c:v>
                </c:pt>
                <c:pt idx="7">
                  <c:v>A_LCA_ICFFormed Concrete_Brick</c:v>
                </c:pt>
                <c:pt idx="8">
                  <c:v>Nudura_EPD_ICFFormed Concrete_Brick</c:v>
                </c:pt>
                <c:pt idx="9">
                  <c:v>A_LCA_LGSOpen_Composite Fiber</c:v>
                </c:pt>
                <c:pt idx="10">
                  <c:v>Aircrete Standard_EPD_Concrete BlockTraditional_Brick</c:v>
                </c:pt>
                <c:pt idx="11">
                  <c:v>Thermomur_EPD_ICFFormed Concrete_Brick</c:v>
                </c:pt>
                <c:pt idx="12">
                  <c:v>Amvic300_EPD_ICFFormed Concrete_Brick</c:v>
                </c:pt>
                <c:pt idx="13">
                  <c:v>Amvic350_EPD_ICFFormed Concrete_Brick</c:v>
                </c:pt>
                <c:pt idx="14">
                  <c:v>SP-170_EPD_SIPClosed _Brick</c:v>
                </c:pt>
                <c:pt idx="15">
                  <c:v>SP-270_EPD_SIPClosed _Brick</c:v>
                </c:pt>
                <c:pt idx="16">
                  <c:v>MgO_EPD_SIPClosed _Brick</c:v>
                </c:pt>
                <c:pt idx="17">
                  <c:v>NZSIP 115_EPD_SIPClosed _Brick</c:v>
                </c:pt>
                <c:pt idx="18">
                  <c:v>USASIP_EPD_SIPClosed _Brick</c:v>
                </c:pt>
                <c:pt idx="19">
                  <c:v>A_LCA_TimberClosed _Brick</c:v>
                </c:pt>
                <c:pt idx="20">
                  <c:v>Donaldson Solid_EPD_TimberClosed _Brick</c:v>
                </c:pt>
                <c:pt idx="21">
                  <c:v>Donaldson C Stud_EPD_TimberClosed _Brick</c:v>
                </c:pt>
                <c:pt idx="22">
                  <c:v>SkadoMedis_EPD_TimberClosed _Timber</c:v>
                </c:pt>
                <c:pt idx="23">
                  <c:v>Aircrete High Ten_EPD_Concrete BlockTraditional_Brick</c:v>
                </c:pt>
                <c:pt idx="24">
                  <c:v>Aircrete Seven_EPD_Concrete BlockTraditional_Brick</c:v>
                </c:pt>
                <c:pt idx="25">
                  <c:v>Aircrete Super_EPD_Concrete BlockTraditional_Brick</c:v>
                </c:pt>
                <c:pt idx="26">
                  <c:v>Roadstone Solid_EPD_Concrete BlockTraditional_Brick</c:v>
                </c:pt>
              </c:strCache>
            </c:strRef>
          </c:cat>
          <c:val>
            <c:numRef>
              <c:f>'MASS PER M2'!$L$6:$L$33</c:f>
              <c:numCache>
                <c:formatCode>General</c:formatCode>
                <c:ptCount val="27"/>
                <c:pt idx="14">
                  <c:v>21.31</c:v>
                </c:pt>
                <c:pt idx="15">
                  <c:v>22.09</c:v>
                </c:pt>
                <c:pt idx="16">
                  <c:v>23.2</c:v>
                </c:pt>
                <c:pt idx="17">
                  <c:v>23.7</c:v>
                </c:pt>
                <c:pt idx="18">
                  <c:v>18.600000000000001</c:v>
                </c:pt>
              </c:numCache>
            </c:numRef>
          </c:val>
          <c:extLst>
            <c:ext xmlns:c16="http://schemas.microsoft.com/office/drawing/2014/chart" uri="{C3380CC4-5D6E-409C-BE32-E72D297353CC}">
              <c16:uniqueId val="{00000007-E4D3-465C-83A4-C040204AEF2A}"/>
            </c:ext>
          </c:extLst>
        </c:ser>
        <c:ser>
          <c:idx val="8"/>
          <c:order val="8"/>
          <c:tx>
            <c:strRef>
              <c:f>'MASS PER M2'!$M$4:$M$5</c:f>
              <c:strCache>
                <c:ptCount val="1"/>
                <c:pt idx="0">
                  <c:v>Complete System</c:v>
                </c:pt>
              </c:strCache>
            </c:strRef>
          </c:tx>
          <c:spPr>
            <a:solidFill>
              <a:schemeClr val="accent3">
                <a:lumMod val="60000"/>
              </a:schemeClr>
            </a:solidFill>
            <a:ln>
              <a:noFill/>
            </a:ln>
            <a:effectLst/>
          </c:spPr>
          <c:invertIfNegative val="0"/>
          <c:cat>
            <c:strRef>
              <c:f>'MASS PER M2'!$D$6:$D$33</c:f>
              <c:strCache>
                <c:ptCount val="27"/>
                <c:pt idx="0">
                  <c:v>A_LCA_LGSOpen_Brick</c:v>
                </c:pt>
                <c:pt idx="1">
                  <c:v>A_LCA_TimberOpen_Brick</c:v>
                </c:pt>
                <c:pt idx="2">
                  <c:v>A_LCA_TimberPre-Insulated_Brick</c:v>
                </c:pt>
                <c:pt idx="3">
                  <c:v>Donaldson_EPD_TimberOpen_Brick</c:v>
                </c:pt>
                <c:pt idx="4">
                  <c:v>Donaldson_EPD_TimberPre-Insulated_Brick</c:v>
                </c:pt>
                <c:pt idx="5">
                  <c:v>Horizon_EPD_LGSOpen_Brick</c:v>
                </c:pt>
                <c:pt idx="6">
                  <c:v>SIGMAT_EPD_LGSOpen_Brick</c:v>
                </c:pt>
                <c:pt idx="7">
                  <c:v>A_LCA_ICFFormed Concrete_Brick</c:v>
                </c:pt>
                <c:pt idx="8">
                  <c:v>Nudura_EPD_ICFFormed Concrete_Brick</c:v>
                </c:pt>
                <c:pt idx="9">
                  <c:v>A_LCA_LGSOpen_Composite Fiber</c:v>
                </c:pt>
                <c:pt idx="10">
                  <c:v>Aircrete Standard_EPD_Concrete BlockTraditional_Brick</c:v>
                </c:pt>
                <c:pt idx="11">
                  <c:v>Thermomur_EPD_ICFFormed Concrete_Brick</c:v>
                </c:pt>
                <c:pt idx="12">
                  <c:v>Amvic300_EPD_ICFFormed Concrete_Brick</c:v>
                </c:pt>
                <c:pt idx="13">
                  <c:v>Amvic350_EPD_ICFFormed Concrete_Brick</c:v>
                </c:pt>
                <c:pt idx="14">
                  <c:v>SP-170_EPD_SIPClosed _Brick</c:v>
                </c:pt>
                <c:pt idx="15">
                  <c:v>SP-270_EPD_SIPClosed _Brick</c:v>
                </c:pt>
                <c:pt idx="16">
                  <c:v>MgO_EPD_SIPClosed _Brick</c:v>
                </c:pt>
                <c:pt idx="17">
                  <c:v>NZSIP 115_EPD_SIPClosed _Brick</c:v>
                </c:pt>
                <c:pt idx="18">
                  <c:v>USASIP_EPD_SIPClosed _Brick</c:v>
                </c:pt>
                <c:pt idx="19">
                  <c:v>A_LCA_TimberClosed _Brick</c:v>
                </c:pt>
                <c:pt idx="20">
                  <c:v>Donaldson Solid_EPD_TimberClosed _Brick</c:v>
                </c:pt>
                <c:pt idx="21">
                  <c:v>Donaldson C Stud_EPD_TimberClosed _Brick</c:v>
                </c:pt>
                <c:pt idx="22">
                  <c:v>SkadoMedis_EPD_TimberClosed _Timber</c:v>
                </c:pt>
                <c:pt idx="23">
                  <c:v>Aircrete High Ten_EPD_Concrete BlockTraditional_Brick</c:v>
                </c:pt>
                <c:pt idx="24">
                  <c:v>Aircrete Seven_EPD_Concrete BlockTraditional_Brick</c:v>
                </c:pt>
                <c:pt idx="25">
                  <c:v>Aircrete Super_EPD_Concrete BlockTraditional_Brick</c:v>
                </c:pt>
                <c:pt idx="26">
                  <c:v>Roadstone Solid_EPD_Concrete BlockTraditional_Brick</c:v>
                </c:pt>
              </c:strCache>
            </c:strRef>
          </c:cat>
          <c:val>
            <c:numRef>
              <c:f>'MASS PER M2'!$M$6:$M$33</c:f>
              <c:numCache>
                <c:formatCode>General</c:formatCode>
                <c:ptCount val="27"/>
                <c:pt idx="22">
                  <c:v>45.2</c:v>
                </c:pt>
              </c:numCache>
            </c:numRef>
          </c:val>
          <c:extLst>
            <c:ext xmlns:c16="http://schemas.microsoft.com/office/drawing/2014/chart" uri="{C3380CC4-5D6E-409C-BE32-E72D297353CC}">
              <c16:uniqueId val="{00000008-E4D3-465C-83A4-C040204AEF2A}"/>
            </c:ext>
          </c:extLst>
        </c:ser>
        <c:dLbls>
          <c:showLegendKey val="0"/>
          <c:showVal val="0"/>
          <c:showCatName val="0"/>
          <c:showSerName val="0"/>
          <c:showPercent val="0"/>
          <c:showBubbleSize val="0"/>
        </c:dLbls>
        <c:gapWidth val="150"/>
        <c:overlap val="100"/>
        <c:axId val="744048751"/>
        <c:axId val="744052111"/>
      </c:barChart>
      <c:catAx>
        <c:axId val="7440487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4052111"/>
        <c:crosses val="autoZero"/>
        <c:auto val="1"/>
        <c:lblAlgn val="ctr"/>
        <c:lblOffset val="100"/>
        <c:noMultiLvlLbl val="0"/>
      </c:catAx>
      <c:valAx>
        <c:axId val="74405211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404875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[MMC_LCA_Consolidated_Spreadsheet_MacroEnabled.xlsm]SYSTEM BUILDER OUTPUT!PivotTable5</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'SYSTEM BUILDER OUTPUT'!$B$6</c:f>
              <c:strCache>
                <c:ptCount val="1"/>
                <c:pt idx="0">
                  <c:v>Sum of Base GWP</c:v>
                </c:pt>
              </c:strCache>
            </c:strRef>
          </c:tx>
          <c:spPr>
            <a:solidFill>
              <a:schemeClr val="accent1"/>
            </a:solidFill>
            <a:ln>
              <a:noFill/>
            </a:ln>
            <a:effectLst/>
          </c:spPr>
          <c:invertIfNegative val="0"/>
          <c:cat>
            <c:strRef>
              <c:f>'SYSTEM BUILDER OUTPUT'!$A$7:$A$82</c:f>
              <c:strCache>
                <c:ptCount val="75"/>
                <c:pt idx="0">
                  <c:v>thermEPDICF_LCASolBrick_GPlas</c:v>
                </c:pt>
                <c:pt idx="1">
                  <c:v>1LCALGSOP_LCASolBrick_GPlas</c:v>
                </c:pt>
                <c:pt idx="2">
                  <c:v>1LCAICF_LCASolBrick_GPlas</c:v>
                </c:pt>
                <c:pt idx="3">
                  <c:v>AirHTenEPDCBlk_LCASolBrick_GPlas</c:v>
                </c:pt>
                <c:pt idx="4">
                  <c:v>ArSevenEPDCBlk_LCASolBrick_GPlas</c:v>
                </c:pt>
                <c:pt idx="5">
                  <c:v>AirStandEPDCBlk_LCASolBrick_GPlas</c:v>
                </c:pt>
                <c:pt idx="6">
                  <c:v>AirSuperEPDCBlk_LCASolBrick_GPlas</c:v>
                </c:pt>
                <c:pt idx="7">
                  <c:v>Amv300EPDICF_LCASolBrick_GPlas</c:v>
                </c:pt>
                <c:pt idx="8">
                  <c:v>Amv350EPDICF_LCASolBrick_GPlas</c:v>
                </c:pt>
                <c:pt idx="9">
                  <c:v>DonCsEPDTimCL_LCASolBrick_GPlas</c:v>
                </c:pt>
                <c:pt idx="10">
                  <c:v>DonSolEPDTimCL_LCASolBrick_GPlas</c:v>
                </c:pt>
                <c:pt idx="11">
                  <c:v>DonEPDTimOP_LCASolBrick_GPlas</c:v>
                </c:pt>
                <c:pt idx="12">
                  <c:v>DonEPDTimIN_LCASolBrick_GPlas</c:v>
                </c:pt>
                <c:pt idx="13">
                  <c:v>HorEPDLGSOP_LCASolBrick_GPlas</c:v>
                </c:pt>
                <c:pt idx="14">
                  <c:v>MgOEPDSIP_LCASolBrick_GPlas</c:v>
                </c:pt>
                <c:pt idx="15">
                  <c:v>NudEPDICF_LCASolBrick_GPlas</c:v>
                </c:pt>
                <c:pt idx="16">
                  <c:v>NZEPDSIP_LCASolBrick_GPlas</c:v>
                </c:pt>
                <c:pt idx="17">
                  <c:v>RoadstoneEPDCBlk_LCASolBrick_GPlas</c:v>
                </c:pt>
                <c:pt idx="18">
                  <c:v>SkadoEPDTimFULL_LCASolBrick_GPlas</c:v>
                </c:pt>
                <c:pt idx="19">
                  <c:v>SP-170EPDSIP_LCASolBrick_GPlas</c:v>
                </c:pt>
                <c:pt idx="20">
                  <c:v>SP-270EPDSIP_LCASolBrick_GPlas</c:v>
                </c:pt>
                <c:pt idx="21">
                  <c:v>USEPDSIP_LCASolBrick_GPlas</c:v>
                </c:pt>
                <c:pt idx="22">
                  <c:v>1LCATimOP_LCASolBrick_GPlas</c:v>
                </c:pt>
                <c:pt idx="23">
                  <c:v>1LCATimIN_LCASolBrick_GPlas</c:v>
                </c:pt>
                <c:pt idx="24">
                  <c:v>1LCATimCL_LCASolBrick_GPlas</c:v>
                </c:pt>
                <c:pt idx="25">
                  <c:v>thermEPDICF_EPDSolBrick_GPlas</c:v>
                </c:pt>
                <c:pt idx="26">
                  <c:v>1LCALGSOP_EPDSolBrick_GPlas</c:v>
                </c:pt>
                <c:pt idx="27">
                  <c:v>1LCAICF_EPDSolBrick_GPlas</c:v>
                </c:pt>
                <c:pt idx="28">
                  <c:v>AirHTenEPDCBlk_EPDSolBrick_GPlas</c:v>
                </c:pt>
                <c:pt idx="29">
                  <c:v>ArSevenEPDCBlk_EPDSolBrick_GPlas</c:v>
                </c:pt>
                <c:pt idx="30">
                  <c:v>AirStandEPDCBlk_EPDSolBrick_GPlas</c:v>
                </c:pt>
                <c:pt idx="31">
                  <c:v>AirSuperEPDCBlk_EPDSolBrick_GPlas</c:v>
                </c:pt>
                <c:pt idx="32">
                  <c:v>Amv300EPDICF_EPDSolBrick_GPlas</c:v>
                </c:pt>
                <c:pt idx="33">
                  <c:v>Amv350EPDICF_EPDSolBrick_GPlas</c:v>
                </c:pt>
                <c:pt idx="34">
                  <c:v>DonCsEPDTimCL_EPDSolBrick_GPlas</c:v>
                </c:pt>
                <c:pt idx="35">
                  <c:v>DonSolEPDTimCL_EPDSolBrick_GPlas</c:v>
                </c:pt>
                <c:pt idx="36">
                  <c:v>DonEPDTimOP_EPDSolBrick_GPlas</c:v>
                </c:pt>
                <c:pt idx="37">
                  <c:v>DonEPDTimIN_EPDSolBrick_GPlas</c:v>
                </c:pt>
                <c:pt idx="38">
                  <c:v>HorEPDLGSOP_EPDSolBrick_GPlas</c:v>
                </c:pt>
                <c:pt idx="39">
                  <c:v>MgOEPDSIP_EPDSolBrick_GPlas</c:v>
                </c:pt>
                <c:pt idx="40">
                  <c:v>NudEPDICF_EPDSolBrick_GPlas</c:v>
                </c:pt>
                <c:pt idx="41">
                  <c:v>NZEPDSIP_EPDSolBrick_GPlas</c:v>
                </c:pt>
                <c:pt idx="42">
                  <c:v>RoadstoneEPDCBlk_EPDSolBrick_GPlas</c:v>
                </c:pt>
                <c:pt idx="43">
                  <c:v>SkadoEPDTimFULL_EPDSolBrick_GPlas</c:v>
                </c:pt>
                <c:pt idx="44">
                  <c:v>SP-170EPDSIP_EPDSolBrick_GPlas</c:v>
                </c:pt>
                <c:pt idx="45">
                  <c:v>SP-270EPDSIP_EPDSolBrick_GPlas</c:v>
                </c:pt>
                <c:pt idx="46">
                  <c:v>USEPDSIP_EPDSolBrick_GPlas</c:v>
                </c:pt>
                <c:pt idx="47">
                  <c:v>1LCATimOP_EPDSolBrick_GPlas</c:v>
                </c:pt>
                <c:pt idx="48">
                  <c:v>1LCATimIN_EPDSolBrick_GPlas</c:v>
                </c:pt>
                <c:pt idx="49">
                  <c:v>1LCATimCL_EPDSolBrick_GPlas</c:v>
                </c:pt>
                <c:pt idx="50">
                  <c:v>thermEPDICF_EPDComFiber_GPlas</c:v>
                </c:pt>
                <c:pt idx="51">
                  <c:v>1LCALGSOP_EPDComFiber_GPlas</c:v>
                </c:pt>
                <c:pt idx="52">
                  <c:v>1LCAICF_EPDComFiber_GPlas</c:v>
                </c:pt>
                <c:pt idx="53">
                  <c:v>AirHTenEPDCBlk_EPDComFiber_GPlas</c:v>
                </c:pt>
                <c:pt idx="54">
                  <c:v>ArSevenEPDCBlk_EPDComFiber_GPlas</c:v>
                </c:pt>
                <c:pt idx="55">
                  <c:v>AirStandEPDCBlk_EPDComFiber_GPlas</c:v>
                </c:pt>
                <c:pt idx="56">
                  <c:v>AirSuperEPDCBlk_EPDComFiber_GPlas</c:v>
                </c:pt>
                <c:pt idx="57">
                  <c:v>Amv300EPDICF_EPDComFiber_GPlas</c:v>
                </c:pt>
                <c:pt idx="58">
                  <c:v>Amv350EPDICF_EPDComFiber_GPlas</c:v>
                </c:pt>
                <c:pt idx="59">
                  <c:v>DonCsEPDTimCL_EPDComFiber_GPlas</c:v>
                </c:pt>
                <c:pt idx="60">
                  <c:v>DonSolEPDTimCL_EPDComFiber_GPlas</c:v>
                </c:pt>
                <c:pt idx="61">
                  <c:v>DonEPDTimOP_EPDComFiber_GPlas</c:v>
                </c:pt>
                <c:pt idx="62">
                  <c:v>DonEPDTimIN_EPDComFiber_GPlas</c:v>
                </c:pt>
                <c:pt idx="63">
                  <c:v>HorEPDLGSOP_EPDComFiber_GPlas</c:v>
                </c:pt>
                <c:pt idx="64">
                  <c:v>MgOEPDSIP_EPDComFiber_GPlas</c:v>
                </c:pt>
                <c:pt idx="65">
                  <c:v>NudEPDICF_EPDComFiber_GPlas</c:v>
                </c:pt>
                <c:pt idx="66">
                  <c:v>NZEPDSIP_EPDComFiber_GPlas</c:v>
                </c:pt>
                <c:pt idx="67">
                  <c:v>RoadstoneEPDCBlk_EPDComFiber_GPlas</c:v>
                </c:pt>
                <c:pt idx="68">
                  <c:v>SkadoEPDTimFULL_EPDComFiber_GPlas</c:v>
                </c:pt>
                <c:pt idx="69">
                  <c:v>SP-170EPDSIP_EPDComFiber_GPlas</c:v>
                </c:pt>
                <c:pt idx="70">
                  <c:v>SP-270EPDSIP_EPDComFiber_GPlas</c:v>
                </c:pt>
                <c:pt idx="71">
                  <c:v>USEPDSIP_EPDComFiber_GPlas</c:v>
                </c:pt>
                <c:pt idx="72">
                  <c:v>1LCATimOP_EPDComFiber_GPlas</c:v>
                </c:pt>
                <c:pt idx="73">
                  <c:v>1LCATimIN_EPDComFiber_GPlas</c:v>
                </c:pt>
                <c:pt idx="74">
                  <c:v>1LCATimCL_EPDComFiber_GPlas</c:v>
                </c:pt>
              </c:strCache>
            </c:strRef>
          </c:cat>
          <c:val>
            <c:numRef>
              <c:f>'SYSTEM BUILDER OUTPUT'!$B$7:$B$82</c:f>
              <c:numCache>
                <c:formatCode>General</c:formatCode>
                <c:ptCount val="75"/>
                <c:pt idx="0">
                  <c:v>73.503194444444446</c:v>
                </c:pt>
                <c:pt idx="1">
                  <c:v>32.295684666666659</c:v>
                </c:pt>
                <c:pt idx="2">
                  <c:v>65.159097222222215</c:v>
                </c:pt>
                <c:pt idx="3">
                  <c:v>61.320257166666671</c:v>
                </c:pt>
                <c:pt idx="4">
                  <c:v>64.639147666666673</c:v>
                </c:pt>
                <c:pt idx="5">
                  <c:v>57.220594166666672</c:v>
                </c:pt>
                <c:pt idx="6">
                  <c:v>45.97165566666667</c:v>
                </c:pt>
                <c:pt idx="7">
                  <c:v>67.737194444444441</c:v>
                </c:pt>
                <c:pt idx="8">
                  <c:v>73.102194444444436</c:v>
                </c:pt>
                <c:pt idx="9">
                  <c:v>27.8</c:v>
                </c:pt>
                <c:pt idx="10">
                  <c:v>21.7</c:v>
                </c:pt>
                <c:pt idx="11">
                  <c:v>31.89873166666667</c:v>
                </c:pt>
                <c:pt idx="12">
                  <c:v>18.8</c:v>
                </c:pt>
                <c:pt idx="13">
                  <c:v>27.159351666666669</c:v>
                </c:pt>
                <c:pt idx="14">
                  <c:v>44.652291666666663</c:v>
                </c:pt>
                <c:pt idx="15">
                  <c:v>62.455284534534528</c:v>
                </c:pt>
                <c:pt idx="16">
                  <c:v>40.252291666666665</c:v>
                </c:pt>
                <c:pt idx="17">
                  <c:v>34.02279166666667</c:v>
                </c:pt>
                <c:pt idx="18">
                  <c:v>24.7</c:v>
                </c:pt>
                <c:pt idx="19">
                  <c:v>19.752291666666668</c:v>
                </c:pt>
                <c:pt idx="20">
                  <c:v>24.85229166666667</c:v>
                </c:pt>
                <c:pt idx="21">
                  <c:v>23.35229166666667</c:v>
                </c:pt>
                <c:pt idx="22">
                  <c:v>22.028526875000001</c:v>
                </c:pt>
                <c:pt idx="23">
                  <c:v>22.028526875000001</c:v>
                </c:pt>
                <c:pt idx="24">
                  <c:v>25.485526875000001</c:v>
                </c:pt>
                <c:pt idx="25">
                  <c:v>73.503194444444446</c:v>
                </c:pt>
                <c:pt idx="26">
                  <c:v>32.295684666666659</c:v>
                </c:pt>
                <c:pt idx="27">
                  <c:v>65.159097222222215</c:v>
                </c:pt>
                <c:pt idx="28">
                  <c:v>61.320257166666671</c:v>
                </c:pt>
                <c:pt idx="29">
                  <c:v>64.639147666666673</c:v>
                </c:pt>
                <c:pt idx="30">
                  <c:v>57.220594166666672</c:v>
                </c:pt>
                <c:pt idx="31">
                  <c:v>45.97165566666667</c:v>
                </c:pt>
                <c:pt idx="32">
                  <c:v>67.737194444444441</c:v>
                </c:pt>
                <c:pt idx="33">
                  <c:v>73.102194444444436</c:v>
                </c:pt>
                <c:pt idx="34">
                  <c:v>27.8</c:v>
                </c:pt>
                <c:pt idx="35">
                  <c:v>21.7</c:v>
                </c:pt>
                <c:pt idx="36">
                  <c:v>31.89873166666667</c:v>
                </c:pt>
                <c:pt idx="37">
                  <c:v>18.8</c:v>
                </c:pt>
                <c:pt idx="38">
                  <c:v>27.159351666666669</c:v>
                </c:pt>
                <c:pt idx="39">
                  <c:v>44.652291666666663</c:v>
                </c:pt>
                <c:pt idx="40">
                  <c:v>62.455284534534528</c:v>
                </c:pt>
                <c:pt idx="41">
                  <c:v>40.252291666666665</c:v>
                </c:pt>
                <c:pt idx="42">
                  <c:v>34.02279166666667</c:v>
                </c:pt>
                <c:pt idx="43">
                  <c:v>24.7</c:v>
                </c:pt>
                <c:pt idx="44">
                  <c:v>19.752291666666668</c:v>
                </c:pt>
                <c:pt idx="45">
                  <c:v>24.85229166666667</c:v>
                </c:pt>
                <c:pt idx="46">
                  <c:v>23.35229166666667</c:v>
                </c:pt>
                <c:pt idx="47">
                  <c:v>22.028526875000001</c:v>
                </c:pt>
                <c:pt idx="48">
                  <c:v>22.028526875000001</c:v>
                </c:pt>
                <c:pt idx="49">
                  <c:v>25.485526875000001</c:v>
                </c:pt>
                <c:pt idx="50">
                  <c:v>73.503194444444446</c:v>
                </c:pt>
                <c:pt idx="51">
                  <c:v>32.295684666666659</c:v>
                </c:pt>
                <c:pt idx="52">
                  <c:v>65.159097222222215</c:v>
                </c:pt>
                <c:pt idx="53">
                  <c:v>61.320257166666671</c:v>
                </c:pt>
                <c:pt idx="54">
                  <c:v>64.639147666666673</c:v>
                </c:pt>
                <c:pt idx="55">
                  <c:v>57.220594166666672</c:v>
                </c:pt>
                <c:pt idx="56">
                  <c:v>45.97165566666667</c:v>
                </c:pt>
                <c:pt idx="57">
                  <c:v>67.737194444444441</c:v>
                </c:pt>
                <c:pt idx="58">
                  <c:v>73.102194444444436</c:v>
                </c:pt>
                <c:pt idx="59">
                  <c:v>27.8</c:v>
                </c:pt>
                <c:pt idx="60">
                  <c:v>21.7</c:v>
                </c:pt>
                <c:pt idx="61">
                  <c:v>31.89873166666667</c:v>
                </c:pt>
                <c:pt idx="62">
                  <c:v>18.8</c:v>
                </c:pt>
                <c:pt idx="63">
                  <c:v>27.159351666666669</c:v>
                </c:pt>
                <c:pt idx="64">
                  <c:v>44.652291666666663</c:v>
                </c:pt>
                <c:pt idx="65">
                  <c:v>62.455284534534528</c:v>
                </c:pt>
                <c:pt idx="66">
                  <c:v>40.252291666666665</c:v>
                </c:pt>
                <c:pt idx="67">
                  <c:v>34.02279166666667</c:v>
                </c:pt>
                <c:pt idx="68">
                  <c:v>24.7</c:v>
                </c:pt>
                <c:pt idx="69">
                  <c:v>19.752291666666668</c:v>
                </c:pt>
                <c:pt idx="70">
                  <c:v>24.85229166666667</c:v>
                </c:pt>
                <c:pt idx="71">
                  <c:v>23.35229166666667</c:v>
                </c:pt>
                <c:pt idx="72">
                  <c:v>22.028526875000001</c:v>
                </c:pt>
                <c:pt idx="73">
                  <c:v>22.028526875000001</c:v>
                </c:pt>
                <c:pt idx="74">
                  <c:v>25.485526875000001</c:v>
                </c:pt>
              </c:numCache>
            </c:numRef>
          </c:val>
          <c:extLst>
            <c:ext xmlns:c16="http://schemas.microsoft.com/office/drawing/2014/chart" uri="{C3380CC4-5D6E-409C-BE32-E72D297353CC}">
              <c16:uniqueId val="{00000000-512C-482F-B32C-069AD5BD25CF}"/>
            </c:ext>
          </c:extLst>
        </c:ser>
        <c:ser>
          <c:idx val="1"/>
          <c:order val="1"/>
          <c:tx>
            <c:strRef>
              <c:f>'SYSTEM BUILDER OUTPUT'!$C$6</c:f>
              <c:strCache>
                <c:ptCount val="1"/>
                <c:pt idx="0">
                  <c:v>Sum of Ext Finish GWP</c:v>
                </c:pt>
              </c:strCache>
            </c:strRef>
          </c:tx>
          <c:spPr>
            <a:solidFill>
              <a:schemeClr val="accent2"/>
            </a:solidFill>
            <a:ln>
              <a:noFill/>
            </a:ln>
            <a:effectLst/>
          </c:spPr>
          <c:invertIfNegative val="0"/>
          <c:cat>
            <c:strRef>
              <c:f>'SYSTEM BUILDER OUTPUT'!$A$7:$A$82</c:f>
              <c:strCache>
                <c:ptCount val="75"/>
                <c:pt idx="0">
                  <c:v>thermEPDICF_LCASolBrick_GPlas</c:v>
                </c:pt>
                <c:pt idx="1">
                  <c:v>1LCALGSOP_LCASolBrick_GPlas</c:v>
                </c:pt>
                <c:pt idx="2">
                  <c:v>1LCAICF_LCASolBrick_GPlas</c:v>
                </c:pt>
                <c:pt idx="3">
                  <c:v>AirHTenEPDCBlk_LCASolBrick_GPlas</c:v>
                </c:pt>
                <c:pt idx="4">
                  <c:v>ArSevenEPDCBlk_LCASolBrick_GPlas</c:v>
                </c:pt>
                <c:pt idx="5">
                  <c:v>AirStandEPDCBlk_LCASolBrick_GPlas</c:v>
                </c:pt>
                <c:pt idx="6">
                  <c:v>AirSuperEPDCBlk_LCASolBrick_GPlas</c:v>
                </c:pt>
                <c:pt idx="7">
                  <c:v>Amv300EPDICF_LCASolBrick_GPlas</c:v>
                </c:pt>
                <c:pt idx="8">
                  <c:v>Amv350EPDICF_LCASolBrick_GPlas</c:v>
                </c:pt>
                <c:pt idx="9">
                  <c:v>DonCsEPDTimCL_LCASolBrick_GPlas</c:v>
                </c:pt>
                <c:pt idx="10">
                  <c:v>DonSolEPDTimCL_LCASolBrick_GPlas</c:v>
                </c:pt>
                <c:pt idx="11">
                  <c:v>DonEPDTimOP_LCASolBrick_GPlas</c:v>
                </c:pt>
                <c:pt idx="12">
                  <c:v>DonEPDTimIN_LCASolBrick_GPlas</c:v>
                </c:pt>
                <c:pt idx="13">
                  <c:v>HorEPDLGSOP_LCASolBrick_GPlas</c:v>
                </c:pt>
                <c:pt idx="14">
                  <c:v>MgOEPDSIP_LCASolBrick_GPlas</c:v>
                </c:pt>
                <c:pt idx="15">
                  <c:v>NudEPDICF_LCASolBrick_GPlas</c:v>
                </c:pt>
                <c:pt idx="16">
                  <c:v>NZEPDSIP_LCASolBrick_GPlas</c:v>
                </c:pt>
                <c:pt idx="17">
                  <c:v>RoadstoneEPDCBlk_LCASolBrick_GPlas</c:v>
                </c:pt>
                <c:pt idx="18">
                  <c:v>SkadoEPDTimFULL_LCASolBrick_GPlas</c:v>
                </c:pt>
                <c:pt idx="19">
                  <c:v>SP-170EPDSIP_LCASolBrick_GPlas</c:v>
                </c:pt>
                <c:pt idx="20">
                  <c:v>SP-270EPDSIP_LCASolBrick_GPlas</c:v>
                </c:pt>
                <c:pt idx="21">
                  <c:v>USEPDSIP_LCASolBrick_GPlas</c:v>
                </c:pt>
                <c:pt idx="22">
                  <c:v>1LCATimOP_LCASolBrick_GPlas</c:v>
                </c:pt>
                <c:pt idx="23">
                  <c:v>1LCATimIN_LCASolBrick_GPlas</c:v>
                </c:pt>
                <c:pt idx="24">
                  <c:v>1LCATimCL_LCASolBrick_GPlas</c:v>
                </c:pt>
                <c:pt idx="25">
                  <c:v>thermEPDICF_EPDSolBrick_GPlas</c:v>
                </c:pt>
                <c:pt idx="26">
                  <c:v>1LCALGSOP_EPDSolBrick_GPlas</c:v>
                </c:pt>
                <c:pt idx="27">
                  <c:v>1LCAICF_EPDSolBrick_GPlas</c:v>
                </c:pt>
                <c:pt idx="28">
                  <c:v>AirHTenEPDCBlk_EPDSolBrick_GPlas</c:v>
                </c:pt>
                <c:pt idx="29">
                  <c:v>ArSevenEPDCBlk_EPDSolBrick_GPlas</c:v>
                </c:pt>
                <c:pt idx="30">
                  <c:v>AirStandEPDCBlk_EPDSolBrick_GPlas</c:v>
                </c:pt>
                <c:pt idx="31">
                  <c:v>AirSuperEPDCBlk_EPDSolBrick_GPlas</c:v>
                </c:pt>
                <c:pt idx="32">
                  <c:v>Amv300EPDICF_EPDSolBrick_GPlas</c:v>
                </c:pt>
                <c:pt idx="33">
                  <c:v>Amv350EPDICF_EPDSolBrick_GPlas</c:v>
                </c:pt>
                <c:pt idx="34">
                  <c:v>DonCsEPDTimCL_EPDSolBrick_GPlas</c:v>
                </c:pt>
                <c:pt idx="35">
                  <c:v>DonSolEPDTimCL_EPDSolBrick_GPlas</c:v>
                </c:pt>
                <c:pt idx="36">
                  <c:v>DonEPDTimOP_EPDSolBrick_GPlas</c:v>
                </c:pt>
                <c:pt idx="37">
                  <c:v>DonEPDTimIN_EPDSolBrick_GPlas</c:v>
                </c:pt>
                <c:pt idx="38">
                  <c:v>HorEPDLGSOP_EPDSolBrick_GPlas</c:v>
                </c:pt>
                <c:pt idx="39">
                  <c:v>MgOEPDSIP_EPDSolBrick_GPlas</c:v>
                </c:pt>
                <c:pt idx="40">
                  <c:v>NudEPDICF_EPDSolBrick_GPlas</c:v>
                </c:pt>
                <c:pt idx="41">
                  <c:v>NZEPDSIP_EPDSolBrick_GPlas</c:v>
                </c:pt>
                <c:pt idx="42">
                  <c:v>RoadstoneEPDCBlk_EPDSolBrick_GPlas</c:v>
                </c:pt>
                <c:pt idx="43">
                  <c:v>SkadoEPDTimFULL_EPDSolBrick_GPlas</c:v>
                </c:pt>
                <c:pt idx="44">
                  <c:v>SP-170EPDSIP_EPDSolBrick_GPlas</c:v>
                </c:pt>
                <c:pt idx="45">
                  <c:v>SP-270EPDSIP_EPDSolBrick_GPlas</c:v>
                </c:pt>
                <c:pt idx="46">
                  <c:v>USEPDSIP_EPDSolBrick_GPlas</c:v>
                </c:pt>
                <c:pt idx="47">
                  <c:v>1LCATimOP_EPDSolBrick_GPlas</c:v>
                </c:pt>
                <c:pt idx="48">
                  <c:v>1LCATimIN_EPDSolBrick_GPlas</c:v>
                </c:pt>
                <c:pt idx="49">
                  <c:v>1LCATimCL_EPDSolBrick_GPlas</c:v>
                </c:pt>
                <c:pt idx="50">
                  <c:v>thermEPDICF_EPDComFiber_GPlas</c:v>
                </c:pt>
                <c:pt idx="51">
                  <c:v>1LCALGSOP_EPDComFiber_GPlas</c:v>
                </c:pt>
                <c:pt idx="52">
                  <c:v>1LCAICF_EPDComFiber_GPlas</c:v>
                </c:pt>
                <c:pt idx="53">
                  <c:v>AirHTenEPDCBlk_EPDComFiber_GPlas</c:v>
                </c:pt>
                <c:pt idx="54">
                  <c:v>ArSevenEPDCBlk_EPDComFiber_GPlas</c:v>
                </c:pt>
                <c:pt idx="55">
                  <c:v>AirStandEPDCBlk_EPDComFiber_GPlas</c:v>
                </c:pt>
                <c:pt idx="56">
                  <c:v>AirSuperEPDCBlk_EPDComFiber_GPlas</c:v>
                </c:pt>
                <c:pt idx="57">
                  <c:v>Amv300EPDICF_EPDComFiber_GPlas</c:v>
                </c:pt>
                <c:pt idx="58">
                  <c:v>Amv350EPDICF_EPDComFiber_GPlas</c:v>
                </c:pt>
                <c:pt idx="59">
                  <c:v>DonCsEPDTimCL_EPDComFiber_GPlas</c:v>
                </c:pt>
                <c:pt idx="60">
                  <c:v>DonSolEPDTimCL_EPDComFiber_GPlas</c:v>
                </c:pt>
                <c:pt idx="61">
                  <c:v>DonEPDTimOP_EPDComFiber_GPlas</c:v>
                </c:pt>
                <c:pt idx="62">
                  <c:v>DonEPDTimIN_EPDComFiber_GPlas</c:v>
                </c:pt>
                <c:pt idx="63">
                  <c:v>HorEPDLGSOP_EPDComFiber_GPlas</c:v>
                </c:pt>
                <c:pt idx="64">
                  <c:v>MgOEPDSIP_EPDComFiber_GPlas</c:v>
                </c:pt>
                <c:pt idx="65">
                  <c:v>NudEPDICF_EPDComFiber_GPlas</c:v>
                </c:pt>
                <c:pt idx="66">
                  <c:v>NZEPDSIP_EPDComFiber_GPlas</c:v>
                </c:pt>
                <c:pt idx="67">
                  <c:v>RoadstoneEPDCBlk_EPDComFiber_GPlas</c:v>
                </c:pt>
                <c:pt idx="68">
                  <c:v>SkadoEPDTimFULL_EPDComFiber_GPlas</c:v>
                </c:pt>
                <c:pt idx="69">
                  <c:v>SP-170EPDSIP_EPDComFiber_GPlas</c:v>
                </c:pt>
                <c:pt idx="70">
                  <c:v>SP-270EPDSIP_EPDComFiber_GPlas</c:v>
                </c:pt>
                <c:pt idx="71">
                  <c:v>USEPDSIP_EPDComFiber_GPlas</c:v>
                </c:pt>
                <c:pt idx="72">
                  <c:v>1LCATimOP_EPDComFiber_GPlas</c:v>
                </c:pt>
                <c:pt idx="73">
                  <c:v>1LCATimIN_EPDComFiber_GPlas</c:v>
                </c:pt>
                <c:pt idx="74">
                  <c:v>1LCATimCL_EPDComFiber_GPlas</c:v>
                </c:pt>
              </c:strCache>
            </c:strRef>
          </c:cat>
          <c:val>
            <c:numRef>
              <c:f>'SYSTEM BUILDER OUTPUT'!$C$7:$C$82</c:f>
              <c:numCache>
                <c:formatCode>General</c:formatCode>
                <c:ptCount val="75"/>
                <c:pt idx="0">
                  <c:v>47.384999999999998</c:v>
                </c:pt>
                <c:pt idx="1">
                  <c:v>47.384999999999998</c:v>
                </c:pt>
                <c:pt idx="2">
                  <c:v>47.384999999999998</c:v>
                </c:pt>
                <c:pt idx="3">
                  <c:v>47.384999999999998</c:v>
                </c:pt>
                <c:pt idx="4">
                  <c:v>47.384999999999998</c:v>
                </c:pt>
                <c:pt idx="5">
                  <c:v>47.384999999999998</c:v>
                </c:pt>
                <c:pt idx="6">
                  <c:v>47.384999999999998</c:v>
                </c:pt>
                <c:pt idx="7">
                  <c:v>47.384999999999998</c:v>
                </c:pt>
                <c:pt idx="8">
                  <c:v>47.384999999999998</c:v>
                </c:pt>
                <c:pt idx="9">
                  <c:v>47.384999999999998</c:v>
                </c:pt>
                <c:pt idx="10">
                  <c:v>47.384999999999998</c:v>
                </c:pt>
                <c:pt idx="11">
                  <c:v>47.384999999999998</c:v>
                </c:pt>
                <c:pt idx="12">
                  <c:v>47.384999999999998</c:v>
                </c:pt>
                <c:pt idx="13">
                  <c:v>47.384999999999998</c:v>
                </c:pt>
                <c:pt idx="14">
                  <c:v>47.384999999999998</c:v>
                </c:pt>
                <c:pt idx="15">
                  <c:v>47.384999999999998</c:v>
                </c:pt>
                <c:pt idx="16">
                  <c:v>47.384999999999998</c:v>
                </c:pt>
                <c:pt idx="17">
                  <c:v>47.384999999999998</c:v>
                </c:pt>
                <c:pt idx="18">
                  <c:v>47.384999999999998</c:v>
                </c:pt>
                <c:pt idx="19">
                  <c:v>47.384999999999998</c:v>
                </c:pt>
                <c:pt idx="20">
                  <c:v>47.384999999999998</c:v>
                </c:pt>
                <c:pt idx="21">
                  <c:v>47.384999999999998</c:v>
                </c:pt>
                <c:pt idx="22">
                  <c:v>47.384999999999998</c:v>
                </c:pt>
                <c:pt idx="23">
                  <c:v>47.384999999999998</c:v>
                </c:pt>
                <c:pt idx="24">
                  <c:v>47.384999999999998</c:v>
                </c:pt>
                <c:pt idx="25">
                  <c:v>47.801724999999998</c:v>
                </c:pt>
                <c:pt idx="26">
                  <c:v>47.801724999999998</c:v>
                </c:pt>
                <c:pt idx="27">
                  <c:v>47.801724999999998</c:v>
                </c:pt>
                <c:pt idx="28">
                  <c:v>47.801724999999998</c:v>
                </c:pt>
                <c:pt idx="29">
                  <c:v>47.801724999999998</c:v>
                </c:pt>
                <c:pt idx="30">
                  <c:v>47.801724999999998</c:v>
                </c:pt>
                <c:pt idx="31">
                  <c:v>47.801724999999998</c:v>
                </c:pt>
                <c:pt idx="32">
                  <c:v>47.801724999999998</c:v>
                </c:pt>
                <c:pt idx="33">
                  <c:v>47.801724999999998</c:v>
                </c:pt>
                <c:pt idx="34">
                  <c:v>47.801724999999998</c:v>
                </c:pt>
                <c:pt idx="35">
                  <c:v>47.801724999999998</c:v>
                </c:pt>
                <c:pt idx="36">
                  <c:v>47.801724999999998</c:v>
                </c:pt>
                <c:pt idx="37">
                  <c:v>47.801724999999998</c:v>
                </c:pt>
                <c:pt idx="38">
                  <c:v>47.801724999999998</c:v>
                </c:pt>
                <c:pt idx="39">
                  <c:v>47.801724999999998</c:v>
                </c:pt>
                <c:pt idx="40">
                  <c:v>47.801724999999998</c:v>
                </c:pt>
                <c:pt idx="41">
                  <c:v>47.801724999999998</c:v>
                </c:pt>
                <c:pt idx="42">
                  <c:v>47.801724999999998</c:v>
                </c:pt>
                <c:pt idx="43">
                  <c:v>47.801724999999998</c:v>
                </c:pt>
                <c:pt idx="44">
                  <c:v>47.801724999999998</c:v>
                </c:pt>
                <c:pt idx="45">
                  <c:v>47.801724999999998</c:v>
                </c:pt>
                <c:pt idx="46">
                  <c:v>47.801724999999998</c:v>
                </c:pt>
                <c:pt idx="47">
                  <c:v>47.801724999999998</c:v>
                </c:pt>
                <c:pt idx="48">
                  <c:v>47.801724999999998</c:v>
                </c:pt>
                <c:pt idx="49">
                  <c:v>47.801724999999998</c:v>
                </c:pt>
                <c:pt idx="50">
                  <c:v>22</c:v>
                </c:pt>
                <c:pt idx="51">
                  <c:v>22</c:v>
                </c:pt>
                <c:pt idx="52">
                  <c:v>22</c:v>
                </c:pt>
                <c:pt idx="53">
                  <c:v>22</c:v>
                </c:pt>
                <c:pt idx="54">
                  <c:v>22</c:v>
                </c:pt>
                <c:pt idx="55">
                  <c:v>22</c:v>
                </c:pt>
                <c:pt idx="56">
                  <c:v>22</c:v>
                </c:pt>
                <c:pt idx="57">
                  <c:v>22</c:v>
                </c:pt>
                <c:pt idx="58">
                  <c:v>22</c:v>
                </c:pt>
                <c:pt idx="59">
                  <c:v>22</c:v>
                </c:pt>
                <c:pt idx="60">
                  <c:v>22</c:v>
                </c:pt>
                <c:pt idx="61">
                  <c:v>22</c:v>
                </c:pt>
                <c:pt idx="62">
                  <c:v>22</c:v>
                </c:pt>
                <c:pt idx="63">
                  <c:v>22</c:v>
                </c:pt>
                <c:pt idx="64">
                  <c:v>22</c:v>
                </c:pt>
                <c:pt idx="65">
                  <c:v>22</c:v>
                </c:pt>
                <c:pt idx="66">
                  <c:v>22</c:v>
                </c:pt>
                <c:pt idx="67">
                  <c:v>22</c:v>
                </c:pt>
                <c:pt idx="68">
                  <c:v>22</c:v>
                </c:pt>
                <c:pt idx="69">
                  <c:v>22</c:v>
                </c:pt>
                <c:pt idx="70">
                  <c:v>22</c:v>
                </c:pt>
                <c:pt idx="71">
                  <c:v>22</c:v>
                </c:pt>
                <c:pt idx="72">
                  <c:v>22</c:v>
                </c:pt>
                <c:pt idx="73">
                  <c:v>22</c:v>
                </c:pt>
                <c:pt idx="74">
                  <c:v>22</c:v>
                </c:pt>
              </c:numCache>
            </c:numRef>
          </c:val>
          <c:extLst>
            <c:ext xmlns:c16="http://schemas.microsoft.com/office/drawing/2014/chart" uri="{C3380CC4-5D6E-409C-BE32-E72D297353CC}">
              <c16:uniqueId val="{00000001-512C-482F-B32C-069AD5BD25CF}"/>
            </c:ext>
          </c:extLst>
        </c:ser>
        <c:ser>
          <c:idx val="2"/>
          <c:order val="2"/>
          <c:tx>
            <c:strRef>
              <c:f>'SYSTEM BUILDER OUTPUT'!$D$6</c:f>
              <c:strCache>
                <c:ptCount val="1"/>
                <c:pt idx="0">
                  <c:v>Sum of Int Finish GWP</c:v>
                </c:pt>
              </c:strCache>
            </c:strRef>
          </c:tx>
          <c:spPr>
            <a:solidFill>
              <a:schemeClr val="accent3"/>
            </a:solidFill>
            <a:ln>
              <a:noFill/>
            </a:ln>
            <a:effectLst/>
          </c:spPr>
          <c:invertIfNegative val="0"/>
          <c:cat>
            <c:strRef>
              <c:f>'SYSTEM BUILDER OUTPUT'!$A$7:$A$82</c:f>
              <c:strCache>
                <c:ptCount val="75"/>
                <c:pt idx="0">
                  <c:v>thermEPDICF_LCASolBrick_GPlas</c:v>
                </c:pt>
                <c:pt idx="1">
                  <c:v>1LCALGSOP_LCASolBrick_GPlas</c:v>
                </c:pt>
                <c:pt idx="2">
                  <c:v>1LCAICF_LCASolBrick_GPlas</c:v>
                </c:pt>
                <c:pt idx="3">
                  <c:v>AirHTenEPDCBlk_LCASolBrick_GPlas</c:v>
                </c:pt>
                <c:pt idx="4">
                  <c:v>ArSevenEPDCBlk_LCASolBrick_GPlas</c:v>
                </c:pt>
                <c:pt idx="5">
                  <c:v>AirStandEPDCBlk_LCASolBrick_GPlas</c:v>
                </c:pt>
                <c:pt idx="6">
                  <c:v>AirSuperEPDCBlk_LCASolBrick_GPlas</c:v>
                </c:pt>
                <c:pt idx="7">
                  <c:v>Amv300EPDICF_LCASolBrick_GPlas</c:v>
                </c:pt>
                <c:pt idx="8">
                  <c:v>Amv350EPDICF_LCASolBrick_GPlas</c:v>
                </c:pt>
                <c:pt idx="9">
                  <c:v>DonCsEPDTimCL_LCASolBrick_GPlas</c:v>
                </c:pt>
                <c:pt idx="10">
                  <c:v>DonSolEPDTimCL_LCASolBrick_GPlas</c:v>
                </c:pt>
                <c:pt idx="11">
                  <c:v>DonEPDTimOP_LCASolBrick_GPlas</c:v>
                </c:pt>
                <c:pt idx="12">
                  <c:v>DonEPDTimIN_LCASolBrick_GPlas</c:v>
                </c:pt>
                <c:pt idx="13">
                  <c:v>HorEPDLGSOP_LCASolBrick_GPlas</c:v>
                </c:pt>
                <c:pt idx="14">
                  <c:v>MgOEPDSIP_LCASolBrick_GPlas</c:v>
                </c:pt>
                <c:pt idx="15">
                  <c:v>NudEPDICF_LCASolBrick_GPlas</c:v>
                </c:pt>
                <c:pt idx="16">
                  <c:v>NZEPDSIP_LCASolBrick_GPlas</c:v>
                </c:pt>
                <c:pt idx="17">
                  <c:v>RoadstoneEPDCBlk_LCASolBrick_GPlas</c:v>
                </c:pt>
                <c:pt idx="18">
                  <c:v>SkadoEPDTimFULL_LCASolBrick_GPlas</c:v>
                </c:pt>
                <c:pt idx="19">
                  <c:v>SP-170EPDSIP_LCASolBrick_GPlas</c:v>
                </c:pt>
                <c:pt idx="20">
                  <c:v>SP-270EPDSIP_LCASolBrick_GPlas</c:v>
                </c:pt>
                <c:pt idx="21">
                  <c:v>USEPDSIP_LCASolBrick_GPlas</c:v>
                </c:pt>
                <c:pt idx="22">
                  <c:v>1LCATimOP_LCASolBrick_GPlas</c:v>
                </c:pt>
                <c:pt idx="23">
                  <c:v>1LCATimIN_LCASolBrick_GPlas</c:v>
                </c:pt>
                <c:pt idx="24">
                  <c:v>1LCATimCL_LCASolBrick_GPlas</c:v>
                </c:pt>
                <c:pt idx="25">
                  <c:v>thermEPDICF_EPDSolBrick_GPlas</c:v>
                </c:pt>
                <c:pt idx="26">
                  <c:v>1LCALGSOP_EPDSolBrick_GPlas</c:v>
                </c:pt>
                <c:pt idx="27">
                  <c:v>1LCAICF_EPDSolBrick_GPlas</c:v>
                </c:pt>
                <c:pt idx="28">
                  <c:v>AirHTenEPDCBlk_EPDSolBrick_GPlas</c:v>
                </c:pt>
                <c:pt idx="29">
                  <c:v>ArSevenEPDCBlk_EPDSolBrick_GPlas</c:v>
                </c:pt>
                <c:pt idx="30">
                  <c:v>AirStandEPDCBlk_EPDSolBrick_GPlas</c:v>
                </c:pt>
                <c:pt idx="31">
                  <c:v>AirSuperEPDCBlk_EPDSolBrick_GPlas</c:v>
                </c:pt>
                <c:pt idx="32">
                  <c:v>Amv300EPDICF_EPDSolBrick_GPlas</c:v>
                </c:pt>
                <c:pt idx="33">
                  <c:v>Amv350EPDICF_EPDSolBrick_GPlas</c:v>
                </c:pt>
                <c:pt idx="34">
                  <c:v>DonCsEPDTimCL_EPDSolBrick_GPlas</c:v>
                </c:pt>
                <c:pt idx="35">
                  <c:v>DonSolEPDTimCL_EPDSolBrick_GPlas</c:v>
                </c:pt>
                <c:pt idx="36">
                  <c:v>DonEPDTimOP_EPDSolBrick_GPlas</c:v>
                </c:pt>
                <c:pt idx="37">
                  <c:v>DonEPDTimIN_EPDSolBrick_GPlas</c:v>
                </c:pt>
                <c:pt idx="38">
                  <c:v>HorEPDLGSOP_EPDSolBrick_GPlas</c:v>
                </c:pt>
                <c:pt idx="39">
                  <c:v>MgOEPDSIP_EPDSolBrick_GPlas</c:v>
                </c:pt>
                <c:pt idx="40">
                  <c:v>NudEPDICF_EPDSolBrick_GPlas</c:v>
                </c:pt>
                <c:pt idx="41">
                  <c:v>NZEPDSIP_EPDSolBrick_GPlas</c:v>
                </c:pt>
                <c:pt idx="42">
                  <c:v>RoadstoneEPDCBlk_EPDSolBrick_GPlas</c:v>
                </c:pt>
                <c:pt idx="43">
                  <c:v>SkadoEPDTimFULL_EPDSolBrick_GPlas</c:v>
                </c:pt>
                <c:pt idx="44">
                  <c:v>SP-170EPDSIP_EPDSolBrick_GPlas</c:v>
                </c:pt>
                <c:pt idx="45">
                  <c:v>SP-270EPDSIP_EPDSolBrick_GPlas</c:v>
                </c:pt>
                <c:pt idx="46">
                  <c:v>USEPDSIP_EPDSolBrick_GPlas</c:v>
                </c:pt>
                <c:pt idx="47">
                  <c:v>1LCATimOP_EPDSolBrick_GPlas</c:v>
                </c:pt>
                <c:pt idx="48">
                  <c:v>1LCATimIN_EPDSolBrick_GPlas</c:v>
                </c:pt>
                <c:pt idx="49">
                  <c:v>1LCATimCL_EPDSolBrick_GPlas</c:v>
                </c:pt>
                <c:pt idx="50">
                  <c:v>thermEPDICF_EPDComFiber_GPlas</c:v>
                </c:pt>
                <c:pt idx="51">
                  <c:v>1LCALGSOP_EPDComFiber_GPlas</c:v>
                </c:pt>
                <c:pt idx="52">
                  <c:v>1LCAICF_EPDComFiber_GPlas</c:v>
                </c:pt>
                <c:pt idx="53">
                  <c:v>AirHTenEPDCBlk_EPDComFiber_GPlas</c:v>
                </c:pt>
                <c:pt idx="54">
                  <c:v>ArSevenEPDCBlk_EPDComFiber_GPlas</c:v>
                </c:pt>
                <c:pt idx="55">
                  <c:v>AirStandEPDCBlk_EPDComFiber_GPlas</c:v>
                </c:pt>
                <c:pt idx="56">
                  <c:v>AirSuperEPDCBlk_EPDComFiber_GPlas</c:v>
                </c:pt>
                <c:pt idx="57">
                  <c:v>Amv300EPDICF_EPDComFiber_GPlas</c:v>
                </c:pt>
                <c:pt idx="58">
                  <c:v>Amv350EPDICF_EPDComFiber_GPlas</c:v>
                </c:pt>
                <c:pt idx="59">
                  <c:v>DonCsEPDTimCL_EPDComFiber_GPlas</c:v>
                </c:pt>
                <c:pt idx="60">
                  <c:v>DonSolEPDTimCL_EPDComFiber_GPlas</c:v>
                </c:pt>
                <c:pt idx="61">
                  <c:v>DonEPDTimOP_EPDComFiber_GPlas</c:v>
                </c:pt>
                <c:pt idx="62">
                  <c:v>DonEPDTimIN_EPDComFiber_GPlas</c:v>
                </c:pt>
                <c:pt idx="63">
                  <c:v>HorEPDLGSOP_EPDComFiber_GPlas</c:v>
                </c:pt>
                <c:pt idx="64">
                  <c:v>MgOEPDSIP_EPDComFiber_GPlas</c:v>
                </c:pt>
                <c:pt idx="65">
                  <c:v>NudEPDICF_EPDComFiber_GPlas</c:v>
                </c:pt>
                <c:pt idx="66">
                  <c:v>NZEPDSIP_EPDComFiber_GPlas</c:v>
                </c:pt>
                <c:pt idx="67">
                  <c:v>RoadstoneEPDCBlk_EPDComFiber_GPlas</c:v>
                </c:pt>
                <c:pt idx="68">
                  <c:v>SkadoEPDTimFULL_EPDComFiber_GPlas</c:v>
                </c:pt>
                <c:pt idx="69">
                  <c:v>SP-170EPDSIP_EPDComFiber_GPlas</c:v>
                </c:pt>
                <c:pt idx="70">
                  <c:v>SP-270EPDSIP_EPDComFiber_GPlas</c:v>
                </c:pt>
                <c:pt idx="71">
                  <c:v>USEPDSIP_EPDComFiber_GPlas</c:v>
                </c:pt>
                <c:pt idx="72">
                  <c:v>1LCATimOP_EPDComFiber_GPlas</c:v>
                </c:pt>
                <c:pt idx="73">
                  <c:v>1LCATimIN_EPDComFiber_GPlas</c:v>
                </c:pt>
                <c:pt idx="74">
                  <c:v>1LCATimCL_EPDComFiber_GPlas</c:v>
                </c:pt>
              </c:strCache>
            </c:strRef>
          </c:cat>
          <c:val>
            <c:numRef>
              <c:f>'SYSTEM BUILDER OUTPUT'!$D$7:$D$82</c:f>
              <c:numCache>
                <c:formatCode>General</c:formatCode>
                <c:ptCount val="75"/>
                <c:pt idx="0">
                  <c:v>3.839</c:v>
                </c:pt>
                <c:pt idx="1">
                  <c:v>3.839</c:v>
                </c:pt>
                <c:pt idx="2">
                  <c:v>3.839</c:v>
                </c:pt>
                <c:pt idx="3">
                  <c:v>3.839</c:v>
                </c:pt>
                <c:pt idx="4">
                  <c:v>3.839</c:v>
                </c:pt>
                <c:pt idx="5">
                  <c:v>3.839</c:v>
                </c:pt>
                <c:pt idx="6">
                  <c:v>3.839</c:v>
                </c:pt>
                <c:pt idx="7">
                  <c:v>3.839</c:v>
                </c:pt>
                <c:pt idx="8">
                  <c:v>3.839</c:v>
                </c:pt>
                <c:pt idx="9">
                  <c:v>3.839</c:v>
                </c:pt>
                <c:pt idx="10">
                  <c:v>3.839</c:v>
                </c:pt>
                <c:pt idx="11">
                  <c:v>3.839</c:v>
                </c:pt>
                <c:pt idx="12">
                  <c:v>3.839</c:v>
                </c:pt>
                <c:pt idx="13">
                  <c:v>3.839</c:v>
                </c:pt>
                <c:pt idx="14">
                  <c:v>3.839</c:v>
                </c:pt>
                <c:pt idx="15">
                  <c:v>3.839</c:v>
                </c:pt>
                <c:pt idx="16">
                  <c:v>3.839</c:v>
                </c:pt>
                <c:pt idx="17">
                  <c:v>3.839</c:v>
                </c:pt>
                <c:pt idx="18">
                  <c:v>3.839</c:v>
                </c:pt>
                <c:pt idx="19">
                  <c:v>3.839</c:v>
                </c:pt>
                <c:pt idx="20">
                  <c:v>3.839</c:v>
                </c:pt>
                <c:pt idx="21">
                  <c:v>3.839</c:v>
                </c:pt>
                <c:pt idx="22">
                  <c:v>3.839</c:v>
                </c:pt>
                <c:pt idx="23">
                  <c:v>3.839</c:v>
                </c:pt>
                <c:pt idx="24">
                  <c:v>3.839</c:v>
                </c:pt>
                <c:pt idx="25">
                  <c:v>3.839</c:v>
                </c:pt>
                <c:pt idx="26">
                  <c:v>3.839</c:v>
                </c:pt>
                <c:pt idx="27">
                  <c:v>3.839</c:v>
                </c:pt>
                <c:pt idx="28">
                  <c:v>3.839</c:v>
                </c:pt>
                <c:pt idx="29">
                  <c:v>3.839</c:v>
                </c:pt>
                <c:pt idx="30">
                  <c:v>3.839</c:v>
                </c:pt>
                <c:pt idx="31">
                  <c:v>3.839</c:v>
                </c:pt>
                <c:pt idx="32">
                  <c:v>3.839</c:v>
                </c:pt>
                <c:pt idx="33">
                  <c:v>3.839</c:v>
                </c:pt>
                <c:pt idx="34">
                  <c:v>3.839</c:v>
                </c:pt>
                <c:pt idx="35">
                  <c:v>3.839</c:v>
                </c:pt>
                <c:pt idx="36">
                  <c:v>3.839</c:v>
                </c:pt>
                <c:pt idx="37">
                  <c:v>3.839</c:v>
                </c:pt>
                <c:pt idx="38">
                  <c:v>3.839</c:v>
                </c:pt>
                <c:pt idx="39">
                  <c:v>3.839</c:v>
                </c:pt>
                <c:pt idx="40">
                  <c:v>3.839</c:v>
                </c:pt>
                <c:pt idx="41">
                  <c:v>3.839</c:v>
                </c:pt>
                <c:pt idx="42">
                  <c:v>3.839</c:v>
                </c:pt>
                <c:pt idx="43">
                  <c:v>3.839</c:v>
                </c:pt>
                <c:pt idx="44">
                  <c:v>3.839</c:v>
                </c:pt>
                <c:pt idx="45">
                  <c:v>3.839</c:v>
                </c:pt>
                <c:pt idx="46">
                  <c:v>3.839</c:v>
                </c:pt>
                <c:pt idx="47">
                  <c:v>3.839</c:v>
                </c:pt>
                <c:pt idx="48">
                  <c:v>3.839</c:v>
                </c:pt>
                <c:pt idx="49">
                  <c:v>3.839</c:v>
                </c:pt>
                <c:pt idx="50">
                  <c:v>3.839</c:v>
                </c:pt>
                <c:pt idx="51">
                  <c:v>3.839</c:v>
                </c:pt>
                <c:pt idx="52">
                  <c:v>3.839</c:v>
                </c:pt>
                <c:pt idx="53">
                  <c:v>3.839</c:v>
                </c:pt>
                <c:pt idx="54">
                  <c:v>3.839</c:v>
                </c:pt>
                <c:pt idx="55">
                  <c:v>3.839</c:v>
                </c:pt>
                <c:pt idx="56">
                  <c:v>3.839</c:v>
                </c:pt>
                <c:pt idx="57">
                  <c:v>3.839</c:v>
                </c:pt>
                <c:pt idx="58">
                  <c:v>3.839</c:v>
                </c:pt>
                <c:pt idx="59">
                  <c:v>3.839</c:v>
                </c:pt>
                <c:pt idx="60">
                  <c:v>3.839</c:v>
                </c:pt>
                <c:pt idx="61">
                  <c:v>3.839</c:v>
                </c:pt>
                <c:pt idx="62">
                  <c:v>3.839</c:v>
                </c:pt>
                <c:pt idx="63">
                  <c:v>3.839</c:v>
                </c:pt>
                <c:pt idx="64">
                  <c:v>3.839</c:v>
                </c:pt>
                <c:pt idx="65">
                  <c:v>3.839</c:v>
                </c:pt>
                <c:pt idx="66">
                  <c:v>3.839</c:v>
                </c:pt>
                <c:pt idx="67">
                  <c:v>3.839</c:v>
                </c:pt>
                <c:pt idx="68">
                  <c:v>3.839</c:v>
                </c:pt>
                <c:pt idx="69">
                  <c:v>3.839</c:v>
                </c:pt>
                <c:pt idx="70">
                  <c:v>3.839</c:v>
                </c:pt>
                <c:pt idx="71">
                  <c:v>3.839</c:v>
                </c:pt>
                <c:pt idx="72">
                  <c:v>3.839</c:v>
                </c:pt>
                <c:pt idx="73">
                  <c:v>3.839</c:v>
                </c:pt>
                <c:pt idx="74">
                  <c:v>3.839</c:v>
                </c:pt>
              </c:numCache>
            </c:numRef>
          </c:val>
          <c:extLst>
            <c:ext xmlns:c16="http://schemas.microsoft.com/office/drawing/2014/chart" uri="{C3380CC4-5D6E-409C-BE32-E72D297353CC}">
              <c16:uniqueId val="{00000002-512C-482F-B32C-069AD5BD25CF}"/>
            </c:ext>
          </c:extLst>
        </c:ser>
        <c:dLbls>
          <c:showLegendKey val="0"/>
          <c:showVal val="0"/>
          <c:showCatName val="0"/>
          <c:showSerName val="0"/>
          <c:showPercent val="0"/>
          <c:showBubbleSize val="0"/>
        </c:dLbls>
        <c:gapWidth val="150"/>
        <c:overlap val="100"/>
        <c:axId val="1293666495"/>
        <c:axId val="1293667935"/>
      </c:barChart>
      <c:catAx>
        <c:axId val="129366649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3667935"/>
        <c:crosses val="autoZero"/>
        <c:auto val="1"/>
        <c:lblAlgn val="ctr"/>
        <c:lblOffset val="100"/>
        <c:noMultiLvlLbl val="0"/>
      </c:catAx>
      <c:valAx>
        <c:axId val="129366793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366649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[MMC_LCA_Consolidated_Spreadsheet_MacroEnabled.xlsm]BASE GWP BREAKDOWN!PivotTable6</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'BASE GWP BREAKDOWN'!$B$5:$B$6</c:f>
              <c:strCache>
                <c:ptCount val="1"/>
                <c:pt idx="0">
                  <c:v>Complete System</c:v>
                </c:pt>
              </c:strCache>
            </c:strRef>
          </c:tx>
          <c:spPr>
            <a:solidFill>
              <a:schemeClr val="accent1"/>
            </a:solidFill>
            <a:ln>
              <a:noFill/>
            </a:ln>
            <a:effectLst/>
          </c:spPr>
          <c:invertIfNegative val="0"/>
          <c:cat>
            <c:strRef>
              <c:f>'BASE GWP BREAKDOWN'!$A$7:$A$33</c:f>
              <c:strCache>
                <c:ptCount val="26"/>
                <c:pt idx="0">
                  <c:v>1_LCA_LGSOpen</c:v>
                </c:pt>
                <c:pt idx="1">
                  <c:v>1_LCA_TimberClosed </c:v>
                </c:pt>
                <c:pt idx="2">
                  <c:v>1_LCA_TimberOpen</c:v>
                </c:pt>
                <c:pt idx="3">
                  <c:v>1_LCA_TimberPre-Insulated</c:v>
                </c:pt>
                <c:pt idx="4">
                  <c:v>A_LCA_ICFFormed Concrete</c:v>
                </c:pt>
                <c:pt idx="5">
                  <c:v>Aircrete High Ten_EPD_Concrete BlockTraditional</c:v>
                </c:pt>
                <c:pt idx="6">
                  <c:v>Aircrete Seven_EPD_Concrete BlockTraditional</c:v>
                </c:pt>
                <c:pt idx="7">
                  <c:v>Aircrete Standard_EPD_Concrete BlockTraditional</c:v>
                </c:pt>
                <c:pt idx="8">
                  <c:v>Aircrete Super_EPD_Concrete BlockTraditional</c:v>
                </c:pt>
                <c:pt idx="9">
                  <c:v>Amvic300_EPD_ICFFormed Concrete</c:v>
                </c:pt>
                <c:pt idx="10">
                  <c:v>Amvic350_EPD_ICFFormed Concrete</c:v>
                </c:pt>
                <c:pt idx="11">
                  <c:v>Donaldson C Stud_EPD_TimberClosed </c:v>
                </c:pt>
                <c:pt idx="12">
                  <c:v>Donaldson Solid_EPD_TimberClosed </c:v>
                </c:pt>
                <c:pt idx="13">
                  <c:v>Donaldson_EPD_TimberOpen</c:v>
                </c:pt>
                <c:pt idx="14">
                  <c:v>Donaldson_EPD_TimberPre-Insulated</c:v>
                </c:pt>
                <c:pt idx="15">
                  <c:v>Horizon_EPD_LGSOpen</c:v>
                </c:pt>
                <c:pt idx="16">
                  <c:v>MgO_EPD_SIPClosed </c:v>
                </c:pt>
                <c:pt idx="17">
                  <c:v>Nudura_EPD_ICFFormed Concrete</c:v>
                </c:pt>
                <c:pt idx="18">
                  <c:v>NZSIP 115_EPD_SIPClosed </c:v>
                </c:pt>
                <c:pt idx="19">
                  <c:v>Roadstone Solid_EPD_Concrete BlockTraditional</c:v>
                </c:pt>
                <c:pt idx="20">
                  <c:v>SIGMAT_EPD_LGSOpen</c:v>
                </c:pt>
                <c:pt idx="21">
                  <c:v>SkadoMedis_EPD_TimberClosed </c:v>
                </c:pt>
                <c:pt idx="22">
                  <c:v>SP-170_EPD_SIPClosed </c:v>
                </c:pt>
                <c:pt idx="23">
                  <c:v>SP-270_EPD_SIPClosed </c:v>
                </c:pt>
                <c:pt idx="24">
                  <c:v>Thermomur_EPD_ICFFormed Concrete</c:v>
                </c:pt>
                <c:pt idx="25">
                  <c:v>USASIP_EPD_SIPClosed </c:v>
                </c:pt>
              </c:strCache>
            </c:strRef>
          </c:cat>
          <c:val>
            <c:numRef>
              <c:f>'BASE GWP BREAKDOWN'!$B$7:$B$33</c:f>
              <c:numCache>
                <c:formatCode>General</c:formatCode>
                <c:ptCount val="26"/>
                <c:pt idx="21">
                  <c:v>24.7</c:v>
                </c:pt>
              </c:numCache>
            </c:numRef>
          </c:val>
          <c:extLst>
            <c:ext xmlns:c16="http://schemas.microsoft.com/office/drawing/2014/chart" uri="{C3380CC4-5D6E-409C-BE32-E72D297353CC}">
              <c16:uniqueId val="{00000000-D7C0-470E-BD18-7CD3BD73B463}"/>
            </c:ext>
          </c:extLst>
        </c:ser>
        <c:ser>
          <c:idx val="1"/>
          <c:order val="1"/>
          <c:tx>
            <c:strRef>
              <c:f>'BASE GWP BREAKDOWN'!$C$5:$C$6</c:f>
              <c:strCache>
                <c:ptCount val="1"/>
                <c:pt idx="0">
                  <c:v>Insulation</c:v>
                </c:pt>
              </c:strCache>
            </c:strRef>
          </c:tx>
          <c:spPr>
            <a:solidFill>
              <a:schemeClr val="accent2"/>
            </a:solidFill>
            <a:ln>
              <a:noFill/>
            </a:ln>
            <a:effectLst/>
          </c:spPr>
          <c:invertIfNegative val="0"/>
          <c:cat>
            <c:strRef>
              <c:f>'BASE GWP BREAKDOWN'!$A$7:$A$33</c:f>
              <c:strCache>
                <c:ptCount val="26"/>
                <c:pt idx="0">
                  <c:v>1_LCA_LGSOpen</c:v>
                </c:pt>
                <c:pt idx="1">
                  <c:v>1_LCA_TimberClosed </c:v>
                </c:pt>
                <c:pt idx="2">
                  <c:v>1_LCA_TimberOpen</c:v>
                </c:pt>
                <c:pt idx="3">
                  <c:v>1_LCA_TimberPre-Insulated</c:v>
                </c:pt>
                <c:pt idx="4">
                  <c:v>A_LCA_ICFFormed Concrete</c:v>
                </c:pt>
                <c:pt idx="5">
                  <c:v>Aircrete High Ten_EPD_Concrete BlockTraditional</c:v>
                </c:pt>
                <c:pt idx="6">
                  <c:v>Aircrete Seven_EPD_Concrete BlockTraditional</c:v>
                </c:pt>
                <c:pt idx="7">
                  <c:v>Aircrete Standard_EPD_Concrete BlockTraditional</c:v>
                </c:pt>
                <c:pt idx="8">
                  <c:v>Aircrete Super_EPD_Concrete BlockTraditional</c:v>
                </c:pt>
                <c:pt idx="9">
                  <c:v>Amvic300_EPD_ICFFormed Concrete</c:v>
                </c:pt>
                <c:pt idx="10">
                  <c:v>Amvic350_EPD_ICFFormed Concrete</c:v>
                </c:pt>
                <c:pt idx="11">
                  <c:v>Donaldson C Stud_EPD_TimberClosed </c:v>
                </c:pt>
                <c:pt idx="12">
                  <c:v>Donaldson Solid_EPD_TimberClosed </c:v>
                </c:pt>
                <c:pt idx="13">
                  <c:v>Donaldson_EPD_TimberOpen</c:v>
                </c:pt>
                <c:pt idx="14">
                  <c:v>Donaldson_EPD_TimberPre-Insulated</c:v>
                </c:pt>
                <c:pt idx="15">
                  <c:v>Horizon_EPD_LGSOpen</c:v>
                </c:pt>
                <c:pt idx="16">
                  <c:v>MgO_EPD_SIPClosed </c:v>
                </c:pt>
                <c:pt idx="17">
                  <c:v>Nudura_EPD_ICFFormed Concrete</c:v>
                </c:pt>
                <c:pt idx="18">
                  <c:v>NZSIP 115_EPD_SIPClosed </c:v>
                </c:pt>
                <c:pt idx="19">
                  <c:v>Roadstone Solid_EPD_Concrete BlockTraditional</c:v>
                </c:pt>
                <c:pt idx="20">
                  <c:v>SIGMAT_EPD_LGSOpen</c:v>
                </c:pt>
                <c:pt idx="21">
                  <c:v>SkadoMedis_EPD_TimberClosed </c:v>
                </c:pt>
                <c:pt idx="22">
                  <c:v>SP-170_EPD_SIPClosed </c:v>
                </c:pt>
                <c:pt idx="23">
                  <c:v>SP-270_EPD_SIPClosed </c:v>
                </c:pt>
                <c:pt idx="24">
                  <c:v>Thermomur_EPD_ICFFormed Concrete</c:v>
                </c:pt>
                <c:pt idx="25">
                  <c:v>USASIP_EPD_SIPClosed </c:v>
                </c:pt>
              </c:strCache>
            </c:strRef>
          </c:cat>
          <c:val>
            <c:numRef>
              <c:f>'BASE GWP BREAKDOWN'!$C$7:$C$33</c:f>
              <c:numCache>
                <c:formatCode>General</c:formatCode>
                <c:ptCount val="26"/>
                <c:pt idx="0">
                  <c:v>16.907839999999997</c:v>
                </c:pt>
                <c:pt idx="2">
                  <c:v>16.965440000000001</c:v>
                </c:pt>
                <c:pt idx="4">
                  <c:v>15.443402777777781</c:v>
                </c:pt>
                <c:pt idx="5">
                  <c:v>6.9187500000000002</c:v>
                </c:pt>
                <c:pt idx="6">
                  <c:v>6.9187500000000002</c:v>
                </c:pt>
                <c:pt idx="7">
                  <c:v>6.9187500000000002</c:v>
                </c:pt>
                <c:pt idx="8">
                  <c:v>4.6124999999999998</c:v>
                </c:pt>
                <c:pt idx="9">
                  <c:v>20.672000000000001</c:v>
                </c:pt>
                <c:pt idx="10">
                  <c:v>26.036999999999999</c:v>
                </c:pt>
                <c:pt idx="13">
                  <c:v>16.965440000000001</c:v>
                </c:pt>
                <c:pt idx="15">
                  <c:v>16.907839999999997</c:v>
                </c:pt>
                <c:pt idx="17">
                  <c:v>15.390090090090087</c:v>
                </c:pt>
                <c:pt idx="19">
                  <c:v>9.2249999999999996</c:v>
                </c:pt>
                <c:pt idx="20">
                  <c:v>16.907839999999997</c:v>
                </c:pt>
                <c:pt idx="24">
                  <c:v>26.438000000000002</c:v>
                </c:pt>
              </c:numCache>
            </c:numRef>
          </c:val>
          <c:extLst>
            <c:ext xmlns:c16="http://schemas.microsoft.com/office/drawing/2014/chart" uri="{C3380CC4-5D6E-409C-BE32-E72D297353CC}">
              <c16:uniqueId val="{00000001-D7C0-470E-BD18-7CD3BD73B463}"/>
            </c:ext>
          </c:extLst>
        </c:ser>
        <c:ser>
          <c:idx val="2"/>
          <c:order val="2"/>
          <c:tx>
            <c:strRef>
              <c:f>'BASE GWP BREAKDOWN'!$D$5:$D$6</c:f>
              <c:strCache>
                <c:ptCount val="1"/>
                <c:pt idx="0">
                  <c:v>Sheathing</c:v>
                </c:pt>
              </c:strCache>
            </c:strRef>
          </c:tx>
          <c:spPr>
            <a:solidFill>
              <a:schemeClr val="accent3"/>
            </a:solidFill>
            <a:ln>
              <a:noFill/>
            </a:ln>
            <a:effectLst/>
          </c:spPr>
          <c:invertIfNegative val="0"/>
          <c:cat>
            <c:strRef>
              <c:f>'BASE GWP BREAKDOWN'!$A$7:$A$33</c:f>
              <c:strCache>
                <c:ptCount val="26"/>
                <c:pt idx="0">
                  <c:v>1_LCA_LGSOpen</c:v>
                </c:pt>
                <c:pt idx="1">
                  <c:v>1_LCA_TimberClosed </c:v>
                </c:pt>
                <c:pt idx="2">
                  <c:v>1_LCA_TimberOpen</c:v>
                </c:pt>
                <c:pt idx="3">
                  <c:v>1_LCA_TimberPre-Insulated</c:v>
                </c:pt>
                <c:pt idx="4">
                  <c:v>A_LCA_ICFFormed Concrete</c:v>
                </c:pt>
                <c:pt idx="5">
                  <c:v>Aircrete High Ten_EPD_Concrete BlockTraditional</c:v>
                </c:pt>
                <c:pt idx="6">
                  <c:v>Aircrete Seven_EPD_Concrete BlockTraditional</c:v>
                </c:pt>
                <c:pt idx="7">
                  <c:v>Aircrete Standard_EPD_Concrete BlockTraditional</c:v>
                </c:pt>
                <c:pt idx="8">
                  <c:v>Aircrete Super_EPD_Concrete BlockTraditional</c:v>
                </c:pt>
                <c:pt idx="9">
                  <c:v>Amvic300_EPD_ICFFormed Concrete</c:v>
                </c:pt>
                <c:pt idx="10">
                  <c:v>Amvic350_EPD_ICFFormed Concrete</c:v>
                </c:pt>
                <c:pt idx="11">
                  <c:v>Donaldson C Stud_EPD_TimberClosed </c:v>
                </c:pt>
                <c:pt idx="12">
                  <c:v>Donaldson Solid_EPD_TimberClosed </c:v>
                </c:pt>
                <c:pt idx="13">
                  <c:v>Donaldson_EPD_TimberOpen</c:v>
                </c:pt>
                <c:pt idx="14">
                  <c:v>Donaldson_EPD_TimberPre-Insulated</c:v>
                </c:pt>
                <c:pt idx="15">
                  <c:v>Horizon_EPD_LGSOpen</c:v>
                </c:pt>
                <c:pt idx="16">
                  <c:v>MgO_EPD_SIPClosed </c:v>
                </c:pt>
                <c:pt idx="17">
                  <c:v>Nudura_EPD_ICFFormed Concrete</c:v>
                </c:pt>
                <c:pt idx="18">
                  <c:v>NZSIP 115_EPD_SIPClosed </c:v>
                </c:pt>
                <c:pt idx="19">
                  <c:v>Roadstone Solid_EPD_Concrete BlockTraditional</c:v>
                </c:pt>
                <c:pt idx="20">
                  <c:v>SIGMAT_EPD_LGSOpen</c:v>
                </c:pt>
                <c:pt idx="21">
                  <c:v>SkadoMedis_EPD_TimberClosed </c:v>
                </c:pt>
                <c:pt idx="22">
                  <c:v>SP-170_EPD_SIPClosed </c:v>
                </c:pt>
                <c:pt idx="23">
                  <c:v>SP-270_EPD_SIPClosed </c:v>
                </c:pt>
                <c:pt idx="24">
                  <c:v>Thermomur_EPD_ICFFormed Concrete</c:v>
                </c:pt>
                <c:pt idx="25">
                  <c:v>USASIP_EPD_SIPClosed </c:v>
                </c:pt>
              </c:strCache>
            </c:strRef>
          </c:cat>
          <c:val>
            <c:numRef>
              <c:f>'BASE GWP BREAKDOWN'!$D$7:$D$33</c:f>
              <c:numCache>
                <c:formatCode>General</c:formatCode>
                <c:ptCount val="26"/>
                <c:pt idx="2">
                  <c:v>2.4569999999999999</c:v>
                </c:pt>
              </c:numCache>
            </c:numRef>
          </c:val>
          <c:extLst>
            <c:ext xmlns:c16="http://schemas.microsoft.com/office/drawing/2014/chart" uri="{C3380CC4-5D6E-409C-BE32-E72D297353CC}">
              <c16:uniqueId val="{00000002-D7C0-470E-BD18-7CD3BD73B463}"/>
            </c:ext>
          </c:extLst>
        </c:ser>
        <c:ser>
          <c:idx val="3"/>
          <c:order val="3"/>
          <c:tx>
            <c:strRef>
              <c:f>'BASE GWP BREAKDOWN'!$E$5:$E$6</c:f>
              <c:strCache>
                <c:ptCount val="1"/>
                <c:pt idx="0">
                  <c:v>Structual + Insulation</c:v>
                </c:pt>
              </c:strCache>
            </c:strRef>
          </c:tx>
          <c:spPr>
            <a:solidFill>
              <a:schemeClr val="accent4"/>
            </a:solidFill>
            <a:ln>
              <a:noFill/>
            </a:ln>
            <a:effectLst/>
          </c:spPr>
          <c:invertIfNegative val="0"/>
          <c:cat>
            <c:strRef>
              <c:f>'BASE GWP BREAKDOWN'!$A$7:$A$33</c:f>
              <c:strCache>
                <c:ptCount val="26"/>
                <c:pt idx="0">
                  <c:v>1_LCA_LGSOpen</c:v>
                </c:pt>
                <c:pt idx="1">
                  <c:v>1_LCA_TimberClosed </c:v>
                </c:pt>
                <c:pt idx="2">
                  <c:v>1_LCA_TimberOpen</c:v>
                </c:pt>
                <c:pt idx="3">
                  <c:v>1_LCA_TimberPre-Insulated</c:v>
                </c:pt>
                <c:pt idx="4">
                  <c:v>A_LCA_ICFFormed Concrete</c:v>
                </c:pt>
                <c:pt idx="5">
                  <c:v>Aircrete High Ten_EPD_Concrete BlockTraditional</c:v>
                </c:pt>
                <c:pt idx="6">
                  <c:v>Aircrete Seven_EPD_Concrete BlockTraditional</c:v>
                </c:pt>
                <c:pt idx="7">
                  <c:v>Aircrete Standard_EPD_Concrete BlockTraditional</c:v>
                </c:pt>
                <c:pt idx="8">
                  <c:v>Aircrete Super_EPD_Concrete BlockTraditional</c:v>
                </c:pt>
                <c:pt idx="9">
                  <c:v>Amvic300_EPD_ICFFormed Concrete</c:v>
                </c:pt>
                <c:pt idx="10">
                  <c:v>Amvic350_EPD_ICFFormed Concrete</c:v>
                </c:pt>
                <c:pt idx="11">
                  <c:v>Donaldson C Stud_EPD_TimberClosed </c:v>
                </c:pt>
                <c:pt idx="12">
                  <c:v>Donaldson Solid_EPD_TimberClosed </c:v>
                </c:pt>
                <c:pt idx="13">
                  <c:v>Donaldson_EPD_TimberOpen</c:v>
                </c:pt>
                <c:pt idx="14">
                  <c:v>Donaldson_EPD_TimberPre-Insulated</c:v>
                </c:pt>
                <c:pt idx="15">
                  <c:v>Horizon_EPD_LGSOpen</c:v>
                </c:pt>
                <c:pt idx="16">
                  <c:v>MgO_EPD_SIPClosed </c:v>
                </c:pt>
                <c:pt idx="17">
                  <c:v>Nudura_EPD_ICFFormed Concrete</c:v>
                </c:pt>
                <c:pt idx="18">
                  <c:v>NZSIP 115_EPD_SIPClosed </c:v>
                </c:pt>
                <c:pt idx="19">
                  <c:v>Roadstone Solid_EPD_Concrete BlockTraditional</c:v>
                </c:pt>
                <c:pt idx="20">
                  <c:v>SIGMAT_EPD_LGSOpen</c:v>
                </c:pt>
                <c:pt idx="21">
                  <c:v>SkadoMedis_EPD_TimberClosed </c:v>
                </c:pt>
                <c:pt idx="22">
                  <c:v>SP-170_EPD_SIPClosed </c:v>
                </c:pt>
                <c:pt idx="23">
                  <c:v>SP-270_EPD_SIPClosed </c:v>
                </c:pt>
                <c:pt idx="24">
                  <c:v>Thermomur_EPD_ICFFormed Concrete</c:v>
                </c:pt>
                <c:pt idx="25">
                  <c:v>USASIP_EPD_SIPClosed </c:v>
                </c:pt>
              </c:strCache>
            </c:strRef>
          </c:cat>
          <c:val>
            <c:numRef>
              <c:f>'BASE GWP BREAKDOWN'!$E$7:$E$33</c:f>
              <c:numCache>
                <c:formatCode>General</c:formatCode>
                <c:ptCount val="26"/>
                <c:pt idx="16">
                  <c:v>44.4</c:v>
                </c:pt>
                <c:pt idx="18">
                  <c:v>40</c:v>
                </c:pt>
                <c:pt idx="22">
                  <c:v>19.5</c:v>
                </c:pt>
                <c:pt idx="23">
                  <c:v>24.6</c:v>
                </c:pt>
                <c:pt idx="25">
                  <c:v>23.1</c:v>
                </c:pt>
              </c:numCache>
            </c:numRef>
          </c:val>
          <c:extLst>
            <c:ext xmlns:c16="http://schemas.microsoft.com/office/drawing/2014/chart" uri="{C3380CC4-5D6E-409C-BE32-E72D297353CC}">
              <c16:uniqueId val="{00000003-D7C0-470E-BD18-7CD3BD73B463}"/>
            </c:ext>
          </c:extLst>
        </c:ser>
        <c:ser>
          <c:idx val="4"/>
          <c:order val="4"/>
          <c:tx>
            <c:strRef>
              <c:f>'BASE GWP BREAKDOWN'!$F$5:$F$6</c:f>
              <c:strCache>
                <c:ptCount val="1"/>
                <c:pt idx="0">
                  <c:v>Structural</c:v>
                </c:pt>
              </c:strCache>
            </c:strRef>
          </c:tx>
          <c:spPr>
            <a:solidFill>
              <a:schemeClr val="accent5"/>
            </a:solidFill>
            <a:ln>
              <a:noFill/>
            </a:ln>
            <a:effectLst/>
          </c:spPr>
          <c:invertIfNegative val="0"/>
          <c:cat>
            <c:strRef>
              <c:f>'BASE GWP BREAKDOWN'!$A$7:$A$33</c:f>
              <c:strCache>
                <c:ptCount val="26"/>
                <c:pt idx="0">
                  <c:v>1_LCA_LGSOpen</c:v>
                </c:pt>
                <c:pt idx="1">
                  <c:v>1_LCA_TimberClosed </c:v>
                </c:pt>
                <c:pt idx="2">
                  <c:v>1_LCA_TimberOpen</c:v>
                </c:pt>
                <c:pt idx="3">
                  <c:v>1_LCA_TimberPre-Insulated</c:v>
                </c:pt>
                <c:pt idx="4">
                  <c:v>A_LCA_ICFFormed Concrete</c:v>
                </c:pt>
                <c:pt idx="5">
                  <c:v>Aircrete High Ten_EPD_Concrete BlockTraditional</c:v>
                </c:pt>
                <c:pt idx="6">
                  <c:v>Aircrete Seven_EPD_Concrete BlockTraditional</c:v>
                </c:pt>
                <c:pt idx="7">
                  <c:v>Aircrete Standard_EPD_Concrete BlockTraditional</c:v>
                </c:pt>
                <c:pt idx="8">
                  <c:v>Aircrete Super_EPD_Concrete BlockTraditional</c:v>
                </c:pt>
                <c:pt idx="9">
                  <c:v>Amvic300_EPD_ICFFormed Concrete</c:v>
                </c:pt>
                <c:pt idx="10">
                  <c:v>Amvic350_EPD_ICFFormed Concrete</c:v>
                </c:pt>
                <c:pt idx="11">
                  <c:v>Donaldson C Stud_EPD_TimberClosed </c:v>
                </c:pt>
                <c:pt idx="12">
                  <c:v>Donaldson Solid_EPD_TimberClosed </c:v>
                </c:pt>
                <c:pt idx="13">
                  <c:v>Donaldson_EPD_TimberOpen</c:v>
                </c:pt>
                <c:pt idx="14">
                  <c:v>Donaldson_EPD_TimberPre-Insulated</c:v>
                </c:pt>
                <c:pt idx="15">
                  <c:v>Horizon_EPD_LGSOpen</c:v>
                </c:pt>
                <c:pt idx="16">
                  <c:v>MgO_EPD_SIPClosed </c:v>
                </c:pt>
                <c:pt idx="17">
                  <c:v>Nudura_EPD_ICFFormed Concrete</c:v>
                </c:pt>
                <c:pt idx="18">
                  <c:v>NZSIP 115_EPD_SIPClosed </c:v>
                </c:pt>
                <c:pt idx="19">
                  <c:v>Roadstone Solid_EPD_Concrete BlockTraditional</c:v>
                </c:pt>
                <c:pt idx="20">
                  <c:v>SIGMAT_EPD_LGSOpen</c:v>
                </c:pt>
                <c:pt idx="21">
                  <c:v>SkadoMedis_EPD_TimberClosed </c:v>
                </c:pt>
                <c:pt idx="22">
                  <c:v>SP-170_EPD_SIPClosed </c:v>
                </c:pt>
                <c:pt idx="23">
                  <c:v>SP-270_EPD_SIPClosed </c:v>
                </c:pt>
                <c:pt idx="24">
                  <c:v>Thermomur_EPD_ICFFormed Concrete</c:v>
                </c:pt>
                <c:pt idx="25">
                  <c:v>USASIP_EPD_SIPClosed </c:v>
                </c:pt>
              </c:strCache>
            </c:strRef>
          </c:cat>
          <c:val>
            <c:numRef>
              <c:f>'BASE GWP BREAKDOWN'!$F$7:$F$33</c:f>
              <c:numCache>
                <c:formatCode>General</c:formatCode>
                <c:ptCount val="26"/>
                <c:pt idx="0">
                  <c:v>15.135553</c:v>
                </c:pt>
                <c:pt idx="2">
                  <c:v>2.3537952083333336</c:v>
                </c:pt>
                <c:pt idx="4">
                  <c:v>49.463402777777773</c:v>
                </c:pt>
                <c:pt idx="5">
                  <c:v>54.149215500000004</c:v>
                </c:pt>
                <c:pt idx="6">
                  <c:v>57.468106000000013</c:v>
                </c:pt>
                <c:pt idx="7">
                  <c:v>50.049552500000004</c:v>
                </c:pt>
                <c:pt idx="8">
                  <c:v>41.106864000000009</c:v>
                </c:pt>
                <c:pt idx="9">
                  <c:v>46.812902777777779</c:v>
                </c:pt>
                <c:pt idx="10">
                  <c:v>46.812902777777779</c:v>
                </c:pt>
                <c:pt idx="13">
                  <c:v>14.681000000000001</c:v>
                </c:pt>
                <c:pt idx="15">
                  <c:v>9.9992200000000011</c:v>
                </c:pt>
                <c:pt idx="17">
                  <c:v>46.812902777777779</c:v>
                </c:pt>
                <c:pt idx="19">
                  <c:v>24.545500000000001</c:v>
                </c:pt>
                <c:pt idx="20">
                  <c:v>15.372500000000002</c:v>
                </c:pt>
                <c:pt idx="24">
                  <c:v>46.812902777777779</c:v>
                </c:pt>
              </c:numCache>
            </c:numRef>
          </c:val>
          <c:extLst>
            <c:ext xmlns:c16="http://schemas.microsoft.com/office/drawing/2014/chart" uri="{C3380CC4-5D6E-409C-BE32-E72D297353CC}">
              <c16:uniqueId val="{00000004-D7C0-470E-BD18-7CD3BD73B463}"/>
            </c:ext>
          </c:extLst>
        </c:ser>
        <c:ser>
          <c:idx val="5"/>
          <c:order val="5"/>
          <c:tx>
            <c:strRef>
              <c:f>'BASE GWP BREAKDOWN'!$G$5:$G$6</c:f>
              <c:strCache>
                <c:ptCount val="1"/>
                <c:pt idx="0">
                  <c:v>Structural, Insulation, Weatherproofing</c:v>
                </c:pt>
              </c:strCache>
            </c:strRef>
          </c:tx>
          <c:spPr>
            <a:solidFill>
              <a:schemeClr val="accent6"/>
            </a:solidFill>
            <a:ln>
              <a:noFill/>
            </a:ln>
            <a:effectLst/>
          </c:spPr>
          <c:invertIfNegative val="0"/>
          <c:cat>
            <c:strRef>
              <c:f>'BASE GWP BREAKDOWN'!$A$7:$A$33</c:f>
              <c:strCache>
                <c:ptCount val="26"/>
                <c:pt idx="0">
                  <c:v>1_LCA_LGSOpen</c:v>
                </c:pt>
                <c:pt idx="1">
                  <c:v>1_LCA_TimberClosed </c:v>
                </c:pt>
                <c:pt idx="2">
                  <c:v>1_LCA_TimberOpen</c:v>
                </c:pt>
                <c:pt idx="3">
                  <c:v>1_LCA_TimberPre-Insulated</c:v>
                </c:pt>
                <c:pt idx="4">
                  <c:v>A_LCA_ICFFormed Concrete</c:v>
                </c:pt>
                <c:pt idx="5">
                  <c:v>Aircrete High Ten_EPD_Concrete BlockTraditional</c:v>
                </c:pt>
                <c:pt idx="6">
                  <c:v>Aircrete Seven_EPD_Concrete BlockTraditional</c:v>
                </c:pt>
                <c:pt idx="7">
                  <c:v>Aircrete Standard_EPD_Concrete BlockTraditional</c:v>
                </c:pt>
                <c:pt idx="8">
                  <c:v>Aircrete Super_EPD_Concrete BlockTraditional</c:v>
                </c:pt>
                <c:pt idx="9">
                  <c:v>Amvic300_EPD_ICFFormed Concrete</c:v>
                </c:pt>
                <c:pt idx="10">
                  <c:v>Amvic350_EPD_ICFFormed Concrete</c:v>
                </c:pt>
                <c:pt idx="11">
                  <c:v>Donaldson C Stud_EPD_TimberClosed </c:v>
                </c:pt>
                <c:pt idx="12">
                  <c:v>Donaldson Solid_EPD_TimberClosed </c:v>
                </c:pt>
                <c:pt idx="13">
                  <c:v>Donaldson_EPD_TimberOpen</c:v>
                </c:pt>
                <c:pt idx="14">
                  <c:v>Donaldson_EPD_TimberPre-Insulated</c:v>
                </c:pt>
                <c:pt idx="15">
                  <c:v>Horizon_EPD_LGSOpen</c:v>
                </c:pt>
                <c:pt idx="16">
                  <c:v>MgO_EPD_SIPClosed </c:v>
                </c:pt>
                <c:pt idx="17">
                  <c:v>Nudura_EPD_ICFFormed Concrete</c:v>
                </c:pt>
                <c:pt idx="18">
                  <c:v>NZSIP 115_EPD_SIPClosed </c:v>
                </c:pt>
                <c:pt idx="19">
                  <c:v>Roadstone Solid_EPD_Concrete BlockTraditional</c:v>
                </c:pt>
                <c:pt idx="20">
                  <c:v>SIGMAT_EPD_LGSOpen</c:v>
                </c:pt>
                <c:pt idx="21">
                  <c:v>SkadoMedis_EPD_TimberClosed </c:v>
                </c:pt>
                <c:pt idx="22">
                  <c:v>SP-170_EPD_SIPClosed </c:v>
                </c:pt>
                <c:pt idx="23">
                  <c:v>SP-270_EPD_SIPClosed </c:v>
                </c:pt>
                <c:pt idx="24">
                  <c:v>Thermomur_EPD_ICFFormed Concrete</c:v>
                </c:pt>
                <c:pt idx="25">
                  <c:v>USASIP_EPD_SIPClosed </c:v>
                </c:pt>
              </c:strCache>
            </c:strRef>
          </c:cat>
          <c:val>
            <c:numRef>
              <c:f>'BASE GWP BREAKDOWN'!$G$7:$G$33</c:f>
              <c:numCache>
                <c:formatCode>General</c:formatCode>
                <c:ptCount val="26"/>
                <c:pt idx="1">
                  <c:v>25.485526875000001</c:v>
                </c:pt>
                <c:pt idx="3">
                  <c:v>22.028526875000001</c:v>
                </c:pt>
                <c:pt idx="11">
                  <c:v>27.8</c:v>
                </c:pt>
                <c:pt idx="12">
                  <c:v>21.7</c:v>
                </c:pt>
                <c:pt idx="14">
                  <c:v>18.8</c:v>
                </c:pt>
              </c:numCache>
            </c:numRef>
          </c:val>
          <c:extLst>
            <c:ext xmlns:c16="http://schemas.microsoft.com/office/drawing/2014/chart" uri="{C3380CC4-5D6E-409C-BE32-E72D297353CC}">
              <c16:uniqueId val="{00000005-D7C0-470E-BD18-7CD3BD73B463}"/>
            </c:ext>
          </c:extLst>
        </c:ser>
        <c:ser>
          <c:idx val="6"/>
          <c:order val="6"/>
          <c:tx>
            <c:strRef>
              <c:f>'BASE GWP BREAKDOWN'!$H$5:$H$6</c:f>
              <c:strCache>
                <c:ptCount val="1"/>
                <c:pt idx="0">
                  <c:v>Weatherproofing</c:v>
                </c:pt>
              </c:strCache>
            </c:strRef>
          </c:tx>
          <c:spPr>
            <a:solidFill>
              <a:schemeClr val="accent1">
                <a:lumMod val="60000"/>
              </a:schemeClr>
            </a:solidFill>
            <a:ln>
              <a:noFill/>
            </a:ln>
            <a:effectLst/>
          </c:spPr>
          <c:invertIfNegative val="0"/>
          <c:cat>
            <c:strRef>
              <c:f>'BASE GWP BREAKDOWN'!$A$7:$A$33</c:f>
              <c:strCache>
                <c:ptCount val="26"/>
                <c:pt idx="0">
                  <c:v>1_LCA_LGSOpen</c:v>
                </c:pt>
                <c:pt idx="1">
                  <c:v>1_LCA_TimberClosed </c:v>
                </c:pt>
                <c:pt idx="2">
                  <c:v>1_LCA_TimberOpen</c:v>
                </c:pt>
                <c:pt idx="3">
                  <c:v>1_LCA_TimberPre-Insulated</c:v>
                </c:pt>
                <c:pt idx="4">
                  <c:v>A_LCA_ICFFormed Concrete</c:v>
                </c:pt>
                <c:pt idx="5">
                  <c:v>Aircrete High Ten_EPD_Concrete BlockTraditional</c:v>
                </c:pt>
                <c:pt idx="6">
                  <c:v>Aircrete Seven_EPD_Concrete BlockTraditional</c:v>
                </c:pt>
                <c:pt idx="7">
                  <c:v>Aircrete Standard_EPD_Concrete BlockTraditional</c:v>
                </c:pt>
                <c:pt idx="8">
                  <c:v>Aircrete Super_EPD_Concrete BlockTraditional</c:v>
                </c:pt>
                <c:pt idx="9">
                  <c:v>Amvic300_EPD_ICFFormed Concrete</c:v>
                </c:pt>
                <c:pt idx="10">
                  <c:v>Amvic350_EPD_ICFFormed Concrete</c:v>
                </c:pt>
                <c:pt idx="11">
                  <c:v>Donaldson C Stud_EPD_TimberClosed </c:v>
                </c:pt>
                <c:pt idx="12">
                  <c:v>Donaldson Solid_EPD_TimberClosed </c:v>
                </c:pt>
                <c:pt idx="13">
                  <c:v>Donaldson_EPD_TimberOpen</c:v>
                </c:pt>
                <c:pt idx="14">
                  <c:v>Donaldson_EPD_TimberPre-Insulated</c:v>
                </c:pt>
                <c:pt idx="15">
                  <c:v>Horizon_EPD_LGSOpen</c:v>
                </c:pt>
                <c:pt idx="16">
                  <c:v>MgO_EPD_SIPClosed </c:v>
                </c:pt>
                <c:pt idx="17">
                  <c:v>Nudura_EPD_ICFFormed Concrete</c:v>
                </c:pt>
                <c:pt idx="18">
                  <c:v>NZSIP 115_EPD_SIPClosed </c:v>
                </c:pt>
                <c:pt idx="19">
                  <c:v>Roadstone Solid_EPD_Concrete BlockTraditional</c:v>
                </c:pt>
                <c:pt idx="20">
                  <c:v>SIGMAT_EPD_LGSOpen</c:v>
                </c:pt>
                <c:pt idx="21">
                  <c:v>SkadoMedis_EPD_TimberClosed </c:v>
                </c:pt>
                <c:pt idx="22">
                  <c:v>SP-170_EPD_SIPClosed </c:v>
                </c:pt>
                <c:pt idx="23">
                  <c:v>SP-270_EPD_SIPClosed </c:v>
                </c:pt>
                <c:pt idx="24">
                  <c:v>Thermomur_EPD_ICFFormed Concrete</c:v>
                </c:pt>
                <c:pt idx="25">
                  <c:v>USASIP_EPD_SIPClosed </c:v>
                </c:pt>
              </c:strCache>
            </c:strRef>
          </c:cat>
          <c:val>
            <c:numRef>
              <c:f>'BASE GWP BREAKDOWN'!$H$7:$H$33</c:f>
              <c:numCache>
                <c:formatCode>General</c:formatCode>
                <c:ptCount val="26"/>
                <c:pt idx="0">
                  <c:v>0.25229166666666669</c:v>
                </c:pt>
                <c:pt idx="2">
                  <c:v>0.25229166666666669</c:v>
                </c:pt>
                <c:pt idx="4">
                  <c:v>0.25229166666666669</c:v>
                </c:pt>
                <c:pt idx="5">
                  <c:v>0.25229166666666669</c:v>
                </c:pt>
                <c:pt idx="6">
                  <c:v>0.25229166666666669</c:v>
                </c:pt>
                <c:pt idx="7">
                  <c:v>0.25229166666666669</c:v>
                </c:pt>
                <c:pt idx="8">
                  <c:v>0.25229166666666669</c:v>
                </c:pt>
                <c:pt idx="9">
                  <c:v>0.25229166666666669</c:v>
                </c:pt>
                <c:pt idx="10">
                  <c:v>0.25229166666666669</c:v>
                </c:pt>
                <c:pt idx="13">
                  <c:v>0.25229166666666669</c:v>
                </c:pt>
                <c:pt idx="15">
                  <c:v>0.25229166666666669</c:v>
                </c:pt>
                <c:pt idx="16">
                  <c:v>0.25229166666666669</c:v>
                </c:pt>
                <c:pt idx="17">
                  <c:v>0.25229166666666669</c:v>
                </c:pt>
                <c:pt idx="18">
                  <c:v>0.25229166666666669</c:v>
                </c:pt>
                <c:pt idx="19">
                  <c:v>0.25229166666666669</c:v>
                </c:pt>
                <c:pt idx="20">
                  <c:v>0.25229166666666669</c:v>
                </c:pt>
                <c:pt idx="22">
                  <c:v>0.25229166666666669</c:v>
                </c:pt>
                <c:pt idx="23">
                  <c:v>0.25229166666666669</c:v>
                </c:pt>
                <c:pt idx="24">
                  <c:v>0.25229166666666669</c:v>
                </c:pt>
                <c:pt idx="25">
                  <c:v>0.25229166666666669</c:v>
                </c:pt>
              </c:numCache>
            </c:numRef>
          </c:val>
          <c:extLst>
            <c:ext xmlns:c16="http://schemas.microsoft.com/office/drawing/2014/chart" uri="{C3380CC4-5D6E-409C-BE32-E72D297353CC}">
              <c16:uniqueId val="{00000006-D7C0-470E-BD18-7CD3BD73B463}"/>
            </c:ext>
          </c:extLst>
        </c:ser>
        <c:dLbls>
          <c:showLegendKey val="0"/>
          <c:showVal val="0"/>
          <c:showCatName val="0"/>
          <c:showSerName val="0"/>
          <c:showPercent val="0"/>
          <c:showBubbleSize val="0"/>
        </c:dLbls>
        <c:gapWidth val="150"/>
        <c:overlap val="100"/>
        <c:axId val="1369139423"/>
        <c:axId val="1369140383"/>
      </c:barChart>
      <c:catAx>
        <c:axId val="136913942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69140383"/>
        <c:crosses val="autoZero"/>
        <c:auto val="1"/>
        <c:lblAlgn val="ctr"/>
        <c:lblOffset val="100"/>
        <c:noMultiLvlLbl val="0"/>
      </c:catAx>
      <c:valAx>
        <c:axId val="136914038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6913942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5.xml"/></Relationships>
</file>

<file path=xl/drawings/_rels/drawing5.xml.rels><?xml version="1.0" encoding="UTF-8" standalone="yes"?>
<Relationships xmlns="http://schemas.openxmlformats.org/package/2006/relationships"><Relationship Id="rId1" Type="http://schemas.openxmlformats.org/officeDocument/2006/relationships/chart" Target="../charts/chart6.xml"/></Relationships>
</file>

<file path=xl/drawings/_rels/drawing6.xml.rels><?xml version="1.0" encoding="UTF-8" standalone="yes"?>
<Relationships xmlns="http://schemas.openxmlformats.org/package/2006/relationships"><Relationship Id="rId1"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xdr:from>
      <xdr:col>2</xdr:col>
      <xdr:colOff>1200150</xdr:colOff>
      <xdr:row>25</xdr:row>
      <xdr:rowOff>41274</xdr:rowOff>
    </xdr:from>
    <xdr:to>
      <xdr:col>8</xdr:col>
      <xdr:colOff>1981200</xdr:colOff>
      <xdr:row>45</xdr:row>
      <xdr:rowOff>146049</xdr:rowOff>
    </xdr:to>
    <xdr:graphicFrame macro="">
      <xdr:nvGraphicFramePr>
        <xdr:cNvPr id="2" name="Chart 1">
          <a:extLst>
            <a:ext uri="{FF2B5EF4-FFF2-40B4-BE49-F238E27FC236}">
              <a16:creationId xmlns:a16="http://schemas.microsoft.com/office/drawing/2014/main" id="{80A5BE1C-D692-2F2E-40B0-6ABA104D7FF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5</xdr:col>
      <xdr:colOff>527050</xdr:colOff>
      <xdr:row>38</xdr:row>
      <xdr:rowOff>28574</xdr:rowOff>
    </xdr:from>
    <xdr:to>
      <xdr:col>11</xdr:col>
      <xdr:colOff>539750</xdr:colOff>
      <xdr:row>62</xdr:row>
      <xdr:rowOff>120650</xdr:rowOff>
    </xdr:to>
    <xdr:graphicFrame macro="">
      <xdr:nvGraphicFramePr>
        <xdr:cNvPr id="2" name="Chart 1">
          <a:extLst>
            <a:ext uri="{FF2B5EF4-FFF2-40B4-BE49-F238E27FC236}">
              <a16:creationId xmlns:a16="http://schemas.microsoft.com/office/drawing/2014/main" id="{12B90DCB-31C8-21CB-C42C-45DAAB7C954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26</xdr:col>
      <xdr:colOff>127000</xdr:colOff>
      <xdr:row>51</xdr:row>
      <xdr:rowOff>85724</xdr:rowOff>
    </xdr:from>
    <xdr:to>
      <xdr:col>36</xdr:col>
      <xdr:colOff>260350</xdr:colOff>
      <xdr:row>70</xdr:row>
      <xdr:rowOff>114299</xdr:rowOff>
    </xdr:to>
    <xdr:graphicFrame macro="">
      <xdr:nvGraphicFramePr>
        <xdr:cNvPr id="2" name="Chart 2">
          <a:extLst>
            <a:ext uri="{FF2B5EF4-FFF2-40B4-BE49-F238E27FC236}">
              <a16:creationId xmlns:a16="http://schemas.microsoft.com/office/drawing/2014/main" id="{C48FB109-F8CC-2EC0-D1F8-EA81A489C49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415924</xdr:colOff>
      <xdr:row>14</xdr:row>
      <xdr:rowOff>31750</xdr:rowOff>
    </xdr:from>
    <xdr:to>
      <xdr:col>13</xdr:col>
      <xdr:colOff>533399</xdr:colOff>
      <xdr:row>33</xdr:row>
      <xdr:rowOff>107950</xdr:rowOff>
    </xdr:to>
    <xdr:graphicFrame macro="">
      <xdr:nvGraphicFramePr>
        <xdr:cNvPr id="3" name="Chart 2">
          <a:extLst>
            <a:ext uri="{FF2B5EF4-FFF2-40B4-BE49-F238E27FC236}">
              <a16:creationId xmlns:a16="http://schemas.microsoft.com/office/drawing/2014/main" id="{7CD55B25-AEEC-07D8-99FE-A5436F69CEF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2</xdr:col>
      <xdr:colOff>361950</xdr:colOff>
      <xdr:row>33</xdr:row>
      <xdr:rowOff>88900</xdr:rowOff>
    </xdr:from>
    <xdr:to>
      <xdr:col>10</xdr:col>
      <xdr:colOff>63500</xdr:colOff>
      <xdr:row>51</xdr:row>
      <xdr:rowOff>85725</xdr:rowOff>
    </xdr:to>
    <xdr:graphicFrame macro="">
      <xdr:nvGraphicFramePr>
        <xdr:cNvPr id="2" name="Chart 1">
          <a:extLst>
            <a:ext uri="{FF2B5EF4-FFF2-40B4-BE49-F238E27FC236}">
              <a16:creationId xmlns:a16="http://schemas.microsoft.com/office/drawing/2014/main" id="{8BD2A504-F4D1-4FBA-BB23-FF2635A5FCE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4</xdr:col>
      <xdr:colOff>254000</xdr:colOff>
      <xdr:row>7</xdr:row>
      <xdr:rowOff>60324</xdr:rowOff>
    </xdr:from>
    <xdr:to>
      <xdr:col>17</xdr:col>
      <xdr:colOff>438149</xdr:colOff>
      <xdr:row>34</xdr:row>
      <xdr:rowOff>44450</xdr:rowOff>
    </xdr:to>
    <xdr:graphicFrame macro="">
      <xdr:nvGraphicFramePr>
        <xdr:cNvPr id="2" name="Chart 1">
          <a:extLst>
            <a:ext uri="{FF2B5EF4-FFF2-40B4-BE49-F238E27FC236}">
              <a16:creationId xmlns:a16="http://schemas.microsoft.com/office/drawing/2014/main" id="{EAFB41CB-CA87-B85B-692C-0046D13F1DE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35</xdr:row>
      <xdr:rowOff>38100</xdr:rowOff>
    </xdr:from>
    <xdr:to>
      <xdr:col>8</xdr:col>
      <xdr:colOff>279400</xdr:colOff>
      <xdr:row>64</xdr:row>
      <xdr:rowOff>19050</xdr:rowOff>
    </xdr:to>
    <xdr:graphicFrame macro="">
      <xdr:nvGraphicFramePr>
        <xdr:cNvPr id="2" name="Chart 1">
          <a:extLst>
            <a:ext uri="{FF2B5EF4-FFF2-40B4-BE49-F238E27FC236}">
              <a16:creationId xmlns:a16="http://schemas.microsoft.com/office/drawing/2014/main" id="{09D6144E-E913-5300-FE2E-B6921756848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Carter Powers" refreshedDate="45870.681192939817" createdVersion="8" refreshedVersion="8" minRefreshableVersion="3" recordCount="488" xr:uid="{2208EF74-FE72-43EA-BDE1-53682BCDF738}">
  <cacheSource type="worksheet">
    <worksheetSource name="Table4"/>
  </cacheSource>
  <cacheFields count="25">
    <cacheField name="Complete System Name (Concatenated)" numFmtId="0">
      <sharedItems containsBlank="1" count="80">
        <s v="USEPDSIP_LCASolBrick_GPlas"/>
        <s v="USEPDSIP_EPDSolBrick_GPlas"/>
        <s v="USEPDSIP_EPDComFiber_GPlas"/>
        <s v="thermEPDICF_LCASolBrick_GPlas"/>
        <s v="thermEPDICF_EPDSolBrick_GPlas"/>
        <s v="thermEPDICF_EPDComFiber_GPlas"/>
        <s v="SP-270EPDSIP_LCASolBrick_GPlas"/>
        <s v="SP-270EPDSIP_EPDSolBrick_GPlas"/>
        <s v="SP-270EPDSIP_EPDComFiber_GPlas"/>
        <s v="SP-170EPDSIP_LCASolBrick_GPlas"/>
        <s v="SP-170EPDSIP_EPDSolBrick_GPlas"/>
        <s v="SP-170EPDSIP_EPDComFiber_GPlas"/>
        <s v="SkadoEPDTimFULL_LCASolBrick_GPlas"/>
        <s v="SkadoEPDTimFULL_EPDSolBrick_GPlas"/>
        <s v="SkadoEPDTimFULL_EPDComFiber_GPlas"/>
        <s v="RoadstoneEPDCBlk_LCASolBrick_GPlas"/>
        <s v="RoadstoneEPDCBlk_EPDSolBrick_GPlas"/>
        <s v="RoadstoneEPDCBlk_EPDComFiber_GPlas"/>
        <s v="NZEPDSIP_LCASolBrick_GPlas"/>
        <s v="NZEPDSIP_EPDSolBrick_GPlas"/>
        <s v="NZEPDSIP_EPDComFiber_GPlas"/>
        <s v="NudEPDICF_LCASolBrick_GPlas"/>
        <s v="NudEPDICF_EPDSolBrick_GPlas"/>
        <s v="NudEPDICF_EPDComFiber_GPlas"/>
        <s v="MgOEPDSIP_LCASolBrick_GPlas"/>
        <s v="MgOEPDSIP_EPDSolBrick_GPlas"/>
        <s v="MgOEPDSIP_EPDComFiber_GPlas"/>
        <s v="HorEPDLGSOP_LCASolBrick_GPlas"/>
        <s v="HorEPDLGSOP_EPDSolBrick_GPlas"/>
        <s v="HorEPDLGSOP_EPDComFiber_GPlas"/>
        <s v="DonSolEPDTimCL_LCASolBrick_GPlas"/>
        <s v="DonSolEPDTimCL_EPDSolBrick_GPlas"/>
        <s v="DonSolEPDTimCL_EPDComFiber_GPlas"/>
        <s v="DonEPDTimOP_LCASolBrick_GPlas"/>
        <s v="DonEPDTimOP_EPDSolBrick_GPlas"/>
        <s v="DonEPDTimOP_EPDComFiber_GPlas"/>
        <s v="DonEPDTimIN_LCASolBrick_GPlas"/>
        <s v="DonEPDTimIN_EPDSolBrick_GPlas"/>
        <s v="DonEPDTimIN_EPDComFiber_GPlas"/>
        <s v="DonCsEPDTimCL_LCASolBrick_GPlas"/>
        <s v="DonCsEPDTimCL_EPDSolBrick_GPlas"/>
        <s v="DonCsEPDTimCL_EPDComFiber_GPlas"/>
        <s v="ArSevenEPDCBlk_LCASolBrick_GPlas"/>
        <s v="ArSevenEPDCBlk_EPDSolBrick_GPlas"/>
        <s v="ArSevenEPDCBlk_EPDComFiber_GPlas"/>
        <s v="Amv350EPDICF_LCASolBrick_GPlas"/>
        <s v="Amv350EPDICF_EPDSolBrick_GPlas"/>
        <s v="Amv350EPDICF_EPDComFiber_GPlas"/>
        <s v="Amv300EPDICF_LCASolBrick_GPlas"/>
        <s v="Amv300EPDICF_EPDSolBrick_GPlas"/>
        <s v="Amv300EPDICF_EPDComFiber_GPlas"/>
        <s v="AirSuperEPDCBlk_LCASolBrick_GPlas"/>
        <s v="AirSuperEPDCBlk_EPDSolBrick_GPlas"/>
        <s v="AirSuperEPDCBlk_EPDComFiber_GPlas"/>
        <s v="AirStandEPDCBlk_LCASolBrick_GPlas"/>
        <s v="AirStandEPDCBlk_EPDSolBrick_GPlas"/>
        <s v="AirStandEPDCBlk_EPDComFiber_GPlas"/>
        <s v="AirHTenEPDCBlk_LCASolBrick_GPlas"/>
        <s v="AirHTenEPDCBlk_EPDSolBrick_GPlas"/>
        <s v="AirHTenEPDCBlk_EPDComFiber_GPlas"/>
        <s v="1LCATimOP_LCASolBrick_GPlas"/>
        <s v="1LCATimOP_EPDSolBrick_GPlas"/>
        <s v="1LCATimOP_EPDComFiber_GPlas"/>
        <s v="1LCATimIN_LCASolBrick_GPlas"/>
        <s v="1LCATimIN_EPDSolBrick_GPlas"/>
        <s v="1LCATimIN_EPDComFiber_GPlas"/>
        <s v="1LCATimCL_LCASolBrick_GPlas"/>
        <s v="1LCATimCL_EPDSolBrick_GPlas"/>
        <s v="1LCATimCL_EPDComFiber_GPlas"/>
        <s v="1LCALGSOP_LCASolBrick_GPlas"/>
        <s v="1LCALGSOP_EPDSolBrick_GPlas"/>
        <s v="1LCALGSOP_EPDComFiber_GPlas"/>
        <s v="1LCAICF_LCASolBrick_GPlas"/>
        <s v="1LCAICF_EPDSolBrick_GPlas"/>
        <s v="1LCAICF_EPDComFiber_GPlas"/>
        <s v="0_0_0"/>
        <s v="1LCATimCL_EPDComFiber_0" u="1"/>
        <s v="thermEPDICF_LCASolBrick_Gplaster" u="1"/>
        <m u="1"/>
        <s v="EPDICF1_LCASolBrick_Gplaster" u="1"/>
      </sharedItems>
    </cacheField>
    <cacheField name="Base System" numFmtId="0">
      <sharedItems containsBlank="1"/>
    </cacheField>
    <cacheField name="System Name (Short)" numFmtId="0">
      <sharedItems containsMixedTypes="1" containsNumber="1" containsInteger="1" minValue="0" maxValue="0"/>
    </cacheField>
    <cacheField name="MMC Method" numFmtId="0">
      <sharedItems containsMixedTypes="1" containsNumber="1" containsInteger="1" minValue="0" maxValue="0" count="6">
        <s v="SIP"/>
        <s v="ICF"/>
        <s v="Timber"/>
        <s v="Concrete Block"/>
        <s v="LGS"/>
        <n v="0"/>
      </sharedItems>
    </cacheField>
    <cacheField name="Method  Subtype" numFmtId="0">
      <sharedItems containsMixedTypes="1" containsNumber="1" containsInteger="1" minValue="0" maxValue="0" count="6">
        <s v="Closed "/>
        <s v="Formed Concrete"/>
        <s v="Traditional"/>
        <s v="Open"/>
        <s v="Pre-Insulated"/>
        <n v="0"/>
      </sharedItems>
    </cacheField>
    <cacheField name="Structural Type" numFmtId="0">
      <sharedItems containsMixedTypes="1" containsNumber="1" containsInteger="1" minValue="0" maxValue="0" count="3">
        <s v="Planar"/>
        <s v="Framed"/>
        <n v="0"/>
      </sharedItems>
    </cacheField>
    <cacheField name="Base GWP" numFmtId="0">
      <sharedItems containsMixedTypes="1" containsNumber="1" minValue="18.8" maxValue="73.503194444444446"/>
    </cacheField>
    <cacheField name="Base R Value" numFmtId="0">
      <sharedItems containsMixedTypes="1" containsNumber="1" minValue="3.0540974025974026" maxValue="6.9714999999999998"/>
    </cacheField>
    <cacheField name="Base Mass" numFmtId="0">
      <sharedItems containsMixedTypes="1" containsNumber="1" minValue="14.836" maxValue="371.87777777777774"/>
    </cacheField>
    <cacheField name="Ext Finish" numFmtId="0">
      <sharedItems containsBlank="1"/>
    </cacheField>
    <cacheField name="Ext Finish Name (Short)" numFmtId="0">
      <sharedItems containsMixedTypes="1" containsNumber="1" containsInteger="1" minValue="0" maxValue="0"/>
    </cacheField>
    <cacheField name="Compatible Systems" numFmtId="0">
      <sharedItems containsMixedTypes="1" containsNumber="1" containsInteger="1" minValue="0" maxValue="0"/>
    </cacheField>
    <cacheField name="Compatibility Flag" numFmtId="0">
      <sharedItems count="2">
        <s v="YES"/>
        <s v="NO" u="1"/>
      </sharedItems>
    </cacheField>
    <cacheField name="Ext Finish GWP" numFmtId="0">
      <sharedItems containsMixedTypes="1" containsNumber="1" minValue="22" maxValue="47.801724999999998"/>
    </cacheField>
    <cacheField name="Ext Finish R Value" numFmtId="0">
      <sharedItems containsMixedTypes="1" containsNumber="1" minValue="2.1298701298701297" maxValue="2.4699999999999998"/>
    </cacheField>
    <cacheField name="Ext Finish Mass" numFmtId="0">
      <sharedItems containsMixedTypes="1" containsNumber="1" minValue="0.16999999999999998" maxValue="233.095"/>
    </cacheField>
    <cacheField name="Int Finish" numFmtId="0">
      <sharedItems containsBlank="1"/>
    </cacheField>
    <cacheField name="Int Finish Name (Short)" numFmtId="0">
      <sharedItems containsMixedTypes="1" containsNumber="1" containsInteger="1" minValue="0" maxValue="0"/>
    </cacheField>
    <cacheField name="Int Finish GWP" numFmtId="0">
      <sharedItems containsMixedTypes="1" containsNumber="1" minValue="3.839" maxValue="3.839"/>
    </cacheField>
    <cacheField name="Int Finish R Value" numFmtId="0">
      <sharedItems containsMixedTypes="1" containsNumber="1" minValue="0.56578947368421051" maxValue="0.56578947368421051"/>
    </cacheField>
    <cacheField name="Int Finish Mass" numFmtId="0">
      <sharedItems containsMixedTypes="1" containsNumber="1" minValue="9.3850000000000016" maxValue="9.3850000000000016"/>
    </cacheField>
    <cacheField name="Total GWP" numFmtId="0">
      <sharedItems containsMixedTypes="1" containsNumber="1" minValue="44.638999999999996" maxValue="125.14391944444444"/>
    </cacheField>
    <cacheField name="Total R value" numFmtId="0">
      <sharedItems containsMixedTypes="1" containsNumber="1" minValue="5.7497570061517429" maxValue="10.00728947368421"/>
    </cacheField>
    <cacheField name="Total U Value" numFmtId="0">
      <sharedItems containsMixedTypes="1" containsNumber="1" minValue="9.9927158360879051E-2" maxValue="0.17392039331924575"/>
    </cacheField>
    <cacheField name="Total Mass" numFmtId="0">
      <sharedItems containsMixedTypes="1" containsNumber="1" minValue="24.391000000000002" maxValue="614.35777777777776"/>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Carter Powers" refreshedDate="45870.681193518518" createdVersion="8" refreshedVersion="8" minRefreshableVersion="3" recordCount="837" xr:uid="{194706D2-102F-45C8-840B-70320D443692}">
  <cacheSource type="worksheet">
    <worksheetSource name="BASE_SYSTEM_TABLE"/>
  </cacheSource>
  <cacheFields count="34">
    <cacheField name="System Name" numFmtId="0">
      <sharedItems containsBlank="1" count="32">
        <s v="1_LCA_LGSOpen"/>
        <s v="Horizon_EPD_LGSOpen"/>
        <s v="SIGMAT_EPD_LGSOpen"/>
        <s v="1_LCA_TimberOpen"/>
        <s v="1_LCA_TimberPre-Insulated"/>
        <s v="Donaldson_EPD_TimberOpen"/>
        <s v="Donaldson_EPD_TimberPre-Insulated"/>
        <s v="A_LCA_ICFFormed Concrete"/>
        <s v="Nudura_EPD_ICFFormed Concrete"/>
        <s v="Aircrete Standard_EPD_Concrete BlockTraditional"/>
        <s v="SP-170_EPD_SIPClosed "/>
        <s v="SP-270_EPD_SIPClosed "/>
        <s v="MgO_EPD_SIPClosed "/>
        <s v="NZSIP 115_EPD_SIPClosed "/>
        <s v="USASIP_EPD_SIPClosed "/>
        <s v="Thermomur_EPD_ICFFormed Concrete"/>
        <s v="Amvic300_EPD_ICFFormed Concrete"/>
        <s v="Amvic350_EPD_ICFFormed Concrete"/>
        <s v="1_LCA_TimberClosed "/>
        <s v="Donaldson Solid_EPD_TimberClosed "/>
        <s v="Donaldson C Stud_EPD_TimberClosed "/>
        <s v="SkadoMedis_EPD_TimberClosed "/>
        <s v="Aircrete High Ten_EPD_Concrete BlockTraditional"/>
        <s v="Aircrete Seven_EPD_Concrete BlockTraditional"/>
        <s v="Aircrete Super_EPD_Concrete BlockTraditional"/>
        <s v="Roadstone Solid_EPD_Concrete BlockTraditional"/>
        <m/>
        <s v="A_LCA_LGSOpen" u="1"/>
        <s v="A_LCA_TimberOpen" u="1"/>
        <s v="A_LCA_TimberPre-Insulated" u="1"/>
        <s v="A_LCA_TimberClosed " u="1"/>
        <s v="NZSIP 116_EPD_SIPClosed " u="1"/>
      </sharedItems>
    </cacheField>
    <cacheField name="Model Source" numFmtId="0">
      <sharedItems containsBlank="1"/>
    </cacheField>
    <cacheField name="System Type" numFmtId="0">
      <sharedItems containsBlank="1" count="6">
        <s v="LGS"/>
        <s v="Timber"/>
        <s v="ICF"/>
        <s v="Concrete Block"/>
        <s v="SIP"/>
        <m/>
      </sharedItems>
    </cacheField>
    <cacheField name="System Subtype" numFmtId="0">
      <sharedItems containsBlank="1" count="6">
        <s v="Open"/>
        <s v="Pre-Insulated"/>
        <s v="Formed Concrete"/>
        <s v="Traditional"/>
        <s v="Closed "/>
        <m/>
      </sharedItems>
    </cacheField>
    <cacheField name="Unique ID" numFmtId="0">
      <sharedItems containsBlank="1" containsMixedTypes="1" containsNumber="1" containsInteger="1" minValue="1" maxValue="1"/>
    </cacheField>
    <cacheField name="System Name (Short)" numFmtId="0">
      <sharedItems containsBlank="1"/>
    </cacheField>
    <cacheField name="System Description (mid length)" numFmtId="0">
      <sharedItems containsBlank="1"/>
    </cacheField>
    <cacheField name="Construction Type (Framed or Planar)" numFmtId="0">
      <sharedItems containsBlank="1" count="3">
        <s v="Framed"/>
        <s v="Planar"/>
        <m/>
      </sharedItems>
    </cacheField>
    <cacheField name="Component Calculation Completeness" numFmtId="0">
      <sharedItems containsBlank="1"/>
    </cacheField>
    <cacheField name="System Issues Description" numFmtId="0">
      <sharedItems containsBlank="1"/>
    </cacheField>
    <cacheField name="Component Calculations Checked?" numFmtId="0">
      <sharedItems/>
    </cacheField>
    <cacheField name="Component Name" numFmtId="0">
      <sharedItems containsBlank="1"/>
    </cacheField>
    <cacheField name="Component Data Source" numFmtId="0">
      <sharedItems containsBlank="1"/>
    </cacheField>
    <cacheField name="Use Type" numFmtId="0">
      <sharedItems containsBlank="1" count="9">
        <s v="Structural"/>
        <s v="Insulation"/>
        <s v="Weatherproofing"/>
        <s v="Sheathing"/>
        <s v="Structural, Insulation, Weatherproofing"/>
        <s v="Structual + Insulation"/>
        <s v="Complete System"/>
        <m/>
        <s v="External Finish" u="1"/>
      </sharedItems>
    </cacheField>
    <cacheField name="Standalone Use?" numFmtId="0">
      <sharedItems containsBlank="1"/>
    </cacheField>
    <cacheField name="Components included" numFmtId="0">
      <sharedItems containsBlank="1" longText="1"/>
    </cacheField>
    <cacheField name="Additional Components Needed to Achieve Use" numFmtId="0">
      <sharedItems containsBlank="1"/>
    </cacheField>
    <cacheField name="Product info Available?" numFmtId="0">
      <sharedItems containsBlank="1"/>
    </cacheField>
    <cacheField name="Missing Product Info" numFmtId="0">
      <sharedItems containsBlank="1"/>
    </cacheField>
    <cacheField name=" R value (m^2-K/W)" numFmtId="0">
      <sharedItems containsString="0" containsBlank="1" containsNumber="1" minValue="0" maxValue="6.97"/>
    </cacheField>
    <cacheField name="A1-A3 Fossil kg CO2e/m^2 wall area" numFmtId="0">
      <sharedItems containsString="0" containsBlank="1" containsNumber="1" minValue="0.25229166666666669" maxValue="53.283106000000011"/>
    </cacheField>
    <cacheField name="Raw A1-A3/Conversion factor" numFmtId="0">
      <sharedItems containsString="0" containsBlank="1" containsNumber="1" minValue="0.10299999999999999" maxValue="357.77000000000004"/>
    </cacheField>
    <cacheField name="Raw GWP Declared Unit" numFmtId="0">
      <sharedItems containsBlank="1"/>
    </cacheField>
    <cacheField name="Length (m) (on wall)" numFmtId="0">
      <sharedItems containsBlank="1" containsMixedTypes="1" containsNumber="1" minValue="3.7999999999999999E-2" maxValue="2.4"/>
    </cacheField>
    <cacheField name="Height (m)" numFmtId="0">
      <sharedItems containsBlank="1" containsMixedTypes="1" containsNumber="1" minValue="1.2E-2" maxValue="2.4"/>
    </cacheField>
    <cacheField name="Thickness (m)" numFmtId="0">
      <sharedItems containsBlank="1" containsMixedTypes="1" containsNumber="1" minValue="4.4999999999999999E-4" maxValue="0.215"/>
    </cacheField>
    <cacheField name="Element Volume (m^3)" numFmtId="0">
      <sharedItems containsBlank="1" containsMixedTypes="1" containsNumber="1" minValue="0" maxValue="0.23039999999999999"/>
    </cacheField>
    <cacheField name="No. of elements in 1 panel" numFmtId="0">
      <sharedItems containsBlank="1" containsMixedTypes="1" containsNumber="1" containsInteger="1" minValue="1" maxValue="5"/>
    </cacheField>
    <cacheField name="Percent of wall area" numFmtId="0">
      <sharedItems containsBlank="1" containsMixedTypes="1" containsNumber="1" minValue="1.2E-2" maxValue="1"/>
    </cacheField>
    <cacheField name="Material Density (kg/m^3)" numFmtId="0">
      <sharedItems containsBlank="1" containsMixedTypes="1" containsNumber="1" containsInteger="1" minValue="0" maxValue="7800"/>
    </cacheField>
    <cacheField name="Total Mass per m^2 (kg)" numFmtId="0">
      <sharedItems containsString="0" containsBlank="1" containsNumber="1" minValue="0" maxValue="361.8"/>
    </cacheField>
    <cacheField name="Thermal Conductivity W/m-K" numFmtId="0">
      <sharedItems containsBlank="1" containsMixedTypes="1" containsNumber="1" minValue="2.1999999999999999E-2" maxValue="50"/>
    </cacheField>
    <cacheField name="U Value (W/m^2-K)" numFmtId="0" formula=" 1/SUM(' R value (m^2-K/W)')" databaseField="0"/>
    <cacheField name="U-Value" numFmtId="0" formula=" 1/' R value (m^2-K/W)'" databaseField="0"/>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Carter Powers" refreshedDate="45870.681194097226" createdVersion="8" refreshedVersion="8" minRefreshableVersion="3" recordCount="1021" xr:uid="{F4E8EF3B-3583-46BA-90A6-D3538367AD55}">
  <cacheSource type="worksheet">
    <worksheetSource name="Master_Table"/>
  </cacheSource>
  <cacheFields count="34">
    <cacheField name="System Name" numFmtId="0">
      <sharedItems containsBlank="1" count="37">
        <s v="A_LCA_LGSOpen_Brick"/>
        <s v="Horizon_EPD_LGSOpen_Brick"/>
        <s v="SIGMAT_EPD_LGSOpen_Brick"/>
        <s v="A_LCA_TimberOpen_Brick"/>
        <s v="A_LCA_TimberPre-Insulated_Brick"/>
        <s v="Donaldson_EPD_TimberOpen_Brick"/>
        <s v="Donaldson_EPD_TimberPre-Insulated_Brick"/>
        <s v="A_LCA_ICFFormed Concrete_Brick"/>
        <s v="Nudura_EPD_ICFFormed Concrete_Brick"/>
        <s v="A_LCA_LGSOpen_Composite Fiber"/>
        <s v="Aircrete Standard_EPD_Concrete BlockTraditional_Brick"/>
        <s v="SP-170_EPD_SIPClosed _Brick"/>
        <s v="SP-270_EPD_SIPClosed _Brick"/>
        <s v="MgO_EPD_SIPClosed _Brick"/>
        <s v="NZSIP 115_EPD_SIPClosed _Brick"/>
        <s v="USASIP_EPD_SIPClosed _Brick"/>
        <s v="Thermomur_EPD_ICFFormed Concrete_Brick"/>
        <s v="Amvic300_EPD_ICFFormed Concrete_Brick"/>
        <s v="Amvic350_EPD_ICFFormed Concrete_Brick"/>
        <s v="A_LCA_TimberClosed _Brick"/>
        <s v="Donaldson Solid_EPD_TimberClosed _Brick"/>
        <s v="Donaldson C Stud_EPD_TimberClosed _Brick"/>
        <s v="SkadoMedis_EPD_TimberClosed _Timber"/>
        <s v="Aircrete High Ten_EPD_Concrete BlockTraditional_Brick"/>
        <s v="Aircrete Seven_EPD_Concrete BlockTraditional_Brick"/>
        <s v="Aircrete Super_EPD_Concrete BlockTraditional_Brick"/>
        <s v="Roadstone Solid_EPD_Concrete BlockTraditional_Brick"/>
        <m/>
        <s v="NZSIP 116_EPD_SIPClosed _Brick" u="1"/>
        <s v="Amvic301_EPD_ICFFormed Concrete_Brick" u="1"/>
        <s v="Amvic351_EPD_ICFFormed Concrete_Brick" u="1"/>
        <s v="SP-170_EPD_SIPPre-Insulated_Brick" u="1"/>
        <s v="SP-270_EPD_SIPPre-Insulated_Brick" u="1"/>
        <s v="MgO_EPD_SIPPre-Insulated_Brick" u="1"/>
        <s v="NZSIP 115_EPD_SIPPre-Insulated_Brick" u="1"/>
        <s v="USASIP_EPD_SIPPre-Insulated_Brick" u="1"/>
        <s v="__" u="1"/>
      </sharedItems>
    </cacheField>
    <cacheField name="Model Source" numFmtId="0">
      <sharedItems containsBlank="1"/>
    </cacheField>
    <cacheField name="System Type" numFmtId="0">
      <sharedItems containsBlank="1" count="6">
        <s v="LGS"/>
        <s v="Timber"/>
        <s v="ICF"/>
        <s v="Concrete Block"/>
        <s v="SIP"/>
        <m/>
      </sharedItems>
    </cacheField>
    <cacheField name="System Subtype" numFmtId="0">
      <sharedItems containsBlank="1" count="6">
        <s v="Open"/>
        <s v="Pre-Insulated"/>
        <s v="Formed Concrete"/>
        <s v="Traditional"/>
        <s v="Closed "/>
        <m/>
      </sharedItems>
    </cacheField>
    <cacheField name="External Finish Type" numFmtId="0">
      <sharedItems containsBlank="1"/>
    </cacheField>
    <cacheField name="Unique ID" numFmtId="0">
      <sharedItems containsBlank="1"/>
    </cacheField>
    <cacheField name="System Description (Short)" numFmtId="0">
      <sharedItems containsBlank="1"/>
    </cacheField>
    <cacheField name="System Description (mid length)" numFmtId="0">
      <sharedItems containsBlank="1" count="17">
        <s v="Direct Calculation Model A for LGS Open Panel with PIR and mineral wool insulation"/>
        <s v="EPD Based LGS system using Horizon LGS Frame and Kingscourt Brick EPDs filled in with additional materials as necessary"/>
        <s v="Direct Calculation Model A for Timber Open Panel with PIR and mineral wool insulation and tyvek membrane"/>
        <s v="Direct Calculation Model A for Combining Studs, OSB, membrane, and insulation into one panel for a direct comparison to pre-insulated panel EPDs"/>
        <s v="System built from UK company Donaldson Timber System's Alpha - Open Panel product EPD and filled with assumed values of mineral wool and PIR from materials database. Brick finish is based on Kingscourt brick EPD from Ireland"/>
        <s v="System built from UK company Donaldson Timber System's Delta - PreInsulated Panel product EPD. Brick finish is based on Kingscourt brick EPD from Ireland"/>
        <s v="Direct Calculation Model A representing a generic ICF form and associated concrete and steel reinforcement. Brick exterior finish is used"/>
        <m/>
        <s v="Benchmark traditional aerated concrete block"/>
        <s v="170 mm SIP panel from Adam House using EPS and OSB panels. Includes structural and insulation use"/>
        <s v="270 mm SIP panel from Adam House using EPS and OSB panels. Includes structural and insulation use"/>
        <s v="SIP made of two 12 mm MgO sheets with 140 graphite powder insulation EPS material sandwiched between them."/>
        <s v="SIP from New Zealand with EPS and OSB board. EPD includes a few different types of wall, roof, and floor panels. This system uses the 115 mm wall panels"/>
        <s v="System built from UK company Donaldson Timber System's Sigma II Solid Stud Closed Panel product EPD. Brick finish is based on Kingscourt brick EPD from Ireland"/>
        <s v="System built from UK company Donaldson Timber System's Sigma II C Stud Closed Panel product EPD. Brick finish is based on Kingscourt brick EPD from Ireland"/>
        <s v="This system uses the prefabricated timber element EPD from manfuacturer UAB Skado Medis. The panel includes structural, insulation, weatherproofing, internal and external finish and is defined as a complete system"/>
        <s v="Roadstone solid concrete blocks (not thermal) system with brick finish."/>
      </sharedItems>
    </cacheField>
    <cacheField name="Construction Type (Framed or Planar)" numFmtId="0">
      <sharedItems containsBlank="1"/>
    </cacheField>
    <cacheField name="Component Calculation Completeness" numFmtId="0">
      <sharedItems containsBlank="1"/>
    </cacheField>
    <cacheField name="System Issues Description" numFmtId="0">
      <sharedItems containsBlank="1"/>
    </cacheField>
    <cacheField name="Component Calculations Checked?" numFmtId="0">
      <sharedItems/>
    </cacheField>
    <cacheField name="Component Name" numFmtId="0">
      <sharedItems containsBlank="1"/>
    </cacheField>
    <cacheField name="Component Data Source" numFmtId="0">
      <sharedItems containsBlank="1" count="7">
        <s v="ICE Database"/>
        <s v="Placeholder"/>
        <s v="Additional EPD"/>
        <s v="Other Assumption"/>
        <s v="Base EPD"/>
        <s v="EPD"/>
        <m/>
      </sharedItems>
    </cacheField>
    <cacheField name="Use Type" numFmtId="0">
      <sharedItems containsBlank="1" count="11">
        <s v="Structural"/>
        <s v="Insulation"/>
        <s v="Weatherproofing"/>
        <s v="External Finish"/>
        <s v="Internal Finish"/>
        <s v="Fixings"/>
        <s v="Sheathing"/>
        <s v="Structural, Insulation, Weatherproofing"/>
        <s v="Structual + Insulation"/>
        <s v="Complete System"/>
        <m/>
      </sharedItems>
    </cacheField>
    <cacheField name="Standalone Use?" numFmtId="0">
      <sharedItems containsBlank="1"/>
    </cacheField>
    <cacheField name="Components included" numFmtId="0">
      <sharedItems containsBlank="1" longText="1"/>
    </cacheField>
    <cacheField name="Additional Components Needed to Achieve Use" numFmtId="0">
      <sharedItems containsBlank="1"/>
    </cacheField>
    <cacheField name="Product info Available?" numFmtId="0">
      <sharedItems containsBlank="1"/>
    </cacheField>
    <cacheField name="Missing Product Info" numFmtId="0">
      <sharedItems containsBlank="1"/>
    </cacheField>
    <cacheField name=" R value (m^2-K/W)" numFmtId="0">
      <sharedItems containsString="0" containsBlank="1" containsNumber="1" minValue="0" maxValue="6.97"/>
    </cacheField>
    <cacheField name="A1-A3 Fossil kg CO2e/m^2 wall area" numFmtId="0">
      <sharedItems containsString="0" containsBlank="1" containsNumber="1" minValue="0" maxValue="53.283106000000011"/>
    </cacheField>
    <cacheField name="Raw A1-A3/Conversion factor" numFmtId="0">
      <sharedItems containsString="0" containsBlank="1" containsNumber="1" minValue="0" maxValue="357.77000000000004"/>
    </cacheField>
    <cacheField name="Raw GWP Declared Unit" numFmtId="0">
      <sharedItems containsBlank="1"/>
    </cacheField>
    <cacheField name="Length (m) (on wall)" numFmtId="0">
      <sharedItems containsBlank="1" containsMixedTypes="1" containsNumber="1" minValue="3.7999999999999999E-2" maxValue="2.4"/>
    </cacheField>
    <cacheField name="Height (m)" numFmtId="0">
      <sharedItems containsBlank="1" containsMixedTypes="1" containsNumber="1" minValue="1.2E-2" maxValue="2.4"/>
    </cacheField>
    <cacheField name="Thickness (m)" numFmtId="0">
      <sharedItems containsBlank="1" containsMixedTypes="1" containsNumber="1" minValue="4.4999999999999999E-4" maxValue="1"/>
    </cacheField>
    <cacheField name="Element Volume (m^3)" numFmtId="0">
      <sharedItems containsBlank="1" containsMixedTypes="1" containsNumber="1" minValue="0" maxValue="1"/>
    </cacheField>
    <cacheField name="No. of elements in 1 panel" numFmtId="0">
      <sharedItems containsBlank="1" containsMixedTypes="1" containsNumber="1" containsInteger="1" minValue="1" maxValue="5"/>
    </cacheField>
    <cacheField name="Percent of wall area" numFmtId="0">
      <sharedItems containsBlank="1" containsMixedTypes="1" containsNumber="1" minValue="1.2E-2" maxValue="1"/>
    </cacheField>
    <cacheField name="Material Density (kg/m^3)" numFmtId="0">
      <sharedItems containsBlank="1" containsMixedTypes="1" containsNumber="1" minValue="0" maxValue="7800"/>
    </cacheField>
    <cacheField name="Total Mass per m^2 (kg)" numFmtId="0">
      <sharedItems containsString="0" containsBlank="1" containsNumber="1" minValue="0" maxValue="361.8"/>
    </cacheField>
    <cacheField name="Thermal Conductivity W/m-K" numFmtId="0">
      <sharedItems containsBlank="1" containsMixedTypes="1" containsNumber="1" minValue="0" maxValue="50"/>
    </cacheField>
    <cacheField name="U Value (W/m^2-K)" numFmtId="0" formula=" 1/SUM(' R value (m^2-K/W)')" databaseField="0"/>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Carter Powers" refreshedDate="45870.681195023149" createdVersion="8" refreshedVersion="8" minRefreshableVersion="3" recordCount="1012" xr:uid="{1CD0C09A-E5DC-44C0-89F3-E84213005954}">
  <cacheSource type="worksheet">
    <worksheetSource name="Master_Table6"/>
  </cacheSource>
  <cacheFields count="30">
    <cacheField name="System Name" numFmtId="0">
      <sharedItems containsBlank="1" count="2">
        <s v="Gypsum Plasterboard"/>
        <m/>
      </sharedItems>
    </cacheField>
    <cacheField name="Internal Finish Type" numFmtId="0">
      <sharedItems containsBlank="1"/>
    </cacheField>
    <cacheField name="Unique ID" numFmtId="0">
      <sharedItems containsBlank="1"/>
    </cacheField>
    <cacheField name="System Name (Short)" numFmtId="0">
      <sharedItems containsBlank="1"/>
    </cacheField>
    <cacheField name="System Description " numFmtId="0">
      <sharedItems containsBlank="1"/>
    </cacheField>
    <cacheField name="Construction Type (Framed or Planar)" numFmtId="0">
      <sharedItems containsBlank="1"/>
    </cacheField>
    <cacheField name="Component Calculation Completeness" numFmtId="0">
      <sharedItems containsBlank="1"/>
    </cacheField>
    <cacheField name="System Issues Description" numFmtId="0">
      <sharedItems containsBlank="1"/>
    </cacheField>
    <cacheField name="Component Calculations Checked?" numFmtId="0">
      <sharedItems containsBlank="1"/>
    </cacheField>
    <cacheField name="Component Name" numFmtId="0">
      <sharedItems containsBlank="1"/>
    </cacheField>
    <cacheField name="Component Data Source" numFmtId="0">
      <sharedItems containsBlank="1"/>
    </cacheField>
    <cacheField name="Use Type" numFmtId="0">
      <sharedItems containsBlank="1"/>
    </cacheField>
    <cacheField name="Standalone Use?" numFmtId="0">
      <sharedItems containsBlank="1"/>
    </cacheField>
    <cacheField name="Components included" numFmtId="0">
      <sharedItems containsBlank="1"/>
    </cacheField>
    <cacheField name="Additional Components Needed to Achieve Use" numFmtId="0">
      <sharedItems containsBlank="1"/>
    </cacheField>
    <cacheField name="Product info Available?" numFmtId="0">
      <sharedItems containsBlank="1"/>
    </cacheField>
    <cacheField name="Missing Product Info" numFmtId="0">
      <sharedItems containsBlank="1"/>
    </cacheField>
    <cacheField name=" R value (m^2-K/W)" numFmtId="0">
      <sharedItems containsString="0" containsBlank="1" containsNumber="1" minValue="0" maxValue="0.5"/>
    </cacheField>
    <cacheField name="A1-A3 Fossil kg CO2e/m^2 wall area" numFmtId="0">
      <sharedItems containsString="0" containsBlank="1" containsNumber="1" minValue="0" maxValue="1.839"/>
    </cacheField>
    <cacheField name="Raw A1-A3/Conversion factor" numFmtId="0">
      <sharedItems containsString="0" containsBlank="1" containsNumber="1" containsInteger="1" minValue="0" maxValue="0"/>
    </cacheField>
    <cacheField name="Raw GWP Declared Unit" numFmtId="0">
      <sharedItems containsBlank="1"/>
    </cacheField>
    <cacheField name="Length (m) (on wall)" numFmtId="0">
      <sharedItems containsString="0" containsBlank="1" containsNumber="1" containsInteger="1" minValue="1" maxValue="1"/>
    </cacheField>
    <cacheField name="Height (m)" numFmtId="0">
      <sharedItems containsString="0" containsBlank="1" containsNumber="1" containsInteger="1" minValue="1" maxValue="1"/>
    </cacheField>
    <cacheField name="Thickness (m)" numFmtId="0">
      <sharedItems containsString="0" containsBlank="1" containsNumber="1" minValue="1.4999999999999999E-2" maxValue="1"/>
    </cacheField>
    <cacheField name="Element Volume (m^3)" numFmtId="0">
      <sharedItems containsString="0" containsBlank="1" containsNumber="1" minValue="1.4999999999999999E-2" maxValue="1"/>
    </cacheField>
    <cacheField name="No. of elements in 1 panel" numFmtId="0">
      <sharedItems containsString="0" containsBlank="1" containsNumber="1" containsInteger="1" minValue="1" maxValue="1"/>
    </cacheField>
    <cacheField name="Percent of wall area" numFmtId="0">
      <sharedItems containsString="0" containsBlank="1" containsNumber="1" containsInteger="1" minValue="1" maxValue="1"/>
    </cacheField>
    <cacheField name="Material Density (kg/m^3)" numFmtId="0">
      <sharedItems containsString="0" containsBlank="1" containsNumber="1" minValue="0" maxValue="615"/>
    </cacheField>
    <cacheField name="Total Mass per m^2 (kg)" numFmtId="0">
      <sharedItems containsString="0" containsBlank="1" containsNumber="1" minValue="0.05" maxValue="9.2249999999999996"/>
    </cacheField>
    <cacheField name="Thermal Conductivity W/m-K" numFmtId="0">
      <sharedItems containsString="0" containsBlank="1" containsNumber="1" minValue="0" maxValue="0.19"/>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Carter Powers" refreshedDate="45870.681195254627" createdVersion="8" refreshedVersion="8" minRefreshableVersion="3" recordCount="766" xr:uid="{09227BF0-0AEA-4102-8AB4-657C70210F91}">
  <cacheSource type="worksheet">
    <worksheetSource name="Master_Table4"/>
  </cacheSource>
  <cacheFields count="30">
    <cacheField name="System Name" numFmtId="0">
      <sharedItems containsBlank="1" count="4">
        <s v="LCA_Solid Brick"/>
        <s v="EPD_Solid Brick"/>
        <s v="EPD_Composite Fiber"/>
        <m/>
      </sharedItems>
    </cacheField>
    <cacheField name="Model Source" numFmtId="0">
      <sharedItems containsBlank="1"/>
    </cacheField>
    <cacheField name="External Finish Type" numFmtId="0">
      <sharedItems containsBlank="1"/>
    </cacheField>
    <cacheField name="System Name (Short)" numFmtId="0">
      <sharedItems containsBlank="1"/>
    </cacheField>
    <cacheField name="System Description (mid length)" numFmtId="0">
      <sharedItems containsNonDate="0" containsString="0" containsBlank="1"/>
    </cacheField>
    <cacheField name="Compatible Systems" numFmtId="0">
      <sharedItems containsBlank="1"/>
    </cacheField>
    <cacheField name="Component Calculation Completeness" numFmtId="0">
      <sharedItems containsBlank="1"/>
    </cacheField>
    <cacheField name="System Issues Description" numFmtId="0">
      <sharedItems containsBlank="1"/>
    </cacheField>
    <cacheField name="Component Calculations Checked?" numFmtId="0">
      <sharedItems/>
    </cacheField>
    <cacheField name="Component Name" numFmtId="0">
      <sharedItems containsBlank="1"/>
    </cacheField>
    <cacheField name="Component Data Source" numFmtId="0">
      <sharedItems containsBlank="1"/>
    </cacheField>
    <cacheField name="Use Type" numFmtId="0">
      <sharedItems containsBlank="1"/>
    </cacheField>
    <cacheField name="Standalone Use?" numFmtId="0">
      <sharedItems containsBlank="1"/>
    </cacheField>
    <cacheField name="Components included" numFmtId="0">
      <sharedItems containsBlank="1"/>
    </cacheField>
    <cacheField name="Additional Components Needed to Achieve Use" numFmtId="0">
      <sharedItems containsBlank="1"/>
    </cacheField>
    <cacheField name="Product info Available?" numFmtId="0">
      <sharedItems containsBlank="1"/>
    </cacheField>
    <cacheField name="Missing Product Info" numFmtId="0">
      <sharedItems containsBlank="1"/>
    </cacheField>
    <cacheField name=" R value (m^2-K/W)" numFmtId="2">
      <sharedItems containsString="0" containsBlank="1" containsNumber="1" minValue="0" maxValue="2"/>
    </cacheField>
    <cacheField name="A1-A3 Fossil kg CO2e/m^2 wall area" numFmtId="11">
      <sharedItems containsString="0" containsBlank="1" containsNumber="1" minValue="0" maxValue="42.616724999999995"/>
    </cacheField>
    <cacheField name="Raw A1-A3/Conversion factor" numFmtId="0">
      <sharedItems containsString="0" containsBlank="1" containsNumber="1" minValue="0" maxValue="211"/>
    </cacheField>
    <cacheField name="Raw GWP Declared Unit" numFmtId="0">
      <sharedItems containsBlank="1"/>
    </cacheField>
    <cacheField name="Length (m) (on wall)" numFmtId="0">
      <sharedItems containsString="0" containsBlank="1" containsNumber="1" containsInteger="1" minValue="1" maxValue="1"/>
    </cacheField>
    <cacheField name="Height (m)" numFmtId="0">
      <sharedItems containsString="0" containsBlank="1" containsNumber="1" minValue="1.2E-2" maxValue="1"/>
    </cacheField>
    <cacheField name="Thickness (m)" numFmtId="0">
      <sharedItems containsString="0" containsBlank="1" containsNumber="1" minValue="0.1" maxValue="1"/>
    </cacheField>
    <cacheField name="Element Volume (m^3)" numFmtId="0">
      <sharedItems containsString="0" containsBlank="1" containsNumber="1" minValue="1.2000000000000001E-3" maxValue="1"/>
    </cacheField>
    <cacheField name="No. of elements in 1 panel" numFmtId="0">
      <sharedItems containsString="0" containsBlank="1" containsNumber="1" containsInteger="1" minValue="1" maxValue="5"/>
    </cacheField>
    <cacheField name="Percent of wall area" numFmtId="9">
      <sharedItems containsString="0" containsBlank="1" containsNumber="1" minValue="1.2E-2" maxValue="1"/>
    </cacheField>
    <cacheField name="Material Density (kg/m^3)" numFmtId="0">
      <sharedItems containsString="0" containsBlank="1" containsNumber="1" minValue="0" maxValue="2000"/>
    </cacheField>
    <cacheField name="Total Mass per m^2 (kg)" numFmtId="0">
      <sharedItems containsString="0" containsBlank="1" containsNumber="1" minValue="0.05" maxValue="201.92499999999998"/>
    </cacheField>
    <cacheField name="Thermal Conductivity W/m-K" numFmtId="0">
      <sharedItems containsString="0" containsBlank="1" containsNumber="1" minValue="0" maxValue="2"/>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88">
  <r>
    <x v="0"/>
    <s v="USASIP_EPD_SIPClosed "/>
    <s v="USEPDSIP"/>
    <x v="0"/>
    <x v="0"/>
    <x v="0"/>
    <n v="23.35229166666667"/>
    <n v="3.7015000000000002"/>
    <n v="18.946000000000002"/>
    <s v="LCA_Solid Brick"/>
    <s v="LCASolBrick"/>
    <s v="LGS, Timber, ICF, SIP, Concrete Block"/>
    <x v="0"/>
    <n v="47.384999999999998"/>
    <n v="2.1298701298701297"/>
    <n v="231.17000000000002"/>
    <s v="Gypsum Plasterboard"/>
    <s v="GPlas"/>
    <n v="3.839"/>
    <n v="0.56578947368421051"/>
    <n v="9.3850000000000016"/>
    <n v="74.576291666666663"/>
    <n v="6.397159603554341"/>
    <n v="0.15631937640642696"/>
    <n v="259.50100000000003"/>
  </r>
  <r>
    <x v="1"/>
    <s v="USASIP_EPD_SIPClosed "/>
    <s v="USEPDSIP"/>
    <x v="0"/>
    <x v="0"/>
    <x v="0"/>
    <n v="23.35229166666667"/>
    <n v="3.7015000000000002"/>
    <n v="18.946000000000002"/>
    <s v="EPD_Solid Brick"/>
    <s v="EPDSolBrick"/>
    <s v="LGS, Timber, ICF, SIP, Concrete Block"/>
    <x v="0"/>
    <n v="47.801724999999998"/>
    <n v="2.1626984126984126"/>
    <n v="233.095"/>
    <s v="Gypsum Plasterboard"/>
    <s v="GPlas"/>
    <n v="3.839"/>
    <n v="0.56578947368421051"/>
    <n v="9.3850000000000016"/>
    <n v="74.993016666666662"/>
    <n v="6.429987886382623"/>
    <n v="0.15552128832432049"/>
    <n v="261.42599999999999"/>
  </r>
  <r>
    <x v="2"/>
    <s v="USASIP_EPD_SIPClosed "/>
    <s v="USEPDSIP"/>
    <x v="0"/>
    <x v="0"/>
    <x v="0"/>
    <n v="23.35229166666667"/>
    <n v="3.7015000000000002"/>
    <n v="18.946000000000002"/>
    <s v="EPD_Composite Fiber"/>
    <s v="EPDComFiber"/>
    <s v="LGS, Timber, ICF, SIP, Concrete Block"/>
    <x v="0"/>
    <n v="22"/>
    <n v="2.4699999999999998"/>
    <n v="0.16999999999999998"/>
    <s v="Gypsum Plasterboard"/>
    <s v="GPlas"/>
    <n v="3.839"/>
    <n v="0.56578947368421051"/>
    <n v="9.3850000000000016"/>
    <n v="49.191291666666672"/>
    <n v="6.7372894736842106"/>
    <n v="0.14842764347680037"/>
    <n v="28.501000000000005"/>
  </r>
  <r>
    <x v="3"/>
    <s v="Thermomur_EPD_ICFFormed Concrete"/>
    <s v="thermEPDICF"/>
    <x v="1"/>
    <x v="1"/>
    <x v="0"/>
    <n v="73.503194444444446"/>
    <n v="6.1379705882352944"/>
    <n v="369.98"/>
    <s v="LCA_Solid Brick"/>
    <s v="LCASolBrick"/>
    <s v="LGS, Timber, ICF, SIP, Concrete Block"/>
    <x v="0"/>
    <n v="47.384999999999998"/>
    <n v="2.1298701298701297"/>
    <n v="231.17000000000002"/>
    <s v="Gypsum Plasterboard"/>
    <s v="GPlas"/>
    <n v="3.839"/>
    <n v="0.56578947368421051"/>
    <n v="9.3850000000000016"/>
    <n v="124.72719444444445"/>
    <n v="8.8336301917896343"/>
    <n v="0.1132037427749063"/>
    <n v="610.53500000000008"/>
  </r>
  <r>
    <x v="4"/>
    <s v="Thermomur_EPD_ICFFormed Concrete"/>
    <s v="thermEPDICF"/>
    <x v="1"/>
    <x v="1"/>
    <x v="0"/>
    <n v="73.503194444444446"/>
    <n v="6.1379705882352944"/>
    <n v="369.98"/>
    <s v="EPD_Solid Brick"/>
    <s v="EPDSolBrick"/>
    <s v="LGS, Timber, ICF, SIP, Concrete Block"/>
    <x v="0"/>
    <n v="47.801724999999998"/>
    <n v="2.1626984126984126"/>
    <n v="233.095"/>
    <s v="Gypsum Plasterboard"/>
    <s v="GPlas"/>
    <n v="3.839"/>
    <n v="0.56578947368421051"/>
    <n v="9.3850000000000016"/>
    <n v="125.14391944444444"/>
    <n v="8.866458474617918"/>
    <n v="0.1127846031042392"/>
    <n v="612.46"/>
  </r>
  <r>
    <x v="5"/>
    <s v="Thermomur_EPD_ICFFormed Concrete"/>
    <s v="thermEPDICF"/>
    <x v="1"/>
    <x v="1"/>
    <x v="0"/>
    <n v="73.503194444444446"/>
    <n v="6.1379705882352944"/>
    <n v="369.98"/>
    <s v="EPD_Composite Fiber"/>
    <s v="EPDComFiber"/>
    <s v="LGS, Timber, ICF, SIP, Concrete Block"/>
    <x v="0"/>
    <n v="22"/>
    <n v="2.4699999999999998"/>
    <n v="0.16999999999999998"/>
    <s v="Gypsum Plasterboard"/>
    <s v="GPlas"/>
    <n v="3.839"/>
    <n v="0.56578947368421051"/>
    <n v="9.3850000000000016"/>
    <n v="99.342194444444445"/>
    <n v="9.1737600619195039"/>
    <n v="0.10900655709876518"/>
    <n v="379.53500000000003"/>
  </r>
  <r>
    <x v="6"/>
    <s v="SP-270_EPD_SIPClosed "/>
    <s v="SP-270EPDSIP"/>
    <x v="0"/>
    <x v="0"/>
    <x v="0"/>
    <n v="24.85229166666667"/>
    <n v="6.9714999999999998"/>
    <n v="22.436"/>
    <s v="LCA_Solid Brick"/>
    <s v="LCASolBrick"/>
    <s v="LGS, Timber, ICF, SIP, Concrete Block"/>
    <x v="0"/>
    <n v="47.384999999999998"/>
    <n v="2.1298701298701297"/>
    <n v="231.17000000000002"/>
    <s v="Gypsum Plasterboard"/>
    <s v="GPlas"/>
    <n v="3.839"/>
    <n v="0.56578947368421051"/>
    <n v="9.3850000000000016"/>
    <n v="76.076291666666663"/>
    <n v="9.6671596035543406"/>
    <n v="0.10344300094438581"/>
    <n v="262.99099999999999"/>
  </r>
  <r>
    <x v="7"/>
    <s v="SP-270_EPD_SIPClosed "/>
    <s v="SP-270EPDSIP"/>
    <x v="0"/>
    <x v="0"/>
    <x v="0"/>
    <n v="24.85229166666667"/>
    <n v="6.9714999999999998"/>
    <n v="22.436"/>
    <s v="EPD_Solid Brick"/>
    <s v="EPDSolBrick"/>
    <s v="LGS, Timber, ICF, SIP, Concrete Block"/>
    <x v="0"/>
    <n v="47.801724999999998"/>
    <n v="2.1626984126984126"/>
    <n v="233.095"/>
    <s v="Gypsum Plasterboard"/>
    <s v="GPlas"/>
    <n v="3.839"/>
    <n v="0.56578947368421051"/>
    <n v="9.3850000000000016"/>
    <n v="76.493016666666662"/>
    <n v="9.6999878863826225"/>
    <n v="0.1030929122503189"/>
    <n v="264.916"/>
  </r>
  <r>
    <x v="8"/>
    <s v="SP-270_EPD_SIPClosed "/>
    <s v="SP-270EPDSIP"/>
    <x v="0"/>
    <x v="0"/>
    <x v="0"/>
    <n v="24.85229166666667"/>
    <n v="6.9714999999999998"/>
    <n v="22.436"/>
    <s v="EPD_Composite Fiber"/>
    <s v="EPDComFiber"/>
    <s v="LGS, Timber, ICF, SIP, Concrete Block"/>
    <x v="0"/>
    <n v="22"/>
    <n v="2.4699999999999998"/>
    <n v="0.16999999999999998"/>
    <s v="Gypsum Plasterboard"/>
    <s v="GPlas"/>
    <n v="3.839"/>
    <n v="0.56578947368421051"/>
    <n v="9.3850000000000016"/>
    <n v="50.691291666666672"/>
    <n v="10.00728947368421"/>
    <n v="9.9927158360879051E-2"/>
    <n v="31.991"/>
  </r>
  <r>
    <x v="9"/>
    <s v="SP-170_EPD_SIPClosed "/>
    <s v="SP-170EPDSIP"/>
    <x v="0"/>
    <x v="0"/>
    <x v="0"/>
    <n v="19.752291666666668"/>
    <n v="4.9815000000000005"/>
    <n v="21.655999999999999"/>
    <s v="LCA_Solid Brick"/>
    <s v="LCASolBrick"/>
    <s v="LGS, Timber, ICF, SIP, Concrete Block"/>
    <x v="0"/>
    <n v="47.384999999999998"/>
    <n v="2.1298701298701297"/>
    <n v="231.17000000000002"/>
    <s v="Gypsum Plasterboard"/>
    <s v="GPlas"/>
    <n v="3.839"/>
    <n v="0.56578947368421051"/>
    <n v="9.3850000000000016"/>
    <n v="70.976291666666668"/>
    <n v="7.6771596035543404"/>
    <n v="0.13025650782836715"/>
    <n v="262.21100000000001"/>
  </r>
  <r>
    <x v="10"/>
    <s v="SP-170_EPD_SIPClosed "/>
    <s v="SP-170EPDSIP"/>
    <x v="0"/>
    <x v="0"/>
    <x v="0"/>
    <n v="19.752291666666668"/>
    <n v="4.9815000000000005"/>
    <n v="21.655999999999999"/>
    <s v="EPD_Solid Brick"/>
    <s v="EPDSolBrick"/>
    <s v="LGS, Timber, ICF, SIP, Concrete Block"/>
    <x v="0"/>
    <n v="47.801724999999998"/>
    <n v="2.1626984126984126"/>
    <n v="233.095"/>
    <s v="Gypsum Plasterboard"/>
    <s v="GPlas"/>
    <n v="3.839"/>
    <n v="0.56578947368421051"/>
    <n v="9.3850000000000016"/>
    <n v="71.393016666666668"/>
    <n v="7.7099878863826241"/>
    <n v="0.12970188990389978"/>
    <n v="264.13599999999997"/>
  </r>
  <r>
    <x v="11"/>
    <s v="SP-170_EPD_SIPClosed "/>
    <s v="SP-170EPDSIP"/>
    <x v="0"/>
    <x v="0"/>
    <x v="0"/>
    <n v="19.752291666666668"/>
    <n v="4.9815000000000005"/>
    <n v="21.655999999999999"/>
    <s v="EPD_Composite Fiber"/>
    <s v="EPDComFiber"/>
    <s v="LGS, Timber, ICF, SIP, Concrete Block"/>
    <x v="0"/>
    <n v="22"/>
    <n v="2.4699999999999998"/>
    <n v="0.16999999999999998"/>
    <s v="Gypsum Plasterboard"/>
    <s v="GPlas"/>
    <n v="3.839"/>
    <n v="0.56578947368421051"/>
    <n v="9.3850000000000016"/>
    <n v="45.591291666666663"/>
    <n v="8.01728947368421"/>
    <n v="0.12473043455426924"/>
    <n v="31.210999999999999"/>
  </r>
  <r>
    <x v="12"/>
    <s v="SkadoMedis_EPD_TimberClosed "/>
    <s v="SkadoEPDTimFULL"/>
    <x v="2"/>
    <x v="0"/>
    <x v="1"/>
    <n v="24.7"/>
    <n v="5.5555555555555554"/>
    <n v="45.2"/>
    <s v="LCA_Solid Brick"/>
    <s v="LCASolBrick"/>
    <s v="LGS, Timber, ICF, SIP, Concrete Block"/>
    <x v="0"/>
    <n v="47.384999999999998"/>
    <n v="2.1298701298701297"/>
    <n v="231.17000000000002"/>
    <s v="Gypsum Plasterboard"/>
    <s v="GPlas"/>
    <n v="3.839"/>
    <n v="0.56578947368421051"/>
    <n v="9.3850000000000016"/>
    <n v="75.923999999999992"/>
    <n v="8.2512151591098952"/>
    <n v="0.12119427026405109"/>
    <n v="285.755"/>
  </r>
  <r>
    <x v="13"/>
    <s v="SkadoMedis_EPD_TimberClosed "/>
    <s v="SkadoEPDTimFULL"/>
    <x v="2"/>
    <x v="0"/>
    <x v="1"/>
    <n v="24.7"/>
    <n v="5.5555555555555554"/>
    <n v="45.2"/>
    <s v="EPD_Solid Brick"/>
    <s v="EPDSolBrick"/>
    <s v="LGS, Timber, ICF, SIP, Concrete Block"/>
    <x v="0"/>
    <n v="47.801724999999998"/>
    <n v="2.1626984126984126"/>
    <n v="233.095"/>
    <s v="Gypsum Plasterboard"/>
    <s v="GPlas"/>
    <n v="3.839"/>
    <n v="0.56578947368421051"/>
    <n v="9.3850000000000016"/>
    <n v="76.340724999999992"/>
    <n v="8.284043441938179"/>
    <n v="0.12071399757966922"/>
    <n v="287.68"/>
  </r>
  <r>
    <x v="14"/>
    <s v="SkadoMedis_EPD_TimberClosed "/>
    <s v="SkadoEPDTimFULL"/>
    <x v="2"/>
    <x v="0"/>
    <x v="1"/>
    <n v="24.7"/>
    <n v="5.5555555555555554"/>
    <n v="45.2"/>
    <s v="EPD_Composite Fiber"/>
    <s v="EPDComFiber"/>
    <s v="LGS, Timber, ICF, SIP, Concrete Block"/>
    <x v="0"/>
    <n v="22"/>
    <n v="2.4699999999999998"/>
    <n v="0.16999999999999998"/>
    <s v="Gypsum Plasterboard"/>
    <s v="GPlas"/>
    <n v="3.839"/>
    <n v="0.56578947368421051"/>
    <n v="9.3850000000000016"/>
    <n v="50.539000000000001"/>
    <n v="8.5913450292397666"/>
    <n v="0.11639620997604007"/>
    <n v="54.755000000000003"/>
  </r>
  <r>
    <x v="15"/>
    <s v="Roadstone Solid_EPD_Concrete BlockTraditional"/>
    <s v="RoadstoneEPDCBlk"/>
    <x v="3"/>
    <x v="2"/>
    <x v="0"/>
    <n v="34.02279166666667"/>
    <n v="3.0540974025974026"/>
    <n v="137.04599999999999"/>
    <s v="LCA_Solid Brick"/>
    <s v="LCASolBrick"/>
    <s v="LGS, Timber, ICF, SIP, Concrete Block"/>
    <x v="0"/>
    <n v="47.384999999999998"/>
    <n v="2.1298701298701297"/>
    <n v="231.17000000000002"/>
    <s v="Gypsum Plasterboard"/>
    <s v="GPlas"/>
    <n v="3.839"/>
    <n v="0.56578947368421051"/>
    <n v="9.3850000000000016"/>
    <n v="85.246791666666667"/>
    <n v="5.7497570061517429"/>
    <n v="0.17392039331924575"/>
    <n v="377.601"/>
  </r>
  <r>
    <x v="16"/>
    <s v="Roadstone Solid_EPD_Concrete BlockTraditional"/>
    <s v="RoadstoneEPDCBlk"/>
    <x v="3"/>
    <x v="2"/>
    <x v="0"/>
    <n v="34.02279166666667"/>
    <n v="3.0540974025974026"/>
    <n v="137.04599999999999"/>
    <s v="EPD_Solid Brick"/>
    <s v="EPDSolBrick"/>
    <s v="LGS, Timber, ICF, SIP, Concrete Block"/>
    <x v="0"/>
    <n v="47.801724999999998"/>
    <n v="2.1626984126984126"/>
    <n v="233.095"/>
    <s v="Gypsum Plasterboard"/>
    <s v="GPlas"/>
    <n v="3.839"/>
    <n v="0.56578947368421051"/>
    <n v="9.3850000000000016"/>
    <n v="85.663516666666666"/>
    <n v="5.7825852889800258"/>
    <n v="0.17293303082026606"/>
    <n v="379.52599999999995"/>
  </r>
  <r>
    <x v="17"/>
    <s v="Roadstone Solid_EPD_Concrete BlockTraditional"/>
    <s v="RoadstoneEPDCBlk"/>
    <x v="3"/>
    <x v="2"/>
    <x v="0"/>
    <n v="34.02279166666667"/>
    <n v="3.0540974025974026"/>
    <n v="137.04599999999999"/>
    <s v="EPD_Composite Fiber"/>
    <s v="EPDComFiber"/>
    <s v="LGS, Timber, ICF, SIP, Concrete Block"/>
    <x v="0"/>
    <n v="22"/>
    <n v="2.4699999999999998"/>
    <n v="0.16999999999999998"/>
    <s v="Gypsum Plasterboard"/>
    <s v="GPlas"/>
    <n v="3.839"/>
    <n v="0.56578947368421051"/>
    <n v="9.3850000000000016"/>
    <n v="59.861791666666669"/>
    <n v="6.0898868762816125"/>
    <n v="0.16420666267130796"/>
    <n v="146.601"/>
  </r>
  <r>
    <x v="18"/>
    <s v="NZSIP 115_EPD_SIPClosed "/>
    <s v="NZEPDSIP"/>
    <x v="0"/>
    <x v="0"/>
    <x v="0"/>
    <n v="40.252291666666665"/>
    <n v="4.5015000000000001"/>
    <n v="24.045999999999999"/>
    <s v="LCA_Solid Brick"/>
    <s v="LCASolBrick"/>
    <s v="LGS, Timber, ICF, SIP, Concrete Block"/>
    <x v="0"/>
    <n v="47.384999999999998"/>
    <n v="2.1298701298701297"/>
    <n v="231.17000000000002"/>
    <s v="Gypsum Plasterboard"/>
    <s v="GPlas"/>
    <n v="3.839"/>
    <n v="0.56578947368421051"/>
    <n v="9.3850000000000016"/>
    <n v="91.476291666666668"/>
    <n v="7.1971596035543399"/>
    <n v="0.13894370211078089"/>
    <n v="264.601"/>
  </r>
  <r>
    <x v="19"/>
    <s v="NZSIP 115_EPD_SIPClosed "/>
    <s v="NZEPDSIP"/>
    <x v="0"/>
    <x v="0"/>
    <x v="0"/>
    <n v="40.252291666666665"/>
    <n v="4.5015000000000001"/>
    <n v="24.045999999999999"/>
    <s v="EPD_Solid Brick"/>
    <s v="EPDSolBrick"/>
    <s v="LGS, Timber, ICF, SIP, Concrete Block"/>
    <x v="0"/>
    <n v="47.801724999999998"/>
    <n v="2.1626984126984126"/>
    <n v="233.095"/>
    <s v="Gypsum Plasterboard"/>
    <s v="GPlas"/>
    <n v="3.839"/>
    <n v="0.56578947368421051"/>
    <n v="9.3850000000000016"/>
    <n v="91.893016666666654"/>
    <n v="7.2299878863826237"/>
    <n v="0.13831281818375626"/>
    <n v="266.52600000000001"/>
  </r>
  <r>
    <x v="20"/>
    <s v="NZSIP 115_EPD_SIPClosed "/>
    <s v="NZEPDSIP"/>
    <x v="0"/>
    <x v="0"/>
    <x v="0"/>
    <n v="40.252291666666665"/>
    <n v="4.5015000000000001"/>
    <n v="24.045999999999999"/>
    <s v="EPD_Composite Fiber"/>
    <s v="EPDComFiber"/>
    <s v="LGS, Timber, ICF, SIP, Concrete Block"/>
    <x v="0"/>
    <n v="22"/>
    <n v="2.4699999999999998"/>
    <n v="0.16999999999999998"/>
    <s v="Gypsum Plasterboard"/>
    <s v="GPlas"/>
    <n v="3.839"/>
    <n v="0.56578947368421051"/>
    <n v="9.3850000000000016"/>
    <n v="66.091291666666663"/>
    <n v="7.5372894736842104"/>
    <n v="0.13267368906175261"/>
    <n v="33.600999999999999"/>
  </r>
  <r>
    <x v="21"/>
    <s v="Nudura_EPD_ICFFormed Concrete"/>
    <s v="NudEPDICF"/>
    <x v="1"/>
    <x v="1"/>
    <x v="0"/>
    <n v="62.455284534534528"/>
    <n v="4.3779705882352946"/>
    <n v="368.01900000000001"/>
    <s v="LCA_Solid Brick"/>
    <s v="LCASolBrick"/>
    <s v="LGS, Timber, ICF, SIP, Concrete Block"/>
    <x v="0"/>
    <n v="47.384999999999998"/>
    <n v="2.1298701298701297"/>
    <n v="231.17000000000002"/>
    <s v="Gypsum Plasterboard"/>
    <s v="GPlas"/>
    <n v="3.839"/>
    <n v="0.56578947368421051"/>
    <n v="9.3850000000000016"/>
    <n v="113.67928453453453"/>
    <n v="7.0736301917896345"/>
    <n v="0.14137012720296013"/>
    <n v="608.57400000000007"/>
  </r>
  <r>
    <x v="22"/>
    <s v="Nudura_EPD_ICFFormed Concrete"/>
    <s v="NudEPDICF"/>
    <x v="1"/>
    <x v="1"/>
    <x v="0"/>
    <n v="62.455284534534528"/>
    <n v="4.3779705882352946"/>
    <n v="368.01900000000001"/>
    <s v="EPD_Solid Brick"/>
    <s v="EPDSolBrick"/>
    <s v="LGS, Timber, ICF, SIP, Concrete Block"/>
    <x v="0"/>
    <n v="47.801724999999998"/>
    <n v="2.1626984126984126"/>
    <n v="233.095"/>
    <s v="Gypsum Plasterboard"/>
    <s v="GPlas"/>
    <n v="3.839"/>
    <n v="0.56578947368421051"/>
    <n v="9.3850000000000016"/>
    <n v="114.09600953453452"/>
    <n v="7.1064584746179182"/>
    <n v="0.14071706794202657"/>
    <n v="610.49900000000002"/>
  </r>
  <r>
    <x v="23"/>
    <s v="Nudura_EPD_ICFFormed Concrete"/>
    <s v="NudEPDICF"/>
    <x v="1"/>
    <x v="1"/>
    <x v="0"/>
    <n v="62.455284534534528"/>
    <n v="4.3779705882352946"/>
    <n v="368.01900000000001"/>
    <s v="EPD_Composite Fiber"/>
    <s v="EPDComFiber"/>
    <s v="LGS, Timber, ICF, SIP, Concrete Block"/>
    <x v="0"/>
    <n v="22"/>
    <n v="2.4699999999999998"/>
    <n v="0.16999999999999998"/>
    <s v="Gypsum Plasterboard"/>
    <s v="GPlas"/>
    <n v="3.839"/>
    <n v="0.56578947368421051"/>
    <n v="9.3850000000000016"/>
    <n v="88.294284534534526"/>
    <n v="7.413760061919505"/>
    <n v="0.13488432207787002"/>
    <n v="377.57400000000001"/>
  </r>
  <r>
    <x v="24"/>
    <s v="MgO_EPD_SIPClosed "/>
    <s v="MgOEPDSIP"/>
    <x v="0"/>
    <x v="0"/>
    <x v="0"/>
    <n v="44.652291666666663"/>
    <n v="5.1615000000000002"/>
    <n v="23.545999999999999"/>
    <s v="LCA_Solid Brick"/>
    <s v="LCASolBrick"/>
    <s v="LGS, Timber, ICF, SIP, Concrete Block"/>
    <x v="0"/>
    <n v="47.384999999999998"/>
    <n v="2.1298701298701297"/>
    <n v="231.17000000000002"/>
    <s v="Gypsum Plasterboard"/>
    <s v="GPlas"/>
    <n v="3.839"/>
    <n v="0.56578947368421051"/>
    <n v="9.3850000000000016"/>
    <n v="95.87629166666666"/>
    <n v="7.8571596035543401"/>
    <n v="0.12727245600911943"/>
    <n v="264.101"/>
  </r>
  <r>
    <x v="25"/>
    <s v="MgO_EPD_SIPClosed "/>
    <s v="MgOEPDSIP"/>
    <x v="0"/>
    <x v="0"/>
    <x v="0"/>
    <n v="44.652291666666663"/>
    <n v="5.1615000000000002"/>
    <n v="23.545999999999999"/>
    <s v="EPD_Solid Brick"/>
    <s v="EPDSolBrick"/>
    <s v="LGS, Timber, ICF, SIP, Concrete Block"/>
    <x v="0"/>
    <n v="47.801724999999998"/>
    <n v="2.1626984126984126"/>
    <n v="233.095"/>
    <s v="Gypsum Plasterboard"/>
    <s v="GPlas"/>
    <n v="3.839"/>
    <n v="0.56578947368421051"/>
    <n v="9.3850000000000016"/>
    <n v="96.293016666666659"/>
    <n v="7.8899878863826238"/>
    <n v="0.12674290688404044"/>
    <n v="266.02600000000001"/>
  </r>
  <r>
    <x v="26"/>
    <s v="MgO_EPD_SIPClosed "/>
    <s v="MgOEPDSIP"/>
    <x v="0"/>
    <x v="0"/>
    <x v="0"/>
    <n v="44.652291666666663"/>
    <n v="5.1615000000000002"/>
    <n v="23.545999999999999"/>
    <s v="EPD_Composite Fiber"/>
    <s v="EPDComFiber"/>
    <s v="LGS, Timber, ICF, SIP, Concrete Block"/>
    <x v="0"/>
    <n v="22"/>
    <n v="2.4699999999999998"/>
    <n v="0.16999999999999998"/>
    <s v="Gypsum Plasterboard"/>
    <s v="GPlas"/>
    <n v="3.839"/>
    <n v="0.56578947368421051"/>
    <n v="9.3850000000000016"/>
    <n v="70.491291666666655"/>
    <n v="8.1972894736842097"/>
    <n v="0.1219915440598144"/>
    <n v="33.100999999999999"/>
  </r>
  <r>
    <x v="27"/>
    <s v="Horizon_EPD_LGSOpen"/>
    <s v="HorEPDLGSOP"/>
    <x v="4"/>
    <x v="3"/>
    <x v="1"/>
    <n v="27.159351666666669"/>
    <n v="4.6750207935064942"/>
    <n v="14.836"/>
    <s v="LCA_Solid Brick"/>
    <s v="LCASolBrick"/>
    <s v="LGS, Timber, ICF, SIP, Concrete Block"/>
    <x v="0"/>
    <n v="47.384999999999998"/>
    <n v="2.1298701298701297"/>
    <n v="231.17000000000002"/>
    <s v="Gypsum Plasterboard"/>
    <s v="GPlas"/>
    <n v="3.839"/>
    <n v="0.56578947368421051"/>
    <n v="9.3850000000000016"/>
    <n v="78.38335166666667"/>
    <n v="7.3706803970608341"/>
    <n v="0.13567268503444602"/>
    <n v="255.39100000000002"/>
  </r>
  <r>
    <x v="28"/>
    <s v="Horizon_EPD_LGSOpen"/>
    <s v="HorEPDLGSOP"/>
    <x v="4"/>
    <x v="3"/>
    <x v="1"/>
    <n v="27.159351666666669"/>
    <n v="4.6750207935064942"/>
    <n v="14.836"/>
    <s v="EPD_Solid Brick"/>
    <s v="EPDSolBrick"/>
    <s v="LGS, Timber, ICF, SIP, Concrete Block"/>
    <x v="0"/>
    <n v="47.801724999999998"/>
    <n v="2.1626984126984126"/>
    <n v="233.095"/>
    <s v="Gypsum Plasterboard"/>
    <s v="GPlas"/>
    <n v="3.839"/>
    <n v="0.56578947368421051"/>
    <n v="9.3850000000000016"/>
    <n v="78.800076666666669"/>
    <n v="7.4035086798891179"/>
    <n v="0.13507109172660239"/>
    <n v="257.31599999999997"/>
  </r>
  <r>
    <x v="29"/>
    <s v="Horizon_EPD_LGSOpen"/>
    <s v="HorEPDLGSOP"/>
    <x v="4"/>
    <x v="3"/>
    <x v="1"/>
    <n v="27.159351666666669"/>
    <n v="4.6750207935064942"/>
    <n v="14.836"/>
    <s v="EPD_Composite Fiber"/>
    <s v="EPDComFiber"/>
    <s v="LGS, Timber, ICF, SIP, Concrete Block"/>
    <x v="0"/>
    <n v="22"/>
    <n v="2.4699999999999998"/>
    <n v="0.16999999999999998"/>
    <s v="Gypsum Plasterboard"/>
    <s v="GPlas"/>
    <n v="3.839"/>
    <n v="0.56578947368421051"/>
    <n v="9.3850000000000016"/>
    <n v="52.998351666666665"/>
    <n v="7.7108102671907046"/>
    <n v="0.12968805681226184"/>
    <n v="24.391000000000002"/>
  </r>
  <r>
    <x v="30"/>
    <s v="Donaldson Solid_EPD_TimberClosed "/>
    <s v="DonSolEPDTimCL"/>
    <x v="2"/>
    <x v="0"/>
    <x v="1"/>
    <n v="21.7"/>
    <n v="5"/>
    <n v="23.75"/>
    <s v="LCA_Solid Brick"/>
    <s v="LCASolBrick"/>
    <s v="LGS, Timber, ICF, SIP, Concrete Block"/>
    <x v="0"/>
    <n v="47.384999999999998"/>
    <n v="2.1298701298701297"/>
    <n v="231.17000000000002"/>
    <s v="Gypsum Plasterboard"/>
    <s v="GPlas"/>
    <n v="3.839"/>
    <n v="0.56578947368421051"/>
    <n v="9.3850000000000016"/>
    <n v="72.923999999999992"/>
    <n v="7.6956596035543399"/>
    <n v="0.12994337737315423"/>
    <n v="264.30500000000001"/>
  </r>
  <r>
    <x v="31"/>
    <s v="Donaldson Solid_EPD_TimberClosed "/>
    <s v="DonSolEPDTimCL"/>
    <x v="2"/>
    <x v="0"/>
    <x v="1"/>
    <n v="21.7"/>
    <n v="5"/>
    <n v="23.75"/>
    <s v="EPD_Solid Brick"/>
    <s v="EPDSolBrick"/>
    <s v="LGS, Timber, ICF, SIP, Concrete Block"/>
    <x v="0"/>
    <n v="47.801724999999998"/>
    <n v="2.1626984126984126"/>
    <n v="233.095"/>
    <s v="Gypsum Plasterboard"/>
    <s v="GPlas"/>
    <n v="3.839"/>
    <n v="0.56578947368421051"/>
    <n v="9.3850000000000016"/>
    <n v="73.340724999999992"/>
    <n v="7.7284878863826236"/>
    <n v="0.12939141714409252"/>
    <n v="266.23"/>
  </r>
  <r>
    <x v="32"/>
    <s v="Donaldson Solid_EPD_TimberClosed "/>
    <s v="DonSolEPDTimCL"/>
    <x v="2"/>
    <x v="0"/>
    <x v="1"/>
    <n v="21.7"/>
    <n v="5"/>
    <n v="23.75"/>
    <s v="EPD_Composite Fiber"/>
    <s v="EPDComFiber"/>
    <s v="LGS, Timber, ICF, SIP, Concrete Block"/>
    <x v="0"/>
    <n v="22"/>
    <n v="2.4699999999999998"/>
    <n v="0.16999999999999998"/>
    <s v="Gypsum Plasterboard"/>
    <s v="GPlas"/>
    <n v="3.839"/>
    <n v="0.56578947368421051"/>
    <n v="9.3850000000000016"/>
    <n v="47.539000000000001"/>
    <n v="8.0357894736842095"/>
    <n v="0.12444328006287662"/>
    <n v="33.305"/>
  </r>
  <r>
    <x v="33"/>
    <s v="Donaldson_EPD_TimberOpen"/>
    <s v="DonEPDTimOP"/>
    <x v="2"/>
    <x v="3"/>
    <x v="1"/>
    <n v="31.89873166666667"/>
    <n v="5.0679675602175607"/>
    <n v="33.260763888888889"/>
    <s v="LCA_Solid Brick"/>
    <s v="LCASolBrick"/>
    <s v="LGS, Timber, ICF, SIP, Concrete Block"/>
    <x v="0"/>
    <n v="47.384999999999998"/>
    <n v="2.1298701298701297"/>
    <n v="231.17000000000002"/>
    <s v="Gypsum Plasterboard"/>
    <s v="GPlas"/>
    <n v="3.839"/>
    <n v="0.56578947368421051"/>
    <n v="9.3850000000000016"/>
    <n v="83.122731666666667"/>
    <n v="7.7636271637719005"/>
    <n v="0.12880577324300019"/>
    <n v="273.81576388888891"/>
  </r>
  <r>
    <x v="34"/>
    <s v="Donaldson_EPD_TimberOpen"/>
    <s v="DonEPDTimOP"/>
    <x v="2"/>
    <x v="3"/>
    <x v="1"/>
    <n v="31.89873166666667"/>
    <n v="5.0679675602175607"/>
    <n v="33.260763888888889"/>
    <s v="EPD_Solid Brick"/>
    <s v="EPDSolBrick"/>
    <s v="LGS, Timber, ICF, SIP, Concrete Block"/>
    <x v="0"/>
    <n v="47.801724999999998"/>
    <n v="2.1626984126984126"/>
    <n v="233.095"/>
    <s v="Gypsum Plasterboard"/>
    <s v="GPlas"/>
    <n v="3.839"/>
    <n v="0.56578947368421051"/>
    <n v="9.3850000000000016"/>
    <n v="83.539456666666666"/>
    <n v="7.7964554466001843"/>
    <n v="0.12826341493890944"/>
    <n v="275.74076388888886"/>
  </r>
  <r>
    <x v="35"/>
    <s v="Donaldson_EPD_TimberOpen"/>
    <s v="DonEPDTimOP"/>
    <x v="2"/>
    <x v="3"/>
    <x v="1"/>
    <n v="31.89873166666667"/>
    <n v="5.0679675602175607"/>
    <n v="33.260763888888889"/>
    <s v="EPD_Composite Fiber"/>
    <s v="EPDComFiber"/>
    <s v="LGS, Timber, ICF, SIP, Concrete Block"/>
    <x v="0"/>
    <n v="22"/>
    <n v="2.4699999999999998"/>
    <n v="0.16999999999999998"/>
    <s v="Gypsum Plasterboard"/>
    <s v="GPlas"/>
    <n v="3.839"/>
    <n v="0.56578947368421051"/>
    <n v="9.3850000000000016"/>
    <n v="57.737731666666669"/>
    <n v="8.1037570339017702"/>
    <n v="0.12339955354245404"/>
    <n v="42.815763888888888"/>
  </r>
  <r>
    <x v="36"/>
    <s v="Donaldson_EPD_TimberPre-Insulated"/>
    <s v="DonEPDTimIN"/>
    <x v="2"/>
    <x v="4"/>
    <x v="1"/>
    <n v="18.8"/>
    <n v="5.0694675602175607"/>
    <n v="23.57"/>
    <s v="LCA_Solid Brick"/>
    <s v="LCASolBrick"/>
    <s v="LGS, Timber, ICF, SIP, Concrete Block"/>
    <x v="0"/>
    <n v="47.384999999999998"/>
    <n v="2.1298701298701297"/>
    <n v="231.17000000000002"/>
    <s v="Gypsum Plasterboard"/>
    <s v="GPlas"/>
    <n v="3.839"/>
    <n v="0.56578947368421051"/>
    <n v="9.3850000000000016"/>
    <n v="70.024000000000001"/>
    <n v="7.7651271637719006"/>
    <n v="0.12878089165950649"/>
    <n v="264.125"/>
  </r>
  <r>
    <x v="37"/>
    <s v="Donaldson_EPD_TimberPre-Insulated"/>
    <s v="DonEPDTimIN"/>
    <x v="2"/>
    <x v="4"/>
    <x v="1"/>
    <n v="18.8"/>
    <n v="5.0694675602175607"/>
    <n v="23.57"/>
    <s v="EPD_Solid Brick"/>
    <s v="EPDSolBrick"/>
    <s v="LGS, Timber, ICF, SIP, Concrete Block"/>
    <x v="0"/>
    <n v="47.801724999999998"/>
    <n v="2.1626984126984126"/>
    <n v="233.095"/>
    <s v="Gypsum Plasterboard"/>
    <s v="GPlas"/>
    <n v="3.839"/>
    <n v="0.56578947368421051"/>
    <n v="9.3850000000000016"/>
    <n v="70.440725"/>
    <n v="7.7979554466001844"/>
    <n v="0.12823874243036207"/>
    <n v="266.05"/>
  </r>
  <r>
    <x v="38"/>
    <s v="Donaldson_EPD_TimberPre-Insulated"/>
    <s v="DonEPDTimIN"/>
    <x v="2"/>
    <x v="4"/>
    <x v="1"/>
    <n v="18.8"/>
    <n v="5.0694675602175607"/>
    <n v="23.57"/>
    <s v="EPD_Composite Fiber"/>
    <s v="EPDComFiber"/>
    <s v="LGS, Timber, ICF, SIP, Concrete Block"/>
    <x v="0"/>
    <n v="22"/>
    <n v="2.4699999999999998"/>
    <n v="0.16999999999999998"/>
    <s v="Gypsum Plasterboard"/>
    <s v="GPlas"/>
    <n v="3.839"/>
    <n v="0.56578947368421051"/>
    <n v="9.3850000000000016"/>
    <n v="44.638999999999996"/>
    <n v="8.1052570339017702"/>
    <n v="0.12337671659483603"/>
    <n v="33.125"/>
  </r>
  <r>
    <x v="39"/>
    <s v="Donaldson C Stud_EPD_TimberClosed "/>
    <s v="DonCsEPDTimCL"/>
    <x v="2"/>
    <x v="0"/>
    <x v="1"/>
    <n v="27.8"/>
    <n v="5"/>
    <n v="31.66"/>
    <s v="LCA_Solid Brick"/>
    <s v="LCASolBrick"/>
    <s v="LGS, Timber, ICF, SIP, Concrete Block"/>
    <x v="0"/>
    <n v="47.384999999999998"/>
    <n v="2.1298701298701297"/>
    <n v="231.17000000000002"/>
    <s v="Gypsum Plasterboard"/>
    <s v="GPlas"/>
    <n v="3.839"/>
    <n v="0.56578947368421051"/>
    <n v="9.3850000000000016"/>
    <n v="79.024000000000001"/>
    <n v="7.6956596035543399"/>
    <n v="0.12994337737315423"/>
    <n v="272.21500000000003"/>
  </r>
  <r>
    <x v="40"/>
    <s v="Donaldson C Stud_EPD_TimberClosed "/>
    <s v="DonCsEPDTimCL"/>
    <x v="2"/>
    <x v="0"/>
    <x v="1"/>
    <n v="27.8"/>
    <n v="5"/>
    <n v="31.66"/>
    <s v="EPD_Solid Brick"/>
    <s v="EPDSolBrick"/>
    <s v="LGS, Timber, ICF, SIP, Concrete Block"/>
    <x v="0"/>
    <n v="47.801724999999998"/>
    <n v="2.1626984126984126"/>
    <n v="233.095"/>
    <s v="Gypsum Plasterboard"/>
    <s v="GPlas"/>
    <n v="3.839"/>
    <n v="0.56578947368421051"/>
    <n v="9.3850000000000016"/>
    <n v="79.440725"/>
    <n v="7.7284878863826236"/>
    <n v="0.12939141714409252"/>
    <n v="274.14"/>
  </r>
  <r>
    <x v="41"/>
    <s v="Donaldson C Stud_EPD_TimberClosed "/>
    <s v="DonCsEPDTimCL"/>
    <x v="2"/>
    <x v="0"/>
    <x v="1"/>
    <n v="27.8"/>
    <n v="5"/>
    <n v="31.66"/>
    <s v="EPD_Composite Fiber"/>
    <s v="EPDComFiber"/>
    <s v="LGS, Timber, ICF, SIP, Concrete Block"/>
    <x v="0"/>
    <n v="22"/>
    <n v="2.4699999999999998"/>
    <n v="0.16999999999999998"/>
    <s v="Gypsum Plasterboard"/>
    <s v="GPlas"/>
    <n v="3.839"/>
    <n v="0.56578947368421051"/>
    <n v="9.3850000000000016"/>
    <n v="53.638999999999996"/>
    <n v="8.0357894736842095"/>
    <n v="0.12444328006287662"/>
    <n v="41.215000000000003"/>
  </r>
  <r>
    <x v="42"/>
    <s v="Aircrete Seven_EPD_Concrete BlockTraditional"/>
    <s v="ArSevenEPDCBlk"/>
    <x v="3"/>
    <x v="2"/>
    <x v="0"/>
    <n v="64.639147666666673"/>
    <n v="3.2743571428571427"/>
    <n v="196.62100000000001"/>
    <s v="LCA_Solid Brick"/>
    <s v="LCASolBrick"/>
    <s v="LGS, Timber, ICF, SIP, Concrete Block"/>
    <x v="0"/>
    <n v="47.384999999999998"/>
    <n v="2.1298701298701297"/>
    <n v="231.17000000000002"/>
    <s v="Gypsum Plasterboard"/>
    <s v="GPlas"/>
    <n v="3.839"/>
    <n v="0.56578947368421051"/>
    <n v="9.3850000000000016"/>
    <n v="115.86314766666666"/>
    <n v="5.9700167464114831"/>
    <n v="0.167503717741008"/>
    <n v="437.17600000000004"/>
  </r>
  <r>
    <x v="43"/>
    <s v="Aircrete Seven_EPD_Concrete BlockTraditional"/>
    <s v="ArSevenEPDCBlk"/>
    <x v="3"/>
    <x v="2"/>
    <x v="0"/>
    <n v="64.639147666666673"/>
    <n v="3.2743571428571427"/>
    <n v="196.62100000000001"/>
    <s v="EPD_Solid Brick"/>
    <s v="EPDSolBrick"/>
    <s v="LGS, Timber, ICF, SIP, Concrete Block"/>
    <x v="0"/>
    <n v="47.801724999999998"/>
    <n v="2.1626984126984126"/>
    <n v="233.095"/>
    <s v="Gypsum Plasterboard"/>
    <s v="GPlas"/>
    <n v="3.839"/>
    <n v="0.56578947368421051"/>
    <n v="9.3850000000000016"/>
    <n v="116.27987266666668"/>
    <n v="6.0028450292397659"/>
    <n v="0.16658767553202114"/>
    <n v="439.101"/>
  </r>
  <r>
    <x v="44"/>
    <s v="Aircrete Seven_EPD_Concrete BlockTraditional"/>
    <s v="ArSevenEPDCBlk"/>
    <x v="3"/>
    <x v="2"/>
    <x v="0"/>
    <n v="64.639147666666673"/>
    <n v="3.2743571428571427"/>
    <n v="196.62100000000001"/>
    <s v="EPD_Composite Fiber"/>
    <s v="EPDComFiber"/>
    <s v="LGS, Timber, ICF, SIP, Concrete Block"/>
    <x v="0"/>
    <n v="22"/>
    <n v="2.4699999999999998"/>
    <n v="0.16999999999999998"/>
    <s v="Gypsum Plasterboard"/>
    <s v="GPlas"/>
    <n v="3.839"/>
    <n v="0.56578947368421051"/>
    <n v="9.3850000000000016"/>
    <n v="90.478147666666672"/>
    <n v="6.3101466165413527"/>
    <n v="0.15847492313072575"/>
    <n v="206.17600000000002"/>
  </r>
  <r>
    <x v="45"/>
    <s v="Amvic350_EPD_ICFFormed Concrete"/>
    <s v="Amv350EPDICF"/>
    <x v="1"/>
    <x v="1"/>
    <x v="0"/>
    <n v="73.102194444444436"/>
    <n v="6.3779705882352946"/>
    <n v="369.54"/>
    <s v="LCA_Solid Brick"/>
    <s v="LCASolBrick"/>
    <s v="LGS, Timber, ICF, SIP, Concrete Block"/>
    <x v="0"/>
    <n v="47.384999999999998"/>
    <n v="2.1298701298701297"/>
    <n v="231.17000000000002"/>
    <s v="Gypsum Plasterboard"/>
    <s v="GPlas"/>
    <n v="3.839"/>
    <n v="0.56578947368421051"/>
    <n v="9.3850000000000016"/>
    <n v="124.32619444444444"/>
    <n v="9.0736301917896345"/>
    <n v="0.11020947281991501"/>
    <n v="610.09500000000003"/>
  </r>
  <r>
    <x v="46"/>
    <s v="Amvic350_EPD_ICFFormed Concrete"/>
    <s v="Amv350EPDICF"/>
    <x v="1"/>
    <x v="1"/>
    <x v="0"/>
    <n v="73.102194444444436"/>
    <n v="6.3779705882352946"/>
    <n v="369.54"/>
    <s v="EPD_Solid Brick"/>
    <s v="EPDSolBrick"/>
    <s v="LGS, Timber, ICF, SIP, Concrete Block"/>
    <x v="0"/>
    <n v="47.801724999999998"/>
    <n v="2.1626984126984126"/>
    <n v="233.095"/>
    <s v="Gypsum Plasterboard"/>
    <s v="GPlas"/>
    <n v="3.839"/>
    <n v="0.56578947368421051"/>
    <n v="9.3850000000000016"/>
    <n v="124.74291944444442"/>
    <n v="9.1064584746179182"/>
    <n v="0.10981217372123989"/>
    <n v="612.02"/>
  </r>
  <r>
    <x v="47"/>
    <s v="Amvic350_EPD_ICFFormed Concrete"/>
    <s v="Amv350EPDICF"/>
    <x v="1"/>
    <x v="1"/>
    <x v="0"/>
    <n v="73.102194444444436"/>
    <n v="6.3779705882352946"/>
    <n v="369.54"/>
    <s v="EPD_Composite Fiber"/>
    <s v="EPDComFiber"/>
    <s v="LGS, Timber, ICF, SIP, Concrete Block"/>
    <x v="0"/>
    <n v="22"/>
    <n v="2.4699999999999998"/>
    <n v="0.16999999999999998"/>
    <s v="Gypsum Plasterboard"/>
    <s v="GPlas"/>
    <n v="3.839"/>
    <n v="0.56578947368421051"/>
    <n v="9.3850000000000016"/>
    <n v="98.941194444444434"/>
    <n v="9.4137600619195059"/>
    <n v="0.10622747907557097"/>
    <n v="379.09500000000003"/>
  </r>
  <r>
    <x v="48"/>
    <s v="Amvic300_EPD_ICFFormed Concrete"/>
    <s v="Amv300EPDICF"/>
    <x v="1"/>
    <x v="1"/>
    <x v="0"/>
    <n v="67.737194444444441"/>
    <n v="5.237970588235294"/>
    <n v="368.17"/>
    <s v="LCA_Solid Brick"/>
    <s v="LCASolBrick"/>
    <s v="LGS, Timber, ICF, SIP, Concrete Block"/>
    <x v="0"/>
    <n v="47.384999999999998"/>
    <n v="2.1298701298701297"/>
    <n v="231.17000000000002"/>
    <s v="Gypsum Plasterboard"/>
    <s v="GPlas"/>
    <n v="3.839"/>
    <n v="0.56578947368421051"/>
    <n v="9.3850000000000016"/>
    <n v="118.96119444444443"/>
    <n v="7.9336301917896339"/>
    <n v="0.12604570364709983"/>
    <n v="608.72500000000002"/>
  </r>
  <r>
    <x v="49"/>
    <s v="Amvic300_EPD_ICFFormed Concrete"/>
    <s v="Amv300EPDICF"/>
    <x v="1"/>
    <x v="1"/>
    <x v="0"/>
    <n v="67.737194444444441"/>
    <n v="5.237970588235294"/>
    <n v="368.17"/>
    <s v="EPD_Solid Brick"/>
    <s v="EPDSolBrick"/>
    <s v="LGS, Timber, ICF, SIP, Concrete Block"/>
    <x v="0"/>
    <n v="47.801724999999998"/>
    <n v="2.1626984126984126"/>
    <n v="233.095"/>
    <s v="Gypsum Plasterboard"/>
    <s v="GPlas"/>
    <n v="3.839"/>
    <n v="0.56578947368421051"/>
    <n v="9.3850000000000016"/>
    <n v="119.37791944444444"/>
    <n v="7.9664584746179177"/>
    <n v="0.12552629291750139"/>
    <n v="610.65"/>
  </r>
  <r>
    <x v="50"/>
    <s v="Amvic300_EPD_ICFFormed Concrete"/>
    <s v="Amv300EPDICF"/>
    <x v="1"/>
    <x v="1"/>
    <x v="0"/>
    <n v="67.737194444444441"/>
    <n v="5.237970588235294"/>
    <n v="368.17"/>
    <s v="EPD_Composite Fiber"/>
    <s v="EPDComFiber"/>
    <s v="LGS, Timber, ICF, SIP, Concrete Block"/>
    <x v="0"/>
    <n v="22"/>
    <n v="2.4699999999999998"/>
    <n v="0.16999999999999998"/>
    <s v="Gypsum Plasterboard"/>
    <s v="GPlas"/>
    <n v="3.839"/>
    <n v="0.56578947368421051"/>
    <n v="9.3850000000000016"/>
    <n v="93.57619444444444"/>
    <n v="8.2737600619195035"/>
    <n v="0.12086403189313676"/>
    <n v="377.72500000000002"/>
  </r>
  <r>
    <x v="51"/>
    <s v="Aircrete Super_EPD_Concrete BlockTraditional"/>
    <s v="AirSuperEPDCBlk"/>
    <x v="3"/>
    <x v="2"/>
    <x v="0"/>
    <n v="45.97165566666667"/>
    <n v="3.2200714285714289"/>
    <n v="135.79599999999999"/>
    <s v="LCA_Solid Brick"/>
    <s v="LCASolBrick"/>
    <s v="LGS, Timber, ICF, SIP, Concrete Block"/>
    <x v="0"/>
    <n v="47.384999999999998"/>
    <n v="2.1298701298701297"/>
    <n v="231.17000000000002"/>
    <s v="Gypsum Plasterboard"/>
    <s v="GPlas"/>
    <n v="3.839"/>
    <n v="0.56578947368421051"/>
    <n v="9.3850000000000016"/>
    <n v="97.195655666666667"/>
    <n v="5.9157310321257697"/>
    <n v="0.16904081584666944"/>
    <n v="376.351"/>
  </r>
  <r>
    <x v="52"/>
    <s v="Aircrete Super_EPD_Concrete BlockTraditional"/>
    <s v="AirSuperEPDCBlk"/>
    <x v="3"/>
    <x v="2"/>
    <x v="0"/>
    <n v="45.97165566666667"/>
    <n v="3.2200714285714289"/>
    <n v="135.79599999999999"/>
    <s v="EPD_Solid Brick"/>
    <s v="EPDSolBrick"/>
    <s v="LGS, Timber, ICF, SIP, Concrete Block"/>
    <x v="0"/>
    <n v="47.801724999999998"/>
    <n v="2.1626984126984126"/>
    <n v="233.095"/>
    <s v="Gypsum Plasterboard"/>
    <s v="GPlas"/>
    <n v="3.839"/>
    <n v="0.56578947368421051"/>
    <n v="9.3850000000000016"/>
    <n v="97.612380666666667"/>
    <n v="5.9485593149540517"/>
    <n v="0.16810793119034811"/>
    <n v="378.27599999999995"/>
  </r>
  <r>
    <x v="53"/>
    <s v="Aircrete Super_EPD_Concrete BlockTraditional"/>
    <s v="AirSuperEPDCBlk"/>
    <x v="3"/>
    <x v="2"/>
    <x v="0"/>
    <n v="45.97165566666667"/>
    <n v="3.2200714285714289"/>
    <n v="135.79599999999999"/>
    <s v="EPD_Composite Fiber"/>
    <s v="EPDComFiber"/>
    <s v="LGS, Timber, ICF, SIP, Concrete Block"/>
    <x v="0"/>
    <n v="22"/>
    <n v="2.4699999999999998"/>
    <n v="0.16999999999999998"/>
    <s v="Gypsum Plasterboard"/>
    <s v="GPlas"/>
    <n v="3.839"/>
    <n v="0.56578947368421051"/>
    <n v="9.3850000000000016"/>
    <n v="71.810655666666662"/>
    <n v="6.2558609022556393"/>
    <n v="0.15985010146875803"/>
    <n v="145.351"/>
  </r>
  <r>
    <x v="54"/>
    <s v="Aircrete Standard_EPD_Concrete BlockTraditional"/>
    <s v="AirStandEPDCBlk"/>
    <x v="3"/>
    <x v="2"/>
    <x v="0"/>
    <n v="57.220594166666672"/>
    <n v="3.4043571428571431"/>
    <n v="172.971"/>
    <s v="LCA_Solid Brick"/>
    <s v="LCASolBrick"/>
    <s v="LGS, Timber, ICF, SIP, Concrete Block"/>
    <x v="0"/>
    <n v="47.384999999999998"/>
    <n v="2.1298701298701297"/>
    <n v="231.17000000000002"/>
    <s v="Gypsum Plasterboard"/>
    <s v="GPlas"/>
    <n v="3.839"/>
    <n v="0.56578947368421051"/>
    <n v="9.3850000000000016"/>
    <n v="108.44459416666666"/>
    <n v="6.1000167464114838"/>
    <n v="0.16393397617937355"/>
    <n v="413.52600000000001"/>
  </r>
  <r>
    <x v="55"/>
    <s v="Aircrete Standard_EPD_Concrete BlockTraditional"/>
    <s v="AirStandEPDCBlk"/>
    <x v="3"/>
    <x v="2"/>
    <x v="0"/>
    <n v="57.220594166666672"/>
    <n v="3.4043571428571431"/>
    <n v="172.971"/>
    <s v="EPD_Solid Brick"/>
    <s v="EPDSolBrick"/>
    <s v="LGS, Timber, ICF, SIP, Concrete Block"/>
    <x v="0"/>
    <n v="47.801724999999998"/>
    <n v="2.1626984126984126"/>
    <n v="233.095"/>
    <s v="Gypsum Plasterboard"/>
    <s v="GPlas"/>
    <n v="3.839"/>
    <n v="0.56578947368421051"/>
    <n v="9.3850000000000016"/>
    <n v="108.86131916666668"/>
    <n v="6.1328450292397658"/>
    <n v="0.16305645996797039"/>
    <n v="415.45100000000002"/>
  </r>
  <r>
    <x v="56"/>
    <s v="Aircrete Standard_EPD_Concrete BlockTraditional"/>
    <s v="AirStandEPDCBlk"/>
    <x v="3"/>
    <x v="2"/>
    <x v="0"/>
    <n v="57.220594166666672"/>
    <n v="3.4043571428571431"/>
    <n v="172.971"/>
    <s v="EPD_Composite Fiber"/>
    <s v="EPDComFiber"/>
    <s v="LGS, Timber, ICF, SIP, Concrete Block"/>
    <x v="0"/>
    <n v="22"/>
    <n v="2.4699999999999998"/>
    <n v="0.16999999999999998"/>
    <s v="Gypsum Plasterboard"/>
    <s v="GPlas"/>
    <n v="3.839"/>
    <n v="0.56578947368421051"/>
    <n v="9.3850000000000016"/>
    <n v="83.05959416666667"/>
    <n v="6.4401466165413535"/>
    <n v="0.15527596800848065"/>
    <n v="182.52600000000001"/>
  </r>
  <r>
    <x v="57"/>
    <s v="Aircrete High Ten_EPD_Concrete BlockTraditional"/>
    <s v="AirHTenEPDCBlk"/>
    <x v="3"/>
    <x v="2"/>
    <x v="0"/>
    <n v="61.320257166666671"/>
    <n v="3.1643571428571429"/>
    <n v="211.67099999999999"/>
    <s v="LCA_Solid Brick"/>
    <s v="LCASolBrick"/>
    <s v="LGS, Timber, ICF, SIP, Concrete Block"/>
    <x v="0"/>
    <n v="47.384999999999998"/>
    <n v="2.1298701298701297"/>
    <n v="231.17000000000002"/>
    <s v="Gypsum Plasterboard"/>
    <s v="GPlas"/>
    <n v="3.839"/>
    <n v="0.56578947368421051"/>
    <n v="9.3850000000000016"/>
    <n v="112.54425716666667"/>
    <n v="5.8600167464114836"/>
    <n v="0.17064797649467009"/>
    <n v="452.226"/>
  </r>
  <r>
    <x v="58"/>
    <s v="Aircrete High Ten_EPD_Concrete BlockTraditional"/>
    <s v="AirHTenEPDCBlk"/>
    <x v="3"/>
    <x v="2"/>
    <x v="0"/>
    <n v="61.320257166666671"/>
    <n v="3.1643571428571429"/>
    <n v="211.67099999999999"/>
    <s v="EPD_Solid Brick"/>
    <s v="EPDSolBrick"/>
    <s v="LGS, Timber, ICF, SIP, Concrete Block"/>
    <x v="0"/>
    <n v="47.801724999999998"/>
    <n v="2.1626984126984126"/>
    <n v="233.095"/>
    <s v="Gypsum Plasterboard"/>
    <s v="GPlas"/>
    <n v="3.839"/>
    <n v="0.56578947368421051"/>
    <n v="9.3850000000000016"/>
    <n v="112.96098216666667"/>
    <n v="5.8928450292397656"/>
    <n v="0.16969731853427167"/>
    <n v="454.15099999999995"/>
  </r>
  <r>
    <x v="59"/>
    <s v="Aircrete High Ten_EPD_Concrete BlockTraditional"/>
    <s v="AirHTenEPDCBlk"/>
    <x v="3"/>
    <x v="2"/>
    <x v="0"/>
    <n v="61.320257166666671"/>
    <n v="3.1643571428571429"/>
    <n v="211.67099999999999"/>
    <s v="EPD_Composite Fiber"/>
    <s v="EPDComFiber"/>
    <s v="LGS, Timber, ICF, SIP, Concrete Block"/>
    <x v="0"/>
    <n v="22"/>
    <n v="2.4699999999999998"/>
    <n v="0.16999999999999998"/>
    <s v="Gypsum Plasterboard"/>
    <s v="GPlas"/>
    <n v="3.839"/>
    <n v="0.56578947368421051"/>
    <n v="9.3850000000000016"/>
    <n v="87.159257166666663"/>
    <n v="6.2001466165413532"/>
    <n v="0.16128650850483162"/>
    <n v="221.226"/>
  </r>
  <r>
    <x v="60"/>
    <s v="1_LCA_TimberOpen"/>
    <s v="1LCATimOP"/>
    <x v="2"/>
    <x v="3"/>
    <x v="1"/>
    <n v="22.028526875000001"/>
    <n v="5.0679675602175607"/>
    <n v="26.570555555555558"/>
    <s v="LCA_Solid Brick"/>
    <s v="LCASolBrick"/>
    <s v="LGS, Timber, ICF, SIP, Concrete Block"/>
    <x v="0"/>
    <n v="47.384999999999998"/>
    <n v="2.1298701298701297"/>
    <n v="231.17000000000002"/>
    <s v="Gypsum Plasterboard"/>
    <s v="GPlas"/>
    <n v="3.839"/>
    <n v="0.56578947368421051"/>
    <n v="9.3850000000000016"/>
    <n v="73.252526875000001"/>
    <n v="7.7636271637719005"/>
    <n v="0.12880577324300019"/>
    <n v="267.12555555555559"/>
  </r>
  <r>
    <x v="61"/>
    <s v="1_LCA_TimberOpen"/>
    <s v="1LCATimOP"/>
    <x v="2"/>
    <x v="3"/>
    <x v="1"/>
    <n v="22.028526875000001"/>
    <n v="5.0679675602175607"/>
    <n v="26.570555555555558"/>
    <s v="EPD_Solid Brick"/>
    <s v="EPDSolBrick"/>
    <s v="LGS, Timber, ICF, SIP, Concrete Block"/>
    <x v="0"/>
    <n v="47.801724999999998"/>
    <n v="2.1626984126984126"/>
    <n v="233.095"/>
    <s v="Gypsum Plasterboard"/>
    <s v="GPlas"/>
    <n v="3.839"/>
    <n v="0.56578947368421051"/>
    <n v="9.3850000000000016"/>
    <n v="73.669251875"/>
    <n v="7.7964554466001843"/>
    <n v="0.12826341493890944"/>
    <n v="269.05055555555555"/>
  </r>
  <r>
    <x v="62"/>
    <s v="1_LCA_TimberOpen"/>
    <s v="1LCATimOP"/>
    <x v="2"/>
    <x v="3"/>
    <x v="1"/>
    <n v="22.028526875000001"/>
    <n v="5.0679675602175607"/>
    <n v="26.570555555555558"/>
    <s v="EPD_Composite Fiber"/>
    <s v="EPDComFiber"/>
    <s v="LGS, Timber, ICF, SIP, Concrete Block"/>
    <x v="0"/>
    <n v="22"/>
    <n v="2.4699999999999998"/>
    <n v="0.16999999999999998"/>
    <s v="Gypsum Plasterboard"/>
    <s v="GPlas"/>
    <n v="3.839"/>
    <n v="0.56578947368421051"/>
    <n v="9.3850000000000016"/>
    <n v="47.867526874999996"/>
    <n v="8.1037570339017702"/>
    <n v="0.12339955354245404"/>
    <n v="36.125555555555557"/>
  </r>
  <r>
    <x v="63"/>
    <s v="1_LCA_TimberPre-Insulated"/>
    <s v="1LCATimIN"/>
    <x v="2"/>
    <x v="4"/>
    <x v="1"/>
    <n v="22.028526875000001"/>
    <n v="5.0679675602175607"/>
    <n v="26.570555555555558"/>
    <s v="LCA_Solid Brick"/>
    <s v="LCASolBrick"/>
    <s v="LGS, Timber, ICF, SIP, Concrete Block"/>
    <x v="0"/>
    <n v="47.384999999999998"/>
    <n v="2.1298701298701297"/>
    <n v="231.17000000000002"/>
    <s v="Gypsum Plasterboard"/>
    <s v="GPlas"/>
    <n v="3.839"/>
    <n v="0.56578947368421051"/>
    <n v="9.3850000000000016"/>
    <n v="73.252526875000001"/>
    <n v="7.7636271637719005"/>
    <n v="0.12880577324300019"/>
    <n v="267.12555555555559"/>
  </r>
  <r>
    <x v="64"/>
    <s v="1_LCA_TimberPre-Insulated"/>
    <s v="1LCATimIN"/>
    <x v="2"/>
    <x v="4"/>
    <x v="1"/>
    <n v="22.028526875000001"/>
    <n v="5.0679675602175607"/>
    <n v="26.570555555555558"/>
    <s v="EPD_Solid Brick"/>
    <s v="EPDSolBrick"/>
    <s v="LGS, Timber, ICF, SIP, Concrete Block"/>
    <x v="0"/>
    <n v="47.801724999999998"/>
    <n v="2.1626984126984126"/>
    <n v="233.095"/>
    <s v="Gypsum Plasterboard"/>
    <s v="GPlas"/>
    <n v="3.839"/>
    <n v="0.56578947368421051"/>
    <n v="9.3850000000000016"/>
    <n v="73.669251875"/>
    <n v="7.7964554466001843"/>
    <n v="0.12826341493890944"/>
    <n v="269.05055555555555"/>
  </r>
  <r>
    <x v="65"/>
    <s v="1_LCA_TimberPre-Insulated"/>
    <s v="1LCATimIN"/>
    <x v="2"/>
    <x v="4"/>
    <x v="1"/>
    <n v="22.028526875000001"/>
    <n v="5.0679675602175607"/>
    <n v="26.570555555555558"/>
    <s v="EPD_Composite Fiber"/>
    <s v="EPDComFiber"/>
    <s v="LGS, Timber, ICF, SIP, Concrete Block"/>
    <x v="0"/>
    <n v="22"/>
    <n v="2.4699999999999998"/>
    <n v="0.16999999999999998"/>
    <s v="Gypsum Plasterboard"/>
    <s v="GPlas"/>
    <n v="3.839"/>
    <n v="0.56578947368421051"/>
    <n v="9.3850000000000016"/>
    <n v="47.867526874999996"/>
    <n v="8.1037570339017702"/>
    <n v="0.12339955354245404"/>
    <n v="36.125555555555557"/>
  </r>
  <r>
    <x v="66"/>
    <s v="1_LCA_TimberClosed "/>
    <s v="1LCATimCL"/>
    <x v="2"/>
    <x v="0"/>
    <x v="1"/>
    <n v="25.485526875000001"/>
    <n v="5.1371983294483297"/>
    <n v="32.143472222222222"/>
    <s v="LCA_Solid Brick"/>
    <s v="LCASolBrick"/>
    <s v="LGS, Timber, ICF, SIP, Concrete Block"/>
    <x v="0"/>
    <n v="47.384999999999998"/>
    <n v="2.1298701298701297"/>
    <n v="231.17000000000002"/>
    <s v="Gypsum Plasterboard"/>
    <s v="GPlas"/>
    <n v="3.839"/>
    <n v="0.56578947368421051"/>
    <n v="9.3850000000000016"/>
    <n v="76.709526874999995"/>
    <n v="7.8328579330026695"/>
    <n v="0.12766732252178831"/>
    <n v="272.69847222222222"/>
  </r>
  <r>
    <x v="67"/>
    <s v="1_LCA_TimberClosed "/>
    <s v="1LCATimCL"/>
    <x v="2"/>
    <x v="0"/>
    <x v="1"/>
    <n v="25.485526875000001"/>
    <n v="5.1371983294483297"/>
    <n v="32.143472222222222"/>
    <s v="EPD_Solid Brick"/>
    <s v="EPDSolBrick"/>
    <s v="LGS, Timber, ICF, SIP, Concrete Block"/>
    <x v="0"/>
    <n v="47.801724999999998"/>
    <n v="2.1626984126984126"/>
    <n v="233.095"/>
    <s v="Gypsum Plasterboard"/>
    <s v="GPlas"/>
    <n v="3.839"/>
    <n v="0.56578947368421051"/>
    <n v="9.3850000000000016"/>
    <n v="77.126251874999994"/>
    <n v="7.8656862158309533"/>
    <n v="0.12713448929444196"/>
    <n v="274.62347222222223"/>
  </r>
  <r>
    <x v="68"/>
    <s v="1_LCA_TimberClosed "/>
    <s v="1LCATimCL"/>
    <x v="2"/>
    <x v="0"/>
    <x v="1"/>
    <n v="25.485526875000001"/>
    <n v="5.1371983294483297"/>
    <n v="32.143472222222222"/>
    <s v="EPD_Composite Fiber"/>
    <s v="EPDComFiber"/>
    <s v="LGS, Timber, ICF, SIP, Concrete Block"/>
    <x v="0"/>
    <n v="22"/>
    <n v="2.4699999999999998"/>
    <n v="0.16999999999999998"/>
    <s v="Gypsum Plasterboard"/>
    <s v="GPlas"/>
    <n v="3.839"/>
    <n v="0.56578947368421051"/>
    <n v="9.3850000000000016"/>
    <n v="51.324526875000004"/>
    <n v="8.1729878031325391"/>
    <n v="0.12235427533817197"/>
    <n v="41.698472222222222"/>
  </r>
  <r>
    <x v="69"/>
    <s v="1_LCA_LGSOpen"/>
    <s v="1LCALGSOP"/>
    <x v="4"/>
    <x v="3"/>
    <x v="1"/>
    <n v="32.295684666666659"/>
    <n v="4.6750208135064941"/>
    <n v="15.690799999999998"/>
    <s v="LCA_Solid Brick"/>
    <s v="LCASolBrick"/>
    <s v="LGS, Timber, ICF, SIP, Concrete Block"/>
    <x v="0"/>
    <n v="47.384999999999998"/>
    <n v="2.1298701298701297"/>
    <n v="231.17000000000002"/>
    <s v="Gypsum Plasterboard"/>
    <s v="GPlas"/>
    <n v="3.839"/>
    <n v="0.56578947368421051"/>
    <n v="9.3850000000000016"/>
    <n v="83.519684666666649"/>
    <n v="7.370680417060834"/>
    <n v="0.13567268466630447"/>
    <n v="256.24580000000003"/>
  </r>
  <r>
    <x v="70"/>
    <s v="1_LCA_LGSOpen"/>
    <s v="1LCALGSOP"/>
    <x v="4"/>
    <x v="3"/>
    <x v="1"/>
    <n v="32.295684666666659"/>
    <n v="4.6750208135064941"/>
    <n v="15.690799999999998"/>
    <s v="EPD_Solid Brick"/>
    <s v="EPDSolBrick"/>
    <s v="LGS, Timber, ICF, SIP, Concrete Block"/>
    <x v="0"/>
    <n v="47.801724999999998"/>
    <n v="2.1626984126984126"/>
    <n v="233.095"/>
    <s v="Gypsum Plasterboard"/>
    <s v="GPlas"/>
    <n v="3.839"/>
    <n v="0.56578947368421051"/>
    <n v="9.3850000000000016"/>
    <n v="83.936409666666663"/>
    <n v="7.4035086998891178"/>
    <n v="0.13507109136171838"/>
    <n v="258.17079999999999"/>
  </r>
  <r>
    <x v="71"/>
    <s v="1_LCA_LGSOpen"/>
    <s v="1LCALGSOP"/>
    <x v="4"/>
    <x v="3"/>
    <x v="1"/>
    <n v="32.295684666666659"/>
    <n v="4.6750208135064941"/>
    <n v="15.690799999999998"/>
    <s v="EPD_Composite Fiber"/>
    <s v="EPDComFiber"/>
    <s v="LGS, Timber, ICF, SIP, Concrete Block"/>
    <x v="0"/>
    <n v="22"/>
    <n v="2.4699999999999998"/>
    <n v="0.16999999999999998"/>
    <s v="Gypsum Plasterboard"/>
    <s v="GPlas"/>
    <n v="3.839"/>
    <n v="0.56578947368421051"/>
    <n v="9.3850000000000016"/>
    <n v="58.134684666666658"/>
    <n v="7.7108102871907045"/>
    <n v="0.129688056475882"/>
    <n v="25.245799999999999"/>
  </r>
  <r>
    <x v="72"/>
    <s v="A_LCA_ICFFormed Concrete"/>
    <s v="1LCAICF"/>
    <x v="1"/>
    <x v="1"/>
    <x v="0"/>
    <n v="65.159097222222215"/>
    <n v="4.3247142857142853"/>
    <n v="371.87777777777774"/>
    <s v="LCA_Solid Brick"/>
    <s v="LCASolBrick"/>
    <s v="LGS, Timber, ICF, SIP, Concrete Block"/>
    <x v="0"/>
    <n v="47.384999999999998"/>
    <n v="2.1298701298701297"/>
    <n v="231.17000000000002"/>
    <s v="Gypsum Plasterboard"/>
    <s v="GPlas"/>
    <n v="3.839"/>
    <n v="0.56578947368421051"/>
    <n v="9.3850000000000016"/>
    <n v="116.3830972222222"/>
    <n v="7.020373889268626"/>
    <n v="0.14244255587706009"/>
    <n v="612.4327777777778"/>
  </r>
  <r>
    <x v="73"/>
    <s v="A_LCA_ICFFormed Concrete"/>
    <s v="1LCAICF"/>
    <x v="1"/>
    <x v="1"/>
    <x v="0"/>
    <n v="65.159097222222215"/>
    <n v="4.3247142857142853"/>
    <n v="371.87777777777774"/>
    <s v="EPD_Solid Brick"/>
    <s v="EPDSolBrick"/>
    <s v="LGS, Timber, ICF, SIP, Concrete Block"/>
    <x v="0"/>
    <n v="47.801724999999998"/>
    <n v="2.1626984126984126"/>
    <n v="233.095"/>
    <s v="Gypsum Plasterboard"/>
    <s v="GPlas"/>
    <n v="3.839"/>
    <n v="0.56578947368421051"/>
    <n v="9.3850000000000016"/>
    <n v="116.79982222222222"/>
    <n v="7.053202172096908"/>
    <n v="0.14177957409984482"/>
    <n v="614.35777777777776"/>
  </r>
  <r>
    <x v="74"/>
    <s v="A_LCA_ICFFormed Concrete"/>
    <s v="1LCAICF"/>
    <x v="1"/>
    <x v="1"/>
    <x v="0"/>
    <n v="65.159097222222215"/>
    <n v="4.3247142857142853"/>
    <n v="371.87777777777774"/>
    <s v="EPD_Composite Fiber"/>
    <s v="EPDComFiber"/>
    <s v="LGS, Timber, ICF, SIP, Concrete Block"/>
    <x v="0"/>
    <n v="22"/>
    <n v="2.4699999999999998"/>
    <n v="0.16999999999999998"/>
    <s v="Gypsum Plasterboard"/>
    <s v="GPlas"/>
    <n v="3.839"/>
    <n v="0.56578947368421051"/>
    <n v="9.3850000000000016"/>
    <n v="90.998097222222214"/>
    <n v="7.3605037593984957"/>
    <n v="0.13586026618397115"/>
    <n v="381.43277777777774"/>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r>
    <x v="75"/>
    <m/>
    <n v="0"/>
    <x v="5"/>
    <x v="5"/>
    <x v="2"/>
    <e v="#REF!"/>
    <e v="#REF!"/>
    <e v="#REF!"/>
    <m/>
    <n v="0"/>
    <n v="0"/>
    <x v="0"/>
    <e v="#REF!"/>
    <e v="#REF!"/>
    <e v="#REF!"/>
    <m/>
    <n v="0"/>
    <e v="#REF!"/>
    <e v="#REF!"/>
    <e v="#REF!"/>
    <e v="#REF!"/>
    <e v="#REF!"/>
    <e v="#REF!"/>
    <e v="#REF!"/>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37">
  <r>
    <x v="0"/>
    <s v="LCA"/>
    <x v="0"/>
    <x v="0"/>
    <n v="1"/>
    <s v="1LCALGSOP"/>
    <s v="Direct Calculation Model A for LGS Open Panel with PIR and mineral wool insulation"/>
    <x v="0"/>
    <s v="Issue"/>
    <s v="thermal resistance based on wall factor may be incorrect"/>
    <s v="No"/>
    <s v="Wall Stud"/>
    <s v="ICE Database"/>
    <x v="0"/>
    <s v="No"/>
    <s v="Vertical Steel Stud"/>
    <s v="Steel Tracks, Noggin"/>
    <s v="Yes"/>
    <s v="None"/>
    <n v="8.9499999999999973E-6"/>
    <n v="9.4600000000000009"/>
    <n v="2.71"/>
    <s v="kg"/>
    <n v="0.17899999999999999"/>
    <n v="2.4"/>
    <n v="1.1999999999999999E-3"/>
    <n v="5.1551999999999989E-4"/>
    <n v="5"/>
    <n v="0.37291666666666662"/>
    <n v="7800"/>
    <n v="3.490499999999999"/>
    <n v="50"/>
  </r>
  <r>
    <x v="0"/>
    <s v="LCA"/>
    <x v="0"/>
    <x v="0"/>
    <n v="1"/>
    <s v="1LCALGSOP"/>
    <s v="Direct Calculation Model A for LGS Open Panel with PIR and mineral wool insulation"/>
    <x v="0"/>
    <s v="Issue"/>
    <s v="thermal resistance based on wall factor may be incorrect"/>
    <s v="No"/>
    <s v="Wall Track"/>
    <s v="ICE Database"/>
    <x v="0"/>
    <s v="No"/>
    <m/>
    <s v="Stud, Noggin"/>
    <s v="Yes"/>
    <s v="None"/>
    <n v="3.5799999999999996E-6"/>
    <n v="3.7837019999999999"/>
    <n v="2.71"/>
    <s v="kg"/>
    <n v="0.17899999999999999"/>
    <n v="2.4"/>
    <n v="1.1999999999999999E-3"/>
    <n v="5.1551999999999989E-4"/>
    <n v="2"/>
    <n v="0.14916666666666667"/>
    <n v="7800"/>
    <n v="1.3961999999999997"/>
    <n v="50"/>
  </r>
  <r>
    <x v="0"/>
    <s v="LCA"/>
    <x v="0"/>
    <x v="0"/>
    <n v="1"/>
    <s v="1LCALGSOP"/>
    <s v="Direct Calculation Model A for LGS Open Panel with PIR and mineral wool insulation"/>
    <x v="0"/>
    <s v="Issue"/>
    <s v="thermal resistance based on wall factor may be incorrect"/>
    <s v="No"/>
    <s v="Noggin"/>
    <s v="ICE Database"/>
    <x v="0"/>
    <s v="No"/>
    <m/>
    <s v="Stud, Tracks"/>
    <s v="Yes"/>
    <s v="None"/>
    <n v="1.7899999999999998E-6"/>
    <n v="1.8918509999999995"/>
    <n v="2.71"/>
    <s v="kg"/>
    <n v="0.17899999999999999"/>
    <n v="2.4"/>
    <n v="1.1999999999999999E-3"/>
    <n v="5.1551999999999989E-4"/>
    <n v="1"/>
    <n v="7.4583333333333335E-2"/>
    <n v="7800"/>
    <n v="0.69809999999999983"/>
    <n v="50"/>
  </r>
  <r>
    <x v="0"/>
    <s v="LCA"/>
    <x v="0"/>
    <x v="0"/>
    <n v="1"/>
    <s v="1LCALGSOP"/>
    <s v="Direct Calculation Model A for LGS Open Panel with PIR and mineral wool insulation"/>
    <x v="0"/>
    <s v="Issue"/>
    <s v="Mineral wool dimensions overlap with studs. If mineral wool is being placed inside stud spacing, the mass balance doesn't add up"/>
    <s v="No"/>
    <s v="Mineral Wool"/>
    <s v="ICE Database"/>
    <x v="1"/>
    <s v="Yes"/>
    <s v="Wool insulation for inside stud spacing"/>
    <m/>
    <s v="Yes"/>
    <s v="None"/>
    <n v="1.0371428571428574"/>
    <n v="8.9999999999999982"/>
    <n v="1.25"/>
    <s v="kg"/>
    <n v="0.6"/>
    <n v="2.4"/>
    <n v="0.09"/>
    <n v="0.12959999999999999"/>
    <n v="4"/>
    <n v="1"/>
    <n v="80"/>
    <n v="7.1999999999999993"/>
    <n v="2.1999999999999999E-2"/>
  </r>
  <r>
    <x v="0"/>
    <s v="LCA"/>
    <x v="0"/>
    <x v="0"/>
    <n v="1"/>
    <s v="1LCALGSOP"/>
    <s v="Direct Calculation Model A for LGS Open Panel with PIR and mineral wool insulation"/>
    <x v="0"/>
    <s v="Unchecked"/>
    <m/>
    <s v="No"/>
    <s v="PIR"/>
    <s v="ICE Database"/>
    <x v="1"/>
    <s v="Yes"/>
    <s v="Extra insulation outside panel"/>
    <s v="None"/>
    <s v="Yes"/>
    <s v="None"/>
    <n v="3.6363636363636367"/>
    <n v="7.9078399999999993"/>
    <n v="3.089"/>
    <s v="kg"/>
    <n v="2.4"/>
    <n v="1.2"/>
    <n v="0.08"/>
    <n v="0.23039999999999999"/>
    <n v="2"/>
    <n v="1"/>
    <n v="32"/>
    <n v="2.56"/>
    <n v="0.3"/>
  </r>
  <r>
    <x v="0"/>
    <s v="LCA"/>
    <x v="0"/>
    <x v="0"/>
    <n v="1"/>
    <s v="1LCALGSOP"/>
    <s v="Direct Calculation Model A for LGS Open Panel with PIR and mineral wool insulation"/>
    <x v="0"/>
    <s v="Unchecked"/>
    <m/>
    <s v="No"/>
    <s v="Tyvek Membrane"/>
    <s v="ICE Database"/>
    <x v="2"/>
    <s v="Yes"/>
    <s v="Breather Paper for moisture"/>
    <s v="None"/>
    <s v="Yes"/>
    <s v="None"/>
    <n v="1.5E-3"/>
    <n v="0.25229166666666669"/>
    <n v="4.2"/>
    <s v="kg"/>
    <n v="2.4"/>
    <n v="2.4"/>
    <n v="4.4999999999999999E-4"/>
    <n v="2.5919999999999997E-3"/>
    <n v="1"/>
    <n v="1"/>
    <n v="0"/>
    <n v="0.34599999999999997"/>
    <n v="0.3"/>
  </r>
  <r>
    <x v="1"/>
    <s v="EPD"/>
    <x v="0"/>
    <x v="0"/>
    <s v="Horizon"/>
    <s v="HorEPDLGSOP"/>
    <s v="EPD Based LGS system using Horizon LGS Frame and Kingscourt Brick EPDs filled in with additional materials as necessary"/>
    <x v="0"/>
    <s v="Unchecked"/>
    <m/>
    <s v="No"/>
    <s v="Horizon Light Gauge Steel Frame"/>
    <s v="Base EPD"/>
    <x v="0"/>
    <s v="Yes"/>
    <s v="Steel Frame"/>
    <s v="None"/>
    <s v="Yes"/>
    <s v="None"/>
    <n v="1.43E-5"/>
    <n v="9.9992200000000011"/>
    <n v="2.1139999999999999"/>
    <s v="kg"/>
    <b v="0"/>
    <b v="0"/>
    <b v="0"/>
    <n v="0"/>
    <b v="0"/>
    <b v="0"/>
    <n v="7800"/>
    <n v="4.7300000000000004"/>
    <n v="50"/>
  </r>
  <r>
    <x v="1"/>
    <s v="EPD"/>
    <x v="0"/>
    <x v="0"/>
    <s v="Horizon"/>
    <s v="HorEPDLGSOP"/>
    <s v="EPD Based LGS system using Horizon LGS Frame and Kingscourt Brick EPDs filled in with additional materials as necessary"/>
    <x v="0"/>
    <s v="Placeholder"/>
    <s v="insulation from LCA model A. Different dimensions may be used"/>
    <s v="No"/>
    <s v="Mineral Wool"/>
    <s v="ICE Database"/>
    <x v="1"/>
    <s v="Yes"/>
    <s v="Wool insulation for inside stud spacing"/>
    <m/>
    <s v="Yes"/>
    <s v="None"/>
    <n v="1.0371428571428574"/>
    <n v="8.9999999999999982"/>
    <n v="1.25"/>
    <s v="kg"/>
    <n v="0.6"/>
    <n v="2.4"/>
    <n v="0.09"/>
    <n v="0.12959999999999999"/>
    <n v="4"/>
    <n v="1"/>
    <n v="80"/>
    <n v="7.1999999999999993"/>
    <n v="2.1999999999999999E-2"/>
  </r>
  <r>
    <x v="1"/>
    <s v="EPD"/>
    <x v="0"/>
    <x v="0"/>
    <s v="Horizon"/>
    <s v="HorEPDLGSOP"/>
    <s v="EPD Based LGS system using Horizon LGS Frame and Kingscourt Brick EPDs filled in with additional materials as necessary"/>
    <x v="0"/>
    <s v="Placeholder"/>
    <s v="insulation from LCA model A. Different dimensions may be used"/>
    <s v="No"/>
    <s v="PIR"/>
    <s v="ICE Database"/>
    <x v="1"/>
    <s v="Yes"/>
    <s v="Extra insulation outside panel"/>
    <s v="None"/>
    <s v="Yes"/>
    <s v="None"/>
    <n v="3.6363636363636367"/>
    <n v="7.9078399999999993"/>
    <n v="3.089"/>
    <s v="kg"/>
    <n v="2.4"/>
    <n v="1.2"/>
    <n v="0.08"/>
    <n v="0.23039999999999999"/>
    <n v="2"/>
    <n v="1"/>
    <n v="32"/>
    <n v="2.56"/>
    <n v="0.3"/>
  </r>
  <r>
    <x v="1"/>
    <s v="EPD"/>
    <x v="0"/>
    <x v="0"/>
    <s v="Horizon"/>
    <s v="HorEPDLGSOP"/>
    <s v="EPD Based LGS system using Horizon LGS Frame and Kingscourt Brick EPDs filled in with additional materials as necessary"/>
    <x v="0"/>
    <s v="Placeholder"/>
    <s v="Membrane from model A. Different membrane may be used"/>
    <s v="No"/>
    <s v="Tyvek Membrane"/>
    <s v="ICE Database"/>
    <x v="2"/>
    <s v="Yes"/>
    <s v="Breather Paper for moisture"/>
    <s v="None"/>
    <s v="Yes"/>
    <s v="None"/>
    <n v="1.5E-3"/>
    <n v="0.25229166666666669"/>
    <n v="4.2"/>
    <s v="kg"/>
    <n v="2.4"/>
    <n v="2.4"/>
    <n v="4.4999999999999999E-4"/>
    <n v="2.5919999999999997E-3"/>
    <n v="1"/>
    <n v="1"/>
    <n v="0"/>
    <n v="0.34599999999999997"/>
    <n v="0.3"/>
  </r>
  <r>
    <x v="2"/>
    <s v="EPD"/>
    <x v="0"/>
    <x v="0"/>
    <s v="SIGMAT"/>
    <s v="HorEPDLGSOP"/>
    <s v="EPD Based LGS system using Horizon LGS Frame and Kingscourt Brick EPDs filled in with additional materials as necessary"/>
    <x v="0"/>
    <s v="Unchecked"/>
    <m/>
    <s v="No"/>
    <s v="SIGMAT Light gauge steel frame"/>
    <s v="Base EPD"/>
    <x v="0"/>
    <s v="Yes"/>
    <s v="Steel Frame"/>
    <s v="None"/>
    <s v="Yes"/>
    <s v="None"/>
    <n v="1.43E-5"/>
    <n v="15.372500000000002"/>
    <n v="3.25"/>
    <s v="kg"/>
    <b v="0"/>
    <b v="0"/>
    <b v="0"/>
    <n v="0"/>
    <b v="0"/>
    <b v="0"/>
    <n v="7800"/>
    <n v="4.7300000000000004"/>
    <n v="50"/>
  </r>
  <r>
    <x v="2"/>
    <s v="EPD"/>
    <x v="0"/>
    <x v="0"/>
    <s v="SIGMAT"/>
    <s v="HorEPDLGSOP"/>
    <s v="EPD Based LGS system using Horizon LGS Frame and Kingscourt Brick EPDs filled in with additional materials as necessary"/>
    <x v="0"/>
    <s v="Placeholder"/>
    <s v="insulation from LCA model A. Different dimensions may be used"/>
    <s v="No"/>
    <s v="Mineral Wool"/>
    <s v="ICE Database"/>
    <x v="1"/>
    <s v="Yes"/>
    <s v="Wool insulation for inside stud spacing"/>
    <m/>
    <s v="Yes"/>
    <s v="None"/>
    <n v="1.0371428571428574"/>
    <n v="8.9999999999999982"/>
    <n v="1.25"/>
    <s v="kg"/>
    <n v="0.6"/>
    <n v="2.4"/>
    <n v="0.09"/>
    <n v="0.12959999999999999"/>
    <n v="4"/>
    <n v="1"/>
    <n v="80"/>
    <n v="7.1999999999999993"/>
    <n v="2.1999999999999999E-2"/>
  </r>
  <r>
    <x v="2"/>
    <s v="EPD"/>
    <x v="0"/>
    <x v="0"/>
    <s v="SIGMAT"/>
    <s v="HorEPDLGSOP"/>
    <s v="EPD Based LGS system using Horizon LGS Frame and Kingscourt Brick EPDs filled in with additional materials as necessary"/>
    <x v="0"/>
    <s v="Placeholder"/>
    <s v="insulation from LCA model A. Different dimensions may be used"/>
    <s v="No"/>
    <s v="PIR"/>
    <s v="ICE Database"/>
    <x v="1"/>
    <s v="Yes"/>
    <s v="Extra insulation outside panel"/>
    <s v="None"/>
    <s v="Yes"/>
    <s v="None"/>
    <n v="3.6363636363636367"/>
    <n v="7.9078399999999993"/>
    <n v="3.089"/>
    <s v="kg"/>
    <n v="2.4"/>
    <n v="1.2"/>
    <n v="0.08"/>
    <n v="0.23039999999999999"/>
    <n v="2"/>
    <n v="1"/>
    <n v="32"/>
    <n v="2.56"/>
    <n v="0.3"/>
  </r>
  <r>
    <x v="2"/>
    <s v="EPD"/>
    <x v="0"/>
    <x v="0"/>
    <s v="SIGMAT"/>
    <s v="HorEPDLGSOP"/>
    <s v="EPD Based LGS system using Horizon LGS Frame and Kingscourt Brick EPDs filled in with additional materials as necessary"/>
    <x v="0"/>
    <s v="Placeholder"/>
    <s v="Membrane from model A. Different membrane may be used"/>
    <s v="No"/>
    <s v="Tyvek Membrane"/>
    <s v="ICE Database"/>
    <x v="2"/>
    <s v="Yes"/>
    <s v="Breather Paper for moisture"/>
    <s v="None"/>
    <s v="Yes"/>
    <s v="None"/>
    <n v="1.5E-3"/>
    <n v="0.25229166666666669"/>
    <n v="4.2"/>
    <s v="kg"/>
    <n v="2.4"/>
    <n v="2.4"/>
    <n v="4.4999999999999999E-4"/>
    <n v="2.5919999999999997E-3"/>
    <n v="1"/>
    <n v="1"/>
    <n v="0"/>
    <n v="0.34599999999999997"/>
    <n v="0.3"/>
  </r>
  <r>
    <x v="3"/>
    <s v="LCA"/>
    <x v="1"/>
    <x v="0"/>
    <n v="1"/>
    <s v="1LCATimOP"/>
    <s v="Direct Calculation Model A for Timber Open Panel with PIR and mineral wool insulation and tyvek membrane"/>
    <x v="0"/>
    <s v="Issue"/>
    <s v="thermal resistance based on wall factor may be incorrect"/>
    <s v="No"/>
    <s v="Wall Stud"/>
    <s v="ICE Database"/>
    <x v="0"/>
    <s v="No"/>
    <m/>
    <m/>
    <s v="Yes"/>
    <s v="None"/>
    <n v="8.5256410256410273E-2"/>
    <n v="1.4866075000000001"/>
    <n v="0.26300000000000001"/>
    <s v="kg"/>
    <n v="3.7999999999999999E-2"/>
    <n v="2.4"/>
    <n v="0.14000000000000001"/>
    <n v="1.2768E-2"/>
    <n v="5"/>
    <n v="7.9166666666666663E-2"/>
    <n v="510"/>
    <n v="5.6524999999999999"/>
    <n v="0.13"/>
  </r>
  <r>
    <x v="3"/>
    <s v="LCA"/>
    <x v="1"/>
    <x v="0"/>
    <n v="1"/>
    <s v="1LCATimOP"/>
    <s v="Direct Calculation Model A for Timber Open Panel with PIR and mineral wool insulation and tyvek membrane"/>
    <x v="0"/>
    <s v="Issue"/>
    <s v="thermal resistance based on wall factor may be incorrect"/>
    <s v="No"/>
    <s v="Top &amp; Bottom Plate"/>
    <s v="ICE Database"/>
    <x v="0"/>
    <s v="No"/>
    <m/>
    <m/>
    <s v="Yes"/>
    <s v="None"/>
    <n v="3.4102564102564105E-2"/>
    <n v="0.59464300000000003"/>
    <n v="0.26300000000000001"/>
    <s v="kg"/>
    <n v="3.7999999999999999E-2"/>
    <n v="2.4"/>
    <n v="0.14000000000000001"/>
    <n v="1.2768E-2"/>
    <n v="2"/>
    <n v="3.1666666666666662E-2"/>
    <n v="510"/>
    <n v="2.2610000000000001"/>
    <n v="0.13"/>
  </r>
  <r>
    <x v="3"/>
    <s v="LCA"/>
    <x v="1"/>
    <x v="0"/>
    <n v="1"/>
    <s v="1LCATimOP"/>
    <s v="Direct Calculation Model A for Timber Open Panel with PIR and mineral wool insulation and tyvek membrane"/>
    <x v="0"/>
    <s v="Issue"/>
    <s v="thermal resistance based on wall factor may be incorrect"/>
    <s v="No"/>
    <s v="Noggin"/>
    <s v="ICE Database"/>
    <x v="0"/>
    <s v="No"/>
    <m/>
    <m/>
    <s v="Yes"/>
    <s v="None"/>
    <n v="1.5630341880341885E-2"/>
    <n v="0.27254470833333344"/>
    <n v="0.26300000000000001"/>
    <s v="kg"/>
    <n v="3.7999999999999999E-2"/>
    <n v="2.2000000000000002"/>
    <n v="0.14000000000000001"/>
    <n v="1.1704000000000003E-2"/>
    <n v="1"/>
    <n v="1.451388888888889E-2"/>
    <n v="510"/>
    <n v="1.0362916666666671"/>
    <n v="0.13"/>
  </r>
  <r>
    <x v="3"/>
    <s v="LCA"/>
    <x v="1"/>
    <x v="0"/>
    <n v="1"/>
    <s v="1LCATimOP"/>
    <s v="Direct Calculation Model A for Timber Open Panel with PIR and mineral wool insulation and tyvek membrane"/>
    <x v="0"/>
    <s v="Unchecked"/>
    <m/>
    <s v="No"/>
    <s v="OSB Sheathing"/>
    <s v="ICE Database"/>
    <x v="3"/>
    <s v="Yes"/>
    <m/>
    <m/>
    <s v="Yes"/>
    <s v="None"/>
    <n v="6.9230769230769221E-2"/>
    <n v="2.4569999999999999"/>
    <n v="0.45500000000000002"/>
    <s v="kg"/>
    <n v="2.4"/>
    <n v="2.4"/>
    <n v="8.9999999999999993E-3"/>
    <n v="5.1839999999999997E-2"/>
    <n v="1"/>
    <n v="1"/>
    <n v="600"/>
    <n v="5.4"/>
    <n v="0.13"/>
  </r>
  <r>
    <x v="3"/>
    <s v="LCA"/>
    <x v="1"/>
    <x v="0"/>
    <n v="1"/>
    <s v="1LCATimOP"/>
    <s v="Direct Calculation Model A for Timber Open Panel with PIR and mineral wool insulation and tyvek membrane"/>
    <x v="0"/>
    <s v="Issue"/>
    <s v="Mineral wool dimensions overlap with studs. If mineral wool is being placed inside stud spacing, the mass balance doesn't add up"/>
    <s v="No"/>
    <s v="Mineral Wool Insulation"/>
    <s v="ICE Database"/>
    <x v="1"/>
    <s v="Yes"/>
    <m/>
    <m/>
    <s v="Yes"/>
    <s v="None"/>
    <n v="3.4986111111111109"/>
    <n v="14"/>
    <n v="1.25"/>
    <s v="kg"/>
    <n v="0.6"/>
    <n v="2.4"/>
    <n v="0.14000000000000001"/>
    <n v="0.2016"/>
    <n v="4"/>
    <n v="0.87465277777777772"/>
    <n v="80"/>
    <n v="11.200000000000001"/>
    <n v="3.5000000000000003E-2"/>
  </r>
  <r>
    <x v="3"/>
    <s v="LCA"/>
    <x v="1"/>
    <x v="0"/>
    <n v="1"/>
    <s v="1LCATimOP"/>
    <s v="Direct Calculation Model A for Timber Open Panel with PIR and mineral wool insulation and tyvek membrane"/>
    <x v="0"/>
    <s v="Unchecked"/>
    <m/>
    <s v="No"/>
    <s v="PIR Insulation"/>
    <s v="ICE Database"/>
    <x v="1"/>
    <s v="Yes"/>
    <m/>
    <m/>
    <s v="Yes"/>
    <s v="None"/>
    <n v="1.3636363636363638"/>
    <n v="2.9654399999999996"/>
    <n v="3.089"/>
    <s v="kg"/>
    <n v="2.4"/>
    <n v="2.4"/>
    <n v="0.03"/>
    <n v="0.17279999999999998"/>
    <n v="1"/>
    <n v="1"/>
    <n v="32"/>
    <n v="0.96"/>
    <n v="2.1999999999999999E-2"/>
  </r>
  <r>
    <x v="3"/>
    <s v="LCA"/>
    <x v="1"/>
    <x v="0"/>
    <n v="1"/>
    <s v="1LCATimOP"/>
    <s v="Direct Calculation Model A for Timber Open Panel with PIR and mineral wool insulation and tyvek membrane"/>
    <x v="0"/>
    <s v="Unchecked"/>
    <m/>
    <s v="No"/>
    <s v="Weather Membrane (Tyvek 60g/m2)"/>
    <s v="ICE Database"/>
    <x v="2"/>
    <s v="Yes"/>
    <m/>
    <m/>
    <s v="Yes"/>
    <s v="None"/>
    <n v="1.5E-3"/>
    <n v="0.25229166666666669"/>
    <n v="4.2"/>
    <s v="kg"/>
    <n v="2.4"/>
    <n v="2.4"/>
    <n v="4.4999999999999999E-4"/>
    <n v="2.5919999999999997E-3"/>
    <n v="1"/>
    <n v="1"/>
    <n v="0"/>
    <n v="6.0763888888888888E-2"/>
    <n v="0.3"/>
  </r>
  <r>
    <x v="4"/>
    <s v="LCA"/>
    <x v="1"/>
    <x v="1"/>
    <n v="1"/>
    <s v="1LCATimIN"/>
    <s v="Direct Calculation Model A for Combining Studs, OSB, membrane, and insulation into one panel for a direct comparison to pre-insulated panel EPDs"/>
    <x v="0"/>
    <s v="Unchecked"/>
    <m/>
    <s v="No"/>
    <s v="Pre-insulated panel"/>
    <s v="ICE Database"/>
    <x v="4"/>
    <s v="Yes"/>
    <s v="Wall studs, top &amp; bottom plate, noggin, PIR and mineral wool, tyvek membrane, OSB sheathing"/>
    <m/>
    <s v="Yes"/>
    <s v="None"/>
    <n v="5.0679675602175607"/>
    <n v="22.028526875000001"/>
    <m/>
    <m/>
    <b v="0"/>
    <b v="0"/>
    <b v="0"/>
    <b v="0"/>
    <b v="0"/>
    <b v="0"/>
    <b v="0"/>
    <n v="26.570555555555558"/>
    <b v="0"/>
  </r>
  <r>
    <x v="5"/>
    <s v="EPD"/>
    <x v="1"/>
    <x v="0"/>
    <s v="Donaldson"/>
    <s v="DonEPDTimOP"/>
    <s v="System built from UK company Donaldson Timber System's Alpha - Open Panel product EPD and filled with assumed values of mineral wool and PIR from materials database. Brick finish is based on Kingscourt brick EPD from Ireland"/>
    <x v="0"/>
    <s v="Incomplete"/>
    <s v="R value and dimensions unknown for open panel"/>
    <s v="No"/>
    <s v="Alpha - Open Panel"/>
    <s v="Base EPD"/>
    <x v="0"/>
    <s v="Yes"/>
    <s v="Studs, top and bottom plate, noggin, OSB sheathing etc."/>
    <m/>
    <s v="No"/>
    <s v="R value, Insulation type used, panel dimensions"/>
    <n v="0.20422008547008547"/>
    <n v="14.681000000000001"/>
    <n v="14.681000000000001"/>
    <s v="m^2"/>
    <b v="0"/>
    <b v="0"/>
    <b v="0"/>
    <b v="0"/>
    <b v="0"/>
    <b v="0"/>
    <b v="0"/>
    <n v="21.04"/>
    <b v="0"/>
  </r>
  <r>
    <x v="5"/>
    <s v="EPD"/>
    <x v="1"/>
    <x v="0"/>
    <s v="Donaldson"/>
    <s v="DonEPDTimOP"/>
    <s v="System built from UK company Donaldson Timber System's Alpha - Open Panel product EPD and filled with assumed values of mineral wool and PIR from materials database. Brick finish is based on Kingscourt brick EPD from Ireland"/>
    <x v="0"/>
    <s v="Placeholder"/>
    <s v="insulation from LCA model A. Different dimensions may be used"/>
    <s v="No"/>
    <s v="Mineral Wool Insulation"/>
    <s v="ICE Database"/>
    <x v="1"/>
    <s v="Yes"/>
    <m/>
    <m/>
    <s v="Yes"/>
    <s v="None"/>
    <n v="3.4986111111111109"/>
    <n v="14"/>
    <n v="1.25"/>
    <s v="kg"/>
    <n v="0.6"/>
    <n v="2.4"/>
    <n v="0.14000000000000001"/>
    <n v="0.2016"/>
    <n v="4"/>
    <n v="0.87465277777777772"/>
    <n v="80"/>
    <n v="11.200000000000001"/>
    <n v="3.5000000000000003E-2"/>
  </r>
  <r>
    <x v="5"/>
    <s v="EPD"/>
    <x v="1"/>
    <x v="0"/>
    <s v="Donaldson"/>
    <s v="DonEPDTimOP"/>
    <s v="System built from UK company Donaldson Timber System's Alpha - Open Panel product EPD and filled with assumed values of mineral wool and PIR from materials database. Brick finish is based on Kingscourt brick EPD from Ireland"/>
    <x v="0"/>
    <s v="Placeholder"/>
    <s v="insulation from LCA model A. Different dimensions may be used"/>
    <s v="No"/>
    <s v="PIR Insulation"/>
    <s v="ICE Database"/>
    <x v="1"/>
    <s v="Yes"/>
    <m/>
    <m/>
    <s v="Yes"/>
    <s v="None"/>
    <n v="1.3636363636363638"/>
    <n v="2.9654399999999996"/>
    <n v="3.089"/>
    <s v="kg"/>
    <n v="2.4"/>
    <n v="2.4"/>
    <n v="0.03"/>
    <n v="0.17279999999999998"/>
    <n v="1"/>
    <n v="1"/>
    <n v="32"/>
    <n v="0.96"/>
    <n v="2.1999999999999999E-2"/>
  </r>
  <r>
    <x v="5"/>
    <s v="EPD"/>
    <x v="1"/>
    <x v="0"/>
    <s v="Donaldson"/>
    <s v="DonEPDTimOP"/>
    <s v="System built from UK company Donaldson Timber System's Alpha - Open Panel product EPD and filled with assumed values of mineral wool and PIR from materials database. Brick finish is based on Kingscourt brick EPD from Ireland"/>
    <x v="0"/>
    <s v="Placeholder"/>
    <s v="Membrane from model A. Different membrane may be used"/>
    <s v="No"/>
    <s v="Weather Membrane (Tyvek 60g/m2)"/>
    <s v="ICE Database"/>
    <x v="2"/>
    <s v="Yes"/>
    <m/>
    <m/>
    <s v="Yes"/>
    <s v="None"/>
    <n v="1.5E-3"/>
    <n v="0.25229166666666669"/>
    <n v="4.2"/>
    <s v="kg"/>
    <n v="2.4"/>
    <n v="2.4"/>
    <n v="4.4999999999999999E-4"/>
    <n v="2.5919999999999997E-3"/>
    <n v="1"/>
    <n v="1"/>
    <n v="0"/>
    <n v="6.0763888888888888E-2"/>
    <n v="0.3"/>
  </r>
  <r>
    <x v="6"/>
    <s v="EPD"/>
    <x v="1"/>
    <x v="1"/>
    <s v="Donaldson"/>
    <s v="DonEPDTimIN"/>
    <s v="System built from UK company Donaldson Timber System's Delta - PreInsulated Panel product EPD. Brick finish is based on Kingscourt brick EPD from Ireland"/>
    <x v="0"/>
    <s v="Incomplete"/>
    <s v="R value, insulation type, and dimensions unknown for open panel"/>
    <s v="No"/>
    <s v="Delta - Pre-Insulated Panel"/>
    <s v="Base EPD"/>
    <x v="4"/>
    <s v="Yes"/>
    <s v="Studs, top and bottom plate, noggin, OSB sheathing, unknown insulation"/>
    <m/>
    <s v="No"/>
    <s v="Insulation type used, panel dimensions"/>
    <n v="5.0694675602175607"/>
    <n v="18.8"/>
    <n v="18.8"/>
    <s v="m^2"/>
    <b v="0"/>
    <b v="0"/>
    <b v="0"/>
    <b v="0"/>
    <b v="0"/>
    <b v="0"/>
    <b v="0"/>
    <n v="23.57"/>
    <b v="0"/>
  </r>
  <r>
    <x v="7"/>
    <s v="LCA"/>
    <x v="2"/>
    <x v="2"/>
    <s v="A"/>
    <s v="1LCAICF"/>
    <s v="Direct Calculation Model A representing a generic ICF form and associated concrete and steel reinforcement. Brick exterior finish is used"/>
    <x v="1"/>
    <s v="Unchecked"/>
    <m/>
    <s v="No"/>
    <s v="EPS 2 x 75mm"/>
    <s v="ICE Database"/>
    <x v="1"/>
    <s v="No"/>
    <s v="EPS Pieces"/>
    <s v="web supports"/>
    <s v="Yes"/>
    <s v="None"/>
    <n v="4.2857142857142856"/>
    <n v="13.837500000000002"/>
    <n v="3.69"/>
    <s v="kg"/>
    <m/>
    <m/>
    <m/>
    <m/>
    <m/>
    <m/>
    <m/>
    <n v="3.7500000000000004"/>
    <m/>
  </r>
  <r>
    <x v="7"/>
    <s v="LCA"/>
    <x v="2"/>
    <x v="2"/>
    <s v="A"/>
    <s v="1LCAICF"/>
    <s v="Direct Calculation Model A representing a generic ICF form and associated concrete and steel reinforcement. Brick exterior finish is used"/>
    <x v="1"/>
    <s v="Unchecked"/>
    <m/>
    <s v="No"/>
    <s v="Ready-Mix Concrete"/>
    <s v="ICE Database"/>
    <x v="0"/>
    <s v="No"/>
    <s v="ready mix concrete poured into ICF form"/>
    <s v="steel reinforcement"/>
    <s v="Yes"/>
    <s v="None"/>
    <n v="3.7499999999999999E-2"/>
    <n v="37.08"/>
    <n v="0.10299999999999999"/>
    <s v="kg"/>
    <m/>
    <m/>
    <m/>
    <m/>
    <m/>
    <m/>
    <m/>
    <n v="360"/>
    <m/>
  </r>
  <r>
    <x v="7"/>
    <s v="LCA"/>
    <x v="2"/>
    <x v="2"/>
    <s v="A"/>
    <s v="1LCAICF"/>
    <s v="Direct Calculation Model A representing a generic ICF form and associated concrete and steel reinforcement. Brick exterior finish is used"/>
    <x v="1"/>
    <s v="Unchecked"/>
    <m/>
    <s v="No"/>
    <s v="Steel rebar"/>
    <s v="ICE Database"/>
    <x v="0"/>
    <s v="No"/>
    <s v="rebar pieces to reinforce concrete "/>
    <s v="concrete"/>
    <s v="Yes"/>
    <s v="None"/>
    <n v="0"/>
    <n v="12.383402777777778"/>
    <n v="1.72"/>
    <s v="kg"/>
    <m/>
    <m/>
    <m/>
    <m/>
    <m/>
    <m/>
    <m/>
    <n v="7.1996527777777777"/>
    <m/>
  </r>
  <r>
    <x v="7"/>
    <s v="LCA"/>
    <x v="2"/>
    <x v="2"/>
    <s v="A"/>
    <s v="1LCAICF"/>
    <s v="Direct Calculation Model A representing a generic ICF form and associated concrete and steel reinforcement. Brick exterior finish is used"/>
    <x v="1"/>
    <s v="Unchecked"/>
    <m/>
    <s v="No"/>
    <s v="Polypropylene webs"/>
    <s v="ICE Database"/>
    <x v="1"/>
    <s v="No"/>
    <s v="Plastic webs to hold EPS pieces together"/>
    <s v="EPS"/>
    <s v="Yes"/>
    <s v="None"/>
    <n v="0"/>
    <n v="1.6059027777777779"/>
    <n v="1.85"/>
    <s v="kg"/>
    <m/>
    <m/>
    <m/>
    <m/>
    <m/>
    <m/>
    <m/>
    <n v="0.86805555555555558"/>
    <m/>
  </r>
  <r>
    <x v="7"/>
    <s v="LCA"/>
    <x v="2"/>
    <x v="2"/>
    <s v="A"/>
    <s v="1LCAICF"/>
    <s v="Direct Calculation Model A representing a generic ICF form and associated concrete and steel reinforcement. Brick exterior finish is used"/>
    <x v="1"/>
    <s v="Unchecked"/>
    <m/>
    <s v="No"/>
    <s v="Tyvek Membrane"/>
    <s v="ICE Database"/>
    <x v="2"/>
    <s v="Yes"/>
    <s v="Breather Paper for moisture"/>
    <s v="None"/>
    <s v="Yes"/>
    <s v="None"/>
    <n v="1.5E-3"/>
    <n v="0.25229166666666669"/>
    <n v="4.2"/>
    <s v="kg"/>
    <m/>
    <m/>
    <m/>
    <m/>
    <m/>
    <m/>
    <m/>
    <n v="6.0069444444444439E-2"/>
    <m/>
  </r>
  <r>
    <x v="8"/>
    <s v="EPD"/>
    <x v="2"/>
    <x v="2"/>
    <s v="Nudura"/>
    <s v="NudEPDICF"/>
    <m/>
    <x v="1"/>
    <s v="Unchecked"/>
    <m/>
    <s v="No"/>
    <s v="Nudura ICF"/>
    <s v="Base EPD"/>
    <x v="1"/>
    <s v="Yes"/>
    <s v="EPS, plastic webs"/>
    <m/>
    <s v="Yes"/>
    <s v="None"/>
    <n v="4.2"/>
    <n v="15.390090090090087"/>
    <n v="17.082999999999998"/>
    <s v="Panel"/>
    <m/>
    <m/>
    <m/>
    <n v="0"/>
    <m/>
    <m/>
    <m/>
    <n v="6.2190000000000003"/>
    <m/>
  </r>
  <r>
    <x v="8"/>
    <s v="EPD"/>
    <x v="2"/>
    <x v="2"/>
    <s v="Nudura"/>
    <s v="NudEPDICF"/>
    <m/>
    <x v="1"/>
    <s v="Unchecked"/>
    <m/>
    <s v="No"/>
    <s v="C28/35 Readymix Concrete (0% GGBS Cement Replacement)"/>
    <s v="Additional EPD"/>
    <x v="0"/>
    <s v="No"/>
    <m/>
    <s v="reinforcement"/>
    <s v="Yes"/>
    <s v="None"/>
    <n v="0.17647058823529413"/>
    <n v="34.429499999999997"/>
    <n v="229.53"/>
    <s v="m^3"/>
    <n v="1"/>
    <n v="1"/>
    <n v="0.15"/>
    <n v="0.15"/>
    <m/>
    <m/>
    <n v="2412"/>
    <n v="361.8"/>
    <m/>
  </r>
  <r>
    <x v="8"/>
    <s v="EPD"/>
    <x v="2"/>
    <x v="2"/>
    <s v="Nudura"/>
    <s v="NudEPDICF"/>
    <m/>
    <x v="1"/>
    <s v="Placeholder"/>
    <s v="assuming the same steel reinforcement as Model A"/>
    <s v="No"/>
    <s v="Steel rebar"/>
    <s v="ICE Database"/>
    <x v="0"/>
    <s v="No"/>
    <s v="rebar pieces to reinforce concrete "/>
    <s v="concrete"/>
    <s v="Yes"/>
    <s v="None"/>
    <n v="0"/>
    <n v="12.383402777777778"/>
    <n v="1.72"/>
    <s v="kg"/>
    <m/>
    <m/>
    <m/>
    <n v="0"/>
    <m/>
    <m/>
    <m/>
    <n v="0"/>
    <m/>
  </r>
  <r>
    <x v="8"/>
    <s v="EPD"/>
    <x v="2"/>
    <x v="2"/>
    <s v="Nudura"/>
    <s v="NudEPDICF"/>
    <m/>
    <x v="1"/>
    <s v="Placeholder"/>
    <s v="Membrane from model A. Different membrane may be used"/>
    <s v="No"/>
    <s v="Tyvek Membrane"/>
    <s v="ICE Database"/>
    <x v="2"/>
    <s v="Yes"/>
    <s v="Breather Paper for moisture"/>
    <s v="None"/>
    <s v="Yes"/>
    <s v="None"/>
    <n v="1.5E-3"/>
    <n v="0.25229166666666669"/>
    <n v="4.2"/>
    <s v="kg"/>
    <m/>
    <m/>
    <m/>
    <n v="0"/>
    <m/>
    <m/>
    <m/>
    <n v="0"/>
    <m/>
  </r>
  <r>
    <x v="9"/>
    <s v="EPD"/>
    <x v="3"/>
    <x v="3"/>
    <s v="Aircrete Standard"/>
    <s v="AirStandEPDCBlk"/>
    <s v="Benchmark traditional aerated concrete block"/>
    <x v="1"/>
    <s v="Unchecked"/>
    <s v="Unsure if 215 mm is proper thickness or if they are using the 100 mm side + other construction pieces"/>
    <s v="No"/>
    <s v="Mannok Aircrete block Standard"/>
    <s v="Base EPD"/>
    <x v="0"/>
    <s v="No"/>
    <s v="Thermal Concrete block"/>
    <s v="Concrete mortar"/>
    <s v="Yes"/>
    <s v="None"/>
    <n v="1.26"/>
    <n v="45.864552500000002"/>
    <n v="328.19"/>
    <s v="tonne"/>
    <n v="1"/>
    <n v="1"/>
    <n v="0.215"/>
    <n v="0.215"/>
    <m/>
    <m/>
    <n v="650"/>
    <n v="139.75"/>
    <m/>
  </r>
  <r>
    <x v="9"/>
    <s v="EPD"/>
    <x v="3"/>
    <x v="3"/>
    <s v="Aircrete Standard"/>
    <s v="AirStandEPDCBlk"/>
    <s v="Benchmark traditional aerated concrete block"/>
    <x v="1"/>
    <s v="Placeholder"/>
    <s v="Membrane from model A. Different membrane may be used"/>
    <s v="No"/>
    <s v="Tyvek Membrane"/>
    <s v="ICE Database"/>
    <x v="2"/>
    <s v="Yes"/>
    <s v="Breather Paper for moisture"/>
    <s v="None"/>
    <s v="Yes"/>
    <s v="None"/>
    <n v="1.5E-3"/>
    <n v="0.25229166666666669"/>
    <n v="4.2"/>
    <s v="kg"/>
    <n v="2.4"/>
    <n v="2.4"/>
    <n v="4.4999999999999999E-4"/>
    <n v="2.5919999999999997E-3"/>
    <n v="1"/>
    <n v="1"/>
    <n v="0"/>
    <n v="0.34599999999999997"/>
    <n v="0.3"/>
  </r>
  <r>
    <x v="9"/>
    <s v="EPD"/>
    <x v="3"/>
    <x v="3"/>
    <s v="Aircrete Standard"/>
    <s v="AirStandEPDCBlk"/>
    <s v="Benchmark traditional aerated concrete block"/>
    <x v="1"/>
    <s v="Placeholder"/>
    <s v="Mannok website mentioned EPS so used 75 mm of EPS to reach proper R value. Unsure if this is accurate to Mannok's system"/>
    <s v="No"/>
    <s v="EPS"/>
    <s v="ICE Database"/>
    <x v="1"/>
    <s v="Yes"/>
    <s v="EPS rigid insulation"/>
    <m/>
    <s v="Yes"/>
    <s v="None"/>
    <n v="2.1428571428571428"/>
    <n v="6.9187500000000002"/>
    <n v="3.69"/>
    <s v="kg"/>
    <n v="1"/>
    <n v="1"/>
    <n v="7.4999999999999997E-2"/>
    <n v="7.4999999999999997E-2"/>
    <n v="1"/>
    <n v="1"/>
    <n v="25"/>
    <n v="1.875"/>
    <n v="3.5000000000000003E-2"/>
  </r>
  <r>
    <x v="9"/>
    <s v="EPD"/>
    <x v="3"/>
    <x v="3"/>
    <s v="Aircrete Standard"/>
    <s v="AirStandEPDCBlk"/>
    <s v="Benchmark traditional aerated concrete block"/>
    <x v="1"/>
    <s v="Issue"/>
    <s v="normalisation for this mortar EPD is estimated. Need the density of the mortar and the volume of the mortar in the wall"/>
    <s v="No"/>
    <s v="Tiger Mortar General Masonry"/>
    <s v="Additional EPD"/>
    <x v="0"/>
    <s v="No"/>
    <s v="mortar used for brick"/>
    <s v="Brick, Cavity"/>
    <s v="No"/>
    <s v="Density of the mortar"/>
    <n v="0"/>
    <n v="4.1849999999999996"/>
    <n v="135"/>
    <s v="kg"/>
    <n v="1"/>
    <n v="1.2E-2"/>
    <n v="0.1"/>
    <n v="1.2000000000000001E-3"/>
    <n v="5"/>
    <n v="1.2E-2"/>
    <n v="2000"/>
    <n v="31"/>
    <n v="2"/>
  </r>
  <r>
    <x v="10"/>
    <s v="EPD"/>
    <x v="4"/>
    <x v="4"/>
    <s v="SP-170"/>
    <s v="SP-170EPDSIP"/>
    <s v="170 mm SIP panel from Adam House using EPS and OSB panels. Includes structural and insulation use"/>
    <x v="1"/>
    <s v="Unchecked"/>
    <m/>
    <s v="No"/>
    <s v="SIP (Structural Insulated Panel) elements type of SP-170 for passive house"/>
    <s v="Base EPD"/>
    <x v="5"/>
    <s v="Yes"/>
    <s v="Structural Panel with EPS insulation and 2 OBS boards"/>
    <m/>
    <s v="Yes"/>
    <s v="None"/>
    <n v="4.9800000000000004"/>
    <n v="19.5"/>
    <n v="19.5"/>
    <s v="m^2"/>
    <m/>
    <m/>
    <m/>
    <m/>
    <m/>
    <m/>
    <m/>
    <n v="21.31"/>
    <m/>
  </r>
  <r>
    <x v="10"/>
    <s v="EPD"/>
    <x v="4"/>
    <x v="4"/>
    <s v="SP-170"/>
    <s v="SP-170EPDSIP"/>
    <s v="170 mm SIP panel from Adam House using EPS and OSB panels. Includes structural and insulation use"/>
    <x v="1"/>
    <s v="Placeholder"/>
    <s v="Need proper membrane used for SIP"/>
    <s v="No"/>
    <s v="Tyvek Membrane"/>
    <s v="ICE Database"/>
    <x v="2"/>
    <s v="Yes"/>
    <s v="Breather Paper for moisture"/>
    <s v="None"/>
    <s v="Yes"/>
    <s v="None"/>
    <n v="1.5E-3"/>
    <n v="0.25229166666666669"/>
    <n v="4.2"/>
    <s v="kg"/>
    <n v="2.4"/>
    <n v="2.4"/>
    <n v="4.4999999999999999E-4"/>
    <n v="2.5919999999999997E-3"/>
    <n v="1"/>
    <n v="1"/>
    <n v="0"/>
    <n v="0.34599999999999997"/>
    <n v="0.3"/>
  </r>
  <r>
    <x v="11"/>
    <s v="EPD"/>
    <x v="4"/>
    <x v="4"/>
    <s v="SP-270"/>
    <s v="SP-270EPDSIP"/>
    <s v="270 mm SIP panel from Adam House using EPS and OSB panels. Includes structural and insulation use"/>
    <x v="1"/>
    <s v="Unchecked"/>
    <m/>
    <s v="No"/>
    <s v="SIP (Structural Insulated Panel) elements type of SP-270 for passive house"/>
    <s v="Base EPD"/>
    <x v="5"/>
    <s v="Yes"/>
    <s v="Structural Panel with EPS insulation and 2 OBS boards"/>
    <m/>
    <s v="Yes"/>
    <s v="None"/>
    <n v="6.97"/>
    <n v="24.6"/>
    <n v="24.6"/>
    <s v="m^2"/>
    <m/>
    <m/>
    <m/>
    <m/>
    <m/>
    <m/>
    <m/>
    <n v="22.09"/>
    <m/>
  </r>
  <r>
    <x v="11"/>
    <s v="EPD"/>
    <x v="4"/>
    <x v="4"/>
    <s v="SP-270"/>
    <s v="SP-270EPDSIP"/>
    <s v="270 mm SIP panel from Adam House using EPS and OSB panels. Includes structural and insulation use"/>
    <x v="1"/>
    <s v="Placeholder"/>
    <s v="Need proper membrane used for SIP"/>
    <s v="No"/>
    <s v="Tyvek Membrane"/>
    <s v="ICE Database"/>
    <x v="2"/>
    <s v="Yes"/>
    <s v="Breather Paper for moisture"/>
    <s v="None"/>
    <s v="Yes"/>
    <s v="None"/>
    <n v="1.5E-3"/>
    <n v="0.25229166666666669"/>
    <n v="4.2"/>
    <s v="kg"/>
    <n v="2.4"/>
    <n v="2.4"/>
    <n v="4.4999999999999999E-4"/>
    <n v="2.5919999999999997E-3"/>
    <n v="1"/>
    <n v="1"/>
    <n v="0"/>
    <n v="0.34599999999999997"/>
    <n v="0.3"/>
  </r>
  <r>
    <x v="12"/>
    <s v="EPD"/>
    <x v="4"/>
    <x v="4"/>
    <s v="MgO"/>
    <s v="MgOEPDSIP"/>
    <s v="SIP made of two 12 mm MgO sheets with 140 graphite powder insulation EPS material sandwiched between them."/>
    <x v="1"/>
    <s v="Unchecked"/>
    <m/>
    <s v="No"/>
    <s v="Graphite MgO SIP panel"/>
    <s v="EPD"/>
    <x v="5"/>
    <s v="Yes"/>
    <s v="Structural Panel with EPS insulation and 2 OBS boards"/>
    <m/>
    <s v="Yes"/>
    <s v="None"/>
    <n v="5.16"/>
    <n v="44.4"/>
    <n v="44.4"/>
    <s v="m^2"/>
    <m/>
    <m/>
    <m/>
    <m/>
    <m/>
    <m/>
    <m/>
    <n v="23.2"/>
    <m/>
  </r>
  <r>
    <x v="12"/>
    <s v="EPD"/>
    <x v="4"/>
    <x v="4"/>
    <s v="MgO"/>
    <s v="MgOEPDSIP"/>
    <s v="SIP made of two 12 mm MgO sheets with 140 graphite powder insulation EPS material sandwiched between them."/>
    <x v="1"/>
    <s v="Placeholder"/>
    <s v="Need proper membrane used for SIP"/>
    <s v="No"/>
    <s v="Tyvek Membrane"/>
    <s v="ICE Database"/>
    <x v="2"/>
    <s v="Yes"/>
    <s v="Breather Paper for moisture"/>
    <s v="None"/>
    <s v="Yes"/>
    <s v="None"/>
    <n v="1.5E-3"/>
    <n v="0.25229166666666669"/>
    <n v="4.2"/>
    <s v="kg"/>
    <n v="2.4"/>
    <n v="2.4"/>
    <n v="4.4999999999999999E-4"/>
    <n v="2.5919999999999997E-3"/>
    <n v="1"/>
    <n v="1"/>
    <n v="0"/>
    <n v="0.34599999999999997"/>
    <n v="0.3"/>
  </r>
  <r>
    <x v="13"/>
    <s v="EPD"/>
    <x v="4"/>
    <x v="4"/>
    <s v="NZSIP 115"/>
    <s v="NZEPDSIP"/>
    <s v="SIP from New Zealand with EPS and OSB board. EPD includes a few different types of wall, roof, and floor panels. This system uses the 115 mm wall panels"/>
    <x v="1"/>
    <s v="Unchecked"/>
    <m/>
    <s v="No"/>
    <s v="Structural Insulated Panels From New Zealand Structural Insulated Panels (NZSIP) Limited"/>
    <s v="Base EPD"/>
    <x v="5"/>
    <s v="Yes"/>
    <s v="Structural Panel with EPS insulation and 2 OBS boards"/>
    <m/>
    <s v="Yes"/>
    <s v="None"/>
    <n v="4.5"/>
    <n v="40"/>
    <n v="40"/>
    <s v="m^2"/>
    <m/>
    <m/>
    <m/>
    <m/>
    <m/>
    <m/>
    <m/>
    <n v="23.7"/>
    <m/>
  </r>
  <r>
    <x v="13"/>
    <s v="EPD"/>
    <x v="4"/>
    <x v="4"/>
    <s v="NZSIP 115"/>
    <s v="NZEPDSIP"/>
    <s v="SIP from New Zealand with EPS and OSB board. EPD includes a few different types of wall, roof, and floor panels. This system uses the 115 mm wall panels"/>
    <x v="1"/>
    <s v="Placeholder"/>
    <s v="Need proper membrane used for SIP"/>
    <s v="No"/>
    <s v="Tyvek Membrane"/>
    <s v="ICE Database"/>
    <x v="2"/>
    <s v="Yes"/>
    <s v="Breather Paper for moisture"/>
    <s v="None"/>
    <s v="Yes"/>
    <s v="None"/>
    <n v="1.5E-3"/>
    <n v="0.25229166666666669"/>
    <n v="4.2"/>
    <s v="kg"/>
    <n v="2.4"/>
    <n v="2.4"/>
    <n v="4.4999999999999999E-4"/>
    <n v="2.5919999999999997E-3"/>
    <n v="1"/>
    <n v="1"/>
    <n v="0"/>
    <n v="0.34599999999999997"/>
    <n v="0.3"/>
  </r>
  <r>
    <x v="14"/>
    <s v="EPD"/>
    <x v="4"/>
    <x v="4"/>
    <s v="USASIP"/>
    <s v="USEPDSIP"/>
    <m/>
    <x v="1"/>
    <s v="Unchecked"/>
    <m/>
    <s v="No"/>
    <s v="SIPA B6.5"/>
    <s v="Base EPD"/>
    <x v="5"/>
    <s v="Yes"/>
    <s v="Structural Panel with EPS insulation and 2 OBS boards"/>
    <m/>
    <s v="Yes"/>
    <s v="None"/>
    <n v="3.7"/>
    <n v="23.1"/>
    <n v="23.1"/>
    <s v="m^2"/>
    <m/>
    <m/>
    <m/>
    <m/>
    <m/>
    <m/>
    <m/>
    <n v="18.600000000000001"/>
    <m/>
  </r>
  <r>
    <x v="14"/>
    <s v="EPD"/>
    <x v="4"/>
    <x v="4"/>
    <s v="USASIP"/>
    <s v="USEPDSIP"/>
    <m/>
    <x v="1"/>
    <s v="Placeholder"/>
    <s v="Need proper membrane used for SIP"/>
    <s v="No"/>
    <s v="Tyvek Membrane"/>
    <s v="ICE Database"/>
    <x v="2"/>
    <s v="Yes"/>
    <s v="Breather Paper for moisture"/>
    <s v="None"/>
    <s v="Yes"/>
    <s v="None"/>
    <n v="1.5E-3"/>
    <n v="0.25229166666666669"/>
    <n v="4.2"/>
    <s v="kg"/>
    <n v="2.4"/>
    <n v="2.4"/>
    <n v="4.4999999999999999E-4"/>
    <n v="2.5919999999999997E-3"/>
    <n v="1"/>
    <n v="1"/>
    <n v="0"/>
    <n v="0.34599999999999997"/>
    <n v="0.3"/>
  </r>
  <r>
    <x v="15"/>
    <s v="EPD"/>
    <x v="2"/>
    <x v="2"/>
    <s v="Thermomur"/>
    <s v="thermEPDICF"/>
    <m/>
    <x v="1"/>
    <s v="Unchecked"/>
    <m/>
    <s v="No"/>
    <s v="Thermomur ICF"/>
    <s v="Base EPD"/>
    <x v="1"/>
    <s v="Yes"/>
    <s v="EPS, plastic webs"/>
    <m/>
    <s v="Yes"/>
    <s v="None"/>
    <n v="5.96"/>
    <n v="26.438000000000002"/>
    <n v="26.438000000000002"/>
    <s v="m^2"/>
    <m/>
    <m/>
    <m/>
    <n v="0"/>
    <m/>
    <m/>
    <m/>
    <n v="8.18"/>
    <m/>
  </r>
  <r>
    <x v="15"/>
    <s v="EPD"/>
    <x v="2"/>
    <x v="2"/>
    <s v="Thermomur"/>
    <s v="thermEPDICF"/>
    <m/>
    <x v="1"/>
    <s v="Unchecked"/>
    <m/>
    <s v="No"/>
    <s v="C28/35 Readymix Concrete (0% GGBS Cement Replacement)"/>
    <s v="Additional EPD"/>
    <x v="0"/>
    <s v="No"/>
    <m/>
    <s v="reinforcement"/>
    <s v="Yes"/>
    <s v="None"/>
    <n v="0.17647058823529413"/>
    <n v="34.429499999999997"/>
    <n v="229.53"/>
    <s v="m^3"/>
    <n v="1"/>
    <n v="1"/>
    <n v="0.15"/>
    <n v="0.15"/>
    <m/>
    <m/>
    <n v="2412"/>
    <n v="361.8"/>
    <m/>
  </r>
  <r>
    <x v="15"/>
    <s v="EPD"/>
    <x v="2"/>
    <x v="2"/>
    <s v="Thermomur"/>
    <s v="thermEPDICF"/>
    <m/>
    <x v="1"/>
    <s v="Placeholder"/>
    <s v="assuming the same steel reinforcement as Model A"/>
    <s v="No"/>
    <s v="Steel rebar"/>
    <s v="ICE Database"/>
    <x v="0"/>
    <s v="No"/>
    <s v="rebar pieces to reinforce concrete "/>
    <s v="concrete"/>
    <s v="Yes"/>
    <s v="None"/>
    <n v="0"/>
    <n v="12.383402777777778"/>
    <n v="1.72"/>
    <s v="kg"/>
    <m/>
    <m/>
    <m/>
    <n v="0"/>
    <m/>
    <m/>
    <m/>
    <n v="0"/>
    <m/>
  </r>
  <r>
    <x v="15"/>
    <s v="EPD"/>
    <x v="2"/>
    <x v="2"/>
    <s v="Thermomur"/>
    <s v="thermEPDICF"/>
    <m/>
    <x v="1"/>
    <s v="Placeholder"/>
    <s v="Membrane from model A. Different membrane may be used"/>
    <s v="No"/>
    <s v="Tyvek Membrane"/>
    <s v="ICE Database"/>
    <x v="2"/>
    <s v="Yes"/>
    <s v="Breather Paper for moisture"/>
    <s v="None"/>
    <s v="Yes"/>
    <s v="None"/>
    <n v="1.5E-3"/>
    <n v="0.25229166666666669"/>
    <n v="4.2"/>
    <s v="kg"/>
    <m/>
    <m/>
    <m/>
    <n v="0"/>
    <m/>
    <m/>
    <m/>
    <n v="0"/>
    <m/>
  </r>
  <r>
    <x v="16"/>
    <s v="EPD"/>
    <x v="2"/>
    <x v="2"/>
    <s v="Amvic300"/>
    <s v="Amv300EPDICF"/>
    <m/>
    <x v="1"/>
    <s v="Unchecked"/>
    <m/>
    <s v="No"/>
    <s v="AMVIC EPS Insulating Concrete Formwork (300m)"/>
    <s v="Base EPD"/>
    <x v="1"/>
    <s v="Yes"/>
    <s v="EPS, plastic webs"/>
    <m/>
    <s v="Yes"/>
    <s v="None"/>
    <n v="5.0599999999999996"/>
    <n v="20.672000000000001"/>
    <n v="20.672000000000001"/>
    <s v="m^2"/>
    <m/>
    <m/>
    <m/>
    <n v="0"/>
    <m/>
    <m/>
    <m/>
    <n v="6.37"/>
    <m/>
  </r>
  <r>
    <x v="16"/>
    <s v="EPD"/>
    <x v="2"/>
    <x v="2"/>
    <s v="Amvic300"/>
    <s v="Amv300EPDICF"/>
    <m/>
    <x v="1"/>
    <s v="Unchecked"/>
    <m/>
    <s v="No"/>
    <s v="C28/35 Readymix Concrete (0% GGBS Cement Replacement)"/>
    <s v="Additional EPD"/>
    <x v="0"/>
    <s v="No"/>
    <m/>
    <s v="reinforcement"/>
    <s v="Yes"/>
    <s v="None"/>
    <n v="0.17647058823529413"/>
    <n v="34.429499999999997"/>
    <n v="229.53"/>
    <s v="m^3"/>
    <n v="1"/>
    <n v="1"/>
    <n v="0.15"/>
    <n v="0.15"/>
    <m/>
    <m/>
    <n v="2412"/>
    <n v="361.8"/>
    <m/>
  </r>
  <r>
    <x v="16"/>
    <s v="EPD"/>
    <x v="2"/>
    <x v="2"/>
    <s v="Amvic300"/>
    <s v="Amv300EPDICF"/>
    <m/>
    <x v="1"/>
    <s v="Placeholder"/>
    <s v="assuming the same steel reinforcement as Model A"/>
    <s v="No"/>
    <s v="Steel rebar"/>
    <s v="ICE Database"/>
    <x v="0"/>
    <s v="No"/>
    <s v="rebar pieces to reinforce concrete "/>
    <s v="concrete"/>
    <s v="Yes"/>
    <s v="None"/>
    <n v="0"/>
    <n v="12.383402777777778"/>
    <n v="1.72"/>
    <s v="kg"/>
    <m/>
    <m/>
    <m/>
    <n v="0"/>
    <m/>
    <m/>
    <m/>
    <n v="0"/>
    <m/>
  </r>
  <r>
    <x v="16"/>
    <s v="EPD"/>
    <x v="2"/>
    <x v="2"/>
    <s v="Amvic300"/>
    <s v="Amv300EPDICF"/>
    <m/>
    <x v="1"/>
    <s v="Placeholder"/>
    <s v="Membrane from model A. Different membrane may be used"/>
    <s v="No"/>
    <s v="Tyvek Membrane"/>
    <s v="ICE Database"/>
    <x v="2"/>
    <s v="Yes"/>
    <s v="Breather Paper for moisture"/>
    <s v="None"/>
    <s v="Yes"/>
    <s v="None"/>
    <n v="1.5E-3"/>
    <n v="0.25229166666666669"/>
    <n v="4.2"/>
    <s v="kg"/>
    <m/>
    <m/>
    <m/>
    <n v="0"/>
    <m/>
    <m/>
    <m/>
    <n v="0"/>
    <m/>
  </r>
  <r>
    <x v="17"/>
    <s v="EPD"/>
    <x v="2"/>
    <x v="2"/>
    <s v="Amvic350"/>
    <s v="Amv350EPDICF"/>
    <m/>
    <x v="1"/>
    <s v="Unchecked"/>
    <m/>
    <s v="No"/>
    <s v="AMVIC EPS Insulating Concrete Formwork (350m)"/>
    <s v="Base EPD"/>
    <x v="1"/>
    <s v="Yes"/>
    <s v="EPS, plastic webs"/>
    <m/>
    <s v="Yes"/>
    <s v="None"/>
    <n v="6.2"/>
    <n v="26.036999999999999"/>
    <n v="26.036999999999999"/>
    <s v="m^2"/>
    <m/>
    <m/>
    <m/>
    <n v="0"/>
    <m/>
    <m/>
    <m/>
    <n v="7.74"/>
    <m/>
  </r>
  <r>
    <x v="17"/>
    <s v="EPD"/>
    <x v="2"/>
    <x v="2"/>
    <s v="Amvic350"/>
    <s v="Amv350EPDICF"/>
    <m/>
    <x v="1"/>
    <s v="Unchecked"/>
    <m/>
    <s v="No"/>
    <s v="C28/35 Readymix Concrete (0% GGBS Cement Replacement)"/>
    <s v="Additional EPD"/>
    <x v="0"/>
    <s v="No"/>
    <m/>
    <s v="reinforcement"/>
    <s v="Yes"/>
    <s v="None"/>
    <n v="0.17647058823529413"/>
    <n v="34.429499999999997"/>
    <n v="229.53"/>
    <s v="m^3"/>
    <n v="1"/>
    <n v="1"/>
    <n v="0.15"/>
    <n v="0.15"/>
    <m/>
    <m/>
    <n v="2412"/>
    <n v="361.8"/>
    <m/>
  </r>
  <r>
    <x v="17"/>
    <s v="EPD"/>
    <x v="2"/>
    <x v="2"/>
    <s v="Amvic350"/>
    <s v="Amv350EPDICF"/>
    <m/>
    <x v="1"/>
    <s v="Placeholder"/>
    <s v="assuming the same steel reinforcement as Model A"/>
    <s v="No"/>
    <s v="Steel rebar"/>
    <s v="ICE Database"/>
    <x v="0"/>
    <s v="No"/>
    <s v="rebar pieces to reinforce concrete "/>
    <s v="concrete"/>
    <s v="Yes"/>
    <s v="None"/>
    <n v="0"/>
    <n v="12.383402777777778"/>
    <n v="1.72"/>
    <s v="kg"/>
    <m/>
    <m/>
    <m/>
    <n v="0"/>
    <m/>
    <m/>
    <m/>
    <n v="0"/>
    <m/>
  </r>
  <r>
    <x v="17"/>
    <s v="EPD"/>
    <x v="2"/>
    <x v="2"/>
    <s v="Amvic350"/>
    <s v="Amv350EPDICF"/>
    <m/>
    <x v="1"/>
    <s v="Placeholder"/>
    <s v="Membrane from model A. Different membrane may be used"/>
    <s v="No"/>
    <s v="Tyvek Membrane"/>
    <s v="ICE Database"/>
    <x v="2"/>
    <s v="Yes"/>
    <s v="Breather Paper for moisture"/>
    <s v="None"/>
    <s v="Yes"/>
    <s v="None"/>
    <n v="1.5E-3"/>
    <n v="0.25229166666666669"/>
    <n v="4.2"/>
    <s v="kg"/>
    <m/>
    <m/>
    <m/>
    <n v="0"/>
    <m/>
    <m/>
    <m/>
    <n v="0"/>
    <m/>
  </r>
  <r>
    <x v="18"/>
    <s v="LCA"/>
    <x v="1"/>
    <x v="4"/>
    <n v="1"/>
    <s v="1LCATimCL"/>
    <s v="Direct Calculation Model A for Combining Studs, OSB, membrane, and insulation into one panel for a direct comparison to pre-insulated panel EPDs"/>
    <x v="0"/>
    <s v="Incomplete"/>
    <s v="Need proper value added for battens"/>
    <s v="No"/>
    <s v="Pre-insulated panel"/>
    <s v="ICE Database"/>
    <x v="4"/>
    <s v="Yes"/>
    <s v="Wall studs, top &amp; bottom plate, noggin, PIR and mineral wool, tyvek membrane,2x OSB sheathing, battens"/>
    <m/>
    <s v="Yes"/>
    <s v="None"/>
    <n v="5.1371983294483297"/>
    <n v="25.485526875000001"/>
    <m/>
    <m/>
    <b v="0"/>
    <b v="0"/>
    <b v="0"/>
    <b v="0"/>
    <b v="0"/>
    <b v="0"/>
    <b v="0"/>
    <n v="32.143472222222222"/>
    <b v="0"/>
  </r>
  <r>
    <x v="19"/>
    <s v="EPD"/>
    <x v="1"/>
    <x v="4"/>
    <s v="Donaldson Solid"/>
    <s v="DonSolEPDTimCL"/>
    <s v="System built from UK company Donaldson Timber System's Sigma II Solid Stud Closed Panel product EPD. Brick finish is based on Kingscourt brick EPD from Ireland"/>
    <x v="0"/>
    <s v="Incomplete"/>
    <s v="Two thicknesses available for solid studs. One does not meet U value target (I believe provided numbers include external finish). EPD does not clarify which thickness is used/whether averaging is used"/>
    <s v="No"/>
    <s v="SIGMA II - Solid Stud Closed Panel"/>
    <s v="Base EPD"/>
    <x v="4"/>
    <s v="Yes"/>
    <s v="Studs, top and bottom plate, noggin, OSB sheathing, unknown insulation"/>
    <m/>
    <s v="Partial"/>
    <s v="R value"/>
    <n v="5"/>
    <n v="21.7"/>
    <n v="21.7"/>
    <s v="m^2"/>
    <b v="0"/>
    <b v="0"/>
    <b v="0"/>
    <b v="0"/>
    <b v="0"/>
    <b v="0"/>
    <b v="0"/>
    <n v="23.75"/>
    <b v="0"/>
  </r>
  <r>
    <x v="20"/>
    <s v="EPD"/>
    <x v="1"/>
    <x v="4"/>
    <s v="Donaldson C Stud"/>
    <s v="DonCsEPDTimCL"/>
    <s v="System built from UK company Donaldson Timber System's Sigma II C Stud Closed Panel product EPD. Brick finish is based on Kingscourt brick EPD from Ireland"/>
    <x v="0"/>
    <s v="Incomplete"/>
    <s v="Two thicknesses available for C studs. One does not meet U value target (I believe provided numbers include external finish). EPD does not clarify which thickness is used/whether averaging is used"/>
    <s v="No"/>
    <s v="SIGMA II C Studs Closed Panel"/>
    <s v="Base EPD"/>
    <x v="4"/>
    <s v="Yes"/>
    <s v="Studs, top and bottom plate, noggin, OSB sheathing, unknown insulation"/>
    <m/>
    <s v="Partial"/>
    <s v="R value"/>
    <n v="5"/>
    <n v="27.8"/>
    <n v="27.8"/>
    <s v="m^2"/>
    <b v="0"/>
    <b v="0"/>
    <b v="0"/>
    <b v="0"/>
    <b v="0"/>
    <b v="0"/>
    <b v="0"/>
    <n v="31.66"/>
    <b v="0"/>
  </r>
  <r>
    <x v="21"/>
    <s v="EPD"/>
    <x v="1"/>
    <x v="4"/>
    <s v="SkadoMedis"/>
    <s v="SkadoEPDTimFULL"/>
    <s v="This system uses the prefabricated timber element EPD from manfuacturer UAB Skado Medis. The panel includes structural, insulation, weatherproofing, internal and external finish and is defined as a complete system"/>
    <x v="0"/>
    <s v="Unchecked"/>
    <m/>
    <s v="No"/>
    <s v="Prefab timber frame element"/>
    <s v="Base EPD"/>
    <x v="6"/>
    <s v="Yes"/>
    <s v="External timber cladding (spruce)_x000a_• Paint and primer (water and acrylate-based topcoat)_x000a_• Battening (softwood)_x000a_• Windproof membranes (HDPE)_x000a_• Gypsum boards_x000a_• Studs (structural graded timber)_x000a_• Mineral wool_x000a_• Water vapor control layers (PE)_x000a_• Particleboard_x000a_• Fastening materials (nails, screws, tapes, nets, and mesh)"/>
    <m/>
    <s v="Partial"/>
    <s v="R value"/>
    <n v="5.5555555555555554"/>
    <n v="24.7"/>
    <n v="24.7"/>
    <s v="m^2"/>
    <b v="0"/>
    <b v="0"/>
    <b v="0"/>
    <b v="0"/>
    <b v="0"/>
    <b v="0"/>
    <b v="0"/>
    <n v="45.2"/>
    <b v="0"/>
  </r>
  <r>
    <x v="22"/>
    <s v="EPD"/>
    <x v="3"/>
    <x v="3"/>
    <s v="Aircrete High Ten"/>
    <s v="AirHTenEPDCBlk"/>
    <s v="Benchmark traditional aerated concrete block"/>
    <x v="1"/>
    <s v="Unchecked"/>
    <s v="Unsure if 215 mm is proper thickness or if they are using the 100 mm side + other construction pieces"/>
    <s v="No"/>
    <s v="Mannok Aircrete block High Ten"/>
    <s v="Base EPD"/>
    <x v="0"/>
    <s v="No"/>
    <s v="Thermal Concrete block"/>
    <s v="Concrete mortar"/>
    <s v="Yes"/>
    <s v="None"/>
    <n v="1.02"/>
    <n v="49.964215500000002"/>
    <n v="279.99"/>
    <s v="tonne"/>
    <n v="1"/>
    <n v="1"/>
    <n v="0.215"/>
    <n v="0.215"/>
    <m/>
    <m/>
    <n v="830"/>
    <n v="178.45"/>
    <m/>
  </r>
  <r>
    <x v="22"/>
    <s v="EPD"/>
    <x v="3"/>
    <x v="3"/>
    <s v="Aircrete High Ten"/>
    <s v="AirHTenEPDCBlk"/>
    <s v="Benchmark traditional aerated concrete block"/>
    <x v="1"/>
    <s v="Placeholder"/>
    <s v="Membrane from model A. Different membrane may be used"/>
    <s v="No"/>
    <s v="Tyvek Membrane"/>
    <s v="ICE Database"/>
    <x v="2"/>
    <s v="Yes"/>
    <s v="Breather Paper for moisture"/>
    <s v="None"/>
    <s v="Yes"/>
    <s v="None"/>
    <n v="1.5E-3"/>
    <n v="0.25229166666666669"/>
    <n v="4.2"/>
    <s v="kg"/>
    <n v="2.4"/>
    <n v="2.4"/>
    <n v="4.4999999999999999E-4"/>
    <n v="2.5919999999999997E-3"/>
    <n v="1"/>
    <n v="1"/>
    <n v="0"/>
    <n v="0.34599999999999997"/>
    <n v="0.3"/>
  </r>
  <r>
    <x v="22"/>
    <s v="EPD"/>
    <x v="3"/>
    <x v="3"/>
    <s v="Aircrete High Ten"/>
    <s v="AirHTenEPDCBlk"/>
    <s v="Benchmark traditional aerated concrete block"/>
    <x v="1"/>
    <s v="Placeholder"/>
    <s v="Mannok website mentioned EPS so used 75 mm of EPS to reach proper R value. Unsure if this is accurate to Mannok's system"/>
    <s v="No"/>
    <s v="EPS"/>
    <s v="ICE Database"/>
    <x v="1"/>
    <s v="Yes"/>
    <s v="EPS rigid insulation"/>
    <m/>
    <s v="Yes"/>
    <s v="None"/>
    <n v="2.1428571428571428"/>
    <n v="6.9187500000000002"/>
    <n v="3.69"/>
    <s v="kg"/>
    <n v="1"/>
    <n v="1"/>
    <n v="7.4999999999999997E-2"/>
    <n v="7.4999999999999997E-2"/>
    <n v="1"/>
    <n v="1"/>
    <n v="25"/>
    <n v="1.875"/>
    <n v="3.5000000000000003E-2"/>
  </r>
  <r>
    <x v="22"/>
    <s v="EPD"/>
    <x v="3"/>
    <x v="3"/>
    <s v="Aircrete High Ten"/>
    <s v="AirHTenEPDCBlk"/>
    <s v="Benchmark traditional aerated concrete block"/>
    <x v="1"/>
    <s v="Issue"/>
    <s v="normalisation for this mortar EPD is estimated. Need the density of the mortar and the volume of the mortar in the wall"/>
    <s v="No"/>
    <s v="Tiger Mortar General Masonry"/>
    <s v="Additional EPD"/>
    <x v="0"/>
    <s v="No"/>
    <s v="mortar used for brick"/>
    <s v="Brick, Cavity"/>
    <s v="No"/>
    <s v="Density of the mortar"/>
    <n v="0"/>
    <n v="4.1849999999999996"/>
    <n v="135"/>
    <s v="kg"/>
    <n v="1"/>
    <n v="1.2E-2"/>
    <n v="0.1"/>
    <n v="1.2000000000000001E-3"/>
    <n v="5"/>
    <n v="1.2E-2"/>
    <n v="2000"/>
    <n v="31"/>
    <n v="2"/>
  </r>
  <r>
    <x v="23"/>
    <s v="EPD"/>
    <x v="3"/>
    <x v="3"/>
    <s v="Aircrete Seven"/>
    <s v="ArSevenEPDCBlk"/>
    <s v="Benchmark traditional aerated concrete block"/>
    <x v="1"/>
    <s v="Unchecked"/>
    <s v="Unsure if 215 mm is proper thickness or if they are using the 100 mm side + other construction pieces"/>
    <s v="No"/>
    <s v="Mannok Aircrete block Seven"/>
    <s v="Base EPD"/>
    <x v="0"/>
    <s v="No"/>
    <s v="Thermal Concrete block"/>
    <s v="Concrete mortar"/>
    <s v="Yes"/>
    <s v="None"/>
    <n v="1.1299999999999999"/>
    <n v="53.283106000000011"/>
    <n v="326.09000000000003"/>
    <s v="tonne"/>
    <n v="1"/>
    <n v="1"/>
    <n v="0.215"/>
    <n v="0.215"/>
    <m/>
    <m/>
    <n v="760"/>
    <n v="163.4"/>
    <m/>
  </r>
  <r>
    <x v="23"/>
    <s v="EPD"/>
    <x v="3"/>
    <x v="3"/>
    <s v="Aircrete Seven"/>
    <s v="ArSevenEPDCBlk"/>
    <s v="Benchmark traditional aerated concrete block"/>
    <x v="1"/>
    <s v="Placeholder"/>
    <s v="Membrane from model A. Different membrane may be used"/>
    <s v="No"/>
    <s v="Tyvek Membrane"/>
    <s v="ICE Database"/>
    <x v="2"/>
    <s v="Yes"/>
    <s v="Breather Paper for moisture"/>
    <s v="None"/>
    <s v="Yes"/>
    <s v="None"/>
    <n v="1.5E-3"/>
    <n v="0.25229166666666669"/>
    <n v="4.2"/>
    <s v="kg"/>
    <n v="2.4"/>
    <n v="2.4"/>
    <n v="4.4999999999999999E-4"/>
    <n v="2.5919999999999997E-3"/>
    <n v="1"/>
    <n v="1"/>
    <n v="0"/>
    <n v="0.34599999999999997"/>
    <n v="0.3"/>
  </r>
  <r>
    <x v="23"/>
    <s v="EPD"/>
    <x v="3"/>
    <x v="3"/>
    <s v="Aircrete Seven"/>
    <s v="ArSevenEPDCBlk"/>
    <s v="Benchmark traditional aerated concrete block"/>
    <x v="1"/>
    <s v="Placeholder"/>
    <s v="Mannok website mentioned EPS so used 75 mm of EPS to reach proper R value. Unsure if this is accurate to Mannok's system"/>
    <s v="No"/>
    <s v="EPS"/>
    <s v="ICE Database"/>
    <x v="1"/>
    <s v="Yes"/>
    <s v="EPS rigid insulation"/>
    <m/>
    <s v="Yes"/>
    <s v="None"/>
    <n v="2.1428571428571428"/>
    <n v="6.9187500000000002"/>
    <n v="3.69"/>
    <s v="kg"/>
    <n v="1"/>
    <n v="1"/>
    <n v="7.4999999999999997E-2"/>
    <n v="7.4999999999999997E-2"/>
    <n v="1"/>
    <n v="1"/>
    <n v="25"/>
    <n v="1.875"/>
    <n v="3.5000000000000003E-2"/>
  </r>
  <r>
    <x v="23"/>
    <s v="EPD"/>
    <x v="3"/>
    <x v="3"/>
    <s v="Aircrete Seven"/>
    <s v="ArSevenEPDCBlk"/>
    <s v="Benchmark traditional aerated concrete block"/>
    <x v="1"/>
    <s v="Issue"/>
    <s v="normalisation for this mortar EPD is estimated. Need the density of the mortar and the volume of the mortar in the wall"/>
    <s v="No"/>
    <s v="Tiger Mortar General Masonry"/>
    <s v="Additional EPD"/>
    <x v="0"/>
    <s v="No"/>
    <s v="mortar used for brick"/>
    <s v="Brick, Cavity"/>
    <s v="No"/>
    <s v="Density of the mortar"/>
    <n v="0"/>
    <n v="4.1849999999999996"/>
    <n v="135"/>
    <s v="kg"/>
    <n v="1"/>
    <n v="1.2E-2"/>
    <n v="0.1"/>
    <n v="1.2000000000000001E-3"/>
    <n v="5"/>
    <n v="1.2E-2"/>
    <n v="2000"/>
    <n v="31"/>
    <n v="2"/>
  </r>
  <r>
    <x v="24"/>
    <s v="EPD"/>
    <x v="3"/>
    <x v="3"/>
    <s v="Aircrete Super"/>
    <s v="AirSuperEPDCBlk"/>
    <s v="Benchmark traditional aerated concrete block"/>
    <x v="1"/>
    <s v="Unchecked"/>
    <s v="Unsure if 215 mm is proper thickness or if they are using the 100 mm side + other construction pieces"/>
    <s v="No"/>
    <s v="Mannok Aircrete block Super"/>
    <s v="Base EPD"/>
    <x v="0"/>
    <s v="No"/>
    <s v="Thermal Concrete block"/>
    <s v="Concrete mortar"/>
    <s v="Yes"/>
    <s v="None"/>
    <n v="1.79"/>
    <n v="36.921864000000006"/>
    <n v="357.77000000000004"/>
    <s v="tonne"/>
    <n v="1"/>
    <n v="1"/>
    <n v="0.215"/>
    <n v="0.215"/>
    <m/>
    <m/>
    <n v="480"/>
    <n v="103.2"/>
    <m/>
  </r>
  <r>
    <x v="24"/>
    <s v="EPD"/>
    <x v="3"/>
    <x v="3"/>
    <s v="Aircrete Super"/>
    <s v="AirSuperEPDCBlk"/>
    <s v="Benchmark traditional aerated concrete block"/>
    <x v="1"/>
    <s v="Placeholder"/>
    <s v="Membrane from model A. Different membrane may be used"/>
    <s v="No"/>
    <s v="Tyvek Membrane"/>
    <s v="ICE Database"/>
    <x v="2"/>
    <s v="Yes"/>
    <s v="Breather Paper for moisture"/>
    <s v="None"/>
    <s v="Yes"/>
    <s v="None"/>
    <n v="1.5E-3"/>
    <n v="0.25229166666666669"/>
    <n v="4.2"/>
    <s v="kg"/>
    <n v="2.4"/>
    <n v="2.4"/>
    <n v="4.4999999999999999E-4"/>
    <n v="2.5919999999999997E-3"/>
    <n v="1"/>
    <n v="1"/>
    <n v="0"/>
    <n v="0.34599999999999997"/>
    <n v="0.3"/>
  </r>
  <r>
    <x v="24"/>
    <s v="EPD"/>
    <x v="3"/>
    <x v="3"/>
    <s v="Aircrete Super"/>
    <s v="AirSuperEPDCBlk"/>
    <s v="Benchmark traditional aerated concrete block"/>
    <x v="1"/>
    <s v="Placeholder"/>
    <s v="Mannok website mentioned EPS so used 50 mm of EPS to reach proper R value. Unsure if this is accurate to Mannok's system"/>
    <s v="No"/>
    <s v="EPS"/>
    <s v="ICE Database"/>
    <x v="1"/>
    <s v="Yes"/>
    <s v="EPS rigid insulation"/>
    <m/>
    <s v="Yes"/>
    <s v="None"/>
    <n v="1.4285714285714286"/>
    <n v="4.6124999999999998"/>
    <n v="3.69"/>
    <s v="kg"/>
    <n v="1"/>
    <n v="1"/>
    <n v="0.05"/>
    <n v="0.05"/>
    <n v="1"/>
    <n v="1"/>
    <n v="25"/>
    <n v="1.25"/>
    <n v="3.5000000000000003E-2"/>
  </r>
  <r>
    <x v="24"/>
    <s v="EPD"/>
    <x v="3"/>
    <x v="3"/>
    <s v="Aircrete Super"/>
    <s v="AirSuperEPDCBlk"/>
    <s v="Benchmark traditional aerated concrete block"/>
    <x v="1"/>
    <s v="Issue"/>
    <s v="normalisation for this mortar EPD is estimated. Need the density of the mortar and the volume of the mortar in the wall"/>
    <s v="No"/>
    <s v="Tiger Mortar General Masonry"/>
    <s v="Additional EPD"/>
    <x v="0"/>
    <s v="No"/>
    <s v="mortar used for brick"/>
    <s v="Brick, Cavity"/>
    <s v="No"/>
    <s v="Density of the mortar"/>
    <n v="0"/>
    <n v="4.1849999999999996"/>
    <n v="135"/>
    <s v="kg"/>
    <n v="1"/>
    <n v="1.2E-2"/>
    <n v="0.1"/>
    <n v="1.2000000000000001E-3"/>
    <n v="5"/>
    <n v="1.2E-2"/>
    <n v="2000"/>
    <n v="31"/>
    <n v="2"/>
  </r>
  <r>
    <x v="25"/>
    <s v="EPD"/>
    <x v="3"/>
    <x v="3"/>
    <s v="Roadstone Solid"/>
    <s v="RoadstoneEPDCBlk"/>
    <s v="Roadstone solid concrete blocks (not thermal) system with brick finish."/>
    <x v="1"/>
    <s v="Unchecked"/>
    <m/>
    <s v="No"/>
    <s v="Belgard Concrete Solid Block"/>
    <s v="Base EPD"/>
    <x v="0"/>
    <s v="No"/>
    <s v="Thermal Concrete block"/>
    <s v="Concrete mortar"/>
    <s v="Yes"/>
    <s v="None"/>
    <n v="0.19545454545454544"/>
    <n v="20.360500000000002"/>
    <n v="94.7"/>
    <s v="m^3"/>
    <n v="1"/>
    <n v="1"/>
    <n v="0.215"/>
    <n v="0.215"/>
    <m/>
    <m/>
    <n v="480"/>
    <n v="103.2"/>
    <n v="1.1000000000000001"/>
  </r>
  <r>
    <x v="25"/>
    <s v="EPD"/>
    <x v="3"/>
    <x v="3"/>
    <s v="Roadstone Solid"/>
    <s v="RoadstoneEPDCBlk"/>
    <s v="Roadstone solid concrete blocks (not thermal) system with brick finish."/>
    <x v="1"/>
    <s v="Placeholder"/>
    <m/>
    <s v="No"/>
    <s v="Tyvek Membrane"/>
    <s v="ICE Database"/>
    <x v="2"/>
    <s v="Yes"/>
    <s v="Breather Paper for moisture"/>
    <s v="None"/>
    <s v="Yes"/>
    <s v="None"/>
    <n v="1.5E-3"/>
    <n v="0.25229166666666669"/>
    <n v="4.2"/>
    <s v="kg"/>
    <n v="2.4"/>
    <n v="2.4"/>
    <n v="4.4999999999999999E-4"/>
    <n v="2.5919999999999997E-3"/>
    <n v="1"/>
    <n v="1"/>
    <n v="0"/>
    <n v="0.34599999999999997"/>
    <n v="0.3"/>
  </r>
  <r>
    <x v="25"/>
    <s v="EPD"/>
    <x v="3"/>
    <x v="3"/>
    <s v="Roadstone Solid"/>
    <s v="RoadstoneEPDCBlk"/>
    <s v="Roadstone solid concrete blocks (not thermal) system with brick finish."/>
    <x v="1"/>
    <s v="Placeholder"/>
    <m/>
    <s v="No"/>
    <s v="EPS"/>
    <s v="ICE Database"/>
    <x v="1"/>
    <s v="Yes"/>
    <s v="EPS rigid insulation"/>
    <m/>
    <s v="Yes"/>
    <s v="None"/>
    <n v="2.8571428571428572"/>
    <n v="9.2249999999999996"/>
    <n v="3.69"/>
    <s v="kg"/>
    <n v="1"/>
    <n v="1"/>
    <n v="0.1"/>
    <n v="0.1"/>
    <n v="1"/>
    <n v="1"/>
    <n v="25"/>
    <n v="2.5"/>
    <n v="3.5000000000000003E-2"/>
  </r>
  <r>
    <x v="25"/>
    <s v="EPD"/>
    <x v="3"/>
    <x v="3"/>
    <s v="Roadstone Solid"/>
    <s v="RoadstoneEPDCBlk"/>
    <s v="Roadstone solid concrete blocks (not thermal) system with brick finish."/>
    <x v="1"/>
    <s v="Issue"/>
    <s v="normalisation for this mortar EPD is estimated. Need the density of the mortar and the volume of the mortar in the wall"/>
    <s v="No"/>
    <s v="Tiger Mortar General Masonry"/>
    <s v="Additional EPD"/>
    <x v="0"/>
    <s v="No"/>
    <s v="mortar used for brick"/>
    <s v="Brick, Cavity"/>
    <s v="No"/>
    <s v="Density of the mortar"/>
    <n v="0"/>
    <n v="4.1849999999999996"/>
    <n v="135"/>
    <s v="kg"/>
    <n v="1"/>
    <n v="1.2E-2"/>
    <n v="0.1"/>
    <n v="1.2000000000000001E-3"/>
    <n v="5"/>
    <n v="1.2E-2"/>
    <n v="2000"/>
    <n v="31"/>
    <n v="2"/>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r>
    <x v="26"/>
    <m/>
    <x v="5"/>
    <x v="5"/>
    <m/>
    <m/>
    <m/>
    <x v="2"/>
    <m/>
    <m/>
    <s v="No"/>
    <m/>
    <m/>
    <x v="7"/>
    <m/>
    <m/>
    <m/>
    <m/>
    <m/>
    <m/>
    <m/>
    <m/>
    <m/>
    <m/>
    <m/>
    <m/>
    <m/>
    <m/>
    <m/>
    <m/>
    <m/>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21">
  <r>
    <x v="0"/>
    <s v="LCA"/>
    <x v="0"/>
    <x v="0"/>
    <s v="Brick"/>
    <s v="A"/>
    <s v="LGS Open Panel A (Brick Finish)"/>
    <x v="0"/>
    <s v="Framed"/>
    <s v="Issue"/>
    <s v="thermal resistance based on wall factor may be incorrect"/>
    <s v="No"/>
    <s v="Wall Stud"/>
    <x v="0"/>
    <x v="0"/>
    <s v="No"/>
    <s v="Vertical Steel Stud"/>
    <s v="Steel Tracks, Noggin"/>
    <s v="Yes"/>
    <s v="None"/>
    <n v="8.9499999999999973E-6"/>
    <n v="9.4600000000000009"/>
    <n v="2.71"/>
    <s v="kg"/>
    <n v="0.17899999999999999"/>
    <n v="2.4"/>
    <n v="1.1999999999999999E-3"/>
    <n v="5.1551999999999989E-4"/>
    <n v="5"/>
    <n v="0.37291666666666662"/>
    <n v="7800"/>
    <n v="3.490499999999999"/>
    <n v="50"/>
  </r>
  <r>
    <x v="0"/>
    <s v="LCA"/>
    <x v="0"/>
    <x v="0"/>
    <s v="Brick"/>
    <s v="A"/>
    <s v="LGS Open Panel A (Brick Finish)"/>
    <x v="0"/>
    <s v="Framed"/>
    <s v="Issue"/>
    <s v="thermal resistance based on wall factor may be incorrect"/>
    <s v="No"/>
    <s v="Wall Track"/>
    <x v="0"/>
    <x v="0"/>
    <s v="No"/>
    <m/>
    <s v="Stud, Noggin"/>
    <s v="Yes"/>
    <s v="None"/>
    <n v="3.5799999999999996E-6"/>
    <n v="3.7837019999999999"/>
    <n v="2.71"/>
    <s v="kg"/>
    <n v="0.17899999999999999"/>
    <n v="2.4"/>
    <n v="1.1999999999999999E-3"/>
    <n v="5.1551999999999989E-4"/>
    <n v="2"/>
    <n v="0.14916666666666667"/>
    <n v="7800"/>
    <n v="1.3961999999999997"/>
    <n v="50"/>
  </r>
  <r>
    <x v="0"/>
    <s v="LCA"/>
    <x v="0"/>
    <x v="0"/>
    <s v="Brick"/>
    <s v="A"/>
    <s v="LGS Open Panel A (Brick Finish)"/>
    <x v="0"/>
    <s v="Framed"/>
    <s v="Issue"/>
    <s v="thermal resistance based on wall factor may be incorrect"/>
    <s v="No"/>
    <s v="Noggin"/>
    <x v="0"/>
    <x v="0"/>
    <s v="No"/>
    <m/>
    <s v="Stud, Tracks"/>
    <s v="Yes"/>
    <s v="None"/>
    <n v="1.7899999999999998E-6"/>
    <n v="1.8918509999999995"/>
    <n v="2.71"/>
    <s v="kg"/>
    <n v="0.17899999999999999"/>
    <n v="2.4"/>
    <n v="1.1999999999999999E-3"/>
    <n v="5.1551999999999989E-4"/>
    <n v="1"/>
    <n v="7.4583333333333335E-2"/>
    <n v="7800"/>
    <n v="0.69809999999999983"/>
    <n v="50"/>
  </r>
  <r>
    <x v="0"/>
    <s v="LCA"/>
    <x v="0"/>
    <x v="0"/>
    <s v="Brick"/>
    <s v="A"/>
    <s v="LGS Open Panel A (Brick Finish)"/>
    <x v="0"/>
    <s v="Framed"/>
    <s v="Issue"/>
    <s v="Mineral wool dimensions overlap with studs. If mineral wool is being placed inside stud spacing, the mass balance doesn't add up"/>
    <s v="No"/>
    <s v="Mineral Wool"/>
    <x v="0"/>
    <x v="1"/>
    <s v="Yes"/>
    <s v="Wool insulation for inside stud spacing"/>
    <m/>
    <s v="Yes"/>
    <s v="None"/>
    <n v="1.0371428571428574"/>
    <n v="8.9999999999999982"/>
    <n v="1.25"/>
    <s v="kg"/>
    <n v="0.6"/>
    <n v="2.4"/>
    <n v="0.09"/>
    <n v="0.12959999999999999"/>
    <n v="4"/>
    <n v="1"/>
    <n v="80"/>
    <n v="7.1999999999999993"/>
    <n v="2.1999999999999999E-2"/>
  </r>
  <r>
    <x v="0"/>
    <s v="LCA"/>
    <x v="0"/>
    <x v="0"/>
    <s v="Brick"/>
    <s v="A"/>
    <s v="LGS Open Panel A (Brick Finish)"/>
    <x v="0"/>
    <s v="Framed"/>
    <s v="Unchecked"/>
    <m/>
    <s v="No"/>
    <s v="PIR"/>
    <x v="0"/>
    <x v="1"/>
    <s v="Yes"/>
    <s v="Extra insulation outside panel"/>
    <s v="None"/>
    <s v="Yes"/>
    <s v="None"/>
    <n v="3.6363636363636367"/>
    <n v="7.9078399999999993"/>
    <n v="3.089"/>
    <s v="kg"/>
    <n v="2.4"/>
    <n v="1.2"/>
    <n v="0.08"/>
    <n v="0.23039999999999999"/>
    <n v="2"/>
    <n v="1"/>
    <n v="32"/>
    <n v="2.56"/>
    <n v="0.3"/>
  </r>
  <r>
    <x v="0"/>
    <s v="LCA"/>
    <x v="0"/>
    <x v="0"/>
    <s v="Brick"/>
    <s v="A"/>
    <s v="LGS Open Panel A (Brick Finish)"/>
    <x v="0"/>
    <s v="Framed"/>
    <s v="Unchecked"/>
    <m/>
    <s v="No"/>
    <s v="Tyvek Membrane"/>
    <x v="0"/>
    <x v="2"/>
    <s v="Yes"/>
    <s v="Breather Paper for moisture"/>
    <s v="None"/>
    <s v="Yes"/>
    <s v="None"/>
    <n v="1.5E-3"/>
    <n v="0.25229166666666669"/>
    <n v="4.2"/>
    <s v="kg"/>
    <n v="2.4"/>
    <n v="2.4"/>
    <n v="4.4999999999999999E-4"/>
    <n v="2.5919999999999997E-3"/>
    <n v="1"/>
    <n v="1"/>
    <n v="0"/>
    <n v="0.34599999999999997"/>
    <n v="0.3"/>
  </r>
  <r>
    <x v="0"/>
    <s v="LCA"/>
    <x v="0"/>
    <x v="0"/>
    <s v="Brick"/>
    <s v="A"/>
    <s v="LGS Open Panel A (Brick Finish)"/>
    <x v="0"/>
    <s v="Framed"/>
    <s v="Placeholder"/>
    <m/>
    <s v="No"/>
    <s v="Brick"/>
    <x v="1"/>
    <x v="3"/>
    <s v="No"/>
    <s v="Brick blocks (100 mm)"/>
    <s v="Mortar, Cavity (for thermal calculation)"/>
    <s v="Yes"/>
    <s v="None"/>
    <n v="0.12987012987012989"/>
    <n v="42.199999999999996"/>
    <n v="0.21099999999999999"/>
    <s v="kg"/>
    <n v="1"/>
    <n v="1"/>
    <n v="0.1"/>
    <n v="0.1"/>
    <n v="1"/>
    <n v="1"/>
    <n v="2000"/>
    <n v="200"/>
    <n v="0.77"/>
  </r>
  <r>
    <x v="0"/>
    <s v="LCA"/>
    <x v="0"/>
    <x v="0"/>
    <s v="Brick"/>
    <s v="A"/>
    <s v="LGS Open Panel A (Brick Finish)"/>
    <x v="0"/>
    <s v="Framed"/>
    <s v="Issue"/>
    <s v="normalisation for this mortar EPD is estimated. Need the density of the mortar and the volume of the mortar in the wall"/>
    <s v="No"/>
    <s v="Tiger Mortar General Masonry"/>
    <x v="2"/>
    <x v="3"/>
    <s v="No"/>
    <s v="mortar used for brick"/>
    <s v="Brick, Cavity"/>
    <s v="No"/>
    <s v="Density of the mortar"/>
    <n v="0"/>
    <n v="4.1849999999999996"/>
    <n v="135"/>
    <s v="kg"/>
    <n v="1"/>
    <n v="1.2E-2"/>
    <n v="0.1"/>
    <n v="1.2000000000000001E-3"/>
    <n v="5"/>
    <n v="1.2E-2"/>
    <n v="2000"/>
    <n v="31"/>
    <n v="2"/>
  </r>
  <r>
    <x v="0"/>
    <s v="LCA"/>
    <x v="0"/>
    <x v="0"/>
    <s v="Brick"/>
    <s v="A"/>
    <s v="LGS Open Panel A (Brick Finish)"/>
    <x v="0"/>
    <s v="Framed"/>
    <s v="Placeholder"/>
    <m/>
    <s v="No"/>
    <s v="Cavity"/>
    <x v="3"/>
    <x v="3"/>
    <s v="No"/>
    <s v="cavity for bricks"/>
    <s v="Mortar Brick"/>
    <s v="Yes"/>
    <s v="None"/>
    <n v="2"/>
    <n v="0"/>
    <n v="0"/>
    <s v="kg"/>
    <n v="1"/>
    <n v="1"/>
    <n v="0.1"/>
    <n v="0.1"/>
    <n v="1"/>
    <n v="1"/>
    <n v="1.2"/>
    <n v="0.12"/>
    <n v="2.5000000000000001E-2"/>
  </r>
  <r>
    <x v="0"/>
    <s v="LCA"/>
    <x v="0"/>
    <x v="0"/>
    <s v="Brick"/>
    <s v="A"/>
    <s v="LGS Open Panel A (Brick Finish)"/>
    <x v="0"/>
    <s v="Framed"/>
    <s v="Placeholder"/>
    <m/>
    <s v="No"/>
    <s v="Plasterboard"/>
    <x v="1"/>
    <x v="4"/>
    <s v="No"/>
    <s v="Gypsum plasterboard"/>
    <s v="Battens/fastening, cavitty"/>
    <s v="Yes"/>
    <s v="None"/>
    <n v="6.5789473684210523E-2"/>
    <n v="1.839"/>
    <n v="0"/>
    <s v="kg"/>
    <n v="1"/>
    <n v="1"/>
    <n v="1.4999999999999999E-2"/>
    <n v="1.4999999999999999E-2"/>
    <n v="1"/>
    <n v="1"/>
    <n v="615"/>
    <n v="9.2249999999999996"/>
    <n v="0.19"/>
  </r>
  <r>
    <x v="0"/>
    <s v="LCA"/>
    <x v="0"/>
    <x v="0"/>
    <s v="Brick"/>
    <s v="A"/>
    <s v="LGS Open Panel A (Brick Finish)"/>
    <x v="0"/>
    <s v="Framed"/>
    <s v="Placeholder"/>
    <m/>
    <s v="No"/>
    <s v="Battens"/>
    <x v="1"/>
    <x v="4"/>
    <s v="No"/>
    <s v="Battens"/>
    <s v="cavity, plasterboard"/>
    <s v="Yes"/>
    <s v="None"/>
    <n v="0"/>
    <n v="1"/>
    <n v="0"/>
    <s v="kg"/>
    <n v="1"/>
    <n v="1"/>
    <n v="1"/>
    <n v="1"/>
    <n v="1"/>
    <n v="1"/>
    <n v="0"/>
    <n v="0.05"/>
    <n v="0"/>
  </r>
  <r>
    <x v="0"/>
    <s v="LCA"/>
    <x v="0"/>
    <x v="0"/>
    <s v="Brick"/>
    <s v="A"/>
    <s v="LGS Open Panel A (Brick Finish)"/>
    <x v="0"/>
    <s v="Framed"/>
    <s v="Placeholder"/>
    <m/>
    <s v="No"/>
    <s v="Cavity"/>
    <x v="1"/>
    <x v="4"/>
    <s v="No"/>
    <s v="battens cavity (50 mm)"/>
    <s v="battens and plasterboard"/>
    <s v="Yes"/>
    <s v="None"/>
    <n v="0.5"/>
    <n v="0"/>
    <n v="0"/>
    <s v="kg"/>
    <n v="1"/>
    <n v="1"/>
    <n v="0.05"/>
    <n v="0.05"/>
    <n v="1"/>
    <n v="1"/>
    <n v="1.2"/>
    <n v="0.06"/>
    <n v="2.5000000000000001E-2"/>
  </r>
  <r>
    <x v="0"/>
    <s v="LCA"/>
    <x v="0"/>
    <x v="0"/>
    <s v="Brick"/>
    <s v="A"/>
    <s v="LGS Open Panel A (Brick Finish)"/>
    <x v="0"/>
    <s v="Framed"/>
    <s v="Placeholder"/>
    <s v="unsure which specific fasteners are used"/>
    <s v="No"/>
    <s v="General fastener placeholder"/>
    <x v="1"/>
    <x v="5"/>
    <s v="Yes"/>
    <s v="Screws, Nails, Fasteners"/>
    <m/>
    <s v="No"/>
    <s v="Which fasteners are needed"/>
    <n v="0"/>
    <n v="1"/>
    <n v="0"/>
    <m/>
    <n v="1"/>
    <n v="1"/>
    <n v="1"/>
    <n v="1"/>
    <n v="1"/>
    <n v="1"/>
    <n v="0"/>
    <n v="0.05"/>
    <n v="0"/>
  </r>
  <r>
    <x v="1"/>
    <s v="EPD"/>
    <x v="0"/>
    <x v="0"/>
    <s v="Brick"/>
    <s v="Horizon"/>
    <s v="Horizon EPD Open Panel (Brick Finish)"/>
    <x v="1"/>
    <s v="Framed"/>
    <s v="Unchecked"/>
    <m/>
    <s v="No"/>
    <s v="Horizon Light Gauge Steel Frame"/>
    <x v="4"/>
    <x v="0"/>
    <s v="Yes"/>
    <s v="Steel Frame"/>
    <s v="None"/>
    <s v="Yes"/>
    <s v="None"/>
    <n v="2.1626984126984126"/>
    <n v="9.9992200000000011"/>
    <n v="2.1139999999999999"/>
    <s v="kg"/>
    <b v="0"/>
    <b v="0"/>
    <b v="0"/>
    <n v="0"/>
    <b v="0"/>
    <b v="0"/>
    <n v="7800"/>
    <n v="4.7300000000000004"/>
    <n v="50"/>
  </r>
  <r>
    <x v="1"/>
    <s v="EPD"/>
    <x v="0"/>
    <x v="0"/>
    <s v="Brick"/>
    <s v="Horizon"/>
    <s v="Horizon EPD Open Panel (Brick Finish)"/>
    <x v="1"/>
    <s v="Framed"/>
    <s v="Issue"/>
    <s v="Kingscourt brick does not report fossil GWP, only total GWP"/>
    <s v="No"/>
    <s v="Kingscourt Brick (Total GWP)"/>
    <x v="2"/>
    <x v="3"/>
    <s v="No"/>
    <s v="Clay brick for external finish"/>
    <s v="Mortar, Cavity (for thermal calculation)"/>
    <s v="Yes"/>
    <s v="None"/>
    <n v="0.16269841269841268"/>
    <n v="42.616724999999995"/>
    <n v="211"/>
    <s v="ton"/>
    <n v="1"/>
    <n v="1"/>
    <n v="0.10249999999999999"/>
    <n v="0.10249999999999999"/>
    <n v="1"/>
    <n v="1"/>
    <n v="1970"/>
    <n v="201.92499999999998"/>
    <n v="0.63"/>
  </r>
  <r>
    <x v="1"/>
    <s v="EPD"/>
    <x v="0"/>
    <x v="0"/>
    <s v="Brick"/>
    <s v="Horizon"/>
    <s v="Horizon EPD Open Panel (Brick Finish)"/>
    <x v="1"/>
    <s v="Framed"/>
    <s v="Issue"/>
    <s v="normalisation for this mortar EPD is estimated. Need the density of the mortar and the volume of the mortar in the wall"/>
    <s v="No"/>
    <s v="Tiger Mortar General Masonry"/>
    <x v="2"/>
    <x v="3"/>
    <s v="No"/>
    <s v="mortar used for brick"/>
    <s v="Brick, Cavity"/>
    <s v="No"/>
    <s v="Density of the mortar"/>
    <n v="0"/>
    <n v="4.1849999999999996"/>
    <n v="135"/>
    <s v="kg"/>
    <n v="1"/>
    <n v="1.2E-2"/>
    <n v="0.1"/>
    <n v="1.2000000000000001E-3"/>
    <n v="5"/>
    <n v="1.2E-2"/>
    <n v="2000"/>
    <n v="31"/>
    <n v="2"/>
  </r>
  <r>
    <x v="1"/>
    <s v="EPD"/>
    <x v="0"/>
    <x v="0"/>
    <s v="Brick"/>
    <s v="Horizon"/>
    <s v="Horizon EPD Open Panel (Brick Finish)"/>
    <x v="1"/>
    <s v="Framed"/>
    <s v="Placeholder"/>
    <m/>
    <s v="No"/>
    <s v="Cavity"/>
    <x v="1"/>
    <x v="3"/>
    <s v="No"/>
    <s v="cavity for bricks"/>
    <s v="Mortar Brick"/>
    <s v="Yes"/>
    <s v="None"/>
    <n v="2"/>
    <n v="0"/>
    <n v="0"/>
    <s v="kg"/>
    <n v="1"/>
    <n v="1"/>
    <n v="0.1"/>
    <n v="0.1"/>
    <n v="1"/>
    <n v="1"/>
    <n v="1.2"/>
    <n v="0.12"/>
    <n v="2.5000000000000001E-2"/>
  </r>
  <r>
    <x v="1"/>
    <s v="EPD"/>
    <x v="0"/>
    <x v="0"/>
    <s v="Brick"/>
    <s v="Horizon"/>
    <s v="Horizon EPD Open Panel (Brick Finish)"/>
    <x v="1"/>
    <s v="Framed"/>
    <s v="Placeholder"/>
    <m/>
    <s v="No"/>
    <s v="Plasterboard"/>
    <x v="1"/>
    <x v="4"/>
    <s v="No"/>
    <s v="Gypsum plasterboard"/>
    <s v="Battens/fastening, cavitty"/>
    <s v="Yes"/>
    <s v="None"/>
    <n v="6.5789473684210523E-2"/>
    <n v="1.839"/>
    <n v="0"/>
    <s v="kg"/>
    <n v="1"/>
    <n v="1"/>
    <n v="1.4999999999999999E-2"/>
    <n v="1.4999999999999999E-2"/>
    <n v="1"/>
    <n v="1"/>
    <n v="615"/>
    <n v="9.2249999999999996"/>
    <n v="0.19"/>
  </r>
  <r>
    <x v="1"/>
    <s v="EPD"/>
    <x v="0"/>
    <x v="0"/>
    <s v="Brick"/>
    <s v="Horizon"/>
    <s v="Horizon EPD Open Panel (Brick Finish)"/>
    <x v="1"/>
    <s v="Framed"/>
    <s v="Placeholder"/>
    <m/>
    <s v="No"/>
    <s v="Battens"/>
    <x v="1"/>
    <x v="4"/>
    <s v="No"/>
    <s v="Battens"/>
    <s v="cavity, plasterboard"/>
    <s v="Yes"/>
    <s v="None"/>
    <n v="0"/>
    <n v="1"/>
    <n v="0"/>
    <s v="kg"/>
    <n v="1"/>
    <n v="1"/>
    <n v="1"/>
    <n v="1"/>
    <n v="1"/>
    <n v="1"/>
    <n v="0"/>
    <n v="0"/>
    <n v="0"/>
  </r>
  <r>
    <x v="1"/>
    <s v="EPD"/>
    <x v="0"/>
    <x v="0"/>
    <s v="Brick"/>
    <s v="Horizon"/>
    <s v="Horizon EPD Open Panel (Brick Finish)"/>
    <x v="1"/>
    <s v="Framed"/>
    <s v="Placeholder"/>
    <m/>
    <s v="No"/>
    <s v="Cavity"/>
    <x v="1"/>
    <x v="4"/>
    <s v="No"/>
    <s v="battens cavity (50 mm)"/>
    <s v="battens and plasterboard"/>
    <s v="Yes"/>
    <s v="None"/>
    <n v="0.5"/>
    <n v="0"/>
    <n v="0"/>
    <s v="kg"/>
    <n v="1"/>
    <n v="1"/>
    <n v="0.05"/>
    <n v="0.05"/>
    <n v="1"/>
    <n v="1"/>
    <n v="1.2"/>
    <n v="0.06"/>
    <n v="2.5000000000000001E-2"/>
  </r>
  <r>
    <x v="1"/>
    <s v="EPD"/>
    <x v="0"/>
    <x v="0"/>
    <s v="Brick"/>
    <s v="Horizon"/>
    <s v="Horizon EPD Open Panel (Brick Finish)"/>
    <x v="1"/>
    <s v="Framed"/>
    <s v="Placeholder"/>
    <s v="insulation from LCA model A. Different dimensions may be used"/>
    <s v="No"/>
    <s v="Mineral Wool"/>
    <x v="0"/>
    <x v="1"/>
    <s v="Yes"/>
    <s v="Wool insulation for inside stud spacing"/>
    <m/>
    <s v="Yes"/>
    <s v="None"/>
    <n v="1.0371428571428574"/>
    <n v="8.9999999999999982"/>
    <n v="1.25"/>
    <s v="kg"/>
    <n v="0.6"/>
    <n v="2.4"/>
    <n v="0.09"/>
    <n v="0.12959999999999999"/>
    <n v="4"/>
    <n v="1"/>
    <n v="80"/>
    <n v="7.1999999999999993"/>
    <n v="2.1999999999999999E-2"/>
  </r>
  <r>
    <x v="1"/>
    <s v="EPD"/>
    <x v="0"/>
    <x v="0"/>
    <s v="Brick"/>
    <s v="Horizon"/>
    <s v="Horizon EPD Open Panel (Brick Finish)"/>
    <x v="1"/>
    <s v="Framed"/>
    <s v="Placeholder"/>
    <s v="insulation from LCA model A. Different dimensions may be used"/>
    <s v="No"/>
    <s v="PIR"/>
    <x v="0"/>
    <x v="1"/>
    <s v="Yes"/>
    <s v="Extra insulation outside panel"/>
    <s v="None"/>
    <s v="Yes"/>
    <s v="None"/>
    <n v="3.6363636363636367"/>
    <n v="7.9078399999999993"/>
    <n v="3.089"/>
    <s v="kg"/>
    <n v="2.4"/>
    <n v="1.2"/>
    <n v="0.08"/>
    <n v="0.23039999999999999"/>
    <n v="2"/>
    <n v="1"/>
    <n v="32"/>
    <n v="2.56"/>
    <n v="0.3"/>
  </r>
  <r>
    <x v="1"/>
    <s v="EPD"/>
    <x v="0"/>
    <x v="0"/>
    <s v="Brick"/>
    <s v="Horizon"/>
    <s v="Horizon EPD Open Panel (Brick Finish)"/>
    <x v="1"/>
    <s v="Framed"/>
    <s v="Placeholder"/>
    <s v="Membrane from model A. Different membrane may be used"/>
    <s v="No"/>
    <s v="Tyvek Membrane"/>
    <x v="0"/>
    <x v="2"/>
    <s v="Yes"/>
    <s v="Breather Paper for moisture"/>
    <s v="None"/>
    <s v="Yes"/>
    <s v="None"/>
    <n v="1.5E-3"/>
    <n v="0.25229166666666669"/>
    <n v="4.2"/>
    <s v="kg"/>
    <n v="2.4"/>
    <n v="2.4"/>
    <n v="4.4999999999999999E-4"/>
    <n v="2.5919999999999997E-3"/>
    <n v="1"/>
    <n v="1"/>
    <n v="0"/>
    <n v="0.34599999999999997"/>
    <n v="0.3"/>
  </r>
  <r>
    <x v="1"/>
    <s v="EPD"/>
    <x v="0"/>
    <x v="0"/>
    <s v="Brick"/>
    <s v="Horizon"/>
    <s v="Horizon EPD Open Panel (Brick Finish)"/>
    <x v="1"/>
    <s v="Framed"/>
    <s v="Placeholder"/>
    <s v="unsure which specific fasteners are used"/>
    <s v="No"/>
    <s v="General fastener placeholder"/>
    <x v="1"/>
    <x v="5"/>
    <s v="Yes"/>
    <s v="Screws, Nails, Fasteners"/>
    <m/>
    <s v="No"/>
    <s v="Which fasteners are needed"/>
    <n v="0"/>
    <n v="1"/>
    <n v="0"/>
    <m/>
    <n v="1"/>
    <n v="1"/>
    <n v="1"/>
    <n v="1"/>
    <n v="1"/>
    <n v="1"/>
    <n v="0"/>
    <n v="0.05"/>
    <n v="0"/>
  </r>
  <r>
    <x v="2"/>
    <s v="EPD"/>
    <x v="0"/>
    <x v="0"/>
    <s v="Brick"/>
    <s v="SIGMAT"/>
    <s v="SIGMAT EPD Open Panel (Brick Finish)"/>
    <x v="1"/>
    <s v="Framed"/>
    <s v="Unchecked"/>
    <m/>
    <s v="No"/>
    <s v="SIGMAT Light gauge steel frame"/>
    <x v="4"/>
    <x v="0"/>
    <s v="Yes"/>
    <s v="Steel Frame"/>
    <s v="None"/>
    <s v="Yes"/>
    <s v="None"/>
    <n v="2.1626984126984126"/>
    <n v="15.372500000000002"/>
    <n v="3.25"/>
    <s v="kg"/>
    <b v="0"/>
    <b v="0"/>
    <b v="0"/>
    <n v="0"/>
    <b v="0"/>
    <b v="0"/>
    <n v="7800"/>
    <n v="4.7300000000000004"/>
    <n v="50"/>
  </r>
  <r>
    <x v="2"/>
    <s v="EPD"/>
    <x v="0"/>
    <x v="0"/>
    <s v="Brick"/>
    <s v="SIGMAT"/>
    <s v="SIGMAT EPD Open Panel (Brick Finish)"/>
    <x v="1"/>
    <s v="Framed"/>
    <s v="Issue"/>
    <s v="Kingscourt brick does not report fossil GWP, only total GWP"/>
    <s v="No"/>
    <s v="Kingscourt Brick (Total GWP)"/>
    <x v="2"/>
    <x v="3"/>
    <s v="No"/>
    <s v="Clay brick for external finish"/>
    <s v="Mortar, Cavity (for thermal calculation)"/>
    <s v="Yes"/>
    <s v="None"/>
    <n v="0.16269841269841268"/>
    <n v="42.616724999999995"/>
    <n v="211"/>
    <s v="ton"/>
    <n v="1"/>
    <n v="1"/>
    <n v="0.10249999999999999"/>
    <n v="0.10249999999999999"/>
    <n v="1"/>
    <n v="1"/>
    <n v="1970"/>
    <n v="201.92499999999998"/>
    <n v="0.63"/>
  </r>
  <r>
    <x v="2"/>
    <s v="EPD"/>
    <x v="0"/>
    <x v="0"/>
    <s v="Brick"/>
    <s v="SIGMAT"/>
    <s v="SIGMAT EPD Open Panel (Brick Finish)"/>
    <x v="1"/>
    <s v="Framed"/>
    <s v="Issue"/>
    <s v="normalisation for this mortar EPD is estimated. Need the density of the mortar and the volume of the mortar in the wall"/>
    <s v="No"/>
    <s v="Tiger Mortar General Masonry"/>
    <x v="2"/>
    <x v="3"/>
    <s v="No"/>
    <s v="mortar used for brick"/>
    <s v="Brick, Cavity"/>
    <s v="No"/>
    <s v="Density of the mortar"/>
    <n v="0"/>
    <n v="4.1849999999999996"/>
    <n v="135"/>
    <s v="kg"/>
    <n v="1"/>
    <n v="1.2E-2"/>
    <n v="0.1"/>
    <n v="1.2000000000000001E-3"/>
    <n v="5"/>
    <n v="1.2E-2"/>
    <n v="2000"/>
    <n v="31"/>
    <n v="2"/>
  </r>
  <r>
    <x v="2"/>
    <s v="EPD"/>
    <x v="0"/>
    <x v="0"/>
    <s v="Brick"/>
    <s v="SIGMAT"/>
    <s v="SIGMAT EPD Open Panel (Brick Finish)"/>
    <x v="1"/>
    <s v="Framed"/>
    <s v="Placeholder"/>
    <m/>
    <s v="No"/>
    <s v="Cavity"/>
    <x v="3"/>
    <x v="3"/>
    <s v="No"/>
    <s v="cavity for bricks"/>
    <s v="Mortar Brick"/>
    <s v="Yes"/>
    <s v="None"/>
    <n v="2"/>
    <n v="0"/>
    <n v="0"/>
    <s v="kg"/>
    <n v="1"/>
    <n v="1"/>
    <n v="0.1"/>
    <n v="0.1"/>
    <n v="1"/>
    <n v="1"/>
    <n v="1.2"/>
    <n v="0.12"/>
    <n v="2.5000000000000001E-2"/>
  </r>
  <r>
    <x v="2"/>
    <s v="EPD"/>
    <x v="0"/>
    <x v="0"/>
    <s v="Brick"/>
    <s v="SIGMAT"/>
    <s v="SIGMAT EPD Open Panel (Brick Finish)"/>
    <x v="1"/>
    <s v="Framed"/>
    <s v="Placeholder"/>
    <m/>
    <s v="No"/>
    <s v="Plasterboard"/>
    <x v="1"/>
    <x v="4"/>
    <s v="No"/>
    <s v="Gypsum plasterboard"/>
    <s v="Battens/fastening, cavitty"/>
    <s v="Yes"/>
    <s v="None"/>
    <n v="6.5789473684210523E-2"/>
    <n v="1.839"/>
    <n v="0"/>
    <s v="kg"/>
    <n v="1"/>
    <n v="1"/>
    <n v="1.4999999999999999E-2"/>
    <n v="1.4999999999999999E-2"/>
    <n v="1"/>
    <n v="1"/>
    <n v="615"/>
    <n v="9.2249999999999996"/>
    <n v="0.19"/>
  </r>
  <r>
    <x v="2"/>
    <s v="EPD"/>
    <x v="0"/>
    <x v="0"/>
    <s v="Brick"/>
    <s v="SIGMAT"/>
    <s v="SIGMAT EPD Open Panel (Brick Finish)"/>
    <x v="1"/>
    <s v="Framed"/>
    <s v="Placeholder"/>
    <m/>
    <s v="No"/>
    <s v="Battens"/>
    <x v="1"/>
    <x v="4"/>
    <s v="No"/>
    <s v="Battens"/>
    <s v="cavity, plasterboard"/>
    <s v="Yes"/>
    <s v="None"/>
    <n v="0"/>
    <n v="1"/>
    <n v="0"/>
    <s v="kg"/>
    <n v="1"/>
    <n v="1"/>
    <n v="1"/>
    <n v="1"/>
    <n v="1"/>
    <n v="1"/>
    <n v="0"/>
    <n v="0"/>
    <n v="0"/>
  </r>
  <r>
    <x v="2"/>
    <s v="EPD"/>
    <x v="0"/>
    <x v="0"/>
    <s v="Brick"/>
    <s v="SIGMAT"/>
    <s v="SIGMAT EPD Open Panel (Brick Finish)"/>
    <x v="1"/>
    <s v="Framed"/>
    <s v="Placeholder"/>
    <m/>
    <s v="No"/>
    <s v="Cavity"/>
    <x v="3"/>
    <x v="4"/>
    <s v="No"/>
    <s v="battens cavity (50 mm)"/>
    <s v="battens and plasterboard"/>
    <s v="Yes"/>
    <s v="None"/>
    <n v="0.5"/>
    <n v="0"/>
    <n v="0"/>
    <s v="kg"/>
    <n v="1"/>
    <n v="1"/>
    <n v="0.05"/>
    <n v="0.05"/>
    <n v="1"/>
    <n v="1"/>
    <n v="1.2"/>
    <n v="0.06"/>
    <n v="2.5000000000000001E-2"/>
  </r>
  <r>
    <x v="2"/>
    <s v="EPD"/>
    <x v="0"/>
    <x v="0"/>
    <s v="Brick"/>
    <s v="SIGMAT"/>
    <s v="SIGMAT EPD Open Panel (Brick Finish)"/>
    <x v="1"/>
    <s v="Framed"/>
    <s v="Placeholder"/>
    <s v="insulation from LCA model A. Different dimensions may be used"/>
    <s v="No"/>
    <s v="Mineral Wool"/>
    <x v="0"/>
    <x v="1"/>
    <s v="Yes"/>
    <s v="Wool insulation for inside stud spacing"/>
    <m/>
    <s v="Yes"/>
    <s v="None"/>
    <n v="1.0371428571428574"/>
    <n v="8.9999999999999982"/>
    <n v="1.25"/>
    <s v="kg"/>
    <n v="0.6"/>
    <n v="2.4"/>
    <n v="0.09"/>
    <n v="0.12959999999999999"/>
    <n v="4"/>
    <n v="1"/>
    <n v="80"/>
    <n v="7.1999999999999993"/>
    <n v="2.1999999999999999E-2"/>
  </r>
  <r>
    <x v="2"/>
    <s v="EPD"/>
    <x v="0"/>
    <x v="0"/>
    <s v="Brick"/>
    <s v="SIGMAT"/>
    <s v="SIGMAT EPD Open Panel (Brick Finish)"/>
    <x v="1"/>
    <s v="Framed"/>
    <s v="Placeholder"/>
    <s v="insulation from LCA model A. Different dimensions may be used"/>
    <s v="No"/>
    <s v="PIR"/>
    <x v="0"/>
    <x v="1"/>
    <s v="Yes"/>
    <s v="Extra insulation outside panel"/>
    <s v="None"/>
    <s v="Yes"/>
    <s v="None"/>
    <n v="3.6363636363636367"/>
    <n v="7.9078399999999993"/>
    <n v="3.089"/>
    <s v="kg"/>
    <n v="2.4"/>
    <n v="1.2"/>
    <n v="0.08"/>
    <n v="0.23039999999999999"/>
    <n v="2"/>
    <n v="1"/>
    <n v="32"/>
    <n v="2.56"/>
    <n v="0.3"/>
  </r>
  <r>
    <x v="2"/>
    <s v="EPD"/>
    <x v="0"/>
    <x v="0"/>
    <s v="Brick"/>
    <s v="SIGMAT"/>
    <s v="SIGMAT EPD Open Panel (Brick Finish)"/>
    <x v="1"/>
    <s v="Framed"/>
    <s v="Placeholder"/>
    <s v="Membrane from model A. Different membrane may be used"/>
    <s v="No"/>
    <s v="Tyvek Membrane"/>
    <x v="0"/>
    <x v="2"/>
    <s v="Yes"/>
    <s v="Breather Paper for moisture"/>
    <s v="None"/>
    <s v="Yes"/>
    <s v="None"/>
    <n v="1.5E-3"/>
    <n v="0.25229166666666669"/>
    <n v="4.2"/>
    <s v="kg"/>
    <n v="2.4"/>
    <n v="2.4"/>
    <n v="4.4999999999999999E-4"/>
    <n v="2.5919999999999997E-3"/>
    <n v="1"/>
    <n v="1"/>
    <n v="0"/>
    <n v="0.34599999999999997"/>
    <n v="0.3"/>
  </r>
  <r>
    <x v="2"/>
    <s v="EPD"/>
    <x v="0"/>
    <x v="0"/>
    <s v="Brick"/>
    <s v="SIGMAT"/>
    <s v="SIGMAT EPD Open Panel (Brick Finish)"/>
    <x v="1"/>
    <s v="Framed"/>
    <s v="Placeholder"/>
    <s v="unsure which specific fasteners are used"/>
    <s v="No"/>
    <s v="General fastener placeholder"/>
    <x v="1"/>
    <x v="5"/>
    <s v="Yes"/>
    <s v="Screws, Nails, Fasteners"/>
    <m/>
    <s v="No"/>
    <s v="Which fasteners are needed"/>
    <n v="0"/>
    <n v="1"/>
    <n v="0"/>
    <m/>
    <n v="1"/>
    <n v="1"/>
    <n v="1"/>
    <n v="1"/>
    <n v="1"/>
    <n v="1"/>
    <n v="0"/>
    <n v="0.05"/>
    <n v="0"/>
  </r>
  <r>
    <x v="3"/>
    <s v="LCA"/>
    <x v="1"/>
    <x v="0"/>
    <s v="Brick"/>
    <s v="A"/>
    <s v="LCA Model A for Open Timber Panel"/>
    <x v="2"/>
    <s v="Framed"/>
    <s v="Issue"/>
    <s v="thermal resistance based on wall factor may be incorrect"/>
    <s v="No"/>
    <s v="Wall Stud"/>
    <x v="0"/>
    <x v="0"/>
    <s v="No"/>
    <m/>
    <m/>
    <s v="Yes"/>
    <s v="None"/>
    <n v="8.5256410256410273E-2"/>
    <n v="1.4866075000000001"/>
    <n v="0.26300000000000001"/>
    <s v="kg"/>
    <n v="3.7999999999999999E-2"/>
    <n v="2.4"/>
    <n v="0.14000000000000001"/>
    <n v="1.2768E-2"/>
    <n v="5"/>
    <n v="7.9166666666666663E-2"/>
    <n v="510"/>
    <n v="5.6524999999999999"/>
    <n v="0.13"/>
  </r>
  <r>
    <x v="3"/>
    <s v="LCA"/>
    <x v="1"/>
    <x v="0"/>
    <s v="Brick"/>
    <s v="A"/>
    <s v="LCA Model A for Open Timber Panel"/>
    <x v="2"/>
    <s v="Framed"/>
    <s v="Issue"/>
    <s v="thermal resistance based on wall factor may be incorrect"/>
    <s v="No"/>
    <s v="Top &amp; Bottom Plate"/>
    <x v="0"/>
    <x v="0"/>
    <s v="No"/>
    <m/>
    <m/>
    <s v="Yes"/>
    <s v="None"/>
    <n v="3.4102564102564105E-2"/>
    <n v="0.59464300000000003"/>
    <n v="0.26300000000000001"/>
    <s v="kg"/>
    <n v="3.7999999999999999E-2"/>
    <n v="2.4"/>
    <n v="0.14000000000000001"/>
    <n v="1.2768E-2"/>
    <n v="2"/>
    <n v="3.1666666666666662E-2"/>
    <n v="510"/>
    <n v="2.2610000000000001"/>
    <n v="0.13"/>
  </r>
  <r>
    <x v="3"/>
    <s v="LCA"/>
    <x v="1"/>
    <x v="0"/>
    <s v="Brick"/>
    <s v="A"/>
    <s v="LCA Model A for Open Timber Panel"/>
    <x v="2"/>
    <s v="Framed"/>
    <s v="Issue"/>
    <s v="thermal resistance based on wall factor may be incorrect"/>
    <s v="No"/>
    <s v="Noggin"/>
    <x v="0"/>
    <x v="0"/>
    <s v="No"/>
    <m/>
    <m/>
    <s v="Yes"/>
    <s v="None"/>
    <n v="1.5630341880341885E-2"/>
    <n v="0.27254470833333344"/>
    <n v="0.26300000000000001"/>
    <s v="kg"/>
    <n v="3.7999999999999999E-2"/>
    <n v="2.2000000000000002"/>
    <n v="0.14000000000000001"/>
    <n v="1.1704000000000003E-2"/>
    <n v="1"/>
    <n v="1.451388888888889E-2"/>
    <n v="510"/>
    <n v="1.0362916666666671"/>
    <n v="0.13"/>
  </r>
  <r>
    <x v="3"/>
    <s v="LCA"/>
    <x v="1"/>
    <x v="0"/>
    <s v="Brick"/>
    <s v="A"/>
    <s v="LCA Model A for Open Timber Panel"/>
    <x v="2"/>
    <s v="Framed"/>
    <s v="Unchecked"/>
    <m/>
    <s v="No"/>
    <s v="OSB Sheathing"/>
    <x v="0"/>
    <x v="6"/>
    <s v="Yes"/>
    <m/>
    <m/>
    <s v="Yes"/>
    <s v="None"/>
    <n v="6.9230769230769221E-2"/>
    <n v="2.4569999999999999"/>
    <n v="0.45500000000000002"/>
    <s v="kg"/>
    <n v="2.4"/>
    <n v="2.4"/>
    <n v="8.9999999999999993E-3"/>
    <n v="5.1839999999999997E-2"/>
    <n v="1"/>
    <n v="1"/>
    <n v="600"/>
    <n v="5.4"/>
    <n v="0.13"/>
  </r>
  <r>
    <x v="3"/>
    <s v="LCA"/>
    <x v="1"/>
    <x v="0"/>
    <s v="Brick"/>
    <s v="A"/>
    <s v="LCA Model A for Open Timber Panel"/>
    <x v="2"/>
    <s v="Framed"/>
    <s v="Issue"/>
    <s v="Mineral wool dimensions overlap with studs. If mineral wool is being placed inside stud spacing, the mass balance doesn't add up"/>
    <s v="No"/>
    <s v="Mineral Wool Insulation"/>
    <x v="0"/>
    <x v="1"/>
    <s v="Yes"/>
    <m/>
    <m/>
    <s v="Yes"/>
    <s v="None"/>
    <n v="3.4986111111111109"/>
    <n v="14"/>
    <n v="1.25"/>
    <s v="kg"/>
    <n v="0.6"/>
    <n v="2.4"/>
    <n v="0.14000000000000001"/>
    <n v="0.2016"/>
    <n v="4"/>
    <n v="0.87465277777777772"/>
    <n v="80"/>
    <n v="11.200000000000001"/>
    <n v="3.5000000000000003E-2"/>
  </r>
  <r>
    <x v="3"/>
    <s v="LCA"/>
    <x v="1"/>
    <x v="0"/>
    <s v="Brick"/>
    <s v="A"/>
    <s v="LCA Model A for Open Timber Panel"/>
    <x v="2"/>
    <s v="Framed"/>
    <s v="Unchecked"/>
    <m/>
    <s v="No"/>
    <s v="PIR Insulation"/>
    <x v="0"/>
    <x v="1"/>
    <s v="Yes"/>
    <m/>
    <m/>
    <s v="Yes"/>
    <s v="None"/>
    <n v="1.3636363636363638"/>
    <n v="2.9654399999999996"/>
    <n v="3.089"/>
    <s v="kg"/>
    <n v="2.4"/>
    <n v="2.4"/>
    <n v="0.03"/>
    <n v="0.17279999999999998"/>
    <n v="1"/>
    <n v="1"/>
    <n v="32"/>
    <n v="0.96"/>
    <n v="2.1999999999999999E-2"/>
  </r>
  <r>
    <x v="3"/>
    <s v="LCA"/>
    <x v="1"/>
    <x v="0"/>
    <s v="Brick"/>
    <s v="A"/>
    <s v="LCA Model A for Open Timber Panel"/>
    <x v="2"/>
    <s v="Framed"/>
    <s v="Unchecked"/>
    <m/>
    <s v="No"/>
    <s v="Weather Membrane (Tyvek 60g/m2)"/>
    <x v="0"/>
    <x v="2"/>
    <s v="Yes"/>
    <m/>
    <m/>
    <s v="Yes"/>
    <s v="None"/>
    <n v="1.5E-3"/>
    <n v="0.25229166666666669"/>
    <n v="4.2"/>
    <s v="kg"/>
    <n v="2.4"/>
    <n v="2.4"/>
    <n v="4.4999999999999999E-4"/>
    <n v="2.5919999999999997E-3"/>
    <n v="1"/>
    <n v="1"/>
    <n v="0"/>
    <n v="6.0763888888888888E-2"/>
    <n v="0.3"/>
  </r>
  <r>
    <x v="3"/>
    <s v="LCA"/>
    <x v="1"/>
    <x v="0"/>
    <s v="Brick"/>
    <s v="A"/>
    <s v="LCA Model A for Open Timber Panel"/>
    <x v="2"/>
    <s v="Framed"/>
    <s v="Placeholder"/>
    <m/>
    <s v="No"/>
    <s v="Brick"/>
    <x v="1"/>
    <x v="3"/>
    <s v="No"/>
    <s v="Brick blocks (100 mm)"/>
    <s v="Mortar, Cavity (for thermal calculation)"/>
    <s v="Yes"/>
    <s v="None"/>
    <n v="0.12987012987012989"/>
    <n v="42.199999999999996"/>
    <n v="0.21099999999999999"/>
    <s v="kg"/>
    <n v="1"/>
    <n v="1"/>
    <n v="0.1"/>
    <n v="0.1"/>
    <n v="1"/>
    <n v="1"/>
    <n v="2000"/>
    <n v="200"/>
    <n v="0.77"/>
  </r>
  <r>
    <x v="3"/>
    <s v="LCA"/>
    <x v="1"/>
    <x v="0"/>
    <s v="Brick"/>
    <s v="A"/>
    <s v="LCA Model A for Open Timber Panel"/>
    <x v="2"/>
    <s v="Framed"/>
    <s v="Issue"/>
    <s v="normalisation for this mortar EPD is estimated. Need the density of the mortar and the volume of the mortar in the wall"/>
    <s v="No"/>
    <s v="Tiger Mortar General Masonry"/>
    <x v="2"/>
    <x v="3"/>
    <s v="No"/>
    <s v="mortar used for brick"/>
    <s v="Brick, Cavity"/>
    <s v="No"/>
    <s v="Density of the mortar"/>
    <n v="0"/>
    <n v="4.1849999999999996"/>
    <n v="135"/>
    <s v="kg"/>
    <n v="1"/>
    <n v="1.2E-2"/>
    <n v="0.1"/>
    <n v="1.2000000000000001E-3"/>
    <n v="5"/>
    <n v="1.2E-2"/>
    <n v="2000"/>
    <n v="31"/>
    <n v="2"/>
  </r>
  <r>
    <x v="3"/>
    <s v="LCA"/>
    <x v="1"/>
    <x v="0"/>
    <s v="Brick"/>
    <s v="A"/>
    <s v="LCA Model A for Open Timber Panel"/>
    <x v="2"/>
    <s v="Framed"/>
    <s v="Placeholder"/>
    <m/>
    <s v="No"/>
    <s v="Cavity"/>
    <x v="3"/>
    <x v="3"/>
    <s v="No"/>
    <s v="cavity for bricks"/>
    <s v="Mortar Brick"/>
    <s v="Yes"/>
    <s v="None"/>
    <n v="2"/>
    <n v="0"/>
    <n v="0"/>
    <s v="kg"/>
    <n v="1"/>
    <n v="1"/>
    <n v="0.1"/>
    <n v="0.1"/>
    <n v="1"/>
    <n v="1"/>
    <n v="1.2"/>
    <n v="0.12"/>
    <n v="2.5000000000000001E-2"/>
  </r>
  <r>
    <x v="3"/>
    <s v="LCA"/>
    <x v="1"/>
    <x v="0"/>
    <s v="Brick"/>
    <s v="A"/>
    <s v="LCA Model A for Open Timber Panel"/>
    <x v="2"/>
    <s v="Framed"/>
    <s v="Placeholder"/>
    <m/>
    <s v="No"/>
    <s v="Plasterboard"/>
    <x v="1"/>
    <x v="4"/>
    <s v="No"/>
    <s v="Gypsum plasterboard"/>
    <s v="Battens/fastening, cavitty"/>
    <s v="Yes"/>
    <s v="None"/>
    <n v="6.5789473684210523E-2"/>
    <n v="1.839"/>
    <n v="0"/>
    <s v="kg"/>
    <n v="1"/>
    <n v="1"/>
    <n v="1.4999999999999999E-2"/>
    <n v="1.4999999999999999E-2"/>
    <n v="1"/>
    <n v="1"/>
    <n v="615"/>
    <n v="9.2249999999999996"/>
    <n v="0.19"/>
  </r>
  <r>
    <x v="3"/>
    <s v="LCA"/>
    <x v="1"/>
    <x v="0"/>
    <s v="Brick"/>
    <s v="A"/>
    <s v="LCA Model A for Open Timber Panel"/>
    <x v="2"/>
    <s v="Framed"/>
    <s v="Placeholder"/>
    <m/>
    <s v="No"/>
    <s v="Battens"/>
    <x v="1"/>
    <x v="4"/>
    <s v="No"/>
    <s v="Battens"/>
    <s v="cavity, plasterboard"/>
    <s v="Yes"/>
    <s v="None"/>
    <n v="0"/>
    <n v="1"/>
    <n v="0"/>
    <s v="kg"/>
    <n v="1"/>
    <n v="1"/>
    <n v="1"/>
    <n v="1"/>
    <n v="1"/>
    <n v="1"/>
    <n v="0"/>
    <n v="0"/>
    <n v="0"/>
  </r>
  <r>
    <x v="3"/>
    <s v="LCA"/>
    <x v="1"/>
    <x v="0"/>
    <s v="Brick"/>
    <s v="A"/>
    <s v="LCA Model A for Open Timber Panel"/>
    <x v="2"/>
    <s v="Framed"/>
    <s v="Placeholder"/>
    <m/>
    <s v="No"/>
    <s v="Cavity"/>
    <x v="3"/>
    <x v="4"/>
    <s v="No"/>
    <s v="battens cavity (50 mm)"/>
    <s v="battens and plasterboard"/>
    <s v="Yes"/>
    <s v="None"/>
    <n v="0.5"/>
    <n v="0"/>
    <n v="0"/>
    <s v="kg"/>
    <n v="1"/>
    <n v="1"/>
    <n v="0.05"/>
    <n v="0.05"/>
    <n v="1"/>
    <n v="1"/>
    <n v="1.2"/>
    <n v="0.06"/>
    <n v="2.5000000000000001E-2"/>
  </r>
  <r>
    <x v="3"/>
    <s v="LCA"/>
    <x v="1"/>
    <x v="0"/>
    <s v="Brick"/>
    <s v="A"/>
    <s v="LCA Model A for Open Timber Panel"/>
    <x v="2"/>
    <s v="Framed"/>
    <s v="Placeholder"/>
    <s v="unsure which specific fasteners are used"/>
    <s v="No"/>
    <s v="General fastener placeholder"/>
    <x v="1"/>
    <x v="5"/>
    <s v="Yes"/>
    <s v="Screws, Nails, Fasteners"/>
    <m/>
    <s v="No"/>
    <s v="Which fasteners are needed"/>
    <n v="0"/>
    <n v="1"/>
    <n v="0"/>
    <m/>
    <n v="1"/>
    <n v="1"/>
    <n v="1"/>
    <n v="1"/>
    <n v="1"/>
    <n v="1"/>
    <n v="0"/>
    <n v="0.05"/>
    <n v="0"/>
  </r>
  <r>
    <x v="4"/>
    <s v="LCA"/>
    <x v="1"/>
    <x v="1"/>
    <s v="Brick"/>
    <s v="A"/>
    <s v="LCA Model A for Open Timber Panel"/>
    <x v="3"/>
    <s v="Framed"/>
    <s v="Unchecked"/>
    <m/>
    <s v="No"/>
    <s v="Pre-insulated panel"/>
    <x v="0"/>
    <x v="7"/>
    <s v="Yes"/>
    <s v="Wall studs, top &amp; bottom plate, noggin, PIR and mineral wool, tyvek membrane, OSB sheathing"/>
    <m/>
    <s v="Yes"/>
    <s v="None"/>
    <n v="5.0679675602175607"/>
    <n v="22.028526875000001"/>
    <m/>
    <m/>
    <b v="0"/>
    <b v="0"/>
    <b v="0"/>
    <b v="0"/>
    <b v="0"/>
    <b v="0"/>
    <b v="0"/>
    <n v="26.570555555555558"/>
    <b v="0"/>
  </r>
  <r>
    <x v="4"/>
    <s v="LCA"/>
    <x v="1"/>
    <x v="1"/>
    <s v="Brick"/>
    <s v="A"/>
    <s v="LCA Model A for Open Timber Panel"/>
    <x v="3"/>
    <s v="Framed"/>
    <s v="Placeholder"/>
    <m/>
    <s v="No"/>
    <s v="Brick"/>
    <x v="1"/>
    <x v="3"/>
    <s v="No"/>
    <s v="Brick blocks (100 mm)"/>
    <s v="Mortar, Cavity (for thermal calculation)"/>
    <s v="Yes"/>
    <s v="None"/>
    <n v="0.12987012987012989"/>
    <n v="42.199999999999996"/>
    <n v="0.21099999999999999"/>
    <s v="kg"/>
    <n v="1"/>
    <n v="1"/>
    <n v="0.1"/>
    <n v="0.1"/>
    <n v="1"/>
    <n v="1"/>
    <n v="2000"/>
    <n v="200"/>
    <n v="0.77"/>
  </r>
  <r>
    <x v="4"/>
    <s v="LCA"/>
    <x v="1"/>
    <x v="1"/>
    <s v="Brick"/>
    <s v="A"/>
    <s v="LCA Model A for Open Timber Panel"/>
    <x v="2"/>
    <s v="Framed"/>
    <s v="Issue"/>
    <s v="normalisation for this mortar EPD is estimated. Need the density of the mortar and the volume of the mortar in the wall"/>
    <s v="No"/>
    <s v="Tiger Mortar General Masonry"/>
    <x v="2"/>
    <x v="3"/>
    <s v="No"/>
    <s v="mortar used for brick"/>
    <s v="Brick, Cavity"/>
    <s v="No"/>
    <s v="Density of the mortar"/>
    <n v="0"/>
    <n v="4.1849999999999996"/>
    <n v="135"/>
    <s v="kg"/>
    <n v="1"/>
    <n v="1.2E-2"/>
    <n v="0.1"/>
    <n v="1.2000000000000001E-3"/>
    <n v="5"/>
    <n v="1.2E-2"/>
    <n v="2000"/>
    <n v="31"/>
    <n v="2"/>
  </r>
  <r>
    <x v="4"/>
    <s v="LCA"/>
    <x v="1"/>
    <x v="1"/>
    <s v="Brick"/>
    <s v="A"/>
    <s v="LCA Model A for Open Timber Panel"/>
    <x v="2"/>
    <s v="Framed"/>
    <s v="Placeholder"/>
    <m/>
    <s v="No"/>
    <s v="Cavity"/>
    <x v="3"/>
    <x v="3"/>
    <s v="No"/>
    <s v="cavity for bricks"/>
    <s v="Mortar Brick"/>
    <s v="Yes"/>
    <s v="None"/>
    <n v="2"/>
    <n v="0"/>
    <n v="0"/>
    <s v="kg"/>
    <n v="1"/>
    <n v="1"/>
    <n v="0.1"/>
    <n v="0.1"/>
    <n v="1"/>
    <n v="1"/>
    <n v="1.2"/>
    <n v="0.12"/>
    <n v="2.5000000000000001E-2"/>
  </r>
  <r>
    <x v="4"/>
    <s v="LCA"/>
    <x v="1"/>
    <x v="1"/>
    <s v="Brick"/>
    <s v="A"/>
    <s v="LCA Model A for Open Timber Panel"/>
    <x v="2"/>
    <s v="Framed"/>
    <s v="Placeholder"/>
    <m/>
    <s v="No"/>
    <s v="Plasterboard"/>
    <x v="1"/>
    <x v="4"/>
    <s v="No"/>
    <s v="Gypsum plasterboard"/>
    <s v="Battens/fastening, cavitty"/>
    <s v="Yes"/>
    <s v="None"/>
    <n v="6.5789473684210523E-2"/>
    <n v="1.839"/>
    <n v="0"/>
    <s v="kg"/>
    <n v="1"/>
    <n v="1"/>
    <n v="1.4999999999999999E-2"/>
    <n v="1.4999999999999999E-2"/>
    <n v="1"/>
    <n v="1"/>
    <n v="615"/>
    <n v="9.2249999999999996"/>
    <n v="0.19"/>
  </r>
  <r>
    <x v="4"/>
    <s v="LCA"/>
    <x v="1"/>
    <x v="1"/>
    <s v="Brick"/>
    <s v="A"/>
    <s v="LCA Model A for Open Timber Panel"/>
    <x v="2"/>
    <s v="Framed"/>
    <s v="Placeholder"/>
    <m/>
    <s v="No"/>
    <s v="Battens"/>
    <x v="1"/>
    <x v="4"/>
    <s v="No"/>
    <s v="Battens"/>
    <s v="cavity, plasterboard"/>
    <s v="Yes"/>
    <s v="None"/>
    <n v="0"/>
    <n v="1"/>
    <n v="0"/>
    <s v="kg"/>
    <n v="1"/>
    <n v="1"/>
    <n v="1"/>
    <n v="1"/>
    <n v="1"/>
    <n v="1"/>
    <n v="0"/>
    <n v="0"/>
    <n v="0"/>
  </r>
  <r>
    <x v="4"/>
    <s v="LCA"/>
    <x v="1"/>
    <x v="1"/>
    <s v="Brick"/>
    <s v="A"/>
    <s v="LCA Model A for Open Timber Panel"/>
    <x v="2"/>
    <s v="Framed"/>
    <s v="Placeholder"/>
    <m/>
    <s v="No"/>
    <s v="Cavity"/>
    <x v="3"/>
    <x v="4"/>
    <s v="No"/>
    <s v="battens cavity (50 mm)"/>
    <s v="battens and plasterboard"/>
    <s v="Yes"/>
    <s v="None"/>
    <n v="0.5"/>
    <n v="0"/>
    <n v="0"/>
    <s v="kg"/>
    <n v="1"/>
    <n v="1"/>
    <n v="0.05"/>
    <n v="0.05"/>
    <n v="1"/>
    <n v="1"/>
    <n v="1.2"/>
    <n v="0.06"/>
    <n v="2.5000000000000001E-2"/>
  </r>
  <r>
    <x v="4"/>
    <s v="LCA"/>
    <x v="1"/>
    <x v="1"/>
    <s v="Brick"/>
    <s v="A"/>
    <s v="LCA Model A for Open Timber Panel"/>
    <x v="2"/>
    <s v="Framed"/>
    <s v="Placeholder"/>
    <s v="unsure which specific fasteners are used"/>
    <s v="No"/>
    <s v="General fastener placeholder"/>
    <x v="1"/>
    <x v="5"/>
    <s v="Yes"/>
    <s v="Screws, Nails, Fasteners"/>
    <m/>
    <s v="No"/>
    <s v="Which fasteners are needed"/>
    <n v="0"/>
    <n v="1"/>
    <n v="0"/>
    <m/>
    <n v="1"/>
    <n v="1"/>
    <n v="1"/>
    <n v="1"/>
    <n v="1"/>
    <n v="1"/>
    <n v="0"/>
    <n v="0.05"/>
    <n v="0"/>
  </r>
  <r>
    <x v="5"/>
    <s v="EPD"/>
    <x v="1"/>
    <x v="0"/>
    <s v="Brick"/>
    <s v="Donaldson"/>
    <s v="Donaldson Alpha Open Panel EPD (Brick finish)"/>
    <x v="4"/>
    <s v="Framed"/>
    <s v="Incomplete"/>
    <s v="R value and dimensions unknown for open panel"/>
    <s v="No"/>
    <s v="Alpha - Open Panel"/>
    <x v="4"/>
    <x v="0"/>
    <s v="Yes"/>
    <s v="Studs, top and bottom plate, noggin, OSB sheathing etc."/>
    <m/>
    <s v="No"/>
    <s v="R value, Insulation type used, panel dimensions"/>
    <n v="0.20422008547008547"/>
    <n v="14.681000000000001"/>
    <n v="14.681000000000001"/>
    <s v="m^2"/>
    <b v="0"/>
    <b v="0"/>
    <b v="0"/>
    <b v="0"/>
    <b v="0"/>
    <b v="0"/>
    <b v="0"/>
    <n v="21.04"/>
    <b v="0"/>
  </r>
  <r>
    <x v="5"/>
    <s v="EPD"/>
    <x v="1"/>
    <x v="0"/>
    <s v="Brick"/>
    <s v="Donaldson"/>
    <s v="Donaldson Alpha Open Panel EPD (Brick finish)"/>
    <x v="4"/>
    <s v="Framed"/>
    <s v="Placeholder"/>
    <s v="insulation from LCA model A. Different dimensions may be used"/>
    <s v="No"/>
    <s v="Mineral Wool Insulation"/>
    <x v="0"/>
    <x v="1"/>
    <s v="Yes"/>
    <m/>
    <m/>
    <s v="Yes"/>
    <s v="None"/>
    <n v="3.4986111111111109"/>
    <n v="14"/>
    <n v="1.25"/>
    <s v="kg"/>
    <n v="0.6"/>
    <n v="2.4"/>
    <n v="0.14000000000000001"/>
    <n v="0.2016"/>
    <n v="4"/>
    <n v="0.87465277777777772"/>
    <n v="80"/>
    <n v="11.200000000000001"/>
    <n v="3.5000000000000003E-2"/>
  </r>
  <r>
    <x v="5"/>
    <s v="EPD"/>
    <x v="1"/>
    <x v="0"/>
    <s v="Brick"/>
    <s v="Donaldson"/>
    <s v="Donaldson Alpha Open Panel EPD (Brick finish)"/>
    <x v="4"/>
    <s v="Framed"/>
    <s v="Placeholder"/>
    <s v="insulation from LCA model A. Different dimensions may be used"/>
    <s v="No"/>
    <s v="PIR Insulation"/>
    <x v="0"/>
    <x v="1"/>
    <s v="Yes"/>
    <m/>
    <m/>
    <s v="Yes"/>
    <s v="None"/>
    <n v="1.3636363636363638"/>
    <n v="2.9654399999999996"/>
    <n v="3.089"/>
    <s v="kg"/>
    <n v="2.4"/>
    <n v="2.4"/>
    <n v="0.03"/>
    <n v="0.17279999999999998"/>
    <n v="1"/>
    <n v="1"/>
    <n v="32"/>
    <n v="0.96"/>
    <n v="2.1999999999999999E-2"/>
  </r>
  <r>
    <x v="5"/>
    <s v="EPD"/>
    <x v="1"/>
    <x v="0"/>
    <s v="Brick"/>
    <s v="Donaldson"/>
    <s v="Donaldson Alpha Open Panel EPD (Brick finish)"/>
    <x v="4"/>
    <s v="Framed"/>
    <s v="Placeholder"/>
    <s v="Membrane from model A. Different membrane may be used"/>
    <s v="No"/>
    <s v="Weather Membrane (Tyvek 60g/m2)"/>
    <x v="0"/>
    <x v="2"/>
    <s v="Yes"/>
    <m/>
    <m/>
    <s v="Yes"/>
    <s v="None"/>
    <n v="1.5E-3"/>
    <n v="0.25229166666666669"/>
    <n v="4.2"/>
    <s v="kg"/>
    <n v="2.4"/>
    <n v="2.4"/>
    <n v="4.4999999999999999E-4"/>
    <n v="2.5919999999999997E-3"/>
    <n v="1"/>
    <n v="1"/>
    <n v="0"/>
    <n v="6.0763888888888888E-2"/>
    <n v="0.3"/>
  </r>
  <r>
    <x v="5"/>
    <s v="EPD"/>
    <x v="1"/>
    <x v="0"/>
    <s v="Brick"/>
    <s v="Donaldson"/>
    <s v="Donaldson Alpha Open Panel EPD (Brick finish)"/>
    <x v="4"/>
    <s v="Framed"/>
    <s v="Issue"/>
    <s v="Kingscourt brick does not report fossil GWP, only total GWP"/>
    <s v="No"/>
    <s v="Kingscourt Brick (Total GWP)"/>
    <x v="2"/>
    <x v="3"/>
    <s v="No"/>
    <s v="Clay brick for external finish"/>
    <s v="Mortar, Cavity (for thermal calculation)"/>
    <s v="Yes"/>
    <s v="None"/>
    <n v="0.16269841269841268"/>
    <n v="42.616724999999995"/>
    <n v="211"/>
    <s v="tonne"/>
    <n v="1"/>
    <n v="1"/>
    <n v="0.10249999999999999"/>
    <n v="0.10249999999999999"/>
    <n v="1"/>
    <n v="1"/>
    <n v="1970"/>
    <n v="201.92499999999998"/>
    <n v="0.63"/>
  </r>
  <r>
    <x v="5"/>
    <s v="EPD"/>
    <x v="1"/>
    <x v="0"/>
    <s v="Brick"/>
    <s v="Donaldson"/>
    <s v="Donaldson Alpha Open Panel EPD (Brick finish)"/>
    <x v="4"/>
    <s v="Framed"/>
    <s v="Issue"/>
    <s v="normalisation for this mortar EPD is estimated. Need the density of the mortar and the volume of the mortar in the wall"/>
    <s v="No"/>
    <s v="Tiger Mortar General Masonry"/>
    <x v="2"/>
    <x v="3"/>
    <s v="No"/>
    <s v="mortar used for brick"/>
    <s v="Brick, Cavity"/>
    <s v="No"/>
    <s v="Density of the mortar"/>
    <n v="0"/>
    <n v="4.1849999999999996"/>
    <n v="135"/>
    <s v="kg"/>
    <n v="1"/>
    <n v="1.2E-2"/>
    <n v="0.1"/>
    <n v="1.2000000000000001E-3"/>
    <n v="5"/>
    <n v="1.2E-2"/>
    <n v="2000"/>
    <n v="31"/>
    <n v="2"/>
  </r>
  <r>
    <x v="5"/>
    <s v="EPD"/>
    <x v="1"/>
    <x v="0"/>
    <s v="Brick"/>
    <s v="Donaldson"/>
    <s v="Donaldson Alpha Open Panel EPD (Brick finish)"/>
    <x v="4"/>
    <s v="Framed"/>
    <s v="Placeholder"/>
    <m/>
    <s v="No"/>
    <s v="Cavity"/>
    <x v="3"/>
    <x v="3"/>
    <s v="No"/>
    <s v="cavity for bricks"/>
    <s v="Mortar Brick"/>
    <s v="Yes"/>
    <s v="None"/>
    <n v="2"/>
    <n v="0"/>
    <n v="0"/>
    <s v="kg"/>
    <n v="1"/>
    <n v="1"/>
    <n v="0.1"/>
    <n v="0.1"/>
    <n v="1"/>
    <n v="1"/>
    <n v="1.2"/>
    <n v="0.12"/>
    <n v="2.5000000000000001E-2"/>
  </r>
  <r>
    <x v="5"/>
    <s v="EPD"/>
    <x v="1"/>
    <x v="0"/>
    <s v="Brick"/>
    <s v="Donaldson"/>
    <s v="Donaldson Alpha Open Panel EPD (Brick finish)"/>
    <x v="4"/>
    <s v="Framed"/>
    <s v="Placeholder"/>
    <m/>
    <s v="No"/>
    <s v="Plasterboard"/>
    <x v="1"/>
    <x v="4"/>
    <s v="No"/>
    <s v="Gypsum plasterboard"/>
    <s v="Battens/fastening, cavitty"/>
    <s v="Yes"/>
    <s v="None"/>
    <n v="6.5789473684210523E-2"/>
    <n v="1.839"/>
    <n v="0"/>
    <s v="kg"/>
    <n v="1"/>
    <n v="1"/>
    <n v="1.4999999999999999E-2"/>
    <n v="1.4999999999999999E-2"/>
    <n v="1"/>
    <n v="1"/>
    <n v="615"/>
    <n v="9.2249999999999996"/>
    <n v="0.19"/>
  </r>
  <r>
    <x v="5"/>
    <s v="EPD"/>
    <x v="1"/>
    <x v="0"/>
    <s v="Brick"/>
    <s v="Donaldson"/>
    <s v="Donaldson Alpha Open Panel EPD (Brick finish)"/>
    <x v="4"/>
    <s v="Framed"/>
    <s v="Placeholder"/>
    <m/>
    <s v="No"/>
    <s v="Battens"/>
    <x v="1"/>
    <x v="4"/>
    <s v="No"/>
    <s v="Battens"/>
    <s v="cavity, plasterboard"/>
    <s v="Yes"/>
    <s v="None"/>
    <n v="0"/>
    <n v="1"/>
    <n v="0"/>
    <s v="kg"/>
    <n v="1"/>
    <n v="1"/>
    <n v="1"/>
    <n v="1"/>
    <n v="1"/>
    <n v="1"/>
    <n v="0"/>
    <n v="0"/>
    <n v="0"/>
  </r>
  <r>
    <x v="5"/>
    <s v="EPD"/>
    <x v="1"/>
    <x v="0"/>
    <s v="Brick"/>
    <s v="Donaldson"/>
    <s v="Donaldson Alpha Open Panel EPD (Brick finish)"/>
    <x v="4"/>
    <s v="Framed"/>
    <s v="Placeholder"/>
    <m/>
    <s v="No"/>
    <s v="Cavity"/>
    <x v="3"/>
    <x v="4"/>
    <s v="No"/>
    <s v="battens cavity (50 mm)"/>
    <s v="battens and plasterboard"/>
    <s v="Yes"/>
    <s v="None"/>
    <n v="0.5"/>
    <n v="0"/>
    <n v="0"/>
    <s v="kg"/>
    <n v="1"/>
    <n v="1"/>
    <n v="0.05"/>
    <n v="0.05"/>
    <n v="1"/>
    <n v="1"/>
    <n v="1.2"/>
    <n v="0.06"/>
    <n v="2.5000000000000001E-2"/>
  </r>
  <r>
    <x v="5"/>
    <s v="EPD"/>
    <x v="1"/>
    <x v="0"/>
    <s v="Brick"/>
    <s v="Donaldson"/>
    <s v="Donaldson Alpha Open Panel EPD (Brick finish)"/>
    <x v="4"/>
    <s v="Framed"/>
    <s v="Placeholder"/>
    <s v="unsure which specific fasteners are used"/>
    <s v="No"/>
    <s v="General fastener placeholder"/>
    <x v="1"/>
    <x v="5"/>
    <s v="Yes"/>
    <s v="Screws, Nails, Fasteners"/>
    <m/>
    <s v="No"/>
    <s v="Which fasteners are needed"/>
    <n v="0"/>
    <n v="1"/>
    <n v="0"/>
    <m/>
    <n v="1"/>
    <n v="1"/>
    <n v="1"/>
    <n v="1"/>
    <n v="1"/>
    <n v="1"/>
    <n v="0"/>
    <n v="0.05"/>
    <n v="0"/>
  </r>
  <r>
    <x v="6"/>
    <s v="EPD"/>
    <x v="1"/>
    <x v="1"/>
    <s v="Brick"/>
    <s v="Donaldson"/>
    <s v="Donaldson Delta Pre-Insulated Panel EPD (Brick finish)"/>
    <x v="5"/>
    <s v="Framed"/>
    <s v="Incomplete"/>
    <s v="R value, insulation type, and dimensions unknown for open panel"/>
    <s v="No"/>
    <s v="Delta - Pre-Insulated Panel"/>
    <x v="4"/>
    <x v="7"/>
    <s v="Yes"/>
    <s v="Studs, top and bottom plate, noggin, OSB sheathing, unknown insulation"/>
    <m/>
    <s v="No"/>
    <s v="Insulation type used, panel dimensions"/>
    <n v="5.0694675602175607"/>
    <n v="18.8"/>
    <n v="18.8"/>
    <s v="m^2"/>
    <b v="0"/>
    <b v="0"/>
    <b v="0"/>
    <b v="0"/>
    <b v="0"/>
    <b v="0"/>
    <b v="0"/>
    <n v="23.57"/>
    <b v="0"/>
  </r>
  <r>
    <x v="6"/>
    <s v="EPD"/>
    <x v="1"/>
    <x v="1"/>
    <s v="Brick"/>
    <s v="Donaldson"/>
    <s v="Donaldson Delta Pre-Insulated Panel EPD (Brick finish)"/>
    <x v="5"/>
    <s v="Framed"/>
    <s v="Issue"/>
    <s v="Kingscourt brick does not report fossil GWP, only total GWP"/>
    <s v="No"/>
    <s v="Kingscourt Brick (Total GWP)"/>
    <x v="2"/>
    <x v="3"/>
    <s v="No"/>
    <s v="Clay brick for external finish"/>
    <s v="Mortar, Cavity (for thermal calculation)"/>
    <s v="Yes"/>
    <s v="None"/>
    <n v="0.16269841269841268"/>
    <n v="42.616724999999995"/>
    <n v="211"/>
    <s v="ton"/>
    <n v="1"/>
    <n v="1"/>
    <n v="0.10249999999999999"/>
    <n v="0.10249999999999999"/>
    <n v="1"/>
    <n v="1"/>
    <n v="1970"/>
    <n v="201.92499999999998"/>
    <n v="0.63"/>
  </r>
  <r>
    <x v="6"/>
    <s v="EPD"/>
    <x v="1"/>
    <x v="1"/>
    <s v="Brick"/>
    <s v="Donaldson"/>
    <s v="Donaldson Delta Pre-Insulated Panel EPD (Brick finish)"/>
    <x v="5"/>
    <s v="Framed"/>
    <s v="Issue"/>
    <s v="normalisation for this mortar EPD is estimated. Need the density of the mortar and the volume of the mortar in the wall"/>
    <s v="No"/>
    <s v="Tiger Mortar General Masonry"/>
    <x v="2"/>
    <x v="3"/>
    <s v="No"/>
    <s v="mortar used for brick"/>
    <s v="Brick, Cavity"/>
    <s v="No"/>
    <s v="Density of the mortar"/>
    <n v="0"/>
    <n v="4.1849999999999996"/>
    <n v="135"/>
    <s v="kg"/>
    <n v="1"/>
    <n v="1.2E-2"/>
    <n v="0.1"/>
    <n v="1.2000000000000001E-3"/>
    <n v="5"/>
    <n v="1.2E-2"/>
    <n v="2000"/>
    <n v="31"/>
    <n v="2"/>
  </r>
  <r>
    <x v="6"/>
    <s v="EPD"/>
    <x v="1"/>
    <x v="1"/>
    <s v="Brick"/>
    <s v="Donaldson"/>
    <s v="Donaldson Delta Pre-Insulated Panel EPD (Brick finish)"/>
    <x v="5"/>
    <s v="Framed"/>
    <s v="Placeholder"/>
    <m/>
    <s v="No"/>
    <s v="Cavity"/>
    <x v="3"/>
    <x v="3"/>
    <s v="No"/>
    <s v="cavity for bricks"/>
    <s v="Mortar Brick"/>
    <s v="Yes"/>
    <s v="None"/>
    <n v="2"/>
    <n v="0"/>
    <n v="0"/>
    <s v="kg"/>
    <n v="1"/>
    <n v="1"/>
    <n v="0.1"/>
    <n v="0.1"/>
    <n v="1"/>
    <n v="1"/>
    <n v="1.2"/>
    <n v="0.12"/>
    <n v="2.5000000000000001E-2"/>
  </r>
  <r>
    <x v="6"/>
    <s v="EPD"/>
    <x v="1"/>
    <x v="1"/>
    <s v="Brick"/>
    <s v="Donaldson"/>
    <s v="Donaldson Delta Pre-Insulated Panel EPD (Brick finish)"/>
    <x v="5"/>
    <s v="Framed"/>
    <s v="Placeholder"/>
    <m/>
    <s v="No"/>
    <s v="Plasterboard"/>
    <x v="1"/>
    <x v="4"/>
    <s v="No"/>
    <s v="Gypsum plasterboard"/>
    <s v="Battens/fastening, cavitty"/>
    <s v="Yes"/>
    <s v="None"/>
    <n v="6.5789473684210523E-2"/>
    <n v="1.839"/>
    <n v="0"/>
    <s v="kg"/>
    <n v="1"/>
    <n v="1"/>
    <n v="1.4999999999999999E-2"/>
    <n v="1.4999999999999999E-2"/>
    <n v="1"/>
    <n v="1"/>
    <n v="615"/>
    <n v="9.2249999999999996"/>
    <n v="0.19"/>
  </r>
  <r>
    <x v="6"/>
    <s v="EPD"/>
    <x v="1"/>
    <x v="1"/>
    <s v="Brick"/>
    <s v="Donaldson"/>
    <s v="Donaldson Delta Pre-Insulated Panel EPD (Brick finish)"/>
    <x v="5"/>
    <s v="Framed"/>
    <s v="Placeholder"/>
    <m/>
    <s v="No"/>
    <s v="Battens"/>
    <x v="1"/>
    <x v="4"/>
    <s v="No"/>
    <s v="Battens"/>
    <s v="cavity, plasterboard"/>
    <s v="Yes"/>
    <s v="None"/>
    <n v="0"/>
    <n v="1"/>
    <n v="0"/>
    <s v="kg"/>
    <n v="1"/>
    <n v="1"/>
    <n v="1"/>
    <n v="1"/>
    <n v="1"/>
    <n v="1"/>
    <n v="0"/>
    <n v="0"/>
    <n v="0"/>
  </r>
  <r>
    <x v="6"/>
    <s v="EPD"/>
    <x v="1"/>
    <x v="1"/>
    <s v="Brick"/>
    <s v="Donaldson"/>
    <s v="Donaldson Delta Pre-Insulated Panel EPD (Brick finish)"/>
    <x v="5"/>
    <s v="Framed"/>
    <s v="Placeholder"/>
    <m/>
    <s v="No"/>
    <s v="Cavity"/>
    <x v="3"/>
    <x v="4"/>
    <s v="No"/>
    <s v="battens cavity (50 mm)"/>
    <s v="battens and plasterboard"/>
    <s v="Yes"/>
    <s v="None"/>
    <n v="0.5"/>
    <n v="0"/>
    <n v="0"/>
    <s v="kg"/>
    <n v="1"/>
    <n v="1"/>
    <n v="0.05"/>
    <n v="0.05"/>
    <n v="1"/>
    <n v="1"/>
    <n v="1.2"/>
    <n v="0.06"/>
    <n v="2.5000000000000001E-2"/>
  </r>
  <r>
    <x v="6"/>
    <s v="EPD"/>
    <x v="1"/>
    <x v="1"/>
    <s v="Brick"/>
    <s v="Donaldson"/>
    <s v="Donaldson Delta Pre-Insulated Panel EPD (Brick finish)"/>
    <x v="5"/>
    <s v="Framed"/>
    <s v="Placeholder"/>
    <s v="unsure which specific fasteners are used"/>
    <s v="No"/>
    <s v="General fastener placeholder"/>
    <x v="1"/>
    <x v="5"/>
    <s v="Yes"/>
    <s v="Screws, Nails, Fasteners"/>
    <m/>
    <s v="No"/>
    <s v="Which fasteners are needed"/>
    <n v="0"/>
    <n v="1"/>
    <n v="0"/>
    <m/>
    <n v="1"/>
    <n v="1"/>
    <n v="1"/>
    <n v="1"/>
    <n v="1"/>
    <n v="1"/>
    <n v="0"/>
    <n v="0.05"/>
    <n v="0"/>
  </r>
  <r>
    <x v="7"/>
    <s v="LCA"/>
    <x v="2"/>
    <x v="2"/>
    <s v="Brick"/>
    <s v="A"/>
    <s v="LCA ICF Model A (Brick Finish)"/>
    <x v="6"/>
    <s v="Planar"/>
    <s v="Unchecked"/>
    <m/>
    <s v="No"/>
    <s v="EPS 2 x 75mm"/>
    <x v="0"/>
    <x v="1"/>
    <s v="No"/>
    <s v="EPS Pieces"/>
    <s v="web supports"/>
    <s v="Yes"/>
    <s v="None"/>
    <n v="4.2857142857142856"/>
    <n v="13.837500000000002"/>
    <n v="3.69"/>
    <s v="kg"/>
    <m/>
    <m/>
    <m/>
    <m/>
    <m/>
    <m/>
    <m/>
    <n v="3.7500000000000004"/>
    <m/>
  </r>
  <r>
    <x v="7"/>
    <s v="LCA"/>
    <x v="2"/>
    <x v="2"/>
    <s v="Brick"/>
    <s v="A"/>
    <s v="LCA ICF Model A (Brick Finish)"/>
    <x v="6"/>
    <s v="Planar"/>
    <s v="Unchecked"/>
    <m/>
    <s v="No"/>
    <s v="Ready-Mix Concrete"/>
    <x v="0"/>
    <x v="0"/>
    <s v="No"/>
    <s v="ready mix concrete poured into ICF form"/>
    <s v="steel reinforcement"/>
    <s v="Yes"/>
    <s v="None"/>
    <n v="3.7499999999999999E-2"/>
    <n v="37.08"/>
    <n v="0.10299999999999999"/>
    <s v="kg"/>
    <m/>
    <m/>
    <m/>
    <m/>
    <m/>
    <m/>
    <m/>
    <n v="360"/>
    <m/>
  </r>
  <r>
    <x v="7"/>
    <s v="LCA"/>
    <x v="2"/>
    <x v="2"/>
    <s v="Brick"/>
    <s v="A"/>
    <s v="LCA ICF Model A (Brick Finish)"/>
    <x v="6"/>
    <s v="Planar"/>
    <s v="Unchecked"/>
    <m/>
    <s v="No"/>
    <s v="Steel rebar"/>
    <x v="0"/>
    <x v="0"/>
    <s v="No"/>
    <s v="rebar pieces to reinforce concrete "/>
    <s v="concrete"/>
    <s v="Yes"/>
    <s v="None"/>
    <n v="0"/>
    <n v="12.383402777777778"/>
    <n v="1.72"/>
    <s v="kg"/>
    <m/>
    <m/>
    <m/>
    <m/>
    <m/>
    <m/>
    <m/>
    <n v="7.1996527777777777"/>
    <m/>
  </r>
  <r>
    <x v="7"/>
    <s v="LCA"/>
    <x v="2"/>
    <x v="2"/>
    <s v="Brick"/>
    <s v="A"/>
    <s v="LCA ICF Model A (Brick Finish)"/>
    <x v="6"/>
    <s v="Planar"/>
    <s v="Unchecked"/>
    <m/>
    <s v="No"/>
    <s v="Polypropylene webs"/>
    <x v="0"/>
    <x v="1"/>
    <s v="No"/>
    <s v="Plastic webs to hold EPS pieces together"/>
    <s v="EPS"/>
    <s v="Yes"/>
    <s v="None"/>
    <n v="0"/>
    <n v="1.6059027777777779"/>
    <n v="1.85"/>
    <s v="kg"/>
    <m/>
    <m/>
    <m/>
    <m/>
    <m/>
    <m/>
    <m/>
    <n v="0.86805555555555558"/>
    <m/>
  </r>
  <r>
    <x v="7"/>
    <s v="LCA"/>
    <x v="2"/>
    <x v="2"/>
    <s v="Brick"/>
    <s v="A"/>
    <s v="LCA ICF Model A (Brick Finish)"/>
    <x v="6"/>
    <s v="Planar"/>
    <s v="Unchecked"/>
    <m/>
    <s v="No"/>
    <s v="Tyvek Membrane"/>
    <x v="0"/>
    <x v="2"/>
    <s v="Yes"/>
    <s v="Breather Paper for moisture"/>
    <s v="None"/>
    <s v="Yes"/>
    <s v="None"/>
    <n v="1.5E-3"/>
    <n v="0.25229166666666669"/>
    <n v="4.2"/>
    <s v="kg"/>
    <m/>
    <m/>
    <m/>
    <m/>
    <m/>
    <m/>
    <m/>
    <n v="6.0069444444444439E-2"/>
    <m/>
  </r>
  <r>
    <x v="7"/>
    <s v="LCA"/>
    <x v="2"/>
    <x v="2"/>
    <s v="Brick"/>
    <s v="A"/>
    <s v="LCA ICF Model A (Brick Finish)"/>
    <x v="6"/>
    <s v="Planar"/>
    <s v="Placeholder"/>
    <m/>
    <s v="No"/>
    <s v="Brick"/>
    <x v="1"/>
    <x v="3"/>
    <s v="No"/>
    <s v="Brick blocks (100 mm)"/>
    <s v="Mortar, Cavity (for thermal calculation)"/>
    <s v="Yes"/>
    <s v="None"/>
    <n v="0.12987012987012989"/>
    <n v="42.199999999999996"/>
    <n v="0.21099999999999999"/>
    <s v="kg"/>
    <n v="1"/>
    <n v="1"/>
    <n v="0.1"/>
    <n v="0.1"/>
    <n v="1"/>
    <n v="1"/>
    <n v="2000"/>
    <n v="200"/>
    <n v="0.77"/>
  </r>
  <r>
    <x v="7"/>
    <s v="LCA"/>
    <x v="2"/>
    <x v="2"/>
    <s v="Brick"/>
    <s v="A"/>
    <s v="LCA ICF Model A (Brick Finish)"/>
    <x v="6"/>
    <s v="Planar"/>
    <s v="Issue"/>
    <s v="normalisation for this mortar EPD is estimated. Need the density of the mortar and the volume of the mortar in the wall"/>
    <s v="No"/>
    <s v="Tiger Mortar General Masonry"/>
    <x v="2"/>
    <x v="3"/>
    <s v="No"/>
    <s v="mortar used for brick"/>
    <s v="Brick, Cavity"/>
    <s v="No"/>
    <s v="Density of the mortar"/>
    <n v="0"/>
    <n v="4.1849999999999996"/>
    <n v="135"/>
    <s v="kg"/>
    <n v="1"/>
    <n v="1.2E-2"/>
    <n v="0.1"/>
    <n v="1.2000000000000001E-3"/>
    <n v="5"/>
    <n v="1.2E-2"/>
    <n v="2000"/>
    <n v="31"/>
    <n v="2"/>
  </r>
  <r>
    <x v="7"/>
    <s v="LCA"/>
    <x v="2"/>
    <x v="2"/>
    <s v="Brick"/>
    <s v="A"/>
    <s v="LCA ICF Model A (Brick Finish)"/>
    <x v="6"/>
    <s v="Planar"/>
    <s v="Placeholder"/>
    <m/>
    <s v="No"/>
    <s v="Cavity"/>
    <x v="3"/>
    <x v="3"/>
    <s v="No"/>
    <s v="cavity for bricks"/>
    <s v="Mortar Brick"/>
    <s v="Yes"/>
    <s v="None"/>
    <n v="2"/>
    <n v="0"/>
    <n v="0"/>
    <s v="kg"/>
    <n v="1"/>
    <n v="1"/>
    <n v="0.1"/>
    <n v="0.1"/>
    <n v="1"/>
    <n v="1"/>
    <n v="1.2"/>
    <n v="0.12"/>
    <n v="2.5000000000000001E-2"/>
  </r>
  <r>
    <x v="7"/>
    <s v="LCA"/>
    <x v="2"/>
    <x v="2"/>
    <s v="Brick"/>
    <s v="A"/>
    <s v="LCA ICF Model A (Brick Finish)"/>
    <x v="6"/>
    <s v="Planar"/>
    <s v="Placeholder"/>
    <m/>
    <s v="No"/>
    <s v="Plasterboard"/>
    <x v="1"/>
    <x v="4"/>
    <s v="No"/>
    <s v="Gypsum plasterboard"/>
    <s v="Battens/fastening, cavitty"/>
    <s v="Yes"/>
    <s v="None"/>
    <n v="6.5789473684210523E-2"/>
    <n v="1.839"/>
    <n v="0"/>
    <s v="kg"/>
    <n v="1"/>
    <n v="1"/>
    <n v="1.4999999999999999E-2"/>
    <n v="1.4999999999999999E-2"/>
    <n v="1"/>
    <n v="1"/>
    <n v="615"/>
    <n v="9.2249999999999996"/>
    <n v="0.19"/>
  </r>
  <r>
    <x v="7"/>
    <s v="LCA"/>
    <x v="2"/>
    <x v="2"/>
    <s v="Brick"/>
    <s v="A"/>
    <s v="LCA ICF Model A (Brick Finish)"/>
    <x v="6"/>
    <s v="Planar"/>
    <s v="Placeholder"/>
    <m/>
    <s v="No"/>
    <s v="Battens"/>
    <x v="1"/>
    <x v="4"/>
    <s v="No"/>
    <s v="Battens"/>
    <s v="cavity, plasterboard"/>
    <s v="Yes"/>
    <s v="None"/>
    <n v="0"/>
    <n v="1"/>
    <n v="0"/>
    <s v="kg"/>
    <n v="1"/>
    <n v="1"/>
    <n v="1"/>
    <n v="1"/>
    <n v="1"/>
    <n v="1"/>
    <n v="0"/>
    <n v="0"/>
    <n v="0"/>
  </r>
  <r>
    <x v="7"/>
    <s v="LCA"/>
    <x v="2"/>
    <x v="2"/>
    <s v="Brick"/>
    <s v="A"/>
    <s v="LCA ICF Model A (Brick Finish)"/>
    <x v="6"/>
    <s v="Planar"/>
    <s v="Placeholder"/>
    <m/>
    <s v="No"/>
    <s v="Cavity"/>
    <x v="3"/>
    <x v="4"/>
    <s v="No"/>
    <s v="battens cavity (50 mm)"/>
    <s v="battens and plasterboard"/>
    <s v="Yes"/>
    <s v="None"/>
    <n v="0.5"/>
    <n v="0"/>
    <n v="0"/>
    <s v="kg"/>
    <n v="1"/>
    <n v="1"/>
    <n v="0.05"/>
    <n v="0.05"/>
    <n v="1"/>
    <n v="1"/>
    <n v="1.2"/>
    <n v="0.06"/>
    <n v="2.5000000000000001E-2"/>
  </r>
  <r>
    <x v="7"/>
    <s v="LCA"/>
    <x v="2"/>
    <x v="2"/>
    <s v="Brick"/>
    <s v="A"/>
    <s v="LCA ICF Model A (Brick Finish)"/>
    <x v="6"/>
    <s v="Planar"/>
    <s v="Placeholder"/>
    <s v="unsure which specific fasteners are used"/>
    <s v="No"/>
    <s v="General fastener placeholder"/>
    <x v="1"/>
    <x v="5"/>
    <s v="Yes"/>
    <s v="Screws, Nails, Fasteners"/>
    <m/>
    <s v="No"/>
    <s v="Which fasteners are needed"/>
    <n v="0"/>
    <n v="1"/>
    <n v="0"/>
    <m/>
    <n v="1"/>
    <n v="1"/>
    <n v="1"/>
    <n v="1"/>
    <n v="1"/>
    <n v="1"/>
    <n v="0"/>
    <n v="0.05"/>
    <n v="0"/>
  </r>
  <r>
    <x v="8"/>
    <s v="EPD"/>
    <x v="2"/>
    <x v="2"/>
    <s v="Brick"/>
    <s v="Nudura"/>
    <s v="Nudura ICF EPD (Brick Finish)"/>
    <x v="7"/>
    <s v="Planar"/>
    <s v="Unchecked"/>
    <m/>
    <s v="No"/>
    <s v="Nudura ICF"/>
    <x v="4"/>
    <x v="1"/>
    <s v="Yes"/>
    <s v="EPS, plastic webs"/>
    <m/>
    <s v="Yes"/>
    <s v="None"/>
    <n v="4.2"/>
    <n v="15.390090090090087"/>
    <n v="17.082999999999998"/>
    <s v="Panel"/>
    <m/>
    <m/>
    <m/>
    <n v="0"/>
    <m/>
    <m/>
    <m/>
    <n v="6.2190000000000003"/>
    <m/>
  </r>
  <r>
    <x v="8"/>
    <s v="EPD"/>
    <x v="2"/>
    <x v="2"/>
    <s v="Brick"/>
    <s v="Nudura"/>
    <s v="Nudura ICF EPD (Brick Finish)"/>
    <x v="7"/>
    <s v="Planar"/>
    <s v="Unchecked"/>
    <m/>
    <s v="No"/>
    <s v="C28/35 Readymix Concrete (0% GGBS Cement Replacement)"/>
    <x v="2"/>
    <x v="0"/>
    <s v="No"/>
    <m/>
    <s v="reinforcement"/>
    <s v="Yes"/>
    <s v="None"/>
    <n v="0.17647058823529413"/>
    <n v="34.429499999999997"/>
    <n v="229.53"/>
    <s v="m^3"/>
    <n v="1"/>
    <n v="1"/>
    <n v="0.15"/>
    <n v="0.15"/>
    <m/>
    <m/>
    <n v="2412"/>
    <n v="361.8"/>
    <m/>
  </r>
  <r>
    <x v="8"/>
    <s v="EPD"/>
    <x v="2"/>
    <x v="2"/>
    <s v="Brick"/>
    <s v="Nudura"/>
    <s v="Nudura ICF EPD (Brick Finish)"/>
    <x v="7"/>
    <s v="Planar"/>
    <s v="Placeholder"/>
    <s v="assuming the same steel reinforcement as Model A"/>
    <s v="No"/>
    <s v="Steel rebar"/>
    <x v="0"/>
    <x v="0"/>
    <s v="No"/>
    <s v="rebar pieces to reinforce concrete "/>
    <s v="concrete"/>
    <s v="Yes"/>
    <s v="None"/>
    <n v="0"/>
    <n v="12.383402777777778"/>
    <n v="1.72"/>
    <s v="kg"/>
    <m/>
    <m/>
    <m/>
    <n v="0"/>
    <m/>
    <m/>
    <m/>
    <n v="0"/>
    <m/>
  </r>
  <r>
    <x v="8"/>
    <s v="EPD"/>
    <x v="2"/>
    <x v="2"/>
    <s v="Brick"/>
    <s v="Nudura"/>
    <s v="Nudura ICF EPD (Brick Finish)"/>
    <x v="7"/>
    <s v="Planar"/>
    <s v="Placeholder"/>
    <s v="Membrane from model A. Different membrane may be used"/>
    <s v="No"/>
    <s v="Tyvek Membrane"/>
    <x v="0"/>
    <x v="2"/>
    <s v="Yes"/>
    <s v="Breather Paper for moisture"/>
    <s v="None"/>
    <s v="Yes"/>
    <s v="None"/>
    <n v="1.5E-3"/>
    <n v="0.25229166666666669"/>
    <n v="4.2"/>
    <s v="kg"/>
    <m/>
    <m/>
    <m/>
    <n v="0"/>
    <m/>
    <m/>
    <m/>
    <n v="0"/>
    <m/>
  </r>
  <r>
    <x v="8"/>
    <s v="EPD"/>
    <x v="2"/>
    <x v="2"/>
    <s v="Brick"/>
    <s v="Nudura"/>
    <s v="Nudura ICF EPD (Brick Finish)"/>
    <x v="7"/>
    <s v="Planar"/>
    <s v="Placeholder"/>
    <m/>
    <s v="No"/>
    <s v="Brick"/>
    <x v="1"/>
    <x v="3"/>
    <s v="No"/>
    <s v="Brick blocks (100 mm)"/>
    <s v="Mortar, Cavity (for thermal calculation)"/>
    <s v="Yes"/>
    <s v="None"/>
    <n v="0.12987012987012989"/>
    <n v="42.199999999999996"/>
    <n v="0.21099999999999999"/>
    <s v="kg"/>
    <n v="1"/>
    <n v="1"/>
    <n v="0.1"/>
    <n v="0.1"/>
    <n v="1"/>
    <n v="1"/>
    <n v="2000"/>
    <n v="200"/>
    <n v="0.77"/>
  </r>
  <r>
    <x v="8"/>
    <s v="EPD"/>
    <x v="2"/>
    <x v="2"/>
    <s v="Brick"/>
    <s v="Nudura"/>
    <s v="Nudura ICF EPD (Brick Finish)"/>
    <x v="7"/>
    <s v="Planar"/>
    <s v="Issue"/>
    <s v="normalisation for this mortar EPD is estimated. Need the density of the mortar and the volume of the mortar in the wall"/>
    <s v="No"/>
    <s v="Tiger Mortar General Masonry"/>
    <x v="2"/>
    <x v="3"/>
    <s v="No"/>
    <s v="mortar used for brick"/>
    <s v="Brick, Cavity"/>
    <s v="No"/>
    <s v="Density of the mortar"/>
    <n v="0"/>
    <n v="4.1849999999999996"/>
    <n v="135"/>
    <s v="kg"/>
    <n v="1"/>
    <n v="1.2E-2"/>
    <n v="0.1"/>
    <n v="1.2000000000000001E-3"/>
    <n v="5"/>
    <n v="1.2E-2"/>
    <n v="2000"/>
    <n v="31"/>
    <n v="2"/>
  </r>
  <r>
    <x v="8"/>
    <s v="EPD"/>
    <x v="2"/>
    <x v="2"/>
    <s v="Brick"/>
    <s v="Nudura"/>
    <s v="Nudura ICF EPD (Brick Finish)"/>
    <x v="7"/>
    <s v="Planar"/>
    <s v="Placeholder"/>
    <m/>
    <s v="No"/>
    <s v="Cavity"/>
    <x v="3"/>
    <x v="3"/>
    <s v="No"/>
    <s v="cavity for bricks"/>
    <s v="Mortar Brick"/>
    <s v="Yes"/>
    <s v="None"/>
    <n v="2"/>
    <n v="0"/>
    <n v="0"/>
    <s v="kg"/>
    <n v="1"/>
    <n v="1"/>
    <n v="0.1"/>
    <n v="0.1"/>
    <n v="1"/>
    <n v="1"/>
    <n v="1.2"/>
    <n v="0.12"/>
    <n v="2.5000000000000001E-2"/>
  </r>
  <r>
    <x v="8"/>
    <s v="EPD"/>
    <x v="2"/>
    <x v="2"/>
    <s v="Brick"/>
    <s v="Nudura"/>
    <s v="Nudura ICF EPD (Brick Finish)"/>
    <x v="7"/>
    <s v="Planar"/>
    <s v="Placeholder"/>
    <m/>
    <s v="No"/>
    <s v="Plasterboard"/>
    <x v="1"/>
    <x v="4"/>
    <s v="No"/>
    <s v="Gypsum plasterboard"/>
    <s v="Battens/fastening, cavitty"/>
    <s v="Yes"/>
    <s v="None"/>
    <n v="6.5789473684210523E-2"/>
    <n v="1.839"/>
    <n v="0"/>
    <s v="kg"/>
    <n v="1"/>
    <n v="1"/>
    <n v="1.4999999999999999E-2"/>
    <n v="1.4999999999999999E-2"/>
    <n v="1"/>
    <n v="1"/>
    <n v="615"/>
    <n v="9.2249999999999996"/>
    <n v="0.19"/>
  </r>
  <r>
    <x v="8"/>
    <s v="EPD"/>
    <x v="2"/>
    <x v="2"/>
    <s v="Brick"/>
    <s v="Nudura"/>
    <s v="Nudura ICF EPD (Brick Finish)"/>
    <x v="7"/>
    <s v="Planar"/>
    <s v="Placeholder"/>
    <m/>
    <s v="No"/>
    <s v="Battens"/>
    <x v="1"/>
    <x v="4"/>
    <s v="No"/>
    <s v="Battens"/>
    <s v="cavity, plasterboard"/>
    <s v="Yes"/>
    <s v="None"/>
    <n v="0"/>
    <n v="1"/>
    <n v="0"/>
    <s v="kg"/>
    <n v="1"/>
    <n v="1"/>
    <n v="1"/>
    <n v="1"/>
    <n v="1"/>
    <n v="1"/>
    <n v="0"/>
    <n v="0"/>
    <n v="0"/>
  </r>
  <r>
    <x v="8"/>
    <s v="EPD"/>
    <x v="2"/>
    <x v="2"/>
    <s v="Brick"/>
    <s v="Nudura"/>
    <s v="Nudura ICF EPD (Brick Finish)"/>
    <x v="7"/>
    <s v="Planar"/>
    <s v="Placeholder"/>
    <m/>
    <s v="No"/>
    <s v="Cavity"/>
    <x v="3"/>
    <x v="4"/>
    <s v="No"/>
    <s v="battens cavity (50 mm)"/>
    <s v="battens and plasterboard"/>
    <s v="Yes"/>
    <s v="None"/>
    <n v="0.5"/>
    <n v="0"/>
    <n v="0"/>
    <s v="kg"/>
    <n v="1"/>
    <n v="1"/>
    <n v="0.05"/>
    <n v="0.05"/>
    <n v="1"/>
    <n v="1"/>
    <n v="1.2"/>
    <n v="0.06"/>
    <n v="2.5000000000000001E-2"/>
  </r>
  <r>
    <x v="8"/>
    <s v="EPD"/>
    <x v="2"/>
    <x v="2"/>
    <s v="Brick"/>
    <s v="Nudura"/>
    <s v="Nudura ICF EPD (Brick Finish)"/>
    <x v="7"/>
    <s v="Planar"/>
    <s v="Placeholder"/>
    <s v="unsure which specific fasteners are used"/>
    <s v="No"/>
    <s v="General fastener placeholder"/>
    <x v="1"/>
    <x v="5"/>
    <s v="Yes"/>
    <s v="Screws, Nails, Fasteners"/>
    <m/>
    <s v="No"/>
    <s v="Which fasteners are needed"/>
    <n v="0"/>
    <n v="1"/>
    <n v="0"/>
    <m/>
    <n v="1"/>
    <n v="1"/>
    <n v="1"/>
    <n v="1"/>
    <n v="1"/>
    <n v="1"/>
    <n v="0"/>
    <n v="0.05"/>
    <n v="0"/>
  </r>
  <r>
    <x v="9"/>
    <s v="LCA"/>
    <x v="0"/>
    <x v="0"/>
    <s v="Composite Fiber"/>
    <s v="A"/>
    <s v="LGS Open Panel A (Nichiha Panel Finish)"/>
    <x v="0"/>
    <s v="Framed"/>
    <s v="Issue"/>
    <s v="thermal resistance based on wall factor may be incorrect"/>
    <s v="No"/>
    <s v="Wall Stud"/>
    <x v="0"/>
    <x v="0"/>
    <s v="No"/>
    <s v="Vertical Steel Stud"/>
    <s v="Steel Tracks, Noggin"/>
    <s v="Yes"/>
    <s v="None"/>
    <n v="8.9499999999999973E-6"/>
    <n v="9.4600000000000009"/>
    <n v="2.71"/>
    <s v="kg"/>
    <n v="0.17899999999999999"/>
    <n v="2.4"/>
    <n v="1.1999999999999999E-3"/>
    <n v="5.1551999999999989E-4"/>
    <n v="5"/>
    <n v="0.37291666666666662"/>
    <n v="7800"/>
    <n v="3.490499999999999"/>
    <n v="50"/>
  </r>
  <r>
    <x v="9"/>
    <s v="LCA"/>
    <x v="0"/>
    <x v="0"/>
    <s v="Composite Fiber"/>
    <s v="A"/>
    <s v="LGS Open Panel A (Nichiha Panel Finish)"/>
    <x v="0"/>
    <s v="Framed"/>
    <s v="Issue"/>
    <s v="thermal resistance based on wall factor may be incorrect"/>
    <s v="No"/>
    <s v="Wall Track"/>
    <x v="0"/>
    <x v="0"/>
    <s v="No"/>
    <m/>
    <s v="Stud, Noggin"/>
    <s v="Yes"/>
    <s v="None"/>
    <n v="3.5799999999999996E-6"/>
    <n v="3.7837019999999999"/>
    <n v="2.71"/>
    <s v="kg"/>
    <n v="0.17899999999999999"/>
    <n v="2.4"/>
    <n v="1.1999999999999999E-3"/>
    <n v="5.1551999999999989E-4"/>
    <n v="2"/>
    <n v="0.14916666666666667"/>
    <n v="7800"/>
    <n v="1.3961999999999997"/>
    <n v="50"/>
  </r>
  <r>
    <x v="9"/>
    <s v="LCA"/>
    <x v="0"/>
    <x v="0"/>
    <s v="Composite Fiber"/>
    <s v="A"/>
    <s v="LGS Open Panel A (Nichiha Panel Finish)"/>
    <x v="0"/>
    <s v="Framed"/>
    <s v="Issue"/>
    <s v="thermal resistance based on wall factor may be incorrect"/>
    <s v="No"/>
    <s v="Noggin"/>
    <x v="0"/>
    <x v="0"/>
    <s v="No"/>
    <m/>
    <s v="Stud, Tracks"/>
    <s v="Yes"/>
    <s v="None"/>
    <n v="1.7899999999999998E-6"/>
    <n v="1.8918509999999995"/>
    <n v="2.71"/>
    <s v="kg"/>
    <n v="0.17899999999999999"/>
    <n v="2.4"/>
    <n v="1.1999999999999999E-3"/>
    <n v="5.1551999999999989E-4"/>
    <n v="1"/>
    <n v="7.4583333333333335E-2"/>
    <n v="7800"/>
    <n v="0.69809999999999983"/>
    <n v="50"/>
  </r>
  <r>
    <x v="9"/>
    <s v="LCA"/>
    <x v="0"/>
    <x v="0"/>
    <s v="Composite Fiber"/>
    <s v="A"/>
    <s v="LGS Open Panel A (Nichiha Panel Finish)"/>
    <x v="0"/>
    <s v="Framed"/>
    <s v="Issue"/>
    <s v="Mineral wool dimensions overlap with studs. If mineral wool is being placed inside stud spacing, the mass balance doesn't add up"/>
    <s v="No"/>
    <s v="Mineral Wool"/>
    <x v="0"/>
    <x v="1"/>
    <s v="Yes"/>
    <s v="Wool insulation for inside stud spacing"/>
    <m/>
    <s v="Yes"/>
    <s v="None"/>
    <n v="1.0371428571428574"/>
    <n v="8.9999999999999982"/>
    <n v="1.25"/>
    <s v="kg"/>
    <n v="0.6"/>
    <n v="2.4"/>
    <n v="0.09"/>
    <n v="0.12959999999999999"/>
    <n v="4"/>
    <n v="1"/>
    <n v="80"/>
    <n v="7.1999999999999993"/>
    <n v="2.1999999999999999E-2"/>
  </r>
  <r>
    <x v="9"/>
    <s v="LCA"/>
    <x v="0"/>
    <x v="0"/>
    <s v="Composite Fiber"/>
    <s v="A"/>
    <s v="LGS Open Panel A (Nichiha Panel Finish)"/>
    <x v="0"/>
    <s v="Framed"/>
    <s v="Unchecked"/>
    <m/>
    <s v="No"/>
    <s v="PIR"/>
    <x v="0"/>
    <x v="1"/>
    <s v="Yes"/>
    <s v="Extra insulation outside panel"/>
    <s v="None"/>
    <s v="Yes"/>
    <s v="None"/>
    <n v="3.6363636363636367"/>
    <n v="7.9078399999999993"/>
    <n v="3.089"/>
    <s v="kg"/>
    <n v="2.4"/>
    <n v="1.2"/>
    <n v="0.08"/>
    <n v="0.23039999999999999"/>
    <n v="2"/>
    <n v="1"/>
    <n v="32"/>
    <n v="2.56"/>
    <n v="0.3"/>
  </r>
  <r>
    <x v="9"/>
    <s v="LCA"/>
    <x v="0"/>
    <x v="0"/>
    <s v="Composite Fiber"/>
    <s v="A"/>
    <s v="LGS Open Panel A (Nichiha Panel Finish)"/>
    <x v="0"/>
    <s v="Framed"/>
    <s v="Unchecked"/>
    <m/>
    <s v="No"/>
    <s v="Tyvek Membrane"/>
    <x v="0"/>
    <x v="2"/>
    <s v="Yes"/>
    <s v="Breather Paper for moisture"/>
    <s v="None"/>
    <s v="Yes"/>
    <s v="None"/>
    <n v="1.5E-3"/>
    <n v="0.25229166666666669"/>
    <n v="4.2"/>
    <s v="kg"/>
    <n v="2.4"/>
    <n v="2.4"/>
    <n v="4.4999999999999999E-4"/>
    <n v="2.5919999999999997E-3"/>
    <n v="1"/>
    <n v="1"/>
    <n v="0"/>
    <n v="0.34599999999999997"/>
    <n v="0.3"/>
  </r>
  <r>
    <x v="9"/>
    <s v="LCA"/>
    <x v="0"/>
    <x v="0"/>
    <s v="Composite Fiber"/>
    <s v="A"/>
    <s v="LGS Open Panel A (Nichiha Panel Finish)"/>
    <x v="0"/>
    <s v="Framed"/>
    <s v="Incomplete"/>
    <s v="Panel mounting track system not included"/>
    <s v="No"/>
    <s v="Nichiha Architectural Wall Panels"/>
    <x v="4"/>
    <x v="3"/>
    <s v="No"/>
    <s v="Exterior cladding panel"/>
    <s v="Panel track"/>
    <s v="Partial"/>
    <s v="Panel track info/impacts, weight"/>
    <n v="0.47"/>
    <n v="21"/>
    <n v="21"/>
    <s v="m^2"/>
    <m/>
    <m/>
    <m/>
    <m/>
    <m/>
    <m/>
    <m/>
    <m/>
    <m/>
  </r>
  <r>
    <x v="9"/>
    <s v="LCA"/>
    <x v="0"/>
    <x v="0"/>
    <s v="Composite Fiber"/>
    <s v="A"/>
    <s v="LGS Open Panel A (Nichiha Panel Finish)"/>
    <x v="0"/>
    <s v="Framed"/>
    <s v="Placeholder"/>
    <m/>
    <s v="No"/>
    <s v="Cavity"/>
    <x v="3"/>
    <x v="3"/>
    <s v="No"/>
    <s v="cavity for bricks"/>
    <s v="Mortar Brick"/>
    <s v="Yes"/>
    <s v="None"/>
    <n v="2"/>
    <n v="0"/>
    <n v="0"/>
    <s v="kg"/>
    <n v="1"/>
    <n v="1"/>
    <n v="0.1"/>
    <n v="0.1"/>
    <n v="1"/>
    <n v="1"/>
    <n v="1.2"/>
    <n v="0.12"/>
    <n v="2.5000000000000001E-2"/>
  </r>
  <r>
    <x v="9"/>
    <s v="LCA"/>
    <x v="0"/>
    <x v="0"/>
    <s v="Composite Fiber"/>
    <s v="A"/>
    <s v="LGS Open Panel A (Nichiha Panel Finish)"/>
    <x v="0"/>
    <s v="Framed"/>
    <s v="Placeholder"/>
    <m/>
    <s v="No"/>
    <s v="Plasterboard"/>
    <x v="1"/>
    <x v="4"/>
    <s v="No"/>
    <s v="Gypsum plasterboard"/>
    <s v="Battens/fastening, cavitty"/>
    <s v="Yes"/>
    <s v="None"/>
    <n v="6.5789473684210523E-2"/>
    <n v="1.839"/>
    <n v="0"/>
    <s v="kg"/>
    <n v="1"/>
    <n v="1"/>
    <n v="1.4999999999999999E-2"/>
    <n v="1.4999999999999999E-2"/>
    <n v="1"/>
    <n v="1"/>
    <n v="615"/>
    <n v="9.2249999999999996"/>
    <n v="0.19"/>
  </r>
  <r>
    <x v="9"/>
    <s v="LCA"/>
    <x v="0"/>
    <x v="0"/>
    <s v="Composite Fiber"/>
    <s v="A"/>
    <s v="LGS Open Panel A (Nichiha Panel Finish)"/>
    <x v="0"/>
    <s v="Framed"/>
    <s v="Placeholder"/>
    <m/>
    <s v="No"/>
    <s v="Battens"/>
    <x v="1"/>
    <x v="4"/>
    <s v="No"/>
    <s v="Battens"/>
    <s v="cavity, plasterboard"/>
    <s v="Yes"/>
    <s v="None"/>
    <n v="0"/>
    <n v="1"/>
    <n v="0"/>
    <s v="kg"/>
    <n v="1"/>
    <n v="1"/>
    <n v="1"/>
    <n v="1"/>
    <n v="1"/>
    <n v="1"/>
    <n v="0"/>
    <n v="0"/>
    <n v="0"/>
  </r>
  <r>
    <x v="9"/>
    <s v="LCA"/>
    <x v="0"/>
    <x v="0"/>
    <s v="Composite Fiber"/>
    <s v="A"/>
    <s v="LGS Open Panel A (Nichiha Panel Finish)"/>
    <x v="0"/>
    <s v="Framed"/>
    <s v="Placeholder"/>
    <m/>
    <s v="No"/>
    <s v="Cavity"/>
    <x v="3"/>
    <x v="4"/>
    <s v="No"/>
    <s v="battens cavity (50 mm)"/>
    <s v="battens and plasterboard"/>
    <s v="Yes"/>
    <s v="None"/>
    <n v="0.5"/>
    <n v="0"/>
    <n v="0"/>
    <s v="kg"/>
    <n v="1"/>
    <n v="1"/>
    <n v="0.05"/>
    <n v="0.05"/>
    <n v="1"/>
    <n v="1"/>
    <n v="1.2"/>
    <n v="0.06"/>
    <n v="2.5000000000000001E-2"/>
  </r>
  <r>
    <x v="9"/>
    <s v="LCA"/>
    <x v="0"/>
    <x v="0"/>
    <s v="Composite Fiber"/>
    <s v="A"/>
    <s v="LGS Open Panel A (Nichiha Panel Finish)"/>
    <x v="0"/>
    <s v="Framed"/>
    <s v="Placeholder"/>
    <s v="unsure which specific fasteners are used"/>
    <s v="No"/>
    <s v="General fastener placeholder"/>
    <x v="1"/>
    <x v="5"/>
    <s v="Yes"/>
    <s v="Screws, Nails, Fasteners"/>
    <m/>
    <s v="No"/>
    <s v="Which fasteners are needed"/>
    <n v="0"/>
    <n v="1"/>
    <n v="0"/>
    <m/>
    <n v="1"/>
    <n v="1"/>
    <n v="1"/>
    <n v="1"/>
    <n v="1"/>
    <n v="1"/>
    <n v="0"/>
    <n v="0.05"/>
    <n v="0"/>
  </r>
  <r>
    <x v="10"/>
    <s v="EPD"/>
    <x v="3"/>
    <x v="3"/>
    <s v="Brick"/>
    <s v="Aircrete Standard"/>
    <s v="Aircrete Standard Concrete masonry EPD (brick finish)"/>
    <x v="8"/>
    <s v="Planar"/>
    <s v="Unchecked"/>
    <s v="Unsure if 215 mm is proper thickness or if they are using the 100 mm side + other construction pieces"/>
    <s v="No"/>
    <s v="Mannok Aircrete block Standard"/>
    <x v="4"/>
    <x v="0"/>
    <s v="No"/>
    <s v="Thermal Concrete block"/>
    <s v="Concrete mortar"/>
    <s v="Yes"/>
    <s v="None"/>
    <n v="1.26"/>
    <n v="45.864552500000002"/>
    <n v="328.19"/>
    <s v="tonne"/>
    <n v="1"/>
    <n v="1"/>
    <n v="0.215"/>
    <n v="0.215"/>
    <m/>
    <m/>
    <n v="650"/>
    <n v="139.75"/>
    <m/>
  </r>
  <r>
    <x v="10"/>
    <s v="EPD"/>
    <x v="3"/>
    <x v="3"/>
    <s v="Brick"/>
    <s v="Aircrete Standard"/>
    <s v="Aircrete Standard Concrete masonry EPD (brick finish)"/>
    <x v="8"/>
    <s v="Planar"/>
    <s v="Placeholder"/>
    <s v="Plasterboard may be unnecessary for concrete block walls"/>
    <s v="No"/>
    <s v="Plasterboard"/>
    <x v="1"/>
    <x v="4"/>
    <s v="No"/>
    <s v="Gypsum plasterboard"/>
    <s v="Battens/fastening, cavitty"/>
    <s v="Yes"/>
    <s v="None"/>
    <n v="6.5789473684210523E-2"/>
    <n v="1.839"/>
    <n v="0"/>
    <s v="kg"/>
    <n v="1"/>
    <n v="1"/>
    <n v="1.4999999999999999E-2"/>
    <n v="1.4999999999999999E-2"/>
    <n v="1"/>
    <n v="1"/>
    <n v="615"/>
    <n v="9.2249999999999996"/>
    <n v="0.19"/>
  </r>
  <r>
    <x v="10"/>
    <s v="EPD"/>
    <x v="3"/>
    <x v="3"/>
    <s v="Brick"/>
    <s v="Aircrete Standard"/>
    <s v="Aircrete Standard Concrete masonry EPD (brick finish)"/>
    <x v="8"/>
    <s v="Planar"/>
    <s v="Placeholder"/>
    <m/>
    <s v="No"/>
    <s v="Battens"/>
    <x v="1"/>
    <x v="4"/>
    <s v="No"/>
    <s v="Battens"/>
    <s v="cavity, plasterboard"/>
    <s v="Yes"/>
    <s v="None"/>
    <n v="0"/>
    <n v="1"/>
    <n v="0"/>
    <s v="kg"/>
    <n v="1"/>
    <n v="1"/>
    <n v="1"/>
    <n v="1"/>
    <n v="1"/>
    <n v="1"/>
    <n v="0"/>
    <n v="0"/>
    <n v="0"/>
  </r>
  <r>
    <x v="10"/>
    <s v="EPD"/>
    <x v="3"/>
    <x v="3"/>
    <s v="Brick"/>
    <s v="Aircrete Standard"/>
    <s v="Aircrete Standard Concrete masonry EPD (brick finish)"/>
    <x v="8"/>
    <s v="Planar"/>
    <s v="Placeholder"/>
    <m/>
    <s v="No"/>
    <s v="Cavity"/>
    <x v="3"/>
    <x v="4"/>
    <s v="No"/>
    <s v="battens cavity (50 mm)"/>
    <s v="battens and plasterboard"/>
    <s v="Yes"/>
    <s v="None"/>
    <n v="0.5"/>
    <n v="0"/>
    <n v="0"/>
    <s v="kg"/>
    <n v="1"/>
    <n v="1"/>
    <n v="0.05"/>
    <n v="0.05"/>
    <n v="1"/>
    <n v="1"/>
    <n v="1.2"/>
    <n v="0.06"/>
    <n v="2.5000000000000001E-2"/>
  </r>
  <r>
    <x v="10"/>
    <s v="EPD"/>
    <x v="3"/>
    <x v="3"/>
    <s v="Brick"/>
    <s v="Aircrete Standard"/>
    <s v="Aircrete Standard Concrete masonry EPD (brick finish)"/>
    <x v="8"/>
    <s v="Planar"/>
    <s v="Placeholder"/>
    <s v="Exterior cladding might be a second concrete block layer instead of clay brick"/>
    <s v="No"/>
    <s v="Brick"/>
    <x v="1"/>
    <x v="3"/>
    <s v="No"/>
    <s v="Brick blocks (100 mm)"/>
    <s v="Mortar, Cavity (for thermal calculation)"/>
    <s v="Yes"/>
    <s v="None"/>
    <n v="0.12987012987012989"/>
    <n v="42.199999999999996"/>
    <n v="0.21099999999999999"/>
    <s v="kg"/>
    <n v="1"/>
    <n v="1"/>
    <n v="0.1"/>
    <n v="0.1"/>
    <n v="1"/>
    <n v="1"/>
    <n v="2000"/>
    <n v="200"/>
    <n v="0.77"/>
  </r>
  <r>
    <x v="10"/>
    <s v="EPD"/>
    <x v="3"/>
    <x v="3"/>
    <s v="Brick"/>
    <s v="Aircrete Standard"/>
    <s v="Aircrete Standard Concrete masonry EPD (brick finish)"/>
    <x v="8"/>
    <s v="Planar"/>
    <s v="Issue"/>
    <s v="normalisation for this mortar EPD is estimated. Need the density of the mortar and the volume of the mortar in the wall"/>
    <s v="No"/>
    <s v="Tiger Mortar General Masonry"/>
    <x v="2"/>
    <x v="3"/>
    <s v="No"/>
    <s v="mortar used for brick"/>
    <s v="Brick, Cavity"/>
    <s v="No"/>
    <s v="Density of the mortar"/>
    <n v="0"/>
    <n v="4.1849999999999996"/>
    <n v="135"/>
    <s v="kg"/>
    <n v="1"/>
    <n v="1.2E-2"/>
    <n v="0.1"/>
    <n v="1.2000000000000001E-3"/>
    <n v="5"/>
    <n v="1.2E-2"/>
    <n v="2000"/>
    <n v="31"/>
    <n v="2"/>
  </r>
  <r>
    <x v="10"/>
    <s v="EPD"/>
    <x v="3"/>
    <x v="3"/>
    <s v="Brick"/>
    <s v="Aircrete Standard"/>
    <s v="Aircrete Standard Concrete masonry EPD (brick finish)"/>
    <x v="8"/>
    <s v="Planar"/>
    <s v="Placeholder"/>
    <m/>
    <s v="No"/>
    <s v="Cavity"/>
    <x v="3"/>
    <x v="3"/>
    <s v="No"/>
    <s v="cavity for bricks"/>
    <s v="Mortar Brick"/>
    <s v="Yes"/>
    <s v="None"/>
    <n v="2"/>
    <n v="0"/>
    <n v="0"/>
    <s v="kg"/>
    <n v="1"/>
    <n v="1"/>
    <n v="0.1"/>
    <n v="0.1"/>
    <n v="1"/>
    <n v="1"/>
    <n v="1.2"/>
    <n v="0.12"/>
    <n v="2.5000000000000001E-2"/>
  </r>
  <r>
    <x v="10"/>
    <s v="EPD"/>
    <x v="3"/>
    <x v="3"/>
    <s v="Brick"/>
    <s v="Aircrete Standard"/>
    <s v="Aircrete Standard Concrete masonry EPD (brick finish)"/>
    <x v="8"/>
    <s v="Planar"/>
    <s v="Placeholder"/>
    <s v="Membrane from model A. Different membrane may be used"/>
    <s v="No"/>
    <s v="Tyvek Membrane"/>
    <x v="0"/>
    <x v="2"/>
    <s v="Yes"/>
    <s v="Breather Paper for moisture"/>
    <s v="None"/>
    <s v="Yes"/>
    <s v="None"/>
    <n v="1.5E-3"/>
    <n v="0.25229166666666669"/>
    <n v="4.2"/>
    <s v="kg"/>
    <n v="2.4"/>
    <n v="2.4"/>
    <n v="4.4999999999999999E-4"/>
    <n v="2.5919999999999997E-3"/>
    <n v="1"/>
    <n v="1"/>
    <n v="0"/>
    <n v="0.34599999999999997"/>
    <n v="0.3"/>
  </r>
  <r>
    <x v="10"/>
    <s v="EPD"/>
    <x v="3"/>
    <x v="3"/>
    <s v="Brick"/>
    <s v="Aircrete Standard"/>
    <s v="Aircrete Standard Concrete masonry EPD (brick finish)"/>
    <x v="8"/>
    <s v="Planar"/>
    <s v="Placeholder"/>
    <s v="Mannok website mentioned EPS so used 75 mm of EPS to reach proper R value. Unsure if this is accurate to Mannok's system"/>
    <s v="No"/>
    <s v="EPS"/>
    <x v="0"/>
    <x v="1"/>
    <s v="Yes"/>
    <s v="EPS rigid insulation"/>
    <m/>
    <s v="Yes"/>
    <s v="None"/>
    <n v="2.1428571428571428"/>
    <n v="6.9187500000000002"/>
    <n v="3.69"/>
    <s v="kg"/>
    <n v="1"/>
    <n v="1"/>
    <n v="7.4999999999999997E-2"/>
    <n v="7.4999999999999997E-2"/>
    <n v="1"/>
    <n v="1"/>
    <n v="25"/>
    <n v="1.875"/>
    <n v="3.5000000000000003E-2"/>
  </r>
  <r>
    <x v="10"/>
    <s v="EPD"/>
    <x v="3"/>
    <x v="3"/>
    <s v="Brick"/>
    <s v="Aircrete Standard"/>
    <s v="Aircrete Standard Concrete masonry EPD (brick finish)"/>
    <x v="8"/>
    <s v="Planar"/>
    <s v="Issue"/>
    <s v="normalisation for this mortar EPD is estimated. Need the density of the mortar and the volume of the mortar in the wall"/>
    <s v="No"/>
    <s v="Tiger Mortar General Masonry"/>
    <x v="2"/>
    <x v="3"/>
    <s v="No"/>
    <s v="mortar used for brick"/>
    <s v="Brick, Cavity"/>
    <s v="No"/>
    <s v="Density of the mortar"/>
    <n v="0"/>
    <n v="4.1849999999999996"/>
    <n v="135"/>
    <s v="kg"/>
    <n v="1"/>
    <n v="1.2E-2"/>
    <n v="0.1"/>
    <n v="1.2000000000000001E-3"/>
    <n v="5"/>
    <n v="1.2E-2"/>
    <n v="2000"/>
    <n v="31"/>
    <n v="2"/>
  </r>
  <r>
    <x v="10"/>
    <s v="EPD"/>
    <x v="3"/>
    <x v="3"/>
    <s v="Brick"/>
    <s v="Aircrete Standard"/>
    <s v="Aircrete Standard Concrete masonry EPD (brick finish)"/>
    <x v="8"/>
    <s v="Planar"/>
    <s v="Placeholder"/>
    <s v="unsure which specific fasteners are used"/>
    <s v="No"/>
    <s v="General fastener placeholder"/>
    <x v="1"/>
    <x v="5"/>
    <s v="Yes"/>
    <s v="Screws, Nails, Fasteners"/>
    <m/>
    <s v="No"/>
    <s v="Which fasteners are needed"/>
    <n v="0"/>
    <n v="1"/>
    <n v="0"/>
    <m/>
    <n v="1"/>
    <n v="1"/>
    <n v="1"/>
    <n v="1"/>
    <n v="1"/>
    <n v="1"/>
    <n v="0"/>
    <n v="0.05"/>
    <n v="0"/>
  </r>
  <r>
    <x v="11"/>
    <s v="EPD"/>
    <x v="4"/>
    <x v="4"/>
    <s v="Brick"/>
    <s v="SP-170"/>
    <s v="Adam House SP-170 panel (brick finish)"/>
    <x v="9"/>
    <s v="Planar"/>
    <s v="Unchecked"/>
    <m/>
    <s v="No"/>
    <s v="SIP (Structural Insulated Panel) elements type of SP-170 for passive house"/>
    <x v="4"/>
    <x v="8"/>
    <s v="Yes"/>
    <s v="Structural Panel with EPS insulation and 2 OBS boards"/>
    <m/>
    <s v="Yes"/>
    <s v="None"/>
    <n v="4.9800000000000004"/>
    <n v="19.5"/>
    <n v="19.5"/>
    <s v="m^2"/>
    <m/>
    <m/>
    <m/>
    <m/>
    <m/>
    <m/>
    <m/>
    <n v="21.31"/>
    <m/>
  </r>
  <r>
    <x v="11"/>
    <s v="EPD"/>
    <x v="4"/>
    <x v="4"/>
    <s v="Brick"/>
    <s v="SP-170"/>
    <s v="Adam House SP-170 panel (brick finish)"/>
    <x v="9"/>
    <s v="Planar"/>
    <s v="Placeholder"/>
    <m/>
    <s v="No"/>
    <s v="Plasterboard"/>
    <x v="1"/>
    <x v="4"/>
    <s v="No"/>
    <s v="Gypsum plasterboard"/>
    <s v="Battens/fastening, cavitty"/>
    <s v="Yes"/>
    <s v="None"/>
    <n v="6.5789473684210523E-2"/>
    <n v="1.839"/>
    <n v="0"/>
    <s v="kg"/>
    <n v="1"/>
    <n v="1"/>
    <n v="1.4999999999999999E-2"/>
    <n v="1.4999999999999999E-2"/>
    <n v="1"/>
    <n v="1"/>
    <n v="615"/>
    <n v="9.2249999999999996"/>
    <n v="0.19"/>
  </r>
  <r>
    <x v="11"/>
    <s v="EPD"/>
    <x v="4"/>
    <x v="4"/>
    <s v="Brick"/>
    <s v="SP-170"/>
    <s v="Adam House SP-170 panel (brick finish)"/>
    <x v="9"/>
    <s v="Planar"/>
    <s v="Placeholder"/>
    <m/>
    <s v="No"/>
    <s v="Battens"/>
    <x v="1"/>
    <x v="4"/>
    <s v="No"/>
    <s v="Battens"/>
    <s v="cavity, plasterboard"/>
    <s v="Yes"/>
    <s v="None"/>
    <n v="0"/>
    <n v="1"/>
    <n v="0"/>
    <s v="kg"/>
    <n v="1"/>
    <n v="1"/>
    <n v="1"/>
    <n v="1"/>
    <n v="1"/>
    <n v="1"/>
    <n v="0"/>
    <n v="0"/>
    <n v="0"/>
  </r>
  <r>
    <x v="11"/>
    <s v="EPD"/>
    <x v="4"/>
    <x v="4"/>
    <s v="Brick"/>
    <s v="SP-170"/>
    <s v="Adam House SP-170 panel (brick finish)"/>
    <x v="9"/>
    <s v="Planar"/>
    <s v="Placeholder"/>
    <m/>
    <s v="No"/>
    <s v="Cavity"/>
    <x v="3"/>
    <x v="4"/>
    <s v="No"/>
    <s v="battens cavity (50 mm)"/>
    <s v="battens and plasterboard"/>
    <s v="Yes"/>
    <s v="None"/>
    <n v="0.5"/>
    <n v="0"/>
    <n v="0"/>
    <s v="kg"/>
    <n v="1"/>
    <n v="1"/>
    <n v="0.05"/>
    <n v="0.05"/>
    <n v="1"/>
    <n v="1"/>
    <n v="1.2"/>
    <n v="0.06"/>
    <n v="2.5000000000000001E-2"/>
  </r>
  <r>
    <x v="11"/>
    <s v="EPD"/>
    <x v="4"/>
    <x v="4"/>
    <s v="Brick"/>
    <s v="SP-170"/>
    <s v="Adam House SP-170 panel (brick finish)"/>
    <x v="9"/>
    <s v="Planar"/>
    <s v="Placeholder"/>
    <m/>
    <s v="No"/>
    <s v="Brick"/>
    <x v="1"/>
    <x v="3"/>
    <s v="No"/>
    <s v="Brick blocks (100 mm)"/>
    <s v="Mortar, Cavity (for thermal calculation)"/>
    <s v="Yes"/>
    <s v="None"/>
    <n v="0.12987012987012989"/>
    <n v="42.199999999999996"/>
    <n v="0.21099999999999999"/>
    <s v="kg"/>
    <n v="1"/>
    <n v="1"/>
    <n v="0.1"/>
    <n v="0.1"/>
    <n v="1"/>
    <n v="1"/>
    <n v="2000"/>
    <n v="200"/>
    <n v="0.77"/>
  </r>
  <r>
    <x v="11"/>
    <s v="EPD"/>
    <x v="4"/>
    <x v="4"/>
    <s v="Brick"/>
    <s v="SP-170"/>
    <s v="Adam House SP-170 panel (brick finish)"/>
    <x v="9"/>
    <s v="Planar"/>
    <s v="Issue"/>
    <s v="normalisation for this mortar EPD is estimated. Need the density of the mortar and the volume of the mortar in the wall"/>
    <s v="No"/>
    <s v="Tiger Mortar General Masonry"/>
    <x v="2"/>
    <x v="3"/>
    <s v="No"/>
    <s v="mortar used for brick"/>
    <s v="Brick, Cavity"/>
    <s v="No"/>
    <s v="Density of the mortar"/>
    <n v="0"/>
    <n v="4.1849999999999996"/>
    <n v="135"/>
    <s v="kg"/>
    <n v="1"/>
    <n v="1.2E-2"/>
    <n v="0.1"/>
    <n v="1.2000000000000001E-3"/>
    <n v="5"/>
    <n v="1.2E-2"/>
    <n v="2000"/>
    <n v="31"/>
    <n v="2"/>
  </r>
  <r>
    <x v="11"/>
    <s v="EPD"/>
    <x v="4"/>
    <x v="4"/>
    <s v="Brick"/>
    <s v="SP-170"/>
    <s v="Adam House SP-170 panel (brick finish)"/>
    <x v="9"/>
    <s v="Planar"/>
    <s v="Placeholder"/>
    <m/>
    <s v="No"/>
    <s v="Cavity"/>
    <x v="3"/>
    <x v="3"/>
    <s v="No"/>
    <s v="cavity for bricks"/>
    <s v="Mortar Brick"/>
    <s v="Yes"/>
    <s v="None"/>
    <n v="2"/>
    <n v="0"/>
    <n v="0"/>
    <s v="kg"/>
    <n v="1"/>
    <n v="1"/>
    <n v="0.1"/>
    <n v="0.1"/>
    <n v="1"/>
    <n v="1"/>
    <n v="1.2"/>
    <n v="0.12"/>
    <n v="2.5000000000000001E-2"/>
  </r>
  <r>
    <x v="11"/>
    <s v="EPD"/>
    <x v="4"/>
    <x v="4"/>
    <s v="Brick"/>
    <s v="SP-170"/>
    <s v="Adam House SP-170 panel (brick finish)"/>
    <x v="9"/>
    <s v="Planar"/>
    <s v="Placeholder"/>
    <s v="Need proper membrane used for SIP"/>
    <s v="No"/>
    <s v="Tyvek Membrane"/>
    <x v="0"/>
    <x v="2"/>
    <s v="Yes"/>
    <s v="Breather Paper for moisture"/>
    <s v="None"/>
    <s v="Yes"/>
    <s v="None"/>
    <n v="1.5E-3"/>
    <n v="0.25229166666666669"/>
    <n v="4.2"/>
    <s v="kg"/>
    <n v="2.4"/>
    <n v="2.4"/>
    <n v="4.4999999999999999E-4"/>
    <n v="2.5919999999999997E-3"/>
    <n v="1"/>
    <n v="1"/>
    <n v="0"/>
    <n v="0.34599999999999997"/>
    <n v="0.3"/>
  </r>
  <r>
    <x v="11"/>
    <s v="EPD"/>
    <x v="4"/>
    <x v="4"/>
    <s v="Brick"/>
    <s v="SP-170"/>
    <s v="Adam House SP-170 panel (brick finish)"/>
    <x v="9"/>
    <s v="Planar"/>
    <s v="Placeholder"/>
    <s v="unsure which specific fasteners are used"/>
    <s v="No"/>
    <s v="General fastener placeholder"/>
    <x v="1"/>
    <x v="5"/>
    <s v="Yes"/>
    <s v="Screws, Nails, Fasteners"/>
    <m/>
    <s v="No"/>
    <s v="Which fasteners are needed"/>
    <n v="0"/>
    <n v="1"/>
    <n v="0"/>
    <m/>
    <n v="1"/>
    <n v="1"/>
    <n v="1"/>
    <n v="1"/>
    <n v="1"/>
    <n v="1"/>
    <n v="0"/>
    <n v="0.05"/>
    <n v="0"/>
  </r>
  <r>
    <x v="12"/>
    <s v="EPD"/>
    <x v="4"/>
    <x v="4"/>
    <s v="Brick"/>
    <s v="SP-270"/>
    <s v="Adam House SP-170 panel (brick finish)"/>
    <x v="10"/>
    <s v="Planar"/>
    <s v="Unchecked"/>
    <m/>
    <s v="No"/>
    <s v="SIP (Structural Insulated Panel) elements type of SP-270 for passive house"/>
    <x v="4"/>
    <x v="8"/>
    <s v="Yes"/>
    <s v="Structural Panel with EPS insulation and 2 OBS boards"/>
    <m/>
    <s v="Yes"/>
    <s v="None"/>
    <n v="6.97"/>
    <n v="24.6"/>
    <n v="24.6"/>
    <s v="m^2"/>
    <m/>
    <m/>
    <m/>
    <m/>
    <m/>
    <m/>
    <m/>
    <n v="22.09"/>
    <m/>
  </r>
  <r>
    <x v="12"/>
    <s v="EPD"/>
    <x v="4"/>
    <x v="4"/>
    <s v="Brick"/>
    <s v="SP-270"/>
    <s v="Adam House SP-270 panel (brick finish)"/>
    <x v="10"/>
    <s v="Planar"/>
    <s v="Placeholder"/>
    <m/>
    <s v="No"/>
    <s v="Plasterboard"/>
    <x v="1"/>
    <x v="4"/>
    <s v="No"/>
    <s v="Gypsum plasterboard"/>
    <s v="Battens/fastening, cavitty"/>
    <s v="Yes"/>
    <s v="None"/>
    <n v="6.5789473684210523E-2"/>
    <n v="1.839"/>
    <n v="0"/>
    <s v="kg"/>
    <n v="1"/>
    <n v="1"/>
    <n v="1.4999999999999999E-2"/>
    <n v="1.4999999999999999E-2"/>
    <n v="1"/>
    <n v="1"/>
    <n v="615"/>
    <n v="9.2249999999999996"/>
    <n v="0.19"/>
  </r>
  <r>
    <x v="12"/>
    <s v="EPD"/>
    <x v="4"/>
    <x v="4"/>
    <s v="Brick"/>
    <s v="SP-270"/>
    <s v="Adam House SP-270 panel (brick finish)"/>
    <x v="10"/>
    <s v="Planar"/>
    <s v="Placeholder"/>
    <m/>
    <s v="No"/>
    <s v="Battens"/>
    <x v="1"/>
    <x v="4"/>
    <s v="No"/>
    <s v="Battens"/>
    <s v="cavity, plasterboard"/>
    <s v="Yes"/>
    <s v="None"/>
    <n v="0"/>
    <n v="1"/>
    <n v="0"/>
    <s v="kg"/>
    <n v="1"/>
    <n v="1"/>
    <n v="1"/>
    <n v="1"/>
    <n v="1"/>
    <n v="1"/>
    <n v="0"/>
    <n v="0"/>
    <n v="0"/>
  </r>
  <r>
    <x v="12"/>
    <s v="EPD"/>
    <x v="4"/>
    <x v="4"/>
    <s v="Brick"/>
    <s v="SP-270"/>
    <s v="Adam House SP-270 panel (brick finish)"/>
    <x v="10"/>
    <s v="Planar"/>
    <s v="Placeholder"/>
    <m/>
    <s v="No"/>
    <s v="Cavity"/>
    <x v="3"/>
    <x v="4"/>
    <s v="No"/>
    <s v="battens cavity (50 mm)"/>
    <s v="battens and plasterboard"/>
    <s v="Yes"/>
    <s v="None"/>
    <n v="0.5"/>
    <n v="0"/>
    <n v="0"/>
    <s v="kg"/>
    <n v="1"/>
    <n v="1"/>
    <n v="0.05"/>
    <n v="0.05"/>
    <n v="1"/>
    <n v="1"/>
    <n v="1.2"/>
    <n v="0.06"/>
    <n v="2.5000000000000001E-2"/>
  </r>
  <r>
    <x v="12"/>
    <s v="EPD"/>
    <x v="4"/>
    <x v="4"/>
    <s v="Brick"/>
    <s v="SP-270"/>
    <s v="Adam House SP-270 panel (brick finish)"/>
    <x v="10"/>
    <s v="Planar"/>
    <s v="Placeholder"/>
    <m/>
    <s v="No"/>
    <s v="Brick"/>
    <x v="1"/>
    <x v="3"/>
    <s v="No"/>
    <s v="Brick blocks (100 mm)"/>
    <s v="Mortar, Cavity (for thermal calculation)"/>
    <s v="Yes"/>
    <s v="None"/>
    <n v="0.12987012987012989"/>
    <n v="42.199999999999996"/>
    <n v="0.21099999999999999"/>
    <s v="kg"/>
    <n v="1"/>
    <n v="1"/>
    <n v="0.1"/>
    <n v="0.1"/>
    <n v="1"/>
    <n v="1"/>
    <n v="2000"/>
    <n v="200"/>
    <n v="0.77"/>
  </r>
  <r>
    <x v="12"/>
    <s v="EPD"/>
    <x v="4"/>
    <x v="4"/>
    <s v="Brick"/>
    <s v="SP-270"/>
    <s v="Adam House SP-270 panel (brick finish)"/>
    <x v="10"/>
    <s v="Planar"/>
    <s v="Issue"/>
    <s v="normalisation for this mortar EPD is estimated. Need the density of the mortar and the volume of the mortar in the wall"/>
    <s v="No"/>
    <s v="Tiger Mortar General Masonry"/>
    <x v="2"/>
    <x v="3"/>
    <s v="No"/>
    <s v="mortar used for brick"/>
    <s v="Brick, Cavity"/>
    <s v="No"/>
    <s v="Density of the mortar"/>
    <n v="0"/>
    <n v="4.1849999999999996"/>
    <n v="135"/>
    <s v="kg"/>
    <n v="1"/>
    <n v="1.2E-2"/>
    <n v="0.1"/>
    <n v="1.2000000000000001E-3"/>
    <n v="5"/>
    <n v="1.2E-2"/>
    <n v="2000"/>
    <n v="31"/>
    <n v="2"/>
  </r>
  <r>
    <x v="12"/>
    <s v="EPD"/>
    <x v="4"/>
    <x v="4"/>
    <s v="Brick"/>
    <s v="SP-270"/>
    <s v="Adam House SP-270 panel (brick finish)"/>
    <x v="10"/>
    <s v="Planar"/>
    <s v="Placeholder"/>
    <m/>
    <s v="No"/>
    <s v="Cavity"/>
    <x v="3"/>
    <x v="3"/>
    <s v="No"/>
    <s v="cavity for bricks"/>
    <s v="Mortar Brick"/>
    <s v="Yes"/>
    <s v="None"/>
    <n v="2"/>
    <n v="0"/>
    <n v="0"/>
    <s v="kg"/>
    <n v="1"/>
    <n v="1"/>
    <n v="0.1"/>
    <n v="0.1"/>
    <n v="1"/>
    <n v="1"/>
    <n v="1.2"/>
    <n v="0.12"/>
    <n v="2.5000000000000001E-2"/>
  </r>
  <r>
    <x v="12"/>
    <s v="EPD"/>
    <x v="4"/>
    <x v="4"/>
    <s v="Brick"/>
    <s v="SP-270"/>
    <s v="Adam House SP-270 panel (brick finish)"/>
    <x v="10"/>
    <s v="Planar"/>
    <s v="Placeholder"/>
    <s v="Need proper membrane used for SIP"/>
    <s v="No"/>
    <s v="Tyvek Membrane"/>
    <x v="0"/>
    <x v="2"/>
    <s v="Yes"/>
    <s v="Breather Paper for moisture"/>
    <s v="None"/>
    <s v="Yes"/>
    <s v="None"/>
    <n v="1.5E-3"/>
    <n v="0.25229166666666669"/>
    <n v="4.2"/>
    <s v="kg"/>
    <n v="2.4"/>
    <n v="2.4"/>
    <n v="4.4999999999999999E-4"/>
    <n v="2.5919999999999997E-3"/>
    <n v="1"/>
    <n v="1"/>
    <n v="0"/>
    <n v="0.34599999999999997"/>
    <n v="0.3"/>
  </r>
  <r>
    <x v="12"/>
    <s v="EPD"/>
    <x v="4"/>
    <x v="4"/>
    <s v="Brick"/>
    <s v="SP-270"/>
    <s v="Adam House SP-270 panel (brick finish)"/>
    <x v="10"/>
    <s v="Planar"/>
    <s v="Placeholder"/>
    <s v="unsure which specific fasteners are used"/>
    <s v="No"/>
    <s v="General fastener placeholder"/>
    <x v="1"/>
    <x v="5"/>
    <s v="Yes"/>
    <s v="Screws, Nails, Fasteners"/>
    <m/>
    <s v="No"/>
    <s v="Which fasteners are needed"/>
    <n v="0"/>
    <n v="1"/>
    <n v="0"/>
    <m/>
    <n v="1"/>
    <n v="1"/>
    <n v="1"/>
    <n v="1"/>
    <n v="1"/>
    <n v="1"/>
    <n v="0"/>
    <n v="0.05"/>
    <n v="0"/>
  </r>
  <r>
    <x v="13"/>
    <s v="EPD"/>
    <x v="4"/>
    <x v="4"/>
    <s v="Brick"/>
    <s v="MgO"/>
    <s v="graphite MgO SIP (brick finish)"/>
    <x v="11"/>
    <s v="Planar"/>
    <s v="Unchecked"/>
    <m/>
    <s v="No"/>
    <s v="Graphite MgO SIP panel"/>
    <x v="5"/>
    <x v="8"/>
    <s v="Yes"/>
    <s v="Structural Panel with EPS insulation and 2 OBS boards"/>
    <m/>
    <s v="Yes"/>
    <s v="None"/>
    <n v="5.16"/>
    <n v="44.4"/>
    <n v="44.4"/>
    <s v="m^2"/>
    <m/>
    <m/>
    <m/>
    <m/>
    <m/>
    <m/>
    <m/>
    <n v="23.2"/>
    <m/>
  </r>
  <r>
    <x v="13"/>
    <s v="EPD"/>
    <x v="4"/>
    <x v="4"/>
    <s v="Brick"/>
    <s v="MgO"/>
    <s v="graphite MgO SIP (brick finish)"/>
    <x v="11"/>
    <s v="Planar"/>
    <s v="Placeholder"/>
    <m/>
    <s v="No"/>
    <s v="Plasterboard"/>
    <x v="1"/>
    <x v="4"/>
    <s v="No"/>
    <s v="Gypsum plasterboard"/>
    <s v="Battens/fastening, cavitty"/>
    <s v="Yes"/>
    <s v="None"/>
    <n v="6.5789473684210523E-2"/>
    <n v="1.839"/>
    <n v="0"/>
    <s v="kg"/>
    <n v="1"/>
    <n v="1"/>
    <n v="1.4999999999999999E-2"/>
    <n v="1.4999999999999999E-2"/>
    <n v="1"/>
    <n v="1"/>
    <n v="615"/>
    <n v="9.2249999999999996"/>
    <n v="0.19"/>
  </r>
  <r>
    <x v="13"/>
    <s v="EPD"/>
    <x v="4"/>
    <x v="4"/>
    <s v="Brick"/>
    <s v="MgO"/>
    <s v="graphite MgO SIP (brick finish)"/>
    <x v="11"/>
    <s v="Planar"/>
    <s v="Placeholder"/>
    <m/>
    <s v="No"/>
    <s v="Battens"/>
    <x v="1"/>
    <x v="4"/>
    <s v="No"/>
    <s v="Battens"/>
    <s v="cavity, plasterboard"/>
    <s v="Yes"/>
    <s v="None"/>
    <n v="0"/>
    <n v="1"/>
    <n v="0"/>
    <s v="kg"/>
    <n v="1"/>
    <n v="1"/>
    <n v="1"/>
    <n v="1"/>
    <n v="1"/>
    <n v="1"/>
    <n v="0"/>
    <n v="0"/>
    <n v="0"/>
  </r>
  <r>
    <x v="13"/>
    <s v="EPD"/>
    <x v="4"/>
    <x v="4"/>
    <s v="Brick"/>
    <s v="MgO"/>
    <s v="graphite MgO SIP (brick finish)"/>
    <x v="11"/>
    <s v="Planar"/>
    <s v="Placeholder"/>
    <m/>
    <s v="No"/>
    <s v="Cavity"/>
    <x v="3"/>
    <x v="4"/>
    <s v="No"/>
    <s v="battens cavity (50 mm)"/>
    <s v="battens and plasterboard"/>
    <s v="Yes"/>
    <s v="None"/>
    <n v="0.5"/>
    <n v="0"/>
    <n v="0"/>
    <s v="kg"/>
    <n v="1"/>
    <n v="1"/>
    <n v="0.05"/>
    <n v="0.05"/>
    <n v="1"/>
    <n v="1"/>
    <n v="1.2"/>
    <n v="0.06"/>
    <n v="2.5000000000000001E-2"/>
  </r>
  <r>
    <x v="13"/>
    <s v="EPD"/>
    <x v="4"/>
    <x v="4"/>
    <s v="Brick"/>
    <s v="MgO"/>
    <s v="graphite MgO SIP (brick finish)"/>
    <x v="11"/>
    <s v="Planar"/>
    <s v="Placeholder"/>
    <m/>
    <s v="No"/>
    <s v="Brick"/>
    <x v="1"/>
    <x v="3"/>
    <s v="No"/>
    <s v="Brick blocks (100 mm)"/>
    <s v="Mortar, Cavity (for thermal calculation)"/>
    <s v="Yes"/>
    <s v="None"/>
    <n v="0.12987012987012989"/>
    <n v="42.199999999999996"/>
    <n v="0.21099999999999999"/>
    <s v="kg"/>
    <n v="1"/>
    <n v="1"/>
    <n v="0.1"/>
    <n v="0.1"/>
    <n v="1"/>
    <n v="1"/>
    <n v="2000"/>
    <n v="200"/>
    <n v="0.77"/>
  </r>
  <r>
    <x v="13"/>
    <s v="EPD"/>
    <x v="4"/>
    <x v="4"/>
    <s v="Brick"/>
    <s v="MgO"/>
    <s v="graphite MgO SIP (brick finish)"/>
    <x v="11"/>
    <s v="Planar"/>
    <s v="Issue"/>
    <s v="normalisation for this mortar EPD is estimated. Need the density of the mortar and the volume of the mortar in the wall"/>
    <s v="No"/>
    <s v="Tiger Mortar General Masonry"/>
    <x v="2"/>
    <x v="3"/>
    <s v="No"/>
    <s v="mortar used for brick"/>
    <s v="Brick, Cavity"/>
    <s v="No"/>
    <s v="Density of the mortar"/>
    <n v="0"/>
    <n v="4.1849999999999996"/>
    <n v="135"/>
    <s v="kg"/>
    <n v="1"/>
    <n v="1.2E-2"/>
    <n v="0.1"/>
    <n v="1.2000000000000001E-3"/>
    <n v="5"/>
    <n v="1.2E-2"/>
    <n v="2000"/>
    <n v="31"/>
    <n v="2"/>
  </r>
  <r>
    <x v="13"/>
    <s v="EPD"/>
    <x v="4"/>
    <x v="4"/>
    <s v="Brick"/>
    <s v="MgO"/>
    <s v="graphite MgO SIP (brick finish)"/>
    <x v="11"/>
    <s v="Planar"/>
    <s v="Placeholder"/>
    <m/>
    <s v="No"/>
    <s v="Cavity"/>
    <x v="3"/>
    <x v="3"/>
    <s v="No"/>
    <s v="cavity for bricks"/>
    <s v="Mortar Brick"/>
    <s v="Yes"/>
    <s v="None"/>
    <n v="2"/>
    <n v="0"/>
    <n v="0"/>
    <s v="kg"/>
    <n v="1"/>
    <n v="1"/>
    <n v="0.1"/>
    <n v="0.1"/>
    <n v="1"/>
    <n v="1"/>
    <n v="1.2"/>
    <n v="0.12"/>
    <n v="2.5000000000000001E-2"/>
  </r>
  <r>
    <x v="13"/>
    <s v="EPD"/>
    <x v="4"/>
    <x v="4"/>
    <s v="Brick"/>
    <s v="MgO"/>
    <s v="graphite MgO SIP (brick finish)"/>
    <x v="11"/>
    <s v="Planar"/>
    <s v="Placeholder"/>
    <s v="Need proper membrane used for SIP"/>
    <s v="No"/>
    <s v="Tyvek Membrane"/>
    <x v="0"/>
    <x v="2"/>
    <s v="Yes"/>
    <s v="Breather Paper for moisture"/>
    <s v="None"/>
    <s v="Yes"/>
    <s v="None"/>
    <n v="1.5E-3"/>
    <n v="0.25229166666666669"/>
    <n v="4.2"/>
    <s v="kg"/>
    <n v="2.4"/>
    <n v="2.4"/>
    <n v="4.4999999999999999E-4"/>
    <n v="2.5919999999999997E-3"/>
    <n v="1"/>
    <n v="1"/>
    <n v="0"/>
    <n v="0.34599999999999997"/>
    <n v="0.3"/>
  </r>
  <r>
    <x v="13"/>
    <s v="EPD"/>
    <x v="4"/>
    <x v="4"/>
    <s v="Brick"/>
    <s v="MgO"/>
    <s v="graphite MgO SIP (brick finish)"/>
    <x v="11"/>
    <s v="Planar"/>
    <s v="Placeholder"/>
    <s v="unsure which specific fasteners are used"/>
    <s v="No"/>
    <s v="General fastener placeholder"/>
    <x v="1"/>
    <x v="5"/>
    <s v="Yes"/>
    <s v="Screws, Nails, Fasteners"/>
    <m/>
    <s v="No"/>
    <s v="Which fasteners are needed"/>
    <n v="0"/>
    <n v="1"/>
    <n v="0"/>
    <m/>
    <n v="1"/>
    <n v="1"/>
    <n v="1"/>
    <n v="1"/>
    <n v="1"/>
    <n v="1"/>
    <n v="0"/>
    <n v="0.05"/>
    <n v="0"/>
  </r>
  <r>
    <x v="14"/>
    <s v="EPD"/>
    <x v="4"/>
    <x v="4"/>
    <s v="Brick"/>
    <s v="NZSIP 115"/>
    <s v="New Zealand 115mm SIP (Brick Finish)"/>
    <x v="12"/>
    <s v="Planar"/>
    <s v="Unchecked"/>
    <m/>
    <s v="No"/>
    <s v="Structural Insulated Panels From New Zealand Structural Insulated Panels (NZSIP) Limited"/>
    <x v="4"/>
    <x v="8"/>
    <s v="Yes"/>
    <s v="Structural Panel with EPS insulation and 2 OBS boards"/>
    <m/>
    <s v="Yes"/>
    <s v="None"/>
    <n v="4.5"/>
    <n v="40"/>
    <n v="40"/>
    <s v="m^2"/>
    <m/>
    <m/>
    <m/>
    <m/>
    <m/>
    <m/>
    <m/>
    <n v="23.7"/>
    <m/>
  </r>
  <r>
    <x v="14"/>
    <s v="EPD"/>
    <x v="4"/>
    <x v="4"/>
    <s v="Brick"/>
    <s v="NZSIP 115"/>
    <s v="New Zealand 115mm SIP (Brick Finish)"/>
    <x v="12"/>
    <s v="Planar"/>
    <s v="Placeholder"/>
    <m/>
    <s v="No"/>
    <s v="Plasterboard"/>
    <x v="1"/>
    <x v="4"/>
    <s v="No"/>
    <s v="Gypsum plasterboard"/>
    <s v="Battens/fastening, cavitty"/>
    <s v="Yes"/>
    <s v="None"/>
    <n v="6.5789473684210523E-2"/>
    <n v="1.839"/>
    <n v="0"/>
    <s v="kg"/>
    <n v="1"/>
    <n v="1"/>
    <n v="1.4999999999999999E-2"/>
    <n v="1.4999999999999999E-2"/>
    <n v="1"/>
    <n v="1"/>
    <n v="615"/>
    <n v="9.2249999999999996"/>
    <n v="0.19"/>
  </r>
  <r>
    <x v="14"/>
    <s v="EPD"/>
    <x v="4"/>
    <x v="4"/>
    <s v="Brick"/>
    <s v="NZSIP 115"/>
    <s v="New Zealand 115mm SIP (Brick Finish)"/>
    <x v="12"/>
    <s v="Planar"/>
    <s v="Placeholder"/>
    <m/>
    <s v="No"/>
    <s v="Battens"/>
    <x v="1"/>
    <x v="4"/>
    <s v="No"/>
    <s v="Battens"/>
    <s v="cavity, plasterboard"/>
    <s v="Yes"/>
    <s v="None"/>
    <n v="0"/>
    <n v="1"/>
    <n v="0"/>
    <s v="kg"/>
    <n v="1"/>
    <n v="1"/>
    <n v="1"/>
    <n v="1"/>
    <n v="1"/>
    <n v="1"/>
    <n v="0"/>
    <n v="0"/>
    <n v="0"/>
  </r>
  <r>
    <x v="14"/>
    <s v="EPD"/>
    <x v="4"/>
    <x v="4"/>
    <s v="Brick"/>
    <s v="NZSIP 115"/>
    <s v="New Zealand 115mm SIP (Brick Finish)"/>
    <x v="12"/>
    <s v="Planar"/>
    <s v="Placeholder"/>
    <m/>
    <s v="No"/>
    <s v="Cavity"/>
    <x v="3"/>
    <x v="4"/>
    <s v="No"/>
    <s v="battens cavity (50 mm)"/>
    <s v="battens and plasterboard"/>
    <s v="Yes"/>
    <s v="None"/>
    <n v="0.5"/>
    <n v="0"/>
    <n v="0"/>
    <s v="kg"/>
    <n v="1"/>
    <n v="1"/>
    <n v="0.05"/>
    <n v="0.05"/>
    <n v="1"/>
    <n v="1"/>
    <n v="1.2"/>
    <n v="0.06"/>
    <n v="2.5000000000000001E-2"/>
  </r>
  <r>
    <x v="14"/>
    <s v="EPD"/>
    <x v="4"/>
    <x v="4"/>
    <s v="Brick"/>
    <s v="NZSIP 115"/>
    <s v="New Zealand 115mm SIP (Brick Finish)"/>
    <x v="12"/>
    <s v="Planar"/>
    <s v="Placeholder"/>
    <m/>
    <s v="No"/>
    <s v="Brick"/>
    <x v="1"/>
    <x v="3"/>
    <s v="No"/>
    <s v="Brick blocks (100 mm)"/>
    <s v="Mortar, Cavity (for thermal calculation)"/>
    <s v="Yes"/>
    <s v="None"/>
    <n v="0.12987012987012989"/>
    <n v="42.199999999999996"/>
    <n v="0.21099999999999999"/>
    <s v="kg"/>
    <n v="1"/>
    <n v="1"/>
    <n v="0.1"/>
    <n v="0.1"/>
    <n v="1"/>
    <n v="1"/>
    <n v="2000"/>
    <n v="200"/>
    <n v="0.77"/>
  </r>
  <r>
    <x v="14"/>
    <s v="EPD"/>
    <x v="4"/>
    <x v="4"/>
    <s v="Brick"/>
    <s v="NZSIP 115"/>
    <s v="New Zealand 115mm SIP (Brick Finish)"/>
    <x v="12"/>
    <s v="Planar"/>
    <s v="Issue"/>
    <s v="normalisation for this mortar EPD is estimated. Need the density of the mortar and the volume of the mortar in the wall"/>
    <s v="No"/>
    <s v="Tiger Mortar General Masonry"/>
    <x v="2"/>
    <x v="3"/>
    <s v="No"/>
    <s v="mortar used for brick"/>
    <s v="Brick, Cavity"/>
    <s v="No"/>
    <s v="Density of the mortar"/>
    <n v="0"/>
    <n v="4.1849999999999996"/>
    <n v="135"/>
    <s v="kg"/>
    <n v="1"/>
    <n v="1.2E-2"/>
    <n v="0.1"/>
    <n v="1.2000000000000001E-3"/>
    <n v="5"/>
    <n v="1.2E-2"/>
    <n v="2000"/>
    <n v="31"/>
    <n v="2"/>
  </r>
  <r>
    <x v="14"/>
    <s v="EPD"/>
    <x v="4"/>
    <x v="4"/>
    <s v="Brick"/>
    <s v="NZSIP 115"/>
    <s v="New Zealand 115mm SIP (Brick Finish)"/>
    <x v="12"/>
    <s v="Planar"/>
    <s v="Placeholder"/>
    <m/>
    <s v="No"/>
    <s v="Cavity"/>
    <x v="3"/>
    <x v="3"/>
    <s v="No"/>
    <s v="cavity for bricks"/>
    <s v="Mortar Brick"/>
    <s v="Yes"/>
    <s v="None"/>
    <n v="2"/>
    <n v="0"/>
    <n v="0"/>
    <s v="kg"/>
    <n v="1"/>
    <n v="1"/>
    <n v="0.1"/>
    <n v="0.1"/>
    <n v="1"/>
    <n v="1"/>
    <n v="1.2"/>
    <n v="0.12"/>
    <n v="2.5000000000000001E-2"/>
  </r>
  <r>
    <x v="14"/>
    <s v="EPD"/>
    <x v="4"/>
    <x v="4"/>
    <s v="Brick"/>
    <s v="NZSIP 115"/>
    <s v="New Zealand 115mm SIP (Brick Finish)"/>
    <x v="12"/>
    <s v="Planar"/>
    <s v="Placeholder"/>
    <s v="Need proper membrane used for SIP"/>
    <s v="No"/>
    <s v="Tyvek Membrane"/>
    <x v="0"/>
    <x v="2"/>
    <s v="Yes"/>
    <s v="Breather Paper for moisture"/>
    <s v="None"/>
    <s v="Yes"/>
    <s v="None"/>
    <n v="1.5E-3"/>
    <n v="0.25229166666666669"/>
    <n v="4.2"/>
    <s v="kg"/>
    <n v="2.4"/>
    <n v="2.4"/>
    <n v="4.4999999999999999E-4"/>
    <n v="2.5919999999999997E-3"/>
    <n v="1"/>
    <n v="1"/>
    <n v="0"/>
    <n v="0.34599999999999997"/>
    <n v="0.3"/>
  </r>
  <r>
    <x v="14"/>
    <s v="EPD"/>
    <x v="4"/>
    <x v="4"/>
    <s v="Brick"/>
    <s v="NZSIP 115"/>
    <s v="New Zealand 115mm SIP (Brick Finish)"/>
    <x v="12"/>
    <s v="Planar"/>
    <s v="Placeholder"/>
    <s v="unsure which specific fasteners are used"/>
    <s v="No"/>
    <s v="General fastener placeholder"/>
    <x v="1"/>
    <x v="5"/>
    <s v="Yes"/>
    <s v="Screws, Nails, Fasteners"/>
    <m/>
    <s v="No"/>
    <s v="Which fasteners are needed"/>
    <n v="0"/>
    <n v="1"/>
    <n v="0"/>
    <m/>
    <n v="1"/>
    <n v="1"/>
    <n v="1"/>
    <n v="1"/>
    <n v="1"/>
    <n v="1"/>
    <n v="0"/>
    <n v="0.05"/>
    <n v="0"/>
  </r>
  <r>
    <x v="15"/>
    <s v="EPD"/>
    <x v="4"/>
    <x v="4"/>
    <s v="Brick"/>
    <s v="USASIP"/>
    <s v="US SIP Average (Brick Finish)"/>
    <x v="7"/>
    <s v="Planar"/>
    <s v="Unchecked"/>
    <m/>
    <s v="No"/>
    <s v="SIPA B6.5"/>
    <x v="4"/>
    <x v="8"/>
    <s v="Yes"/>
    <s v="Structural Panel with EPS insulation and 2 OBS boards"/>
    <m/>
    <s v="Yes"/>
    <s v="None"/>
    <n v="3.7"/>
    <n v="23.1"/>
    <n v="23.1"/>
    <s v="m^2"/>
    <m/>
    <m/>
    <m/>
    <m/>
    <m/>
    <m/>
    <m/>
    <n v="18.600000000000001"/>
    <m/>
  </r>
  <r>
    <x v="15"/>
    <s v="EPD"/>
    <x v="4"/>
    <x v="4"/>
    <s v="Brick"/>
    <s v="USASIP"/>
    <s v="US SIP Average (Brick Finish)"/>
    <x v="7"/>
    <s v="Planar"/>
    <s v="Placeholder"/>
    <m/>
    <s v="No"/>
    <s v="Plasterboard"/>
    <x v="1"/>
    <x v="4"/>
    <s v="No"/>
    <s v="Gypsum plasterboard"/>
    <s v="Battens/fastening, cavitty"/>
    <s v="Yes"/>
    <s v="None"/>
    <n v="6.5789473684210523E-2"/>
    <n v="1.839"/>
    <n v="0"/>
    <s v="kg"/>
    <n v="1"/>
    <n v="1"/>
    <n v="1.4999999999999999E-2"/>
    <n v="1.4999999999999999E-2"/>
    <n v="1"/>
    <n v="1"/>
    <n v="615"/>
    <n v="9.2249999999999996"/>
    <n v="0.19"/>
  </r>
  <r>
    <x v="15"/>
    <s v="EPD"/>
    <x v="4"/>
    <x v="4"/>
    <s v="Brick"/>
    <s v="USASIP"/>
    <s v="US SIP Average (Brick Finish)"/>
    <x v="7"/>
    <s v="Planar"/>
    <s v="Placeholder"/>
    <m/>
    <s v="No"/>
    <s v="Battens"/>
    <x v="1"/>
    <x v="4"/>
    <s v="No"/>
    <s v="Battens"/>
    <s v="cavity, plasterboard"/>
    <s v="Yes"/>
    <s v="None"/>
    <n v="0"/>
    <n v="1"/>
    <n v="0"/>
    <s v="kg"/>
    <n v="1"/>
    <n v="1"/>
    <n v="1"/>
    <n v="1"/>
    <n v="1"/>
    <n v="1"/>
    <n v="0"/>
    <n v="0"/>
    <n v="0"/>
  </r>
  <r>
    <x v="15"/>
    <s v="EPD"/>
    <x v="4"/>
    <x v="4"/>
    <s v="Brick"/>
    <s v="USASIP"/>
    <s v="US SIP Average (Brick Finish)"/>
    <x v="7"/>
    <s v="Planar"/>
    <s v="Placeholder"/>
    <m/>
    <s v="No"/>
    <s v="Cavity"/>
    <x v="3"/>
    <x v="4"/>
    <s v="No"/>
    <s v="battens cavity (50 mm)"/>
    <s v="battens and plasterboard"/>
    <s v="Yes"/>
    <s v="None"/>
    <n v="0.5"/>
    <n v="0"/>
    <n v="0"/>
    <s v="kg"/>
    <n v="1"/>
    <n v="1"/>
    <n v="0.05"/>
    <n v="0.05"/>
    <n v="1"/>
    <n v="1"/>
    <n v="1.2"/>
    <n v="0.06"/>
    <n v="2.5000000000000001E-2"/>
  </r>
  <r>
    <x v="15"/>
    <s v="EPD"/>
    <x v="4"/>
    <x v="4"/>
    <s v="Brick"/>
    <s v="USASIP"/>
    <s v="US SIP Average (Brick Finish)"/>
    <x v="7"/>
    <s v="Planar"/>
    <s v="Placeholder"/>
    <m/>
    <s v="No"/>
    <s v="Brick"/>
    <x v="1"/>
    <x v="3"/>
    <s v="No"/>
    <s v="Brick blocks (100 mm)"/>
    <s v="Mortar, Cavity (for thermal calculation)"/>
    <s v="Yes"/>
    <s v="None"/>
    <n v="0.12987012987012989"/>
    <n v="42.199999999999996"/>
    <n v="0.21099999999999999"/>
    <s v="kg"/>
    <n v="1"/>
    <n v="1"/>
    <n v="0.1"/>
    <n v="0.1"/>
    <n v="1"/>
    <n v="1"/>
    <n v="2000"/>
    <n v="200"/>
    <n v="0.77"/>
  </r>
  <r>
    <x v="15"/>
    <s v="EPD"/>
    <x v="4"/>
    <x v="4"/>
    <s v="Brick"/>
    <s v="USASIP"/>
    <s v="US SIP Average (Brick Finish)"/>
    <x v="7"/>
    <s v="Planar"/>
    <s v="Issue"/>
    <s v="normalisation for this mortar EPD is estimated. Need the density of the mortar and the volume of the mortar in the wall"/>
    <s v="No"/>
    <s v="Tiger Mortar General Masonry"/>
    <x v="2"/>
    <x v="3"/>
    <s v="No"/>
    <s v="mortar used for brick"/>
    <s v="Brick, Cavity"/>
    <s v="No"/>
    <s v="Density of the mortar"/>
    <n v="0"/>
    <n v="4.1849999999999996"/>
    <n v="135"/>
    <s v="kg"/>
    <n v="1"/>
    <n v="1.2E-2"/>
    <n v="0.1"/>
    <n v="1.2000000000000001E-3"/>
    <n v="5"/>
    <n v="1.2E-2"/>
    <n v="2000"/>
    <n v="31"/>
    <n v="2"/>
  </r>
  <r>
    <x v="15"/>
    <s v="EPD"/>
    <x v="4"/>
    <x v="4"/>
    <s v="Brick"/>
    <s v="USASIP"/>
    <s v="US SIP Average (Brick Finish)"/>
    <x v="7"/>
    <s v="Planar"/>
    <s v="Placeholder"/>
    <m/>
    <s v="No"/>
    <s v="Cavity"/>
    <x v="3"/>
    <x v="3"/>
    <s v="No"/>
    <s v="cavity for bricks"/>
    <s v="Mortar Brick"/>
    <s v="Yes"/>
    <s v="None"/>
    <n v="2"/>
    <n v="0"/>
    <n v="0"/>
    <s v="kg"/>
    <n v="1"/>
    <n v="1"/>
    <n v="0.1"/>
    <n v="0.1"/>
    <n v="1"/>
    <n v="1"/>
    <n v="1.2"/>
    <n v="0.12"/>
    <n v="2.5000000000000001E-2"/>
  </r>
  <r>
    <x v="15"/>
    <s v="EPD"/>
    <x v="4"/>
    <x v="4"/>
    <s v="Brick"/>
    <s v="USASIP"/>
    <s v="US SIP Average (Brick Finish)"/>
    <x v="7"/>
    <s v="Planar"/>
    <s v="Placeholder"/>
    <s v="Need proper membrane used for SIP"/>
    <s v="No"/>
    <s v="Tyvek Membrane"/>
    <x v="0"/>
    <x v="2"/>
    <s v="Yes"/>
    <s v="Breather Paper for moisture"/>
    <s v="None"/>
    <s v="Yes"/>
    <s v="None"/>
    <n v="1.5E-3"/>
    <n v="0.25229166666666669"/>
    <n v="4.2"/>
    <s v="kg"/>
    <n v="2.4"/>
    <n v="2.4"/>
    <n v="4.4999999999999999E-4"/>
    <n v="2.5919999999999997E-3"/>
    <n v="1"/>
    <n v="1"/>
    <n v="0"/>
    <n v="0.34599999999999997"/>
    <n v="0.3"/>
  </r>
  <r>
    <x v="15"/>
    <s v="EPD"/>
    <x v="4"/>
    <x v="4"/>
    <s v="Brick"/>
    <s v="USASIP"/>
    <s v="US SIP Average (Brick Finish)"/>
    <x v="7"/>
    <s v="Planar"/>
    <s v="Placeholder"/>
    <s v="unsure which specific fasteners are used"/>
    <s v="No"/>
    <s v="General fastener placeholder"/>
    <x v="1"/>
    <x v="5"/>
    <s v="Yes"/>
    <s v="Screws, Nails, Fasteners"/>
    <m/>
    <s v="No"/>
    <s v="Which fasteners are needed"/>
    <n v="0"/>
    <n v="1"/>
    <n v="0"/>
    <m/>
    <n v="1"/>
    <n v="1"/>
    <n v="1"/>
    <n v="1"/>
    <n v="1"/>
    <n v="1"/>
    <n v="0"/>
    <n v="0.05"/>
    <n v="0"/>
  </r>
  <r>
    <x v="16"/>
    <s v="EPD"/>
    <x v="2"/>
    <x v="2"/>
    <s v="Brick"/>
    <s v="Thermomur"/>
    <s v="Thermomur ICF Average (Brick Finish)"/>
    <x v="7"/>
    <s v="Planar"/>
    <s v="Unchecked"/>
    <m/>
    <s v="No"/>
    <s v="Thermomur ICF"/>
    <x v="4"/>
    <x v="1"/>
    <s v="Yes"/>
    <s v="EPS, plastic webs"/>
    <m/>
    <s v="Yes"/>
    <s v="None"/>
    <n v="5.96"/>
    <n v="26.438000000000002"/>
    <n v="26.438000000000002"/>
    <s v="m^2"/>
    <m/>
    <m/>
    <m/>
    <n v="0"/>
    <m/>
    <m/>
    <m/>
    <n v="8.18"/>
    <m/>
  </r>
  <r>
    <x v="16"/>
    <s v="EPD"/>
    <x v="2"/>
    <x v="2"/>
    <s v="Brick"/>
    <s v="Thermomur"/>
    <s v="Thermomur ICF Average (Brick Finish)"/>
    <x v="7"/>
    <s v="Planar"/>
    <s v="Unchecked"/>
    <m/>
    <s v="No"/>
    <s v="C28/35 Readymix Concrete (0% GGBS Cement Replacement)"/>
    <x v="2"/>
    <x v="0"/>
    <s v="No"/>
    <m/>
    <s v="reinforcement"/>
    <s v="Yes"/>
    <s v="None"/>
    <n v="0.17647058823529413"/>
    <n v="34.429499999999997"/>
    <n v="229.53"/>
    <s v="m^3"/>
    <n v="1"/>
    <n v="1"/>
    <n v="0.15"/>
    <n v="0.15"/>
    <m/>
    <m/>
    <n v="2412"/>
    <n v="361.8"/>
    <m/>
  </r>
  <r>
    <x v="16"/>
    <s v="EPD"/>
    <x v="2"/>
    <x v="2"/>
    <s v="Brick"/>
    <s v="Thermomur"/>
    <s v="Thermomur ICF Average (Brick Finish)"/>
    <x v="7"/>
    <s v="Planar"/>
    <s v="Placeholder"/>
    <s v="assuming the same steel reinforcement as Model A"/>
    <s v="No"/>
    <s v="Steel rebar"/>
    <x v="0"/>
    <x v="0"/>
    <s v="No"/>
    <s v="rebar pieces to reinforce concrete "/>
    <s v="concrete"/>
    <s v="Yes"/>
    <s v="None"/>
    <n v="0"/>
    <n v="12.383402777777778"/>
    <n v="1.72"/>
    <s v="kg"/>
    <m/>
    <m/>
    <m/>
    <n v="0"/>
    <m/>
    <m/>
    <m/>
    <n v="0"/>
    <m/>
  </r>
  <r>
    <x v="16"/>
    <s v="EPD"/>
    <x v="2"/>
    <x v="2"/>
    <s v="Brick"/>
    <s v="Thermomur"/>
    <s v="Thermomur ICF Average (Brick Finish)"/>
    <x v="7"/>
    <s v="Planar"/>
    <s v="Placeholder"/>
    <s v="Membrane from model A. Different membrane may be used"/>
    <s v="No"/>
    <s v="Tyvek Membrane"/>
    <x v="0"/>
    <x v="2"/>
    <s v="Yes"/>
    <s v="Breather Paper for moisture"/>
    <s v="None"/>
    <s v="Yes"/>
    <s v="None"/>
    <n v="1.5E-3"/>
    <n v="0.25229166666666669"/>
    <n v="4.2"/>
    <s v="kg"/>
    <m/>
    <m/>
    <m/>
    <n v="0"/>
    <m/>
    <m/>
    <m/>
    <n v="0"/>
    <m/>
  </r>
  <r>
    <x v="16"/>
    <s v="EPD"/>
    <x v="2"/>
    <x v="2"/>
    <s v="Brick"/>
    <s v="Thermomur"/>
    <s v="Thermomur ICF Average (Brick Finish)"/>
    <x v="7"/>
    <s v="Planar"/>
    <s v="Placeholder"/>
    <m/>
    <s v="No"/>
    <s v="Brick"/>
    <x v="1"/>
    <x v="3"/>
    <s v="No"/>
    <s v="Brick blocks (100 mm)"/>
    <s v="Mortar, Cavity (for thermal calculation)"/>
    <s v="Yes"/>
    <s v="None"/>
    <n v="0.12987012987012989"/>
    <n v="42.199999999999996"/>
    <n v="0.21099999999999999"/>
    <s v="kg"/>
    <n v="1"/>
    <n v="1"/>
    <n v="0.1"/>
    <n v="0.1"/>
    <n v="1"/>
    <n v="1"/>
    <n v="2000"/>
    <n v="200"/>
    <n v="0.77"/>
  </r>
  <r>
    <x v="16"/>
    <s v="EPD"/>
    <x v="2"/>
    <x v="2"/>
    <s v="Brick"/>
    <s v="Thermomur"/>
    <s v="Thermomur ICF Average (Brick Finish)"/>
    <x v="7"/>
    <s v="Planar"/>
    <s v="Issue"/>
    <s v="normalisation for this mortar EPD is estimated. Need the density of the mortar and the volume of the mortar in the wall"/>
    <s v="No"/>
    <s v="Tiger Mortar General Masonry"/>
    <x v="2"/>
    <x v="3"/>
    <s v="No"/>
    <s v="mortar used for brick"/>
    <s v="Brick, Cavity"/>
    <s v="No"/>
    <s v="Density of the mortar"/>
    <n v="0"/>
    <n v="4.1849999999999996"/>
    <n v="135"/>
    <s v="kg"/>
    <n v="1"/>
    <n v="1.2E-2"/>
    <n v="0.1"/>
    <n v="1.2000000000000001E-3"/>
    <n v="5"/>
    <n v="1.2E-2"/>
    <n v="2000"/>
    <n v="31"/>
    <n v="2"/>
  </r>
  <r>
    <x v="16"/>
    <s v="EPD"/>
    <x v="2"/>
    <x v="2"/>
    <s v="Brick"/>
    <s v="Thermomur"/>
    <s v="Thermomur ICF Average (Brick Finish)"/>
    <x v="7"/>
    <s v="Planar"/>
    <s v="Placeholder"/>
    <m/>
    <s v="No"/>
    <s v="Cavity"/>
    <x v="3"/>
    <x v="3"/>
    <s v="No"/>
    <s v="cavity for bricks"/>
    <s v="Mortar Brick"/>
    <s v="Yes"/>
    <s v="None"/>
    <n v="2"/>
    <n v="0"/>
    <n v="0"/>
    <s v="kg"/>
    <n v="1"/>
    <n v="1"/>
    <n v="0.1"/>
    <n v="0.1"/>
    <n v="1"/>
    <n v="1"/>
    <n v="1.2"/>
    <n v="0.12"/>
    <n v="2.5000000000000001E-2"/>
  </r>
  <r>
    <x v="16"/>
    <s v="EPD"/>
    <x v="2"/>
    <x v="2"/>
    <s v="Brick"/>
    <s v="Thermomur"/>
    <s v="Thermomur ICF Average (Brick Finish)"/>
    <x v="7"/>
    <s v="Planar"/>
    <s v="Placeholder"/>
    <m/>
    <s v="No"/>
    <s v="Plasterboard"/>
    <x v="1"/>
    <x v="4"/>
    <s v="No"/>
    <s v="Gypsum plasterboard"/>
    <s v="Battens/fastening, cavitty"/>
    <s v="Yes"/>
    <s v="None"/>
    <n v="6.5789473684210523E-2"/>
    <n v="1.839"/>
    <n v="0"/>
    <s v="kg"/>
    <n v="1"/>
    <n v="1"/>
    <n v="1.4999999999999999E-2"/>
    <n v="1.4999999999999999E-2"/>
    <n v="1"/>
    <n v="1"/>
    <n v="615"/>
    <n v="9.2249999999999996"/>
    <n v="0.19"/>
  </r>
  <r>
    <x v="16"/>
    <s v="EPD"/>
    <x v="2"/>
    <x v="2"/>
    <s v="Brick"/>
    <s v="Thermomur"/>
    <s v="Thermomur ICF Average (Brick Finish)"/>
    <x v="7"/>
    <s v="Planar"/>
    <s v="Placeholder"/>
    <m/>
    <s v="No"/>
    <s v="Battens"/>
    <x v="1"/>
    <x v="4"/>
    <s v="No"/>
    <s v="Battens"/>
    <s v="cavity, plasterboard"/>
    <s v="Yes"/>
    <s v="None"/>
    <n v="0"/>
    <n v="1"/>
    <n v="0"/>
    <s v="kg"/>
    <n v="1"/>
    <n v="1"/>
    <n v="1"/>
    <n v="1"/>
    <n v="1"/>
    <n v="1"/>
    <n v="0"/>
    <n v="0"/>
    <n v="0"/>
  </r>
  <r>
    <x v="16"/>
    <s v="EPD"/>
    <x v="2"/>
    <x v="2"/>
    <s v="Brick"/>
    <s v="Thermomur"/>
    <s v="Thermomur ICF Average (Brick Finish)"/>
    <x v="7"/>
    <s v="Planar"/>
    <s v="Placeholder"/>
    <m/>
    <s v="No"/>
    <s v="Cavity"/>
    <x v="3"/>
    <x v="4"/>
    <s v="No"/>
    <s v="battens cavity (50 mm)"/>
    <s v="battens and plasterboard"/>
    <s v="Yes"/>
    <s v="None"/>
    <n v="0.5"/>
    <n v="0"/>
    <n v="0"/>
    <s v="kg"/>
    <n v="1"/>
    <n v="1"/>
    <n v="0.05"/>
    <n v="0.05"/>
    <n v="1"/>
    <n v="1"/>
    <n v="1.2"/>
    <n v="0.06"/>
    <n v="2.5000000000000001E-2"/>
  </r>
  <r>
    <x v="16"/>
    <s v="EPD"/>
    <x v="2"/>
    <x v="2"/>
    <s v="Brick"/>
    <s v="Thermomur"/>
    <s v="Thermomur ICF Average (Brick Finish)"/>
    <x v="7"/>
    <s v="Planar"/>
    <s v="Placeholder"/>
    <s v="unsure which specific fasteners are used"/>
    <s v="No"/>
    <s v="General fastener placeholder"/>
    <x v="1"/>
    <x v="5"/>
    <s v="Yes"/>
    <s v="Screws, Nails, Fasteners"/>
    <m/>
    <s v="No"/>
    <s v="Which fasteners are needed"/>
    <n v="0"/>
    <n v="1"/>
    <n v="0"/>
    <m/>
    <n v="1"/>
    <n v="1"/>
    <n v="1"/>
    <n v="1"/>
    <n v="1"/>
    <n v="1"/>
    <n v="0"/>
    <n v="0.05"/>
    <n v="0"/>
  </r>
  <r>
    <x v="17"/>
    <s v="EPD"/>
    <x v="2"/>
    <x v="2"/>
    <s v="Brick"/>
    <s v="Amvic300"/>
    <s v="Amvic ICF 300 mm version (Brick Finish)"/>
    <x v="7"/>
    <s v="Planar"/>
    <s v="Unchecked"/>
    <m/>
    <s v="No"/>
    <s v="AMVIC EPS Insulating Concrete Formwork (300m)"/>
    <x v="4"/>
    <x v="1"/>
    <s v="Yes"/>
    <s v="EPS, plastic webs"/>
    <m/>
    <s v="Yes"/>
    <s v="None"/>
    <n v="5.0599999999999996"/>
    <n v="20.672000000000001"/>
    <n v="20.672000000000001"/>
    <s v="m^2"/>
    <m/>
    <m/>
    <m/>
    <n v="0"/>
    <m/>
    <m/>
    <m/>
    <n v="6.37"/>
    <m/>
  </r>
  <r>
    <x v="17"/>
    <s v="EPD"/>
    <x v="2"/>
    <x v="2"/>
    <s v="Brick"/>
    <s v="Amvic300"/>
    <s v="Amvic ICF 300 mm version (Brick Finish)"/>
    <x v="7"/>
    <s v="Planar"/>
    <s v="Unchecked"/>
    <m/>
    <s v="No"/>
    <s v="C28/35 Readymix Concrete (0% GGBS Cement Replacement)"/>
    <x v="2"/>
    <x v="0"/>
    <s v="No"/>
    <m/>
    <s v="reinforcement"/>
    <s v="Yes"/>
    <s v="None"/>
    <n v="0.17647058823529413"/>
    <n v="34.429499999999997"/>
    <n v="229.53"/>
    <s v="m^3"/>
    <n v="1"/>
    <n v="1"/>
    <n v="0.15"/>
    <n v="0.15"/>
    <m/>
    <m/>
    <n v="2412"/>
    <n v="361.8"/>
    <m/>
  </r>
  <r>
    <x v="17"/>
    <s v="EPD"/>
    <x v="2"/>
    <x v="2"/>
    <s v="Brick"/>
    <s v="Amvic300"/>
    <s v="Amvic ICF 300 mm version (Brick Finish)"/>
    <x v="7"/>
    <s v="Planar"/>
    <s v="Placeholder"/>
    <s v="assuming the same steel reinforcement as Model A"/>
    <s v="No"/>
    <s v="Steel rebar"/>
    <x v="0"/>
    <x v="0"/>
    <s v="No"/>
    <s v="rebar pieces to reinforce concrete "/>
    <s v="concrete"/>
    <s v="Yes"/>
    <s v="None"/>
    <n v="0"/>
    <n v="12.383402777777778"/>
    <n v="1.72"/>
    <s v="kg"/>
    <m/>
    <m/>
    <m/>
    <n v="0"/>
    <m/>
    <m/>
    <m/>
    <n v="0"/>
    <m/>
  </r>
  <r>
    <x v="17"/>
    <s v="EPD"/>
    <x v="2"/>
    <x v="2"/>
    <s v="Brick"/>
    <s v="Amvic300"/>
    <s v="Amvic ICF 300 mm version (Brick Finish)"/>
    <x v="7"/>
    <s v="Planar"/>
    <s v="Placeholder"/>
    <s v="Membrane from model A. Different membrane may be used"/>
    <s v="No"/>
    <s v="Tyvek Membrane"/>
    <x v="0"/>
    <x v="2"/>
    <s v="Yes"/>
    <s v="Breather Paper for moisture"/>
    <s v="None"/>
    <s v="Yes"/>
    <s v="None"/>
    <n v="1.5E-3"/>
    <n v="0.25229166666666669"/>
    <n v="4.2"/>
    <s v="kg"/>
    <m/>
    <m/>
    <m/>
    <n v="0"/>
    <m/>
    <m/>
    <m/>
    <n v="0"/>
    <m/>
  </r>
  <r>
    <x v="17"/>
    <s v="EPD"/>
    <x v="2"/>
    <x v="2"/>
    <s v="Brick"/>
    <s v="Amvic300"/>
    <s v="Amvic ICF 300 mm version (Brick Finish)"/>
    <x v="7"/>
    <s v="Planar"/>
    <s v="Placeholder"/>
    <m/>
    <s v="No"/>
    <s v="Brick"/>
    <x v="1"/>
    <x v="3"/>
    <s v="No"/>
    <s v="Brick blocks (100 mm)"/>
    <s v="Mortar, Cavity (for thermal calculation)"/>
    <s v="Yes"/>
    <s v="None"/>
    <n v="0.12987012987012989"/>
    <n v="42.199999999999996"/>
    <n v="0.21099999999999999"/>
    <s v="kg"/>
    <n v="1"/>
    <n v="1"/>
    <n v="0.1"/>
    <n v="0.1"/>
    <n v="1"/>
    <n v="1"/>
    <n v="2000"/>
    <n v="200"/>
    <n v="0.77"/>
  </r>
  <r>
    <x v="17"/>
    <s v="EPD"/>
    <x v="2"/>
    <x v="2"/>
    <s v="Brick"/>
    <s v="Amvic300"/>
    <s v="Amvic ICF 300 mm version (Brick Finish)"/>
    <x v="7"/>
    <s v="Planar"/>
    <s v="Issue"/>
    <s v="normalisation for this mortar EPD is estimated. Need the density of the mortar and the volume of the mortar in the wall"/>
    <s v="No"/>
    <s v="Tiger Mortar General Masonry"/>
    <x v="2"/>
    <x v="3"/>
    <s v="No"/>
    <s v="mortar used for brick"/>
    <s v="Brick, Cavity"/>
    <s v="No"/>
    <s v="Density of the mortar"/>
    <n v="0"/>
    <n v="4.1849999999999996"/>
    <n v="135"/>
    <s v="kg"/>
    <n v="1"/>
    <n v="1.2E-2"/>
    <n v="0.1"/>
    <n v="1.2000000000000001E-3"/>
    <n v="5"/>
    <n v="1.2E-2"/>
    <n v="2000"/>
    <n v="31"/>
    <n v="2"/>
  </r>
  <r>
    <x v="17"/>
    <s v="EPD"/>
    <x v="2"/>
    <x v="2"/>
    <s v="Brick"/>
    <s v="Amvic300"/>
    <s v="Amvic ICF 300 mm version (Brick Finish)"/>
    <x v="7"/>
    <s v="Planar"/>
    <s v="Placeholder"/>
    <m/>
    <s v="No"/>
    <s v="Cavity"/>
    <x v="3"/>
    <x v="3"/>
    <s v="No"/>
    <s v="cavity for bricks"/>
    <s v="Mortar Brick"/>
    <s v="Yes"/>
    <s v="None"/>
    <n v="2"/>
    <n v="0"/>
    <n v="0"/>
    <s v="kg"/>
    <n v="1"/>
    <n v="1"/>
    <n v="0.1"/>
    <n v="0.1"/>
    <n v="1"/>
    <n v="1"/>
    <n v="1.2"/>
    <n v="0.12"/>
    <n v="2.5000000000000001E-2"/>
  </r>
  <r>
    <x v="17"/>
    <s v="EPD"/>
    <x v="2"/>
    <x v="2"/>
    <s v="Brick"/>
    <s v="Amvic300"/>
    <s v="Amvic ICF 300 mm version (Brick Finish)"/>
    <x v="7"/>
    <s v="Planar"/>
    <s v="Placeholder"/>
    <m/>
    <s v="No"/>
    <s v="Plasterboard"/>
    <x v="1"/>
    <x v="4"/>
    <s v="No"/>
    <s v="Gypsum plasterboard"/>
    <s v="Battens/fastening, cavitty"/>
    <s v="Yes"/>
    <s v="None"/>
    <n v="6.5789473684210523E-2"/>
    <n v="1.839"/>
    <n v="0"/>
    <s v="kg"/>
    <n v="1"/>
    <n v="1"/>
    <n v="1.4999999999999999E-2"/>
    <n v="1.4999999999999999E-2"/>
    <n v="1"/>
    <n v="1"/>
    <n v="615"/>
    <n v="9.2249999999999996"/>
    <n v="0.19"/>
  </r>
  <r>
    <x v="17"/>
    <s v="EPD"/>
    <x v="2"/>
    <x v="2"/>
    <s v="Brick"/>
    <s v="Amvic300"/>
    <s v="Amvic ICF 300 mm version (Brick Finish)"/>
    <x v="7"/>
    <s v="Planar"/>
    <s v="Placeholder"/>
    <m/>
    <s v="No"/>
    <s v="Battens"/>
    <x v="1"/>
    <x v="4"/>
    <s v="No"/>
    <s v="Battens"/>
    <s v="cavity, plasterboard"/>
    <s v="Yes"/>
    <s v="None"/>
    <n v="0"/>
    <n v="1"/>
    <n v="0"/>
    <s v="kg"/>
    <n v="1"/>
    <n v="1"/>
    <n v="1"/>
    <n v="1"/>
    <n v="1"/>
    <n v="1"/>
    <n v="0"/>
    <n v="0"/>
    <n v="0"/>
  </r>
  <r>
    <x v="17"/>
    <s v="EPD"/>
    <x v="2"/>
    <x v="2"/>
    <s v="Brick"/>
    <s v="Amvic300"/>
    <s v="Amvic ICF 300 mm version (Brick Finish)"/>
    <x v="7"/>
    <s v="Planar"/>
    <s v="Placeholder"/>
    <m/>
    <s v="No"/>
    <s v="Cavity"/>
    <x v="3"/>
    <x v="4"/>
    <s v="No"/>
    <s v="battens cavity (50 mm)"/>
    <s v="battens and plasterboard"/>
    <s v="Yes"/>
    <s v="None"/>
    <n v="0.5"/>
    <n v="0"/>
    <n v="0"/>
    <s v="kg"/>
    <n v="1"/>
    <n v="1"/>
    <n v="0.05"/>
    <n v="0.05"/>
    <n v="1"/>
    <n v="1"/>
    <n v="1.2"/>
    <n v="0.06"/>
    <n v="2.5000000000000001E-2"/>
  </r>
  <r>
    <x v="17"/>
    <s v="EPD"/>
    <x v="2"/>
    <x v="2"/>
    <s v="Brick"/>
    <s v="Amvic300"/>
    <s v="Amvic ICF 300 mm version (Brick Finish)"/>
    <x v="7"/>
    <s v="Planar"/>
    <s v="Placeholder"/>
    <s v="unsure which specific fasteners are used"/>
    <s v="No"/>
    <s v="General fastener placeholder"/>
    <x v="1"/>
    <x v="5"/>
    <s v="Yes"/>
    <s v="Screws, Nails, Fasteners"/>
    <m/>
    <s v="No"/>
    <s v="Which fasteners are needed"/>
    <n v="0"/>
    <n v="1"/>
    <n v="0"/>
    <m/>
    <n v="1"/>
    <n v="1"/>
    <n v="1"/>
    <n v="1"/>
    <n v="1"/>
    <n v="1"/>
    <n v="0"/>
    <n v="0.05"/>
    <n v="0"/>
  </r>
  <r>
    <x v="18"/>
    <s v="EPD"/>
    <x v="2"/>
    <x v="2"/>
    <s v="Brick"/>
    <s v="Amvic350"/>
    <s v="Amvic ICF 350 mm version (Brick Finish)"/>
    <x v="7"/>
    <s v="Planar"/>
    <s v="Unchecked"/>
    <m/>
    <s v="No"/>
    <s v="AMVIC EPS Insulating Concrete Formwork (350m)"/>
    <x v="4"/>
    <x v="1"/>
    <s v="Yes"/>
    <s v="EPS, plastic webs"/>
    <m/>
    <s v="Yes"/>
    <s v="None"/>
    <n v="6.2"/>
    <n v="26.036999999999999"/>
    <n v="26.036999999999999"/>
    <s v="m^2"/>
    <m/>
    <m/>
    <m/>
    <n v="0"/>
    <m/>
    <m/>
    <m/>
    <n v="7.74"/>
    <m/>
  </r>
  <r>
    <x v="18"/>
    <s v="EPD"/>
    <x v="2"/>
    <x v="2"/>
    <s v="Brick"/>
    <s v="Amvic350"/>
    <s v="Amvic ICF 350 mm version (Brick Finish)"/>
    <x v="7"/>
    <s v="Planar"/>
    <s v="Unchecked"/>
    <m/>
    <s v="No"/>
    <s v="C28/35 Readymix Concrete (0% GGBS Cement Replacement)"/>
    <x v="2"/>
    <x v="0"/>
    <s v="No"/>
    <m/>
    <s v="reinforcement"/>
    <s v="Yes"/>
    <s v="None"/>
    <n v="0.17647058823529413"/>
    <n v="34.429499999999997"/>
    <n v="229.53"/>
    <s v="m^3"/>
    <n v="1"/>
    <n v="1"/>
    <n v="0.15"/>
    <n v="0.15"/>
    <m/>
    <m/>
    <n v="2412"/>
    <n v="361.8"/>
    <m/>
  </r>
  <r>
    <x v="18"/>
    <s v="EPD"/>
    <x v="2"/>
    <x v="2"/>
    <s v="Brick"/>
    <s v="Amvic350"/>
    <s v="Amvic ICF 350 mm version (Brick Finish)"/>
    <x v="7"/>
    <s v="Planar"/>
    <s v="Placeholder"/>
    <s v="assuming the same steel reinforcement as Model A"/>
    <s v="No"/>
    <s v="Steel rebar"/>
    <x v="0"/>
    <x v="0"/>
    <s v="No"/>
    <s v="rebar pieces to reinforce concrete "/>
    <s v="concrete"/>
    <s v="Yes"/>
    <s v="None"/>
    <n v="0"/>
    <n v="12.383402777777778"/>
    <n v="1.72"/>
    <s v="kg"/>
    <m/>
    <m/>
    <m/>
    <n v="0"/>
    <m/>
    <m/>
    <m/>
    <n v="0"/>
    <m/>
  </r>
  <r>
    <x v="18"/>
    <s v="EPD"/>
    <x v="2"/>
    <x v="2"/>
    <s v="Brick"/>
    <s v="Amvic350"/>
    <s v="Amvic ICF 350 mm version (Brick Finish)"/>
    <x v="7"/>
    <s v="Planar"/>
    <s v="Placeholder"/>
    <s v="Membrane from model A. Different membrane may be used"/>
    <s v="No"/>
    <s v="Tyvek Membrane"/>
    <x v="0"/>
    <x v="2"/>
    <s v="Yes"/>
    <s v="Breather Paper for moisture"/>
    <s v="None"/>
    <s v="Yes"/>
    <s v="None"/>
    <n v="1.5E-3"/>
    <n v="0.25229166666666669"/>
    <n v="4.2"/>
    <s v="kg"/>
    <m/>
    <m/>
    <m/>
    <n v="0"/>
    <m/>
    <m/>
    <m/>
    <n v="0"/>
    <m/>
  </r>
  <r>
    <x v="18"/>
    <s v="EPD"/>
    <x v="2"/>
    <x v="2"/>
    <s v="Brick"/>
    <s v="Amvic350"/>
    <s v="Amvic ICF 350 mm version (Brick Finish)"/>
    <x v="7"/>
    <s v="Planar"/>
    <s v="Placeholder"/>
    <m/>
    <s v="No"/>
    <s v="Brick"/>
    <x v="1"/>
    <x v="3"/>
    <s v="No"/>
    <s v="Brick blocks (100 mm)"/>
    <s v="Mortar, Cavity (for thermal calculation)"/>
    <s v="Yes"/>
    <s v="None"/>
    <n v="0.12987012987012989"/>
    <n v="42.199999999999996"/>
    <n v="0.21099999999999999"/>
    <s v="kg"/>
    <n v="1"/>
    <n v="1"/>
    <n v="0.1"/>
    <n v="0.1"/>
    <n v="1"/>
    <n v="1"/>
    <n v="2000"/>
    <n v="200"/>
    <n v="0.77"/>
  </r>
  <r>
    <x v="18"/>
    <s v="EPD"/>
    <x v="2"/>
    <x v="2"/>
    <s v="Brick"/>
    <s v="Amvic350"/>
    <s v="Amvic ICF 350 mm version (Brick Finish)"/>
    <x v="7"/>
    <s v="Planar"/>
    <s v="Issue"/>
    <s v="normalisation for this mortar EPD is estimated. Need the density of the mortar and the volume of the mortar in the wall"/>
    <s v="No"/>
    <s v="Tiger Mortar General Masonry"/>
    <x v="2"/>
    <x v="3"/>
    <s v="No"/>
    <s v="mortar used for brick"/>
    <s v="Brick, Cavity"/>
    <s v="No"/>
    <s v="Density of the mortar"/>
    <n v="0"/>
    <n v="4.1849999999999996"/>
    <n v="135"/>
    <s v="kg"/>
    <n v="1"/>
    <n v="1.2E-2"/>
    <n v="0.1"/>
    <n v="1.2000000000000001E-3"/>
    <n v="5"/>
    <n v="1.2E-2"/>
    <n v="2000"/>
    <n v="31"/>
    <n v="2"/>
  </r>
  <r>
    <x v="18"/>
    <s v="EPD"/>
    <x v="2"/>
    <x v="2"/>
    <s v="Brick"/>
    <s v="Amvic350"/>
    <s v="Amvic ICF 350 mm version (Brick Finish)"/>
    <x v="7"/>
    <s v="Planar"/>
    <s v="Placeholder"/>
    <m/>
    <s v="No"/>
    <s v="Cavity"/>
    <x v="3"/>
    <x v="3"/>
    <s v="No"/>
    <s v="cavity for bricks"/>
    <s v="Mortar Brick"/>
    <s v="Yes"/>
    <s v="None"/>
    <n v="2"/>
    <n v="0"/>
    <n v="0"/>
    <s v="kg"/>
    <n v="1"/>
    <n v="1"/>
    <n v="0.1"/>
    <n v="0.1"/>
    <n v="1"/>
    <n v="1"/>
    <n v="1.2"/>
    <n v="0.12"/>
    <n v="2.5000000000000001E-2"/>
  </r>
  <r>
    <x v="18"/>
    <s v="EPD"/>
    <x v="2"/>
    <x v="2"/>
    <s v="Brick"/>
    <s v="Amvic350"/>
    <s v="Amvic ICF 350 mm version (Brick Finish)"/>
    <x v="7"/>
    <s v="Planar"/>
    <s v="Placeholder"/>
    <m/>
    <s v="No"/>
    <s v="Plasterboard"/>
    <x v="1"/>
    <x v="4"/>
    <s v="No"/>
    <s v="Gypsum plasterboard"/>
    <s v="Battens/fastening, cavitty"/>
    <s v="Yes"/>
    <s v="None"/>
    <n v="6.5789473684210523E-2"/>
    <n v="1.839"/>
    <n v="0"/>
    <s v="kg"/>
    <n v="1"/>
    <n v="1"/>
    <n v="1.4999999999999999E-2"/>
    <n v="1.4999999999999999E-2"/>
    <n v="1"/>
    <n v="1"/>
    <n v="615"/>
    <n v="9.2249999999999996"/>
    <n v="0.19"/>
  </r>
  <r>
    <x v="18"/>
    <s v="EPD"/>
    <x v="2"/>
    <x v="2"/>
    <s v="Brick"/>
    <s v="Amvic350"/>
    <s v="Amvic ICF 350 mm version (Brick Finish)"/>
    <x v="7"/>
    <s v="Planar"/>
    <s v="Placeholder"/>
    <m/>
    <s v="No"/>
    <s v="Battens"/>
    <x v="1"/>
    <x v="4"/>
    <s v="No"/>
    <s v="Battens"/>
    <s v="cavity, plasterboard"/>
    <s v="Yes"/>
    <s v="None"/>
    <n v="0"/>
    <n v="1"/>
    <n v="0"/>
    <s v="kg"/>
    <n v="1"/>
    <n v="1"/>
    <n v="1"/>
    <n v="1"/>
    <n v="1"/>
    <n v="1"/>
    <n v="0"/>
    <n v="0"/>
    <n v="0"/>
  </r>
  <r>
    <x v="18"/>
    <s v="EPD"/>
    <x v="2"/>
    <x v="2"/>
    <s v="Brick"/>
    <s v="Amvic350"/>
    <s v="Amvic ICF 350 mm version (Brick Finish)"/>
    <x v="7"/>
    <s v="Planar"/>
    <s v="Placeholder"/>
    <m/>
    <s v="No"/>
    <s v="Cavity"/>
    <x v="3"/>
    <x v="4"/>
    <s v="No"/>
    <s v="battens cavity (50 mm)"/>
    <s v="battens and plasterboard"/>
    <s v="Yes"/>
    <s v="None"/>
    <n v="0.5"/>
    <n v="0"/>
    <n v="0"/>
    <s v="kg"/>
    <n v="1"/>
    <n v="1"/>
    <n v="0.05"/>
    <n v="0.05"/>
    <n v="1"/>
    <n v="1"/>
    <n v="1.2"/>
    <n v="0.06"/>
    <n v="2.5000000000000001E-2"/>
  </r>
  <r>
    <x v="18"/>
    <s v="EPD"/>
    <x v="2"/>
    <x v="2"/>
    <s v="Brick"/>
    <s v="Amvic350"/>
    <s v="Amvic ICF 350 mm version (Brick Finish)"/>
    <x v="7"/>
    <s v="Planar"/>
    <s v="Placeholder"/>
    <s v="unsure which specific fasteners are used"/>
    <s v="No"/>
    <s v="General fastener placeholder"/>
    <x v="1"/>
    <x v="5"/>
    <s v="Yes"/>
    <s v="Screws, Nails, Fasteners"/>
    <m/>
    <s v="No"/>
    <s v="Which fasteners are needed"/>
    <n v="0"/>
    <n v="1"/>
    <n v="0"/>
    <m/>
    <n v="1"/>
    <n v="1"/>
    <n v="1"/>
    <n v="1"/>
    <n v="1"/>
    <n v="1"/>
    <n v="0"/>
    <n v="0.05"/>
    <n v="0"/>
  </r>
  <r>
    <x v="19"/>
    <s v="LCA"/>
    <x v="1"/>
    <x v="4"/>
    <s v="Brick"/>
    <s v="A"/>
    <s v="LCA Model A for Closed Timber Panel"/>
    <x v="3"/>
    <s v="Framed"/>
    <s v="Incomplete"/>
    <s v="Need proper value added for battens"/>
    <s v="No"/>
    <s v="Pre-insulated panel"/>
    <x v="0"/>
    <x v="7"/>
    <s v="Yes"/>
    <s v="Wall studs, top &amp; bottom plate, noggin, PIR and mineral wool, tyvek membrane,2x OSB sheathing, battens"/>
    <m/>
    <s v="Yes"/>
    <s v="None"/>
    <n v="5.1371983294483297"/>
    <n v="25.485526875000001"/>
    <m/>
    <m/>
    <b v="0"/>
    <b v="0"/>
    <b v="0"/>
    <b v="0"/>
    <b v="0"/>
    <b v="0"/>
    <b v="0"/>
    <n v="32.143472222222222"/>
    <b v="0"/>
  </r>
  <r>
    <x v="19"/>
    <s v="LCA"/>
    <x v="1"/>
    <x v="4"/>
    <s v="Brick"/>
    <s v="A"/>
    <s v="LCA Model A for Closed Timber Panel"/>
    <x v="3"/>
    <s v="Framed"/>
    <s v="Placeholder"/>
    <m/>
    <s v="No"/>
    <s v="Brick"/>
    <x v="1"/>
    <x v="3"/>
    <s v="No"/>
    <s v="Brick blocks (100 mm)"/>
    <s v="Mortar, Cavity (for thermal calculation)"/>
    <s v="Yes"/>
    <s v="None"/>
    <n v="0.12987012987012989"/>
    <n v="42.199999999999996"/>
    <n v="0.21099999999999999"/>
    <s v="kg"/>
    <n v="1"/>
    <n v="1"/>
    <n v="0.1"/>
    <n v="0.1"/>
    <n v="1"/>
    <n v="1"/>
    <n v="2000"/>
    <n v="200"/>
    <n v="0.77"/>
  </r>
  <r>
    <x v="19"/>
    <s v="LCA"/>
    <x v="1"/>
    <x v="4"/>
    <s v="Brick"/>
    <s v="A"/>
    <s v="LCA Model A for Closed Timber Panel"/>
    <x v="2"/>
    <s v="Framed"/>
    <s v="Issue"/>
    <s v="normalisation for this mortar EPD is estimated. Need the density of the mortar and the volume of the mortar in the wall"/>
    <s v="No"/>
    <s v="Tiger Mortar General Masonry"/>
    <x v="2"/>
    <x v="3"/>
    <s v="No"/>
    <s v="mortar used for brick"/>
    <s v="Brick, Cavity"/>
    <s v="No"/>
    <s v="Density of the mortar"/>
    <n v="0"/>
    <n v="4.1849999999999996"/>
    <n v="135"/>
    <s v="kg"/>
    <n v="1"/>
    <n v="1.2E-2"/>
    <n v="0.1"/>
    <n v="1.2000000000000001E-3"/>
    <n v="5"/>
    <n v="1.2E-2"/>
    <n v="2000"/>
    <n v="31"/>
    <n v="2"/>
  </r>
  <r>
    <x v="19"/>
    <s v="LCA"/>
    <x v="1"/>
    <x v="4"/>
    <s v="Brick"/>
    <s v="A"/>
    <s v="LCA Model A for Closed Timber Panel"/>
    <x v="2"/>
    <s v="Framed"/>
    <s v="Placeholder"/>
    <m/>
    <s v="No"/>
    <s v="Cavity"/>
    <x v="3"/>
    <x v="3"/>
    <s v="No"/>
    <s v="cavity for bricks"/>
    <s v="Mortar Brick"/>
    <s v="Yes"/>
    <s v="None"/>
    <n v="2"/>
    <n v="0"/>
    <n v="0"/>
    <s v="kg"/>
    <n v="1"/>
    <n v="1"/>
    <n v="0.1"/>
    <n v="0.1"/>
    <n v="1"/>
    <n v="1"/>
    <n v="1.2"/>
    <n v="0.12"/>
    <n v="2.5000000000000001E-2"/>
  </r>
  <r>
    <x v="19"/>
    <s v="LCA"/>
    <x v="1"/>
    <x v="4"/>
    <s v="Brick"/>
    <s v="A"/>
    <s v="LCA Model A for Closed Timber Panel"/>
    <x v="2"/>
    <s v="Framed"/>
    <s v="Placeholder"/>
    <m/>
    <s v="No"/>
    <s v="Plasterboard"/>
    <x v="1"/>
    <x v="4"/>
    <s v="No"/>
    <s v="Gypsum plasterboard"/>
    <s v="Battens/fastening, cavitty"/>
    <s v="Yes"/>
    <s v="None"/>
    <n v="6.5789473684210523E-2"/>
    <n v="1.839"/>
    <n v="0"/>
    <s v="kg"/>
    <n v="1"/>
    <n v="1"/>
    <n v="1.4999999999999999E-2"/>
    <n v="1.4999999999999999E-2"/>
    <n v="1"/>
    <n v="1"/>
    <n v="615"/>
    <n v="9.2249999999999996"/>
    <n v="0.19"/>
  </r>
  <r>
    <x v="19"/>
    <s v="LCA"/>
    <x v="1"/>
    <x v="4"/>
    <s v="Brick"/>
    <s v="A"/>
    <s v="LCA Model A for Closed Timber Panel"/>
    <x v="2"/>
    <s v="Framed"/>
    <s v="Placeholder"/>
    <m/>
    <s v="No"/>
    <s v="Cavity"/>
    <x v="3"/>
    <x v="4"/>
    <s v="No"/>
    <s v="battens cavity (50 mm)"/>
    <s v="battens and plasterboard"/>
    <s v="Yes"/>
    <s v="None"/>
    <n v="0.5"/>
    <n v="0"/>
    <n v="0"/>
    <s v="kg"/>
    <n v="1"/>
    <n v="1"/>
    <n v="0.05"/>
    <n v="0.05"/>
    <n v="1"/>
    <n v="1"/>
    <n v="1.2"/>
    <n v="0.06"/>
    <n v="2.5000000000000001E-2"/>
  </r>
  <r>
    <x v="19"/>
    <s v="LCA"/>
    <x v="1"/>
    <x v="4"/>
    <s v="Brick"/>
    <s v="A"/>
    <s v="LCA Model A for Closed Timber Panel"/>
    <x v="2"/>
    <s v="Framed"/>
    <s v="Placeholder"/>
    <s v="unsure which specific fasteners are used"/>
    <s v="No"/>
    <s v="General fastener placeholder"/>
    <x v="1"/>
    <x v="5"/>
    <s v="Yes"/>
    <s v="Screws, Nails, Fasteners"/>
    <m/>
    <s v="No"/>
    <s v="Which fasteners are needed"/>
    <n v="0"/>
    <n v="1"/>
    <n v="0"/>
    <m/>
    <n v="1"/>
    <n v="1"/>
    <n v="1"/>
    <n v="1"/>
    <n v="1"/>
    <n v="1"/>
    <n v="0"/>
    <n v="0.05"/>
    <n v="0"/>
  </r>
  <r>
    <x v="20"/>
    <s v="EPD"/>
    <x v="1"/>
    <x v="4"/>
    <s v="Brick"/>
    <s v="Donaldson Solid"/>
    <s v="Donaldson Sigma II Solid Stud Closed Panel EPD (Brick finish)"/>
    <x v="13"/>
    <s v="Framed"/>
    <s v="Incomplete"/>
    <s v="Two thicknesses available for solid studs. One does not meet U value target (I believe provided numbers include external finish). EPD does not clarify which thickness is used/whether averaging is used"/>
    <s v="No"/>
    <s v="SIGMA II - Solid Stud Closed Panel"/>
    <x v="4"/>
    <x v="7"/>
    <s v="Yes"/>
    <s v="Studs, top and bottom plate, noggin, OSB sheathing, unknown insulation"/>
    <m/>
    <s v="Partial"/>
    <s v="R value"/>
    <n v="5"/>
    <n v="21.7"/>
    <n v="21.7"/>
    <s v="m^2"/>
    <b v="0"/>
    <b v="0"/>
    <b v="0"/>
    <b v="0"/>
    <b v="0"/>
    <b v="0"/>
    <b v="0"/>
    <n v="23.75"/>
    <b v="0"/>
  </r>
  <r>
    <x v="20"/>
    <s v="EPD"/>
    <x v="1"/>
    <x v="4"/>
    <s v="Brick"/>
    <s v="Donaldson Solid"/>
    <s v="Donaldson Sigma II Solid Stud Closed Panel EPD (Brick finish)"/>
    <x v="5"/>
    <s v="Framed"/>
    <s v="Issue"/>
    <s v="Kingscourt brick does not report fossil GWP, only total GWP"/>
    <s v="No"/>
    <s v="Kingscourt Brick (Total GWP)"/>
    <x v="2"/>
    <x v="3"/>
    <s v="No"/>
    <s v="Clay brick for external finish"/>
    <s v="Mortar, Cavity (for thermal calculation)"/>
    <s v="Yes"/>
    <s v="None"/>
    <n v="0.16269841269841268"/>
    <n v="42.616724999999995"/>
    <n v="211"/>
    <s v="ton"/>
    <n v="1"/>
    <n v="1"/>
    <n v="0.10249999999999999"/>
    <n v="0.10249999999999999"/>
    <n v="1"/>
    <n v="1"/>
    <n v="1970"/>
    <n v="201.92499999999998"/>
    <n v="0.63"/>
  </r>
  <r>
    <x v="20"/>
    <s v="EPD"/>
    <x v="1"/>
    <x v="4"/>
    <s v="Brick"/>
    <s v="Donaldson Solid"/>
    <s v="Donaldson Sigma II Solid Stud Closed Panel EPD (Brick finish)"/>
    <x v="5"/>
    <s v="Framed"/>
    <s v="Issue"/>
    <s v="normalisation for this mortar EPD is estimated. Need the density of the mortar and the volume of the mortar in the wall"/>
    <s v="No"/>
    <s v="Tiger Mortar General Masonry"/>
    <x v="2"/>
    <x v="3"/>
    <s v="No"/>
    <s v="mortar used for brick"/>
    <s v="Brick, Cavity"/>
    <s v="No"/>
    <s v="Density of the mortar"/>
    <n v="0"/>
    <n v="4.1849999999999996"/>
    <n v="135"/>
    <s v="kg"/>
    <n v="1"/>
    <n v="1.2E-2"/>
    <n v="0.1"/>
    <n v="1.2000000000000001E-3"/>
    <n v="5"/>
    <n v="1.2E-2"/>
    <n v="2000"/>
    <n v="31"/>
    <n v="2"/>
  </r>
  <r>
    <x v="20"/>
    <s v="EPD"/>
    <x v="1"/>
    <x v="4"/>
    <s v="Brick"/>
    <s v="Donaldson Solid"/>
    <s v="Donaldson Sigma II Solid Stud Closed Panel EPD (Brick finish)"/>
    <x v="5"/>
    <s v="Framed"/>
    <s v="Placeholder"/>
    <m/>
    <s v="No"/>
    <s v="Cavity"/>
    <x v="3"/>
    <x v="3"/>
    <s v="No"/>
    <s v="cavity for bricks"/>
    <s v="Mortar Brick"/>
    <s v="Yes"/>
    <s v="None"/>
    <n v="2"/>
    <n v="0"/>
    <n v="0"/>
    <s v="kg"/>
    <n v="1"/>
    <n v="1"/>
    <n v="0.1"/>
    <n v="0.1"/>
    <n v="1"/>
    <n v="1"/>
    <n v="1.2"/>
    <n v="0.12"/>
    <n v="2.5000000000000001E-2"/>
  </r>
  <r>
    <x v="20"/>
    <s v="EPD"/>
    <x v="1"/>
    <x v="4"/>
    <s v="Brick"/>
    <s v="Donaldson Solid"/>
    <s v="Donaldson Sigma II Solid Stud Closed Panel EPD (Brick finish)"/>
    <x v="5"/>
    <s v="Framed"/>
    <s v="Placeholder"/>
    <m/>
    <s v="No"/>
    <s v="Plasterboard"/>
    <x v="1"/>
    <x v="4"/>
    <s v="No"/>
    <s v="Gypsum plasterboard"/>
    <s v="Battens/fastening, cavitty"/>
    <s v="Yes"/>
    <s v="None"/>
    <n v="6.5789473684210523E-2"/>
    <n v="1.839"/>
    <n v="0"/>
    <s v="kg"/>
    <n v="1"/>
    <n v="1"/>
    <n v="1.4999999999999999E-2"/>
    <n v="1.4999999999999999E-2"/>
    <n v="1"/>
    <n v="1"/>
    <n v="615"/>
    <n v="9.2249999999999996"/>
    <n v="0.19"/>
  </r>
  <r>
    <x v="20"/>
    <s v="EPD"/>
    <x v="1"/>
    <x v="4"/>
    <s v="Brick"/>
    <s v="Donaldson Solid"/>
    <s v="Donaldson Sigma II Solid Stud Closed Panel EPD (Brick finish)"/>
    <x v="5"/>
    <s v="Framed"/>
    <s v="Placeholder"/>
    <m/>
    <s v="No"/>
    <s v="Cavity"/>
    <x v="3"/>
    <x v="4"/>
    <s v="No"/>
    <s v="battens cavity (50 mm)"/>
    <s v="battens and plasterboard"/>
    <s v="Yes"/>
    <s v="None"/>
    <n v="0.5"/>
    <n v="0"/>
    <n v="0"/>
    <s v="kg"/>
    <n v="1"/>
    <n v="1"/>
    <n v="0.05"/>
    <n v="0.05"/>
    <n v="1"/>
    <n v="1"/>
    <n v="1.2"/>
    <n v="0.06"/>
    <n v="2.5000000000000001E-2"/>
  </r>
  <r>
    <x v="20"/>
    <s v="EPD"/>
    <x v="1"/>
    <x v="4"/>
    <s v="Brick"/>
    <s v="Donaldson Solid"/>
    <s v="Donaldson Sigma II Solid Stud Closed Panel EPD (Brick finish)"/>
    <x v="5"/>
    <s v="Framed"/>
    <s v="Placeholder"/>
    <s v="unsure which specific fasteners are used"/>
    <s v="No"/>
    <s v="General fastener placeholder"/>
    <x v="1"/>
    <x v="5"/>
    <s v="Yes"/>
    <s v="Screws, Nails, Fasteners"/>
    <m/>
    <s v="No"/>
    <s v="Which fasteners are needed"/>
    <n v="0"/>
    <n v="1"/>
    <n v="0"/>
    <m/>
    <n v="1"/>
    <n v="1"/>
    <n v="1"/>
    <n v="1"/>
    <n v="1"/>
    <n v="1"/>
    <n v="0"/>
    <n v="0.05"/>
    <n v="0"/>
  </r>
  <r>
    <x v="21"/>
    <s v="EPD"/>
    <x v="1"/>
    <x v="4"/>
    <s v="Brick"/>
    <s v="Donaldson C Stud"/>
    <s v="Donaldson Sigma II C Stud Closed Panel EPD (Brick finish)"/>
    <x v="14"/>
    <s v="Framed"/>
    <s v="Incomplete"/>
    <s v="Two thicknesses available for C studs. One does not meet U value target (I believe provided numbers include external finish). EPD does not clarify which thickness is used/whether averaging is used"/>
    <s v="No"/>
    <s v="SIGMA II C Studs Closed Panel"/>
    <x v="4"/>
    <x v="7"/>
    <s v="Yes"/>
    <s v="Studs, top and bottom plate, noggin, OSB sheathing, unknown insulation"/>
    <m/>
    <s v="Partial"/>
    <s v="R value"/>
    <n v="5"/>
    <n v="27.8"/>
    <n v="27.8"/>
    <s v="m^2"/>
    <b v="0"/>
    <b v="0"/>
    <b v="0"/>
    <b v="0"/>
    <b v="0"/>
    <b v="0"/>
    <b v="0"/>
    <n v="31.66"/>
    <b v="0"/>
  </r>
  <r>
    <x v="21"/>
    <s v="EPD"/>
    <x v="1"/>
    <x v="4"/>
    <s v="Brick"/>
    <s v="Donaldson C Stud"/>
    <s v="Donaldson Sigma II C Stud Closed Panel EPD (Brick finish)"/>
    <x v="14"/>
    <s v="Framed"/>
    <s v="Issue"/>
    <s v="Kingscourt brick does not report fossil GWP, only total GWP"/>
    <s v="No"/>
    <s v="Kingscourt Brick (Total GWP)"/>
    <x v="2"/>
    <x v="3"/>
    <s v="No"/>
    <s v="Clay brick for external finish"/>
    <s v="Mortar, Cavity (for thermal calculation)"/>
    <s v="Yes"/>
    <s v="None"/>
    <n v="0.16269841269841268"/>
    <n v="42.616724999999995"/>
    <n v="211"/>
    <s v="ton"/>
    <n v="1"/>
    <n v="1"/>
    <n v="0.10249999999999999"/>
    <n v="0.10249999999999999"/>
    <n v="1"/>
    <n v="1"/>
    <n v="1970"/>
    <n v="201.92499999999998"/>
    <n v="0.63"/>
  </r>
  <r>
    <x v="21"/>
    <s v="EPD"/>
    <x v="1"/>
    <x v="4"/>
    <s v="Brick"/>
    <s v="Donaldson C Stud"/>
    <s v="Donaldson Sigma II C Stud Closed Panel EPD (Brick finish)"/>
    <x v="14"/>
    <s v="Framed"/>
    <s v="Issue"/>
    <s v="normalisation for this mortar EPD is estimated. Need the density of the mortar and the volume of the mortar in the wall"/>
    <s v="No"/>
    <s v="Tiger Mortar General Masonry"/>
    <x v="2"/>
    <x v="3"/>
    <s v="No"/>
    <s v="mortar used for brick"/>
    <s v="Brick, Cavity"/>
    <s v="No"/>
    <s v="Density of the mortar"/>
    <n v="0"/>
    <n v="4.1849999999999996"/>
    <n v="135"/>
    <s v="kg"/>
    <n v="1"/>
    <n v="1.2E-2"/>
    <n v="0.1"/>
    <n v="1.2000000000000001E-3"/>
    <n v="5"/>
    <n v="1.2E-2"/>
    <n v="2000"/>
    <n v="31"/>
    <n v="2"/>
  </r>
  <r>
    <x v="21"/>
    <s v="EPD"/>
    <x v="1"/>
    <x v="4"/>
    <s v="Brick"/>
    <s v="Donaldson C Stud"/>
    <s v="Donaldson Sigma II C Stud Closed Panel EPD (Brick finish)"/>
    <x v="14"/>
    <s v="Framed"/>
    <s v="Placeholder"/>
    <m/>
    <s v="No"/>
    <s v="Cavity"/>
    <x v="3"/>
    <x v="3"/>
    <s v="No"/>
    <s v="cavity for bricks"/>
    <s v="Mortar Brick"/>
    <s v="Yes"/>
    <s v="None"/>
    <n v="2"/>
    <n v="0"/>
    <n v="0"/>
    <s v="kg"/>
    <n v="1"/>
    <n v="1"/>
    <n v="0.1"/>
    <n v="0.1"/>
    <n v="1"/>
    <n v="1"/>
    <n v="1.2"/>
    <n v="0.12"/>
    <n v="2.5000000000000001E-2"/>
  </r>
  <r>
    <x v="21"/>
    <s v="EPD"/>
    <x v="1"/>
    <x v="4"/>
    <s v="Brick"/>
    <s v="Donaldson C Stud"/>
    <s v="Donaldson Sigma II C Stud Closed Panel EPD (Brick finish)"/>
    <x v="14"/>
    <s v="Framed"/>
    <s v="Placeholder"/>
    <m/>
    <s v="No"/>
    <s v="Plasterboard"/>
    <x v="1"/>
    <x v="4"/>
    <s v="No"/>
    <s v="Gypsum plasterboard"/>
    <s v="Battens/fastening, cavitty"/>
    <s v="Yes"/>
    <s v="None"/>
    <n v="6.5789473684210523E-2"/>
    <n v="1.839"/>
    <n v="0"/>
    <s v="kg"/>
    <n v="1"/>
    <n v="1"/>
    <n v="1.4999999999999999E-2"/>
    <n v="1.4999999999999999E-2"/>
    <n v="1"/>
    <n v="1"/>
    <n v="615"/>
    <n v="9.2249999999999996"/>
    <n v="0.19"/>
  </r>
  <r>
    <x v="21"/>
    <s v="EPD"/>
    <x v="1"/>
    <x v="4"/>
    <s v="Brick"/>
    <s v="Donaldson C Stud"/>
    <s v="Donaldson Sigma II C Stud Closed Panel EPD (Brick finish)"/>
    <x v="14"/>
    <s v="Framed"/>
    <s v="Placeholder"/>
    <m/>
    <s v="No"/>
    <s v="Cavity"/>
    <x v="3"/>
    <x v="4"/>
    <s v="No"/>
    <s v="battens cavity (50 mm)"/>
    <s v="battens and plasterboard"/>
    <s v="Yes"/>
    <s v="None"/>
    <n v="0.5"/>
    <n v="0"/>
    <n v="0"/>
    <s v="kg"/>
    <n v="1"/>
    <n v="1"/>
    <n v="0.05"/>
    <n v="0.05"/>
    <n v="1"/>
    <n v="1"/>
    <n v="1.2"/>
    <n v="0.06"/>
    <n v="2.5000000000000001E-2"/>
  </r>
  <r>
    <x v="21"/>
    <s v="EPD"/>
    <x v="1"/>
    <x v="4"/>
    <s v="Brick"/>
    <s v="Donaldson C Stud"/>
    <s v="Donaldson Sigma II C Stud Closed Panel EPD (Brick finish)"/>
    <x v="14"/>
    <s v="Framed"/>
    <s v="Placeholder"/>
    <s v="unsure which specific fasteners are used"/>
    <s v="No"/>
    <s v="General fastener placeholder"/>
    <x v="1"/>
    <x v="5"/>
    <s v="Yes"/>
    <s v="Screws, Nails, Fasteners"/>
    <m/>
    <s v="No"/>
    <s v="Which fasteners are needed"/>
    <n v="0"/>
    <n v="1"/>
    <n v="0"/>
    <m/>
    <n v="1"/>
    <n v="1"/>
    <n v="1"/>
    <n v="1"/>
    <n v="1"/>
    <n v="1"/>
    <n v="0"/>
    <n v="0.05"/>
    <n v="0"/>
  </r>
  <r>
    <x v="22"/>
    <s v="EPD"/>
    <x v="1"/>
    <x v="4"/>
    <s v="Timber"/>
    <s v="SkadoMedis"/>
    <s v="SkadoMedis Prefab Timber Element (built in timber cladding)"/>
    <x v="15"/>
    <s v="Framed"/>
    <s v="Unchecked"/>
    <m/>
    <s v="No"/>
    <s v="Prefab timber frame element"/>
    <x v="4"/>
    <x v="9"/>
    <s v="Yes"/>
    <s v="External timber cladding (spruce)_x000a_• Paint and primer (water and acrylate-based topcoat)_x000a_• Battening (softwood)_x000a_• Windproof membranes (HDPE)_x000a_• Gypsum boards_x000a_• Studs (structural graded timber)_x000a_• Mineral wool_x000a_• Water vapor control layers (PE)_x000a_• Particleboard_x000a_• Fastening materials (nails, screws, tapes, nets, and mesh)"/>
    <m/>
    <s v="Partial"/>
    <s v="R value"/>
    <n v="5.5555555555555554"/>
    <n v="24.7"/>
    <n v="24.7"/>
    <s v="m^2"/>
    <b v="0"/>
    <b v="0"/>
    <b v="0"/>
    <b v="0"/>
    <b v="0"/>
    <b v="0"/>
    <b v="0"/>
    <n v="45.2"/>
    <b v="0"/>
  </r>
  <r>
    <x v="23"/>
    <s v="EPD"/>
    <x v="3"/>
    <x v="3"/>
    <s v="Brick"/>
    <s v="Aircrete High Ten"/>
    <s v="Aircrete High Ten  Concrete masonry EPD (brick finish)"/>
    <x v="8"/>
    <s v="Planar"/>
    <s v="Unchecked"/>
    <s v="Unsure if 215 mm is proper thickness or if they are using the 100 mm side + other construction pieces"/>
    <s v="No"/>
    <s v="Mannok Aircrete block High Ten"/>
    <x v="4"/>
    <x v="0"/>
    <s v="No"/>
    <s v="Thermal Concrete block"/>
    <s v="Concrete mortar"/>
    <s v="Yes"/>
    <s v="None"/>
    <n v="1.02"/>
    <n v="49.964215500000002"/>
    <n v="279.99"/>
    <s v="tonne"/>
    <n v="1"/>
    <n v="1"/>
    <n v="0.215"/>
    <n v="0.215"/>
    <m/>
    <m/>
    <n v="830"/>
    <n v="178.45"/>
    <m/>
  </r>
  <r>
    <x v="23"/>
    <s v="EPD"/>
    <x v="3"/>
    <x v="3"/>
    <s v="Brick"/>
    <s v="Aircrete High Ten"/>
    <s v="Aircrete High Ten  Concrete masonry EPD (brick finish)"/>
    <x v="8"/>
    <s v="Planar"/>
    <s v="Placeholder"/>
    <s v="Plasterboard may be unnecessary for concrete block walls"/>
    <s v="No"/>
    <s v="Plasterboard"/>
    <x v="1"/>
    <x v="4"/>
    <s v="No"/>
    <s v="Gypsum plasterboard"/>
    <s v="Battens/fastening, cavitty"/>
    <s v="Yes"/>
    <s v="None"/>
    <n v="6.5789473684210523E-2"/>
    <n v="1.839"/>
    <n v="0"/>
    <s v="kg"/>
    <n v="1"/>
    <n v="1"/>
    <n v="1.4999999999999999E-2"/>
    <n v="1.4999999999999999E-2"/>
    <n v="1"/>
    <n v="1"/>
    <n v="615"/>
    <n v="9.2249999999999996"/>
    <n v="0.19"/>
  </r>
  <r>
    <x v="23"/>
    <s v="EPD"/>
    <x v="3"/>
    <x v="3"/>
    <s v="Brick"/>
    <s v="Aircrete High Ten"/>
    <s v="Aircrete High Ten  Concrete masonry EPD (brick finish)"/>
    <x v="8"/>
    <s v="Planar"/>
    <s v="Placeholder"/>
    <m/>
    <s v="No"/>
    <s v="Battens"/>
    <x v="1"/>
    <x v="4"/>
    <s v="No"/>
    <s v="Battens"/>
    <s v="cavity, plasterboard"/>
    <s v="Yes"/>
    <s v="None"/>
    <n v="0"/>
    <n v="1"/>
    <n v="0"/>
    <s v="kg"/>
    <n v="1"/>
    <n v="1"/>
    <n v="1"/>
    <n v="1"/>
    <n v="1"/>
    <n v="1"/>
    <n v="0"/>
    <n v="0"/>
    <n v="0"/>
  </r>
  <r>
    <x v="23"/>
    <s v="EPD"/>
    <x v="3"/>
    <x v="3"/>
    <s v="Brick"/>
    <s v="Aircrete High Ten"/>
    <s v="Aircrete High Ten  Concrete masonry EPD (brick finish)"/>
    <x v="8"/>
    <s v="Planar"/>
    <s v="Placeholder"/>
    <m/>
    <s v="No"/>
    <s v="Cavity"/>
    <x v="3"/>
    <x v="4"/>
    <s v="No"/>
    <s v="battens cavity (50 mm)"/>
    <s v="battens and plasterboard"/>
    <s v="Yes"/>
    <s v="None"/>
    <n v="0.5"/>
    <n v="0"/>
    <n v="0"/>
    <s v="kg"/>
    <n v="1"/>
    <n v="1"/>
    <n v="0.05"/>
    <n v="0.05"/>
    <n v="1"/>
    <n v="1"/>
    <n v="1.2"/>
    <n v="0.06"/>
    <n v="2.5000000000000001E-2"/>
  </r>
  <r>
    <x v="23"/>
    <s v="EPD"/>
    <x v="3"/>
    <x v="3"/>
    <s v="Brick"/>
    <s v="Aircrete High Ten"/>
    <s v="Aircrete High Ten  Concrete masonry EPD (brick finish)"/>
    <x v="8"/>
    <s v="Planar"/>
    <s v="Placeholder"/>
    <s v="Exterior cladding might be a second concrete block layer instead of clay brick"/>
    <s v="No"/>
    <s v="Brick"/>
    <x v="1"/>
    <x v="3"/>
    <s v="No"/>
    <s v="Brick blocks (100 mm)"/>
    <s v="Mortar, Cavity (for thermal calculation)"/>
    <s v="Yes"/>
    <s v="None"/>
    <n v="0.12987012987012989"/>
    <n v="42.199999999999996"/>
    <n v="0.21099999999999999"/>
    <s v="kg"/>
    <n v="1"/>
    <n v="1"/>
    <n v="0.1"/>
    <n v="0.1"/>
    <n v="1"/>
    <n v="1"/>
    <n v="2000"/>
    <n v="200"/>
    <n v="0.77"/>
  </r>
  <r>
    <x v="23"/>
    <s v="EPD"/>
    <x v="3"/>
    <x v="3"/>
    <s v="Brick"/>
    <s v="Aircrete High Ten"/>
    <s v="Aircrete High Ten  Concrete masonry EPD (brick finish)"/>
    <x v="8"/>
    <s v="Planar"/>
    <s v="Issue"/>
    <s v="normalisation for this mortar EPD is estimated. Need the density of the mortar and the volume of the mortar in the wall"/>
    <s v="No"/>
    <s v="Tiger Mortar General Masonry"/>
    <x v="2"/>
    <x v="3"/>
    <s v="No"/>
    <s v="mortar used for brick"/>
    <s v="Brick, Cavity"/>
    <s v="No"/>
    <s v="Density of the mortar"/>
    <n v="0"/>
    <n v="4.1849999999999996"/>
    <n v="135"/>
    <s v="kg"/>
    <n v="1"/>
    <n v="1.2E-2"/>
    <n v="0.1"/>
    <n v="1.2000000000000001E-3"/>
    <n v="5"/>
    <n v="1.2E-2"/>
    <n v="2000"/>
    <n v="31"/>
    <n v="2"/>
  </r>
  <r>
    <x v="23"/>
    <s v="EPD"/>
    <x v="3"/>
    <x v="3"/>
    <s v="Brick"/>
    <s v="Aircrete High Ten"/>
    <s v="Aircrete High Ten  Concrete masonry EPD (brick finish)"/>
    <x v="8"/>
    <s v="Planar"/>
    <s v="Placeholder"/>
    <m/>
    <s v="No"/>
    <s v="Cavity"/>
    <x v="3"/>
    <x v="3"/>
    <s v="No"/>
    <s v="cavity for bricks"/>
    <s v="Mortar Brick"/>
    <s v="Yes"/>
    <s v="None"/>
    <n v="2"/>
    <n v="0"/>
    <n v="0"/>
    <s v="kg"/>
    <n v="1"/>
    <n v="1"/>
    <n v="0.1"/>
    <n v="0.1"/>
    <n v="1"/>
    <n v="1"/>
    <n v="1.2"/>
    <n v="0.12"/>
    <n v="2.5000000000000001E-2"/>
  </r>
  <r>
    <x v="23"/>
    <s v="EPD"/>
    <x v="3"/>
    <x v="3"/>
    <s v="Brick"/>
    <s v="Aircrete High Ten"/>
    <s v="Aircrete High Ten  Concrete masonry EPD (brick finish)"/>
    <x v="8"/>
    <s v="Planar"/>
    <s v="Placeholder"/>
    <s v="Membrane from model A. Different membrane may be used"/>
    <s v="No"/>
    <s v="Tyvek Membrane"/>
    <x v="0"/>
    <x v="2"/>
    <s v="Yes"/>
    <s v="Breather Paper for moisture"/>
    <s v="None"/>
    <s v="Yes"/>
    <s v="None"/>
    <n v="1.5E-3"/>
    <n v="0.25229166666666669"/>
    <n v="4.2"/>
    <s v="kg"/>
    <n v="2.4"/>
    <n v="2.4"/>
    <n v="4.4999999999999999E-4"/>
    <n v="2.5919999999999997E-3"/>
    <n v="1"/>
    <n v="1"/>
    <n v="0"/>
    <n v="0.34599999999999997"/>
    <n v="0.3"/>
  </r>
  <r>
    <x v="23"/>
    <s v="EPD"/>
    <x v="3"/>
    <x v="3"/>
    <s v="Brick"/>
    <s v="Aircrete High Ten"/>
    <s v="Aircrete High Ten  Concrete masonry EPD (brick finish)"/>
    <x v="8"/>
    <s v="Planar"/>
    <s v="Placeholder"/>
    <s v="Mannok website mentioned EPS so used 75 mm of EPS to reach proper R value. Unsure if this is accurate to Mannok's system"/>
    <s v="No"/>
    <s v="EPS"/>
    <x v="0"/>
    <x v="1"/>
    <s v="Yes"/>
    <s v="EPS rigid insulation"/>
    <m/>
    <s v="Yes"/>
    <s v="None"/>
    <n v="2.1428571428571428"/>
    <n v="6.9187500000000002"/>
    <n v="3.69"/>
    <s v="kg"/>
    <n v="1"/>
    <n v="1"/>
    <n v="7.4999999999999997E-2"/>
    <n v="7.4999999999999997E-2"/>
    <n v="1"/>
    <n v="1"/>
    <n v="25"/>
    <n v="1.875"/>
    <n v="3.5000000000000003E-2"/>
  </r>
  <r>
    <x v="23"/>
    <s v="EPD"/>
    <x v="3"/>
    <x v="3"/>
    <s v="Brick"/>
    <s v="Aircrete High Ten"/>
    <s v="Aircrete High Ten  Concrete masonry EPD (brick finish)"/>
    <x v="8"/>
    <s v="Planar"/>
    <s v="Issue"/>
    <s v="normalisation for this mortar EPD is estimated. Need the density of the mortar and the volume of the mortar in the wall"/>
    <s v="No"/>
    <s v="Tiger Mortar General Masonry"/>
    <x v="2"/>
    <x v="3"/>
    <s v="No"/>
    <s v="mortar used for brick"/>
    <s v="Brick, Cavity"/>
    <s v="No"/>
    <s v="Density of the mortar"/>
    <n v="0"/>
    <n v="4.1849999999999996"/>
    <n v="135"/>
    <s v="kg"/>
    <n v="1"/>
    <n v="1.2E-2"/>
    <n v="0.1"/>
    <n v="1.2000000000000001E-3"/>
    <n v="5"/>
    <n v="1.2E-2"/>
    <n v="2000"/>
    <n v="31"/>
    <n v="2"/>
  </r>
  <r>
    <x v="23"/>
    <s v="EPD"/>
    <x v="3"/>
    <x v="3"/>
    <s v="Brick"/>
    <s v="Aircrete High Ten"/>
    <s v="Aircrete High Ten  Concrete masonry EPD (brick finish)"/>
    <x v="8"/>
    <s v="Planar"/>
    <s v="Placeholder"/>
    <s v="unsure which specific fasteners are used"/>
    <s v="No"/>
    <s v="General fastener placeholder"/>
    <x v="1"/>
    <x v="5"/>
    <s v="Yes"/>
    <s v="Screws, Nails, Fasteners"/>
    <m/>
    <s v="No"/>
    <s v="Which fasteners are needed"/>
    <n v="0"/>
    <n v="1"/>
    <n v="0"/>
    <m/>
    <n v="1"/>
    <n v="1"/>
    <n v="1"/>
    <n v="1"/>
    <n v="1"/>
    <n v="1"/>
    <n v="0"/>
    <n v="0.05"/>
    <n v="0"/>
  </r>
  <r>
    <x v="24"/>
    <s v="EPD"/>
    <x v="3"/>
    <x v="3"/>
    <s v="Brick"/>
    <s v="Aircrete Seven"/>
    <s v="Aircrete Seven Concrete masonry EPD (brick finish)"/>
    <x v="8"/>
    <s v="Planar"/>
    <s v="Unchecked"/>
    <s v="Unsure if 215 mm is proper thickness or if they are using the 100 mm side + other construction pieces"/>
    <s v="No"/>
    <s v="Mannok Aircrete block Seven"/>
    <x v="4"/>
    <x v="0"/>
    <s v="No"/>
    <s v="Thermal Concrete block"/>
    <s v="Concrete mortar"/>
    <s v="Yes"/>
    <s v="None"/>
    <n v="1.1299999999999999"/>
    <n v="53.283106000000011"/>
    <n v="326.09000000000003"/>
    <s v="tonne"/>
    <n v="1"/>
    <n v="1"/>
    <n v="0.215"/>
    <n v="0.215"/>
    <m/>
    <m/>
    <n v="760"/>
    <n v="163.4"/>
    <m/>
  </r>
  <r>
    <x v="24"/>
    <s v="EPD"/>
    <x v="3"/>
    <x v="3"/>
    <s v="Brick"/>
    <s v="Aircrete Seven"/>
    <s v="Aircrete Seven Concrete masonry EPD (brick finish)"/>
    <x v="8"/>
    <s v="Planar"/>
    <s v="Placeholder"/>
    <s v="Plasterboard may be unnecessary for concrete block walls"/>
    <s v="No"/>
    <s v="Plasterboard"/>
    <x v="1"/>
    <x v="4"/>
    <s v="No"/>
    <s v="Gypsum plasterboard"/>
    <s v="Battens/fastening, cavitty"/>
    <s v="Yes"/>
    <s v="None"/>
    <n v="6.5789473684210523E-2"/>
    <n v="1.839"/>
    <n v="0"/>
    <s v="kg"/>
    <n v="1"/>
    <n v="1"/>
    <n v="1.4999999999999999E-2"/>
    <n v="1.4999999999999999E-2"/>
    <n v="1"/>
    <n v="1"/>
    <n v="615"/>
    <n v="9.2249999999999996"/>
    <n v="0.19"/>
  </r>
  <r>
    <x v="24"/>
    <s v="EPD"/>
    <x v="3"/>
    <x v="3"/>
    <s v="Brick"/>
    <s v="Aircrete Seven"/>
    <s v="Aircrete Seven Concrete masonry EPD (brick finish)"/>
    <x v="8"/>
    <s v="Planar"/>
    <s v="Placeholder"/>
    <m/>
    <s v="No"/>
    <s v="Battens"/>
    <x v="1"/>
    <x v="4"/>
    <s v="No"/>
    <s v="Battens"/>
    <s v="cavity, plasterboard"/>
    <s v="Yes"/>
    <s v="None"/>
    <n v="0"/>
    <n v="1"/>
    <n v="0"/>
    <s v="kg"/>
    <n v="1"/>
    <n v="1"/>
    <n v="1"/>
    <n v="1"/>
    <n v="1"/>
    <n v="1"/>
    <n v="0"/>
    <n v="0"/>
    <n v="0"/>
  </r>
  <r>
    <x v="24"/>
    <s v="EPD"/>
    <x v="3"/>
    <x v="3"/>
    <s v="Brick"/>
    <s v="Aircrete Seven"/>
    <s v="Aircrete Seven Concrete masonry EPD (brick finish)"/>
    <x v="8"/>
    <s v="Planar"/>
    <s v="Placeholder"/>
    <m/>
    <s v="No"/>
    <s v="Cavity"/>
    <x v="3"/>
    <x v="4"/>
    <s v="No"/>
    <s v="battens cavity (50 mm)"/>
    <s v="battens and plasterboard"/>
    <s v="Yes"/>
    <s v="None"/>
    <n v="0.5"/>
    <n v="0"/>
    <n v="0"/>
    <s v="kg"/>
    <n v="1"/>
    <n v="1"/>
    <n v="0.05"/>
    <n v="0.05"/>
    <n v="1"/>
    <n v="1"/>
    <n v="1.2"/>
    <n v="0.06"/>
    <n v="2.5000000000000001E-2"/>
  </r>
  <r>
    <x v="24"/>
    <s v="EPD"/>
    <x v="3"/>
    <x v="3"/>
    <s v="Brick"/>
    <s v="Aircrete Seven"/>
    <s v="Aircrete Seven Concrete masonry EPD (brick finish)"/>
    <x v="8"/>
    <s v="Planar"/>
    <s v="Placeholder"/>
    <s v="Exterior cladding might be a second concrete block layer instead of clay brick"/>
    <s v="No"/>
    <s v="Brick"/>
    <x v="1"/>
    <x v="3"/>
    <s v="No"/>
    <s v="Brick blocks (100 mm)"/>
    <s v="Mortar, Cavity (for thermal calculation)"/>
    <s v="Yes"/>
    <s v="None"/>
    <n v="0.12987012987012989"/>
    <n v="42.199999999999996"/>
    <n v="0.21099999999999999"/>
    <s v="kg"/>
    <n v="1"/>
    <n v="1"/>
    <n v="0.1"/>
    <n v="0.1"/>
    <n v="1"/>
    <n v="1"/>
    <n v="2000"/>
    <n v="200"/>
    <n v="0.77"/>
  </r>
  <r>
    <x v="24"/>
    <s v="EPD"/>
    <x v="3"/>
    <x v="3"/>
    <s v="Brick"/>
    <s v="Aircrete Seven"/>
    <s v="Aircrete Seven Concrete masonry EPD (brick finish)"/>
    <x v="8"/>
    <s v="Planar"/>
    <s v="Issue"/>
    <s v="normalisation for this mortar EPD is estimated. Need the density of the mortar and the volume of the mortar in the wall"/>
    <s v="No"/>
    <s v="Tiger Mortar General Masonry"/>
    <x v="2"/>
    <x v="3"/>
    <s v="No"/>
    <s v="mortar used for brick"/>
    <s v="Brick, Cavity"/>
    <s v="No"/>
    <s v="Density of the mortar"/>
    <n v="0"/>
    <n v="4.1849999999999996"/>
    <n v="135"/>
    <s v="kg"/>
    <n v="1"/>
    <n v="1.2E-2"/>
    <n v="0.1"/>
    <n v="1.2000000000000001E-3"/>
    <n v="5"/>
    <n v="1.2E-2"/>
    <n v="2000"/>
    <n v="31"/>
    <n v="2"/>
  </r>
  <r>
    <x v="24"/>
    <s v="EPD"/>
    <x v="3"/>
    <x v="3"/>
    <s v="Brick"/>
    <s v="Aircrete Seven"/>
    <s v="Aircrete Seven Concrete masonry EPD (brick finish)"/>
    <x v="8"/>
    <s v="Planar"/>
    <s v="Placeholder"/>
    <m/>
    <s v="No"/>
    <s v="Cavity"/>
    <x v="3"/>
    <x v="3"/>
    <s v="No"/>
    <s v="cavity for bricks"/>
    <s v="Mortar Brick"/>
    <s v="Yes"/>
    <s v="None"/>
    <n v="2"/>
    <n v="0"/>
    <n v="0"/>
    <s v="kg"/>
    <n v="1"/>
    <n v="1"/>
    <n v="0.1"/>
    <n v="0.1"/>
    <n v="1"/>
    <n v="1"/>
    <n v="1.2"/>
    <n v="0.12"/>
    <n v="2.5000000000000001E-2"/>
  </r>
  <r>
    <x v="24"/>
    <s v="EPD"/>
    <x v="3"/>
    <x v="3"/>
    <s v="Brick"/>
    <s v="Aircrete Seven"/>
    <s v="Aircrete Seven Concrete masonry EPD (brick finish)"/>
    <x v="8"/>
    <s v="Planar"/>
    <s v="Placeholder"/>
    <s v="Membrane from model A. Different membrane may be used"/>
    <s v="No"/>
    <s v="Tyvek Membrane"/>
    <x v="0"/>
    <x v="2"/>
    <s v="Yes"/>
    <s v="Breather Paper for moisture"/>
    <s v="None"/>
    <s v="Yes"/>
    <s v="None"/>
    <n v="1.5E-3"/>
    <n v="0.25229166666666669"/>
    <n v="4.2"/>
    <s v="kg"/>
    <n v="2.4"/>
    <n v="2.4"/>
    <n v="4.4999999999999999E-4"/>
    <n v="2.5919999999999997E-3"/>
    <n v="1"/>
    <n v="1"/>
    <n v="0"/>
    <n v="0.34599999999999997"/>
    <n v="0.3"/>
  </r>
  <r>
    <x v="24"/>
    <s v="EPD"/>
    <x v="3"/>
    <x v="3"/>
    <s v="Brick"/>
    <s v="Aircrete Seven"/>
    <s v="Aircrete Seven Concrete masonry EPD (brick finish)"/>
    <x v="8"/>
    <s v="Planar"/>
    <s v="Placeholder"/>
    <s v="Mannok website mentioned EPS so used 75 mm of EPS to reach proper R value. Unsure if this is accurate to Mannok's system"/>
    <s v="No"/>
    <s v="EPS"/>
    <x v="0"/>
    <x v="1"/>
    <s v="Yes"/>
    <s v="EPS rigid insulation"/>
    <m/>
    <s v="Yes"/>
    <s v="None"/>
    <n v="2.1428571428571428"/>
    <n v="6.9187500000000002"/>
    <n v="3.69"/>
    <s v="kg"/>
    <n v="1"/>
    <n v="1"/>
    <n v="7.4999999999999997E-2"/>
    <n v="7.4999999999999997E-2"/>
    <n v="1"/>
    <n v="1"/>
    <n v="25"/>
    <n v="1.875"/>
    <n v="3.5000000000000003E-2"/>
  </r>
  <r>
    <x v="24"/>
    <s v="EPD"/>
    <x v="3"/>
    <x v="3"/>
    <s v="Brick"/>
    <s v="Aircrete Seven"/>
    <s v="Aircrete Seven Concrete masonry EPD (brick finish)"/>
    <x v="8"/>
    <s v="Planar"/>
    <s v="Issue"/>
    <s v="normalisation for this mortar EPD is estimated. Need the density of the mortar and the volume of the mortar in the wall"/>
    <s v="No"/>
    <s v="Tiger Mortar General Masonry"/>
    <x v="2"/>
    <x v="3"/>
    <s v="No"/>
    <s v="mortar used for brick"/>
    <s v="Brick, Cavity"/>
    <s v="No"/>
    <s v="Density of the mortar"/>
    <n v="0"/>
    <n v="4.1849999999999996"/>
    <n v="135"/>
    <s v="kg"/>
    <n v="1"/>
    <n v="1.2E-2"/>
    <n v="0.1"/>
    <n v="1.2000000000000001E-3"/>
    <n v="5"/>
    <n v="1.2E-2"/>
    <n v="2000"/>
    <n v="31"/>
    <n v="2"/>
  </r>
  <r>
    <x v="24"/>
    <s v="EPD"/>
    <x v="3"/>
    <x v="3"/>
    <s v="Brick"/>
    <s v="Aircrete Seven"/>
    <s v="Aircrete Seven Concrete masonry EPD (brick finish)"/>
    <x v="8"/>
    <s v="Planar"/>
    <s v="Placeholder"/>
    <s v="unsure which specific fasteners are used"/>
    <s v="No"/>
    <s v="General fastener placeholder"/>
    <x v="1"/>
    <x v="5"/>
    <s v="Yes"/>
    <s v="Screws, Nails, Fasteners"/>
    <m/>
    <s v="No"/>
    <s v="Which fasteners are needed"/>
    <n v="0"/>
    <n v="1"/>
    <n v="0"/>
    <m/>
    <n v="1"/>
    <n v="1"/>
    <n v="1"/>
    <n v="1"/>
    <n v="1"/>
    <n v="1"/>
    <n v="0"/>
    <n v="0.05"/>
    <n v="0"/>
  </r>
  <r>
    <x v="25"/>
    <s v="EPD"/>
    <x v="3"/>
    <x v="3"/>
    <s v="Brick"/>
    <s v="Aircrete Super"/>
    <s v="Aircrete Super Concrete masonry EPD (brick finish)"/>
    <x v="8"/>
    <s v="Planar"/>
    <s v="Unchecked"/>
    <s v="Unsure if 215 mm is proper thickness or if they are using the 100 mm side + other construction pieces"/>
    <s v="No"/>
    <s v="Mannok Aircrete block Super"/>
    <x v="4"/>
    <x v="0"/>
    <s v="No"/>
    <s v="Thermal Concrete block"/>
    <s v="Concrete mortar"/>
    <s v="Yes"/>
    <s v="None"/>
    <n v="1.79"/>
    <n v="36.921864000000006"/>
    <n v="357.77000000000004"/>
    <s v="tonne"/>
    <n v="1"/>
    <n v="1"/>
    <n v="0.215"/>
    <n v="0.215"/>
    <m/>
    <m/>
    <n v="480"/>
    <n v="103.2"/>
    <m/>
  </r>
  <r>
    <x v="25"/>
    <s v="EPD"/>
    <x v="3"/>
    <x v="3"/>
    <s v="Brick"/>
    <s v="Aircrete Super"/>
    <s v="Aircrete Super Concrete masonry EPD (brick finish)"/>
    <x v="8"/>
    <s v="Planar"/>
    <s v="Placeholder"/>
    <s v="Plasterboard may be unnecessary for concrete block walls"/>
    <s v="No"/>
    <s v="Plasterboard"/>
    <x v="1"/>
    <x v="4"/>
    <s v="No"/>
    <s v="Gypsum plasterboard"/>
    <s v="Battens/fastening, cavitty"/>
    <s v="Yes"/>
    <s v="None"/>
    <n v="6.5789473684210523E-2"/>
    <n v="1.839"/>
    <n v="0"/>
    <s v="kg"/>
    <n v="1"/>
    <n v="1"/>
    <n v="1.4999999999999999E-2"/>
    <n v="1.4999999999999999E-2"/>
    <n v="1"/>
    <n v="1"/>
    <n v="615"/>
    <n v="9.2249999999999996"/>
    <n v="0.19"/>
  </r>
  <r>
    <x v="25"/>
    <s v="EPD"/>
    <x v="3"/>
    <x v="3"/>
    <s v="Brick"/>
    <s v="Aircrete Super"/>
    <s v="Aircrete Super Concrete masonry EPD (brick finish)"/>
    <x v="8"/>
    <s v="Planar"/>
    <s v="Placeholder"/>
    <m/>
    <s v="No"/>
    <s v="Battens"/>
    <x v="1"/>
    <x v="4"/>
    <s v="No"/>
    <s v="Battens"/>
    <s v="cavity, plasterboard"/>
    <s v="Yes"/>
    <s v="None"/>
    <n v="0"/>
    <n v="1"/>
    <n v="0"/>
    <s v="kg"/>
    <n v="1"/>
    <n v="1"/>
    <n v="1"/>
    <n v="1"/>
    <n v="1"/>
    <n v="1"/>
    <n v="0"/>
    <n v="0"/>
    <n v="0"/>
  </r>
  <r>
    <x v="25"/>
    <s v="EPD"/>
    <x v="3"/>
    <x v="3"/>
    <s v="Brick"/>
    <s v="Aircrete Super"/>
    <s v="Aircrete Super Concrete masonry EPD (brick finish)"/>
    <x v="8"/>
    <s v="Planar"/>
    <s v="Placeholder"/>
    <m/>
    <s v="No"/>
    <s v="Cavity"/>
    <x v="3"/>
    <x v="4"/>
    <s v="No"/>
    <s v="battens cavity (50 mm)"/>
    <s v="battens and plasterboard"/>
    <s v="Yes"/>
    <s v="None"/>
    <n v="0.5"/>
    <n v="0"/>
    <n v="0"/>
    <s v="kg"/>
    <n v="1"/>
    <n v="1"/>
    <n v="0.05"/>
    <n v="0.05"/>
    <n v="1"/>
    <n v="1"/>
    <n v="1.2"/>
    <n v="0.06"/>
    <n v="2.5000000000000001E-2"/>
  </r>
  <r>
    <x v="25"/>
    <s v="EPD"/>
    <x v="3"/>
    <x v="3"/>
    <s v="Brick"/>
    <s v="Aircrete Super"/>
    <s v="Aircrete Super Concrete masonry EPD (brick finish)"/>
    <x v="8"/>
    <s v="Planar"/>
    <s v="Placeholder"/>
    <s v="Exterior cladding might be a second concrete block layer instead of clay brick"/>
    <s v="No"/>
    <s v="Brick"/>
    <x v="1"/>
    <x v="3"/>
    <s v="No"/>
    <s v="Brick blocks (100 mm)"/>
    <s v="Mortar, Cavity (for thermal calculation)"/>
    <s v="Yes"/>
    <s v="None"/>
    <n v="0.12987012987012989"/>
    <n v="42.199999999999996"/>
    <n v="0.21099999999999999"/>
    <s v="kg"/>
    <n v="1"/>
    <n v="1"/>
    <n v="0.1"/>
    <n v="0.1"/>
    <n v="1"/>
    <n v="1"/>
    <n v="2000"/>
    <n v="200"/>
    <n v="0.77"/>
  </r>
  <r>
    <x v="25"/>
    <s v="EPD"/>
    <x v="3"/>
    <x v="3"/>
    <s v="Brick"/>
    <s v="Aircrete Super"/>
    <s v="Aircrete Super Concrete masonry EPD (brick finish)"/>
    <x v="8"/>
    <s v="Planar"/>
    <s v="Issue"/>
    <s v="normalisation for this mortar EPD is estimated. Need the density of the mortar and the volume of the mortar in the wall"/>
    <s v="No"/>
    <s v="Tiger Mortar General Masonry"/>
    <x v="2"/>
    <x v="3"/>
    <s v="No"/>
    <s v="mortar used for brick"/>
    <s v="Brick, Cavity"/>
    <s v="No"/>
    <s v="Density of the mortar"/>
    <n v="0"/>
    <n v="4.1849999999999996"/>
    <n v="135"/>
    <s v="kg"/>
    <n v="1"/>
    <n v="1.2E-2"/>
    <n v="0.1"/>
    <n v="1.2000000000000001E-3"/>
    <n v="5"/>
    <n v="1.2E-2"/>
    <n v="2000"/>
    <n v="31"/>
    <n v="2"/>
  </r>
  <r>
    <x v="25"/>
    <s v="EPD"/>
    <x v="3"/>
    <x v="3"/>
    <s v="Brick"/>
    <s v="Aircrete Super"/>
    <s v="Aircrete Super Concrete masonry EPD (brick finish)"/>
    <x v="8"/>
    <s v="Planar"/>
    <s v="Placeholder"/>
    <m/>
    <s v="No"/>
    <s v="Cavity"/>
    <x v="3"/>
    <x v="3"/>
    <s v="No"/>
    <s v="cavity for bricks"/>
    <s v="Mortar Brick"/>
    <s v="Yes"/>
    <s v="None"/>
    <n v="2"/>
    <n v="0"/>
    <n v="0"/>
    <s v="kg"/>
    <n v="1"/>
    <n v="1"/>
    <n v="0.1"/>
    <n v="0.1"/>
    <n v="1"/>
    <n v="1"/>
    <n v="1.2"/>
    <n v="0.12"/>
    <n v="2.5000000000000001E-2"/>
  </r>
  <r>
    <x v="25"/>
    <s v="EPD"/>
    <x v="3"/>
    <x v="3"/>
    <s v="Brick"/>
    <s v="Aircrete Super"/>
    <s v="Aircrete Super Concrete masonry EPD (brick finish)"/>
    <x v="8"/>
    <s v="Planar"/>
    <s v="Placeholder"/>
    <s v="Membrane from model A. Different membrane may be used"/>
    <s v="No"/>
    <s v="Tyvek Membrane"/>
    <x v="0"/>
    <x v="2"/>
    <s v="Yes"/>
    <s v="Breather Paper for moisture"/>
    <s v="None"/>
    <s v="Yes"/>
    <s v="None"/>
    <n v="1.5E-3"/>
    <n v="0.25229166666666669"/>
    <n v="4.2"/>
    <s v="kg"/>
    <n v="2.4"/>
    <n v="2.4"/>
    <n v="4.4999999999999999E-4"/>
    <n v="2.5919999999999997E-3"/>
    <n v="1"/>
    <n v="1"/>
    <n v="0"/>
    <n v="0.34599999999999997"/>
    <n v="0.3"/>
  </r>
  <r>
    <x v="25"/>
    <s v="EPD"/>
    <x v="3"/>
    <x v="3"/>
    <s v="Brick"/>
    <s v="Aircrete Super"/>
    <s v="Aircrete Super Concrete masonry EPD (brick finish)"/>
    <x v="8"/>
    <s v="Planar"/>
    <s v="Placeholder"/>
    <s v="Mannok website mentioned EPS so used 50 mm of EPS to reach proper R value. Unsure if this is accurate to Mannok's system"/>
    <s v="No"/>
    <s v="EPS"/>
    <x v="0"/>
    <x v="1"/>
    <s v="Yes"/>
    <s v="EPS rigid insulation"/>
    <m/>
    <s v="Yes"/>
    <s v="None"/>
    <n v="1.4285714285714286"/>
    <n v="4.6124999999999998"/>
    <n v="3.69"/>
    <s v="kg"/>
    <n v="1"/>
    <n v="1"/>
    <n v="0.05"/>
    <n v="0.05"/>
    <n v="1"/>
    <n v="1"/>
    <n v="25"/>
    <n v="1.25"/>
    <n v="3.5000000000000003E-2"/>
  </r>
  <r>
    <x v="25"/>
    <s v="EPD"/>
    <x v="3"/>
    <x v="3"/>
    <s v="Brick"/>
    <s v="Aircrete Super"/>
    <s v="Aircrete Super Concrete masonry EPD (brick finish)"/>
    <x v="8"/>
    <s v="Planar"/>
    <s v="Issue"/>
    <s v="normalisation for this mortar EPD is estimated. Need the density of the mortar and the volume of the mortar in the wall"/>
    <s v="No"/>
    <s v="Tiger Mortar General Masonry"/>
    <x v="2"/>
    <x v="3"/>
    <s v="No"/>
    <s v="mortar used for brick"/>
    <s v="Brick, Cavity"/>
    <s v="No"/>
    <s v="Density of the mortar"/>
    <n v="0"/>
    <n v="4.1849999999999996"/>
    <n v="135"/>
    <s v="kg"/>
    <n v="1"/>
    <n v="1.2E-2"/>
    <n v="0.1"/>
    <n v="1.2000000000000001E-3"/>
    <n v="5"/>
    <n v="1.2E-2"/>
    <n v="2000"/>
    <n v="31"/>
    <n v="2"/>
  </r>
  <r>
    <x v="25"/>
    <s v="EPD"/>
    <x v="3"/>
    <x v="3"/>
    <s v="Brick"/>
    <s v="Aircrete Super"/>
    <s v="Aircrete Super Concrete masonry EPD (brick finish)"/>
    <x v="8"/>
    <s v="Planar"/>
    <s v="Placeholder"/>
    <s v="unsure which specific fasteners are used"/>
    <s v="No"/>
    <s v="General fastener placeholder"/>
    <x v="1"/>
    <x v="5"/>
    <s v="Yes"/>
    <s v="Screws, Nails, Fasteners"/>
    <m/>
    <s v="No"/>
    <s v="Which fasteners are needed"/>
    <n v="0"/>
    <n v="1"/>
    <n v="0"/>
    <m/>
    <n v="1"/>
    <n v="1"/>
    <n v="1"/>
    <n v="1"/>
    <n v="1"/>
    <n v="1"/>
    <n v="0"/>
    <n v="0.05"/>
    <n v="0"/>
  </r>
  <r>
    <x v="26"/>
    <s v="EPD"/>
    <x v="3"/>
    <x v="3"/>
    <s v="Brick"/>
    <s v="Roadstone Solid"/>
    <s v="Concrete Block EPD System"/>
    <x v="16"/>
    <s v="Planar"/>
    <s v="Unchecked"/>
    <m/>
    <s v="No"/>
    <s v="Belgard Concrete Solid Block"/>
    <x v="4"/>
    <x v="0"/>
    <s v="No"/>
    <s v="Thermal Concrete block"/>
    <s v="Concrete mortar"/>
    <s v="Yes"/>
    <s v="None"/>
    <n v="0.19545454545454544"/>
    <n v="20.360500000000002"/>
    <n v="94.7"/>
    <s v="m^3"/>
    <n v="1"/>
    <n v="1"/>
    <n v="0.215"/>
    <n v="0.215"/>
    <m/>
    <m/>
    <n v="480"/>
    <n v="103.2"/>
    <n v="1.1000000000000001"/>
  </r>
  <r>
    <x v="26"/>
    <s v="EPD"/>
    <x v="3"/>
    <x v="3"/>
    <s v="Brick"/>
    <s v="Roadstone Solid"/>
    <s v="Concrete Block EPD System"/>
    <x v="16"/>
    <s v="Planar"/>
    <s v="Placeholder"/>
    <m/>
    <s v="No"/>
    <s v="Plasterboard"/>
    <x v="1"/>
    <x v="4"/>
    <s v="No"/>
    <s v="Gypsum plasterboard"/>
    <s v="Battens/fastening, cavitty"/>
    <s v="Yes"/>
    <s v="None"/>
    <n v="6.5789473684210523E-2"/>
    <n v="1.839"/>
    <n v="0"/>
    <s v="kg"/>
    <n v="1"/>
    <n v="1"/>
    <n v="1.4999999999999999E-2"/>
    <n v="1.4999999999999999E-2"/>
    <n v="1"/>
    <n v="1"/>
    <n v="615"/>
    <n v="9.2249999999999996"/>
    <n v="0.19"/>
  </r>
  <r>
    <x v="26"/>
    <s v="EPD"/>
    <x v="3"/>
    <x v="3"/>
    <s v="Brick"/>
    <s v="Roadstone Solid"/>
    <s v="Concrete Block EPD System"/>
    <x v="16"/>
    <s v="Planar"/>
    <s v="Placeholder"/>
    <m/>
    <s v="No"/>
    <s v="Battens"/>
    <x v="1"/>
    <x v="4"/>
    <s v="No"/>
    <s v="Battens"/>
    <s v="cavity, plasterboard"/>
    <s v="Yes"/>
    <s v="None"/>
    <n v="0"/>
    <n v="1"/>
    <n v="0"/>
    <s v="kg"/>
    <n v="1"/>
    <n v="1"/>
    <n v="1"/>
    <n v="1"/>
    <n v="1"/>
    <n v="1"/>
    <n v="0"/>
    <n v="0"/>
    <n v="0"/>
  </r>
  <r>
    <x v="26"/>
    <s v="EPD"/>
    <x v="3"/>
    <x v="3"/>
    <s v="Brick"/>
    <s v="Roadstone Solid"/>
    <s v="Concrete Block EPD System"/>
    <x v="16"/>
    <s v="Planar"/>
    <s v="Placeholder"/>
    <m/>
    <s v="No"/>
    <s v="Cavity"/>
    <x v="3"/>
    <x v="4"/>
    <s v="No"/>
    <s v="battens cavity (50 mm)"/>
    <s v="battens and plasterboard"/>
    <s v="Yes"/>
    <s v="None"/>
    <n v="0.5"/>
    <n v="0"/>
    <n v="0"/>
    <s v="kg"/>
    <n v="1"/>
    <n v="1"/>
    <n v="0.05"/>
    <n v="0.05"/>
    <n v="1"/>
    <n v="1"/>
    <n v="1.2"/>
    <n v="0.06"/>
    <n v="2.5000000000000001E-2"/>
  </r>
  <r>
    <x v="26"/>
    <s v="EPD"/>
    <x v="3"/>
    <x v="3"/>
    <s v="Brick"/>
    <s v="Roadstone Solid"/>
    <s v="Concrete Block EPD System"/>
    <x v="16"/>
    <s v="Planar"/>
    <s v="Placeholder"/>
    <m/>
    <s v="No"/>
    <s v="Brick"/>
    <x v="1"/>
    <x v="3"/>
    <s v="No"/>
    <s v="Brick blocks (100 mm)"/>
    <s v="Mortar, Cavity (for thermal calculation)"/>
    <s v="Yes"/>
    <s v="None"/>
    <n v="0.12987012987012989"/>
    <n v="42.199999999999996"/>
    <n v="0.21099999999999999"/>
    <s v="kg"/>
    <n v="1"/>
    <n v="1"/>
    <n v="0.1"/>
    <n v="0.1"/>
    <n v="1"/>
    <n v="1"/>
    <n v="2000"/>
    <n v="200"/>
    <n v="0.77"/>
  </r>
  <r>
    <x v="26"/>
    <s v="EPD"/>
    <x v="3"/>
    <x v="3"/>
    <s v="Brick"/>
    <s v="Roadstone Solid"/>
    <s v="Concrete Block EPD System"/>
    <x v="16"/>
    <s v="Planar"/>
    <s v="Issue"/>
    <s v="normalisation for this mortar EPD is estimated. Need the density of the mortar and the volume of the mortar in the wall"/>
    <s v="No"/>
    <s v="Tiger Mortar General Masonry"/>
    <x v="2"/>
    <x v="3"/>
    <s v="No"/>
    <s v="mortar used for brick"/>
    <s v="Brick, Cavity"/>
    <s v="No"/>
    <s v="Density of the mortar"/>
    <n v="0"/>
    <n v="4.1849999999999996"/>
    <n v="135"/>
    <s v="kg"/>
    <n v="1"/>
    <n v="1.2E-2"/>
    <n v="0.1"/>
    <n v="1.2000000000000001E-3"/>
    <n v="5"/>
    <n v="1.2E-2"/>
    <n v="2000"/>
    <n v="31"/>
    <n v="2"/>
  </r>
  <r>
    <x v="26"/>
    <s v="EPD"/>
    <x v="3"/>
    <x v="3"/>
    <s v="Brick"/>
    <s v="Roadstone Solid"/>
    <s v="Concrete Block EPD System"/>
    <x v="16"/>
    <s v="Planar"/>
    <s v="Placeholder"/>
    <m/>
    <s v="No"/>
    <s v="Cavity"/>
    <x v="3"/>
    <x v="3"/>
    <s v="No"/>
    <s v="cavity for bricks"/>
    <s v="Mortar Brick"/>
    <s v="Yes"/>
    <s v="None"/>
    <n v="2"/>
    <n v="0"/>
    <n v="0"/>
    <s v="kg"/>
    <n v="1"/>
    <n v="1"/>
    <n v="0.1"/>
    <n v="0.1"/>
    <n v="1"/>
    <n v="1"/>
    <n v="1.2"/>
    <n v="0.12"/>
    <n v="2.5000000000000001E-2"/>
  </r>
  <r>
    <x v="26"/>
    <s v="EPD"/>
    <x v="3"/>
    <x v="3"/>
    <s v="Brick"/>
    <s v="Roadstone Solid"/>
    <s v="Concrete Block EPD System"/>
    <x v="16"/>
    <s v="Planar"/>
    <s v="Placeholder"/>
    <m/>
    <s v="No"/>
    <s v="Tyvek Membrane"/>
    <x v="0"/>
    <x v="2"/>
    <s v="Yes"/>
    <s v="Breather Paper for moisture"/>
    <s v="None"/>
    <s v="Yes"/>
    <s v="None"/>
    <n v="1.5E-3"/>
    <n v="0.25229166666666669"/>
    <n v="4.2"/>
    <s v="kg"/>
    <n v="2.4"/>
    <n v="2.4"/>
    <n v="4.4999999999999999E-4"/>
    <n v="2.5919999999999997E-3"/>
    <n v="1"/>
    <n v="1"/>
    <n v="0"/>
    <n v="0.34599999999999997"/>
    <n v="0.3"/>
  </r>
  <r>
    <x v="26"/>
    <s v="EPD"/>
    <x v="3"/>
    <x v="3"/>
    <s v="Brick"/>
    <s v="Roadstone Solid"/>
    <s v="Concrete Block EPD System"/>
    <x v="16"/>
    <s v="Planar"/>
    <s v="Placeholder"/>
    <m/>
    <s v="No"/>
    <s v="EPS"/>
    <x v="0"/>
    <x v="1"/>
    <s v="Yes"/>
    <s v="EPS rigid insulation"/>
    <m/>
    <s v="Yes"/>
    <s v="None"/>
    <n v="2.8571428571428572"/>
    <n v="9.2249999999999996"/>
    <n v="3.69"/>
    <s v="kg"/>
    <n v="1"/>
    <n v="1"/>
    <n v="0.1"/>
    <n v="0.1"/>
    <n v="1"/>
    <n v="1"/>
    <n v="25"/>
    <n v="2.5"/>
    <n v="3.5000000000000003E-2"/>
  </r>
  <r>
    <x v="26"/>
    <s v="EPD"/>
    <x v="3"/>
    <x v="3"/>
    <s v="Brick"/>
    <s v="Roadstone Solid"/>
    <s v="Concrete Block EPD System"/>
    <x v="16"/>
    <s v="Planar"/>
    <s v="Issue"/>
    <s v="normalisation for this mortar EPD is estimated. Need the density of the mortar and the volume of the mortar in the wall"/>
    <s v="No"/>
    <s v="Tiger Mortar General Masonry"/>
    <x v="2"/>
    <x v="3"/>
    <s v="No"/>
    <s v="mortar used for brick"/>
    <s v="Brick, Cavity"/>
    <s v="No"/>
    <s v="Density of the mortar"/>
    <n v="0"/>
    <n v="4.1849999999999996"/>
    <n v="135"/>
    <s v="kg"/>
    <n v="1"/>
    <n v="1.2E-2"/>
    <n v="0.1"/>
    <n v="1.2000000000000001E-3"/>
    <n v="5"/>
    <n v="1.2E-2"/>
    <n v="2000"/>
    <n v="31"/>
    <n v="2"/>
  </r>
  <r>
    <x v="26"/>
    <s v="EPD"/>
    <x v="3"/>
    <x v="3"/>
    <s v="Brick"/>
    <s v="Roadstone Solid"/>
    <s v="Concrete Block EPD System"/>
    <x v="16"/>
    <s v="Planar"/>
    <s v="Placeholder"/>
    <s v="unsure which specific fasteners are used"/>
    <s v="No"/>
    <s v="General fastener placeholder"/>
    <x v="1"/>
    <x v="5"/>
    <s v="Yes"/>
    <s v="Screws, Nails, Fasteners"/>
    <m/>
    <s v="No"/>
    <s v="Which fasteners are needed"/>
    <n v="0"/>
    <n v="1"/>
    <n v="0"/>
    <m/>
    <n v="1"/>
    <n v="1"/>
    <n v="1"/>
    <n v="1"/>
    <n v="1"/>
    <n v="1"/>
    <n v="0"/>
    <n v="0.05"/>
    <n v="0"/>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r>
    <x v="27"/>
    <m/>
    <x v="5"/>
    <x v="5"/>
    <m/>
    <m/>
    <m/>
    <x v="7"/>
    <m/>
    <m/>
    <m/>
    <s v="No"/>
    <m/>
    <x v="6"/>
    <x v="10"/>
    <m/>
    <m/>
    <m/>
    <m/>
    <m/>
    <m/>
    <m/>
    <m/>
    <m/>
    <m/>
    <m/>
    <m/>
    <m/>
    <m/>
    <m/>
    <m/>
    <m/>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12">
  <r>
    <x v="0"/>
    <s v="Gypsum Plasterboard"/>
    <s v="A"/>
    <s v="GPlas"/>
    <s v="Direct Calculation Model A for LGS Open Panel with PIR and mineral wool insulation"/>
    <s v="Framed"/>
    <s v="Placeholder"/>
    <m/>
    <s v="No"/>
    <s v="Plasterboard"/>
    <s v="Placeholder"/>
    <s v="Internal Finish"/>
    <s v="No"/>
    <s v="Gypsum plasterboard"/>
    <s v="Battens/fastening, cavitty"/>
    <s v="Yes"/>
    <s v="None"/>
    <n v="6.5789473684210523E-2"/>
    <n v="1.839"/>
    <n v="0"/>
    <s v="kg"/>
    <n v="1"/>
    <n v="1"/>
    <n v="1.4999999999999999E-2"/>
    <n v="1.4999999999999999E-2"/>
    <n v="1"/>
    <n v="1"/>
    <n v="615"/>
    <n v="9.2249999999999996"/>
    <n v="0.19"/>
  </r>
  <r>
    <x v="0"/>
    <s v="Gypsum Plasterboard"/>
    <s v="A"/>
    <s v="GPlas"/>
    <s v="Direct Calculation Model A for LGS Open Panel with PIR and mineral wool insulation"/>
    <s v="Framed"/>
    <s v="Placeholder"/>
    <m/>
    <s v="No"/>
    <s v="Battens"/>
    <s v="Placeholder"/>
    <s v="Internal Finish"/>
    <s v="No"/>
    <s v="Battens"/>
    <s v="cavity, plasterboard"/>
    <s v="Yes"/>
    <s v="None"/>
    <n v="0"/>
    <n v="1"/>
    <n v="0"/>
    <s v="kg"/>
    <n v="1"/>
    <n v="1"/>
    <n v="1"/>
    <n v="1"/>
    <n v="1"/>
    <n v="1"/>
    <n v="0"/>
    <n v="0.05"/>
    <n v="0"/>
  </r>
  <r>
    <x v="0"/>
    <s v="Gypsum Plasterboard"/>
    <s v="A"/>
    <s v="GPlas"/>
    <s v="Direct Calculation Model A for LGS Open Panel with PIR and mineral wool insulation"/>
    <s v="Framed"/>
    <s v="Placeholder"/>
    <m/>
    <s v="No"/>
    <s v="Cavity"/>
    <s v="Placeholder"/>
    <s v="Internal Finish"/>
    <s v="No"/>
    <s v="battens cavity (50 mm)"/>
    <s v="battens and plasterboard"/>
    <s v="Yes"/>
    <s v="None"/>
    <n v="0.5"/>
    <n v="0"/>
    <n v="0"/>
    <s v="kg"/>
    <n v="1"/>
    <n v="1"/>
    <n v="0.05"/>
    <n v="0.05"/>
    <n v="1"/>
    <n v="1"/>
    <n v="1.2"/>
    <n v="0.06"/>
    <n v="2.5000000000000001E-2"/>
  </r>
  <r>
    <x v="0"/>
    <s v="Gypsum Plasterboard"/>
    <s v="A"/>
    <s v="GPlas"/>
    <s v="Direct Calculation Model A for LGS Open Panel with PIR and mineral wool insulation"/>
    <s v="Framed"/>
    <s v="Placeholder"/>
    <s v="unsure which specific fasteners are used"/>
    <s v="No"/>
    <s v="General fastener placeholder"/>
    <s v="Placeholder"/>
    <s v="Fixings"/>
    <s v="Yes"/>
    <s v="Screws, Nails, Fasteners"/>
    <m/>
    <s v="No"/>
    <s v="Which fasteners are needed"/>
    <n v="0"/>
    <n v="1"/>
    <n v="0"/>
    <m/>
    <n v="1"/>
    <n v="1"/>
    <n v="1"/>
    <n v="1"/>
    <n v="1"/>
    <n v="1"/>
    <n v="0"/>
    <n v="0.05"/>
    <n v="0"/>
  </r>
  <r>
    <x v="1"/>
    <m/>
    <m/>
    <m/>
    <m/>
    <m/>
    <m/>
    <m/>
    <m/>
    <m/>
    <m/>
    <m/>
    <m/>
    <m/>
    <m/>
    <m/>
    <m/>
    <m/>
    <m/>
    <m/>
    <m/>
    <m/>
    <m/>
    <m/>
    <m/>
    <m/>
    <m/>
    <m/>
    <m/>
    <m/>
  </r>
  <r>
    <x v="1"/>
    <m/>
    <m/>
    <m/>
    <m/>
    <m/>
    <m/>
    <m/>
    <m/>
    <m/>
    <m/>
    <m/>
    <m/>
    <m/>
    <m/>
    <m/>
    <m/>
    <m/>
    <m/>
    <m/>
    <m/>
    <m/>
    <m/>
    <m/>
    <m/>
    <m/>
    <m/>
    <m/>
    <m/>
    <m/>
  </r>
  <r>
    <x v="1"/>
    <m/>
    <m/>
    <m/>
    <m/>
    <m/>
    <m/>
    <m/>
    <m/>
    <m/>
    <m/>
    <m/>
    <m/>
    <m/>
    <m/>
    <m/>
    <m/>
    <m/>
    <m/>
    <m/>
    <m/>
    <m/>
    <m/>
    <m/>
    <m/>
    <m/>
    <m/>
    <m/>
    <m/>
    <m/>
  </r>
  <r>
    <x v="1"/>
    <m/>
    <m/>
    <m/>
    <m/>
    <m/>
    <m/>
    <m/>
    <m/>
    <m/>
    <m/>
    <m/>
    <m/>
    <m/>
    <m/>
    <m/>
    <m/>
    <m/>
    <m/>
    <m/>
    <m/>
    <m/>
    <m/>
    <m/>
    <m/>
    <m/>
    <m/>
    <m/>
    <m/>
    <m/>
  </r>
  <r>
    <x v="1"/>
    <m/>
    <m/>
    <m/>
    <m/>
    <m/>
    <m/>
    <m/>
    <m/>
    <m/>
    <m/>
    <m/>
    <m/>
    <m/>
    <m/>
    <m/>
    <m/>
    <m/>
    <m/>
    <m/>
    <m/>
    <m/>
    <m/>
    <m/>
    <m/>
    <m/>
    <m/>
    <m/>
    <m/>
    <m/>
  </r>
  <r>
    <x v="1"/>
    <m/>
    <m/>
    <m/>
    <m/>
    <m/>
    <m/>
    <m/>
    <m/>
    <m/>
    <m/>
    <m/>
    <m/>
    <m/>
    <m/>
    <m/>
    <m/>
    <m/>
    <m/>
    <m/>
    <m/>
    <m/>
    <m/>
    <m/>
    <m/>
    <m/>
    <m/>
    <m/>
    <m/>
    <m/>
  </r>
  <r>
    <x v="1"/>
    <m/>
    <m/>
    <m/>
    <m/>
    <m/>
    <m/>
    <m/>
    <m/>
    <m/>
    <m/>
    <m/>
    <m/>
    <m/>
    <m/>
    <m/>
    <m/>
    <m/>
    <m/>
    <m/>
    <m/>
    <m/>
    <m/>
    <m/>
    <m/>
    <m/>
    <m/>
    <m/>
    <m/>
    <m/>
  </r>
  <r>
    <x v="1"/>
    <m/>
    <m/>
    <m/>
    <m/>
    <m/>
    <m/>
    <m/>
    <m/>
    <m/>
    <m/>
    <m/>
    <m/>
    <m/>
    <m/>
    <m/>
    <m/>
    <m/>
    <m/>
    <m/>
    <m/>
    <m/>
    <m/>
    <m/>
    <m/>
    <m/>
    <m/>
    <m/>
    <m/>
    <m/>
  </r>
  <r>
    <x v="1"/>
    <m/>
    <m/>
    <m/>
    <m/>
    <m/>
    <m/>
    <m/>
    <m/>
    <m/>
    <m/>
    <m/>
    <m/>
    <m/>
    <m/>
    <m/>
    <m/>
    <m/>
    <m/>
    <m/>
    <m/>
    <m/>
    <m/>
    <m/>
    <m/>
    <m/>
    <m/>
    <m/>
    <m/>
    <m/>
  </r>
  <r>
    <x v="1"/>
    <m/>
    <m/>
    <m/>
    <m/>
    <m/>
    <m/>
    <m/>
    <m/>
    <m/>
    <m/>
    <m/>
    <m/>
    <m/>
    <m/>
    <m/>
    <m/>
    <m/>
    <m/>
    <m/>
    <m/>
    <m/>
    <m/>
    <m/>
    <m/>
    <m/>
    <m/>
    <m/>
    <m/>
    <m/>
  </r>
  <r>
    <x v="1"/>
    <m/>
    <m/>
    <m/>
    <m/>
    <m/>
    <m/>
    <m/>
    <m/>
    <m/>
    <m/>
    <m/>
    <m/>
    <m/>
    <m/>
    <m/>
    <m/>
    <m/>
    <m/>
    <m/>
    <m/>
    <m/>
    <m/>
    <m/>
    <m/>
    <m/>
    <m/>
    <m/>
    <m/>
    <m/>
  </r>
  <r>
    <x v="1"/>
    <m/>
    <m/>
    <m/>
    <m/>
    <m/>
    <m/>
    <m/>
    <m/>
    <m/>
    <m/>
    <m/>
    <m/>
    <m/>
    <m/>
    <m/>
    <m/>
    <m/>
    <m/>
    <m/>
    <m/>
    <m/>
    <m/>
    <m/>
    <m/>
    <m/>
    <m/>
    <m/>
    <m/>
    <m/>
  </r>
  <r>
    <x v="1"/>
    <m/>
    <m/>
    <m/>
    <m/>
    <m/>
    <m/>
    <m/>
    <m/>
    <m/>
    <m/>
    <m/>
    <m/>
    <m/>
    <m/>
    <m/>
    <m/>
    <m/>
    <m/>
    <m/>
    <m/>
    <m/>
    <m/>
    <m/>
    <m/>
    <m/>
    <m/>
    <m/>
    <m/>
    <m/>
  </r>
  <r>
    <x v="1"/>
    <m/>
    <m/>
    <m/>
    <m/>
    <m/>
    <m/>
    <m/>
    <m/>
    <m/>
    <m/>
    <m/>
    <m/>
    <m/>
    <m/>
    <m/>
    <m/>
    <m/>
    <m/>
    <m/>
    <m/>
    <m/>
    <m/>
    <m/>
    <m/>
    <m/>
    <m/>
    <m/>
    <m/>
    <m/>
  </r>
  <r>
    <x v="1"/>
    <m/>
    <m/>
    <m/>
    <m/>
    <m/>
    <m/>
    <m/>
    <m/>
    <m/>
    <m/>
    <m/>
    <m/>
    <m/>
    <m/>
    <m/>
    <m/>
    <m/>
    <m/>
    <m/>
    <m/>
    <m/>
    <m/>
    <m/>
    <m/>
    <m/>
    <m/>
    <m/>
    <m/>
    <m/>
  </r>
  <r>
    <x v="1"/>
    <m/>
    <m/>
    <m/>
    <m/>
    <m/>
    <m/>
    <m/>
    <m/>
    <m/>
    <m/>
    <m/>
    <m/>
    <m/>
    <m/>
    <m/>
    <m/>
    <m/>
    <m/>
    <m/>
    <m/>
    <m/>
    <m/>
    <m/>
    <m/>
    <m/>
    <m/>
    <m/>
    <m/>
    <m/>
  </r>
  <r>
    <x v="1"/>
    <m/>
    <m/>
    <m/>
    <m/>
    <m/>
    <m/>
    <m/>
    <m/>
    <m/>
    <m/>
    <m/>
    <m/>
    <m/>
    <m/>
    <m/>
    <m/>
    <m/>
    <m/>
    <m/>
    <m/>
    <m/>
    <m/>
    <m/>
    <m/>
    <m/>
    <m/>
    <m/>
    <m/>
    <m/>
  </r>
  <r>
    <x v="1"/>
    <m/>
    <m/>
    <m/>
    <m/>
    <m/>
    <m/>
    <m/>
    <m/>
    <m/>
    <m/>
    <m/>
    <m/>
    <m/>
    <m/>
    <m/>
    <m/>
    <m/>
    <m/>
    <m/>
    <m/>
    <m/>
    <m/>
    <m/>
    <m/>
    <m/>
    <m/>
    <m/>
    <m/>
    <m/>
  </r>
  <r>
    <x v="1"/>
    <m/>
    <m/>
    <m/>
    <m/>
    <m/>
    <m/>
    <m/>
    <m/>
    <m/>
    <m/>
    <m/>
    <m/>
    <m/>
    <m/>
    <m/>
    <m/>
    <m/>
    <m/>
    <m/>
    <m/>
    <m/>
    <m/>
    <m/>
    <m/>
    <m/>
    <m/>
    <m/>
    <m/>
    <m/>
  </r>
  <r>
    <x v="1"/>
    <m/>
    <m/>
    <m/>
    <m/>
    <m/>
    <m/>
    <m/>
    <m/>
    <m/>
    <m/>
    <m/>
    <m/>
    <m/>
    <m/>
    <m/>
    <m/>
    <m/>
    <m/>
    <m/>
    <m/>
    <m/>
    <m/>
    <m/>
    <m/>
    <m/>
    <m/>
    <m/>
    <m/>
    <m/>
  </r>
  <r>
    <x v="1"/>
    <m/>
    <m/>
    <m/>
    <m/>
    <m/>
    <m/>
    <m/>
    <m/>
    <m/>
    <m/>
    <m/>
    <m/>
    <m/>
    <m/>
    <m/>
    <m/>
    <m/>
    <m/>
    <m/>
    <m/>
    <m/>
    <m/>
    <m/>
    <m/>
    <m/>
    <m/>
    <m/>
    <m/>
    <m/>
  </r>
  <r>
    <x v="1"/>
    <m/>
    <m/>
    <m/>
    <m/>
    <m/>
    <m/>
    <m/>
    <m/>
    <m/>
    <m/>
    <m/>
    <m/>
    <m/>
    <m/>
    <m/>
    <m/>
    <m/>
    <m/>
    <m/>
    <m/>
    <m/>
    <m/>
    <m/>
    <m/>
    <m/>
    <m/>
    <m/>
    <m/>
    <m/>
  </r>
  <r>
    <x v="1"/>
    <m/>
    <m/>
    <m/>
    <m/>
    <m/>
    <m/>
    <m/>
    <m/>
    <m/>
    <m/>
    <m/>
    <m/>
    <m/>
    <m/>
    <m/>
    <m/>
    <m/>
    <m/>
    <m/>
    <m/>
    <m/>
    <m/>
    <m/>
    <m/>
    <m/>
    <m/>
    <m/>
    <m/>
    <m/>
  </r>
  <r>
    <x v="1"/>
    <m/>
    <m/>
    <m/>
    <m/>
    <m/>
    <m/>
    <m/>
    <m/>
    <m/>
    <m/>
    <m/>
    <m/>
    <m/>
    <m/>
    <m/>
    <m/>
    <m/>
    <m/>
    <m/>
    <m/>
    <m/>
    <m/>
    <m/>
    <m/>
    <m/>
    <m/>
    <m/>
    <m/>
    <m/>
  </r>
  <r>
    <x v="1"/>
    <m/>
    <m/>
    <m/>
    <m/>
    <m/>
    <m/>
    <m/>
    <m/>
    <m/>
    <m/>
    <m/>
    <m/>
    <m/>
    <m/>
    <m/>
    <m/>
    <m/>
    <m/>
    <m/>
    <m/>
    <m/>
    <m/>
    <m/>
    <m/>
    <m/>
    <m/>
    <m/>
    <m/>
    <m/>
  </r>
  <r>
    <x v="1"/>
    <m/>
    <m/>
    <m/>
    <m/>
    <m/>
    <m/>
    <m/>
    <m/>
    <m/>
    <m/>
    <m/>
    <m/>
    <m/>
    <m/>
    <m/>
    <m/>
    <m/>
    <m/>
    <m/>
    <m/>
    <m/>
    <m/>
    <m/>
    <m/>
    <m/>
    <m/>
    <m/>
    <m/>
    <m/>
  </r>
  <r>
    <x v="1"/>
    <m/>
    <m/>
    <m/>
    <m/>
    <m/>
    <m/>
    <m/>
    <m/>
    <m/>
    <m/>
    <m/>
    <m/>
    <m/>
    <m/>
    <m/>
    <m/>
    <m/>
    <m/>
    <m/>
    <m/>
    <m/>
    <m/>
    <m/>
    <m/>
    <m/>
    <m/>
    <m/>
    <m/>
    <m/>
  </r>
  <r>
    <x v="1"/>
    <m/>
    <m/>
    <m/>
    <m/>
    <m/>
    <m/>
    <m/>
    <m/>
    <m/>
    <m/>
    <m/>
    <m/>
    <m/>
    <m/>
    <m/>
    <m/>
    <m/>
    <m/>
    <m/>
    <m/>
    <m/>
    <m/>
    <m/>
    <m/>
    <m/>
    <m/>
    <m/>
    <m/>
    <m/>
  </r>
  <r>
    <x v="1"/>
    <m/>
    <m/>
    <m/>
    <m/>
    <m/>
    <m/>
    <m/>
    <m/>
    <m/>
    <m/>
    <m/>
    <m/>
    <m/>
    <m/>
    <m/>
    <m/>
    <m/>
    <m/>
    <m/>
    <m/>
    <m/>
    <m/>
    <m/>
    <m/>
    <m/>
    <m/>
    <m/>
    <m/>
    <m/>
  </r>
  <r>
    <x v="1"/>
    <m/>
    <m/>
    <m/>
    <m/>
    <m/>
    <m/>
    <m/>
    <m/>
    <m/>
    <m/>
    <m/>
    <m/>
    <m/>
    <m/>
    <m/>
    <m/>
    <m/>
    <m/>
    <m/>
    <m/>
    <m/>
    <m/>
    <m/>
    <m/>
    <m/>
    <m/>
    <m/>
    <m/>
    <m/>
  </r>
  <r>
    <x v="1"/>
    <m/>
    <m/>
    <m/>
    <m/>
    <m/>
    <m/>
    <m/>
    <m/>
    <m/>
    <m/>
    <m/>
    <m/>
    <m/>
    <m/>
    <m/>
    <m/>
    <m/>
    <m/>
    <m/>
    <m/>
    <m/>
    <m/>
    <m/>
    <m/>
    <m/>
    <m/>
    <m/>
    <m/>
    <m/>
  </r>
  <r>
    <x v="1"/>
    <m/>
    <m/>
    <m/>
    <m/>
    <m/>
    <m/>
    <m/>
    <m/>
    <m/>
    <m/>
    <m/>
    <m/>
    <m/>
    <m/>
    <m/>
    <m/>
    <m/>
    <m/>
    <m/>
    <m/>
    <m/>
    <m/>
    <m/>
    <m/>
    <m/>
    <m/>
    <m/>
    <m/>
    <m/>
  </r>
  <r>
    <x v="1"/>
    <m/>
    <m/>
    <m/>
    <m/>
    <m/>
    <m/>
    <m/>
    <m/>
    <m/>
    <m/>
    <m/>
    <m/>
    <m/>
    <m/>
    <m/>
    <m/>
    <m/>
    <m/>
    <m/>
    <m/>
    <m/>
    <m/>
    <m/>
    <m/>
    <m/>
    <m/>
    <m/>
    <m/>
    <m/>
  </r>
  <r>
    <x v="1"/>
    <m/>
    <m/>
    <m/>
    <m/>
    <m/>
    <m/>
    <m/>
    <m/>
    <m/>
    <m/>
    <m/>
    <m/>
    <m/>
    <m/>
    <m/>
    <m/>
    <m/>
    <m/>
    <m/>
    <m/>
    <m/>
    <m/>
    <m/>
    <m/>
    <m/>
    <m/>
    <m/>
    <m/>
    <m/>
  </r>
  <r>
    <x v="1"/>
    <m/>
    <m/>
    <m/>
    <m/>
    <m/>
    <m/>
    <m/>
    <m/>
    <m/>
    <m/>
    <m/>
    <m/>
    <m/>
    <m/>
    <m/>
    <m/>
    <m/>
    <m/>
    <m/>
    <m/>
    <m/>
    <m/>
    <m/>
    <m/>
    <m/>
    <m/>
    <m/>
    <m/>
    <m/>
  </r>
  <r>
    <x v="1"/>
    <m/>
    <m/>
    <m/>
    <m/>
    <m/>
    <m/>
    <m/>
    <m/>
    <m/>
    <m/>
    <m/>
    <m/>
    <m/>
    <m/>
    <m/>
    <m/>
    <m/>
    <m/>
    <m/>
    <m/>
    <m/>
    <m/>
    <m/>
    <m/>
    <m/>
    <m/>
    <m/>
    <m/>
    <m/>
  </r>
  <r>
    <x v="1"/>
    <m/>
    <m/>
    <m/>
    <m/>
    <m/>
    <m/>
    <m/>
    <m/>
    <m/>
    <m/>
    <m/>
    <m/>
    <m/>
    <m/>
    <m/>
    <m/>
    <m/>
    <m/>
    <m/>
    <m/>
    <m/>
    <m/>
    <m/>
    <m/>
    <m/>
    <m/>
    <m/>
    <m/>
    <m/>
  </r>
  <r>
    <x v="1"/>
    <m/>
    <m/>
    <m/>
    <m/>
    <m/>
    <m/>
    <m/>
    <m/>
    <m/>
    <m/>
    <m/>
    <m/>
    <m/>
    <m/>
    <m/>
    <m/>
    <m/>
    <m/>
    <m/>
    <m/>
    <m/>
    <m/>
    <m/>
    <m/>
    <m/>
    <m/>
    <m/>
    <m/>
    <m/>
  </r>
  <r>
    <x v="1"/>
    <m/>
    <m/>
    <m/>
    <m/>
    <m/>
    <m/>
    <m/>
    <m/>
    <m/>
    <m/>
    <m/>
    <m/>
    <m/>
    <m/>
    <m/>
    <m/>
    <m/>
    <m/>
    <m/>
    <m/>
    <m/>
    <m/>
    <m/>
    <m/>
    <m/>
    <m/>
    <m/>
    <m/>
    <m/>
  </r>
  <r>
    <x v="1"/>
    <m/>
    <m/>
    <m/>
    <m/>
    <m/>
    <m/>
    <m/>
    <m/>
    <m/>
    <m/>
    <m/>
    <m/>
    <m/>
    <m/>
    <m/>
    <m/>
    <m/>
    <m/>
    <m/>
    <m/>
    <m/>
    <m/>
    <m/>
    <m/>
    <m/>
    <m/>
    <m/>
    <m/>
    <m/>
  </r>
  <r>
    <x v="1"/>
    <m/>
    <m/>
    <m/>
    <m/>
    <m/>
    <m/>
    <m/>
    <m/>
    <m/>
    <m/>
    <m/>
    <m/>
    <m/>
    <m/>
    <m/>
    <m/>
    <m/>
    <m/>
    <m/>
    <m/>
    <m/>
    <m/>
    <m/>
    <m/>
    <m/>
    <m/>
    <m/>
    <m/>
    <m/>
  </r>
  <r>
    <x v="1"/>
    <m/>
    <m/>
    <m/>
    <m/>
    <m/>
    <m/>
    <m/>
    <m/>
    <m/>
    <m/>
    <m/>
    <m/>
    <m/>
    <m/>
    <m/>
    <m/>
    <m/>
    <m/>
    <m/>
    <m/>
    <m/>
    <m/>
    <m/>
    <m/>
    <m/>
    <m/>
    <m/>
    <m/>
    <m/>
  </r>
  <r>
    <x v="1"/>
    <m/>
    <m/>
    <m/>
    <m/>
    <m/>
    <m/>
    <m/>
    <m/>
    <m/>
    <m/>
    <m/>
    <m/>
    <m/>
    <m/>
    <m/>
    <m/>
    <m/>
    <m/>
    <m/>
    <m/>
    <m/>
    <m/>
    <m/>
    <m/>
    <m/>
    <m/>
    <m/>
    <m/>
    <m/>
  </r>
  <r>
    <x v="1"/>
    <m/>
    <m/>
    <m/>
    <m/>
    <m/>
    <m/>
    <m/>
    <m/>
    <m/>
    <m/>
    <m/>
    <m/>
    <m/>
    <m/>
    <m/>
    <m/>
    <m/>
    <m/>
    <m/>
    <m/>
    <m/>
    <m/>
    <m/>
    <m/>
    <m/>
    <m/>
    <m/>
    <m/>
    <m/>
  </r>
  <r>
    <x v="1"/>
    <m/>
    <m/>
    <m/>
    <m/>
    <m/>
    <m/>
    <m/>
    <m/>
    <m/>
    <m/>
    <m/>
    <m/>
    <m/>
    <m/>
    <m/>
    <m/>
    <m/>
    <m/>
    <m/>
    <m/>
    <m/>
    <m/>
    <m/>
    <m/>
    <m/>
    <m/>
    <m/>
    <m/>
    <m/>
  </r>
  <r>
    <x v="1"/>
    <m/>
    <m/>
    <m/>
    <m/>
    <m/>
    <m/>
    <m/>
    <m/>
    <m/>
    <m/>
    <m/>
    <m/>
    <m/>
    <m/>
    <m/>
    <m/>
    <m/>
    <m/>
    <m/>
    <m/>
    <m/>
    <m/>
    <m/>
    <m/>
    <m/>
    <m/>
    <m/>
    <m/>
    <m/>
  </r>
  <r>
    <x v="1"/>
    <m/>
    <m/>
    <m/>
    <m/>
    <m/>
    <m/>
    <m/>
    <m/>
    <m/>
    <m/>
    <m/>
    <m/>
    <m/>
    <m/>
    <m/>
    <m/>
    <m/>
    <m/>
    <m/>
    <m/>
    <m/>
    <m/>
    <m/>
    <m/>
    <m/>
    <m/>
    <m/>
    <m/>
    <m/>
  </r>
  <r>
    <x v="1"/>
    <m/>
    <m/>
    <m/>
    <m/>
    <m/>
    <m/>
    <m/>
    <m/>
    <m/>
    <m/>
    <m/>
    <m/>
    <m/>
    <m/>
    <m/>
    <m/>
    <m/>
    <m/>
    <m/>
    <m/>
    <m/>
    <m/>
    <m/>
    <m/>
    <m/>
    <m/>
    <m/>
    <m/>
    <m/>
  </r>
  <r>
    <x v="1"/>
    <m/>
    <m/>
    <m/>
    <m/>
    <m/>
    <m/>
    <m/>
    <m/>
    <m/>
    <m/>
    <m/>
    <m/>
    <m/>
    <m/>
    <m/>
    <m/>
    <m/>
    <m/>
    <m/>
    <m/>
    <m/>
    <m/>
    <m/>
    <m/>
    <m/>
    <m/>
    <m/>
    <m/>
    <m/>
  </r>
  <r>
    <x v="1"/>
    <m/>
    <m/>
    <m/>
    <m/>
    <m/>
    <m/>
    <m/>
    <m/>
    <m/>
    <m/>
    <m/>
    <m/>
    <m/>
    <m/>
    <m/>
    <m/>
    <m/>
    <m/>
    <m/>
    <m/>
    <m/>
    <m/>
    <m/>
    <m/>
    <m/>
    <m/>
    <m/>
    <m/>
    <m/>
  </r>
  <r>
    <x v="1"/>
    <m/>
    <m/>
    <m/>
    <m/>
    <m/>
    <m/>
    <m/>
    <m/>
    <m/>
    <m/>
    <m/>
    <m/>
    <m/>
    <m/>
    <m/>
    <m/>
    <m/>
    <m/>
    <m/>
    <m/>
    <m/>
    <m/>
    <m/>
    <m/>
    <m/>
    <m/>
    <m/>
    <m/>
    <m/>
  </r>
  <r>
    <x v="1"/>
    <m/>
    <m/>
    <m/>
    <m/>
    <m/>
    <m/>
    <m/>
    <m/>
    <m/>
    <m/>
    <m/>
    <m/>
    <m/>
    <m/>
    <m/>
    <m/>
    <m/>
    <m/>
    <m/>
    <m/>
    <m/>
    <m/>
    <m/>
    <m/>
    <m/>
    <m/>
    <m/>
    <m/>
    <m/>
  </r>
  <r>
    <x v="1"/>
    <m/>
    <m/>
    <m/>
    <m/>
    <m/>
    <m/>
    <m/>
    <m/>
    <m/>
    <m/>
    <m/>
    <m/>
    <m/>
    <m/>
    <m/>
    <m/>
    <m/>
    <m/>
    <m/>
    <m/>
    <m/>
    <m/>
    <m/>
    <m/>
    <m/>
    <m/>
    <m/>
    <m/>
    <m/>
  </r>
  <r>
    <x v="1"/>
    <m/>
    <m/>
    <m/>
    <m/>
    <m/>
    <m/>
    <m/>
    <m/>
    <m/>
    <m/>
    <m/>
    <m/>
    <m/>
    <m/>
    <m/>
    <m/>
    <m/>
    <m/>
    <m/>
    <m/>
    <m/>
    <m/>
    <m/>
    <m/>
    <m/>
    <m/>
    <m/>
    <m/>
    <m/>
  </r>
  <r>
    <x v="1"/>
    <m/>
    <m/>
    <m/>
    <m/>
    <m/>
    <m/>
    <m/>
    <m/>
    <m/>
    <m/>
    <m/>
    <m/>
    <m/>
    <m/>
    <m/>
    <m/>
    <m/>
    <m/>
    <m/>
    <m/>
    <m/>
    <m/>
    <m/>
    <m/>
    <m/>
    <m/>
    <m/>
    <m/>
    <m/>
  </r>
  <r>
    <x v="1"/>
    <m/>
    <m/>
    <m/>
    <m/>
    <m/>
    <m/>
    <m/>
    <m/>
    <m/>
    <m/>
    <m/>
    <m/>
    <m/>
    <m/>
    <m/>
    <m/>
    <m/>
    <m/>
    <m/>
    <m/>
    <m/>
    <m/>
    <m/>
    <m/>
    <m/>
    <m/>
    <m/>
    <m/>
    <m/>
  </r>
  <r>
    <x v="1"/>
    <m/>
    <m/>
    <m/>
    <m/>
    <m/>
    <m/>
    <m/>
    <m/>
    <m/>
    <m/>
    <m/>
    <m/>
    <m/>
    <m/>
    <m/>
    <m/>
    <m/>
    <m/>
    <m/>
    <m/>
    <m/>
    <m/>
    <m/>
    <m/>
    <m/>
    <m/>
    <m/>
    <m/>
    <m/>
  </r>
  <r>
    <x v="1"/>
    <m/>
    <m/>
    <m/>
    <m/>
    <m/>
    <m/>
    <m/>
    <m/>
    <m/>
    <m/>
    <m/>
    <m/>
    <m/>
    <m/>
    <m/>
    <m/>
    <m/>
    <m/>
    <m/>
    <m/>
    <m/>
    <m/>
    <m/>
    <m/>
    <m/>
    <m/>
    <m/>
    <m/>
    <m/>
  </r>
  <r>
    <x v="1"/>
    <m/>
    <m/>
    <m/>
    <m/>
    <m/>
    <m/>
    <m/>
    <m/>
    <m/>
    <m/>
    <m/>
    <m/>
    <m/>
    <m/>
    <m/>
    <m/>
    <m/>
    <m/>
    <m/>
    <m/>
    <m/>
    <m/>
    <m/>
    <m/>
    <m/>
    <m/>
    <m/>
    <m/>
    <m/>
  </r>
  <r>
    <x v="1"/>
    <m/>
    <m/>
    <m/>
    <m/>
    <m/>
    <m/>
    <m/>
    <m/>
    <m/>
    <m/>
    <m/>
    <m/>
    <m/>
    <m/>
    <m/>
    <m/>
    <m/>
    <m/>
    <m/>
    <m/>
    <m/>
    <m/>
    <m/>
    <m/>
    <m/>
    <m/>
    <m/>
    <m/>
    <m/>
  </r>
  <r>
    <x v="1"/>
    <m/>
    <m/>
    <m/>
    <m/>
    <m/>
    <m/>
    <m/>
    <m/>
    <m/>
    <m/>
    <m/>
    <m/>
    <m/>
    <m/>
    <m/>
    <m/>
    <m/>
    <m/>
    <m/>
    <m/>
    <m/>
    <m/>
    <m/>
    <m/>
    <m/>
    <m/>
    <m/>
    <m/>
    <m/>
  </r>
  <r>
    <x v="1"/>
    <m/>
    <m/>
    <m/>
    <m/>
    <m/>
    <m/>
    <m/>
    <m/>
    <m/>
    <m/>
    <m/>
    <m/>
    <m/>
    <m/>
    <m/>
    <m/>
    <m/>
    <m/>
    <m/>
    <m/>
    <m/>
    <m/>
    <m/>
    <m/>
    <m/>
    <m/>
    <m/>
    <m/>
    <m/>
  </r>
  <r>
    <x v="1"/>
    <m/>
    <m/>
    <m/>
    <m/>
    <m/>
    <m/>
    <m/>
    <m/>
    <m/>
    <m/>
    <m/>
    <m/>
    <m/>
    <m/>
    <m/>
    <m/>
    <m/>
    <m/>
    <m/>
    <m/>
    <m/>
    <m/>
    <m/>
    <m/>
    <m/>
    <m/>
    <m/>
    <m/>
    <m/>
  </r>
  <r>
    <x v="1"/>
    <m/>
    <m/>
    <m/>
    <m/>
    <m/>
    <m/>
    <m/>
    <m/>
    <m/>
    <m/>
    <m/>
    <m/>
    <m/>
    <m/>
    <m/>
    <m/>
    <m/>
    <m/>
    <m/>
    <m/>
    <m/>
    <m/>
    <m/>
    <m/>
    <m/>
    <m/>
    <m/>
    <m/>
    <m/>
  </r>
  <r>
    <x v="1"/>
    <m/>
    <m/>
    <m/>
    <m/>
    <m/>
    <m/>
    <m/>
    <m/>
    <m/>
    <m/>
    <m/>
    <m/>
    <m/>
    <m/>
    <m/>
    <m/>
    <m/>
    <m/>
    <m/>
    <m/>
    <m/>
    <m/>
    <m/>
    <m/>
    <m/>
    <m/>
    <m/>
    <m/>
    <m/>
  </r>
  <r>
    <x v="1"/>
    <m/>
    <m/>
    <m/>
    <m/>
    <m/>
    <m/>
    <m/>
    <m/>
    <m/>
    <m/>
    <m/>
    <m/>
    <m/>
    <m/>
    <m/>
    <m/>
    <m/>
    <m/>
    <m/>
    <m/>
    <m/>
    <m/>
    <m/>
    <m/>
    <m/>
    <m/>
    <m/>
    <m/>
    <m/>
  </r>
  <r>
    <x v="1"/>
    <m/>
    <m/>
    <m/>
    <m/>
    <m/>
    <m/>
    <m/>
    <m/>
    <m/>
    <m/>
    <m/>
    <m/>
    <m/>
    <m/>
    <m/>
    <m/>
    <m/>
    <m/>
    <m/>
    <m/>
    <m/>
    <m/>
    <m/>
    <m/>
    <m/>
    <m/>
    <m/>
    <m/>
    <m/>
  </r>
  <r>
    <x v="1"/>
    <m/>
    <m/>
    <m/>
    <m/>
    <m/>
    <m/>
    <m/>
    <m/>
    <m/>
    <m/>
    <m/>
    <m/>
    <m/>
    <m/>
    <m/>
    <m/>
    <m/>
    <m/>
    <m/>
    <m/>
    <m/>
    <m/>
    <m/>
    <m/>
    <m/>
    <m/>
    <m/>
    <m/>
    <m/>
  </r>
  <r>
    <x v="1"/>
    <m/>
    <m/>
    <m/>
    <m/>
    <m/>
    <m/>
    <m/>
    <m/>
    <m/>
    <m/>
    <m/>
    <m/>
    <m/>
    <m/>
    <m/>
    <m/>
    <m/>
    <m/>
    <m/>
    <m/>
    <m/>
    <m/>
    <m/>
    <m/>
    <m/>
    <m/>
    <m/>
    <m/>
    <m/>
  </r>
  <r>
    <x v="1"/>
    <m/>
    <m/>
    <m/>
    <m/>
    <m/>
    <m/>
    <m/>
    <m/>
    <m/>
    <m/>
    <m/>
    <m/>
    <m/>
    <m/>
    <m/>
    <m/>
    <m/>
    <m/>
    <m/>
    <m/>
    <m/>
    <m/>
    <m/>
    <m/>
    <m/>
    <m/>
    <m/>
    <m/>
    <m/>
  </r>
  <r>
    <x v="1"/>
    <m/>
    <m/>
    <m/>
    <m/>
    <m/>
    <m/>
    <m/>
    <m/>
    <m/>
    <m/>
    <m/>
    <m/>
    <m/>
    <m/>
    <m/>
    <m/>
    <m/>
    <m/>
    <m/>
    <m/>
    <m/>
    <m/>
    <m/>
    <m/>
    <m/>
    <m/>
    <m/>
    <m/>
    <m/>
  </r>
  <r>
    <x v="1"/>
    <m/>
    <m/>
    <m/>
    <m/>
    <m/>
    <m/>
    <m/>
    <m/>
    <m/>
    <m/>
    <m/>
    <m/>
    <m/>
    <m/>
    <m/>
    <m/>
    <m/>
    <m/>
    <m/>
    <m/>
    <m/>
    <m/>
    <m/>
    <m/>
    <m/>
    <m/>
    <m/>
    <m/>
    <m/>
  </r>
  <r>
    <x v="1"/>
    <m/>
    <m/>
    <m/>
    <m/>
    <m/>
    <m/>
    <m/>
    <m/>
    <m/>
    <m/>
    <m/>
    <m/>
    <m/>
    <m/>
    <m/>
    <m/>
    <m/>
    <m/>
    <m/>
    <m/>
    <m/>
    <m/>
    <m/>
    <m/>
    <m/>
    <m/>
    <m/>
    <m/>
    <m/>
  </r>
  <r>
    <x v="1"/>
    <m/>
    <m/>
    <m/>
    <m/>
    <m/>
    <m/>
    <m/>
    <m/>
    <m/>
    <m/>
    <m/>
    <m/>
    <m/>
    <m/>
    <m/>
    <m/>
    <m/>
    <m/>
    <m/>
    <m/>
    <m/>
    <m/>
    <m/>
    <m/>
    <m/>
    <m/>
    <m/>
    <m/>
    <m/>
  </r>
  <r>
    <x v="1"/>
    <m/>
    <m/>
    <m/>
    <m/>
    <m/>
    <m/>
    <m/>
    <m/>
    <m/>
    <m/>
    <m/>
    <m/>
    <m/>
    <m/>
    <m/>
    <m/>
    <m/>
    <m/>
    <m/>
    <m/>
    <m/>
    <m/>
    <m/>
    <m/>
    <m/>
    <m/>
    <m/>
    <m/>
    <m/>
  </r>
  <r>
    <x v="1"/>
    <m/>
    <m/>
    <m/>
    <m/>
    <m/>
    <m/>
    <m/>
    <m/>
    <m/>
    <m/>
    <m/>
    <m/>
    <m/>
    <m/>
    <m/>
    <m/>
    <m/>
    <m/>
    <m/>
    <m/>
    <m/>
    <m/>
    <m/>
    <m/>
    <m/>
    <m/>
    <m/>
    <m/>
    <m/>
  </r>
  <r>
    <x v="1"/>
    <m/>
    <m/>
    <m/>
    <m/>
    <m/>
    <m/>
    <m/>
    <m/>
    <m/>
    <m/>
    <m/>
    <m/>
    <m/>
    <m/>
    <m/>
    <m/>
    <m/>
    <m/>
    <m/>
    <m/>
    <m/>
    <m/>
    <m/>
    <m/>
    <m/>
    <m/>
    <m/>
    <m/>
    <m/>
  </r>
  <r>
    <x v="1"/>
    <m/>
    <m/>
    <m/>
    <m/>
    <m/>
    <m/>
    <m/>
    <m/>
    <m/>
    <m/>
    <m/>
    <m/>
    <m/>
    <m/>
    <m/>
    <m/>
    <m/>
    <m/>
    <m/>
    <m/>
    <m/>
    <m/>
    <m/>
    <m/>
    <m/>
    <m/>
    <m/>
    <m/>
    <m/>
  </r>
  <r>
    <x v="1"/>
    <m/>
    <m/>
    <m/>
    <m/>
    <m/>
    <m/>
    <m/>
    <m/>
    <m/>
    <m/>
    <m/>
    <m/>
    <m/>
    <m/>
    <m/>
    <m/>
    <m/>
    <m/>
    <m/>
    <m/>
    <m/>
    <m/>
    <m/>
    <m/>
    <m/>
    <m/>
    <m/>
    <m/>
    <m/>
  </r>
  <r>
    <x v="1"/>
    <m/>
    <m/>
    <m/>
    <m/>
    <m/>
    <m/>
    <m/>
    <m/>
    <m/>
    <m/>
    <m/>
    <m/>
    <m/>
    <m/>
    <m/>
    <m/>
    <m/>
    <m/>
    <m/>
    <m/>
    <m/>
    <m/>
    <m/>
    <m/>
    <m/>
    <m/>
    <m/>
    <m/>
    <m/>
  </r>
  <r>
    <x v="1"/>
    <m/>
    <m/>
    <m/>
    <m/>
    <m/>
    <m/>
    <m/>
    <m/>
    <m/>
    <m/>
    <m/>
    <m/>
    <m/>
    <m/>
    <m/>
    <m/>
    <m/>
    <m/>
    <m/>
    <m/>
    <m/>
    <m/>
    <m/>
    <m/>
    <m/>
    <m/>
    <m/>
    <m/>
    <m/>
  </r>
  <r>
    <x v="1"/>
    <m/>
    <m/>
    <m/>
    <m/>
    <m/>
    <m/>
    <m/>
    <m/>
    <m/>
    <m/>
    <m/>
    <m/>
    <m/>
    <m/>
    <m/>
    <m/>
    <m/>
    <m/>
    <m/>
    <m/>
    <m/>
    <m/>
    <m/>
    <m/>
    <m/>
    <m/>
    <m/>
    <m/>
    <m/>
  </r>
  <r>
    <x v="1"/>
    <m/>
    <m/>
    <m/>
    <m/>
    <m/>
    <m/>
    <m/>
    <m/>
    <m/>
    <m/>
    <m/>
    <m/>
    <m/>
    <m/>
    <m/>
    <m/>
    <m/>
    <m/>
    <m/>
    <m/>
    <m/>
    <m/>
    <m/>
    <m/>
    <m/>
    <m/>
    <m/>
    <m/>
    <m/>
  </r>
  <r>
    <x v="1"/>
    <m/>
    <m/>
    <m/>
    <m/>
    <m/>
    <m/>
    <m/>
    <m/>
    <m/>
    <m/>
    <m/>
    <m/>
    <m/>
    <m/>
    <m/>
    <m/>
    <m/>
    <m/>
    <m/>
    <m/>
    <m/>
    <m/>
    <m/>
    <m/>
    <m/>
    <m/>
    <m/>
    <m/>
    <m/>
  </r>
  <r>
    <x v="1"/>
    <m/>
    <m/>
    <m/>
    <m/>
    <m/>
    <m/>
    <m/>
    <m/>
    <m/>
    <m/>
    <m/>
    <m/>
    <m/>
    <m/>
    <m/>
    <m/>
    <m/>
    <m/>
    <m/>
    <m/>
    <m/>
    <m/>
    <m/>
    <m/>
    <m/>
    <m/>
    <m/>
    <m/>
    <m/>
  </r>
  <r>
    <x v="1"/>
    <m/>
    <m/>
    <m/>
    <m/>
    <m/>
    <m/>
    <m/>
    <m/>
    <m/>
    <m/>
    <m/>
    <m/>
    <m/>
    <m/>
    <m/>
    <m/>
    <m/>
    <m/>
    <m/>
    <m/>
    <m/>
    <m/>
    <m/>
    <m/>
    <m/>
    <m/>
    <m/>
    <m/>
    <m/>
  </r>
  <r>
    <x v="1"/>
    <m/>
    <m/>
    <m/>
    <m/>
    <m/>
    <m/>
    <m/>
    <m/>
    <m/>
    <m/>
    <m/>
    <m/>
    <m/>
    <m/>
    <m/>
    <m/>
    <m/>
    <m/>
    <m/>
    <m/>
    <m/>
    <m/>
    <m/>
    <m/>
    <m/>
    <m/>
    <m/>
    <m/>
    <m/>
  </r>
  <r>
    <x v="1"/>
    <m/>
    <m/>
    <m/>
    <m/>
    <m/>
    <m/>
    <m/>
    <m/>
    <m/>
    <m/>
    <m/>
    <m/>
    <m/>
    <m/>
    <m/>
    <m/>
    <m/>
    <m/>
    <m/>
    <m/>
    <m/>
    <m/>
    <m/>
    <m/>
    <m/>
    <m/>
    <m/>
    <m/>
    <m/>
  </r>
  <r>
    <x v="1"/>
    <m/>
    <m/>
    <m/>
    <m/>
    <m/>
    <m/>
    <m/>
    <m/>
    <m/>
    <m/>
    <m/>
    <m/>
    <m/>
    <m/>
    <m/>
    <m/>
    <m/>
    <m/>
    <m/>
    <m/>
    <m/>
    <m/>
    <m/>
    <m/>
    <m/>
    <m/>
    <m/>
    <m/>
    <m/>
  </r>
  <r>
    <x v="1"/>
    <m/>
    <m/>
    <m/>
    <m/>
    <m/>
    <m/>
    <m/>
    <m/>
    <m/>
    <m/>
    <m/>
    <m/>
    <m/>
    <m/>
    <m/>
    <m/>
    <m/>
    <m/>
    <m/>
    <m/>
    <m/>
    <m/>
    <m/>
    <m/>
    <m/>
    <m/>
    <m/>
    <m/>
    <m/>
  </r>
  <r>
    <x v="1"/>
    <m/>
    <m/>
    <m/>
    <m/>
    <m/>
    <m/>
    <m/>
    <m/>
    <m/>
    <m/>
    <m/>
    <m/>
    <m/>
    <m/>
    <m/>
    <m/>
    <m/>
    <m/>
    <m/>
    <m/>
    <m/>
    <m/>
    <m/>
    <m/>
    <m/>
    <m/>
    <m/>
    <m/>
    <m/>
  </r>
  <r>
    <x v="1"/>
    <m/>
    <m/>
    <m/>
    <m/>
    <m/>
    <m/>
    <m/>
    <m/>
    <m/>
    <m/>
    <m/>
    <m/>
    <m/>
    <m/>
    <m/>
    <m/>
    <m/>
    <m/>
    <m/>
    <m/>
    <m/>
    <m/>
    <m/>
    <m/>
    <m/>
    <m/>
    <m/>
    <m/>
    <m/>
  </r>
  <r>
    <x v="1"/>
    <m/>
    <m/>
    <m/>
    <m/>
    <m/>
    <m/>
    <m/>
    <m/>
    <m/>
    <m/>
    <m/>
    <m/>
    <m/>
    <m/>
    <m/>
    <m/>
    <m/>
    <m/>
    <m/>
    <m/>
    <m/>
    <m/>
    <m/>
    <m/>
    <m/>
    <m/>
    <m/>
    <m/>
    <m/>
  </r>
  <r>
    <x v="1"/>
    <m/>
    <m/>
    <m/>
    <m/>
    <m/>
    <m/>
    <m/>
    <m/>
    <m/>
    <m/>
    <m/>
    <m/>
    <m/>
    <m/>
    <m/>
    <m/>
    <m/>
    <m/>
    <m/>
    <m/>
    <m/>
    <m/>
    <m/>
    <m/>
    <m/>
    <m/>
    <m/>
    <m/>
    <m/>
  </r>
  <r>
    <x v="1"/>
    <m/>
    <m/>
    <m/>
    <m/>
    <m/>
    <m/>
    <m/>
    <m/>
    <m/>
    <m/>
    <m/>
    <m/>
    <m/>
    <m/>
    <m/>
    <m/>
    <m/>
    <m/>
    <m/>
    <m/>
    <m/>
    <m/>
    <m/>
    <m/>
    <m/>
    <m/>
    <m/>
    <m/>
    <m/>
  </r>
  <r>
    <x v="1"/>
    <m/>
    <m/>
    <m/>
    <m/>
    <m/>
    <m/>
    <m/>
    <m/>
    <m/>
    <m/>
    <m/>
    <m/>
    <m/>
    <m/>
    <m/>
    <m/>
    <m/>
    <m/>
    <m/>
    <m/>
    <m/>
    <m/>
    <m/>
    <m/>
    <m/>
    <m/>
    <m/>
    <m/>
    <m/>
  </r>
  <r>
    <x v="1"/>
    <m/>
    <m/>
    <m/>
    <m/>
    <m/>
    <m/>
    <m/>
    <m/>
    <m/>
    <m/>
    <m/>
    <m/>
    <m/>
    <m/>
    <m/>
    <m/>
    <m/>
    <m/>
    <m/>
    <m/>
    <m/>
    <m/>
    <m/>
    <m/>
    <m/>
    <m/>
    <m/>
    <m/>
    <m/>
  </r>
  <r>
    <x v="1"/>
    <m/>
    <m/>
    <m/>
    <m/>
    <m/>
    <m/>
    <m/>
    <m/>
    <m/>
    <m/>
    <m/>
    <m/>
    <m/>
    <m/>
    <m/>
    <m/>
    <m/>
    <m/>
    <m/>
    <m/>
    <m/>
    <m/>
    <m/>
    <m/>
    <m/>
    <m/>
    <m/>
    <m/>
    <m/>
  </r>
  <r>
    <x v="1"/>
    <m/>
    <m/>
    <m/>
    <m/>
    <m/>
    <m/>
    <m/>
    <m/>
    <m/>
    <m/>
    <m/>
    <m/>
    <m/>
    <m/>
    <m/>
    <m/>
    <m/>
    <m/>
    <m/>
    <m/>
    <m/>
    <m/>
    <m/>
    <m/>
    <m/>
    <m/>
    <m/>
    <m/>
    <m/>
  </r>
  <r>
    <x v="1"/>
    <m/>
    <m/>
    <m/>
    <m/>
    <m/>
    <m/>
    <m/>
    <m/>
    <m/>
    <m/>
    <m/>
    <m/>
    <m/>
    <m/>
    <m/>
    <m/>
    <m/>
    <m/>
    <m/>
    <m/>
    <m/>
    <m/>
    <m/>
    <m/>
    <m/>
    <m/>
    <m/>
    <m/>
    <m/>
  </r>
  <r>
    <x v="1"/>
    <m/>
    <m/>
    <m/>
    <m/>
    <m/>
    <m/>
    <m/>
    <m/>
    <m/>
    <m/>
    <m/>
    <m/>
    <m/>
    <m/>
    <m/>
    <m/>
    <m/>
    <m/>
    <m/>
    <m/>
    <m/>
    <m/>
    <m/>
    <m/>
    <m/>
    <m/>
    <m/>
    <m/>
    <m/>
  </r>
  <r>
    <x v="1"/>
    <m/>
    <m/>
    <m/>
    <m/>
    <m/>
    <m/>
    <m/>
    <m/>
    <m/>
    <m/>
    <m/>
    <m/>
    <m/>
    <m/>
    <m/>
    <m/>
    <m/>
    <m/>
    <m/>
    <m/>
    <m/>
    <m/>
    <m/>
    <m/>
    <m/>
    <m/>
    <m/>
    <m/>
    <m/>
  </r>
  <r>
    <x v="1"/>
    <m/>
    <m/>
    <m/>
    <m/>
    <m/>
    <m/>
    <m/>
    <m/>
    <m/>
    <m/>
    <m/>
    <m/>
    <m/>
    <m/>
    <m/>
    <m/>
    <m/>
    <m/>
    <m/>
    <m/>
    <m/>
    <m/>
    <m/>
    <m/>
    <m/>
    <m/>
    <m/>
    <m/>
    <m/>
  </r>
  <r>
    <x v="1"/>
    <m/>
    <m/>
    <m/>
    <m/>
    <m/>
    <m/>
    <m/>
    <m/>
    <m/>
    <m/>
    <m/>
    <m/>
    <m/>
    <m/>
    <m/>
    <m/>
    <m/>
    <m/>
    <m/>
    <m/>
    <m/>
    <m/>
    <m/>
    <m/>
    <m/>
    <m/>
    <m/>
    <m/>
    <m/>
  </r>
  <r>
    <x v="1"/>
    <m/>
    <m/>
    <m/>
    <m/>
    <m/>
    <m/>
    <m/>
    <m/>
    <m/>
    <m/>
    <m/>
    <m/>
    <m/>
    <m/>
    <m/>
    <m/>
    <m/>
    <m/>
    <m/>
    <m/>
    <m/>
    <m/>
    <m/>
    <m/>
    <m/>
    <m/>
    <m/>
    <m/>
    <m/>
  </r>
  <r>
    <x v="1"/>
    <m/>
    <m/>
    <m/>
    <m/>
    <m/>
    <m/>
    <m/>
    <m/>
    <m/>
    <m/>
    <m/>
    <m/>
    <m/>
    <m/>
    <m/>
    <m/>
    <m/>
    <m/>
    <m/>
    <m/>
    <m/>
    <m/>
    <m/>
    <m/>
    <m/>
    <m/>
    <m/>
    <m/>
    <m/>
  </r>
  <r>
    <x v="1"/>
    <m/>
    <m/>
    <m/>
    <m/>
    <m/>
    <m/>
    <m/>
    <m/>
    <m/>
    <m/>
    <m/>
    <m/>
    <m/>
    <m/>
    <m/>
    <m/>
    <m/>
    <m/>
    <m/>
    <m/>
    <m/>
    <m/>
    <m/>
    <m/>
    <m/>
    <m/>
    <m/>
    <m/>
    <m/>
  </r>
  <r>
    <x v="1"/>
    <m/>
    <m/>
    <m/>
    <m/>
    <m/>
    <m/>
    <m/>
    <m/>
    <m/>
    <m/>
    <m/>
    <m/>
    <m/>
    <m/>
    <m/>
    <m/>
    <m/>
    <m/>
    <m/>
    <m/>
    <m/>
    <m/>
    <m/>
    <m/>
    <m/>
    <m/>
    <m/>
    <m/>
    <m/>
  </r>
  <r>
    <x v="1"/>
    <m/>
    <m/>
    <m/>
    <m/>
    <m/>
    <m/>
    <m/>
    <m/>
    <m/>
    <m/>
    <m/>
    <m/>
    <m/>
    <m/>
    <m/>
    <m/>
    <m/>
    <m/>
    <m/>
    <m/>
    <m/>
    <m/>
    <m/>
    <m/>
    <m/>
    <m/>
    <m/>
    <m/>
    <m/>
  </r>
  <r>
    <x v="1"/>
    <m/>
    <m/>
    <m/>
    <m/>
    <m/>
    <m/>
    <m/>
    <m/>
    <m/>
    <m/>
    <m/>
    <m/>
    <m/>
    <m/>
    <m/>
    <m/>
    <m/>
    <m/>
    <m/>
    <m/>
    <m/>
    <m/>
    <m/>
    <m/>
    <m/>
    <m/>
    <m/>
    <m/>
    <m/>
  </r>
  <r>
    <x v="1"/>
    <m/>
    <m/>
    <m/>
    <m/>
    <m/>
    <m/>
    <m/>
    <m/>
    <m/>
    <m/>
    <m/>
    <m/>
    <m/>
    <m/>
    <m/>
    <m/>
    <m/>
    <m/>
    <m/>
    <m/>
    <m/>
    <m/>
    <m/>
    <m/>
    <m/>
    <m/>
    <m/>
    <m/>
    <m/>
  </r>
  <r>
    <x v="1"/>
    <m/>
    <m/>
    <m/>
    <m/>
    <m/>
    <m/>
    <m/>
    <m/>
    <m/>
    <m/>
    <m/>
    <m/>
    <m/>
    <m/>
    <m/>
    <m/>
    <m/>
    <m/>
    <m/>
    <m/>
    <m/>
    <m/>
    <m/>
    <m/>
    <m/>
    <m/>
    <m/>
    <m/>
    <m/>
  </r>
  <r>
    <x v="1"/>
    <m/>
    <m/>
    <m/>
    <m/>
    <m/>
    <m/>
    <m/>
    <m/>
    <m/>
    <m/>
    <m/>
    <m/>
    <m/>
    <m/>
    <m/>
    <m/>
    <m/>
    <m/>
    <m/>
    <m/>
    <m/>
    <m/>
    <m/>
    <m/>
    <m/>
    <m/>
    <m/>
    <m/>
    <m/>
  </r>
  <r>
    <x v="1"/>
    <m/>
    <m/>
    <m/>
    <m/>
    <m/>
    <m/>
    <m/>
    <m/>
    <m/>
    <m/>
    <m/>
    <m/>
    <m/>
    <m/>
    <m/>
    <m/>
    <m/>
    <m/>
    <m/>
    <m/>
    <m/>
    <m/>
    <m/>
    <m/>
    <m/>
    <m/>
    <m/>
    <m/>
    <m/>
  </r>
  <r>
    <x v="1"/>
    <m/>
    <m/>
    <m/>
    <m/>
    <m/>
    <m/>
    <m/>
    <m/>
    <m/>
    <m/>
    <m/>
    <m/>
    <m/>
    <m/>
    <m/>
    <m/>
    <m/>
    <m/>
    <m/>
    <m/>
    <m/>
    <m/>
    <m/>
    <m/>
    <m/>
    <m/>
    <m/>
    <m/>
    <m/>
  </r>
  <r>
    <x v="1"/>
    <m/>
    <m/>
    <m/>
    <m/>
    <m/>
    <m/>
    <m/>
    <m/>
    <m/>
    <m/>
    <m/>
    <m/>
    <m/>
    <m/>
    <m/>
    <m/>
    <m/>
    <m/>
    <m/>
    <m/>
    <m/>
    <m/>
    <m/>
    <m/>
    <m/>
    <m/>
    <m/>
    <m/>
    <m/>
  </r>
  <r>
    <x v="1"/>
    <m/>
    <m/>
    <m/>
    <m/>
    <m/>
    <m/>
    <m/>
    <m/>
    <m/>
    <m/>
    <m/>
    <m/>
    <m/>
    <m/>
    <m/>
    <m/>
    <m/>
    <m/>
    <m/>
    <m/>
    <m/>
    <m/>
    <m/>
    <m/>
    <m/>
    <m/>
    <m/>
    <m/>
    <m/>
  </r>
  <r>
    <x v="1"/>
    <m/>
    <m/>
    <m/>
    <m/>
    <m/>
    <m/>
    <m/>
    <m/>
    <m/>
    <m/>
    <m/>
    <m/>
    <m/>
    <m/>
    <m/>
    <m/>
    <m/>
    <m/>
    <m/>
    <m/>
    <m/>
    <m/>
    <m/>
    <m/>
    <m/>
    <m/>
    <m/>
    <m/>
    <m/>
  </r>
  <r>
    <x v="1"/>
    <m/>
    <m/>
    <m/>
    <m/>
    <m/>
    <m/>
    <m/>
    <m/>
    <m/>
    <m/>
    <m/>
    <m/>
    <m/>
    <m/>
    <m/>
    <m/>
    <m/>
    <m/>
    <m/>
    <m/>
    <m/>
    <m/>
    <m/>
    <m/>
    <m/>
    <m/>
    <m/>
    <m/>
    <m/>
  </r>
  <r>
    <x v="1"/>
    <m/>
    <m/>
    <m/>
    <m/>
    <m/>
    <m/>
    <m/>
    <m/>
    <m/>
    <m/>
    <m/>
    <m/>
    <m/>
    <m/>
    <m/>
    <m/>
    <m/>
    <m/>
    <m/>
    <m/>
    <m/>
    <m/>
    <m/>
    <m/>
    <m/>
    <m/>
    <m/>
    <m/>
    <m/>
  </r>
  <r>
    <x v="1"/>
    <m/>
    <m/>
    <m/>
    <m/>
    <m/>
    <m/>
    <m/>
    <m/>
    <m/>
    <m/>
    <m/>
    <m/>
    <m/>
    <m/>
    <m/>
    <m/>
    <m/>
    <m/>
    <m/>
    <m/>
    <m/>
    <m/>
    <m/>
    <m/>
    <m/>
    <m/>
    <m/>
    <m/>
    <m/>
  </r>
  <r>
    <x v="1"/>
    <m/>
    <m/>
    <m/>
    <m/>
    <m/>
    <m/>
    <m/>
    <m/>
    <m/>
    <m/>
    <m/>
    <m/>
    <m/>
    <m/>
    <m/>
    <m/>
    <m/>
    <m/>
    <m/>
    <m/>
    <m/>
    <m/>
    <m/>
    <m/>
    <m/>
    <m/>
    <m/>
    <m/>
    <m/>
  </r>
  <r>
    <x v="1"/>
    <m/>
    <m/>
    <m/>
    <m/>
    <m/>
    <m/>
    <m/>
    <m/>
    <m/>
    <m/>
    <m/>
    <m/>
    <m/>
    <m/>
    <m/>
    <m/>
    <m/>
    <m/>
    <m/>
    <m/>
    <m/>
    <m/>
    <m/>
    <m/>
    <m/>
    <m/>
    <m/>
    <m/>
    <m/>
  </r>
  <r>
    <x v="1"/>
    <m/>
    <m/>
    <m/>
    <m/>
    <m/>
    <m/>
    <m/>
    <m/>
    <m/>
    <m/>
    <m/>
    <m/>
    <m/>
    <m/>
    <m/>
    <m/>
    <m/>
    <m/>
    <m/>
    <m/>
    <m/>
    <m/>
    <m/>
    <m/>
    <m/>
    <m/>
    <m/>
    <m/>
    <m/>
  </r>
  <r>
    <x v="1"/>
    <m/>
    <m/>
    <m/>
    <m/>
    <m/>
    <m/>
    <m/>
    <m/>
    <m/>
    <m/>
    <m/>
    <m/>
    <m/>
    <m/>
    <m/>
    <m/>
    <m/>
    <m/>
    <m/>
    <m/>
    <m/>
    <m/>
    <m/>
    <m/>
    <m/>
    <m/>
    <m/>
    <m/>
    <m/>
  </r>
  <r>
    <x v="1"/>
    <m/>
    <m/>
    <m/>
    <m/>
    <m/>
    <m/>
    <m/>
    <m/>
    <m/>
    <m/>
    <m/>
    <m/>
    <m/>
    <m/>
    <m/>
    <m/>
    <m/>
    <m/>
    <m/>
    <m/>
    <m/>
    <m/>
    <m/>
    <m/>
    <m/>
    <m/>
    <m/>
    <m/>
    <m/>
  </r>
  <r>
    <x v="1"/>
    <m/>
    <m/>
    <m/>
    <m/>
    <m/>
    <m/>
    <m/>
    <m/>
    <m/>
    <m/>
    <m/>
    <m/>
    <m/>
    <m/>
    <m/>
    <m/>
    <m/>
    <m/>
    <m/>
    <m/>
    <m/>
    <m/>
    <m/>
    <m/>
    <m/>
    <m/>
    <m/>
    <m/>
    <m/>
  </r>
  <r>
    <x v="1"/>
    <m/>
    <m/>
    <m/>
    <m/>
    <m/>
    <m/>
    <m/>
    <m/>
    <m/>
    <m/>
    <m/>
    <m/>
    <m/>
    <m/>
    <m/>
    <m/>
    <m/>
    <m/>
    <m/>
    <m/>
    <m/>
    <m/>
    <m/>
    <m/>
    <m/>
    <m/>
    <m/>
    <m/>
    <m/>
  </r>
  <r>
    <x v="1"/>
    <m/>
    <m/>
    <m/>
    <m/>
    <m/>
    <m/>
    <m/>
    <m/>
    <m/>
    <m/>
    <m/>
    <m/>
    <m/>
    <m/>
    <m/>
    <m/>
    <m/>
    <m/>
    <m/>
    <m/>
    <m/>
    <m/>
    <m/>
    <m/>
    <m/>
    <m/>
    <m/>
    <m/>
    <m/>
  </r>
  <r>
    <x v="1"/>
    <m/>
    <m/>
    <m/>
    <m/>
    <m/>
    <m/>
    <m/>
    <m/>
    <m/>
    <m/>
    <m/>
    <m/>
    <m/>
    <m/>
    <m/>
    <m/>
    <m/>
    <m/>
    <m/>
    <m/>
    <m/>
    <m/>
    <m/>
    <m/>
    <m/>
    <m/>
    <m/>
    <m/>
    <m/>
  </r>
  <r>
    <x v="1"/>
    <m/>
    <m/>
    <m/>
    <m/>
    <m/>
    <m/>
    <m/>
    <m/>
    <m/>
    <m/>
    <m/>
    <m/>
    <m/>
    <m/>
    <m/>
    <m/>
    <m/>
    <m/>
    <m/>
    <m/>
    <m/>
    <m/>
    <m/>
    <m/>
    <m/>
    <m/>
    <m/>
    <m/>
    <m/>
  </r>
  <r>
    <x v="1"/>
    <m/>
    <m/>
    <m/>
    <m/>
    <m/>
    <m/>
    <m/>
    <m/>
    <m/>
    <m/>
    <m/>
    <m/>
    <m/>
    <m/>
    <m/>
    <m/>
    <m/>
    <m/>
    <m/>
    <m/>
    <m/>
    <m/>
    <m/>
    <m/>
    <m/>
    <m/>
    <m/>
    <m/>
    <m/>
  </r>
  <r>
    <x v="1"/>
    <m/>
    <m/>
    <m/>
    <m/>
    <m/>
    <m/>
    <m/>
    <m/>
    <m/>
    <m/>
    <m/>
    <m/>
    <m/>
    <m/>
    <m/>
    <m/>
    <m/>
    <m/>
    <m/>
    <m/>
    <m/>
    <m/>
    <m/>
    <m/>
    <m/>
    <m/>
    <m/>
    <m/>
    <m/>
  </r>
  <r>
    <x v="1"/>
    <m/>
    <m/>
    <m/>
    <m/>
    <m/>
    <m/>
    <m/>
    <m/>
    <m/>
    <m/>
    <m/>
    <m/>
    <m/>
    <m/>
    <m/>
    <m/>
    <m/>
    <m/>
    <m/>
    <m/>
    <m/>
    <m/>
    <m/>
    <m/>
    <m/>
    <m/>
    <m/>
    <m/>
    <m/>
  </r>
  <r>
    <x v="1"/>
    <m/>
    <m/>
    <m/>
    <m/>
    <m/>
    <m/>
    <m/>
    <m/>
    <m/>
    <m/>
    <m/>
    <m/>
    <m/>
    <m/>
    <m/>
    <m/>
    <m/>
    <m/>
    <m/>
    <m/>
    <m/>
    <m/>
    <m/>
    <m/>
    <m/>
    <m/>
    <m/>
    <m/>
    <m/>
  </r>
  <r>
    <x v="1"/>
    <m/>
    <m/>
    <m/>
    <m/>
    <m/>
    <m/>
    <m/>
    <m/>
    <m/>
    <m/>
    <m/>
    <m/>
    <m/>
    <m/>
    <m/>
    <m/>
    <m/>
    <m/>
    <m/>
    <m/>
    <m/>
    <m/>
    <m/>
    <m/>
    <m/>
    <m/>
    <m/>
    <m/>
    <m/>
  </r>
  <r>
    <x v="1"/>
    <m/>
    <m/>
    <m/>
    <m/>
    <m/>
    <m/>
    <m/>
    <m/>
    <m/>
    <m/>
    <m/>
    <m/>
    <m/>
    <m/>
    <m/>
    <m/>
    <m/>
    <m/>
    <m/>
    <m/>
    <m/>
    <m/>
    <m/>
    <m/>
    <m/>
    <m/>
    <m/>
    <m/>
    <m/>
  </r>
  <r>
    <x v="1"/>
    <m/>
    <m/>
    <m/>
    <m/>
    <m/>
    <m/>
    <m/>
    <m/>
    <m/>
    <m/>
    <m/>
    <m/>
    <m/>
    <m/>
    <m/>
    <m/>
    <m/>
    <m/>
    <m/>
    <m/>
    <m/>
    <m/>
    <m/>
    <m/>
    <m/>
    <m/>
    <m/>
    <m/>
    <m/>
  </r>
  <r>
    <x v="1"/>
    <m/>
    <m/>
    <m/>
    <m/>
    <m/>
    <m/>
    <m/>
    <m/>
    <m/>
    <m/>
    <m/>
    <m/>
    <m/>
    <m/>
    <m/>
    <m/>
    <m/>
    <m/>
    <m/>
    <m/>
    <m/>
    <m/>
    <m/>
    <m/>
    <m/>
    <m/>
    <m/>
    <m/>
    <m/>
  </r>
  <r>
    <x v="1"/>
    <m/>
    <m/>
    <m/>
    <m/>
    <m/>
    <m/>
    <m/>
    <m/>
    <m/>
    <m/>
    <m/>
    <m/>
    <m/>
    <m/>
    <m/>
    <m/>
    <m/>
    <m/>
    <m/>
    <m/>
    <m/>
    <m/>
    <m/>
    <m/>
    <m/>
    <m/>
    <m/>
    <m/>
    <m/>
  </r>
  <r>
    <x v="1"/>
    <m/>
    <m/>
    <m/>
    <m/>
    <m/>
    <m/>
    <m/>
    <m/>
    <m/>
    <m/>
    <m/>
    <m/>
    <m/>
    <m/>
    <m/>
    <m/>
    <m/>
    <m/>
    <m/>
    <m/>
    <m/>
    <m/>
    <m/>
    <m/>
    <m/>
    <m/>
    <m/>
    <m/>
    <m/>
  </r>
  <r>
    <x v="1"/>
    <m/>
    <m/>
    <m/>
    <m/>
    <m/>
    <m/>
    <m/>
    <m/>
    <m/>
    <m/>
    <m/>
    <m/>
    <m/>
    <m/>
    <m/>
    <m/>
    <m/>
    <m/>
    <m/>
    <m/>
    <m/>
    <m/>
    <m/>
    <m/>
    <m/>
    <m/>
    <m/>
    <m/>
    <m/>
  </r>
  <r>
    <x v="1"/>
    <m/>
    <m/>
    <m/>
    <m/>
    <m/>
    <m/>
    <m/>
    <m/>
    <m/>
    <m/>
    <m/>
    <m/>
    <m/>
    <m/>
    <m/>
    <m/>
    <m/>
    <m/>
    <m/>
    <m/>
    <m/>
    <m/>
    <m/>
    <m/>
    <m/>
    <m/>
    <m/>
    <m/>
    <m/>
  </r>
  <r>
    <x v="1"/>
    <m/>
    <m/>
    <m/>
    <m/>
    <m/>
    <m/>
    <m/>
    <m/>
    <m/>
    <m/>
    <m/>
    <m/>
    <m/>
    <m/>
    <m/>
    <m/>
    <m/>
    <m/>
    <m/>
    <m/>
    <m/>
    <m/>
    <m/>
    <m/>
    <m/>
    <m/>
    <m/>
    <m/>
    <m/>
  </r>
  <r>
    <x v="1"/>
    <m/>
    <m/>
    <m/>
    <m/>
    <m/>
    <m/>
    <m/>
    <m/>
    <m/>
    <m/>
    <m/>
    <m/>
    <m/>
    <m/>
    <m/>
    <m/>
    <m/>
    <m/>
    <m/>
    <m/>
    <m/>
    <m/>
    <m/>
    <m/>
    <m/>
    <m/>
    <m/>
    <m/>
    <m/>
  </r>
  <r>
    <x v="1"/>
    <m/>
    <m/>
    <m/>
    <m/>
    <m/>
    <m/>
    <m/>
    <m/>
    <m/>
    <m/>
    <m/>
    <m/>
    <m/>
    <m/>
    <m/>
    <m/>
    <m/>
    <m/>
    <m/>
    <m/>
    <m/>
    <m/>
    <m/>
    <m/>
    <m/>
    <m/>
    <m/>
    <m/>
    <m/>
  </r>
  <r>
    <x v="1"/>
    <m/>
    <m/>
    <m/>
    <m/>
    <m/>
    <m/>
    <m/>
    <m/>
    <m/>
    <m/>
    <m/>
    <m/>
    <m/>
    <m/>
    <m/>
    <m/>
    <m/>
    <m/>
    <m/>
    <m/>
    <m/>
    <m/>
    <m/>
    <m/>
    <m/>
    <m/>
    <m/>
    <m/>
    <m/>
  </r>
  <r>
    <x v="1"/>
    <m/>
    <m/>
    <m/>
    <m/>
    <m/>
    <m/>
    <m/>
    <m/>
    <m/>
    <m/>
    <m/>
    <m/>
    <m/>
    <m/>
    <m/>
    <m/>
    <m/>
    <m/>
    <m/>
    <m/>
    <m/>
    <m/>
    <m/>
    <m/>
    <m/>
    <m/>
    <m/>
    <m/>
    <m/>
  </r>
  <r>
    <x v="1"/>
    <m/>
    <m/>
    <m/>
    <m/>
    <m/>
    <m/>
    <m/>
    <m/>
    <m/>
    <m/>
    <m/>
    <m/>
    <m/>
    <m/>
    <m/>
    <m/>
    <m/>
    <m/>
    <m/>
    <m/>
    <m/>
    <m/>
    <m/>
    <m/>
    <m/>
    <m/>
    <m/>
    <m/>
    <m/>
  </r>
  <r>
    <x v="1"/>
    <m/>
    <m/>
    <m/>
    <m/>
    <m/>
    <m/>
    <m/>
    <m/>
    <m/>
    <m/>
    <m/>
    <m/>
    <m/>
    <m/>
    <m/>
    <m/>
    <m/>
    <m/>
    <m/>
    <m/>
    <m/>
    <m/>
    <m/>
    <m/>
    <m/>
    <m/>
    <m/>
    <m/>
    <m/>
  </r>
  <r>
    <x v="1"/>
    <m/>
    <m/>
    <m/>
    <m/>
    <m/>
    <m/>
    <m/>
    <m/>
    <m/>
    <m/>
    <m/>
    <m/>
    <m/>
    <m/>
    <m/>
    <m/>
    <m/>
    <m/>
    <m/>
    <m/>
    <m/>
    <m/>
    <m/>
    <m/>
    <m/>
    <m/>
    <m/>
    <m/>
    <m/>
  </r>
  <r>
    <x v="1"/>
    <m/>
    <m/>
    <m/>
    <m/>
    <m/>
    <m/>
    <m/>
    <m/>
    <m/>
    <m/>
    <m/>
    <m/>
    <m/>
    <m/>
    <m/>
    <m/>
    <m/>
    <m/>
    <m/>
    <m/>
    <m/>
    <m/>
    <m/>
    <m/>
    <m/>
    <m/>
    <m/>
    <m/>
    <m/>
  </r>
  <r>
    <x v="1"/>
    <m/>
    <m/>
    <m/>
    <m/>
    <m/>
    <m/>
    <m/>
    <m/>
    <m/>
    <m/>
    <m/>
    <m/>
    <m/>
    <m/>
    <m/>
    <m/>
    <m/>
    <m/>
    <m/>
    <m/>
    <m/>
    <m/>
    <m/>
    <m/>
    <m/>
    <m/>
    <m/>
    <m/>
    <m/>
  </r>
  <r>
    <x v="1"/>
    <m/>
    <m/>
    <m/>
    <m/>
    <m/>
    <m/>
    <m/>
    <m/>
    <m/>
    <m/>
    <m/>
    <m/>
    <m/>
    <m/>
    <m/>
    <m/>
    <m/>
    <m/>
    <m/>
    <m/>
    <m/>
    <m/>
    <m/>
    <m/>
    <m/>
    <m/>
    <m/>
    <m/>
    <m/>
  </r>
  <r>
    <x v="1"/>
    <m/>
    <m/>
    <m/>
    <m/>
    <m/>
    <m/>
    <m/>
    <m/>
    <m/>
    <m/>
    <m/>
    <m/>
    <m/>
    <m/>
    <m/>
    <m/>
    <m/>
    <m/>
    <m/>
    <m/>
    <m/>
    <m/>
    <m/>
    <m/>
    <m/>
    <m/>
    <m/>
    <m/>
    <m/>
  </r>
  <r>
    <x v="1"/>
    <m/>
    <m/>
    <m/>
    <m/>
    <m/>
    <m/>
    <m/>
    <m/>
    <m/>
    <m/>
    <m/>
    <m/>
    <m/>
    <m/>
    <m/>
    <m/>
    <m/>
    <m/>
    <m/>
    <m/>
    <m/>
    <m/>
    <m/>
    <m/>
    <m/>
    <m/>
    <m/>
    <m/>
    <m/>
  </r>
  <r>
    <x v="1"/>
    <m/>
    <m/>
    <m/>
    <m/>
    <m/>
    <m/>
    <m/>
    <m/>
    <m/>
    <m/>
    <m/>
    <m/>
    <m/>
    <m/>
    <m/>
    <m/>
    <m/>
    <m/>
    <m/>
    <m/>
    <m/>
    <m/>
    <m/>
    <m/>
    <m/>
    <m/>
    <m/>
    <m/>
    <m/>
  </r>
  <r>
    <x v="1"/>
    <m/>
    <m/>
    <m/>
    <m/>
    <m/>
    <m/>
    <m/>
    <m/>
    <m/>
    <m/>
    <m/>
    <m/>
    <m/>
    <m/>
    <m/>
    <m/>
    <m/>
    <m/>
    <m/>
    <m/>
    <m/>
    <m/>
    <m/>
    <m/>
    <m/>
    <m/>
    <m/>
    <m/>
    <m/>
  </r>
  <r>
    <x v="1"/>
    <m/>
    <m/>
    <m/>
    <m/>
    <m/>
    <m/>
    <m/>
    <m/>
    <m/>
    <m/>
    <m/>
    <m/>
    <m/>
    <m/>
    <m/>
    <m/>
    <m/>
    <m/>
    <m/>
    <m/>
    <m/>
    <m/>
    <m/>
    <m/>
    <m/>
    <m/>
    <m/>
    <m/>
    <m/>
  </r>
  <r>
    <x v="1"/>
    <m/>
    <m/>
    <m/>
    <m/>
    <m/>
    <m/>
    <m/>
    <m/>
    <m/>
    <m/>
    <m/>
    <m/>
    <m/>
    <m/>
    <m/>
    <m/>
    <m/>
    <m/>
    <m/>
    <m/>
    <m/>
    <m/>
    <m/>
    <m/>
    <m/>
    <m/>
    <m/>
    <m/>
    <m/>
  </r>
  <r>
    <x v="1"/>
    <m/>
    <m/>
    <m/>
    <m/>
    <m/>
    <m/>
    <m/>
    <m/>
    <m/>
    <m/>
    <m/>
    <m/>
    <m/>
    <m/>
    <m/>
    <m/>
    <m/>
    <m/>
    <m/>
    <m/>
    <m/>
    <m/>
    <m/>
    <m/>
    <m/>
    <m/>
    <m/>
    <m/>
    <m/>
  </r>
  <r>
    <x v="1"/>
    <m/>
    <m/>
    <m/>
    <m/>
    <m/>
    <m/>
    <m/>
    <m/>
    <m/>
    <m/>
    <m/>
    <m/>
    <m/>
    <m/>
    <m/>
    <m/>
    <m/>
    <m/>
    <m/>
    <m/>
    <m/>
    <m/>
    <m/>
    <m/>
    <m/>
    <m/>
    <m/>
    <m/>
    <m/>
  </r>
  <r>
    <x v="1"/>
    <m/>
    <m/>
    <m/>
    <m/>
    <m/>
    <m/>
    <m/>
    <m/>
    <m/>
    <m/>
    <m/>
    <m/>
    <m/>
    <m/>
    <m/>
    <m/>
    <m/>
    <m/>
    <m/>
    <m/>
    <m/>
    <m/>
    <m/>
    <m/>
    <m/>
    <m/>
    <m/>
    <m/>
    <m/>
  </r>
  <r>
    <x v="1"/>
    <m/>
    <m/>
    <m/>
    <m/>
    <m/>
    <m/>
    <m/>
    <m/>
    <m/>
    <m/>
    <m/>
    <m/>
    <m/>
    <m/>
    <m/>
    <m/>
    <m/>
    <m/>
    <m/>
    <m/>
    <m/>
    <m/>
    <m/>
    <m/>
    <m/>
    <m/>
    <m/>
    <m/>
    <m/>
  </r>
  <r>
    <x v="1"/>
    <m/>
    <m/>
    <m/>
    <m/>
    <m/>
    <m/>
    <m/>
    <m/>
    <m/>
    <m/>
    <m/>
    <m/>
    <m/>
    <m/>
    <m/>
    <m/>
    <m/>
    <m/>
    <m/>
    <m/>
    <m/>
    <m/>
    <m/>
    <m/>
    <m/>
    <m/>
    <m/>
    <m/>
    <m/>
  </r>
  <r>
    <x v="1"/>
    <m/>
    <m/>
    <m/>
    <m/>
    <m/>
    <m/>
    <m/>
    <m/>
    <m/>
    <m/>
    <m/>
    <m/>
    <m/>
    <m/>
    <m/>
    <m/>
    <m/>
    <m/>
    <m/>
    <m/>
    <m/>
    <m/>
    <m/>
    <m/>
    <m/>
    <m/>
    <m/>
    <m/>
    <m/>
  </r>
  <r>
    <x v="1"/>
    <m/>
    <m/>
    <m/>
    <m/>
    <m/>
    <m/>
    <m/>
    <m/>
    <m/>
    <m/>
    <m/>
    <m/>
    <m/>
    <m/>
    <m/>
    <m/>
    <m/>
    <m/>
    <m/>
    <m/>
    <m/>
    <m/>
    <m/>
    <m/>
    <m/>
    <m/>
    <m/>
    <m/>
    <m/>
  </r>
  <r>
    <x v="1"/>
    <m/>
    <m/>
    <m/>
    <m/>
    <m/>
    <m/>
    <m/>
    <m/>
    <m/>
    <m/>
    <m/>
    <m/>
    <m/>
    <m/>
    <m/>
    <m/>
    <m/>
    <m/>
    <m/>
    <m/>
    <m/>
    <m/>
    <m/>
    <m/>
    <m/>
    <m/>
    <m/>
    <m/>
    <m/>
  </r>
  <r>
    <x v="1"/>
    <m/>
    <m/>
    <m/>
    <m/>
    <m/>
    <m/>
    <m/>
    <m/>
    <m/>
    <m/>
    <m/>
    <m/>
    <m/>
    <m/>
    <m/>
    <m/>
    <m/>
    <m/>
    <m/>
    <m/>
    <m/>
    <m/>
    <m/>
    <m/>
    <m/>
    <m/>
    <m/>
    <m/>
    <m/>
  </r>
  <r>
    <x v="1"/>
    <m/>
    <m/>
    <m/>
    <m/>
    <m/>
    <m/>
    <m/>
    <m/>
    <m/>
    <m/>
    <m/>
    <m/>
    <m/>
    <m/>
    <m/>
    <m/>
    <m/>
    <m/>
    <m/>
    <m/>
    <m/>
    <m/>
    <m/>
    <m/>
    <m/>
    <m/>
    <m/>
    <m/>
    <m/>
  </r>
  <r>
    <x v="1"/>
    <m/>
    <m/>
    <m/>
    <m/>
    <m/>
    <m/>
    <m/>
    <m/>
    <m/>
    <m/>
    <m/>
    <m/>
    <m/>
    <m/>
    <m/>
    <m/>
    <m/>
    <m/>
    <m/>
    <m/>
    <m/>
    <m/>
    <m/>
    <m/>
    <m/>
    <m/>
    <m/>
    <m/>
    <m/>
  </r>
  <r>
    <x v="1"/>
    <m/>
    <m/>
    <m/>
    <m/>
    <m/>
    <m/>
    <m/>
    <m/>
    <m/>
    <m/>
    <m/>
    <m/>
    <m/>
    <m/>
    <m/>
    <m/>
    <m/>
    <m/>
    <m/>
    <m/>
    <m/>
    <m/>
    <m/>
    <m/>
    <m/>
    <m/>
    <m/>
    <m/>
    <m/>
  </r>
  <r>
    <x v="1"/>
    <m/>
    <m/>
    <m/>
    <m/>
    <m/>
    <m/>
    <m/>
    <m/>
    <m/>
    <m/>
    <m/>
    <m/>
    <m/>
    <m/>
    <m/>
    <m/>
    <m/>
    <m/>
    <m/>
    <m/>
    <m/>
    <m/>
    <m/>
    <m/>
    <m/>
    <m/>
    <m/>
    <m/>
    <m/>
  </r>
  <r>
    <x v="1"/>
    <m/>
    <m/>
    <m/>
    <m/>
    <m/>
    <m/>
    <m/>
    <m/>
    <m/>
    <m/>
    <m/>
    <m/>
    <m/>
    <m/>
    <m/>
    <m/>
    <m/>
    <m/>
    <m/>
    <m/>
    <m/>
    <m/>
    <m/>
    <m/>
    <m/>
    <m/>
    <m/>
    <m/>
    <m/>
  </r>
  <r>
    <x v="1"/>
    <m/>
    <m/>
    <m/>
    <m/>
    <m/>
    <m/>
    <m/>
    <m/>
    <m/>
    <m/>
    <m/>
    <m/>
    <m/>
    <m/>
    <m/>
    <m/>
    <m/>
    <m/>
    <m/>
    <m/>
    <m/>
    <m/>
    <m/>
    <m/>
    <m/>
    <m/>
    <m/>
    <m/>
    <m/>
  </r>
  <r>
    <x v="1"/>
    <m/>
    <m/>
    <m/>
    <m/>
    <m/>
    <m/>
    <m/>
    <m/>
    <m/>
    <m/>
    <m/>
    <m/>
    <m/>
    <m/>
    <m/>
    <m/>
    <m/>
    <m/>
    <m/>
    <m/>
    <m/>
    <m/>
    <m/>
    <m/>
    <m/>
    <m/>
    <m/>
    <m/>
    <m/>
  </r>
  <r>
    <x v="1"/>
    <m/>
    <m/>
    <m/>
    <m/>
    <m/>
    <m/>
    <m/>
    <m/>
    <m/>
    <m/>
    <m/>
    <m/>
    <m/>
    <m/>
    <m/>
    <m/>
    <m/>
    <m/>
    <m/>
    <m/>
    <m/>
    <m/>
    <m/>
    <m/>
    <m/>
    <m/>
    <m/>
    <m/>
    <m/>
  </r>
  <r>
    <x v="1"/>
    <m/>
    <m/>
    <m/>
    <m/>
    <m/>
    <m/>
    <m/>
    <m/>
    <m/>
    <m/>
    <m/>
    <m/>
    <m/>
    <m/>
    <m/>
    <m/>
    <m/>
    <m/>
    <m/>
    <m/>
    <m/>
    <m/>
    <m/>
    <m/>
    <m/>
    <m/>
    <m/>
    <m/>
    <m/>
  </r>
  <r>
    <x v="1"/>
    <m/>
    <m/>
    <m/>
    <m/>
    <m/>
    <m/>
    <m/>
    <m/>
    <m/>
    <m/>
    <m/>
    <m/>
    <m/>
    <m/>
    <m/>
    <m/>
    <m/>
    <m/>
    <m/>
    <m/>
    <m/>
    <m/>
    <m/>
    <m/>
    <m/>
    <m/>
    <m/>
    <m/>
    <m/>
  </r>
  <r>
    <x v="1"/>
    <m/>
    <m/>
    <m/>
    <m/>
    <m/>
    <m/>
    <m/>
    <m/>
    <m/>
    <m/>
    <m/>
    <m/>
    <m/>
    <m/>
    <m/>
    <m/>
    <m/>
    <m/>
    <m/>
    <m/>
    <m/>
    <m/>
    <m/>
    <m/>
    <m/>
    <m/>
    <m/>
    <m/>
    <m/>
  </r>
  <r>
    <x v="1"/>
    <m/>
    <m/>
    <m/>
    <m/>
    <m/>
    <m/>
    <m/>
    <m/>
    <m/>
    <m/>
    <m/>
    <m/>
    <m/>
    <m/>
    <m/>
    <m/>
    <m/>
    <m/>
    <m/>
    <m/>
    <m/>
    <m/>
    <m/>
    <m/>
    <m/>
    <m/>
    <m/>
    <m/>
    <m/>
  </r>
  <r>
    <x v="1"/>
    <m/>
    <m/>
    <m/>
    <m/>
    <m/>
    <m/>
    <m/>
    <m/>
    <m/>
    <m/>
    <m/>
    <m/>
    <m/>
    <m/>
    <m/>
    <m/>
    <m/>
    <m/>
    <m/>
    <m/>
    <m/>
    <m/>
    <m/>
    <m/>
    <m/>
    <m/>
    <m/>
    <m/>
    <m/>
  </r>
  <r>
    <x v="1"/>
    <m/>
    <m/>
    <m/>
    <m/>
    <m/>
    <m/>
    <m/>
    <m/>
    <m/>
    <m/>
    <m/>
    <m/>
    <m/>
    <m/>
    <m/>
    <m/>
    <m/>
    <m/>
    <m/>
    <m/>
    <m/>
    <m/>
    <m/>
    <m/>
    <m/>
    <m/>
    <m/>
    <m/>
    <m/>
  </r>
  <r>
    <x v="1"/>
    <m/>
    <m/>
    <m/>
    <m/>
    <m/>
    <m/>
    <m/>
    <m/>
    <m/>
    <m/>
    <m/>
    <m/>
    <m/>
    <m/>
    <m/>
    <m/>
    <m/>
    <m/>
    <m/>
    <m/>
    <m/>
    <m/>
    <m/>
    <m/>
    <m/>
    <m/>
    <m/>
    <m/>
    <m/>
  </r>
  <r>
    <x v="1"/>
    <m/>
    <m/>
    <m/>
    <m/>
    <m/>
    <m/>
    <m/>
    <m/>
    <m/>
    <m/>
    <m/>
    <m/>
    <m/>
    <m/>
    <m/>
    <m/>
    <m/>
    <m/>
    <m/>
    <m/>
    <m/>
    <m/>
    <m/>
    <m/>
    <m/>
    <m/>
    <m/>
    <m/>
    <m/>
  </r>
  <r>
    <x v="1"/>
    <m/>
    <m/>
    <m/>
    <m/>
    <m/>
    <m/>
    <m/>
    <m/>
    <m/>
    <m/>
    <m/>
    <m/>
    <m/>
    <m/>
    <m/>
    <m/>
    <m/>
    <m/>
    <m/>
    <m/>
    <m/>
    <m/>
    <m/>
    <m/>
    <m/>
    <m/>
    <m/>
    <m/>
    <m/>
  </r>
  <r>
    <x v="1"/>
    <m/>
    <m/>
    <m/>
    <m/>
    <m/>
    <m/>
    <m/>
    <m/>
    <m/>
    <m/>
    <m/>
    <m/>
    <m/>
    <m/>
    <m/>
    <m/>
    <m/>
    <m/>
    <m/>
    <m/>
    <m/>
    <m/>
    <m/>
    <m/>
    <m/>
    <m/>
    <m/>
    <m/>
    <m/>
  </r>
  <r>
    <x v="1"/>
    <m/>
    <m/>
    <m/>
    <m/>
    <m/>
    <m/>
    <m/>
    <m/>
    <m/>
    <m/>
    <m/>
    <m/>
    <m/>
    <m/>
    <m/>
    <m/>
    <m/>
    <m/>
    <m/>
    <m/>
    <m/>
    <m/>
    <m/>
    <m/>
    <m/>
    <m/>
    <m/>
    <m/>
    <m/>
  </r>
  <r>
    <x v="1"/>
    <m/>
    <m/>
    <m/>
    <m/>
    <m/>
    <m/>
    <m/>
    <m/>
    <m/>
    <m/>
    <m/>
    <m/>
    <m/>
    <m/>
    <m/>
    <m/>
    <m/>
    <m/>
    <m/>
    <m/>
    <m/>
    <m/>
    <m/>
    <m/>
    <m/>
    <m/>
    <m/>
    <m/>
    <m/>
  </r>
  <r>
    <x v="1"/>
    <m/>
    <m/>
    <m/>
    <m/>
    <m/>
    <m/>
    <m/>
    <m/>
    <m/>
    <m/>
    <m/>
    <m/>
    <m/>
    <m/>
    <m/>
    <m/>
    <m/>
    <m/>
    <m/>
    <m/>
    <m/>
    <m/>
    <m/>
    <m/>
    <m/>
    <m/>
    <m/>
    <m/>
    <m/>
  </r>
  <r>
    <x v="1"/>
    <m/>
    <m/>
    <m/>
    <m/>
    <m/>
    <m/>
    <m/>
    <m/>
    <m/>
    <m/>
    <m/>
    <m/>
    <m/>
    <m/>
    <m/>
    <m/>
    <m/>
    <m/>
    <m/>
    <m/>
    <m/>
    <m/>
    <m/>
    <m/>
    <m/>
    <m/>
    <m/>
    <m/>
    <m/>
  </r>
  <r>
    <x v="1"/>
    <m/>
    <m/>
    <m/>
    <m/>
    <m/>
    <m/>
    <m/>
    <m/>
    <m/>
    <m/>
    <m/>
    <m/>
    <m/>
    <m/>
    <m/>
    <m/>
    <m/>
    <m/>
    <m/>
    <m/>
    <m/>
    <m/>
    <m/>
    <m/>
    <m/>
    <m/>
    <m/>
    <m/>
    <m/>
  </r>
  <r>
    <x v="1"/>
    <m/>
    <m/>
    <m/>
    <m/>
    <m/>
    <m/>
    <m/>
    <m/>
    <m/>
    <m/>
    <m/>
    <m/>
    <m/>
    <m/>
    <m/>
    <m/>
    <m/>
    <m/>
    <m/>
    <m/>
    <m/>
    <m/>
    <m/>
    <m/>
    <m/>
    <m/>
    <m/>
    <m/>
    <m/>
  </r>
  <r>
    <x v="1"/>
    <m/>
    <m/>
    <m/>
    <m/>
    <m/>
    <m/>
    <m/>
    <m/>
    <m/>
    <m/>
    <m/>
    <m/>
    <m/>
    <m/>
    <m/>
    <m/>
    <m/>
    <m/>
    <m/>
    <m/>
    <m/>
    <m/>
    <m/>
    <m/>
    <m/>
    <m/>
    <m/>
    <m/>
    <m/>
  </r>
  <r>
    <x v="1"/>
    <m/>
    <m/>
    <m/>
    <m/>
    <m/>
    <m/>
    <m/>
    <m/>
    <m/>
    <m/>
    <m/>
    <m/>
    <m/>
    <m/>
    <m/>
    <m/>
    <m/>
    <m/>
    <m/>
    <m/>
    <m/>
    <m/>
    <m/>
    <m/>
    <m/>
    <m/>
    <m/>
    <m/>
    <m/>
  </r>
  <r>
    <x v="1"/>
    <m/>
    <m/>
    <m/>
    <m/>
    <m/>
    <m/>
    <m/>
    <m/>
    <m/>
    <m/>
    <m/>
    <m/>
    <m/>
    <m/>
    <m/>
    <m/>
    <m/>
    <m/>
    <m/>
    <m/>
    <m/>
    <m/>
    <m/>
    <m/>
    <m/>
    <m/>
    <m/>
    <m/>
    <m/>
  </r>
  <r>
    <x v="1"/>
    <m/>
    <m/>
    <m/>
    <m/>
    <m/>
    <m/>
    <m/>
    <m/>
    <m/>
    <m/>
    <m/>
    <m/>
    <m/>
    <m/>
    <m/>
    <m/>
    <m/>
    <m/>
    <m/>
    <m/>
    <m/>
    <m/>
    <m/>
    <m/>
    <m/>
    <m/>
    <m/>
    <m/>
    <m/>
  </r>
  <r>
    <x v="1"/>
    <m/>
    <m/>
    <m/>
    <m/>
    <m/>
    <m/>
    <m/>
    <m/>
    <m/>
    <m/>
    <m/>
    <m/>
    <m/>
    <m/>
    <m/>
    <m/>
    <m/>
    <m/>
    <m/>
    <m/>
    <m/>
    <m/>
    <m/>
    <m/>
    <m/>
    <m/>
    <m/>
    <m/>
    <m/>
  </r>
  <r>
    <x v="1"/>
    <m/>
    <m/>
    <m/>
    <m/>
    <m/>
    <m/>
    <m/>
    <m/>
    <m/>
    <m/>
    <m/>
    <m/>
    <m/>
    <m/>
    <m/>
    <m/>
    <m/>
    <m/>
    <m/>
    <m/>
    <m/>
    <m/>
    <m/>
    <m/>
    <m/>
    <m/>
    <m/>
    <m/>
    <m/>
  </r>
  <r>
    <x v="1"/>
    <m/>
    <m/>
    <m/>
    <m/>
    <m/>
    <m/>
    <m/>
    <m/>
    <m/>
    <m/>
    <m/>
    <m/>
    <m/>
    <m/>
    <m/>
    <m/>
    <m/>
    <m/>
    <m/>
    <m/>
    <m/>
    <m/>
    <m/>
    <m/>
    <m/>
    <m/>
    <m/>
    <m/>
    <m/>
  </r>
  <r>
    <x v="1"/>
    <m/>
    <m/>
    <m/>
    <m/>
    <m/>
    <m/>
    <m/>
    <m/>
    <m/>
    <m/>
    <m/>
    <m/>
    <m/>
    <m/>
    <m/>
    <m/>
    <m/>
    <m/>
    <m/>
    <m/>
    <m/>
    <m/>
    <m/>
    <m/>
    <m/>
    <m/>
    <m/>
    <m/>
    <m/>
  </r>
  <r>
    <x v="1"/>
    <m/>
    <m/>
    <m/>
    <m/>
    <m/>
    <m/>
    <m/>
    <m/>
    <m/>
    <m/>
    <m/>
    <m/>
    <m/>
    <m/>
    <m/>
    <m/>
    <m/>
    <m/>
    <m/>
    <m/>
    <m/>
    <m/>
    <m/>
    <m/>
    <m/>
    <m/>
    <m/>
    <m/>
    <m/>
  </r>
  <r>
    <x v="1"/>
    <m/>
    <m/>
    <m/>
    <m/>
    <m/>
    <m/>
    <m/>
    <m/>
    <m/>
    <m/>
    <m/>
    <m/>
    <m/>
    <m/>
    <m/>
    <m/>
    <m/>
    <m/>
    <m/>
    <m/>
    <m/>
    <m/>
    <m/>
    <m/>
    <m/>
    <m/>
    <m/>
    <m/>
    <m/>
  </r>
  <r>
    <x v="1"/>
    <m/>
    <m/>
    <m/>
    <m/>
    <m/>
    <m/>
    <m/>
    <m/>
    <m/>
    <m/>
    <m/>
    <m/>
    <m/>
    <m/>
    <m/>
    <m/>
    <m/>
    <m/>
    <m/>
    <m/>
    <m/>
    <m/>
    <m/>
    <m/>
    <m/>
    <m/>
    <m/>
    <m/>
    <m/>
  </r>
  <r>
    <x v="1"/>
    <m/>
    <m/>
    <m/>
    <m/>
    <m/>
    <m/>
    <m/>
    <m/>
    <m/>
    <m/>
    <m/>
    <m/>
    <m/>
    <m/>
    <m/>
    <m/>
    <m/>
    <m/>
    <m/>
    <m/>
    <m/>
    <m/>
    <m/>
    <m/>
    <m/>
    <m/>
    <m/>
    <m/>
    <m/>
  </r>
  <r>
    <x v="1"/>
    <m/>
    <m/>
    <m/>
    <m/>
    <m/>
    <m/>
    <m/>
    <m/>
    <m/>
    <m/>
    <m/>
    <m/>
    <m/>
    <m/>
    <m/>
    <m/>
    <m/>
    <m/>
    <m/>
    <m/>
    <m/>
    <m/>
    <m/>
    <m/>
    <m/>
    <m/>
    <m/>
    <m/>
    <m/>
  </r>
  <r>
    <x v="1"/>
    <m/>
    <m/>
    <m/>
    <m/>
    <m/>
    <m/>
    <m/>
    <m/>
    <m/>
    <m/>
    <m/>
    <m/>
    <m/>
    <m/>
    <m/>
    <m/>
    <m/>
    <m/>
    <m/>
    <m/>
    <m/>
    <m/>
    <m/>
    <m/>
    <m/>
    <m/>
    <m/>
    <m/>
    <m/>
  </r>
  <r>
    <x v="1"/>
    <m/>
    <m/>
    <m/>
    <m/>
    <m/>
    <m/>
    <m/>
    <m/>
    <m/>
    <m/>
    <m/>
    <m/>
    <m/>
    <m/>
    <m/>
    <m/>
    <m/>
    <m/>
    <m/>
    <m/>
    <m/>
    <m/>
    <m/>
    <m/>
    <m/>
    <m/>
    <m/>
    <m/>
    <m/>
  </r>
  <r>
    <x v="1"/>
    <m/>
    <m/>
    <m/>
    <m/>
    <m/>
    <m/>
    <m/>
    <m/>
    <m/>
    <m/>
    <m/>
    <m/>
    <m/>
    <m/>
    <m/>
    <m/>
    <m/>
    <m/>
    <m/>
    <m/>
    <m/>
    <m/>
    <m/>
    <m/>
    <m/>
    <m/>
    <m/>
    <m/>
    <m/>
  </r>
  <r>
    <x v="1"/>
    <m/>
    <m/>
    <m/>
    <m/>
    <m/>
    <m/>
    <m/>
    <m/>
    <m/>
    <m/>
    <m/>
    <m/>
    <m/>
    <m/>
    <m/>
    <m/>
    <m/>
    <m/>
    <m/>
    <m/>
    <m/>
    <m/>
    <m/>
    <m/>
    <m/>
    <m/>
    <m/>
    <m/>
    <m/>
  </r>
  <r>
    <x v="1"/>
    <m/>
    <m/>
    <m/>
    <m/>
    <m/>
    <m/>
    <m/>
    <m/>
    <m/>
    <m/>
    <m/>
    <m/>
    <m/>
    <m/>
    <m/>
    <m/>
    <m/>
    <m/>
    <m/>
    <m/>
    <m/>
    <m/>
    <m/>
    <m/>
    <m/>
    <m/>
    <m/>
    <m/>
    <m/>
  </r>
  <r>
    <x v="1"/>
    <m/>
    <m/>
    <m/>
    <m/>
    <m/>
    <m/>
    <m/>
    <m/>
    <m/>
    <m/>
    <m/>
    <m/>
    <m/>
    <m/>
    <m/>
    <m/>
    <m/>
    <m/>
    <m/>
    <m/>
    <m/>
    <m/>
    <m/>
    <m/>
    <m/>
    <m/>
    <m/>
    <m/>
    <m/>
  </r>
  <r>
    <x v="1"/>
    <m/>
    <m/>
    <m/>
    <m/>
    <m/>
    <m/>
    <m/>
    <m/>
    <m/>
    <m/>
    <m/>
    <m/>
    <m/>
    <m/>
    <m/>
    <m/>
    <m/>
    <m/>
    <m/>
    <m/>
    <m/>
    <m/>
    <m/>
    <m/>
    <m/>
    <m/>
    <m/>
    <m/>
    <m/>
  </r>
  <r>
    <x v="1"/>
    <m/>
    <m/>
    <m/>
    <m/>
    <m/>
    <m/>
    <m/>
    <m/>
    <m/>
    <m/>
    <m/>
    <m/>
    <m/>
    <m/>
    <m/>
    <m/>
    <m/>
    <m/>
    <m/>
    <m/>
    <m/>
    <m/>
    <m/>
    <m/>
    <m/>
    <m/>
    <m/>
    <m/>
    <m/>
  </r>
  <r>
    <x v="1"/>
    <m/>
    <m/>
    <m/>
    <m/>
    <m/>
    <m/>
    <m/>
    <m/>
    <m/>
    <m/>
    <m/>
    <m/>
    <m/>
    <m/>
    <m/>
    <m/>
    <m/>
    <m/>
    <m/>
    <m/>
    <m/>
    <m/>
    <m/>
    <m/>
    <m/>
    <m/>
    <m/>
    <m/>
    <m/>
  </r>
  <r>
    <x v="1"/>
    <m/>
    <m/>
    <m/>
    <m/>
    <m/>
    <m/>
    <m/>
    <m/>
    <m/>
    <m/>
    <m/>
    <m/>
    <m/>
    <m/>
    <m/>
    <m/>
    <m/>
    <m/>
    <m/>
    <m/>
    <m/>
    <m/>
    <m/>
    <m/>
    <m/>
    <m/>
    <m/>
    <m/>
    <m/>
  </r>
  <r>
    <x v="1"/>
    <m/>
    <m/>
    <m/>
    <m/>
    <m/>
    <m/>
    <m/>
    <m/>
    <m/>
    <m/>
    <m/>
    <m/>
    <m/>
    <m/>
    <m/>
    <m/>
    <m/>
    <m/>
    <m/>
    <m/>
    <m/>
    <m/>
    <m/>
    <m/>
    <m/>
    <m/>
    <m/>
    <m/>
    <m/>
  </r>
  <r>
    <x v="1"/>
    <m/>
    <m/>
    <m/>
    <m/>
    <m/>
    <m/>
    <m/>
    <m/>
    <m/>
    <m/>
    <m/>
    <m/>
    <m/>
    <m/>
    <m/>
    <m/>
    <m/>
    <m/>
    <m/>
    <m/>
    <m/>
    <m/>
    <m/>
    <m/>
    <m/>
    <m/>
    <m/>
    <m/>
    <m/>
  </r>
  <r>
    <x v="1"/>
    <m/>
    <m/>
    <m/>
    <m/>
    <m/>
    <m/>
    <m/>
    <m/>
    <m/>
    <m/>
    <m/>
    <m/>
    <m/>
    <m/>
    <m/>
    <m/>
    <m/>
    <m/>
    <m/>
    <m/>
    <m/>
    <m/>
    <m/>
    <m/>
    <m/>
    <m/>
    <m/>
    <m/>
    <m/>
  </r>
  <r>
    <x v="1"/>
    <m/>
    <m/>
    <m/>
    <m/>
    <m/>
    <m/>
    <m/>
    <m/>
    <m/>
    <m/>
    <m/>
    <m/>
    <m/>
    <m/>
    <m/>
    <m/>
    <m/>
    <m/>
    <m/>
    <m/>
    <m/>
    <m/>
    <m/>
    <m/>
    <m/>
    <m/>
    <m/>
    <m/>
    <m/>
  </r>
  <r>
    <x v="1"/>
    <m/>
    <m/>
    <m/>
    <m/>
    <m/>
    <m/>
    <m/>
    <m/>
    <m/>
    <m/>
    <m/>
    <m/>
    <m/>
    <m/>
    <m/>
    <m/>
    <m/>
    <m/>
    <m/>
    <m/>
    <m/>
    <m/>
    <m/>
    <m/>
    <m/>
    <m/>
    <m/>
    <m/>
    <m/>
  </r>
  <r>
    <x v="1"/>
    <m/>
    <m/>
    <m/>
    <m/>
    <m/>
    <m/>
    <m/>
    <m/>
    <m/>
    <m/>
    <m/>
    <m/>
    <m/>
    <m/>
    <m/>
    <m/>
    <m/>
    <m/>
    <m/>
    <m/>
    <m/>
    <m/>
    <m/>
    <m/>
    <m/>
    <m/>
    <m/>
    <m/>
    <m/>
  </r>
  <r>
    <x v="1"/>
    <m/>
    <m/>
    <m/>
    <m/>
    <m/>
    <m/>
    <m/>
    <m/>
    <m/>
    <m/>
    <m/>
    <m/>
    <m/>
    <m/>
    <m/>
    <m/>
    <m/>
    <m/>
    <m/>
    <m/>
    <m/>
    <m/>
    <m/>
    <m/>
    <m/>
    <m/>
    <m/>
    <m/>
    <m/>
  </r>
  <r>
    <x v="1"/>
    <m/>
    <m/>
    <m/>
    <m/>
    <m/>
    <m/>
    <m/>
    <m/>
    <m/>
    <m/>
    <m/>
    <m/>
    <m/>
    <m/>
    <m/>
    <m/>
    <m/>
    <m/>
    <m/>
    <m/>
    <m/>
    <m/>
    <m/>
    <m/>
    <m/>
    <m/>
    <m/>
    <m/>
    <m/>
  </r>
  <r>
    <x v="1"/>
    <m/>
    <m/>
    <m/>
    <m/>
    <m/>
    <m/>
    <m/>
    <m/>
    <m/>
    <m/>
    <m/>
    <m/>
    <m/>
    <m/>
    <m/>
    <m/>
    <m/>
    <m/>
    <m/>
    <m/>
    <m/>
    <m/>
    <m/>
    <m/>
    <m/>
    <m/>
    <m/>
    <m/>
    <m/>
  </r>
  <r>
    <x v="1"/>
    <m/>
    <m/>
    <m/>
    <m/>
    <m/>
    <m/>
    <m/>
    <m/>
    <m/>
    <m/>
    <m/>
    <m/>
    <m/>
    <m/>
    <m/>
    <m/>
    <m/>
    <m/>
    <m/>
    <m/>
    <m/>
    <m/>
    <m/>
    <m/>
    <m/>
    <m/>
    <m/>
    <m/>
    <m/>
  </r>
  <r>
    <x v="1"/>
    <m/>
    <m/>
    <m/>
    <m/>
    <m/>
    <m/>
    <m/>
    <m/>
    <m/>
    <m/>
    <m/>
    <m/>
    <m/>
    <m/>
    <m/>
    <m/>
    <m/>
    <m/>
    <m/>
    <m/>
    <m/>
    <m/>
    <m/>
    <m/>
    <m/>
    <m/>
    <m/>
    <m/>
    <m/>
  </r>
  <r>
    <x v="1"/>
    <m/>
    <m/>
    <m/>
    <m/>
    <m/>
    <m/>
    <m/>
    <m/>
    <m/>
    <m/>
    <m/>
    <m/>
    <m/>
    <m/>
    <m/>
    <m/>
    <m/>
    <m/>
    <m/>
    <m/>
    <m/>
    <m/>
    <m/>
    <m/>
    <m/>
    <m/>
    <m/>
    <m/>
    <m/>
  </r>
  <r>
    <x v="1"/>
    <m/>
    <m/>
    <m/>
    <m/>
    <m/>
    <m/>
    <m/>
    <m/>
    <m/>
    <m/>
    <m/>
    <m/>
    <m/>
    <m/>
    <m/>
    <m/>
    <m/>
    <m/>
    <m/>
    <m/>
    <m/>
    <m/>
    <m/>
    <m/>
    <m/>
    <m/>
    <m/>
    <m/>
    <m/>
  </r>
  <r>
    <x v="1"/>
    <m/>
    <m/>
    <m/>
    <m/>
    <m/>
    <m/>
    <m/>
    <m/>
    <m/>
    <m/>
    <m/>
    <m/>
    <m/>
    <m/>
    <m/>
    <m/>
    <m/>
    <m/>
    <m/>
    <m/>
    <m/>
    <m/>
    <m/>
    <m/>
    <m/>
    <m/>
    <m/>
    <m/>
    <m/>
  </r>
  <r>
    <x v="1"/>
    <m/>
    <m/>
    <m/>
    <m/>
    <m/>
    <m/>
    <m/>
    <m/>
    <m/>
    <m/>
    <m/>
    <m/>
    <m/>
    <m/>
    <m/>
    <m/>
    <m/>
    <m/>
    <m/>
    <m/>
    <m/>
    <m/>
    <m/>
    <m/>
    <m/>
    <m/>
    <m/>
    <m/>
    <m/>
  </r>
  <r>
    <x v="1"/>
    <m/>
    <m/>
    <m/>
    <m/>
    <m/>
    <m/>
    <m/>
    <m/>
    <m/>
    <m/>
    <m/>
    <m/>
    <m/>
    <m/>
    <m/>
    <m/>
    <m/>
    <m/>
    <m/>
    <m/>
    <m/>
    <m/>
    <m/>
    <m/>
    <m/>
    <m/>
    <m/>
    <m/>
    <m/>
  </r>
  <r>
    <x v="1"/>
    <m/>
    <m/>
    <m/>
    <m/>
    <m/>
    <m/>
    <m/>
    <m/>
    <m/>
    <m/>
    <m/>
    <m/>
    <m/>
    <m/>
    <m/>
    <m/>
    <m/>
    <m/>
    <m/>
    <m/>
    <m/>
    <m/>
    <m/>
    <m/>
    <m/>
    <m/>
    <m/>
    <m/>
    <m/>
  </r>
  <r>
    <x v="1"/>
    <m/>
    <m/>
    <m/>
    <m/>
    <m/>
    <m/>
    <m/>
    <m/>
    <m/>
    <m/>
    <m/>
    <m/>
    <m/>
    <m/>
    <m/>
    <m/>
    <m/>
    <m/>
    <m/>
    <m/>
    <m/>
    <m/>
    <m/>
    <m/>
    <m/>
    <m/>
    <m/>
    <m/>
    <m/>
  </r>
  <r>
    <x v="1"/>
    <m/>
    <m/>
    <m/>
    <m/>
    <m/>
    <m/>
    <m/>
    <m/>
    <m/>
    <m/>
    <m/>
    <m/>
    <m/>
    <m/>
    <m/>
    <m/>
    <m/>
    <m/>
    <m/>
    <m/>
    <m/>
    <m/>
    <m/>
    <m/>
    <m/>
    <m/>
    <m/>
    <m/>
    <m/>
  </r>
  <r>
    <x v="1"/>
    <m/>
    <m/>
    <m/>
    <m/>
    <m/>
    <m/>
    <m/>
    <m/>
    <m/>
    <m/>
    <m/>
    <m/>
    <m/>
    <m/>
    <m/>
    <m/>
    <m/>
    <m/>
    <m/>
    <m/>
    <m/>
    <m/>
    <m/>
    <m/>
    <m/>
    <m/>
    <m/>
    <m/>
    <m/>
  </r>
  <r>
    <x v="1"/>
    <m/>
    <m/>
    <m/>
    <m/>
    <m/>
    <m/>
    <m/>
    <m/>
    <m/>
    <m/>
    <m/>
    <m/>
    <m/>
    <m/>
    <m/>
    <m/>
    <m/>
    <m/>
    <m/>
    <m/>
    <m/>
    <m/>
    <m/>
    <m/>
    <m/>
    <m/>
    <m/>
    <m/>
    <m/>
  </r>
  <r>
    <x v="1"/>
    <m/>
    <m/>
    <m/>
    <m/>
    <m/>
    <m/>
    <m/>
    <m/>
    <m/>
    <m/>
    <m/>
    <m/>
    <m/>
    <m/>
    <m/>
    <m/>
    <m/>
    <m/>
    <m/>
    <m/>
    <m/>
    <m/>
    <m/>
    <m/>
    <m/>
    <m/>
    <m/>
    <m/>
    <m/>
  </r>
  <r>
    <x v="1"/>
    <m/>
    <m/>
    <m/>
    <m/>
    <m/>
    <m/>
    <m/>
    <m/>
    <m/>
    <m/>
    <m/>
    <m/>
    <m/>
    <m/>
    <m/>
    <m/>
    <m/>
    <m/>
    <m/>
    <m/>
    <m/>
    <m/>
    <m/>
    <m/>
    <m/>
    <m/>
    <m/>
    <m/>
    <m/>
  </r>
  <r>
    <x v="1"/>
    <m/>
    <m/>
    <m/>
    <m/>
    <m/>
    <m/>
    <m/>
    <m/>
    <m/>
    <m/>
    <m/>
    <m/>
    <m/>
    <m/>
    <m/>
    <m/>
    <m/>
    <m/>
    <m/>
    <m/>
    <m/>
    <m/>
    <m/>
    <m/>
    <m/>
    <m/>
    <m/>
    <m/>
    <m/>
  </r>
  <r>
    <x v="1"/>
    <m/>
    <m/>
    <m/>
    <m/>
    <m/>
    <m/>
    <m/>
    <m/>
    <m/>
    <m/>
    <m/>
    <m/>
    <m/>
    <m/>
    <m/>
    <m/>
    <m/>
    <m/>
    <m/>
    <m/>
    <m/>
    <m/>
    <m/>
    <m/>
    <m/>
    <m/>
    <m/>
    <m/>
    <m/>
  </r>
  <r>
    <x v="1"/>
    <m/>
    <m/>
    <m/>
    <m/>
    <m/>
    <m/>
    <m/>
    <m/>
    <m/>
    <m/>
    <m/>
    <m/>
    <m/>
    <m/>
    <m/>
    <m/>
    <m/>
    <m/>
    <m/>
    <m/>
    <m/>
    <m/>
    <m/>
    <m/>
    <m/>
    <m/>
    <m/>
    <m/>
    <m/>
  </r>
  <r>
    <x v="1"/>
    <m/>
    <m/>
    <m/>
    <m/>
    <m/>
    <m/>
    <m/>
    <m/>
    <m/>
    <m/>
    <m/>
    <m/>
    <m/>
    <m/>
    <m/>
    <m/>
    <m/>
    <m/>
    <m/>
    <m/>
    <m/>
    <m/>
    <m/>
    <m/>
    <m/>
    <m/>
    <m/>
    <m/>
    <m/>
  </r>
  <r>
    <x v="1"/>
    <m/>
    <m/>
    <m/>
    <m/>
    <m/>
    <m/>
    <m/>
    <m/>
    <m/>
    <m/>
    <m/>
    <m/>
    <m/>
    <m/>
    <m/>
    <m/>
    <m/>
    <m/>
    <m/>
    <m/>
    <m/>
    <m/>
    <m/>
    <m/>
    <m/>
    <m/>
    <m/>
    <m/>
    <m/>
  </r>
  <r>
    <x v="1"/>
    <m/>
    <m/>
    <m/>
    <m/>
    <m/>
    <m/>
    <m/>
    <m/>
    <m/>
    <m/>
    <m/>
    <m/>
    <m/>
    <m/>
    <m/>
    <m/>
    <m/>
    <m/>
    <m/>
    <m/>
    <m/>
    <m/>
    <m/>
    <m/>
    <m/>
    <m/>
    <m/>
    <m/>
    <m/>
  </r>
  <r>
    <x v="1"/>
    <m/>
    <m/>
    <m/>
    <m/>
    <m/>
    <m/>
    <m/>
    <m/>
    <m/>
    <m/>
    <m/>
    <m/>
    <m/>
    <m/>
    <m/>
    <m/>
    <m/>
    <m/>
    <m/>
    <m/>
    <m/>
    <m/>
    <m/>
    <m/>
    <m/>
    <m/>
    <m/>
    <m/>
    <m/>
  </r>
  <r>
    <x v="1"/>
    <m/>
    <m/>
    <m/>
    <m/>
    <m/>
    <m/>
    <m/>
    <m/>
    <m/>
    <m/>
    <m/>
    <m/>
    <m/>
    <m/>
    <m/>
    <m/>
    <m/>
    <m/>
    <m/>
    <m/>
    <m/>
    <m/>
    <m/>
    <m/>
    <m/>
    <m/>
    <m/>
    <m/>
    <m/>
  </r>
  <r>
    <x v="1"/>
    <m/>
    <m/>
    <m/>
    <m/>
    <m/>
    <m/>
    <m/>
    <m/>
    <m/>
    <m/>
    <m/>
    <m/>
    <m/>
    <m/>
    <m/>
    <m/>
    <m/>
    <m/>
    <m/>
    <m/>
    <m/>
    <m/>
    <m/>
    <m/>
    <m/>
    <m/>
    <m/>
    <m/>
    <m/>
  </r>
  <r>
    <x v="1"/>
    <m/>
    <m/>
    <m/>
    <m/>
    <m/>
    <m/>
    <m/>
    <m/>
    <m/>
    <m/>
    <m/>
    <m/>
    <m/>
    <m/>
    <m/>
    <m/>
    <m/>
    <m/>
    <m/>
    <m/>
    <m/>
    <m/>
    <m/>
    <m/>
    <m/>
    <m/>
    <m/>
    <m/>
    <m/>
  </r>
  <r>
    <x v="1"/>
    <m/>
    <m/>
    <m/>
    <m/>
    <m/>
    <m/>
    <m/>
    <m/>
    <m/>
    <m/>
    <m/>
    <m/>
    <m/>
    <m/>
    <m/>
    <m/>
    <m/>
    <m/>
    <m/>
    <m/>
    <m/>
    <m/>
    <m/>
    <m/>
    <m/>
    <m/>
    <m/>
    <m/>
    <m/>
  </r>
  <r>
    <x v="1"/>
    <m/>
    <m/>
    <m/>
    <m/>
    <m/>
    <m/>
    <m/>
    <m/>
    <m/>
    <m/>
    <m/>
    <m/>
    <m/>
    <m/>
    <m/>
    <m/>
    <m/>
    <m/>
    <m/>
    <m/>
    <m/>
    <m/>
    <m/>
    <m/>
    <m/>
    <m/>
    <m/>
    <m/>
    <m/>
  </r>
  <r>
    <x v="1"/>
    <m/>
    <m/>
    <m/>
    <m/>
    <m/>
    <m/>
    <m/>
    <m/>
    <m/>
    <m/>
    <m/>
    <m/>
    <m/>
    <m/>
    <m/>
    <m/>
    <m/>
    <m/>
    <m/>
    <m/>
    <m/>
    <m/>
    <m/>
    <m/>
    <m/>
    <m/>
    <m/>
    <m/>
    <m/>
  </r>
  <r>
    <x v="1"/>
    <m/>
    <m/>
    <m/>
    <m/>
    <m/>
    <m/>
    <m/>
    <m/>
    <m/>
    <m/>
    <m/>
    <m/>
    <m/>
    <m/>
    <m/>
    <m/>
    <m/>
    <m/>
    <m/>
    <m/>
    <m/>
    <m/>
    <m/>
    <m/>
    <m/>
    <m/>
    <m/>
    <m/>
    <m/>
  </r>
  <r>
    <x v="1"/>
    <m/>
    <m/>
    <m/>
    <m/>
    <m/>
    <m/>
    <m/>
    <m/>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r>
    <x v="1"/>
    <m/>
    <m/>
    <m/>
    <m/>
    <m/>
    <m/>
    <m/>
    <s v="No"/>
    <m/>
    <m/>
    <m/>
    <m/>
    <m/>
    <m/>
    <m/>
    <m/>
    <m/>
    <m/>
    <m/>
    <m/>
    <m/>
    <m/>
    <m/>
    <m/>
    <m/>
    <m/>
    <m/>
    <m/>
    <m/>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66">
  <r>
    <x v="0"/>
    <s v="LCA"/>
    <s v="Solid Brick"/>
    <s v="LCASolBrick"/>
    <m/>
    <s v="LGS, Timber, ICF, SIP, Concrete Block"/>
    <s v="Placeholder"/>
    <m/>
    <s v="No"/>
    <s v="Brick"/>
    <s v="Placeholder"/>
    <s v="External Finish"/>
    <s v="No"/>
    <s v="Brick blocks (100 mm)"/>
    <s v="Mortar, Cavity (for thermal calculation)"/>
    <s v="Yes"/>
    <s v="None"/>
    <n v="0.12987012987012989"/>
    <n v="42.199999999999996"/>
    <n v="0.21099999999999999"/>
    <s v="kg"/>
    <n v="1"/>
    <n v="1"/>
    <n v="0.1"/>
    <n v="0.1"/>
    <n v="1"/>
    <n v="1"/>
    <n v="2000"/>
    <n v="200"/>
    <n v="0.77"/>
  </r>
  <r>
    <x v="0"/>
    <s v="LCA"/>
    <s v="Solid Brick"/>
    <s v="LCASolBrick"/>
    <m/>
    <s v="LGS, Timber, ICF, SIP, Concrete Block"/>
    <s v="Issue"/>
    <s v="normalisation for this mortar EPD is estimated. Need the density of the mortar and the volume of the mortar in the wall"/>
    <s v="No"/>
    <s v="Tiger Mortar General Masonry"/>
    <s v="Additional EPD"/>
    <s v="External Finish"/>
    <s v="No"/>
    <s v="mortar used for brick"/>
    <s v="Brick, Cavity"/>
    <s v="No"/>
    <s v="Density of the mortar"/>
    <n v="0"/>
    <n v="4.1849999999999996"/>
    <n v="135"/>
    <s v="kg"/>
    <n v="1"/>
    <n v="1.2E-2"/>
    <n v="0.1"/>
    <n v="1.2000000000000001E-3"/>
    <n v="5"/>
    <n v="1.2E-2"/>
    <n v="2000"/>
    <n v="31"/>
    <n v="2"/>
  </r>
  <r>
    <x v="0"/>
    <s v="LCA"/>
    <s v="Solid Brick"/>
    <s v="LCASolBrick"/>
    <m/>
    <s v="LGS, Timber, ICF, SIP, Concrete Block"/>
    <s v="Placeholder"/>
    <m/>
    <s v="No"/>
    <s v="Cavity"/>
    <s v="Other Assumption"/>
    <s v="External Finish"/>
    <s v="No"/>
    <s v="cavity for bricks"/>
    <s v="Mortar Brick"/>
    <s v="Yes"/>
    <s v="None"/>
    <n v="2"/>
    <n v="0"/>
    <n v="0"/>
    <s v="kg"/>
    <n v="1"/>
    <n v="1"/>
    <n v="0.1"/>
    <n v="0.1"/>
    <n v="1"/>
    <n v="1"/>
    <n v="1.2"/>
    <n v="0.12"/>
    <n v="2.5000000000000001E-2"/>
  </r>
  <r>
    <x v="0"/>
    <s v="LCA"/>
    <s v="Solid Brick"/>
    <s v="LCASolBrick"/>
    <m/>
    <s v="LGS, Timber, ICF, SIP, Concrete Block"/>
    <s v="Placeholder"/>
    <s v="unsure which specific fasteners are used"/>
    <s v="No"/>
    <s v="General fastener placeholder"/>
    <s v="Placeholder"/>
    <s v="Fixings"/>
    <s v="Yes"/>
    <s v="Screws, Nails, Fasteners"/>
    <m/>
    <s v="No"/>
    <s v="Which fasteners are needed"/>
    <n v="0"/>
    <n v="1"/>
    <n v="0"/>
    <m/>
    <n v="1"/>
    <n v="1"/>
    <n v="1"/>
    <n v="1"/>
    <n v="1"/>
    <n v="1"/>
    <n v="0"/>
    <n v="0.05"/>
    <n v="0"/>
  </r>
  <r>
    <x v="1"/>
    <s v="EPD"/>
    <s v="Solid Brick"/>
    <s v="EPDSolBrick"/>
    <m/>
    <s v="LGS, Timber, ICF, SIP, Concrete Block"/>
    <s v="Issue"/>
    <s v="Kingscourt brick does not report fossil GWP, only total GWP"/>
    <s v="No"/>
    <s v="Kingscourt Brick (Total GWP)"/>
    <s v="Additional EPD"/>
    <s v="External Finish"/>
    <s v="No"/>
    <s v="Clay brick for external finish"/>
    <s v="Mortar, Cavity (for thermal calculation)"/>
    <s v="Yes"/>
    <s v="None"/>
    <n v="0.16269841269841268"/>
    <n v="42.616724999999995"/>
    <n v="211"/>
    <s v="ton"/>
    <n v="1"/>
    <n v="1"/>
    <n v="0.10249999999999999"/>
    <n v="0.10249999999999999"/>
    <n v="1"/>
    <n v="1"/>
    <n v="1970"/>
    <n v="201.92499999999998"/>
    <n v="0.63"/>
  </r>
  <r>
    <x v="1"/>
    <s v="EPD"/>
    <s v="Solid Brick"/>
    <s v="EPDSolBrick"/>
    <m/>
    <s v="LGS, Timber, ICF, SIP, Concrete Block"/>
    <s v="Issue"/>
    <s v="normalisation for this mortar EPD is estimated. Need the density of the mortar and the volume of the mortar in the wall"/>
    <s v="No"/>
    <s v="Tiger Mortar General Masonry"/>
    <s v="Additional EPD"/>
    <s v="External Finish"/>
    <s v="No"/>
    <s v="mortar used for brick"/>
    <s v="Brick, Cavity"/>
    <s v="No"/>
    <s v="Density of the mortar"/>
    <n v="0"/>
    <n v="4.1849999999999996"/>
    <n v="135"/>
    <s v="kg"/>
    <n v="1"/>
    <n v="1.2E-2"/>
    <n v="0.1"/>
    <n v="1.2000000000000001E-3"/>
    <n v="5"/>
    <n v="1.2E-2"/>
    <n v="2000"/>
    <n v="31"/>
    <n v="2"/>
  </r>
  <r>
    <x v="1"/>
    <s v="EPD"/>
    <s v="Solid Brick"/>
    <s v="EPDSolBrick"/>
    <m/>
    <s v="LGS, Timber, ICF, SIP, Concrete Block"/>
    <s v="Placeholder"/>
    <m/>
    <s v="No"/>
    <s v="Cavity"/>
    <s v="Placeholder"/>
    <s v="External Finish"/>
    <s v="No"/>
    <s v="cavity for bricks"/>
    <s v="Mortar Brick"/>
    <s v="Yes"/>
    <s v="None"/>
    <n v="2"/>
    <n v="0"/>
    <n v="0"/>
    <s v="kg"/>
    <n v="1"/>
    <n v="1"/>
    <n v="0.1"/>
    <n v="0.1"/>
    <n v="1"/>
    <n v="1"/>
    <n v="1.2"/>
    <n v="0.12"/>
    <n v="2.5000000000000001E-2"/>
  </r>
  <r>
    <x v="1"/>
    <s v="EPD"/>
    <s v="Solid Brick"/>
    <s v="EPDSolBrick"/>
    <m/>
    <s v="LGS, Timber, ICF, SIP, Concrete Block"/>
    <s v="Placeholder"/>
    <s v="unsure which specific fasteners are used"/>
    <s v="No"/>
    <s v="General fastener placeholder"/>
    <s v="Placeholder"/>
    <s v="Fixings"/>
    <s v="Yes"/>
    <s v="Screws, Nails, Fasteners"/>
    <m/>
    <s v="No"/>
    <s v="Which fasteners are needed"/>
    <n v="0"/>
    <n v="1"/>
    <n v="0"/>
    <m/>
    <n v="1"/>
    <n v="1"/>
    <n v="1"/>
    <n v="1"/>
    <n v="1"/>
    <n v="1"/>
    <n v="0"/>
    <n v="0.05"/>
    <n v="0"/>
  </r>
  <r>
    <x v="2"/>
    <s v="EPD"/>
    <s v="Composite Fiber"/>
    <s v="EPDComFiber"/>
    <m/>
    <s v="LGS, Timber, ICF, SIP, Concrete Block"/>
    <s v="Incomplete"/>
    <s v="Panel mounting track system not included"/>
    <s v="No"/>
    <s v="Nichiha Architectural Wall Panels"/>
    <s v="Base EPD"/>
    <s v="External Finish"/>
    <s v="No"/>
    <s v="Exterior cladding panel"/>
    <s v="Panel track"/>
    <s v="Partial"/>
    <s v="Panel track info/impacts, weight"/>
    <n v="0.47"/>
    <n v="21"/>
    <n v="21"/>
    <s v="m^2"/>
    <m/>
    <m/>
    <m/>
    <m/>
    <m/>
    <m/>
    <m/>
    <m/>
    <m/>
  </r>
  <r>
    <x v="2"/>
    <s v="EPD"/>
    <s v="Composite Fiber"/>
    <s v="EPDComFiber"/>
    <m/>
    <s v="LGS, Timber, ICF, SIP, Concrete Block"/>
    <s v="Placeholder"/>
    <m/>
    <s v="No"/>
    <s v="Cavity"/>
    <s v="Other Assumption"/>
    <s v="External Finish"/>
    <s v="No"/>
    <s v="cavity for bricks"/>
    <s v="Mortar Brick"/>
    <s v="Yes"/>
    <s v="None"/>
    <n v="2"/>
    <n v="0"/>
    <n v="0"/>
    <s v="kg"/>
    <n v="1"/>
    <n v="1"/>
    <n v="0.1"/>
    <n v="0.1"/>
    <n v="1"/>
    <n v="1"/>
    <n v="1.2"/>
    <n v="0.12"/>
    <n v="2.5000000000000001E-2"/>
  </r>
  <r>
    <x v="2"/>
    <s v="EPD"/>
    <s v="Composite Fiber"/>
    <s v="EPDComFiber"/>
    <m/>
    <s v="LGS, Timber, ICF, SIP, Concrete Block"/>
    <s v="Placeholder"/>
    <s v="unsure which specific fasteners are used"/>
    <s v="No"/>
    <s v="General fastener placeholder"/>
    <s v="Placeholder"/>
    <s v="Fixings"/>
    <s v="Yes"/>
    <s v="Screws, Nails, Fasteners"/>
    <m/>
    <s v="No"/>
    <s v="Which fasteners are needed"/>
    <n v="0"/>
    <n v="1"/>
    <n v="0"/>
    <m/>
    <n v="1"/>
    <n v="1"/>
    <n v="1"/>
    <n v="1"/>
    <n v="1"/>
    <n v="1"/>
    <n v="0"/>
    <n v="0.05"/>
    <n v="0"/>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r>
    <x v="3"/>
    <m/>
    <m/>
    <m/>
    <m/>
    <m/>
    <m/>
    <m/>
    <s v="No"/>
    <m/>
    <m/>
    <m/>
    <m/>
    <m/>
    <m/>
    <m/>
    <m/>
    <m/>
    <m/>
    <m/>
    <m/>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E07CC94-13E6-499D-BB84-6457573089EA}" name="PivotTable1" cacheId="29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location ref="C10:M25" firstHeaderRow="1" firstDataRow="2" firstDataCol="1" rowPageCount="2" colPageCount="1"/>
  <pivotFields count="34">
    <pivotField axis="axisRow" showAll="0" sortType="ascending">
      <items count="38">
        <item m="1" x="36"/>
        <item x="7"/>
        <item x="0"/>
        <item x="9"/>
        <item x="19"/>
        <item x="3"/>
        <item x="4"/>
        <item x="23"/>
        <item x="24"/>
        <item x="10"/>
        <item x="25"/>
        <item x="17"/>
        <item m="1" x="29"/>
        <item x="18"/>
        <item m="1" x="30"/>
        <item x="21"/>
        <item x="20"/>
        <item x="5"/>
        <item x="6"/>
        <item x="1"/>
        <item x="13"/>
        <item m="1" x="33"/>
        <item x="8"/>
        <item x="14"/>
        <item m="1" x="34"/>
        <item m="1" x="28"/>
        <item x="26"/>
        <item x="2"/>
        <item x="22"/>
        <item x="11"/>
        <item m="1" x="31"/>
        <item x="12"/>
        <item m="1" x="32"/>
        <item x="16"/>
        <item x="15"/>
        <item m="1" x="35"/>
        <item x="27"/>
        <item t="default"/>
      </items>
    </pivotField>
    <pivotField showAll="0"/>
    <pivotField axis="axisPage" multipleItemSelectionAllowed="1" showAll="0">
      <items count="7">
        <item x="2"/>
        <item h="1" x="0"/>
        <item x="1"/>
        <item h="1" x="5"/>
        <item h="1" x="3"/>
        <item h="1" x="4"/>
        <item t="default"/>
      </items>
    </pivotField>
    <pivotField axis="axisPage" showAll="0">
      <items count="7">
        <item x="0"/>
        <item x="5"/>
        <item x="1"/>
        <item x="2"/>
        <item x="3"/>
        <item x="4"/>
        <item t="default"/>
      </items>
    </pivotField>
    <pivotField showAll="0"/>
    <pivotField showAll="0"/>
    <pivotField showAll="0"/>
    <pivotField showAll="0"/>
    <pivotField showAll="0"/>
    <pivotField showAll="0"/>
    <pivotField showAll="0"/>
    <pivotField showAll="0"/>
    <pivotField showAll="0"/>
    <pivotField showAll="0"/>
    <pivotField axis="axisCol" showAll="0" sortType="ascending">
      <items count="12">
        <item x="9"/>
        <item x="3"/>
        <item x="5"/>
        <item x="1"/>
        <item x="4"/>
        <item x="6"/>
        <item x="8"/>
        <item x="0"/>
        <item x="7"/>
        <item x="2"/>
        <item x="10"/>
        <item t="default"/>
      </items>
    </pivotField>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dragToRow="0" dragToCol="0" dragToPage="0" showAll="0" defaultSubtotal="0"/>
  </pivotFields>
  <rowFields count="1">
    <field x="0"/>
  </rowFields>
  <rowItems count="14">
    <i>
      <x v="1"/>
    </i>
    <i>
      <x v="4"/>
    </i>
    <i>
      <x v="5"/>
    </i>
    <i>
      <x v="6"/>
    </i>
    <i>
      <x v="11"/>
    </i>
    <i>
      <x v="13"/>
    </i>
    <i>
      <x v="15"/>
    </i>
    <i>
      <x v="16"/>
    </i>
    <i>
      <x v="17"/>
    </i>
    <i>
      <x v="18"/>
    </i>
    <i>
      <x v="22"/>
    </i>
    <i>
      <x v="28"/>
    </i>
    <i>
      <x v="33"/>
    </i>
    <i t="grand">
      <x/>
    </i>
  </rowItems>
  <colFields count="1">
    <field x="14"/>
  </colFields>
  <colItems count="10">
    <i>
      <x/>
    </i>
    <i>
      <x v="1"/>
    </i>
    <i>
      <x v="2"/>
    </i>
    <i>
      <x v="3"/>
    </i>
    <i>
      <x v="4"/>
    </i>
    <i>
      <x v="5"/>
    </i>
    <i>
      <x v="7"/>
    </i>
    <i>
      <x v="8"/>
    </i>
    <i>
      <x v="9"/>
    </i>
    <i t="grand">
      <x/>
    </i>
  </colItems>
  <pageFields count="2">
    <pageField fld="2" hier="-1"/>
    <pageField fld="3" hier="-1"/>
  </pageFields>
  <dataFields count="1">
    <dataField name="Sum of A1-A3 Fossil kg CO2e/m^2 wall area" fld="21" baseField="0" baseItem="0"/>
  </dataFields>
  <chartFormats count="11">
    <chartFormat chart="0" format="0" series="1">
      <pivotArea type="data" outline="0" fieldPosition="0">
        <references count="2">
          <reference field="4294967294" count="1" selected="0">
            <x v="0"/>
          </reference>
          <reference field="14" count="1" selected="0">
            <x v="1"/>
          </reference>
        </references>
      </pivotArea>
    </chartFormat>
    <chartFormat chart="0" format="1" series="1">
      <pivotArea type="data" outline="0" fieldPosition="0">
        <references count="2">
          <reference field="4294967294" count="1" selected="0">
            <x v="0"/>
          </reference>
          <reference field="14" count="1" selected="0">
            <x v="3"/>
          </reference>
        </references>
      </pivotArea>
    </chartFormat>
    <chartFormat chart="0" format="2" series="1">
      <pivotArea type="data" outline="0" fieldPosition="0">
        <references count="2">
          <reference field="4294967294" count="1" selected="0">
            <x v="0"/>
          </reference>
          <reference field="14" count="1" selected="0">
            <x v="4"/>
          </reference>
        </references>
      </pivotArea>
    </chartFormat>
    <chartFormat chart="0" format="3" series="1">
      <pivotArea type="data" outline="0" fieldPosition="0">
        <references count="2">
          <reference field="4294967294" count="1" selected="0">
            <x v="0"/>
          </reference>
          <reference field="14" count="1" selected="0">
            <x v="7"/>
          </reference>
        </references>
      </pivotArea>
    </chartFormat>
    <chartFormat chart="0" format="4" series="1">
      <pivotArea type="data" outline="0" fieldPosition="0">
        <references count="2">
          <reference field="4294967294" count="1" selected="0">
            <x v="0"/>
          </reference>
          <reference field="14" count="1" selected="0">
            <x v="9"/>
          </reference>
        </references>
      </pivotArea>
    </chartFormat>
    <chartFormat chart="0" format="5" series="1">
      <pivotArea type="data" outline="0" fieldPosition="0">
        <references count="2">
          <reference field="4294967294" count="1" selected="0">
            <x v="0"/>
          </reference>
          <reference field="14" count="1" selected="0">
            <x v="10"/>
          </reference>
        </references>
      </pivotArea>
    </chartFormat>
    <chartFormat chart="0" format="6" series="1">
      <pivotArea type="data" outline="0" fieldPosition="0">
        <references count="2">
          <reference field="4294967294" count="1" selected="0">
            <x v="0"/>
          </reference>
          <reference field="14" count="1" selected="0">
            <x v="8"/>
          </reference>
        </references>
      </pivotArea>
    </chartFormat>
    <chartFormat chart="0" format="7" series="1">
      <pivotArea type="data" outline="0" fieldPosition="0">
        <references count="2">
          <reference field="4294967294" count="1" selected="0">
            <x v="0"/>
          </reference>
          <reference field="14" count="1" selected="0">
            <x v="5"/>
          </reference>
        </references>
      </pivotArea>
    </chartFormat>
    <chartFormat chart="0" format="8" series="1">
      <pivotArea type="data" outline="0" fieldPosition="0">
        <references count="2">
          <reference field="4294967294" count="1" selected="0">
            <x v="0"/>
          </reference>
          <reference field="14" count="1" selected="0">
            <x v="6"/>
          </reference>
        </references>
      </pivotArea>
    </chartFormat>
    <chartFormat chart="0" format="9" series="1">
      <pivotArea type="data" outline="0" fieldPosition="0">
        <references count="2">
          <reference field="4294967294" count="1" selected="0">
            <x v="0"/>
          </reference>
          <reference field="14" count="1" selected="0">
            <x v="0"/>
          </reference>
        </references>
      </pivotArea>
    </chartFormat>
    <chartFormat chart="0" format="10" series="1">
      <pivotArea type="data" outline="0" fieldPosition="0">
        <references count="2">
          <reference field="4294967294" count="1" selected="0">
            <x v="0"/>
          </reference>
          <reference field="1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C5506BAF-0854-45C6-9E7B-54DCA61D04C1}" name="PivotTable1" cacheId="29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location ref="F5:M34" firstHeaderRow="1" firstDataRow="2" firstDataCol="1" rowPageCount="2" colPageCount="1"/>
  <pivotFields count="34">
    <pivotField axis="axisRow" showAll="0">
      <items count="38">
        <item m="1" x="36"/>
        <item x="7"/>
        <item x="0"/>
        <item x="9"/>
        <item x="19"/>
        <item x="3"/>
        <item x="4"/>
        <item x="23"/>
        <item x="24"/>
        <item x="10"/>
        <item x="25"/>
        <item x="17"/>
        <item x="18"/>
        <item x="21"/>
        <item x="20"/>
        <item x="5"/>
        <item x="6"/>
        <item x="1"/>
        <item x="13"/>
        <item m="1" x="33"/>
        <item x="8"/>
        <item x="14"/>
        <item m="1" x="34"/>
        <item x="26"/>
        <item x="2"/>
        <item x="22"/>
        <item x="11"/>
        <item m="1" x="31"/>
        <item x="12"/>
        <item m="1" x="32"/>
        <item x="16"/>
        <item x="15"/>
        <item m="1" x="35"/>
        <item h="1" x="27"/>
        <item m="1" x="28"/>
        <item m="1" x="29"/>
        <item m="1" x="30"/>
        <item t="default"/>
      </items>
    </pivotField>
    <pivotField showAll="0"/>
    <pivotField axis="axisPage" showAll="0">
      <items count="7">
        <item x="3"/>
        <item x="2"/>
        <item x="0"/>
        <item x="4"/>
        <item x="1"/>
        <item x="5"/>
        <item t="default"/>
      </items>
    </pivotField>
    <pivotField axis="axisPage" showAll="0">
      <items count="7">
        <item x="4"/>
        <item x="2"/>
        <item x="0"/>
        <item x="1"/>
        <item x="3"/>
        <item x="5"/>
        <item t="default"/>
      </items>
    </pivotField>
    <pivotField showAll="0"/>
    <pivotField showAll="0"/>
    <pivotField showAll="0"/>
    <pivotField showAll="0"/>
    <pivotField showAll="0"/>
    <pivotField showAll="0"/>
    <pivotField showAll="0"/>
    <pivotField showAll="0"/>
    <pivotField showAll="0"/>
    <pivotField axis="axisCol" showAll="0">
      <items count="8">
        <item x="2"/>
        <item x="4"/>
        <item x="5"/>
        <item x="0"/>
        <item x="3"/>
        <item x="1"/>
        <item x="6"/>
        <item t="default"/>
      </items>
    </pivotField>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dragToRow="0" dragToCol="0" dragToPage="0" showAll="0" defaultSubtotal="0"/>
  </pivotFields>
  <rowFields count="1">
    <field x="0"/>
  </rowFields>
  <rowItems count="28">
    <i>
      <x v="1"/>
    </i>
    <i>
      <x v="2"/>
    </i>
    <i>
      <x v="3"/>
    </i>
    <i>
      <x v="4"/>
    </i>
    <i>
      <x v="5"/>
    </i>
    <i>
      <x v="6"/>
    </i>
    <i>
      <x v="7"/>
    </i>
    <i>
      <x v="8"/>
    </i>
    <i>
      <x v="9"/>
    </i>
    <i>
      <x v="10"/>
    </i>
    <i>
      <x v="11"/>
    </i>
    <i>
      <x v="12"/>
    </i>
    <i>
      <x v="13"/>
    </i>
    <i>
      <x v="14"/>
    </i>
    <i>
      <x v="15"/>
    </i>
    <i>
      <x v="16"/>
    </i>
    <i>
      <x v="17"/>
    </i>
    <i>
      <x v="18"/>
    </i>
    <i>
      <x v="20"/>
    </i>
    <i>
      <x v="21"/>
    </i>
    <i>
      <x v="23"/>
    </i>
    <i>
      <x v="24"/>
    </i>
    <i>
      <x v="25"/>
    </i>
    <i>
      <x v="26"/>
    </i>
    <i>
      <x v="28"/>
    </i>
    <i>
      <x v="30"/>
    </i>
    <i>
      <x v="31"/>
    </i>
    <i t="grand">
      <x/>
    </i>
  </rowItems>
  <colFields count="1">
    <field x="13"/>
  </colFields>
  <colItems count="7">
    <i>
      <x/>
    </i>
    <i>
      <x v="1"/>
    </i>
    <i>
      <x v="2"/>
    </i>
    <i>
      <x v="3"/>
    </i>
    <i>
      <x v="4"/>
    </i>
    <i>
      <x v="5"/>
    </i>
    <i t="grand">
      <x/>
    </i>
  </colItems>
  <pageFields count="2">
    <pageField fld="2" hier="-1"/>
    <pageField fld="3" hier="-1"/>
  </pageFields>
  <dataFields count="1">
    <dataField name="Sum of A1-A3 Fossil kg CO2e/m^2 wall area" fld="21" baseField="0" baseItem="0"/>
  </dataFields>
  <chartFormats count="7">
    <chartFormat chart="0" format="0" series="1">
      <pivotArea type="data" outline="0" fieldPosition="0">
        <references count="2">
          <reference field="4294967294" count="1" selected="0">
            <x v="0"/>
          </reference>
          <reference field="13" count="1" selected="0">
            <x v="0"/>
          </reference>
        </references>
      </pivotArea>
    </chartFormat>
    <chartFormat chart="0" format="1" series="1">
      <pivotArea type="data" outline="0" fieldPosition="0">
        <references count="2">
          <reference field="4294967294" count="1" selected="0">
            <x v="0"/>
          </reference>
          <reference field="13" count="1" selected="0">
            <x v="1"/>
          </reference>
        </references>
      </pivotArea>
    </chartFormat>
    <chartFormat chart="0" format="2" series="1">
      <pivotArea type="data" outline="0" fieldPosition="0">
        <references count="2">
          <reference field="4294967294" count="1" selected="0">
            <x v="0"/>
          </reference>
          <reference field="13" count="1" selected="0">
            <x v="2"/>
          </reference>
        </references>
      </pivotArea>
    </chartFormat>
    <chartFormat chart="0" format="3" series="1">
      <pivotArea type="data" outline="0" fieldPosition="0">
        <references count="2">
          <reference field="4294967294" count="1" selected="0">
            <x v="0"/>
          </reference>
          <reference field="13" count="1" selected="0">
            <x v="3"/>
          </reference>
        </references>
      </pivotArea>
    </chartFormat>
    <chartFormat chart="0" format="4" series="1">
      <pivotArea type="data" outline="0" fieldPosition="0">
        <references count="2">
          <reference field="4294967294" count="1" selected="0">
            <x v="0"/>
          </reference>
          <reference field="13" count="1" selected="0">
            <x v="4"/>
          </reference>
        </references>
      </pivotArea>
    </chartFormat>
    <chartFormat chart="0" format="5" series="1">
      <pivotArea type="data" outline="0" fieldPosition="0">
        <references count="2">
          <reference field="4294967294" count="1" selected="0">
            <x v="0"/>
          </reference>
          <reference field="13" count="1" selected="0">
            <x v="5"/>
          </reference>
        </references>
      </pivotArea>
    </chartFormat>
    <chartFormat chart="0" format="6" series="1">
      <pivotArea type="data" outline="0" fieldPosition="0">
        <references count="2">
          <reference field="4294967294" count="1" selected="0">
            <x v="0"/>
          </reference>
          <reference field="13" count="1" selected="0">
            <x v="6"/>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69BAEE44-7051-46A5-8825-C1F6861829ED}" name="PivotTable2" cacheId="29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D5:K12" firstHeaderRow="1" firstDataRow="2" firstDataCol="1" rowPageCount="2" colPageCount="1"/>
  <pivotFields count="34">
    <pivotField axis="axisRow" showAll="0" sortType="ascending">
      <items count="38">
        <item m="1" x="36"/>
        <item x="7"/>
        <item x="0"/>
        <item x="9"/>
        <item x="19"/>
        <item x="3"/>
        <item x="4"/>
        <item x="23"/>
        <item x="24"/>
        <item x="10"/>
        <item x="25"/>
        <item x="17"/>
        <item m="1" x="29"/>
        <item x="18"/>
        <item m="1" x="30"/>
        <item x="21"/>
        <item x="20"/>
        <item x="5"/>
        <item x="6"/>
        <item x="1"/>
        <item x="13"/>
        <item m="1" x="33"/>
        <item x="8"/>
        <item x="14"/>
        <item m="1" x="34"/>
        <item m="1" x="28"/>
        <item x="26"/>
        <item x="2"/>
        <item x="22"/>
        <item x="11"/>
        <item m="1" x="31"/>
        <item x="12"/>
        <item m="1" x="32"/>
        <item x="16"/>
        <item x="15"/>
        <item m="1" x="35"/>
        <item x="27"/>
        <item t="default"/>
      </items>
    </pivotField>
    <pivotField showAll="0"/>
    <pivotField axis="axisPage" showAll="0">
      <items count="7">
        <item x="3"/>
        <item x="2"/>
        <item x="0"/>
        <item x="4"/>
        <item x="1"/>
        <item x="5"/>
        <item t="default"/>
      </items>
    </pivotField>
    <pivotField axis="axisPage" showAll="0">
      <items count="7">
        <item x="2"/>
        <item x="0"/>
        <item x="1"/>
        <item x="3"/>
        <item x="5"/>
        <item x="4"/>
        <item t="default"/>
      </items>
    </pivotField>
    <pivotField showAll="0"/>
    <pivotField showAll="0"/>
    <pivotField showAll="0"/>
    <pivotField showAll="0"/>
    <pivotField showAll="0"/>
    <pivotField showAll="0"/>
    <pivotField showAll="0"/>
    <pivotField showAll="0"/>
    <pivotField showAll="0"/>
    <pivotField showAll="0"/>
    <pivotField axis="axisCol" showAll="0">
      <items count="12">
        <item x="3"/>
        <item x="1"/>
        <item x="4"/>
        <item x="0"/>
        <item x="2"/>
        <item x="10"/>
        <item x="6"/>
        <item x="7"/>
        <item x="8"/>
        <item x="9"/>
        <item x="5"/>
        <item t="default"/>
      </items>
    </pivotField>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dragToRow="0" dragToCol="0" dragToPage="0" showAll="0" defaultSubtotal="0"/>
  </pivotFields>
  <rowFields count="1">
    <field x="0"/>
  </rowFields>
  <rowItems count="6">
    <i>
      <x v="7"/>
    </i>
    <i>
      <x v="8"/>
    </i>
    <i>
      <x v="9"/>
    </i>
    <i>
      <x v="10"/>
    </i>
    <i>
      <x v="26"/>
    </i>
    <i t="grand">
      <x/>
    </i>
  </rowItems>
  <colFields count="1">
    <field x="14"/>
  </colFields>
  <colItems count="7">
    <i>
      <x/>
    </i>
    <i>
      <x v="1"/>
    </i>
    <i>
      <x v="2"/>
    </i>
    <i>
      <x v="3"/>
    </i>
    <i>
      <x v="4"/>
    </i>
    <i>
      <x v="10"/>
    </i>
    <i t="grand">
      <x/>
    </i>
  </colItems>
  <pageFields count="2">
    <pageField fld="2" item="0" hier="-1"/>
    <pageField fld="3" hier="-1"/>
  </pageFields>
  <dataFields count="1">
    <dataField name="Sum of  R value (m^2-K/W)" fld="20" baseField="0" baseItem="0"/>
  </dataFields>
  <chartFormats count="14">
    <chartFormat chart="2" format="15" series="1">
      <pivotArea type="data" outline="0" fieldPosition="0">
        <references count="2">
          <reference field="4294967294" count="1" selected="0">
            <x v="0"/>
          </reference>
          <reference field="14" count="1" selected="0">
            <x v="0"/>
          </reference>
        </references>
      </pivotArea>
    </chartFormat>
    <chartFormat chart="2" format="16" series="1">
      <pivotArea type="data" outline="0" fieldPosition="0">
        <references count="2">
          <reference field="4294967294" count="1" selected="0">
            <x v="0"/>
          </reference>
          <reference field="14" count="1" selected="0">
            <x v="2"/>
          </reference>
        </references>
      </pivotArea>
    </chartFormat>
    <chartFormat chart="2" format="17" series="1">
      <pivotArea type="data" outline="0" fieldPosition="0">
        <references count="2">
          <reference field="4294967294" count="1" selected="0">
            <x v="0"/>
          </reference>
          <reference field="14" count="1" selected="0">
            <x v="4"/>
          </reference>
        </references>
      </pivotArea>
    </chartFormat>
    <chartFormat chart="2" format="18" series="1">
      <pivotArea type="data" outline="0" fieldPosition="0">
        <references count="2">
          <reference field="4294967294" count="1" selected="0">
            <x v="0"/>
          </reference>
          <reference field="14" count="1" selected="0">
            <x v="8"/>
          </reference>
        </references>
      </pivotArea>
    </chartFormat>
    <chartFormat chart="3" format="0" series="1">
      <pivotArea type="data" outline="0" fieldPosition="0">
        <references count="2">
          <reference field="4294967294" count="1" selected="0">
            <x v="0"/>
          </reference>
          <reference field="14" count="1" selected="0">
            <x v="0"/>
          </reference>
        </references>
      </pivotArea>
    </chartFormat>
    <chartFormat chart="3" format="1" series="1">
      <pivotArea type="data" outline="0" fieldPosition="0">
        <references count="2">
          <reference field="4294967294" count="1" selected="0">
            <x v="0"/>
          </reference>
          <reference field="14" count="1" selected="0">
            <x v="2"/>
          </reference>
        </references>
      </pivotArea>
    </chartFormat>
    <chartFormat chart="3" format="2" series="1">
      <pivotArea type="data" outline="0" fieldPosition="0">
        <references count="2">
          <reference field="4294967294" count="1" selected="0">
            <x v="0"/>
          </reference>
          <reference field="14" count="1" selected="0">
            <x v="4"/>
          </reference>
        </references>
      </pivotArea>
    </chartFormat>
    <chartFormat chart="3" format="3" series="1">
      <pivotArea type="data" outline="0" fieldPosition="0">
        <references count="2">
          <reference field="4294967294" count="1" selected="0">
            <x v="0"/>
          </reference>
          <reference field="14" count="1" selected="0">
            <x v="8"/>
          </reference>
        </references>
      </pivotArea>
    </chartFormat>
    <chartFormat chart="3" format="4" series="1">
      <pivotArea type="data" outline="0" fieldPosition="0">
        <references count="2">
          <reference field="4294967294" count="1" selected="0">
            <x v="0"/>
          </reference>
          <reference field="14" count="1" selected="0">
            <x v="1"/>
          </reference>
        </references>
      </pivotArea>
    </chartFormat>
    <chartFormat chart="3" format="5" series="1">
      <pivotArea type="data" outline="0" fieldPosition="0">
        <references count="2">
          <reference field="4294967294" count="1" selected="0">
            <x v="0"/>
          </reference>
          <reference field="14" count="1" selected="0">
            <x v="3"/>
          </reference>
        </references>
      </pivotArea>
    </chartFormat>
    <chartFormat chart="2" format="19" series="1">
      <pivotArea type="data" outline="0" fieldPosition="0">
        <references count="2">
          <reference field="4294967294" count="1" selected="0">
            <x v="0"/>
          </reference>
          <reference field="14" count="1" selected="0">
            <x v="1"/>
          </reference>
        </references>
      </pivotArea>
    </chartFormat>
    <chartFormat chart="2" format="20" series="1">
      <pivotArea type="data" outline="0" fieldPosition="0">
        <references count="2">
          <reference field="4294967294" count="1" selected="0">
            <x v="0"/>
          </reference>
          <reference field="14" count="1" selected="0">
            <x v="3"/>
          </reference>
        </references>
      </pivotArea>
    </chartFormat>
    <chartFormat chart="3" format="6" series="1">
      <pivotArea type="data" outline="0" fieldPosition="0">
        <references count="2">
          <reference field="4294967294" count="1" selected="0">
            <x v="0"/>
          </reference>
          <reference field="14" count="1" selected="0">
            <x v="10"/>
          </reference>
        </references>
      </pivotArea>
    </chartFormat>
    <chartFormat chart="2" format="21" series="1">
      <pivotArea type="data" outline="0" fieldPosition="0">
        <references count="2">
          <reference field="4294967294" count="1" selected="0">
            <x v="0"/>
          </reference>
          <reference field="14" count="1" selected="0">
            <x v="1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4B7440C-5974-42CA-8876-D69C8F29CA6F}" name="PivotTable4" cacheId="29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D4:N33" firstHeaderRow="1" firstDataRow="2" firstDataCol="1"/>
  <pivotFields count="34">
    <pivotField axis="axisRow" showAll="0">
      <items count="38">
        <item m="1" x="36"/>
        <item x="0"/>
        <item x="3"/>
        <item x="4"/>
        <item x="5"/>
        <item x="6"/>
        <item x="1"/>
        <item x="2"/>
        <item x="27"/>
        <item x="7"/>
        <item x="8"/>
        <item x="9"/>
        <item x="10"/>
        <item m="1" x="31"/>
        <item m="1" x="32"/>
        <item m="1" x="33"/>
        <item m="1" x="34"/>
        <item m="1" x="35"/>
        <item x="16"/>
        <item x="17"/>
        <item x="18"/>
        <item x="11"/>
        <item x="12"/>
        <item x="13"/>
        <item x="14"/>
        <item x="15"/>
        <item x="19"/>
        <item x="20"/>
        <item x="21"/>
        <item x="22"/>
        <item x="23"/>
        <item x="24"/>
        <item x="25"/>
        <item x="26"/>
        <item m="1" x="28"/>
        <item m="1" x="29"/>
        <item m="1" x="3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Col" showAll="0">
      <items count="12">
        <item x="3"/>
        <item x="1"/>
        <item x="4"/>
        <item x="6"/>
        <item x="0"/>
        <item x="7"/>
        <item x="2"/>
        <item h="1" x="10"/>
        <item x="8"/>
        <item x="9"/>
        <item h="1" x="5"/>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dragToRow="0" dragToCol="0" dragToPage="0" showAll="0" defaultSubtotal="0"/>
  </pivotFields>
  <rowFields count="1">
    <field x="0"/>
  </rowFields>
  <rowItems count="28">
    <i>
      <x v="1"/>
    </i>
    <i>
      <x v="2"/>
    </i>
    <i>
      <x v="3"/>
    </i>
    <i>
      <x v="4"/>
    </i>
    <i>
      <x v="5"/>
    </i>
    <i>
      <x v="6"/>
    </i>
    <i>
      <x v="7"/>
    </i>
    <i>
      <x v="9"/>
    </i>
    <i>
      <x v="10"/>
    </i>
    <i>
      <x v="11"/>
    </i>
    <i>
      <x v="12"/>
    </i>
    <i>
      <x v="18"/>
    </i>
    <i>
      <x v="19"/>
    </i>
    <i>
      <x v="20"/>
    </i>
    <i>
      <x v="21"/>
    </i>
    <i>
      <x v="22"/>
    </i>
    <i>
      <x v="23"/>
    </i>
    <i>
      <x v="24"/>
    </i>
    <i>
      <x v="25"/>
    </i>
    <i>
      <x v="26"/>
    </i>
    <i>
      <x v="27"/>
    </i>
    <i>
      <x v="28"/>
    </i>
    <i>
      <x v="29"/>
    </i>
    <i>
      <x v="30"/>
    </i>
    <i>
      <x v="31"/>
    </i>
    <i>
      <x v="32"/>
    </i>
    <i>
      <x v="33"/>
    </i>
    <i t="grand">
      <x/>
    </i>
  </rowItems>
  <colFields count="1">
    <field x="14"/>
  </colFields>
  <colItems count="10">
    <i>
      <x/>
    </i>
    <i>
      <x v="1"/>
    </i>
    <i>
      <x v="2"/>
    </i>
    <i>
      <x v="3"/>
    </i>
    <i>
      <x v="4"/>
    </i>
    <i>
      <x v="5"/>
    </i>
    <i>
      <x v="6"/>
    </i>
    <i>
      <x v="8"/>
    </i>
    <i>
      <x v="9"/>
    </i>
    <i t="grand">
      <x/>
    </i>
  </colItems>
  <dataFields count="1">
    <dataField name="Sum of Total Mass per m^2 (kg)" fld="31" baseField="0" baseItem="0"/>
  </dataFields>
  <chartFormats count="9">
    <chartFormat chart="5" format="14" series="1">
      <pivotArea type="data" outline="0" fieldPosition="0">
        <references count="2">
          <reference field="4294967294" count="1" selected="0">
            <x v="0"/>
          </reference>
          <reference field="14" count="1" selected="0">
            <x v="0"/>
          </reference>
        </references>
      </pivotArea>
    </chartFormat>
    <chartFormat chart="5" format="15" series="1">
      <pivotArea type="data" outline="0" fieldPosition="0">
        <references count="2">
          <reference field="4294967294" count="1" selected="0">
            <x v="0"/>
          </reference>
          <reference field="14" count="1" selected="0">
            <x v="1"/>
          </reference>
        </references>
      </pivotArea>
    </chartFormat>
    <chartFormat chart="5" format="16" series="1">
      <pivotArea type="data" outline="0" fieldPosition="0">
        <references count="2">
          <reference field="4294967294" count="1" selected="0">
            <x v="0"/>
          </reference>
          <reference field="14" count="1" selected="0">
            <x v="2"/>
          </reference>
        </references>
      </pivotArea>
    </chartFormat>
    <chartFormat chart="5" format="17" series="1">
      <pivotArea type="data" outline="0" fieldPosition="0">
        <references count="2">
          <reference field="4294967294" count="1" selected="0">
            <x v="0"/>
          </reference>
          <reference field="14" count="1" selected="0">
            <x v="3"/>
          </reference>
        </references>
      </pivotArea>
    </chartFormat>
    <chartFormat chart="5" format="18" series="1">
      <pivotArea type="data" outline="0" fieldPosition="0">
        <references count="2">
          <reference field="4294967294" count="1" selected="0">
            <x v="0"/>
          </reference>
          <reference field="14" count="1" selected="0">
            <x v="4"/>
          </reference>
        </references>
      </pivotArea>
    </chartFormat>
    <chartFormat chart="5" format="19" series="1">
      <pivotArea type="data" outline="0" fieldPosition="0">
        <references count="2">
          <reference field="4294967294" count="1" selected="0">
            <x v="0"/>
          </reference>
          <reference field="14" count="1" selected="0">
            <x v="5"/>
          </reference>
        </references>
      </pivotArea>
    </chartFormat>
    <chartFormat chart="5" format="20" series="1">
      <pivotArea type="data" outline="0" fieldPosition="0">
        <references count="2">
          <reference field="4294967294" count="1" selected="0">
            <x v="0"/>
          </reference>
          <reference field="14" count="1" selected="0">
            <x v="6"/>
          </reference>
        </references>
      </pivotArea>
    </chartFormat>
    <chartFormat chart="5" format="21" series="1">
      <pivotArea type="data" outline="0" fieldPosition="0">
        <references count="2">
          <reference field="4294967294" count="1" selected="0">
            <x v="0"/>
          </reference>
          <reference field="14" count="1" selected="0">
            <x v="8"/>
          </reference>
        </references>
      </pivotArea>
    </chartFormat>
    <chartFormat chart="5" format="22" series="1">
      <pivotArea type="data" outline="0" fieldPosition="0">
        <references count="2">
          <reference field="4294967294" count="1" selected="0">
            <x v="0"/>
          </reference>
          <reference field="14" count="1" selected="0">
            <x v="9"/>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E00058CF-2579-468E-BC8E-1F13F456EEF1}" name="PivotTable3" cacheId="29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Modeled Systems">
  <location ref="B10:B21" firstHeaderRow="1" firstDataRow="1" firstDataCol="1"/>
  <pivotFields count="34">
    <pivotField axis="axisRow" showAll="0">
      <items count="38">
        <item m="1" x="36"/>
        <item x="0"/>
        <item x="1"/>
        <item h="1" x="27"/>
        <item x="2"/>
        <item x="3"/>
        <item h="1" x="4"/>
        <item h="1" x="5"/>
        <item h="1" x="6"/>
        <item h="1" x="7"/>
        <item h="1" x="8"/>
        <item h="1" x="9"/>
        <item h="1" x="10"/>
        <item h="1" m="1" x="31"/>
        <item h="1" m="1" x="32"/>
        <item h="1" m="1" x="33"/>
        <item h="1" m="1" x="34"/>
        <item h="1" m="1" x="35"/>
        <item h="1" x="16"/>
        <item h="1" x="17"/>
        <item h="1" x="18"/>
        <item h="1" x="11"/>
        <item h="1" x="12"/>
        <item h="1" x="13"/>
        <item h="1" x="14"/>
        <item h="1" x="15"/>
        <item h="1" x="19"/>
        <item h="1" x="20"/>
        <item h="1" x="21"/>
        <item h="1" x="22"/>
        <item h="1" x="23"/>
        <item h="1" x="24"/>
        <item h="1" x="25"/>
        <item h="1" x="26"/>
        <item h="1" m="1" x="28"/>
        <item h="1" m="1" x="29"/>
        <item h="1" m="1" x="30"/>
        <item t="default"/>
      </items>
    </pivotField>
    <pivotField showAll="0"/>
    <pivotField axis="axisRow" showAll="0">
      <items count="7">
        <item x="0"/>
        <item x="1"/>
        <item x="5"/>
        <item x="2"/>
        <item x="3"/>
        <item x="4"/>
        <item t="default"/>
      </items>
    </pivotField>
    <pivotField showAll="0"/>
    <pivotField showAll="0"/>
    <pivotField showAll="0"/>
    <pivotField showAll="0"/>
    <pivotField axis="axisRow" showAll="0">
      <items count="18">
        <item x="0"/>
        <item x="1"/>
        <item x="7"/>
        <item x="2"/>
        <item x="3"/>
        <item x="4"/>
        <item x="5"/>
        <item x="6"/>
        <item x="8"/>
        <item x="9"/>
        <item x="10"/>
        <item x="11"/>
        <item x="12"/>
        <item x="13"/>
        <item x="14"/>
        <item x="15"/>
        <item x="16"/>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ragToRow="0" dragToCol="0" dragToPage="0" showAll="0" defaultSubtotal="0"/>
  </pivotFields>
  <rowFields count="3">
    <field x="2"/>
    <field x="0"/>
    <field x="7"/>
  </rowFields>
  <rowItems count="11">
    <i>
      <x/>
    </i>
    <i r="1">
      <x v="1"/>
    </i>
    <i r="2">
      <x/>
    </i>
    <i r="1">
      <x v="2"/>
    </i>
    <i r="2">
      <x v="1"/>
    </i>
    <i r="1">
      <x v="4"/>
    </i>
    <i r="2">
      <x v="1"/>
    </i>
    <i>
      <x v="1"/>
    </i>
    <i r="1">
      <x v="5"/>
    </i>
    <i r="2">
      <x v="3"/>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8F77453-C467-458E-A67D-E969DF4E6515}" name="PivotTable5" cacheId="27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location ref="A6:D82" firstHeaderRow="0" firstDataRow="1" firstDataCol="1" rowPageCount="4" colPageCount="1"/>
  <pivotFields count="25">
    <pivotField axis="axisRow" showAll="0">
      <items count="81">
        <item m="1" x="79"/>
        <item m="1" x="78"/>
        <item m="1" x="77"/>
        <item x="3"/>
        <item x="69"/>
        <item x="72"/>
        <item x="57"/>
        <item x="42"/>
        <item x="54"/>
        <item x="51"/>
        <item x="48"/>
        <item x="45"/>
        <item x="39"/>
        <item x="30"/>
        <item x="33"/>
        <item x="36"/>
        <item x="27"/>
        <item x="24"/>
        <item x="21"/>
        <item x="18"/>
        <item x="15"/>
        <item x="12"/>
        <item x="9"/>
        <item x="6"/>
        <item x="0"/>
        <item x="60"/>
        <item x="63"/>
        <item x="66"/>
        <item x="4"/>
        <item x="70"/>
        <item x="73"/>
        <item x="58"/>
        <item x="43"/>
        <item x="55"/>
        <item x="52"/>
        <item x="49"/>
        <item x="46"/>
        <item x="40"/>
        <item x="31"/>
        <item x="34"/>
        <item x="37"/>
        <item x="28"/>
        <item x="25"/>
        <item x="22"/>
        <item x="19"/>
        <item x="16"/>
        <item x="13"/>
        <item x="10"/>
        <item x="7"/>
        <item x="1"/>
        <item x="61"/>
        <item x="64"/>
        <item x="67"/>
        <item x="5"/>
        <item x="71"/>
        <item x="74"/>
        <item x="59"/>
        <item x="44"/>
        <item x="56"/>
        <item x="53"/>
        <item x="50"/>
        <item x="47"/>
        <item x="41"/>
        <item x="32"/>
        <item x="35"/>
        <item x="38"/>
        <item x="29"/>
        <item x="26"/>
        <item x="23"/>
        <item x="20"/>
        <item x="17"/>
        <item x="14"/>
        <item x="11"/>
        <item x="8"/>
        <item x="2"/>
        <item x="62"/>
        <item x="65"/>
        <item m="1" x="76"/>
        <item h="1" x="75"/>
        <item x="68"/>
        <item t="default"/>
      </items>
    </pivotField>
    <pivotField showAll="0"/>
    <pivotField showAll="0"/>
    <pivotField axis="axisPage" showAll="0">
      <items count="7">
        <item x="5"/>
        <item x="3"/>
        <item x="1"/>
        <item x="4"/>
        <item x="0"/>
        <item x="2"/>
        <item t="default"/>
      </items>
    </pivotField>
    <pivotField axis="axisPage" showAll="0">
      <items count="7">
        <item x="5"/>
        <item x="0"/>
        <item x="1"/>
        <item x="3"/>
        <item x="4"/>
        <item x="2"/>
        <item t="default"/>
      </items>
    </pivotField>
    <pivotField axis="axisPage" showAll="0">
      <items count="4">
        <item x="2"/>
        <item x="1"/>
        <item x="0"/>
        <item t="default"/>
      </items>
    </pivotField>
    <pivotField dataField="1" showAll="0"/>
    <pivotField showAll="0"/>
    <pivotField showAll="0"/>
    <pivotField showAll="0"/>
    <pivotField showAll="0"/>
    <pivotField showAll="0"/>
    <pivotField axis="axisPage" showAll="0">
      <items count="3">
        <item m="1" x="1"/>
        <item x="0"/>
        <item t="default"/>
      </items>
    </pivotField>
    <pivotField dataField="1" showAll="0"/>
    <pivotField showAll="0"/>
    <pivotField showAll="0"/>
    <pivotField showAll="0"/>
    <pivotField showAll="0"/>
    <pivotField dataField="1" showAll="0"/>
    <pivotField showAll="0"/>
    <pivotField showAll="0"/>
    <pivotField showAll="0"/>
    <pivotField showAll="0"/>
    <pivotField showAll="0"/>
    <pivotField showAll="0"/>
  </pivotFields>
  <rowFields count="1">
    <field x="0"/>
  </rowFields>
  <rowItems count="76">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9"/>
    </i>
    <i t="grand">
      <x/>
    </i>
  </rowItems>
  <colFields count="1">
    <field x="-2"/>
  </colFields>
  <colItems count="3">
    <i>
      <x/>
    </i>
    <i i="1">
      <x v="1"/>
    </i>
    <i i="2">
      <x v="2"/>
    </i>
  </colItems>
  <pageFields count="4">
    <pageField fld="12" item="1" hier="-1"/>
    <pageField fld="3" hier="-1"/>
    <pageField fld="4" hier="-1"/>
    <pageField fld="5" hier="-1"/>
  </pageFields>
  <dataFields count="3">
    <dataField name="Sum of Base GWP" fld="6" baseField="0" baseItem="0"/>
    <dataField name="Sum of Ext Finish GWP" fld="13" baseField="0" baseItem="0"/>
    <dataField name="Sum of Int Finish GWP" fld="18" baseField="0" baseItem="0"/>
  </dataFields>
  <chartFormats count="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2">
          <reference field="4294967294" count="1" selected="0">
            <x v="1"/>
          </reference>
          <reference field="12" count="1" selected="0">
            <x v="1"/>
          </reference>
        </references>
      </pivotArea>
    </chartFormat>
    <chartFormat chart="0" format="4" series="1">
      <pivotArea type="data" outline="0" fieldPosition="0">
        <references count="2">
          <reference field="4294967294" count="1" selected="0">
            <x v="2"/>
          </reference>
          <reference field="12" count="1" selected="0">
            <x v="0"/>
          </reference>
        </references>
      </pivotArea>
    </chartFormat>
    <chartFormat chart="0" format="5" series="1">
      <pivotArea type="data" outline="0" fieldPosition="0">
        <references count="2">
          <reference field="4294967294" count="1" selected="0">
            <x v="2"/>
          </reference>
          <reference field="12"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74A12B89-5EC8-43DA-8ED8-15A2E523E245}" name="PivotTable4" cacheId="30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P3:S6" firstHeaderRow="0" firstDataRow="1" firstDataCol="1"/>
  <pivotFields count="30">
    <pivotField axis="axisRow"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showAll="0"/>
    <pivotField showAll="0"/>
    <pivotField showAll="0"/>
    <pivotField showAll="0"/>
    <pivotField dataField="1" showAll="0"/>
    <pivotField showAll="0"/>
  </pivotFields>
  <rowFields count="1">
    <field x="0"/>
  </rowFields>
  <rowItems count="3">
    <i>
      <x/>
    </i>
    <i>
      <x v="1"/>
    </i>
    <i t="grand">
      <x/>
    </i>
  </rowItems>
  <colFields count="1">
    <field x="-2"/>
  </colFields>
  <colItems count="3">
    <i>
      <x/>
    </i>
    <i i="1">
      <x v="1"/>
    </i>
    <i i="2">
      <x v="2"/>
    </i>
  </colItems>
  <dataFields count="3">
    <dataField name="Sum of A1-A3 Fossil kg CO2e/m^2 wall area" fld="18" baseField="0" baseItem="0"/>
    <dataField name="Sum of Total Mass per m^2 (kg)" fld="28" baseField="0" baseItem="0"/>
    <dataField name="Sum of  R value (m^2-K/W)" fld="1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55DBFD11-0A07-4154-AC56-DECCB359029A}" name="PivotTable3" cacheId="30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I3:L8" firstHeaderRow="0" firstDataRow="1" firstDataCol="1"/>
  <pivotFields count="30">
    <pivotField axis="axisRow" showAll="0">
      <items count="5">
        <item x="2"/>
        <item x="1"/>
        <item x="0"/>
        <item x="3"/>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showAll="0"/>
    <pivotField showAll="0"/>
    <pivotField showAll="0"/>
    <pivotField showAll="0"/>
    <pivotField dataField="1" showAll="0"/>
    <pivotField showAll="0"/>
  </pivotFields>
  <rowFields count="1">
    <field x="0"/>
  </rowFields>
  <rowItems count="5">
    <i>
      <x/>
    </i>
    <i>
      <x v="1"/>
    </i>
    <i>
      <x v="2"/>
    </i>
    <i>
      <x v="3"/>
    </i>
    <i t="grand">
      <x/>
    </i>
  </rowItems>
  <colFields count="1">
    <field x="-2"/>
  </colFields>
  <colItems count="3">
    <i>
      <x/>
    </i>
    <i i="1">
      <x v="1"/>
    </i>
    <i i="2">
      <x v="2"/>
    </i>
  </colItems>
  <dataFields count="3">
    <dataField name="Sum of A1-A3 Fossil kg CO2e/m^2 wall area" fld="18" baseField="0" baseItem="0"/>
    <dataField name="Sum of  R value (m^2-K/W)" fld="17" baseField="0" baseItem="0"/>
    <dataField name="Sum of Total Mass per m^2 (kg)" fld="2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BD4EB1A0-D16E-44DC-9E15-CE1C4D31F687}" name="PivotTable2" cacheId="28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E30" firstHeaderRow="0" firstDataRow="1" firstDataCol="1"/>
  <pivotFields count="34">
    <pivotField axis="axisRow" showAll="0">
      <items count="33">
        <item x="7"/>
        <item m="1" x="27"/>
        <item m="1" x="30"/>
        <item m="1" x="28"/>
        <item m="1" x="29"/>
        <item x="22"/>
        <item x="23"/>
        <item x="9"/>
        <item x="24"/>
        <item x="16"/>
        <item x="17"/>
        <item x="20"/>
        <item x="19"/>
        <item x="5"/>
        <item x="6"/>
        <item x="1"/>
        <item x="12"/>
        <item x="8"/>
        <item x="13"/>
        <item m="1" x="31"/>
        <item x="25"/>
        <item x="2"/>
        <item x="21"/>
        <item x="10"/>
        <item x="11"/>
        <item x="15"/>
        <item x="14"/>
        <item x="26"/>
        <item x="0"/>
        <item x="3"/>
        <item x="4"/>
        <item x="18"/>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showAll="0"/>
    <pivotField showAll="0"/>
    <pivotField showAll="0"/>
    <pivotField showAll="0"/>
    <pivotField dataField="1" showAll="0"/>
    <pivotField showAll="0"/>
    <pivotField dragToRow="0" dragToCol="0" dragToPage="0" showAll="0" defaultSubtotal="0"/>
    <pivotField dataField="1" dragToRow="0" dragToCol="0" dragToPage="0" showAll="0" defaultSubtotal="0"/>
  </pivotFields>
  <rowFields count="1">
    <field x="0"/>
  </rowFields>
  <rowItems count="27">
    <i>
      <x/>
    </i>
    <i>
      <x v="5"/>
    </i>
    <i>
      <x v="6"/>
    </i>
    <i>
      <x v="7"/>
    </i>
    <i>
      <x v="8"/>
    </i>
    <i>
      <x v="9"/>
    </i>
    <i>
      <x v="10"/>
    </i>
    <i>
      <x v="11"/>
    </i>
    <i>
      <x v="12"/>
    </i>
    <i>
      <x v="13"/>
    </i>
    <i>
      <x v="14"/>
    </i>
    <i>
      <x v="15"/>
    </i>
    <i>
      <x v="16"/>
    </i>
    <i>
      <x v="17"/>
    </i>
    <i>
      <x v="18"/>
    </i>
    <i>
      <x v="20"/>
    </i>
    <i>
      <x v="21"/>
    </i>
    <i>
      <x v="22"/>
    </i>
    <i>
      <x v="23"/>
    </i>
    <i>
      <x v="24"/>
    </i>
    <i>
      <x v="25"/>
    </i>
    <i>
      <x v="26"/>
    </i>
    <i>
      <x v="28"/>
    </i>
    <i>
      <x v="29"/>
    </i>
    <i>
      <x v="30"/>
    </i>
    <i>
      <x v="31"/>
    </i>
    <i t="grand">
      <x/>
    </i>
  </rowItems>
  <colFields count="1">
    <field x="-2"/>
  </colFields>
  <colItems count="4">
    <i>
      <x/>
    </i>
    <i i="1">
      <x v="1"/>
    </i>
    <i i="2">
      <x v="2"/>
    </i>
    <i i="3">
      <x v="3"/>
    </i>
  </colItems>
  <dataFields count="4">
    <dataField name="Sum of  R value (m^2-K/W)" fld="19" baseField="0" baseItem="10"/>
    <dataField name="Sum of A1-A3 Fossil kg CO2e/m^2 wall area" fld="20" baseField="0" baseItem="0"/>
    <dataField name="Sum of Total Mass per m^2 (kg)" fld="30" baseField="0" baseItem="0"/>
    <dataField name="Sum of U-Value" fld="33" baseField="0" baseItem="0"/>
  </dataFields>
  <pivotTableStyleInfo name="PivotStyleLight16" showRowHeaders="1" showColHeaders="1" showRowStripes="0" showColStripes="0" showLastColumn="1"/>
  <filters count="1">
    <filter fld="0" type="captionNotEqual" evalOrder="-1" id="1" stringValue1="">
      <autoFilter ref="A1">
        <filterColumn colId="0">
          <customFilters>
            <customFilter operator="notEqual" val=" "/>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AE0BAD9E-7C08-4BE1-BC61-108C456600EB}" name="PivotTable6" cacheId="28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location ref="A5:I33" firstHeaderRow="1" firstDataRow="2" firstDataCol="1" rowPageCount="3" colPageCount="1"/>
  <pivotFields count="34">
    <pivotField axis="axisRow" showAll="0">
      <items count="33">
        <item x="0"/>
        <item x="18"/>
        <item x="3"/>
        <item x="4"/>
        <item x="7"/>
        <item m="1" x="27"/>
        <item m="1" x="30"/>
        <item m="1" x="28"/>
        <item m="1" x="29"/>
        <item x="22"/>
        <item x="23"/>
        <item x="9"/>
        <item x="24"/>
        <item x="16"/>
        <item x="17"/>
        <item x="20"/>
        <item x="19"/>
        <item x="5"/>
        <item x="6"/>
        <item x="1"/>
        <item x="12"/>
        <item x="8"/>
        <item x="13"/>
        <item m="1" x="31"/>
        <item x="25"/>
        <item x="2"/>
        <item x="21"/>
        <item x="10"/>
        <item x="11"/>
        <item x="15"/>
        <item x="14"/>
        <item x="26"/>
        <item t="default"/>
      </items>
    </pivotField>
    <pivotField showAll="0"/>
    <pivotField axis="axisPage" showAll="0">
      <items count="7">
        <item x="3"/>
        <item x="2"/>
        <item x="0"/>
        <item x="4"/>
        <item x="1"/>
        <item x="5"/>
        <item t="default"/>
      </items>
    </pivotField>
    <pivotField axis="axisPage" showAll="0">
      <items count="7">
        <item x="4"/>
        <item x="2"/>
        <item x="0"/>
        <item x="1"/>
        <item x="3"/>
        <item x="5"/>
        <item t="default"/>
      </items>
    </pivotField>
    <pivotField showAll="0"/>
    <pivotField showAll="0"/>
    <pivotField showAll="0"/>
    <pivotField axis="axisPage" showAll="0">
      <items count="4">
        <item x="0"/>
        <item x="1"/>
        <item x="2"/>
        <item t="default"/>
      </items>
    </pivotField>
    <pivotField showAll="0"/>
    <pivotField showAll="0"/>
    <pivotField showAll="0"/>
    <pivotField showAll="0"/>
    <pivotField showAll="0"/>
    <pivotField axis="axisCol" showAll="0">
      <items count="10">
        <item x="6"/>
        <item m="1" x="8"/>
        <item x="1"/>
        <item x="3"/>
        <item x="5"/>
        <item x="0"/>
        <item x="4"/>
        <item x="2"/>
        <item x="7"/>
        <item t="default"/>
      </items>
    </pivotField>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dragToRow="0" dragToCol="0" dragToPage="0" showAll="0" defaultSubtotal="0"/>
    <pivotField dragToRow="0" dragToCol="0" dragToPage="0" showAll="0" defaultSubtotal="0"/>
  </pivotFields>
  <rowFields count="1">
    <field x="0"/>
  </rowFields>
  <rowItems count="27">
    <i>
      <x/>
    </i>
    <i>
      <x v="1"/>
    </i>
    <i>
      <x v="2"/>
    </i>
    <i>
      <x v="3"/>
    </i>
    <i>
      <x v="4"/>
    </i>
    <i>
      <x v="9"/>
    </i>
    <i>
      <x v="10"/>
    </i>
    <i>
      <x v="11"/>
    </i>
    <i>
      <x v="12"/>
    </i>
    <i>
      <x v="13"/>
    </i>
    <i>
      <x v="14"/>
    </i>
    <i>
      <x v="15"/>
    </i>
    <i>
      <x v="16"/>
    </i>
    <i>
      <x v="17"/>
    </i>
    <i>
      <x v="18"/>
    </i>
    <i>
      <x v="19"/>
    </i>
    <i>
      <x v="20"/>
    </i>
    <i>
      <x v="21"/>
    </i>
    <i>
      <x v="22"/>
    </i>
    <i>
      <x v="24"/>
    </i>
    <i>
      <x v="25"/>
    </i>
    <i>
      <x v="26"/>
    </i>
    <i>
      <x v="27"/>
    </i>
    <i>
      <x v="28"/>
    </i>
    <i>
      <x v="29"/>
    </i>
    <i>
      <x v="30"/>
    </i>
    <i t="grand">
      <x/>
    </i>
  </rowItems>
  <colFields count="1">
    <field x="13"/>
  </colFields>
  <colItems count="8">
    <i>
      <x/>
    </i>
    <i>
      <x v="2"/>
    </i>
    <i>
      <x v="3"/>
    </i>
    <i>
      <x v="4"/>
    </i>
    <i>
      <x v="5"/>
    </i>
    <i>
      <x v="6"/>
    </i>
    <i>
      <x v="7"/>
    </i>
    <i t="grand">
      <x/>
    </i>
  </colItems>
  <pageFields count="3">
    <pageField fld="2" hier="-1"/>
    <pageField fld="3" hier="-1"/>
    <pageField fld="7" hier="-1"/>
  </pageFields>
  <dataFields count="1">
    <dataField name="Sum of A1-A3 Fossil kg CO2e/m^2 wall area" fld="20" baseField="0" baseItem="0"/>
  </dataFields>
  <chartFormats count="9">
    <chartFormat chart="0" format="0" series="1">
      <pivotArea type="data" outline="0" fieldPosition="0">
        <references count="2">
          <reference field="4294967294" count="1" selected="0">
            <x v="0"/>
          </reference>
          <reference field="13" count="1" selected="0">
            <x v="0"/>
          </reference>
        </references>
      </pivotArea>
    </chartFormat>
    <chartFormat chart="0" format="1" series="1">
      <pivotArea type="data" outline="0" fieldPosition="0">
        <references count="2">
          <reference field="4294967294" count="1" selected="0">
            <x v="0"/>
          </reference>
          <reference field="13" count="1" selected="0">
            <x v="1"/>
          </reference>
        </references>
      </pivotArea>
    </chartFormat>
    <chartFormat chart="0" format="2" series="1">
      <pivotArea type="data" outline="0" fieldPosition="0">
        <references count="2">
          <reference field="4294967294" count="1" selected="0">
            <x v="0"/>
          </reference>
          <reference field="13" count="1" selected="0">
            <x v="2"/>
          </reference>
        </references>
      </pivotArea>
    </chartFormat>
    <chartFormat chart="0" format="3" series="1">
      <pivotArea type="data" outline="0" fieldPosition="0">
        <references count="2">
          <reference field="4294967294" count="1" selected="0">
            <x v="0"/>
          </reference>
          <reference field="13" count="1" selected="0">
            <x v="3"/>
          </reference>
        </references>
      </pivotArea>
    </chartFormat>
    <chartFormat chart="0" format="4" series="1">
      <pivotArea type="data" outline="0" fieldPosition="0">
        <references count="2">
          <reference field="4294967294" count="1" selected="0">
            <x v="0"/>
          </reference>
          <reference field="13" count="1" selected="0">
            <x v="4"/>
          </reference>
        </references>
      </pivotArea>
    </chartFormat>
    <chartFormat chart="0" format="5" series="1">
      <pivotArea type="data" outline="0" fieldPosition="0">
        <references count="2">
          <reference field="4294967294" count="1" selected="0">
            <x v="0"/>
          </reference>
          <reference field="13" count="1" selected="0">
            <x v="5"/>
          </reference>
        </references>
      </pivotArea>
    </chartFormat>
    <chartFormat chart="0" format="6" series="1">
      <pivotArea type="data" outline="0" fieldPosition="0">
        <references count="2">
          <reference field="4294967294" count="1" selected="0">
            <x v="0"/>
          </reference>
          <reference field="13" count="1" selected="0">
            <x v="6"/>
          </reference>
        </references>
      </pivotArea>
    </chartFormat>
    <chartFormat chart="0" format="7" series="1">
      <pivotArea type="data" outline="0" fieldPosition="0">
        <references count="2">
          <reference field="4294967294" count="1" selected="0">
            <x v="0"/>
          </reference>
          <reference field="13" count="1" selected="0">
            <x v="7"/>
          </reference>
        </references>
      </pivotArea>
    </chartFormat>
    <chartFormat chart="0" format="8" series="1">
      <pivotArea type="data" outline="0" fieldPosition="0">
        <references count="2">
          <reference field="4294967294" count="1" selected="0">
            <x v="0"/>
          </reference>
          <reference field="13" count="1" selected="0">
            <x v="8"/>
          </reference>
        </references>
      </pivotArea>
    </chartFormat>
  </chartFormats>
  <pivotTableStyleInfo name="PivotStyleLight16" showRowHeaders="1" showColHeaders="1" showRowStripes="0" showColStripes="0" showLastColumn="1"/>
  <filters count="1">
    <filter fld="0" type="captionNotEqual" evalOrder="-1" id="1" stringValue1="">
      <autoFilter ref="A1">
        <filterColumn colId="0">
          <customFilters>
            <customFilter operator="notEqual" val=" "/>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234C842-FDD3-4169-919E-784571E41C93}" name="Table4" displayName="Table4" ref="C3:AA491" totalsRowShown="0">
  <autoFilter ref="C3:AA491" xr:uid="{2234C842-FDD3-4169-919E-784571E41C93}"/>
  <sortState xmlns:xlrd2="http://schemas.microsoft.com/office/spreadsheetml/2017/richdata2" ref="C4:AA491">
    <sortCondition descending="1" ref="C3:C491"/>
  </sortState>
  <tableColumns count="25">
    <tableColumn id="1" xr3:uid="{EB3EF547-0A67-46E7-987F-196B6A919880}" name="Complete System Name (Concatenated)"/>
    <tableColumn id="2" xr3:uid="{2D66DD07-6FB0-41D1-B8AA-92FED41663FB}" name="Base System"/>
    <tableColumn id="3" xr3:uid="{CCD93F22-7D83-4461-8ACF-FAE10B145604}" name="System Name (Short)" dataDxfId="80">
      <calculatedColumnFormula>_xlfn.XLOOKUP(Table4[[#This Row],[Base System]],BASE_SYSTEM_TABLE[System Name],BASE_SYSTEM_TABLE[System Name (Short)],FALSE)</calculatedColumnFormula>
    </tableColumn>
    <tableColumn id="21" xr3:uid="{B7AA64B6-3077-434B-BDEB-058299248654}" name="MMC Method" dataDxfId="79">
      <calculatedColumnFormula>_xlfn.XLOOKUP(Table4[[#This Row],[Base System]],BASE_SYSTEM_TABLE[[#This Row],[System Name]],BASE_SYSTEM_TABLE[[#This Row],[System Type]],FALSE)</calculatedColumnFormula>
    </tableColumn>
    <tableColumn id="22" xr3:uid="{925FF4EB-E14D-4EA0-AC63-725D77EF0AC3}" name="Method  Subtype" dataDxfId="78">
      <calculatedColumnFormula>_xlfn.XLOOKUP(Table4[[#This Row],[Base System]],BASE_SYSTEM_TABLE[System Name],BASE_SYSTEM_TABLE[System Subtype],FALSE)</calculatedColumnFormula>
    </tableColumn>
    <tableColumn id="23" xr3:uid="{E07794AD-8F66-4C24-9A65-37692E89A514}" name="Structural Type" dataDxfId="77">
      <calculatedColumnFormula>_xlfn.XLOOKUP(Table4[[#This Row],[Base System]],BASE_SYSTEM_TABLE[System Name],BASE_SYSTEM_TABLE[System Type],FALSE)</calculatedColumnFormula>
    </tableColumn>
    <tableColumn id="4" xr3:uid="{B9A1A22F-BC9D-4350-8822-2C76788E888B}" name="Base GWP" dataDxfId="76">
      <calculatedColumnFormula>GETPIVOTDATA("Sum of A1-A3 Fossil kg CO2e/m^2 wall area",'COMPONENT PIVOT REF'!$A$3,"System Name",Table4[[#This Row],[Base System]])</calculatedColumnFormula>
    </tableColumn>
    <tableColumn id="5" xr3:uid="{DA712138-DD85-440C-A1A3-B502353B8644}" name="Base R Value" dataDxfId="75">
      <calculatedColumnFormula>GETPIVOTDATA("Sum of  R value (m^2-K/W)",'COMPONENT PIVOT REF'!$A$3,"System Name",Table4[[#This Row],[Base System]])</calculatedColumnFormula>
    </tableColumn>
    <tableColumn id="6" xr3:uid="{C0C19E14-27A0-4920-B08F-37C6E92AF233}" name="Base Mass"/>
    <tableColumn id="7" xr3:uid="{ED5E8BCD-1B36-423B-A7AC-42ECAFA00D73}" name="Ext Finish"/>
    <tableColumn id="8" xr3:uid="{D29D5D8A-B460-44C1-96B4-D4829482F1B5}" name="Ext Finish Name (Short)" dataDxfId="74">
      <calculatedColumnFormula>_xlfn.XLOOKUP(Table4[[#This Row],[Ext Finish]],Master_Table4[System Name],Master_Table4[System Name (Short)],FALSE)</calculatedColumnFormula>
    </tableColumn>
    <tableColumn id="24" xr3:uid="{75FF45CA-BA4E-4515-BCA6-C8960EEB1226}" name="Compatible Systems" dataDxfId="73">
      <calculatedColumnFormula>_xlfn.XLOOKUP(Table4[[#This Row],[Ext Finish]],Master_Table4[System Name],Master_Table4[Compatible Systems],FALSE)</calculatedColumnFormula>
    </tableColumn>
    <tableColumn id="25" xr3:uid="{1D9A91A2-404E-4141-967D-B1EDF2EF79F6}" name="Compatibility Flag" dataDxfId="72">
      <calculatedColumnFormula>IF(ISNUMBER(SEARCH(Table4[[#This Row],[MMC Method]],Table4[[#This Row],[Compatible Systems]])),"YES","NO")</calculatedColumnFormula>
    </tableColumn>
    <tableColumn id="9" xr3:uid="{0F7DAAE5-1CBD-49D1-A700-967B3E91846C}" name="Ext Finish GWP">
      <calculatedColumnFormula>GETPIVOTDATA("Sum of A1-A3 Fossil kg CO2e/m^2 wall area",'COMPONENT PIVOT REF'!$I$3,"System Name",Table4[[#This Row],[Ext Finish]])</calculatedColumnFormula>
    </tableColumn>
    <tableColumn id="10" xr3:uid="{5174E98D-301D-4611-9F02-306C81AB41EE}" name="Ext Finish R Value">
      <calculatedColumnFormula>GETPIVOTDATA("Sum of  R value (m^2-K/W)",'COMPONENT PIVOT REF'!$I$3,"System Name",Table4[[#This Row],[Ext Finish]])</calculatedColumnFormula>
    </tableColumn>
    <tableColumn id="11" xr3:uid="{BF65999D-108F-408B-882F-823828AAF45C}" name="Ext Finish Mass">
      <calculatedColumnFormula>GETPIVOTDATA("Sum of Total Mass per m^2 (kg)",'COMPONENT PIVOT REF'!$I$3,"System Name",Table4[[#This Row],[Ext Finish]])</calculatedColumnFormula>
    </tableColumn>
    <tableColumn id="12" xr3:uid="{7DEE075D-EB67-4D75-B8A2-142B32C1014B}" name="Int Finish"/>
    <tableColumn id="13" xr3:uid="{BC91C755-40F2-450A-B0C2-596CFC69BEA5}" name="Int Finish Name (Short)" dataDxfId="71">
      <calculatedColumnFormula>_xlfn.XLOOKUP(Table4[[#This Row],[Int Finish]],Master_Table6[System Name],Master_Table6[System Name (Short)],FALSE)</calculatedColumnFormula>
    </tableColumn>
    <tableColumn id="14" xr3:uid="{4844ED98-B60E-4F33-BAA5-02FA7ACAA196}" name="Int Finish GWP">
      <calculatedColumnFormula>GETPIVOTDATA("Sum of A1-A3 Fossil kg CO2e/m^2 wall area",'COMPONENT PIVOT REF'!$P$3,"System Name",Table4[[#This Row],[Int Finish]])</calculatedColumnFormula>
    </tableColumn>
    <tableColumn id="15" xr3:uid="{CBF02926-AF76-41B3-ABF5-2CD19232089B}" name="Int Finish R Value">
      <calculatedColumnFormula>GETPIVOTDATA("Sum of  R value (m^2-K/W)",'COMPONENT PIVOT REF'!$P$3,"System Name",Table4[[#This Row],[Int Finish]])</calculatedColumnFormula>
    </tableColumn>
    <tableColumn id="16" xr3:uid="{22A288BA-16D8-4E1D-AFB5-6023B641FCC8}" name="Int Finish Mass">
      <calculatedColumnFormula>GETPIVOTDATA("Sum of Total Mass per m^2 (kg)",'COMPONENT PIVOT REF'!$P$3,"System Name",Table4[[#This Row],[Int Finish]])</calculatedColumnFormula>
    </tableColumn>
    <tableColumn id="17" xr3:uid="{EA0B5E55-FFB1-413F-8596-05DD9302C837}" name="Total GWP" dataDxfId="70">
      <calculatedColumnFormula>Table4[[#This Row],[Ext Finish GWP]]+Table4[[#This Row],[Base GWP]]+Table4[[#This Row],[Int Finish GWP]]</calculatedColumnFormula>
    </tableColumn>
    <tableColumn id="18" xr3:uid="{5B8CF71F-3C67-4F6B-9C0D-DCC79A5E31A9}" name="Total R value" dataDxfId="69">
      <calculatedColumnFormula>Table4[[#This Row],[Ext Finish R Value]]+Table4[[#This Row],[Base R Value]]+Table4[[#This Row],[Int Finish R Value]]</calculatedColumnFormula>
    </tableColumn>
    <tableColumn id="19" xr3:uid="{01C07B8A-2351-46DC-B7E9-B36ADF427836}" name="Total U Value" dataDxfId="68">
      <calculatedColumnFormula>1/Table4[[#This Row],[Total R value]]</calculatedColumnFormula>
    </tableColumn>
    <tableColumn id="20" xr3:uid="{77BEB7BA-0D45-4649-8D04-39302C2B8089}" name="Total Mass" dataDxfId="67">
      <calculatedColumnFormula>Table4[[#This Row],[Int Finish Mass]]+Table4[[#This Row],[Ext Finish Mass]]+Table4[[#This Row],[Base Mass]]</calculatedColumnFormula>
    </tableColumn>
  </tableColumns>
  <tableStyleInfo name="TableStyleMedium16"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4A63210-4FB3-467B-BE60-CFDE60F39D9A}" name="Master_Table6" displayName="Master_Table6" ref="B3:AE1015" totalsRowShown="0" headerRowDxfId="97">
  <autoFilter ref="B3:AE1015" xr:uid="{08E3A9AB-1B06-46CC-B73F-5BAC3EAC9657}"/>
  <sortState xmlns:xlrd2="http://schemas.microsoft.com/office/spreadsheetml/2017/richdata2" ref="B4:AE1015">
    <sortCondition ref="D3:D1015"/>
  </sortState>
  <tableColumns count="30">
    <tableColumn id="1" xr3:uid="{755E443A-4022-45D1-93A1-54A91E36C54A}" name="System Name"/>
    <tableColumn id="27" xr3:uid="{3FE0DA02-0EE7-4608-94A1-22314C9D4603}" name="Internal Finish Type" dataDxfId="96"/>
    <tableColumn id="5" xr3:uid="{5EC5B2EE-5068-4CCC-A2D2-5E01C0B347A6}" name="Unique ID" dataDxfId="95"/>
    <tableColumn id="34" xr3:uid="{49D05618-4439-49C5-91C4-38CEB4B09FB7}" name="System Name (Short)" dataDxfId="94"/>
    <tableColumn id="33" xr3:uid="{C797FAE9-2CA3-4FFA-8FF5-1EA9798269DF}" name="System Description " dataDxfId="93"/>
    <tableColumn id="16" xr3:uid="{04A0033F-C4B8-4B42-BE54-549738055674}" name="Construction Type (Framed or Planar)" dataDxfId="92"/>
    <tableColumn id="35" xr3:uid="{6D2B98E1-1C0E-48FF-BF1D-BE2841D756E8}" name="Component Calculation Completeness" dataDxfId="91"/>
    <tableColumn id="37" xr3:uid="{5FCDE446-CA31-4D31-ADB4-4CE549A986AE}" name="System Issues Description" dataDxfId="90"/>
    <tableColumn id="36" xr3:uid="{77040FAF-046D-4D50-9AF1-80ED6B679161}" name="Component Calculations Checked?" dataDxfId="89"/>
    <tableColumn id="6" xr3:uid="{6C468F02-9FAF-42D4-BBC8-1D4AEDEF05BC}" name="Component Name" dataDxfId="88"/>
    <tableColumn id="28" xr3:uid="{4E5DCDFB-6217-4756-AE6E-A6DA4B85B249}" name="Component Data Source" dataDxfId="87"/>
    <tableColumn id="7" xr3:uid="{AB9A5D7E-A56C-42FE-9CA3-B4415C67B24A}" name="Use Type" dataDxfId="86"/>
    <tableColumn id="8" xr3:uid="{F44A0246-59ED-4070-8E96-5EC4B3D6FA4B}" name="Standalone Use?"/>
    <tableColumn id="9" xr3:uid="{D5B80D7F-63C8-4E5F-8C80-EE335B30FF5E}" name="Components included" dataDxfId="85"/>
    <tableColumn id="10" xr3:uid="{1D2C1DEC-8D09-4765-A196-B63F284553A4}" name="Additional Components Needed to Achieve Use" dataDxfId="84"/>
    <tableColumn id="11" xr3:uid="{C86FA650-4E2C-4182-BB19-5CC9424C28CE}" name="Product info Available?"/>
    <tableColumn id="30" xr3:uid="{76375BE6-22AC-435A-8A1A-FEE1E285791E}" name="Missing Product Info"/>
    <tableColumn id="12" xr3:uid="{DE95B338-48D3-43E3-BD18-5E4741C8A472}" name=" R value (m^2-K/W)" dataDxfId="83"/>
    <tableColumn id="13" xr3:uid="{3CE5510F-5BEF-4C9E-9FD4-59AE5D33C922}" name="A1-A3 Fossil kg CO2e/m^2 wall area" dataDxfId="82"/>
    <tableColumn id="14" xr3:uid="{9406710D-D716-4CC4-B359-EE31F49DF728}" name="Raw A1-A3/Conversion factor"/>
    <tableColumn id="15" xr3:uid="{671D53E3-8034-4FB4-980F-9FC23988ACD1}" name="Raw GWP Declared Unit"/>
    <tableColumn id="17" xr3:uid="{24D89FB2-E787-4F4E-8C13-7CF3963EE6F4}" name="Length (m) (on wall)"/>
    <tableColumn id="18" xr3:uid="{718FB917-D790-4988-A35C-17D9EB28332A}" name="Height (m)"/>
    <tableColumn id="19" xr3:uid="{940D7FBE-8638-453D-82B9-E83B9014B875}" name="Thickness (m)"/>
    <tableColumn id="20" xr3:uid="{EF7FAD57-D46D-43E4-B4B4-C065EB27EBA8}" name="Element Volume (m^3)"/>
    <tableColumn id="21" xr3:uid="{D663C7AA-2A93-4238-B8F1-B58746127297}" name="No. of elements in 1 panel"/>
    <tableColumn id="23" xr3:uid="{71FEA4DB-5CE5-4A6B-83AE-D87A96D67EAD}" name="Percent of wall area" dataCellStyle="Percent"/>
    <tableColumn id="24" xr3:uid="{C7493890-4D1C-4B1F-A9F6-C3AF03A4B36C}" name="Material Density (kg/m^3)"/>
    <tableColumn id="25" xr3:uid="{0DDAAC12-9439-4A7A-B10B-B10396E079DC}" name="Total Mass per m^2 (kg)"/>
    <tableColumn id="29" xr3:uid="{5F070931-218B-4C91-ACD0-08A9A6D1F873}" name="Thermal Conductivity W/m-K"/>
  </tableColumns>
  <tableStyleInfo name="TableStyleLight13"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528856B-A750-43B6-8FC6-48CCCEDC9BAB}" name="Master_Table4" displayName="Master_Table4" ref="B3:AE769" totalsRowShown="0" headerRowDxfId="112">
  <autoFilter ref="B3:AE769" xr:uid="{08E3A9AB-1B06-46CC-B73F-5BAC3EAC9657}"/>
  <tableColumns count="30">
    <tableColumn id="1" xr3:uid="{0457A85D-644C-4E6D-883B-326CE243D598}" name="System Name"/>
    <tableColumn id="2" xr3:uid="{FA888984-CA43-4762-93B3-5B470E96F9E6}" name="Model Source" dataDxfId="111"/>
    <tableColumn id="27" xr3:uid="{032F4BB5-0713-49CF-B033-C2CC2A8F50E7}" name="External Finish Type" dataDxfId="110"/>
    <tableColumn id="34" xr3:uid="{6077439C-7BDE-490B-B29C-8E8B9D2C0573}" name="System Name (Short)" dataDxfId="109"/>
    <tableColumn id="33" xr3:uid="{79B57026-8E86-4777-A219-F5E955FD6D61}" name="System Description (mid length)" dataDxfId="108"/>
    <tableColumn id="22" xr3:uid="{0E97A735-A313-49EC-9211-50BE8E713FCA}" name="Compatible Systems" dataDxfId="81"/>
    <tableColumn id="35" xr3:uid="{1B36BD11-572D-47F1-8FCB-0F33DB8164AC}" name="Component Calculation Completeness" dataDxfId="107"/>
    <tableColumn id="37" xr3:uid="{AF59E031-FA39-4DAD-900D-BBA827F0E44B}" name="System Issues Description" dataDxfId="106"/>
    <tableColumn id="36" xr3:uid="{91E1F68B-8628-4631-81BF-DC86572639FC}" name="Component Calculations Checked?" dataDxfId="105"/>
    <tableColumn id="6" xr3:uid="{74C91E74-5484-434B-9B8B-2A4E15273AA1}" name="Component Name" dataDxfId="104"/>
    <tableColumn id="28" xr3:uid="{565831FF-F8D2-48C3-B54A-A07589F34757}" name="Component Data Source" dataDxfId="103"/>
    <tableColumn id="7" xr3:uid="{955AAD17-02B5-4FCD-90A7-3934B3E99C81}" name="Use Type" dataDxfId="102"/>
    <tableColumn id="8" xr3:uid="{DE78D6E4-28CC-4B41-BFD1-46C3986D9A66}" name="Standalone Use?"/>
    <tableColumn id="9" xr3:uid="{D69240AF-93F0-42E9-B83E-4A498F279F3D}" name="Components included" dataDxfId="101"/>
    <tableColumn id="10" xr3:uid="{2E1B2BCE-BD63-4A4E-B839-8D9E392A782B}" name="Additional Components Needed to Achieve Use" dataDxfId="100"/>
    <tableColumn id="11" xr3:uid="{3677F99A-49D5-427E-9B2C-AF4E3005743E}" name="Product info Available?"/>
    <tableColumn id="30" xr3:uid="{EF8507D3-C999-41C0-856E-CFE111649D87}" name="Missing Product Info"/>
    <tableColumn id="12" xr3:uid="{9BFA09ED-7B6B-445A-8594-DDDC79421A9C}" name=" R value (m^2-K/W)" dataDxfId="99"/>
    <tableColumn id="13" xr3:uid="{D8CCE75C-0294-4693-BBC7-99049E9401F1}" name="A1-A3 Fossil kg CO2e/m^2 wall area" dataDxfId="98"/>
    <tableColumn id="14" xr3:uid="{40A77BF0-FEF4-4C65-8ED0-60C40C1B72AC}" name="Raw A1-A3/Conversion factor"/>
    <tableColumn id="15" xr3:uid="{FBE8ADD6-2BE4-4B35-BA53-EFA175556679}" name="Raw GWP Declared Unit"/>
    <tableColumn id="17" xr3:uid="{421BB707-4BE7-4219-913E-CC2FBD551234}" name="Length (m) (on wall)"/>
    <tableColumn id="18" xr3:uid="{7AFD6AEF-F3CE-40B0-A3C0-F34834F70F56}" name="Height (m)"/>
    <tableColumn id="19" xr3:uid="{7817061C-9566-47BA-895E-CC97A5ED77A1}" name="Thickness (m)"/>
    <tableColumn id="20" xr3:uid="{6EF8BF9F-F07C-42C1-8665-0BB864BD3B9E}" name="Element Volume (m^3)"/>
    <tableColumn id="21" xr3:uid="{5D023A0C-BE89-4F94-B9A5-322F3007F830}" name="No. of elements in 1 panel"/>
    <tableColumn id="23" xr3:uid="{07085EEA-F0FB-4081-B098-73C06F5DD278}" name="Percent of wall area" dataCellStyle="Percent"/>
    <tableColumn id="24" xr3:uid="{00D84879-3F54-4C49-8245-836F236EEB10}" name="Material Density (kg/m^3)"/>
    <tableColumn id="25" xr3:uid="{578011F5-3B20-4A8E-9007-541C10EB89FC}" name="Total Mass per m^2 (kg)"/>
    <tableColumn id="29" xr3:uid="{29753C5A-CCE0-41C9-816E-D1D028DF1265}" name="Thermal Conductivity W/m-K"/>
  </tableColumns>
  <tableStyleInfo name="TableStyleLight13"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61E85F1-3EF8-4547-BA4D-24933480503F}" name="BASE_SYSTEM_TABLE" displayName="BASE_SYSTEM_TABLE" ref="B3:AG840" totalsRowShown="0" headerRowDxfId="130">
  <autoFilter ref="B3:AG840" xr:uid="{08E3A9AB-1B06-46CC-B73F-5BAC3EAC9657}"/>
  <sortState xmlns:xlrd2="http://schemas.microsoft.com/office/spreadsheetml/2017/richdata2" ref="B4:AG840">
    <sortCondition ref="F3:F840"/>
  </sortState>
  <tableColumns count="32">
    <tableColumn id="1" xr3:uid="{A63E6CD3-E775-4F9A-8914-173E31E0A696}" name="System Name"/>
    <tableColumn id="2" xr3:uid="{1DA9B074-3B9B-41F4-8E92-1E91CC044C79}" name="Model Source" dataDxfId="129"/>
    <tableColumn id="3" xr3:uid="{4A39AA35-4B7C-475D-8577-A40042AC948C}" name="System Type" dataDxfId="128"/>
    <tableColumn id="4" xr3:uid="{0576A844-E923-426F-AF2E-2B2FD14EF76D}" name="System Subtype" dataDxfId="127"/>
    <tableColumn id="5" xr3:uid="{24676CDD-3B42-4203-A7B3-AF7C82E9CD5E}" name="Unique ID" dataDxfId="126"/>
    <tableColumn id="34" xr3:uid="{F10C2253-3671-40B2-8A52-46AC68A9B66F}" name="System Name (Short)" dataDxfId="125"/>
    <tableColumn id="33" xr3:uid="{9472E642-976D-4919-BC92-79F663252564}" name="System Description (mid length)" dataDxfId="124"/>
    <tableColumn id="16" xr3:uid="{CD468127-FA83-419F-B725-B2CB6516A67E}" name="Construction Type (Framed or Planar)" dataDxfId="123"/>
    <tableColumn id="35" xr3:uid="{0EC60598-B740-416B-92EC-50E4845BFD38}" name="Component Calculation Completeness" dataDxfId="122"/>
    <tableColumn id="37" xr3:uid="{7BEAE649-8B78-4535-A71E-CA07FB5ED218}" name="System Issues Description" dataDxfId="121"/>
    <tableColumn id="36" xr3:uid="{1870985C-6AB7-4B0F-9745-E70D1B766EA1}" name="Component Calculations Checked?" dataDxfId="120"/>
    <tableColumn id="6" xr3:uid="{683A8F1A-77BE-42C5-B777-056DA19CF47D}" name="Component Name" dataDxfId="119"/>
    <tableColumn id="28" xr3:uid="{E507AEA7-F817-4B59-AEAD-6B0F5DF688AF}" name="Component Data Source" dataDxfId="118"/>
    <tableColumn id="7" xr3:uid="{75851B14-D4DD-466D-B7CF-F6523459694A}" name="Use Type" dataDxfId="117"/>
    <tableColumn id="8" xr3:uid="{39CF1B38-3EBC-45D0-A29A-E9173208B564}" name="Standalone Use?"/>
    <tableColumn id="9" xr3:uid="{497D72B0-6398-4284-95BC-CDC5B7B38E6F}" name="Components included" dataDxfId="116"/>
    <tableColumn id="10" xr3:uid="{7E710084-05ED-4BF3-B4BF-EFBC41EBB9EB}" name="Additional Components Needed to Achieve Use" dataDxfId="115"/>
    <tableColumn id="11" xr3:uid="{A4D14829-3605-48BA-9C02-9F7377EDD2F9}" name="Product info Available?"/>
    <tableColumn id="30" xr3:uid="{454276B7-2001-444A-A509-E7EEF5F61329}" name="Missing Product Info"/>
    <tableColumn id="12" xr3:uid="{16D2E9AB-32C5-420C-8DF7-11AABB981237}" name=" R value (m^2-K/W)" dataDxfId="114"/>
    <tableColumn id="13" xr3:uid="{B83AFEAD-CA9A-4915-A0A1-E1FCCEB32A3D}" name="A1-A3 Fossil kg CO2e/m^2 wall area" dataDxfId="113"/>
    <tableColumn id="14" xr3:uid="{BD27B110-DCE3-4844-A720-B2B56B2FEBA6}" name="Raw A1-A3/Conversion factor"/>
    <tableColumn id="15" xr3:uid="{2472F082-7D1F-47B7-A574-03E80AE7609B}" name="Raw GWP Declared Unit"/>
    <tableColumn id="17" xr3:uid="{4208C89C-8577-480B-8391-A0BB6D9F7818}" name="Length (m) (on wall)"/>
    <tableColumn id="18" xr3:uid="{C2C94F8C-3D7B-452B-9D6A-A840BE709879}" name="Height (m)"/>
    <tableColumn id="19" xr3:uid="{5DB02048-F69C-4639-A803-154AAEE07A78}" name="Thickness (m)"/>
    <tableColumn id="20" xr3:uid="{BE35E044-6D72-4960-B318-85EAF8305596}" name="Element Volume (m^3)"/>
    <tableColumn id="21" xr3:uid="{52177901-680C-433A-8862-12E4EF583D2A}" name="No. of elements in 1 panel"/>
    <tableColumn id="23" xr3:uid="{F317EC29-A2E5-4520-BC5E-F394DB35C2EA}" name="Percent of wall area" dataCellStyle="Percent"/>
    <tableColumn id="24" xr3:uid="{EC4EE402-FF1A-4CBB-9E75-5C0E765F0822}" name="Material Density (kg/m^3)"/>
    <tableColumn id="25" xr3:uid="{11792257-E7B2-4043-B82D-9294F77368D3}" name="Total Mass per m^2 (kg)"/>
    <tableColumn id="29" xr3:uid="{701D07A6-5790-424D-8C4C-260DDDA51C35}" name="Thermal Conductivity W/m-K"/>
  </tableColumns>
  <tableStyleInfo name="TableStyleLight13"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8E3A9AB-1B06-46CC-B73F-5BAC3EAC9657}" name="Master_Table" displayName="Master_Table" ref="B3:AH1024" totalsRowShown="0" headerRowDxfId="149">
  <autoFilter ref="B3:AH1024" xr:uid="{08E3A9AB-1B06-46CC-B73F-5BAC3EAC9657}"/>
  <sortState xmlns:xlrd2="http://schemas.microsoft.com/office/spreadsheetml/2017/richdata2" ref="B4:AH1024">
    <sortCondition ref="G3:G1024"/>
  </sortState>
  <tableColumns count="33">
    <tableColumn id="1" xr3:uid="{7A410D6E-CB6E-4D8A-B545-A0EC35F77ECC}" name="System Name"/>
    <tableColumn id="2" xr3:uid="{091EC29D-5F57-4500-94B6-35056E5B9C82}" name="Model Source" dataDxfId="148"/>
    <tableColumn id="3" xr3:uid="{228DB68D-8B71-4234-A622-326FB969BB5E}" name="System Type" dataDxfId="147"/>
    <tableColumn id="4" xr3:uid="{C578D707-157D-487D-A1B2-763B0BBA30C7}" name="System Subtype" dataDxfId="146"/>
    <tableColumn id="27" xr3:uid="{A9DCFBA1-6D8F-4181-856F-2D25539D9D0E}" name="External Finish Type" dataDxfId="145"/>
    <tableColumn id="5" xr3:uid="{67197342-965F-4D67-B7EF-ED3EF69D1DF4}" name="Unique ID" dataDxfId="144"/>
    <tableColumn id="34" xr3:uid="{ED4696BD-CC3A-4DA5-BBD3-963C64B87A14}" name="System Description (Short)" dataDxfId="143"/>
    <tableColumn id="33" xr3:uid="{7A107FC9-73DC-4470-926B-51FA05038654}" name="System Description (mid length)" dataDxfId="142"/>
    <tableColumn id="16" xr3:uid="{33F83A9A-F2E5-4A64-93B8-B20AFF2B2BE9}" name="Construction Type (Framed or Planar)" dataDxfId="131"/>
    <tableColumn id="35" xr3:uid="{47A35B16-DB61-4A31-9375-B1FFD63FEDA4}" name="Component Calculation Completeness" dataDxfId="141"/>
    <tableColumn id="37" xr3:uid="{36691304-2665-4366-AD42-7FFD6C89BFEE}" name="System Issues Description" dataDxfId="140"/>
    <tableColumn id="36" xr3:uid="{1552EF1D-0DF2-4482-9520-250A1AE248CB}" name="Component Calculations Checked?" dataDxfId="139"/>
    <tableColumn id="6" xr3:uid="{D73BF900-0854-41C7-A7A5-246F17DBC2E1}" name="Component Name" dataDxfId="138"/>
    <tableColumn id="28" xr3:uid="{D9746E30-78A2-4D9B-9D5D-4AAD16C605C7}" name="Component Data Source" dataDxfId="137"/>
    <tableColumn id="7" xr3:uid="{F74A8C88-3E35-4C9F-ADD0-DA1DCB02C91A}" name="Use Type" dataDxfId="136"/>
    <tableColumn id="8" xr3:uid="{891EE32A-C1D1-4843-B7F8-C321EEF83F2A}" name="Standalone Use?"/>
    <tableColumn id="9" xr3:uid="{AC30E0A5-85A5-466B-890E-A3462658C41A}" name="Components included" dataDxfId="135"/>
    <tableColumn id="10" xr3:uid="{5D3162FC-16F0-41E8-A8C5-F54DCA69AE9F}" name="Additional Components Needed to Achieve Use" dataDxfId="134"/>
    <tableColumn id="11" xr3:uid="{06477A65-4F63-4FBB-B9AE-50E45D06583E}" name="Product info Available?"/>
    <tableColumn id="30" xr3:uid="{10386B9A-D0F7-450E-9DFC-22A6612F5370}" name="Missing Product Info"/>
    <tableColumn id="12" xr3:uid="{4844713D-DF8B-4A5C-B380-9EED08BACDE9}" name=" R value (m^2-K/W)" dataDxfId="133"/>
    <tableColumn id="13" xr3:uid="{0FB05CFF-8F62-4243-91E0-2A2CC193F2C3}" name="A1-A3 Fossil kg CO2e/m^2 wall area" dataDxfId="132"/>
    <tableColumn id="14" xr3:uid="{E452D2CE-2CEE-4B51-AED8-5DA0A3D6E130}" name="Raw A1-A3/Conversion factor"/>
    <tableColumn id="15" xr3:uid="{8D16B16A-24B1-4255-89D1-E2A62FB471BC}" name="Raw GWP Declared Unit"/>
    <tableColumn id="17" xr3:uid="{CE5644B5-130F-4D3D-A0FA-27F091CE0562}" name="Length (m) (on wall)"/>
    <tableColumn id="18" xr3:uid="{F40C21F5-EE25-404C-B0CA-626CE3408BE8}" name="Height (m)"/>
    <tableColumn id="19" xr3:uid="{FAFBE50D-A6CE-478E-9878-F5388E4BCAA1}" name="Thickness (m)"/>
    <tableColumn id="20" xr3:uid="{3E9E488F-5545-4BD0-8AF7-8FF771963823}" name="Element Volume (m^3)"/>
    <tableColumn id="21" xr3:uid="{7C79F708-FDD6-4831-B9BE-6F18E362C6D9}" name="No. of elements in 1 panel"/>
    <tableColumn id="23" xr3:uid="{8453093A-FC1A-4821-BBDD-40DB095ACF04}" name="Percent of wall area" dataCellStyle="Percent"/>
    <tableColumn id="24" xr3:uid="{4724578F-DFE8-4C67-A3A2-83A5A22414AB}" name="Material Density (kg/m^3)"/>
    <tableColumn id="25" xr3:uid="{9B26402D-60A8-41DE-BC7F-4DD5F323EEC3}" name="Total Mass per m^2 (kg)"/>
    <tableColumn id="29" xr3:uid="{C0B09CB0-75B0-4CF2-BA3B-7DDA258F77D5}" name="Thermal Conductivity W/m-K"/>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3.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4.xml"/></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6.xml"/></Relationships>
</file>

<file path=xl/worksheets/_rels/sheet9.xml.rels><?xml version="1.0" encoding="UTF-8" standalone="yes"?>
<Relationships xmlns="http://schemas.openxmlformats.org/package/2006/relationships"><Relationship Id="rId1" Type="http://schemas.openxmlformats.org/officeDocument/2006/relationships/table" Target="../tables/table1.xml"/></Relationships>
</file>

<file path=xl/worksheets/_rels/sheet10.xml.rels><?xml version="1.0" encoding="UTF-8" standalone="yes"?>
<Relationships xmlns="http://schemas.openxmlformats.org/package/2006/relationships"><Relationship Id="rId3" Type="http://schemas.openxmlformats.org/officeDocument/2006/relationships/pivotTable" Target="../pivotTables/pivotTable9.xml"/><Relationship Id="rId2" Type="http://schemas.openxmlformats.org/officeDocument/2006/relationships/pivotTable" Target="../pivotTables/pivotTable8.xml"/><Relationship Id="rId1" Type="http://schemas.openxmlformats.org/officeDocument/2006/relationships/pivotTable" Target="../pivotTables/pivotTable7.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ivotTable" Target="../pivotTables/pivotTable10.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9.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0.xml.rels><?xml version="1.0" encoding="UTF-8" standalone="yes"?>
<Relationships xmlns="http://schemas.openxmlformats.org/package/2006/relationships"><Relationship Id="rId8" Type="http://schemas.openxmlformats.org/officeDocument/2006/relationships/hyperlink" Target="https://www.cisc-icca.ca/wp-content/uploads/2024/12/CSSBI_EPD_2022_Cold-Formed-Sections-and-Panels_ISBN_V2.pdf" TargetMode="External"/><Relationship Id="rId13" Type="http://schemas.openxmlformats.org/officeDocument/2006/relationships/hyperlink" Target="https://api.environdec.com/api/v1/EPDLibrary/Files/a0e82a6d-4826-4069-a6f4-08da599e304a/Data" TargetMode="External"/><Relationship Id="rId18" Type="http://schemas.openxmlformats.org/officeDocument/2006/relationships/hyperlink" Target="https://www.igbc.ie/epd/mannok-aircrete-block-seven/" TargetMode="External"/><Relationship Id="rId26" Type="http://schemas.openxmlformats.org/officeDocument/2006/relationships/hyperlink" Target="https://www.environdec.com/library/epd11545" TargetMode="External"/><Relationship Id="rId3" Type="http://schemas.openxmlformats.org/officeDocument/2006/relationships/hyperlink" Target="https://www.igbc.ie/wp-content/uploads/2023/10/EPD-Amvic-EPS-11-10-23-EPDIE-23-120.pdf" TargetMode="External"/><Relationship Id="rId21" Type="http://schemas.openxmlformats.org/officeDocument/2006/relationships/hyperlink" Target="https://manage.epdhub.com/?epd=HUB-2457" TargetMode="External"/><Relationship Id="rId7" Type="http://schemas.openxmlformats.org/officeDocument/2006/relationships/hyperlink" Target="https://www.metalconstruction.org/view/download.php/online-education/education-materials/imp-educational-materials/environmental-product-declaration-for-insulated-metal-panels" TargetMode="External"/><Relationship Id="rId12" Type="http://schemas.openxmlformats.org/officeDocument/2006/relationships/hyperlink" Target="https://api.environdec.com/api/v1/EPDLibrary/Files/d6aaae8d-144c-43e2-9b04-08db7e35bd3c/Data" TargetMode="External"/><Relationship Id="rId17" Type="http://schemas.openxmlformats.org/officeDocument/2006/relationships/hyperlink" Target="https://www.igbc.ie/epd/mannok-aircrete-block-high-ten/" TargetMode="External"/><Relationship Id="rId25" Type="http://schemas.openxmlformats.org/officeDocument/2006/relationships/hyperlink" Target="https://manage.epdhub.com/?epd=HUB-3059" TargetMode="External"/><Relationship Id="rId2" Type="http://schemas.openxmlformats.org/officeDocument/2006/relationships/hyperlink" Target="https://epdnorway.lca-data.com/resource/datastocks/91413340-7bf0-4f88-a952-0f91cba685df/processes/5d67bcbf-ad00-4a7b-a8f6-1503be58536d/epd?version=00.04.000" TargetMode="External"/><Relationship Id="rId16" Type="http://schemas.openxmlformats.org/officeDocument/2006/relationships/hyperlink" Target="https://api.environdec.com/api/v1/EPDLibrary/Files/00e162ed-1ebf-4473-dff7-08dcc7536db3/Data" TargetMode="External"/><Relationship Id="rId20" Type="http://schemas.openxmlformats.org/officeDocument/2006/relationships/hyperlink" Target="https://www.igbc.ie/epd/mannok-aircrete-block-super/" TargetMode="External"/><Relationship Id="rId29" Type="http://schemas.openxmlformats.org/officeDocument/2006/relationships/hyperlink" Target="https://www.igbc.ie/epd/kingscourt-brick/" TargetMode="External"/><Relationship Id="rId1" Type="http://schemas.openxmlformats.org/officeDocument/2006/relationships/hyperlink" Target="https://www.nordicform.fi/wp-content/uploads/2025/06/Nudura-EPD-EN-15804.pdf" TargetMode="External"/><Relationship Id="rId6" Type="http://schemas.openxmlformats.org/officeDocument/2006/relationships/hyperlink" Target="https://sfia.memberclicks.net/assets/TechFiles/SCS-EPD-07103_SFIA_012522.pdf" TargetMode="External"/><Relationship Id="rId11" Type="http://schemas.openxmlformats.org/officeDocument/2006/relationships/hyperlink" Target="https://www.environdec.com/library/epd2561" TargetMode="External"/><Relationship Id="rId24" Type="http://schemas.openxmlformats.org/officeDocument/2006/relationships/hyperlink" Target="https://manage.epdhub.com/?epd=HUB-3060" TargetMode="External"/><Relationship Id="rId5" Type="http://schemas.openxmlformats.org/officeDocument/2006/relationships/hyperlink" Target="https://www.environdec.com/library/epd11145" TargetMode="External"/><Relationship Id="rId15" Type="http://schemas.openxmlformats.org/officeDocument/2006/relationships/hyperlink" Target="https://www.environdec.com/library/epd10892" TargetMode="External"/><Relationship Id="rId23" Type="http://schemas.openxmlformats.org/officeDocument/2006/relationships/hyperlink" Target="https://manage.epdhub.com/?epd=HUB-3061" TargetMode="External"/><Relationship Id="rId28" Type="http://schemas.openxmlformats.org/officeDocument/2006/relationships/hyperlink" Target="https://www.igbc.ie/wp-content/uploads/2025/06/EPD-Irish-Concrete-Federation-C2835-Readymix-Concrete-0-19-06-25-EPDIE-24-195.pdf" TargetMode="External"/><Relationship Id="rId10" Type="http://schemas.openxmlformats.org/officeDocument/2006/relationships/hyperlink" Target="https://manage.epdhub.com/?epd=HUB-1609" TargetMode="External"/><Relationship Id="rId19" Type="http://schemas.openxmlformats.org/officeDocument/2006/relationships/hyperlink" Target="https://www.igbc.ie/epd/mannok-aircrete-block-standard/" TargetMode="External"/><Relationship Id="rId4" Type="http://schemas.openxmlformats.org/officeDocument/2006/relationships/hyperlink" Target="https://www.environdec.com/library/epd14599" TargetMode="External"/><Relationship Id="rId9" Type="http://schemas.openxmlformats.org/officeDocument/2006/relationships/hyperlink" Target="https://www.environdec.com/library/epd16039" TargetMode="External"/><Relationship Id="rId14" Type="http://schemas.openxmlformats.org/officeDocument/2006/relationships/hyperlink" Target="https://www.environdec.com/library/epd7434" TargetMode="External"/><Relationship Id="rId22" Type="http://schemas.openxmlformats.org/officeDocument/2006/relationships/hyperlink" Target="https://manage.epdhub.com/?epd=HUB-2458" TargetMode="External"/><Relationship Id="rId27" Type="http://schemas.openxmlformats.org/officeDocument/2006/relationships/hyperlink" Target="https://api.environdec.com/api/v1/EPDLibrary/Files/9c39d1fe-43ea-4eec-6e08-08ddae78753c/Data" TargetMode="External"/><Relationship Id="rId30" Type="http://schemas.openxmlformats.org/officeDocument/2006/relationships/hyperlink" Target="https://api.environdec.com/api/v1/EPDLibrary/Files/8e44b6f4-38fa-4ea2-fd09-08dcecf14061/Data" TargetMode="External"/></Relationships>
</file>

<file path=xl/worksheets/_rels/sheet24.xml.rels><?xml version="1.0" encoding="UTF-8" standalone="yes"?>
<Relationships xmlns="http://schemas.openxmlformats.org/package/2006/relationships"><Relationship Id="rId3" Type="http://schemas.openxmlformats.org/officeDocument/2006/relationships/hyperlink" Target="https://www.eco-platform.org/epd-data.html" TargetMode="External"/><Relationship Id="rId2" Type="http://schemas.openxmlformats.org/officeDocument/2006/relationships/hyperlink" Target="https://www.buildusingsteel.org/why-choose-steel/product-transparency/" TargetMode="External"/><Relationship Id="rId1" Type="http://schemas.openxmlformats.org/officeDocument/2006/relationships/hyperlink" Target="https://www.environdec.com/library" TargetMode="External"/><Relationship Id="rId4" Type="http://schemas.openxmlformats.org/officeDocument/2006/relationships/hyperlink" Target="https://www.igbc.ie/epd-search/"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9" tint="-0.249977111117893"/>
  </sheetPr>
  <dimension ref="A1:BN601"/>
  <sheetViews>
    <sheetView workbookViewId="0">
      <selection activeCell="O5" sqref="O5"/>
    </sheetView>
  </sheetViews>
  <sheetFormatPr defaultRowHeight="14.5" x14ac:dyDescent="0.35"/>
  <cols>
    <col min="13" max="66" width="8.7265625" style="13"/>
  </cols>
  <sheetData>
    <row r="1" spans="1:16" ht="21" customHeight="1" x14ac:dyDescent="0.35">
      <c r="A1" s="166" t="s">
        <v>402</v>
      </c>
      <c r="B1" s="167"/>
      <c r="C1" s="167"/>
      <c r="D1" s="167"/>
      <c r="E1" s="167"/>
      <c r="F1" s="167"/>
      <c r="G1" s="167"/>
      <c r="H1" s="167"/>
      <c r="I1" s="167"/>
      <c r="J1" s="167"/>
      <c r="K1" s="167"/>
      <c r="L1" s="167"/>
      <c r="M1" s="167"/>
      <c r="N1" s="167"/>
    </row>
    <row r="2" spans="1:16" ht="21" customHeight="1" x14ac:dyDescent="0.35">
      <c r="A2" s="166"/>
      <c r="B2" s="167"/>
      <c r="C2" s="167"/>
      <c r="D2" s="167"/>
      <c r="E2" s="167"/>
      <c r="F2" s="167"/>
      <c r="G2" s="167"/>
      <c r="H2" s="167"/>
      <c r="I2" s="167"/>
      <c r="J2" s="167"/>
      <c r="K2" s="167"/>
      <c r="L2" s="167"/>
      <c r="M2" s="167"/>
      <c r="N2" s="167"/>
    </row>
    <row r="3" spans="1:16" ht="14.5" customHeight="1" x14ac:dyDescent="0.35">
      <c r="A3" s="44" t="s">
        <v>406</v>
      </c>
      <c r="B3" s="168" t="s">
        <v>425</v>
      </c>
      <c r="C3" s="168"/>
      <c r="D3" s="168"/>
      <c r="E3" s="168"/>
      <c r="F3" s="168"/>
      <c r="G3" s="168"/>
      <c r="H3" s="168"/>
      <c r="I3" s="168"/>
      <c r="J3" s="168"/>
      <c r="K3" s="168"/>
      <c r="L3" s="168"/>
      <c r="M3" s="168"/>
      <c r="N3" s="168"/>
      <c r="O3" s="170" t="s">
        <v>401</v>
      </c>
      <c r="P3" s="171"/>
    </row>
    <row r="4" spans="1:16" ht="14.5" customHeight="1" x14ac:dyDescent="0.35">
      <c r="A4" s="13"/>
      <c r="B4" s="168"/>
      <c r="C4" s="168"/>
      <c r="D4" s="168"/>
      <c r="E4" s="168"/>
      <c r="F4" s="168"/>
      <c r="G4" s="168"/>
      <c r="H4" s="168"/>
      <c r="I4" s="168"/>
      <c r="J4" s="168"/>
      <c r="K4" s="168"/>
      <c r="L4" s="168"/>
      <c r="M4" s="168"/>
      <c r="N4" s="168"/>
      <c r="O4" s="171"/>
      <c r="P4" s="171"/>
    </row>
    <row r="5" spans="1:16" x14ac:dyDescent="0.35">
      <c r="B5" s="168"/>
      <c r="C5" s="168"/>
      <c r="D5" s="168"/>
      <c r="E5" s="168"/>
      <c r="F5" s="168"/>
      <c r="G5" s="168"/>
      <c r="H5" s="168"/>
      <c r="I5" s="168"/>
      <c r="J5" s="168"/>
      <c r="K5" s="168"/>
      <c r="L5" s="168"/>
      <c r="M5" s="168"/>
      <c r="N5" s="168"/>
      <c r="O5" s="158" t="s">
        <v>30</v>
      </c>
      <c r="P5" s="13" t="s">
        <v>31</v>
      </c>
    </row>
    <row r="6" spans="1:16" x14ac:dyDescent="0.35">
      <c r="A6" s="72" t="s">
        <v>403</v>
      </c>
      <c r="B6" s="13" t="s">
        <v>404</v>
      </c>
      <c r="C6" s="13"/>
      <c r="D6" s="13"/>
      <c r="E6" s="13"/>
      <c r="F6" s="13"/>
      <c r="G6" s="13"/>
      <c r="H6" s="13"/>
      <c r="I6" s="13"/>
      <c r="J6" s="13"/>
      <c r="K6" s="13"/>
      <c r="L6" s="13"/>
      <c r="O6" s="65" t="s">
        <v>30</v>
      </c>
      <c r="P6" s="13" t="s">
        <v>348</v>
      </c>
    </row>
    <row r="7" spans="1:16" x14ac:dyDescent="0.35">
      <c r="A7" s="72" t="s">
        <v>405</v>
      </c>
      <c r="B7" s="73" t="str">
        <f>"15 July 2025"</f>
        <v>15 July 2025</v>
      </c>
      <c r="C7" s="13"/>
      <c r="D7" s="13"/>
      <c r="E7" s="13"/>
      <c r="F7" s="13"/>
      <c r="G7" s="13"/>
      <c r="H7" s="13"/>
      <c r="I7" s="13"/>
      <c r="J7" s="13"/>
      <c r="K7" s="13"/>
      <c r="L7" s="13"/>
      <c r="O7" s="66" t="s">
        <v>30</v>
      </c>
      <c r="P7" s="13" t="s">
        <v>34</v>
      </c>
    </row>
    <row r="8" spans="1:16" x14ac:dyDescent="0.35">
      <c r="A8" s="13"/>
      <c r="B8" s="13"/>
      <c r="C8" s="13"/>
      <c r="D8" s="13"/>
      <c r="E8" s="13"/>
      <c r="F8" s="13"/>
      <c r="G8" s="13"/>
      <c r="H8" s="13"/>
      <c r="I8" s="13"/>
      <c r="J8" s="13"/>
      <c r="K8" s="13"/>
      <c r="L8" s="13"/>
      <c r="O8" s="67" t="s">
        <v>30</v>
      </c>
      <c r="P8" s="13" t="s">
        <v>35</v>
      </c>
    </row>
    <row r="9" spans="1:16" ht="14.5" customHeight="1" x14ac:dyDescent="0.35">
      <c r="A9" s="72" t="s">
        <v>302</v>
      </c>
      <c r="B9" s="168" t="s">
        <v>424</v>
      </c>
      <c r="C9" s="168"/>
      <c r="D9" s="168"/>
      <c r="E9" s="168"/>
      <c r="F9" s="168"/>
      <c r="G9" s="168"/>
      <c r="H9" s="168"/>
      <c r="I9" s="168"/>
      <c r="J9" s="168"/>
      <c r="K9" s="168"/>
      <c r="L9" s="168"/>
      <c r="M9" s="168"/>
      <c r="N9" s="169"/>
      <c r="O9" s="68" t="s">
        <v>30</v>
      </c>
      <c r="P9" s="13" t="s">
        <v>340</v>
      </c>
    </row>
    <row r="10" spans="1:16" x14ac:dyDescent="0.35">
      <c r="A10" s="13"/>
      <c r="B10" s="168"/>
      <c r="C10" s="168"/>
      <c r="D10" s="168"/>
      <c r="E10" s="168"/>
      <c r="F10" s="168"/>
      <c r="G10" s="168"/>
      <c r="H10" s="168"/>
      <c r="I10" s="168"/>
      <c r="J10" s="168"/>
      <c r="K10" s="168"/>
      <c r="L10" s="168"/>
      <c r="M10" s="168"/>
      <c r="N10" s="169"/>
      <c r="O10" s="33" t="s">
        <v>351</v>
      </c>
      <c r="P10" s="13" t="s">
        <v>399</v>
      </c>
    </row>
    <row r="11" spans="1:16" x14ac:dyDescent="0.35">
      <c r="A11" s="13"/>
      <c r="B11" s="168"/>
      <c r="C11" s="168"/>
      <c r="D11" s="168"/>
      <c r="E11" s="168"/>
      <c r="F11" s="168"/>
      <c r="G11" s="168"/>
      <c r="H11" s="168"/>
      <c r="I11" s="168"/>
      <c r="J11" s="168"/>
      <c r="K11" s="168"/>
      <c r="L11" s="168"/>
      <c r="M11" s="168"/>
      <c r="N11" s="169"/>
      <c r="O11" s="74" t="s">
        <v>352</v>
      </c>
      <c r="P11" s="13" t="s">
        <v>350</v>
      </c>
    </row>
    <row r="12" spans="1:16" x14ac:dyDescent="0.35">
      <c r="A12" s="72" t="s">
        <v>407</v>
      </c>
      <c r="B12" s="13"/>
      <c r="C12" s="13"/>
      <c r="D12" s="72"/>
      <c r="E12" s="13"/>
      <c r="F12" s="13"/>
      <c r="H12" s="13"/>
      <c r="I12" s="13"/>
      <c r="J12" s="13"/>
      <c r="K12" s="13"/>
      <c r="L12" s="13"/>
    </row>
    <row r="13" spans="1:16" x14ac:dyDescent="0.35">
      <c r="A13" s="13"/>
      <c r="B13" s="13"/>
      <c r="C13" s="13"/>
      <c r="D13" s="13"/>
      <c r="E13" s="13"/>
      <c r="F13" s="13"/>
      <c r="G13" s="13"/>
      <c r="H13" s="13"/>
      <c r="I13" s="13"/>
      <c r="J13" s="13"/>
      <c r="K13" s="13"/>
      <c r="L13" s="13"/>
    </row>
    <row r="14" spans="1:16" x14ac:dyDescent="0.35">
      <c r="A14" s="72" t="s">
        <v>409</v>
      </c>
      <c r="B14" s="13"/>
      <c r="C14" s="13"/>
      <c r="D14" s="72" t="s">
        <v>388</v>
      </c>
      <c r="E14" s="13"/>
      <c r="F14" s="13"/>
      <c r="G14" s="13"/>
      <c r="H14" s="13"/>
      <c r="I14" s="13"/>
      <c r="J14" s="13"/>
      <c r="K14" s="13"/>
      <c r="L14" s="13"/>
    </row>
    <row r="15" spans="1:16" x14ac:dyDescent="0.35">
      <c r="A15" s="13"/>
      <c r="B15" s="13"/>
      <c r="C15" s="13"/>
      <c r="D15" s="13"/>
      <c r="E15" s="13"/>
      <c r="F15" s="13"/>
      <c r="G15" s="13"/>
      <c r="H15" s="13"/>
      <c r="I15" s="13"/>
      <c r="J15" s="13"/>
      <c r="K15" s="13"/>
      <c r="L15" s="13"/>
    </row>
    <row r="16" spans="1:16" x14ac:dyDescent="0.35">
      <c r="A16" s="13" t="s">
        <v>416</v>
      </c>
      <c r="B16" s="13"/>
      <c r="C16" s="13"/>
      <c r="D16" s="13" t="s">
        <v>423</v>
      </c>
      <c r="E16" s="13"/>
      <c r="F16" s="13"/>
      <c r="G16" s="13"/>
      <c r="H16" s="13"/>
      <c r="I16" s="13"/>
      <c r="J16" s="13"/>
      <c r="K16" s="13"/>
      <c r="L16" s="13"/>
    </row>
    <row r="17" spans="1:12" x14ac:dyDescent="0.35">
      <c r="A17" s="13" t="s">
        <v>417</v>
      </c>
      <c r="B17" s="13"/>
      <c r="C17" s="13"/>
      <c r="D17" s="13" t="s">
        <v>426</v>
      </c>
      <c r="E17" s="13"/>
      <c r="F17" s="13"/>
      <c r="G17" s="13"/>
      <c r="H17" s="13"/>
      <c r="I17" s="13"/>
      <c r="J17" s="13"/>
      <c r="K17" s="13"/>
      <c r="L17" s="13"/>
    </row>
    <row r="18" spans="1:12" x14ac:dyDescent="0.35">
      <c r="A18" s="13"/>
      <c r="B18" s="13"/>
      <c r="C18" s="13"/>
      <c r="D18" s="13"/>
      <c r="E18" s="13"/>
      <c r="F18" s="13"/>
      <c r="G18" s="13"/>
      <c r="H18" s="13"/>
      <c r="I18" s="13"/>
      <c r="J18" s="13"/>
      <c r="K18" s="13"/>
      <c r="L18" s="13"/>
    </row>
    <row r="19" spans="1:12" x14ac:dyDescent="0.35">
      <c r="A19" s="13" t="s">
        <v>412</v>
      </c>
      <c r="B19" s="13"/>
      <c r="C19" s="13"/>
      <c r="D19" s="13" t="s">
        <v>430</v>
      </c>
      <c r="E19" s="13"/>
      <c r="F19" s="13"/>
      <c r="G19" s="13"/>
      <c r="H19" s="13"/>
      <c r="I19" s="13"/>
      <c r="J19" s="13"/>
      <c r="K19" s="13"/>
      <c r="L19" s="13"/>
    </row>
    <row r="20" spans="1:12" x14ac:dyDescent="0.35">
      <c r="A20" s="13" t="s">
        <v>408</v>
      </c>
      <c r="B20" s="13"/>
      <c r="C20" s="13"/>
      <c r="D20" s="13" t="s">
        <v>427</v>
      </c>
      <c r="E20" s="13"/>
      <c r="F20" s="13"/>
      <c r="G20" s="13"/>
      <c r="H20" s="13"/>
      <c r="I20" s="13"/>
      <c r="J20" s="13"/>
      <c r="K20" s="13"/>
      <c r="L20" s="13"/>
    </row>
    <row r="21" spans="1:12" x14ac:dyDescent="0.35">
      <c r="A21" s="13" t="s">
        <v>410</v>
      </c>
      <c r="B21" s="13"/>
      <c r="C21" s="13"/>
      <c r="D21" s="13" t="s">
        <v>428</v>
      </c>
      <c r="E21" s="13"/>
      <c r="F21" s="13"/>
      <c r="G21" s="13"/>
      <c r="H21" s="13"/>
      <c r="I21" s="13"/>
      <c r="J21" s="13"/>
      <c r="K21" s="13"/>
      <c r="L21" s="13"/>
    </row>
    <row r="22" spans="1:12" x14ac:dyDescent="0.35">
      <c r="A22" s="13" t="s">
        <v>411</v>
      </c>
      <c r="B22" s="13"/>
      <c r="C22" s="13"/>
      <c r="D22" s="13" t="s">
        <v>429</v>
      </c>
      <c r="E22" s="13"/>
      <c r="F22" s="13"/>
      <c r="G22" s="13"/>
      <c r="H22" s="13"/>
      <c r="I22" s="13"/>
      <c r="J22" s="13"/>
      <c r="K22" s="13"/>
      <c r="L22" s="13"/>
    </row>
    <row r="23" spans="1:12" x14ac:dyDescent="0.35">
      <c r="A23" s="13"/>
      <c r="B23" s="13"/>
      <c r="C23" s="13"/>
      <c r="D23" s="13"/>
      <c r="E23" s="13"/>
      <c r="F23" s="13"/>
      <c r="G23" s="13"/>
      <c r="H23" s="13"/>
      <c r="I23" s="13"/>
      <c r="J23" s="13"/>
      <c r="K23" s="13"/>
      <c r="L23" s="13"/>
    </row>
    <row r="24" spans="1:12" x14ac:dyDescent="0.35">
      <c r="A24" s="13" t="s">
        <v>413</v>
      </c>
      <c r="B24" s="13"/>
      <c r="C24" s="13"/>
      <c r="D24" s="13" t="s">
        <v>438</v>
      </c>
      <c r="E24" s="13"/>
      <c r="F24" s="13"/>
      <c r="G24" s="13"/>
      <c r="H24" s="13"/>
      <c r="I24" s="13"/>
      <c r="J24" s="13"/>
      <c r="K24" s="13"/>
      <c r="L24" s="13"/>
    </row>
    <row r="25" spans="1:12" x14ac:dyDescent="0.35">
      <c r="A25" s="13" t="s">
        <v>414</v>
      </c>
      <c r="B25" s="13"/>
      <c r="C25" s="13"/>
      <c r="D25" s="13" t="s">
        <v>432</v>
      </c>
      <c r="E25" s="13"/>
      <c r="F25" s="13"/>
      <c r="G25" s="13"/>
      <c r="H25" s="13"/>
      <c r="I25" s="13"/>
      <c r="J25" s="13"/>
      <c r="K25" s="13"/>
      <c r="L25" s="13"/>
    </row>
    <row r="26" spans="1:12" x14ac:dyDescent="0.35">
      <c r="A26" s="13" t="s">
        <v>415</v>
      </c>
      <c r="B26" s="13"/>
      <c r="C26" s="13"/>
      <c r="D26" s="13" t="s">
        <v>431</v>
      </c>
      <c r="E26" s="13"/>
      <c r="F26" s="13"/>
      <c r="G26" s="13"/>
      <c r="H26" s="13"/>
      <c r="I26" s="13"/>
      <c r="J26" s="13"/>
      <c r="K26" s="13"/>
      <c r="L26" s="13"/>
    </row>
    <row r="27" spans="1:12" ht="14.5" customHeight="1" x14ac:dyDescent="0.35">
      <c r="A27" s="13" t="s">
        <v>418</v>
      </c>
      <c r="B27" s="13"/>
      <c r="C27" s="13"/>
      <c r="D27" s="13" t="s">
        <v>433</v>
      </c>
      <c r="E27" s="13"/>
      <c r="F27" s="13"/>
      <c r="G27" s="13"/>
      <c r="H27" s="13"/>
      <c r="I27" s="13"/>
      <c r="J27" s="13"/>
      <c r="K27" s="13"/>
      <c r="L27" s="13"/>
    </row>
    <row r="28" spans="1:12" ht="14.5" customHeight="1" x14ac:dyDescent="0.35">
      <c r="A28" s="13" t="s">
        <v>419</v>
      </c>
      <c r="B28" s="13"/>
      <c r="C28" s="13"/>
      <c r="D28" s="13" t="s">
        <v>434</v>
      </c>
      <c r="E28" s="13"/>
      <c r="F28" s="13"/>
      <c r="G28" s="13"/>
      <c r="H28" s="13"/>
      <c r="I28" s="13"/>
      <c r="J28" s="13"/>
      <c r="K28" s="13"/>
      <c r="L28" s="13"/>
    </row>
    <row r="29" spans="1:12" x14ac:dyDescent="0.35">
      <c r="A29" s="13" t="s">
        <v>420</v>
      </c>
      <c r="B29" s="13"/>
      <c r="C29" s="13"/>
      <c r="D29" s="13" t="s">
        <v>435</v>
      </c>
      <c r="E29" s="13"/>
      <c r="F29" s="13"/>
      <c r="G29" s="13"/>
      <c r="H29" s="13"/>
      <c r="I29" s="13"/>
      <c r="J29" s="13"/>
      <c r="K29" s="13"/>
      <c r="L29" s="13"/>
    </row>
    <row r="30" spans="1:12" x14ac:dyDescent="0.35">
      <c r="A30" s="13" t="s">
        <v>421</v>
      </c>
      <c r="B30" s="13"/>
      <c r="C30" s="13"/>
      <c r="D30" s="13" t="s">
        <v>436</v>
      </c>
      <c r="E30" s="13"/>
      <c r="F30" s="13"/>
      <c r="G30" s="13"/>
      <c r="H30" s="13"/>
      <c r="I30" s="13"/>
      <c r="J30" s="13"/>
      <c r="K30" s="13"/>
      <c r="L30" s="13"/>
    </row>
    <row r="31" spans="1:12" x14ac:dyDescent="0.35">
      <c r="A31" s="13" t="s">
        <v>422</v>
      </c>
      <c r="B31" s="13"/>
      <c r="C31" s="13"/>
      <c r="D31" s="13" t="s">
        <v>437</v>
      </c>
      <c r="E31" s="13"/>
      <c r="F31" s="13"/>
      <c r="G31" s="13"/>
      <c r="H31" s="13"/>
      <c r="I31" s="13"/>
      <c r="J31" s="13"/>
      <c r="K31" s="13"/>
      <c r="L31" s="13"/>
    </row>
    <row r="32" spans="1:12" x14ac:dyDescent="0.35">
      <c r="A32" s="13"/>
      <c r="B32" s="13"/>
      <c r="C32" s="13"/>
      <c r="D32" s="13"/>
      <c r="E32" s="13"/>
      <c r="F32" s="13"/>
      <c r="G32" s="13"/>
      <c r="H32" s="13"/>
      <c r="I32" s="13"/>
      <c r="J32" s="13"/>
      <c r="K32" s="13"/>
      <c r="L32" s="13"/>
    </row>
    <row r="33" spans="1:12" x14ac:dyDescent="0.35">
      <c r="A33" s="13"/>
      <c r="B33" s="13"/>
      <c r="C33" s="13"/>
      <c r="D33" s="13"/>
      <c r="E33" s="13"/>
      <c r="F33" s="13"/>
      <c r="G33" s="13"/>
      <c r="H33" s="13"/>
      <c r="I33" s="13"/>
      <c r="J33" s="13"/>
      <c r="K33" s="13"/>
      <c r="L33" s="13"/>
    </row>
    <row r="34" spans="1:12" x14ac:dyDescent="0.35">
      <c r="A34" s="13"/>
      <c r="B34" s="13"/>
      <c r="C34" s="13"/>
      <c r="D34" s="13"/>
      <c r="E34" s="13"/>
      <c r="F34" s="13"/>
      <c r="G34" s="13"/>
      <c r="H34" s="13"/>
      <c r="I34" s="13"/>
      <c r="J34" s="13"/>
      <c r="K34" s="13"/>
      <c r="L34" s="13"/>
    </row>
    <row r="35" spans="1:12" x14ac:dyDescent="0.35">
      <c r="A35" s="13"/>
      <c r="B35" s="13"/>
      <c r="C35" s="13"/>
      <c r="D35" s="13"/>
      <c r="E35" s="13"/>
      <c r="F35" s="13"/>
      <c r="G35" s="13"/>
      <c r="H35" s="13"/>
      <c r="I35" s="13"/>
      <c r="J35" s="13"/>
      <c r="K35" s="13"/>
      <c r="L35" s="13"/>
    </row>
    <row r="36" spans="1:12" x14ac:dyDescent="0.35">
      <c r="A36" s="13"/>
      <c r="B36" s="13"/>
      <c r="C36" s="13"/>
      <c r="D36" s="13"/>
      <c r="E36" s="13"/>
      <c r="F36" s="13"/>
      <c r="G36" s="13"/>
      <c r="H36" s="13"/>
      <c r="I36" s="13"/>
      <c r="J36" s="13"/>
      <c r="K36" s="13"/>
      <c r="L36" s="13"/>
    </row>
    <row r="37" spans="1:12" x14ac:dyDescent="0.35">
      <c r="A37" s="13"/>
      <c r="B37" s="13"/>
      <c r="C37" s="13"/>
      <c r="D37" s="13"/>
      <c r="E37" s="13"/>
      <c r="F37" s="13"/>
      <c r="G37" s="13"/>
      <c r="H37" s="13"/>
      <c r="I37" s="13"/>
      <c r="J37" s="13"/>
      <c r="K37" s="13"/>
      <c r="L37" s="13"/>
    </row>
    <row r="38" spans="1:12" x14ac:dyDescent="0.35">
      <c r="A38" s="13"/>
      <c r="B38" s="13"/>
      <c r="C38" s="13"/>
      <c r="D38" s="13"/>
      <c r="E38" s="13"/>
      <c r="F38" s="13"/>
      <c r="G38" s="13"/>
      <c r="H38" s="13"/>
      <c r="I38" s="13"/>
      <c r="J38" s="13"/>
      <c r="K38" s="13"/>
      <c r="L38" s="13"/>
    </row>
    <row r="39" spans="1:12" x14ac:dyDescent="0.35">
      <c r="A39" s="13"/>
      <c r="B39" s="13"/>
      <c r="C39" s="13"/>
      <c r="D39" s="13"/>
      <c r="E39" s="13"/>
      <c r="F39" s="13"/>
      <c r="G39" s="13"/>
      <c r="H39" s="13"/>
      <c r="I39" s="13"/>
      <c r="J39" s="13"/>
      <c r="K39" s="13"/>
      <c r="L39" s="13"/>
    </row>
    <row r="40" spans="1:12" x14ac:dyDescent="0.35">
      <c r="A40" s="13"/>
      <c r="B40" s="13"/>
      <c r="C40" s="13"/>
      <c r="D40" s="13"/>
      <c r="E40" s="13"/>
      <c r="F40" s="13"/>
      <c r="G40" s="13"/>
      <c r="H40" s="13"/>
      <c r="I40" s="13"/>
      <c r="J40" s="13"/>
      <c r="K40" s="13"/>
      <c r="L40" s="13"/>
    </row>
    <row r="41" spans="1:12" x14ac:dyDescent="0.35">
      <c r="A41" s="13"/>
      <c r="B41" s="13"/>
      <c r="C41" s="13"/>
      <c r="D41" s="13"/>
      <c r="E41" s="13"/>
      <c r="F41" s="13"/>
      <c r="G41" s="13"/>
      <c r="H41" s="13"/>
      <c r="I41" s="13"/>
      <c r="J41" s="13"/>
      <c r="K41" s="13"/>
      <c r="L41" s="13"/>
    </row>
    <row r="42" spans="1:12" x14ac:dyDescent="0.35">
      <c r="A42" s="13"/>
      <c r="B42" s="13"/>
      <c r="C42" s="13"/>
      <c r="D42" s="13"/>
      <c r="E42" s="13"/>
      <c r="F42" s="13"/>
      <c r="G42" s="13"/>
      <c r="H42" s="13"/>
      <c r="I42" s="13"/>
      <c r="J42" s="13"/>
      <c r="K42" s="13"/>
      <c r="L42" s="13"/>
    </row>
    <row r="43" spans="1:12" x14ac:dyDescent="0.35">
      <c r="A43" s="13"/>
      <c r="B43" s="13"/>
      <c r="C43" s="13"/>
      <c r="D43" s="13"/>
      <c r="E43" s="13"/>
      <c r="F43" s="13"/>
      <c r="G43" s="13"/>
      <c r="H43" s="13"/>
      <c r="I43" s="13"/>
      <c r="J43" s="13"/>
      <c r="K43" s="13"/>
      <c r="L43" s="13"/>
    </row>
    <row r="44" spans="1:12" x14ac:dyDescent="0.35">
      <c r="A44" s="13"/>
      <c r="B44" s="13"/>
      <c r="C44" s="13"/>
      <c r="D44" s="13"/>
      <c r="E44" s="13"/>
      <c r="F44" s="13"/>
      <c r="G44" s="13"/>
      <c r="H44" s="13"/>
      <c r="I44" s="13"/>
      <c r="J44" s="13"/>
      <c r="K44" s="13"/>
      <c r="L44" s="13"/>
    </row>
    <row r="45" spans="1:12" x14ac:dyDescent="0.35">
      <c r="A45" s="13"/>
      <c r="B45" s="13"/>
      <c r="C45" s="13"/>
      <c r="D45" s="13"/>
      <c r="E45" s="13"/>
      <c r="F45" s="13"/>
      <c r="G45" s="13"/>
      <c r="H45" s="13"/>
      <c r="I45" s="13"/>
      <c r="J45" s="13"/>
      <c r="K45" s="13"/>
      <c r="L45" s="13"/>
    </row>
    <row r="46" spans="1:12" x14ac:dyDescent="0.35">
      <c r="A46" s="13"/>
      <c r="B46" s="13"/>
      <c r="C46" s="13"/>
      <c r="D46" s="13"/>
      <c r="E46" s="13"/>
      <c r="F46" s="13"/>
      <c r="G46" s="13"/>
      <c r="H46" s="13"/>
      <c r="I46" s="13"/>
      <c r="J46" s="13"/>
      <c r="K46" s="13"/>
      <c r="L46" s="13"/>
    </row>
    <row r="47" spans="1:12" x14ac:dyDescent="0.35">
      <c r="A47" s="13"/>
      <c r="B47" s="13"/>
      <c r="C47" s="13"/>
      <c r="D47" s="13"/>
      <c r="E47" s="13"/>
      <c r="F47" s="13"/>
      <c r="G47" s="13"/>
      <c r="H47" s="13"/>
      <c r="I47" s="13"/>
      <c r="J47" s="13"/>
      <c r="K47" s="13"/>
      <c r="L47" s="13"/>
    </row>
    <row r="48" spans="1:12" x14ac:dyDescent="0.35">
      <c r="A48" s="13"/>
      <c r="B48" s="13"/>
      <c r="C48" s="13"/>
      <c r="D48" s="13"/>
      <c r="E48" s="13"/>
      <c r="F48" s="13"/>
      <c r="G48" s="13"/>
      <c r="H48" s="13"/>
      <c r="I48" s="13"/>
      <c r="J48" s="13"/>
      <c r="K48" s="13"/>
      <c r="L48" s="13"/>
    </row>
    <row r="49" spans="1:12" x14ac:dyDescent="0.35">
      <c r="A49" s="13"/>
      <c r="B49" s="13"/>
      <c r="C49" s="13"/>
      <c r="D49" s="13"/>
      <c r="E49" s="13"/>
      <c r="F49" s="13"/>
      <c r="G49" s="13"/>
      <c r="H49" s="13"/>
      <c r="I49" s="13"/>
      <c r="J49" s="13"/>
      <c r="K49" s="13"/>
      <c r="L49" s="13"/>
    </row>
    <row r="50" spans="1:12" x14ac:dyDescent="0.35">
      <c r="A50" s="13"/>
      <c r="B50" s="13"/>
      <c r="C50" s="13"/>
      <c r="D50" s="13"/>
      <c r="E50" s="13"/>
      <c r="F50" s="13"/>
      <c r="G50" s="13"/>
      <c r="H50" s="13"/>
      <c r="I50" s="13"/>
      <c r="J50" s="13"/>
      <c r="K50" s="13"/>
      <c r="L50" s="13"/>
    </row>
    <row r="51" spans="1:12" x14ac:dyDescent="0.35">
      <c r="A51" s="13"/>
      <c r="B51" s="13"/>
      <c r="C51" s="13"/>
      <c r="D51" s="13"/>
      <c r="E51" s="13"/>
      <c r="F51" s="13"/>
      <c r="G51" s="13"/>
      <c r="H51" s="13"/>
      <c r="I51" s="13"/>
      <c r="J51" s="13"/>
      <c r="K51" s="13"/>
      <c r="L51" s="13"/>
    </row>
    <row r="52" spans="1:12" x14ac:dyDescent="0.35">
      <c r="A52" s="13"/>
      <c r="B52" s="13"/>
      <c r="C52" s="13"/>
      <c r="D52" s="13"/>
      <c r="E52" s="13"/>
      <c r="F52" s="13"/>
      <c r="G52" s="13"/>
      <c r="H52" s="13"/>
      <c r="I52" s="13"/>
      <c r="J52" s="13"/>
      <c r="K52" s="13"/>
      <c r="L52" s="13"/>
    </row>
    <row r="53" spans="1:12" x14ac:dyDescent="0.35">
      <c r="A53" s="13"/>
      <c r="B53" s="13"/>
      <c r="C53" s="13"/>
      <c r="D53" s="13"/>
      <c r="E53" s="13"/>
      <c r="F53" s="13"/>
      <c r="G53" s="13"/>
      <c r="H53" s="13"/>
      <c r="I53" s="13"/>
      <c r="J53" s="13"/>
      <c r="K53" s="13"/>
      <c r="L53" s="13"/>
    </row>
    <row r="54" spans="1:12" x14ac:dyDescent="0.35">
      <c r="A54" s="13"/>
      <c r="B54" s="13"/>
      <c r="C54" s="13"/>
      <c r="D54" s="13"/>
      <c r="E54" s="13"/>
      <c r="F54" s="13"/>
      <c r="G54" s="13"/>
      <c r="H54" s="13"/>
      <c r="I54" s="13"/>
      <c r="J54" s="13"/>
      <c r="K54" s="13"/>
      <c r="L54" s="13"/>
    </row>
    <row r="55" spans="1:12" x14ac:dyDescent="0.35">
      <c r="A55" s="13"/>
      <c r="B55" s="13"/>
      <c r="C55" s="13"/>
      <c r="D55" s="13"/>
      <c r="E55" s="13"/>
      <c r="F55" s="13"/>
      <c r="G55" s="13"/>
      <c r="H55" s="13"/>
      <c r="I55" s="13"/>
      <c r="J55" s="13"/>
      <c r="K55" s="13"/>
      <c r="L55" s="13"/>
    </row>
    <row r="56" spans="1:12" x14ac:dyDescent="0.35">
      <c r="A56" s="13"/>
      <c r="B56" s="13"/>
      <c r="C56" s="13"/>
      <c r="D56" s="13"/>
      <c r="E56" s="13"/>
      <c r="F56" s="13"/>
      <c r="G56" s="13"/>
      <c r="H56" s="13"/>
      <c r="I56" s="13"/>
      <c r="J56" s="13"/>
      <c r="K56" s="13"/>
      <c r="L56" s="13"/>
    </row>
    <row r="57" spans="1:12" x14ac:dyDescent="0.35">
      <c r="A57" s="13"/>
      <c r="B57" s="13"/>
      <c r="C57" s="13"/>
      <c r="D57" s="13"/>
      <c r="E57" s="13"/>
      <c r="F57" s="13"/>
      <c r="G57" s="13"/>
      <c r="H57" s="13"/>
      <c r="I57" s="13"/>
      <c r="J57" s="13"/>
      <c r="K57" s="13"/>
      <c r="L57" s="13"/>
    </row>
    <row r="58" spans="1:12" x14ac:dyDescent="0.35">
      <c r="A58" s="13"/>
      <c r="B58" s="13"/>
      <c r="C58" s="13"/>
      <c r="D58" s="13"/>
      <c r="E58" s="13"/>
      <c r="F58" s="13"/>
      <c r="G58" s="13"/>
      <c r="H58" s="13"/>
      <c r="I58" s="13"/>
      <c r="J58" s="13"/>
      <c r="K58" s="13"/>
      <c r="L58" s="13"/>
    </row>
    <row r="59" spans="1:12" x14ac:dyDescent="0.35">
      <c r="A59" s="13"/>
      <c r="B59" s="13"/>
      <c r="C59" s="13"/>
      <c r="D59" s="13"/>
      <c r="E59" s="13"/>
      <c r="F59" s="13"/>
      <c r="G59" s="13"/>
      <c r="H59" s="13"/>
      <c r="I59" s="13"/>
      <c r="J59" s="13"/>
      <c r="K59" s="13"/>
      <c r="L59" s="13"/>
    </row>
    <row r="60" spans="1:12" x14ac:dyDescent="0.35">
      <c r="A60" s="13"/>
      <c r="B60" s="13"/>
      <c r="C60" s="13"/>
      <c r="D60" s="13"/>
      <c r="E60" s="13"/>
      <c r="F60" s="13"/>
      <c r="G60" s="13"/>
      <c r="H60" s="13"/>
      <c r="I60" s="13"/>
      <c r="J60" s="13"/>
      <c r="K60" s="13"/>
      <c r="L60" s="13"/>
    </row>
    <row r="61" spans="1:12" x14ac:dyDescent="0.35">
      <c r="A61" s="13"/>
      <c r="B61" s="13"/>
      <c r="C61" s="13"/>
      <c r="D61" s="13"/>
      <c r="E61" s="13"/>
      <c r="F61" s="13"/>
      <c r="G61" s="13"/>
      <c r="H61" s="13"/>
      <c r="I61" s="13"/>
      <c r="J61" s="13"/>
      <c r="K61" s="13"/>
      <c r="L61" s="13"/>
    </row>
    <row r="62" spans="1:12" x14ac:dyDescent="0.35">
      <c r="A62" s="13"/>
      <c r="B62" s="13"/>
      <c r="C62" s="13"/>
      <c r="D62" s="13"/>
      <c r="E62" s="13"/>
      <c r="F62" s="13"/>
      <c r="G62" s="13"/>
      <c r="H62" s="13"/>
      <c r="I62" s="13"/>
      <c r="J62" s="13"/>
      <c r="K62" s="13"/>
      <c r="L62" s="13"/>
    </row>
    <row r="63" spans="1:12" x14ac:dyDescent="0.35">
      <c r="A63" s="13"/>
      <c r="B63" s="13"/>
      <c r="C63" s="13"/>
      <c r="D63" s="13"/>
      <c r="E63" s="13"/>
      <c r="F63" s="13"/>
      <c r="G63" s="13"/>
      <c r="H63" s="13"/>
      <c r="I63" s="13"/>
      <c r="J63" s="13"/>
      <c r="K63" s="13"/>
      <c r="L63" s="13"/>
    </row>
    <row r="64" spans="1:12" x14ac:dyDescent="0.35">
      <c r="A64" s="13"/>
      <c r="B64" s="13"/>
      <c r="C64" s="13"/>
      <c r="D64" s="13"/>
      <c r="E64" s="13"/>
      <c r="F64" s="13"/>
      <c r="G64" s="13"/>
      <c r="H64" s="13"/>
      <c r="I64" s="13"/>
      <c r="J64" s="13"/>
      <c r="K64" s="13"/>
      <c r="L64" s="13"/>
    </row>
    <row r="65" spans="1:12" x14ac:dyDescent="0.35">
      <c r="A65" s="13"/>
      <c r="B65" s="13"/>
      <c r="C65" s="13"/>
      <c r="D65" s="13"/>
      <c r="E65" s="13"/>
      <c r="F65" s="13"/>
      <c r="G65" s="13"/>
      <c r="H65" s="13"/>
      <c r="I65" s="13"/>
      <c r="J65" s="13"/>
      <c r="K65" s="13"/>
      <c r="L65" s="13"/>
    </row>
    <row r="66" spans="1:12" x14ac:dyDescent="0.35">
      <c r="A66" s="13"/>
      <c r="B66" s="13"/>
      <c r="C66" s="13"/>
      <c r="D66" s="13"/>
      <c r="E66" s="13"/>
      <c r="F66" s="13"/>
      <c r="G66" s="13"/>
      <c r="H66" s="13"/>
      <c r="I66" s="13"/>
      <c r="J66" s="13"/>
      <c r="K66" s="13"/>
      <c r="L66" s="13"/>
    </row>
    <row r="67" spans="1:12" x14ac:dyDescent="0.35">
      <c r="A67" s="13"/>
      <c r="B67" s="13"/>
      <c r="C67" s="13"/>
      <c r="D67" s="13"/>
      <c r="E67" s="13"/>
      <c r="F67" s="13"/>
      <c r="G67" s="13"/>
      <c r="H67" s="13"/>
      <c r="I67" s="13"/>
      <c r="J67" s="13"/>
      <c r="K67" s="13"/>
      <c r="L67" s="13"/>
    </row>
    <row r="68" spans="1:12" x14ac:dyDescent="0.35">
      <c r="A68" s="13"/>
      <c r="B68" s="13"/>
      <c r="C68" s="13"/>
      <c r="D68" s="13"/>
      <c r="E68" s="13"/>
      <c r="F68" s="13"/>
      <c r="G68" s="13"/>
      <c r="H68" s="13"/>
      <c r="I68" s="13"/>
      <c r="J68" s="13"/>
      <c r="K68" s="13"/>
      <c r="L68" s="13"/>
    </row>
    <row r="69" spans="1:12" x14ac:dyDescent="0.35">
      <c r="A69" s="13"/>
      <c r="B69" s="13"/>
      <c r="C69" s="13"/>
      <c r="D69" s="13"/>
      <c r="E69" s="13"/>
      <c r="F69" s="13"/>
      <c r="G69" s="13"/>
      <c r="H69" s="13"/>
      <c r="I69" s="13"/>
      <c r="J69" s="13"/>
      <c r="K69" s="13"/>
      <c r="L69" s="13"/>
    </row>
    <row r="70" spans="1:12" x14ac:dyDescent="0.35">
      <c r="A70" s="13"/>
      <c r="B70" s="13"/>
      <c r="C70" s="13"/>
      <c r="D70" s="13"/>
      <c r="E70" s="13"/>
      <c r="F70" s="13"/>
      <c r="G70" s="13"/>
      <c r="H70" s="13"/>
      <c r="I70" s="13"/>
      <c r="J70" s="13"/>
      <c r="K70" s="13"/>
      <c r="L70" s="13"/>
    </row>
    <row r="71" spans="1:12" x14ac:dyDescent="0.35">
      <c r="A71" s="13"/>
      <c r="B71" s="13"/>
      <c r="C71" s="13"/>
      <c r="D71" s="13"/>
      <c r="E71" s="13"/>
      <c r="F71" s="13"/>
      <c r="G71" s="13"/>
      <c r="H71" s="13"/>
      <c r="I71" s="13"/>
      <c r="J71" s="13"/>
      <c r="K71" s="13"/>
      <c r="L71" s="13"/>
    </row>
    <row r="72" spans="1:12" x14ac:dyDescent="0.35">
      <c r="A72" s="13"/>
      <c r="B72" s="13"/>
      <c r="C72" s="13"/>
      <c r="D72" s="13"/>
      <c r="E72" s="13"/>
      <c r="F72" s="13"/>
      <c r="G72" s="13"/>
      <c r="H72" s="13"/>
      <c r="I72" s="13"/>
      <c r="J72" s="13"/>
      <c r="K72" s="13"/>
      <c r="L72" s="13"/>
    </row>
    <row r="73" spans="1:12" x14ac:dyDescent="0.35">
      <c r="A73" s="13"/>
      <c r="B73" s="13"/>
      <c r="C73" s="13"/>
      <c r="D73" s="13"/>
      <c r="E73" s="13"/>
      <c r="F73" s="13"/>
      <c r="G73" s="13"/>
      <c r="H73" s="13"/>
      <c r="I73" s="13"/>
      <c r="J73" s="13"/>
      <c r="K73" s="13"/>
      <c r="L73" s="13"/>
    </row>
    <row r="74" spans="1:12" x14ac:dyDescent="0.35">
      <c r="A74" s="13"/>
      <c r="B74" s="13"/>
      <c r="C74" s="13"/>
      <c r="D74" s="13"/>
      <c r="E74" s="13"/>
      <c r="F74" s="13"/>
      <c r="G74" s="13"/>
      <c r="H74" s="13"/>
      <c r="I74" s="13"/>
      <c r="J74" s="13"/>
      <c r="K74" s="13"/>
      <c r="L74" s="13"/>
    </row>
    <row r="75" spans="1:12" x14ac:dyDescent="0.35">
      <c r="A75" s="13"/>
      <c r="B75" s="13"/>
      <c r="C75" s="13"/>
      <c r="D75" s="13"/>
      <c r="E75" s="13"/>
      <c r="F75" s="13"/>
      <c r="G75" s="13"/>
      <c r="H75" s="13"/>
      <c r="I75" s="13"/>
      <c r="J75" s="13"/>
      <c r="K75" s="13"/>
      <c r="L75" s="13"/>
    </row>
    <row r="76" spans="1:12" x14ac:dyDescent="0.35">
      <c r="A76" s="13"/>
      <c r="B76" s="13"/>
      <c r="C76" s="13"/>
      <c r="D76" s="13"/>
      <c r="E76" s="13"/>
      <c r="F76" s="13"/>
      <c r="G76" s="13"/>
      <c r="H76" s="13"/>
      <c r="I76" s="13"/>
      <c r="J76" s="13"/>
      <c r="K76" s="13"/>
      <c r="L76" s="13"/>
    </row>
    <row r="77" spans="1:12" x14ac:dyDescent="0.35">
      <c r="A77" s="13"/>
      <c r="B77" s="13"/>
      <c r="C77" s="13"/>
      <c r="D77" s="13"/>
      <c r="E77" s="13"/>
      <c r="F77" s="13"/>
      <c r="G77" s="13"/>
      <c r="H77" s="13"/>
      <c r="I77" s="13"/>
      <c r="J77" s="13"/>
      <c r="K77" s="13"/>
      <c r="L77" s="13"/>
    </row>
    <row r="78" spans="1:12" x14ac:dyDescent="0.35">
      <c r="A78" s="13"/>
      <c r="B78" s="13"/>
      <c r="C78" s="13"/>
      <c r="D78" s="13"/>
      <c r="E78" s="13"/>
      <c r="F78" s="13"/>
      <c r="G78" s="13"/>
      <c r="H78" s="13"/>
      <c r="I78" s="13"/>
      <c r="J78" s="13"/>
      <c r="K78" s="13"/>
      <c r="L78" s="13"/>
    </row>
    <row r="79" spans="1:12" x14ac:dyDescent="0.35">
      <c r="A79" s="13"/>
      <c r="B79" s="13"/>
      <c r="C79" s="13"/>
      <c r="D79" s="13"/>
      <c r="E79" s="13"/>
      <c r="F79" s="13"/>
      <c r="G79" s="13"/>
      <c r="H79" s="13"/>
      <c r="I79" s="13"/>
      <c r="J79" s="13"/>
      <c r="K79" s="13"/>
      <c r="L79" s="13"/>
    </row>
    <row r="80" spans="1:12" x14ac:dyDescent="0.35">
      <c r="A80" s="13"/>
      <c r="B80" s="13"/>
      <c r="C80" s="13"/>
      <c r="D80" s="13"/>
      <c r="E80" s="13"/>
      <c r="F80" s="13"/>
      <c r="G80" s="13"/>
      <c r="H80" s="13"/>
      <c r="I80" s="13"/>
      <c r="J80" s="13"/>
      <c r="K80" s="13"/>
      <c r="L80" s="13"/>
    </row>
    <row r="81" spans="1:12" x14ac:dyDescent="0.35">
      <c r="A81" s="13"/>
      <c r="B81" s="13"/>
      <c r="C81" s="13"/>
      <c r="D81" s="13"/>
      <c r="E81" s="13"/>
      <c r="F81" s="13"/>
      <c r="G81" s="13"/>
      <c r="H81" s="13"/>
      <c r="I81" s="13"/>
      <c r="J81" s="13"/>
      <c r="K81" s="13"/>
      <c r="L81" s="13"/>
    </row>
    <row r="82" spans="1:12" x14ac:dyDescent="0.35">
      <c r="A82" s="13"/>
      <c r="B82" s="13"/>
      <c r="C82" s="13"/>
      <c r="D82" s="13"/>
      <c r="E82" s="13"/>
      <c r="F82" s="13"/>
      <c r="G82" s="13"/>
      <c r="H82" s="13"/>
      <c r="I82" s="13"/>
      <c r="J82" s="13"/>
      <c r="K82" s="13"/>
      <c r="L82" s="13"/>
    </row>
    <row r="83" spans="1:12" x14ac:dyDescent="0.35">
      <c r="A83" s="13"/>
      <c r="B83" s="13"/>
      <c r="C83" s="13"/>
      <c r="D83" s="13"/>
      <c r="E83" s="13"/>
      <c r="F83" s="13"/>
      <c r="G83" s="13"/>
      <c r="H83" s="13"/>
      <c r="I83" s="13"/>
      <c r="J83" s="13"/>
      <c r="K83" s="13"/>
      <c r="L83" s="13"/>
    </row>
    <row r="84" spans="1:12" x14ac:dyDescent="0.35">
      <c r="A84" s="13"/>
      <c r="B84" s="13"/>
      <c r="C84" s="13"/>
      <c r="D84" s="13"/>
      <c r="E84" s="13"/>
      <c r="F84" s="13"/>
      <c r="G84" s="13"/>
      <c r="H84" s="13"/>
      <c r="I84" s="13"/>
      <c r="J84" s="13"/>
      <c r="K84" s="13"/>
      <c r="L84" s="13"/>
    </row>
    <row r="85" spans="1:12" x14ac:dyDescent="0.35">
      <c r="A85" s="13"/>
      <c r="B85" s="13"/>
      <c r="C85" s="13"/>
      <c r="D85" s="13"/>
      <c r="E85" s="13"/>
      <c r="F85" s="13"/>
      <c r="G85" s="13"/>
      <c r="H85" s="13"/>
      <c r="I85" s="13"/>
      <c r="J85" s="13"/>
      <c r="K85" s="13"/>
      <c r="L85" s="13"/>
    </row>
    <row r="86" spans="1:12" x14ac:dyDescent="0.35">
      <c r="A86" s="13"/>
      <c r="B86" s="13"/>
      <c r="C86" s="13"/>
      <c r="D86" s="13"/>
      <c r="E86" s="13"/>
      <c r="F86" s="13"/>
      <c r="G86" s="13"/>
      <c r="H86" s="13"/>
      <c r="I86" s="13"/>
      <c r="J86" s="13"/>
      <c r="K86" s="13"/>
      <c r="L86" s="13"/>
    </row>
    <row r="87" spans="1:12" x14ac:dyDescent="0.35">
      <c r="A87" s="13"/>
      <c r="B87" s="13"/>
      <c r="C87" s="13"/>
      <c r="D87" s="13"/>
      <c r="E87" s="13"/>
      <c r="F87" s="13"/>
      <c r="G87" s="13"/>
      <c r="H87" s="13"/>
      <c r="I87" s="13"/>
      <c r="J87" s="13"/>
      <c r="K87" s="13"/>
      <c r="L87" s="13"/>
    </row>
    <row r="88" spans="1:12" x14ac:dyDescent="0.35">
      <c r="A88" s="13"/>
      <c r="B88" s="13"/>
      <c r="C88" s="13"/>
      <c r="D88" s="13"/>
      <c r="E88" s="13"/>
      <c r="F88" s="13"/>
      <c r="G88" s="13"/>
      <c r="H88" s="13"/>
      <c r="I88" s="13"/>
      <c r="J88" s="13"/>
      <c r="K88" s="13"/>
      <c r="L88" s="13"/>
    </row>
    <row r="89" spans="1:12" x14ac:dyDescent="0.35">
      <c r="A89" s="13"/>
      <c r="B89" s="13"/>
      <c r="C89" s="13"/>
      <c r="D89" s="13"/>
      <c r="E89" s="13"/>
      <c r="F89" s="13"/>
      <c r="G89" s="13"/>
      <c r="H89" s="13"/>
      <c r="I89" s="13"/>
      <c r="J89" s="13"/>
      <c r="K89" s="13"/>
      <c r="L89" s="13"/>
    </row>
    <row r="90" spans="1:12" x14ac:dyDescent="0.35">
      <c r="A90" s="13"/>
      <c r="B90" s="13"/>
      <c r="C90" s="13"/>
      <c r="D90" s="13"/>
      <c r="E90" s="13"/>
      <c r="F90" s="13"/>
      <c r="G90" s="13"/>
      <c r="H90" s="13"/>
      <c r="I90" s="13"/>
      <c r="J90" s="13"/>
      <c r="K90" s="13"/>
      <c r="L90" s="13"/>
    </row>
    <row r="91" spans="1:12" x14ac:dyDescent="0.35">
      <c r="A91" s="13"/>
      <c r="B91" s="13"/>
      <c r="C91" s="13"/>
      <c r="D91" s="13"/>
      <c r="E91" s="13"/>
      <c r="F91" s="13"/>
      <c r="G91" s="13"/>
      <c r="H91" s="13"/>
      <c r="I91" s="13"/>
      <c r="J91" s="13"/>
      <c r="K91" s="13"/>
      <c r="L91" s="13"/>
    </row>
    <row r="92" spans="1:12" x14ac:dyDescent="0.35">
      <c r="A92" s="13"/>
      <c r="B92" s="13"/>
      <c r="C92" s="13"/>
      <c r="D92" s="13"/>
      <c r="E92" s="13"/>
      <c r="F92" s="13"/>
      <c r="G92" s="13"/>
      <c r="H92" s="13"/>
      <c r="I92" s="13"/>
      <c r="J92" s="13"/>
      <c r="K92" s="13"/>
      <c r="L92" s="13"/>
    </row>
    <row r="93" spans="1:12" x14ac:dyDescent="0.35">
      <c r="A93" s="13"/>
      <c r="B93" s="13"/>
      <c r="C93" s="13"/>
      <c r="D93" s="13"/>
      <c r="E93" s="13"/>
      <c r="F93" s="13"/>
      <c r="G93" s="13"/>
      <c r="H93" s="13"/>
      <c r="I93" s="13"/>
      <c r="J93" s="13"/>
      <c r="K93" s="13"/>
      <c r="L93" s="13"/>
    </row>
    <row r="94" spans="1:12" x14ac:dyDescent="0.35">
      <c r="A94" s="13"/>
      <c r="B94" s="13"/>
      <c r="C94" s="13"/>
      <c r="D94" s="13"/>
      <c r="E94" s="13"/>
      <c r="F94" s="13"/>
      <c r="G94" s="13"/>
      <c r="H94" s="13"/>
      <c r="I94" s="13"/>
      <c r="J94" s="13"/>
      <c r="K94" s="13"/>
      <c r="L94" s="13"/>
    </row>
    <row r="95" spans="1:12" x14ac:dyDescent="0.35">
      <c r="A95" s="13"/>
      <c r="B95" s="13"/>
      <c r="C95" s="13"/>
      <c r="D95" s="13"/>
      <c r="E95" s="13"/>
      <c r="F95" s="13"/>
      <c r="G95" s="13"/>
      <c r="H95" s="13"/>
      <c r="I95" s="13"/>
      <c r="J95" s="13"/>
      <c r="K95" s="13"/>
      <c r="L95" s="13"/>
    </row>
    <row r="96" spans="1:12" x14ac:dyDescent="0.35">
      <c r="A96" s="13"/>
      <c r="B96" s="13"/>
      <c r="C96" s="13"/>
      <c r="D96" s="13"/>
      <c r="E96" s="13"/>
      <c r="F96" s="13"/>
      <c r="G96" s="13"/>
      <c r="H96" s="13"/>
      <c r="I96" s="13"/>
      <c r="J96" s="13"/>
      <c r="K96" s="13"/>
      <c r="L96" s="13"/>
    </row>
    <row r="97" spans="1:12" x14ac:dyDescent="0.35">
      <c r="A97" s="13"/>
      <c r="B97" s="13"/>
      <c r="C97" s="13"/>
      <c r="D97" s="13"/>
      <c r="E97" s="13"/>
      <c r="F97" s="13"/>
      <c r="G97" s="13"/>
      <c r="H97" s="13"/>
      <c r="I97" s="13"/>
      <c r="J97" s="13"/>
      <c r="K97" s="13"/>
      <c r="L97" s="13"/>
    </row>
    <row r="98" spans="1:12" x14ac:dyDescent="0.35">
      <c r="A98" s="13"/>
      <c r="B98" s="13"/>
      <c r="C98" s="13"/>
      <c r="D98" s="13"/>
      <c r="E98" s="13"/>
      <c r="F98" s="13"/>
      <c r="G98" s="13"/>
      <c r="H98" s="13"/>
      <c r="I98" s="13"/>
      <c r="J98" s="13"/>
      <c r="K98" s="13"/>
      <c r="L98" s="13"/>
    </row>
    <row r="99" spans="1:12" x14ac:dyDescent="0.35">
      <c r="A99" s="13"/>
      <c r="B99" s="13"/>
      <c r="C99" s="13"/>
      <c r="D99" s="13"/>
      <c r="E99" s="13"/>
      <c r="F99" s="13"/>
      <c r="G99" s="13"/>
      <c r="H99" s="13"/>
      <c r="I99" s="13"/>
      <c r="J99" s="13"/>
      <c r="K99" s="13"/>
      <c r="L99" s="13"/>
    </row>
    <row r="100" spans="1:12" x14ac:dyDescent="0.35">
      <c r="A100" s="13"/>
      <c r="B100" s="13"/>
      <c r="C100" s="13"/>
      <c r="D100" s="13"/>
      <c r="E100" s="13"/>
      <c r="F100" s="13"/>
      <c r="G100" s="13"/>
      <c r="H100" s="13"/>
      <c r="I100" s="13"/>
      <c r="J100" s="13"/>
      <c r="K100" s="13"/>
      <c r="L100" s="13"/>
    </row>
    <row r="101" spans="1:12" x14ac:dyDescent="0.35">
      <c r="A101" s="13"/>
      <c r="B101" s="13"/>
      <c r="C101" s="13"/>
      <c r="D101" s="13"/>
      <c r="E101" s="13"/>
      <c r="F101" s="13"/>
      <c r="G101" s="13"/>
      <c r="H101" s="13"/>
      <c r="I101" s="13"/>
      <c r="J101" s="13"/>
      <c r="K101" s="13"/>
      <c r="L101" s="13"/>
    </row>
    <row r="102" spans="1:12" x14ac:dyDescent="0.35">
      <c r="A102" s="13"/>
      <c r="B102" s="13"/>
      <c r="C102" s="13"/>
      <c r="D102" s="13"/>
      <c r="E102" s="13"/>
      <c r="F102" s="13"/>
      <c r="G102" s="13"/>
      <c r="H102" s="13"/>
      <c r="I102" s="13"/>
      <c r="J102" s="13"/>
      <c r="K102" s="13"/>
      <c r="L102" s="13"/>
    </row>
    <row r="103" spans="1:12" x14ac:dyDescent="0.35">
      <c r="A103" s="13"/>
      <c r="B103" s="13"/>
      <c r="C103" s="13"/>
      <c r="D103" s="13"/>
      <c r="E103" s="13"/>
      <c r="F103" s="13"/>
      <c r="G103" s="13"/>
      <c r="H103" s="13"/>
      <c r="I103" s="13"/>
      <c r="J103" s="13"/>
      <c r="K103" s="13"/>
      <c r="L103" s="13"/>
    </row>
    <row r="104" spans="1:12" x14ac:dyDescent="0.35">
      <c r="A104" s="13"/>
      <c r="B104" s="13"/>
      <c r="C104" s="13"/>
      <c r="D104" s="13"/>
      <c r="E104" s="13"/>
      <c r="F104" s="13"/>
      <c r="G104" s="13"/>
      <c r="H104" s="13"/>
      <c r="I104" s="13"/>
      <c r="J104" s="13"/>
      <c r="K104" s="13"/>
      <c r="L104" s="13"/>
    </row>
    <row r="105" spans="1:12" x14ac:dyDescent="0.35">
      <c r="A105" s="13"/>
      <c r="B105" s="13"/>
      <c r="C105" s="13"/>
      <c r="D105" s="13"/>
      <c r="E105" s="13"/>
      <c r="F105" s="13"/>
      <c r="G105" s="13"/>
      <c r="H105" s="13"/>
      <c r="I105" s="13"/>
      <c r="J105" s="13"/>
      <c r="K105" s="13"/>
      <c r="L105" s="13"/>
    </row>
    <row r="106" spans="1:12" x14ac:dyDescent="0.35">
      <c r="A106" s="13"/>
      <c r="B106" s="13"/>
      <c r="C106" s="13"/>
      <c r="D106" s="13"/>
      <c r="E106" s="13"/>
      <c r="F106" s="13"/>
      <c r="G106" s="13"/>
      <c r="H106" s="13"/>
      <c r="I106" s="13"/>
      <c r="J106" s="13"/>
      <c r="K106" s="13"/>
      <c r="L106" s="13"/>
    </row>
    <row r="107" spans="1:12" x14ac:dyDescent="0.35">
      <c r="A107" s="13"/>
      <c r="B107" s="13"/>
      <c r="C107" s="13"/>
      <c r="D107" s="13"/>
      <c r="E107" s="13"/>
      <c r="F107" s="13"/>
      <c r="G107" s="13"/>
      <c r="H107" s="13"/>
      <c r="I107" s="13"/>
      <c r="J107" s="13"/>
      <c r="K107" s="13"/>
      <c r="L107" s="13"/>
    </row>
    <row r="108" spans="1:12" x14ac:dyDescent="0.35">
      <c r="A108" s="13"/>
      <c r="B108" s="13"/>
      <c r="C108" s="13"/>
      <c r="D108" s="13"/>
      <c r="E108" s="13"/>
      <c r="F108" s="13"/>
      <c r="G108" s="13"/>
      <c r="H108" s="13"/>
      <c r="I108" s="13"/>
      <c r="J108" s="13"/>
      <c r="K108" s="13"/>
      <c r="L108" s="13"/>
    </row>
    <row r="109" spans="1:12" x14ac:dyDescent="0.35">
      <c r="A109" s="13"/>
      <c r="B109" s="13"/>
      <c r="C109" s="13"/>
      <c r="D109" s="13"/>
      <c r="E109" s="13"/>
      <c r="F109" s="13"/>
      <c r="G109" s="13"/>
      <c r="H109" s="13"/>
      <c r="I109" s="13"/>
      <c r="J109" s="13"/>
      <c r="K109" s="13"/>
      <c r="L109" s="13"/>
    </row>
    <row r="110" spans="1:12" x14ac:dyDescent="0.35">
      <c r="A110" s="13"/>
      <c r="B110" s="13"/>
      <c r="C110" s="13"/>
      <c r="D110" s="13"/>
      <c r="E110" s="13"/>
      <c r="F110" s="13"/>
      <c r="G110" s="13"/>
      <c r="H110" s="13"/>
      <c r="I110" s="13"/>
      <c r="J110" s="13"/>
      <c r="K110" s="13"/>
      <c r="L110" s="13"/>
    </row>
    <row r="111" spans="1:12" x14ac:dyDescent="0.35">
      <c r="A111" s="13"/>
      <c r="B111" s="13"/>
      <c r="C111" s="13"/>
      <c r="D111" s="13"/>
      <c r="E111" s="13"/>
      <c r="F111" s="13"/>
      <c r="G111" s="13"/>
      <c r="H111" s="13"/>
      <c r="I111" s="13"/>
      <c r="J111" s="13"/>
      <c r="K111" s="13"/>
      <c r="L111" s="13"/>
    </row>
    <row r="112" spans="1:12" x14ac:dyDescent="0.35">
      <c r="A112" s="13"/>
      <c r="B112" s="13"/>
      <c r="C112" s="13"/>
      <c r="D112" s="13"/>
      <c r="E112" s="13"/>
      <c r="F112" s="13"/>
      <c r="G112" s="13"/>
      <c r="H112" s="13"/>
      <c r="I112" s="13"/>
      <c r="J112" s="13"/>
      <c r="K112" s="13"/>
      <c r="L112" s="13"/>
    </row>
    <row r="113" spans="1:12" x14ac:dyDescent="0.35">
      <c r="A113" s="13"/>
      <c r="B113" s="13"/>
      <c r="C113" s="13"/>
      <c r="D113" s="13"/>
      <c r="E113" s="13"/>
      <c r="F113" s="13"/>
      <c r="G113" s="13"/>
      <c r="H113" s="13"/>
      <c r="I113" s="13"/>
      <c r="J113" s="13"/>
      <c r="K113" s="13"/>
      <c r="L113" s="13"/>
    </row>
    <row r="114" spans="1:12" x14ac:dyDescent="0.35">
      <c r="A114" s="13"/>
      <c r="B114" s="13"/>
      <c r="C114" s="13"/>
      <c r="D114" s="13"/>
      <c r="E114" s="13"/>
      <c r="F114" s="13"/>
      <c r="G114" s="13"/>
      <c r="H114" s="13"/>
      <c r="I114" s="13"/>
      <c r="J114" s="13"/>
      <c r="K114" s="13"/>
      <c r="L114" s="13"/>
    </row>
    <row r="115" spans="1:12" x14ac:dyDescent="0.35">
      <c r="A115" s="13"/>
      <c r="B115" s="13"/>
      <c r="C115" s="13"/>
      <c r="D115" s="13"/>
      <c r="E115" s="13"/>
      <c r="F115" s="13"/>
      <c r="G115" s="13"/>
      <c r="H115" s="13"/>
      <c r="I115" s="13"/>
      <c r="J115" s="13"/>
      <c r="K115" s="13"/>
      <c r="L115" s="13"/>
    </row>
    <row r="116" spans="1:12" x14ac:dyDescent="0.35">
      <c r="A116" s="13"/>
      <c r="B116" s="13"/>
      <c r="C116" s="13"/>
      <c r="D116" s="13"/>
      <c r="E116" s="13"/>
      <c r="F116" s="13"/>
      <c r="G116" s="13"/>
      <c r="H116" s="13"/>
      <c r="I116" s="13"/>
      <c r="J116" s="13"/>
      <c r="K116" s="13"/>
      <c r="L116" s="13"/>
    </row>
    <row r="117" spans="1:12" x14ac:dyDescent="0.35">
      <c r="A117" s="13"/>
      <c r="B117" s="13"/>
      <c r="C117" s="13"/>
      <c r="D117" s="13"/>
      <c r="E117" s="13"/>
      <c r="F117" s="13"/>
      <c r="G117" s="13"/>
      <c r="H117" s="13"/>
      <c r="I117" s="13"/>
      <c r="J117" s="13"/>
      <c r="K117" s="13"/>
      <c r="L117" s="13"/>
    </row>
    <row r="118" spans="1:12" x14ac:dyDescent="0.35">
      <c r="A118" s="13"/>
      <c r="B118" s="13"/>
      <c r="C118" s="13"/>
      <c r="D118" s="13"/>
      <c r="E118" s="13"/>
      <c r="F118" s="13"/>
      <c r="G118" s="13"/>
      <c r="H118" s="13"/>
      <c r="I118" s="13"/>
      <c r="J118" s="13"/>
      <c r="K118" s="13"/>
      <c r="L118" s="13"/>
    </row>
    <row r="119" spans="1:12" x14ac:dyDescent="0.35">
      <c r="A119" s="13"/>
      <c r="B119" s="13"/>
      <c r="C119" s="13"/>
      <c r="D119" s="13"/>
      <c r="E119" s="13"/>
      <c r="F119" s="13"/>
      <c r="G119" s="13"/>
      <c r="H119" s="13"/>
      <c r="I119" s="13"/>
      <c r="J119" s="13"/>
      <c r="K119" s="13"/>
      <c r="L119" s="13"/>
    </row>
    <row r="120" spans="1:12" x14ac:dyDescent="0.35">
      <c r="A120" s="13"/>
      <c r="B120" s="13"/>
      <c r="C120" s="13"/>
      <c r="D120" s="13"/>
      <c r="E120" s="13"/>
      <c r="F120" s="13"/>
      <c r="G120" s="13"/>
      <c r="H120" s="13"/>
      <c r="I120" s="13"/>
      <c r="J120" s="13"/>
      <c r="K120" s="13"/>
      <c r="L120" s="13"/>
    </row>
    <row r="121" spans="1:12" x14ac:dyDescent="0.35">
      <c r="A121" s="13"/>
      <c r="B121" s="13"/>
      <c r="C121" s="13"/>
      <c r="D121" s="13"/>
      <c r="E121" s="13"/>
      <c r="F121" s="13"/>
      <c r="G121" s="13"/>
      <c r="H121" s="13"/>
      <c r="I121" s="13"/>
      <c r="J121" s="13"/>
      <c r="K121" s="13"/>
      <c r="L121" s="13"/>
    </row>
    <row r="122" spans="1:12" x14ac:dyDescent="0.35">
      <c r="A122" s="13"/>
      <c r="B122" s="13"/>
      <c r="C122" s="13"/>
      <c r="D122" s="13"/>
      <c r="E122" s="13"/>
      <c r="F122" s="13"/>
      <c r="G122" s="13"/>
      <c r="H122" s="13"/>
      <c r="I122" s="13"/>
      <c r="J122" s="13"/>
      <c r="K122" s="13"/>
      <c r="L122" s="13"/>
    </row>
    <row r="123" spans="1:12" x14ac:dyDescent="0.35">
      <c r="A123" s="13"/>
      <c r="B123" s="13"/>
      <c r="C123" s="13"/>
      <c r="D123" s="13"/>
      <c r="E123" s="13"/>
      <c r="F123" s="13"/>
      <c r="G123" s="13"/>
      <c r="H123" s="13"/>
      <c r="I123" s="13"/>
      <c r="J123" s="13"/>
      <c r="K123" s="13"/>
      <c r="L123" s="13"/>
    </row>
    <row r="124" spans="1:12" x14ac:dyDescent="0.35">
      <c r="A124" s="13"/>
      <c r="B124" s="13"/>
      <c r="C124" s="13"/>
      <c r="D124" s="13"/>
      <c r="E124" s="13"/>
      <c r="F124" s="13"/>
      <c r="G124" s="13"/>
      <c r="H124" s="13"/>
      <c r="I124" s="13"/>
      <c r="J124" s="13"/>
      <c r="K124" s="13"/>
      <c r="L124" s="13"/>
    </row>
    <row r="125" spans="1:12" x14ac:dyDescent="0.35">
      <c r="A125" s="13"/>
      <c r="B125" s="13"/>
      <c r="C125" s="13"/>
      <c r="D125" s="13"/>
      <c r="E125" s="13"/>
      <c r="F125" s="13"/>
      <c r="G125" s="13"/>
      <c r="H125" s="13"/>
      <c r="I125" s="13"/>
      <c r="J125" s="13"/>
      <c r="K125" s="13"/>
      <c r="L125" s="13"/>
    </row>
    <row r="126" spans="1:12" x14ac:dyDescent="0.35">
      <c r="A126" s="13"/>
      <c r="B126" s="13"/>
      <c r="C126" s="13"/>
      <c r="D126" s="13"/>
      <c r="E126" s="13"/>
      <c r="F126" s="13"/>
      <c r="G126" s="13"/>
      <c r="H126" s="13"/>
      <c r="I126" s="13"/>
      <c r="J126" s="13"/>
      <c r="K126" s="13"/>
      <c r="L126" s="13"/>
    </row>
    <row r="127" spans="1:12" x14ac:dyDescent="0.35">
      <c r="A127" s="13"/>
      <c r="B127" s="13"/>
      <c r="C127" s="13"/>
      <c r="D127" s="13"/>
      <c r="E127" s="13"/>
      <c r="F127" s="13"/>
      <c r="G127" s="13"/>
      <c r="H127" s="13"/>
      <c r="I127" s="13"/>
      <c r="J127" s="13"/>
      <c r="K127" s="13"/>
      <c r="L127" s="13"/>
    </row>
    <row r="128" spans="1:12" x14ac:dyDescent="0.35">
      <c r="A128" s="13"/>
      <c r="B128" s="13"/>
      <c r="C128" s="13"/>
      <c r="D128" s="13"/>
      <c r="E128" s="13"/>
      <c r="F128" s="13"/>
      <c r="G128" s="13"/>
      <c r="H128" s="13"/>
      <c r="I128" s="13"/>
      <c r="J128" s="13"/>
      <c r="K128" s="13"/>
      <c r="L128" s="13"/>
    </row>
    <row r="129" spans="1:12" x14ac:dyDescent="0.35">
      <c r="A129" s="13"/>
      <c r="B129" s="13"/>
      <c r="C129" s="13"/>
      <c r="D129" s="13"/>
      <c r="E129" s="13"/>
      <c r="F129" s="13"/>
      <c r="G129" s="13"/>
      <c r="H129" s="13"/>
      <c r="I129" s="13"/>
      <c r="J129" s="13"/>
      <c r="K129" s="13"/>
      <c r="L129" s="13"/>
    </row>
    <row r="130" spans="1:12" x14ac:dyDescent="0.35">
      <c r="A130" s="13"/>
      <c r="B130" s="13"/>
      <c r="C130" s="13"/>
      <c r="D130" s="13"/>
      <c r="E130" s="13"/>
      <c r="F130" s="13"/>
      <c r="G130" s="13"/>
      <c r="H130" s="13"/>
      <c r="I130" s="13"/>
      <c r="J130" s="13"/>
      <c r="K130" s="13"/>
      <c r="L130" s="13"/>
    </row>
    <row r="131" spans="1:12" x14ac:dyDescent="0.35">
      <c r="A131" s="13"/>
      <c r="B131" s="13"/>
      <c r="C131" s="13"/>
      <c r="D131" s="13"/>
      <c r="E131" s="13"/>
      <c r="F131" s="13"/>
      <c r="G131" s="13"/>
      <c r="H131" s="13"/>
      <c r="I131" s="13"/>
      <c r="J131" s="13"/>
      <c r="K131" s="13"/>
      <c r="L131" s="13"/>
    </row>
    <row r="132" spans="1:12" x14ac:dyDescent="0.35">
      <c r="A132" s="13"/>
      <c r="B132" s="13"/>
      <c r="C132" s="13"/>
      <c r="D132" s="13"/>
      <c r="E132" s="13"/>
      <c r="F132" s="13"/>
      <c r="G132" s="13"/>
      <c r="H132" s="13"/>
      <c r="I132" s="13"/>
      <c r="J132" s="13"/>
      <c r="K132" s="13"/>
      <c r="L132" s="13"/>
    </row>
    <row r="133" spans="1:12" x14ac:dyDescent="0.35">
      <c r="A133" s="13"/>
      <c r="B133" s="13"/>
      <c r="C133" s="13"/>
      <c r="D133" s="13"/>
      <c r="E133" s="13"/>
      <c r="F133" s="13"/>
      <c r="G133" s="13"/>
      <c r="H133" s="13"/>
      <c r="I133" s="13"/>
      <c r="J133" s="13"/>
      <c r="K133" s="13"/>
      <c r="L133" s="13"/>
    </row>
    <row r="134" spans="1:12" x14ac:dyDescent="0.35">
      <c r="A134" s="13"/>
      <c r="B134" s="13"/>
      <c r="C134" s="13"/>
      <c r="D134" s="13"/>
      <c r="E134" s="13"/>
      <c r="F134" s="13"/>
      <c r="G134" s="13"/>
      <c r="H134" s="13"/>
      <c r="I134" s="13"/>
      <c r="J134" s="13"/>
      <c r="K134" s="13"/>
      <c r="L134" s="13"/>
    </row>
    <row r="135" spans="1:12" x14ac:dyDescent="0.35">
      <c r="A135" s="13"/>
      <c r="B135" s="13"/>
      <c r="C135" s="13"/>
      <c r="D135" s="13"/>
      <c r="E135" s="13"/>
      <c r="F135" s="13"/>
      <c r="G135" s="13"/>
      <c r="H135" s="13"/>
      <c r="I135" s="13"/>
      <c r="J135" s="13"/>
      <c r="K135" s="13"/>
      <c r="L135" s="13"/>
    </row>
    <row r="136" spans="1:12" x14ac:dyDescent="0.35">
      <c r="A136" s="13"/>
      <c r="B136" s="13"/>
      <c r="C136" s="13"/>
      <c r="D136" s="13"/>
      <c r="E136" s="13"/>
      <c r="F136" s="13"/>
      <c r="G136" s="13"/>
      <c r="H136" s="13"/>
      <c r="I136" s="13"/>
      <c r="J136" s="13"/>
      <c r="K136" s="13"/>
      <c r="L136" s="13"/>
    </row>
    <row r="137" spans="1:12" x14ac:dyDescent="0.35">
      <c r="A137" s="13"/>
      <c r="B137" s="13"/>
      <c r="C137" s="13"/>
      <c r="D137" s="13"/>
      <c r="E137" s="13"/>
      <c r="F137" s="13"/>
      <c r="G137" s="13"/>
      <c r="H137" s="13"/>
      <c r="I137" s="13"/>
      <c r="J137" s="13"/>
      <c r="K137" s="13"/>
      <c r="L137" s="13"/>
    </row>
    <row r="138" spans="1:12" x14ac:dyDescent="0.35">
      <c r="A138" s="13"/>
      <c r="B138" s="13"/>
      <c r="C138" s="13"/>
      <c r="D138" s="13"/>
      <c r="E138" s="13"/>
      <c r="F138" s="13"/>
      <c r="G138" s="13"/>
      <c r="H138" s="13"/>
      <c r="I138" s="13"/>
      <c r="J138" s="13"/>
      <c r="K138" s="13"/>
      <c r="L138" s="13"/>
    </row>
    <row r="139" spans="1:12" x14ac:dyDescent="0.35">
      <c r="A139" s="13"/>
      <c r="B139" s="13"/>
      <c r="C139" s="13"/>
      <c r="D139" s="13"/>
      <c r="E139" s="13"/>
      <c r="F139" s="13"/>
      <c r="G139" s="13"/>
      <c r="H139" s="13"/>
      <c r="I139" s="13"/>
      <c r="J139" s="13"/>
      <c r="K139" s="13"/>
      <c r="L139" s="13"/>
    </row>
    <row r="140" spans="1:12" x14ac:dyDescent="0.35">
      <c r="A140" s="13"/>
      <c r="B140" s="13"/>
      <c r="C140" s="13"/>
      <c r="D140" s="13"/>
      <c r="E140" s="13"/>
      <c r="F140" s="13"/>
      <c r="G140" s="13"/>
      <c r="H140" s="13"/>
      <c r="I140" s="13"/>
      <c r="J140" s="13"/>
      <c r="K140" s="13"/>
      <c r="L140" s="13"/>
    </row>
    <row r="141" spans="1:12" x14ac:dyDescent="0.35">
      <c r="A141" s="13"/>
      <c r="B141" s="13"/>
      <c r="C141" s="13"/>
      <c r="D141" s="13"/>
      <c r="E141" s="13"/>
      <c r="F141" s="13"/>
      <c r="G141" s="13"/>
      <c r="H141" s="13"/>
      <c r="I141" s="13"/>
      <c r="J141" s="13"/>
      <c r="K141" s="13"/>
      <c r="L141" s="13"/>
    </row>
    <row r="142" spans="1:12" x14ac:dyDescent="0.35">
      <c r="A142" s="13"/>
      <c r="B142" s="13"/>
      <c r="C142" s="13"/>
      <c r="D142" s="13"/>
      <c r="E142" s="13"/>
      <c r="F142" s="13"/>
      <c r="G142" s="13"/>
      <c r="H142" s="13"/>
      <c r="I142" s="13"/>
      <c r="J142" s="13"/>
      <c r="K142" s="13"/>
      <c r="L142" s="13"/>
    </row>
    <row r="143" spans="1:12" x14ac:dyDescent="0.35">
      <c r="A143" s="13"/>
      <c r="B143" s="13"/>
      <c r="C143" s="13"/>
      <c r="D143" s="13"/>
      <c r="E143" s="13"/>
      <c r="F143" s="13"/>
      <c r="G143" s="13"/>
      <c r="H143" s="13"/>
      <c r="I143" s="13"/>
      <c r="J143" s="13"/>
      <c r="K143" s="13"/>
      <c r="L143" s="13"/>
    </row>
    <row r="144" spans="1:12" x14ac:dyDescent="0.35">
      <c r="A144" s="13"/>
      <c r="B144" s="13"/>
      <c r="C144" s="13"/>
      <c r="D144" s="13"/>
      <c r="E144" s="13"/>
      <c r="F144" s="13"/>
      <c r="G144" s="13"/>
      <c r="H144" s="13"/>
      <c r="I144" s="13"/>
      <c r="J144" s="13"/>
      <c r="K144" s="13"/>
      <c r="L144" s="13"/>
    </row>
    <row r="145" spans="1:12" x14ac:dyDescent="0.35">
      <c r="A145" s="13"/>
      <c r="B145" s="13"/>
      <c r="C145" s="13"/>
      <c r="D145" s="13"/>
      <c r="E145" s="13"/>
      <c r="F145" s="13"/>
      <c r="G145" s="13"/>
      <c r="H145" s="13"/>
      <c r="I145" s="13"/>
      <c r="J145" s="13"/>
      <c r="K145" s="13"/>
      <c r="L145" s="13"/>
    </row>
    <row r="146" spans="1:12" x14ac:dyDescent="0.35">
      <c r="A146" s="13"/>
      <c r="B146" s="13"/>
      <c r="C146" s="13"/>
      <c r="D146" s="13"/>
      <c r="E146" s="13"/>
      <c r="F146" s="13"/>
      <c r="G146" s="13"/>
      <c r="H146" s="13"/>
      <c r="I146" s="13"/>
      <c r="J146" s="13"/>
      <c r="K146" s="13"/>
      <c r="L146" s="13"/>
    </row>
    <row r="147" spans="1:12" x14ac:dyDescent="0.35">
      <c r="A147" s="13"/>
      <c r="B147" s="13"/>
      <c r="C147" s="13"/>
      <c r="D147" s="13"/>
      <c r="E147" s="13"/>
      <c r="F147" s="13"/>
      <c r="G147" s="13"/>
      <c r="H147" s="13"/>
      <c r="I147" s="13"/>
      <c r="J147" s="13"/>
      <c r="K147" s="13"/>
      <c r="L147" s="13"/>
    </row>
    <row r="148" spans="1:12" x14ac:dyDescent="0.35">
      <c r="A148" s="13"/>
      <c r="B148" s="13"/>
      <c r="C148" s="13"/>
      <c r="D148" s="13"/>
      <c r="E148" s="13"/>
      <c r="F148" s="13"/>
      <c r="G148" s="13"/>
      <c r="H148" s="13"/>
      <c r="I148" s="13"/>
      <c r="J148" s="13"/>
      <c r="K148" s="13"/>
      <c r="L148" s="13"/>
    </row>
    <row r="149" spans="1:12" x14ac:dyDescent="0.35">
      <c r="A149" s="13"/>
      <c r="B149" s="13"/>
      <c r="C149" s="13"/>
      <c r="D149" s="13"/>
      <c r="E149" s="13"/>
      <c r="F149" s="13"/>
      <c r="G149" s="13"/>
      <c r="H149" s="13"/>
      <c r="I149" s="13"/>
      <c r="J149" s="13"/>
      <c r="K149" s="13"/>
      <c r="L149" s="13"/>
    </row>
    <row r="150" spans="1:12" x14ac:dyDescent="0.35">
      <c r="A150" s="13"/>
      <c r="B150" s="13"/>
      <c r="C150" s="13"/>
      <c r="D150" s="13"/>
      <c r="E150" s="13"/>
      <c r="F150" s="13"/>
      <c r="G150" s="13"/>
      <c r="H150" s="13"/>
      <c r="I150" s="13"/>
      <c r="J150" s="13"/>
      <c r="K150" s="13"/>
      <c r="L150" s="13"/>
    </row>
    <row r="151" spans="1:12" x14ac:dyDescent="0.35">
      <c r="A151" s="13"/>
      <c r="B151" s="13"/>
      <c r="C151" s="13"/>
      <c r="D151" s="13"/>
      <c r="E151" s="13"/>
      <c r="F151" s="13"/>
      <c r="G151" s="13"/>
      <c r="H151" s="13"/>
      <c r="I151" s="13"/>
      <c r="J151" s="13"/>
      <c r="K151" s="13"/>
      <c r="L151" s="13"/>
    </row>
    <row r="152" spans="1:12" x14ac:dyDescent="0.35">
      <c r="A152" s="13"/>
      <c r="B152" s="13"/>
      <c r="C152" s="13"/>
      <c r="D152" s="13"/>
      <c r="E152" s="13"/>
      <c r="F152" s="13"/>
      <c r="G152" s="13"/>
      <c r="H152" s="13"/>
      <c r="I152" s="13"/>
      <c r="J152" s="13"/>
      <c r="K152" s="13"/>
      <c r="L152" s="13"/>
    </row>
    <row r="153" spans="1:12" x14ac:dyDescent="0.35">
      <c r="A153" s="13"/>
      <c r="B153" s="13"/>
      <c r="C153" s="13"/>
      <c r="D153" s="13"/>
      <c r="E153" s="13"/>
      <c r="F153" s="13"/>
      <c r="G153" s="13"/>
      <c r="H153" s="13"/>
      <c r="I153" s="13"/>
      <c r="J153" s="13"/>
      <c r="K153" s="13"/>
      <c r="L153" s="13"/>
    </row>
    <row r="154" spans="1:12" x14ac:dyDescent="0.35">
      <c r="A154" s="13"/>
      <c r="B154" s="13"/>
      <c r="C154" s="13"/>
      <c r="D154" s="13"/>
      <c r="E154" s="13"/>
      <c r="F154" s="13"/>
      <c r="G154" s="13"/>
      <c r="H154" s="13"/>
      <c r="I154" s="13"/>
      <c r="J154" s="13"/>
      <c r="K154" s="13"/>
      <c r="L154" s="13"/>
    </row>
    <row r="155" spans="1:12" x14ac:dyDescent="0.35">
      <c r="A155" s="13"/>
      <c r="B155" s="13"/>
      <c r="C155" s="13"/>
      <c r="D155" s="13"/>
      <c r="E155" s="13"/>
      <c r="F155" s="13"/>
      <c r="G155" s="13"/>
      <c r="H155" s="13"/>
      <c r="I155" s="13"/>
      <c r="J155" s="13"/>
      <c r="K155" s="13"/>
      <c r="L155" s="13"/>
    </row>
    <row r="156" spans="1:12" x14ac:dyDescent="0.35">
      <c r="A156" s="13"/>
      <c r="B156" s="13"/>
      <c r="C156" s="13"/>
      <c r="D156" s="13"/>
      <c r="E156" s="13"/>
      <c r="F156" s="13"/>
      <c r="G156" s="13"/>
      <c r="H156" s="13"/>
      <c r="I156" s="13"/>
      <c r="J156" s="13"/>
      <c r="K156" s="13"/>
      <c r="L156" s="13"/>
    </row>
    <row r="157" spans="1:12" x14ac:dyDescent="0.35">
      <c r="A157" s="13"/>
      <c r="B157" s="13"/>
      <c r="C157" s="13"/>
      <c r="D157" s="13"/>
      <c r="E157" s="13"/>
      <c r="F157" s="13"/>
      <c r="G157" s="13"/>
      <c r="H157" s="13"/>
      <c r="I157" s="13"/>
      <c r="J157" s="13"/>
      <c r="K157" s="13"/>
      <c r="L157" s="13"/>
    </row>
    <row r="158" spans="1:12" x14ac:dyDescent="0.35">
      <c r="A158" s="13"/>
      <c r="B158" s="13"/>
      <c r="C158" s="13"/>
      <c r="D158" s="13"/>
      <c r="E158" s="13"/>
      <c r="F158" s="13"/>
      <c r="G158" s="13"/>
      <c r="H158" s="13"/>
      <c r="I158" s="13"/>
      <c r="J158" s="13"/>
      <c r="K158" s="13"/>
      <c r="L158" s="13"/>
    </row>
    <row r="159" spans="1:12" x14ac:dyDescent="0.35">
      <c r="A159" s="13"/>
      <c r="B159" s="13"/>
      <c r="C159" s="13"/>
      <c r="D159" s="13"/>
      <c r="E159" s="13"/>
      <c r="F159" s="13"/>
      <c r="G159" s="13"/>
      <c r="H159" s="13"/>
      <c r="I159" s="13"/>
      <c r="J159" s="13"/>
      <c r="K159" s="13"/>
      <c r="L159" s="13"/>
    </row>
    <row r="160" spans="1:12" x14ac:dyDescent="0.35">
      <c r="A160" s="13"/>
      <c r="B160" s="13"/>
      <c r="C160" s="13"/>
      <c r="D160" s="13"/>
      <c r="E160" s="13"/>
      <c r="F160" s="13"/>
      <c r="G160" s="13"/>
      <c r="H160" s="13"/>
      <c r="I160" s="13"/>
      <c r="J160" s="13"/>
      <c r="K160" s="13"/>
      <c r="L160" s="13"/>
    </row>
    <row r="161" spans="1:12" x14ac:dyDescent="0.35">
      <c r="A161" s="13"/>
      <c r="B161" s="13"/>
      <c r="C161" s="13"/>
      <c r="D161" s="13"/>
      <c r="E161" s="13"/>
      <c r="F161" s="13"/>
      <c r="G161" s="13"/>
      <c r="H161" s="13"/>
      <c r="I161" s="13"/>
      <c r="J161" s="13"/>
      <c r="K161" s="13"/>
      <c r="L161" s="13"/>
    </row>
    <row r="162" spans="1:12" x14ac:dyDescent="0.35">
      <c r="A162" s="13"/>
      <c r="B162" s="13"/>
      <c r="C162" s="13"/>
      <c r="D162" s="13"/>
      <c r="E162" s="13"/>
      <c r="F162" s="13"/>
      <c r="G162" s="13"/>
      <c r="H162" s="13"/>
      <c r="I162" s="13"/>
      <c r="J162" s="13"/>
      <c r="K162" s="13"/>
      <c r="L162" s="13"/>
    </row>
    <row r="163" spans="1:12" x14ac:dyDescent="0.35">
      <c r="A163" s="13"/>
      <c r="B163" s="13"/>
      <c r="C163" s="13"/>
      <c r="D163" s="13"/>
      <c r="E163" s="13"/>
      <c r="F163" s="13"/>
      <c r="G163" s="13"/>
      <c r="H163" s="13"/>
      <c r="I163" s="13"/>
      <c r="J163" s="13"/>
      <c r="K163" s="13"/>
      <c r="L163" s="13"/>
    </row>
    <row r="164" spans="1:12" x14ac:dyDescent="0.35">
      <c r="A164" s="13"/>
      <c r="B164" s="13"/>
      <c r="C164" s="13"/>
      <c r="D164" s="13"/>
      <c r="E164" s="13"/>
      <c r="F164" s="13"/>
      <c r="G164" s="13"/>
      <c r="H164" s="13"/>
      <c r="I164" s="13"/>
      <c r="J164" s="13"/>
      <c r="K164" s="13"/>
      <c r="L164" s="13"/>
    </row>
    <row r="165" spans="1:12" x14ac:dyDescent="0.35">
      <c r="A165" s="13"/>
      <c r="B165" s="13"/>
      <c r="C165" s="13"/>
      <c r="D165" s="13"/>
      <c r="E165" s="13"/>
      <c r="F165" s="13"/>
      <c r="G165" s="13"/>
      <c r="H165" s="13"/>
      <c r="I165" s="13"/>
      <c r="J165" s="13"/>
      <c r="K165" s="13"/>
      <c r="L165" s="13"/>
    </row>
    <row r="166" spans="1:12" x14ac:dyDescent="0.35">
      <c r="A166" s="13"/>
      <c r="B166" s="13"/>
      <c r="C166" s="13"/>
      <c r="D166" s="13"/>
      <c r="E166" s="13"/>
      <c r="F166" s="13"/>
      <c r="G166" s="13"/>
      <c r="H166" s="13"/>
      <c r="I166" s="13"/>
      <c r="J166" s="13"/>
      <c r="K166" s="13"/>
      <c r="L166" s="13"/>
    </row>
    <row r="167" spans="1:12" x14ac:dyDescent="0.35">
      <c r="A167" s="13"/>
      <c r="B167" s="13"/>
      <c r="C167" s="13"/>
      <c r="D167" s="13"/>
      <c r="E167" s="13"/>
      <c r="F167" s="13"/>
      <c r="G167" s="13"/>
      <c r="H167" s="13"/>
      <c r="I167" s="13"/>
      <c r="J167" s="13"/>
      <c r="K167" s="13"/>
      <c r="L167" s="13"/>
    </row>
    <row r="168" spans="1:12" x14ac:dyDescent="0.35">
      <c r="A168" s="13"/>
      <c r="B168" s="13"/>
      <c r="C168" s="13"/>
      <c r="D168" s="13"/>
      <c r="E168" s="13"/>
      <c r="F168" s="13"/>
      <c r="G168" s="13"/>
      <c r="H168" s="13"/>
      <c r="I168" s="13"/>
      <c r="J168" s="13"/>
      <c r="K168" s="13"/>
      <c r="L168" s="13"/>
    </row>
    <row r="169" spans="1:12" x14ac:dyDescent="0.35">
      <c r="A169" s="13"/>
      <c r="B169" s="13"/>
      <c r="C169" s="13"/>
      <c r="D169" s="13"/>
      <c r="E169" s="13"/>
      <c r="F169" s="13"/>
      <c r="G169" s="13"/>
      <c r="H169" s="13"/>
      <c r="I169" s="13"/>
      <c r="J169" s="13"/>
      <c r="K169" s="13"/>
      <c r="L169" s="13"/>
    </row>
    <row r="170" spans="1:12" x14ac:dyDescent="0.35">
      <c r="A170" s="13"/>
      <c r="B170" s="13"/>
      <c r="C170" s="13"/>
      <c r="D170" s="13"/>
      <c r="E170" s="13"/>
      <c r="F170" s="13"/>
      <c r="G170" s="13"/>
      <c r="H170" s="13"/>
      <c r="I170" s="13"/>
      <c r="J170" s="13"/>
      <c r="K170" s="13"/>
      <c r="L170" s="13"/>
    </row>
    <row r="171" spans="1:12" x14ac:dyDescent="0.35">
      <c r="A171" s="13"/>
      <c r="B171" s="13"/>
      <c r="C171" s="13"/>
      <c r="D171" s="13"/>
      <c r="E171" s="13"/>
      <c r="F171" s="13"/>
      <c r="G171" s="13"/>
      <c r="H171" s="13"/>
      <c r="I171" s="13"/>
      <c r="J171" s="13"/>
      <c r="K171" s="13"/>
      <c r="L171" s="13"/>
    </row>
    <row r="172" spans="1:12" x14ac:dyDescent="0.35">
      <c r="A172" s="13"/>
      <c r="B172" s="13"/>
      <c r="C172" s="13"/>
      <c r="D172" s="13"/>
      <c r="E172" s="13"/>
      <c r="F172" s="13"/>
      <c r="G172" s="13"/>
      <c r="H172" s="13"/>
      <c r="I172" s="13"/>
      <c r="J172" s="13"/>
      <c r="K172" s="13"/>
      <c r="L172" s="13"/>
    </row>
    <row r="173" spans="1:12" x14ac:dyDescent="0.35">
      <c r="A173" s="13"/>
      <c r="B173" s="13"/>
      <c r="C173" s="13"/>
      <c r="D173" s="13"/>
      <c r="E173" s="13"/>
      <c r="F173" s="13"/>
      <c r="G173" s="13"/>
      <c r="H173" s="13"/>
      <c r="I173" s="13"/>
      <c r="J173" s="13"/>
      <c r="K173" s="13"/>
      <c r="L173" s="13"/>
    </row>
    <row r="174" spans="1:12" x14ac:dyDescent="0.35">
      <c r="A174" s="13"/>
      <c r="B174" s="13"/>
      <c r="C174" s="13"/>
      <c r="D174" s="13"/>
      <c r="E174" s="13"/>
      <c r="F174" s="13"/>
      <c r="G174" s="13"/>
      <c r="H174" s="13"/>
      <c r="I174" s="13"/>
      <c r="J174" s="13"/>
      <c r="K174" s="13"/>
      <c r="L174" s="13"/>
    </row>
    <row r="175" spans="1:12" x14ac:dyDescent="0.35">
      <c r="A175" s="13"/>
      <c r="B175" s="13"/>
      <c r="C175" s="13"/>
      <c r="D175" s="13"/>
      <c r="E175" s="13"/>
      <c r="F175" s="13"/>
      <c r="G175" s="13"/>
      <c r="H175" s="13"/>
      <c r="I175" s="13"/>
      <c r="J175" s="13"/>
      <c r="K175" s="13"/>
      <c r="L175" s="13"/>
    </row>
    <row r="176" spans="1:12" x14ac:dyDescent="0.35">
      <c r="A176" s="13"/>
      <c r="B176" s="13"/>
      <c r="C176" s="13"/>
      <c r="D176" s="13"/>
      <c r="E176" s="13"/>
      <c r="F176" s="13"/>
      <c r="G176" s="13"/>
      <c r="H176" s="13"/>
      <c r="I176" s="13"/>
      <c r="J176" s="13"/>
      <c r="K176" s="13"/>
      <c r="L176" s="13"/>
    </row>
    <row r="177" spans="1:12" x14ac:dyDescent="0.35">
      <c r="A177" s="13"/>
      <c r="B177" s="13"/>
      <c r="C177" s="13"/>
      <c r="D177" s="13"/>
      <c r="E177" s="13"/>
      <c r="F177" s="13"/>
      <c r="G177" s="13"/>
      <c r="H177" s="13"/>
      <c r="I177" s="13"/>
      <c r="J177" s="13"/>
      <c r="K177" s="13"/>
      <c r="L177" s="13"/>
    </row>
    <row r="178" spans="1:12" x14ac:dyDescent="0.35">
      <c r="A178" s="13"/>
      <c r="B178" s="13"/>
      <c r="C178" s="13"/>
      <c r="D178" s="13"/>
      <c r="E178" s="13"/>
      <c r="F178" s="13"/>
      <c r="G178" s="13"/>
      <c r="H178" s="13"/>
      <c r="I178" s="13"/>
      <c r="J178" s="13"/>
      <c r="K178" s="13"/>
      <c r="L178" s="13"/>
    </row>
    <row r="179" spans="1:12" x14ac:dyDescent="0.35">
      <c r="A179" s="13"/>
      <c r="B179" s="13"/>
      <c r="C179" s="13"/>
      <c r="D179" s="13"/>
      <c r="E179" s="13"/>
      <c r="F179" s="13"/>
      <c r="G179" s="13"/>
      <c r="H179" s="13"/>
      <c r="I179" s="13"/>
      <c r="J179" s="13"/>
      <c r="K179" s="13"/>
      <c r="L179" s="13"/>
    </row>
    <row r="180" spans="1:12" x14ac:dyDescent="0.35">
      <c r="A180" s="13"/>
      <c r="B180" s="13"/>
      <c r="C180" s="13"/>
      <c r="D180" s="13"/>
      <c r="E180" s="13"/>
      <c r="F180" s="13"/>
      <c r="G180" s="13"/>
      <c r="H180" s="13"/>
      <c r="I180" s="13"/>
      <c r="J180" s="13"/>
      <c r="K180" s="13"/>
      <c r="L180" s="13"/>
    </row>
    <row r="181" spans="1:12" x14ac:dyDescent="0.35">
      <c r="A181" s="13"/>
      <c r="B181" s="13"/>
      <c r="C181" s="13"/>
      <c r="D181" s="13"/>
      <c r="E181" s="13"/>
      <c r="F181" s="13"/>
      <c r="G181" s="13"/>
      <c r="H181" s="13"/>
      <c r="I181" s="13"/>
      <c r="J181" s="13"/>
      <c r="K181" s="13"/>
      <c r="L181" s="13"/>
    </row>
    <row r="182" spans="1:12" x14ac:dyDescent="0.35">
      <c r="A182" s="13"/>
      <c r="B182" s="13"/>
      <c r="C182" s="13"/>
      <c r="D182" s="13"/>
      <c r="E182" s="13"/>
      <c r="F182" s="13"/>
      <c r="G182" s="13"/>
      <c r="H182" s="13"/>
      <c r="I182" s="13"/>
      <c r="J182" s="13"/>
      <c r="K182" s="13"/>
      <c r="L182" s="13"/>
    </row>
    <row r="183" spans="1:12" x14ac:dyDescent="0.35">
      <c r="A183" s="13"/>
      <c r="B183" s="13"/>
      <c r="C183" s="13"/>
      <c r="D183" s="13"/>
      <c r="E183" s="13"/>
      <c r="F183" s="13"/>
      <c r="G183" s="13"/>
      <c r="H183" s="13"/>
      <c r="I183" s="13"/>
      <c r="J183" s="13"/>
      <c r="K183" s="13"/>
      <c r="L183" s="13"/>
    </row>
    <row r="184" spans="1:12" x14ac:dyDescent="0.35">
      <c r="A184" s="13"/>
      <c r="B184" s="13"/>
      <c r="C184" s="13"/>
      <c r="D184" s="13"/>
      <c r="E184" s="13"/>
      <c r="F184" s="13"/>
      <c r="G184" s="13"/>
      <c r="H184" s="13"/>
      <c r="I184" s="13"/>
      <c r="J184" s="13"/>
      <c r="K184" s="13"/>
      <c r="L184" s="13"/>
    </row>
    <row r="185" spans="1:12" x14ac:dyDescent="0.35">
      <c r="A185" s="13"/>
      <c r="B185" s="13"/>
      <c r="C185" s="13"/>
      <c r="D185" s="13"/>
      <c r="E185" s="13"/>
      <c r="F185" s="13"/>
      <c r="G185" s="13"/>
      <c r="H185" s="13"/>
      <c r="I185" s="13"/>
      <c r="J185" s="13"/>
      <c r="K185" s="13"/>
      <c r="L185" s="13"/>
    </row>
    <row r="186" spans="1:12" x14ac:dyDescent="0.35">
      <c r="A186" s="13"/>
      <c r="B186" s="13"/>
      <c r="C186" s="13"/>
      <c r="D186" s="13"/>
      <c r="E186" s="13"/>
      <c r="F186" s="13"/>
      <c r="G186" s="13"/>
      <c r="H186" s="13"/>
      <c r="I186" s="13"/>
      <c r="J186" s="13"/>
      <c r="K186" s="13"/>
      <c r="L186" s="13"/>
    </row>
    <row r="187" spans="1:12" x14ac:dyDescent="0.35">
      <c r="A187" s="13"/>
      <c r="B187" s="13"/>
      <c r="C187" s="13"/>
      <c r="D187" s="13"/>
      <c r="E187" s="13"/>
      <c r="F187" s="13"/>
      <c r="G187" s="13"/>
      <c r="H187" s="13"/>
      <c r="I187" s="13"/>
      <c r="J187" s="13"/>
      <c r="K187" s="13"/>
      <c r="L187" s="13"/>
    </row>
    <row r="188" spans="1:12" x14ac:dyDescent="0.35">
      <c r="A188" s="13"/>
      <c r="B188" s="13"/>
      <c r="C188" s="13"/>
      <c r="D188" s="13"/>
      <c r="E188" s="13"/>
      <c r="F188" s="13"/>
      <c r="G188" s="13"/>
      <c r="H188" s="13"/>
      <c r="I188" s="13"/>
      <c r="J188" s="13"/>
      <c r="K188" s="13"/>
      <c r="L188" s="13"/>
    </row>
    <row r="189" spans="1:12" x14ac:dyDescent="0.35">
      <c r="A189" s="13"/>
      <c r="B189" s="13"/>
      <c r="C189" s="13"/>
      <c r="D189" s="13"/>
      <c r="E189" s="13"/>
      <c r="F189" s="13"/>
      <c r="G189" s="13"/>
      <c r="H189" s="13"/>
      <c r="I189" s="13"/>
      <c r="J189" s="13"/>
      <c r="K189" s="13"/>
      <c r="L189" s="13"/>
    </row>
    <row r="190" spans="1:12" x14ac:dyDescent="0.35">
      <c r="A190" s="13"/>
      <c r="B190" s="13"/>
      <c r="C190" s="13"/>
      <c r="D190" s="13"/>
      <c r="E190" s="13"/>
      <c r="F190" s="13"/>
      <c r="G190" s="13"/>
      <c r="H190" s="13"/>
      <c r="I190" s="13"/>
      <c r="J190" s="13"/>
      <c r="K190" s="13"/>
      <c r="L190" s="13"/>
    </row>
    <row r="191" spans="1:12" x14ac:dyDescent="0.35">
      <c r="A191" s="13"/>
      <c r="B191" s="13"/>
      <c r="C191" s="13"/>
      <c r="D191" s="13"/>
      <c r="E191" s="13"/>
      <c r="F191" s="13"/>
      <c r="G191" s="13"/>
      <c r="H191" s="13"/>
      <c r="I191" s="13"/>
      <c r="J191" s="13"/>
      <c r="K191" s="13"/>
      <c r="L191" s="13"/>
    </row>
    <row r="192" spans="1:12" x14ac:dyDescent="0.35">
      <c r="A192" s="13"/>
      <c r="B192" s="13"/>
      <c r="C192" s="13"/>
      <c r="D192" s="13"/>
      <c r="E192" s="13"/>
      <c r="F192" s="13"/>
      <c r="G192" s="13"/>
      <c r="H192" s="13"/>
      <c r="I192" s="13"/>
      <c r="J192" s="13"/>
      <c r="K192" s="13"/>
      <c r="L192" s="13"/>
    </row>
    <row r="193" spans="1:12" x14ac:dyDescent="0.35">
      <c r="A193" s="13"/>
      <c r="B193" s="13"/>
      <c r="C193" s="13"/>
      <c r="D193" s="13"/>
      <c r="E193" s="13"/>
      <c r="F193" s="13"/>
      <c r="G193" s="13"/>
      <c r="H193" s="13"/>
      <c r="I193" s="13"/>
      <c r="J193" s="13"/>
      <c r="K193" s="13"/>
      <c r="L193" s="13"/>
    </row>
    <row r="194" spans="1:12" x14ac:dyDescent="0.35">
      <c r="A194" s="13"/>
      <c r="B194" s="13"/>
      <c r="C194" s="13"/>
      <c r="D194" s="13"/>
      <c r="E194" s="13"/>
      <c r="F194" s="13"/>
      <c r="G194" s="13"/>
      <c r="H194" s="13"/>
      <c r="I194" s="13"/>
      <c r="J194" s="13"/>
      <c r="K194" s="13"/>
      <c r="L194" s="13"/>
    </row>
    <row r="195" spans="1:12" x14ac:dyDescent="0.35">
      <c r="A195" s="13"/>
      <c r="B195" s="13"/>
      <c r="C195" s="13"/>
      <c r="D195" s="13"/>
      <c r="E195" s="13"/>
      <c r="F195" s="13"/>
      <c r="G195" s="13"/>
      <c r="H195" s="13"/>
      <c r="I195" s="13"/>
      <c r="J195" s="13"/>
      <c r="K195" s="13"/>
      <c r="L195" s="13"/>
    </row>
    <row r="196" spans="1:12" x14ac:dyDescent="0.35">
      <c r="A196" s="13"/>
      <c r="B196" s="13"/>
      <c r="C196" s="13"/>
      <c r="D196" s="13"/>
      <c r="E196" s="13"/>
      <c r="F196" s="13"/>
      <c r="G196" s="13"/>
      <c r="H196" s="13"/>
      <c r="I196" s="13"/>
      <c r="J196" s="13"/>
      <c r="K196" s="13"/>
      <c r="L196" s="13"/>
    </row>
    <row r="197" spans="1:12" x14ac:dyDescent="0.35">
      <c r="A197" s="13"/>
      <c r="B197" s="13"/>
      <c r="C197" s="13"/>
      <c r="D197" s="13"/>
      <c r="E197" s="13"/>
      <c r="F197" s="13"/>
      <c r="G197" s="13"/>
      <c r="H197" s="13"/>
      <c r="I197" s="13"/>
      <c r="J197" s="13"/>
      <c r="K197" s="13"/>
      <c r="L197" s="13"/>
    </row>
    <row r="198" spans="1:12" x14ac:dyDescent="0.35">
      <c r="A198" s="13"/>
      <c r="B198" s="13"/>
      <c r="C198" s="13"/>
      <c r="D198" s="13"/>
      <c r="E198" s="13"/>
      <c r="F198" s="13"/>
      <c r="G198" s="13"/>
      <c r="H198" s="13"/>
      <c r="I198" s="13"/>
      <c r="J198" s="13"/>
      <c r="K198" s="13"/>
      <c r="L198" s="13"/>
    </row>
    <row r="199" spans="1:12" x14ac:dyDescent="0.35">
      <c r="A199" s="13"/>
      <c r="B199" s="13"/>
      <c r="C199" s="13"/>
      <c r="D199" s="13"/>
      <c r="E199" s="13"/>
      <c r="F199" s="13"/>
      <c r="G199" s="13"/>
      <c r="H199" s="13"/>
      <c r="I199" s="13"/>
      <c r="J199" s="13"/>
      <c r="K199" s="13"/>
      <c r="L199" s="13"/>
    </row>
    <row r="200" spans="1:12" x14ac:dyDescent="0.35">
      <c r="A200" s="13"/>
      <c r="B200" s="13"/>
      <c r="C200" s="13"/>
      <c r="D200" s="13"/>
      <c r="E200" s="13"/>
      <c r="F200" s="13"/>
      <c r="G200" s="13"/>
      <c r="H200" s="13"/>
      <c r="I200" s="13"/>
      <c r="J200" s="13"/>
      <c r="K200" s="13"/>
      <c r="L200" s="13"/>
    </row>
    <row r="201" spans="1:12" x14ac:dyDescent="0.35">
      <c r="A201" s="13"/>
      <c r="B201" s="13"/>
      <c r="C201" s="13"/>
      <c r="D201" s="13"/>
      <c r="E201" s="13"/>
      <c r="F201" s="13"/>
      <c r="G201" s="13"/>
      <c r="H201" s="13"/>
      <c r="I201" s="13"/>
      <c r="J201" s="13"/>
      <c r="K201" s="13"/>
      <c r="L201" s="13"/>
    </row>
    <row r="202" spans="1:12" x14ac:dyDescent="0.35">
      <c r="A202" s="13"/>
      <c r="B202" s="13"/>
      <c r="C202" s="13"/>
      <c r="D202" s="13"/>
      <c r="E202" s="13"/>
      <c r="F202" s="13"/>
      <c r="G202" s="13"/>
      <c r="H202" s="13"/>
      <c r="I202" s="13"/>
      <c r="J202" s="13"/>
      <c r="K202" s="13"/>
      <c r="L202" s="13"/>
    </row>
    <row r="203" spans="1:12" x14ac:dyDescent="0.35">
      <c r="A203" s="13"/>
      <c r="B203" s="13"/>
      <c r="C203" s="13"/>
      <c r="D203" s="13"/>
      <c r="E203" s="13"/>
      <c r="F203" s="13"/>
      <c r="G203" s="13"/>
      <c r="H203" s="13"/>
      <c r="I203" s="13"/>
      <c r="J203" s="13"/>
      <c r="K203" s="13"/>
      <c r="L203" s="13"/>
    </row>
    <row r="204" spans="1:12" x14ac:dyDescent="0.35">
      <c r="A204" s="13"/>
      <c r="B204" s="13"/>
      <c r="C204" s="13"/>
      <c r="D204" s="13"/>
      <c r="E204" s="13"/>
      <c r="F204" s="13"/>
      <c r="G204" s="13"/>
      <c r="H204" s="13"/>
      <c r="I204" s="13"/>
      <c r="J204" s="13"/>
      <c r="K204" s="13"/>
      <c r="L204" s="13"/>
    </row>
    <row r="205" spans="1:12" x14ac:dyDescent="0.35">
      <c r="A205" s="13"/>
      <c r="B205" s="13"/>
      <c r="C205" s="13"/>
      <c r="D205" s="13"/>
      <c r="E205" s="13"/>
      <c r="F205" s="13"/>
      <c r="G205" s="13"/>
      <c r="H205" s="13"/>
      <c r="I205" s="13"/>
      <c r="J205" s="13"/>
      <c r="K205" s="13"/>
      <c r="L205" s="13"/>
    </row>
    <row r="206" spans="1:12" x14ac:dyDescent="0.35">
      <c r="A206" s="13"/>
      <c r="B206" s="13"/>
      <c r="C206" s="13"/>
      <c r="D206" s="13"/>
      <c r="E206" s="13"/>
      <c r="F206" s="13"/>
      <c r="G206" s="13"/>
      <c r="H206" s="13"/>
      <c r="I206" s="13"/>
      <c r="J206" s="13"/>
      <c r="K206" s="13"/>
      <c r="L206" s="13"/>
    </row>
    <row r="207" spans="1:12" x14ac:dyDescent="0.35">
      <c r="A207" s="13"/>
      <c r="B207" s="13"/>
      <c r="C207" s="13"/>
      <c r="D207" s="13"/>
      <c r="E207" s="13"/>
      <c r="F207" s="13"/>
      <c r="G207" s="13"/>
      <c r="H207" s="13"/>
      <c r="I207" s="13"/>
      <c r="J207" s="13"/>
      <c r="K207" s="13"/>
      <c r="L207" s="13"/>
    </row>
    <row r="208" spans="1:12" x14ac:dyDescent="0.35">
      <c r="A208" s="13"/>
      <c r="B208" s="13"/>
      <c r="C208" s="13"/>
      <c r="D208" s="13"/>
      <c r="E208" s="13"/>
      <c r="F208" s="13"/>
      <c r="G208" s="13"/>
      <c r="H208" s="13"/>
      <c r="I208" s="13"/>
      <c r="J208" s="13"/>
      <c r="K208" s="13"/>
      <c r="L208" s="13"/>
    </row>
    <row r="209" spans="1:12" x14ac:dyDescent="0.35">
      <c r="A209" s="13"/>
      <c r="B209" s="13"/>
      <c r="C209" s="13"/>
      <c r="D209" s="13"/>
      <c r="E209" s="13"/>
      <c r="F209" s="13"/>
      <c r="G209" s="13"/>
      <c r="H209" s="13"/>
      <c r="I209" s="13"/>
      <c r="J209" s="13"/>
      <c r="K209" s="13"/>
      <c r="L209" s="13"/>
    </row>
    <row r="210" spans="1:12" x14ac:dyDescent="0.35">
      <c r="A210" s="13"/>
      <c r="B210" s="13"/>
      <c r="C210" s="13"/>
      <c r="D210" s="13"/>
      <c r="E210" s="13"/>
      <c r="F210" s="13"/>
      <c r="G210" s="13"/>
      <c r="H210" s="13"/>
      <c r="I210" s="13"/>
      <c r="J210" s="13"/>
      <c r="K210" s="13"/>
      <c r="L210" s="13"/>
    </row>
    <row r="211" spans="1:12" x14ac:dyDescent="0.35">
      <c r="A211" s="13"/>
      <c r="B211" s="13"/>
      <c r="C211" s="13"/>
      <c r="D211" s="13"/>
      <c r="E211" s="13"/>
      <c r="F211" s="13"/>
      <c r="G211" s="13"/>
      <c r="H211" s="13"/>
      <c r="I211" s="13"/>
      <c r="J211" s="13"/>
      <c r="K211" s="13"/>
      <c r="L211" s="13"/>
    </row>
    <row r="212" spans="1:12" x14ac:dyDescent="0.35">
      <c r="A212" s="13"/>
      <c r="B212" s="13"/>
      <c r="C212" s="13"/>
      <c r="D212" s="13"/>
      <c r="E212" s="13"/>
      <c r="F212" s="13"/>
      <c r="G212" s="13"/>
      <c r="H212" s="13"/>
      <c r="I212" s="13"/>
      <c r="J212" s="13"/>
      <c r="K212" s="13"/>
      <c r="L212" s="13"/>
    </row>
    <row r="213" spans="1:12" x14ac:dyDescent="0.35">
      <c r="A213" s="13"/>
      <c r="B213" s="13"/>
      <c r="C213" s="13"/>
      <c r="D213" s="13"/>
      <c r="E213" s="13"/>
      <c r="F213" s="13"/>
      <c r="G213" s="13"/>
      <c r="H213" s="13"/>
      <c r="I213" s="13"/>
      <c r="J213" s="13"/>
      <c r="K213" s="13"/>
      <c r="L213" s="13"/>
    </row>
    <row r="214" spans="1:12" x14ac:dyDescent="0.35">
      <c r="A214" s="13"/>
      <c r="B214" s="13"/>
      <c r="C214" s="13"/>
      <c r="D214" s="13"/>
      <c r="E214" s="13"/>
      <c r="F214" s="13"/>
      <c r="G214" s="13"/>
      <c r="H214" s="13"/>
      <c r="I214" s="13"/>
      <c r="J214" s="13"/>
      <c r="K214" s="13"/>
      <c r="L214" s="13"/>
    </row>
    <row r="215" spans="1:12" x14ac:dyDescent="0.35">
      <c r="A215" s="13"/>
      <c r="B215" s="13"/>
      <c r="C215" s="13"/>
      <c r="D215" s="13"/>
      <c r="E215" s="13"/>
      <c r="F215" s="13"/>
      <c r="G215" s="13"/>
      <c r="H215" s="13"/>
      <c r="I215" s="13"/>
      <c r="J215" s="13"/>
      <c r="K215" s="13"/>
      <c r="L215" s="13"/>
    </row>
    <row r="216" spans="1:12" x14ac:dyDescent="0.35">
      <c r="A216" s="13"/>
      <c r="B216" s="13"/>
      <c r="C216" s="13"/>
      <c r="D216" s="13"/>
      <c r="E216" s="13"/>
      <c r="F216" s="13"/>
      <c r="G216" s="13"/>
      <c r="H216" s="13"/>
      <c r="I216" s="13"/>
      <c r="J216" s="13"/>
      <c r="K216" s="13"/>
      <c r="L216" s="13"/>
    </row>
    <row r="217" spans="1:12" x14ac:dyDescent="0.35">
      <c r="A217" s="13"/>
      <c r="B217" s="13"/>
      <c r="C217" s="13"/>
      <c r="D217" s="13"/>
      <c r="E217" s="13"/>
      <c r="F217" s="13"/>
      <c r="G217" s="13"/>
      <c r="H217" s="13"/>
      <c r="I217" s="13"/>
      <c r="J217" s="13"/>
      <c r="K217" s="13"/>
      <c r="L217" s="13"/>
    </row>
    <row r="218" spans="1:12" x14ac:dyDescent="0.35">
      <c r="A218" s="13"/>
      <c r="B218" s="13"/>
      <c r="C218" s="13"/>
      <c r="D218" s="13"/>
      <c r="E218" s="13"/>
      <c r="F218" s="13"/>
      <c r="G218" s="13"/>
      <c r="H218" s="13"/>
      <c r="I218" s="13"/>
      <c r="J218" s="13"/>
      <c r="K218" s="13"/>
      <c r="L218" s="13"/>
    </row>
    <row r="219" spans="1:12" x14ac:dyDescent="0.35">
      <c r="A219" s="13"/>
      <c r="B219" s="13"/>
      <c r="C219" s="13"/>
      <c r="D219" s="13"/>
      <c r="E219" s="13"/>
      <c r="F219" s="13"/>
      <c r="G219" s="13"/>
      <c r="H219" s="13"/>
      <c r="I219" s="13"/>
      <c r="J219" s="13"/>
      <c r="K219" s="13"/>
      <c r="L219" s="13"/>
    </row>
    <row r="220" spans="1:12" x14ac:dyDescent="0.35">
      <c r="A220" s="13"/>
      <c r="B220" s="13"/>
      <c r="C220" s="13"/>
      <c r="D220" s="13"/>
      <c r="E220" s="13"/>
      <c r="F220" s="13"/>
      <c r="G220" s="13"/>
      <c r="H220" s="13"/>
      <c r="I220" s="13"/>
      <c r="J220" s="13"/>
      <c r="K220" s="13"/>
      <c r="L220" s="13"/>
    </row>
    <row r="221" spans="1:12" x14ac:dyDescent="0.35">
      <c r="A221" s="13"/>
      <c r="B221" s="13"/>
      <c r="C221" s="13"/>
      <c r="D221" s="13"/>
      <c r="E221" s="13"/>
      <c r="F221" s="13"/>
      <c r="G221" s="13"/>
      <c r="H221" s="13"/>
      <c r="I221" s="13"/>
      <c r="J221" s="13"/>
      <c r="K221" s="13"/>
      <c r="L221" s="13"/>
    </row>
    <row r="222" spans="1:12" x14ac:dyDescent="0.35">
      <c r="A222" s="13"/>
      <c r="B222" s="13"/>
      <c r="C222" s="13"/>
      <c r="D222" s="13"/>
      <c r="E222" s="13"/>
      <c r="F222" s="13"/>
      <c r="G222" s="13"/>
      <c r="H222" s="13"/>
      <c r="I222" s="13"/>
      <c r="J222" s="13"/>
      <c r="K222" s="13"/>
      <c r="L222" s="13"/>
    </row>
    <row r="223" spans="1:12" x14ac:dyDescent="0.35">
      <c r="A223" s="13"/>
      <c r="B223" s="13"/>
      <c r="C223" s="13"/>
      <c r="D223" s="13"/>
      <c r="E223" s="13"/>
      <c r="F223" s="13"/>
      <c r="G223" s="13"/>
      <c r="H223" s="13"/>
      <c r="I223" s="13"/>
      <c r="J223" s="13"/>
      <c r="K223" s="13"/>
      <c r="L223" s="13"/>
    </row>
    <row r="224" spans="1:12" x14ac:dyDescent="0.35">
      <c r="A224" s="13"/>
      <c r="B224" s="13"/>
      <c r="C224" s="13"/>
      <c r="D224" s="13"/>
      <c r="E224" s="13"/>
      <c r="F224" s="13"/>
      <c r="G224" s="13"/>
      <c r="H224" s="13"/>
      <c r="I224" s="13"/>
      <c r="J224" s="13"/>
      <c r="K224" s="13"/>
      <c r="L224" s="13"/>
    </row>
    <row r="225" spans="1:12" x14ac:dyDescent="0.35">
      <c r="A225" s="13"/>
      <c r="B225" s="13"/>
      <c r="C225" s="13"/>
      <c r="D225" s="13"/>
      <c r="E225" s="13"/>
      <c r="F225" s="13"/>
      <c r="G225" s="13"/>
      <c r="H225" s="13"/>
      <c r="I225" s="13"/>
      <c r="J225" s="13"/>
      <c r="K225" s="13"/>
      <c r="L225" s="13"/>
    </row>
    <row r="226" spans="1:12" x14ac:dyDescent="0.35">
      <c r="A226" s="13"/>
      <c r="B226" s="13"/>
      <c r="C226" s="13"/>
      <c r="D226" s="13"/>
      <c r="E226" s="13"/>
      <c r="F226" s="13"/>
      <c r="G226" s="13"/>
      <c r="H226" s="13"/>
      <c r="I226" s="13"/>
      <c r="J226" s="13"/>
      <c r="K226" s="13"/>
      <c r="L226" s="13"/>
    </row>
    <row r="227" spans="1:12" x14ac:dyDescent="0.35">
      <c r="A227" s="13"/>
      <c r="B227" s="13"/>
      <c r="C227" s="13"/>
      <c r="D227" s="13"/>
      <c r="E227" s="13"/>
      <c r="F227" s="13"/>
      <c r="G227" s="13"/>
      <c r="H227" s="13"/>
      <c r="I227" s="13"/>
      <c r="J227" s="13"/>
      <c r="K227" s="13"/>
      <c r="L227" s="13"/>
    </row>
    <row r="228" spans="1:12" x14ac:dyDescent="0.35">
      <c r="A228" s="13"/>
      <c r="B228" s="13"/>
      <c r="C228" s="13"/>
      <c r="D228" s="13"/>
      <c r="E228" s="13"/>
      <c r="F228" s="13"/>
      <c r="G228" s="13"/>
      <c r="H228" s="13"/>
      <c r="I228" s="13"/>
      <c r="J228" s="13"/>
      <c r="K228" s="13"/>
      <c r="L228" s="13"/>
    </row>
    <row r="229" spans="1:12" x14ac:dyDescent="0.35">
      <c r="A229" s="13"/>
      <c r="B229" s="13"/>
      <c r="C229" s="13"/>
      <c r="D229" s="13"/>
      <c r="E229" s="13"/>
      <c r="F229" s="13"/>
      <c r="G229" s="13"/>
      <c r="H229" s="13"/>
      <c r="I229" s="13"/>
      <c r="J229" s="13"/>
      <c r="K229" s="13"/>
      <c r="L229" s="13"/>
    </row>
    <row r="230" spans="1:12" x14ac:dyDescent="0.35">
      <c r="A230" s="13"/>
      <c r="B230" s="13"/>
      <c r="C230" s="13"/>
      <c r="D230" s="13"/>
      <c r="E230" s="13"/>
      <c r="F230" s="13"/>
      <c r="G230" s="13"/>
      <c r="H230" s="13"/>
      <c r="I230" s="13"/>
      <c r="J230" s="13"/>
      <c r="K230" s="13"/>
      <c r="L230" s="13"/>
    </row>
    <row r="231" spans="1:12" x14ac:dyDescent="0.35">
      <c r="A231" s="13"/>
      <c r="B231" s="13"/>
      <c r="C231" s="13"/>
      <c r="D231" s="13"/>
      <c r="E231" s="13"/>
      <c r="F231" s="13"/>
      <c r="G231" s="13"/>
      <c r="H231" s="13"/>
      <c r="I231" s="13"/>
      <c r="J231" s="13"/>
      <c r="K231" s="13"/>
      <c r="L231" s="13"/>
    </row>
    <row r="232" spans="1:12" x14ac:dyDescent="0.35">
      <c r="A232" s="13"/>
      <c r="B232" s="13"/>
      <c r="C232" s="13"/>
      <c r="D232" s="13"/>
      <c r="E232" s="13"/>
      <c r="F232" s="13"/>
      <c r="G232" s="13"/>
      <c r="H232" s="13"/>
      <c r="I232" s="13"/>
      <c r="J232" s="13"/>
      <c r="K232" s="13"/>
      <c r="L232" s="13"/>
    </row>
    <row r="233" spans="1:12" x14ac:dyDescent="0.35">
      <c r="A233" s="13"/>
      <c r="B233" s="13"/>
      <c r="C233" s="13"/>
      <c r="D233" s="13"/>
      <c r="E233" s="13"/>
      <c r="F233" s="13"/>
      <c r="G233" s="13"/>
      <c r="H233" s="13"/>
      <c r="I233" s="13"/>
      <c r="J233" s="13"/>
      <c r="K233" s="13"/>
      <c r="L233" s="13"/>
    </row>
    <row r="234" spans="1:12" x14ac:dyDescent="0.35">
      <c r="A234" s="13"/>
      <c r="B234" s="13"/>
      <c r="C234" s="13"/>
      <c r="D234" s="13"/>
      <c r="E234" s="13"/>
      <c r="F234" s="13"/>
      <c r="G234" s="13"/>
      <c r="H234" s="13"/>
      <c r="I234" s="13"/>
      <c r="J234" s="13"/>
      <c r="K234" s="13"/>
      <c r="L234" s="13"/>
    </row>
    <row r="235" spans="1:12" x14ac:dyDescent="0.35">
      <c r="A235" s="13"/>
      <c r="B235" s="13"/>
      <c r="C235" s="13"/>
      <c r="D235" s="13"/>
      <c r="E235" s="13"/>
      <c r="F235" s="13"/>
      <c r="G235" s="13"/>
      <c r="H235" s="13"/>
      <c r="I235" s="13"/>
      <c r="J235" s="13"/>
      <c r="K235" s="13"/>
      <c r="L235" s="13"/>
    </row>
    <row r="236" spans="1:12" x14ac:dyDescent="0.35">
      <c r="A236" s="13"/>
      <c r="B236" s="13"/>
      <c r="C236" s="13"/>
      <c r="D236" s="13"/>
      <c r="E236" s="13"/>
      <c r="F236" s="13"/>
      <c r="G236" s="13"/>
      <c r="H236" s="13"/>
      <c r="I236" s="13"/>
      <c r="J236" s="13"/>
      <c r="K236" s="13"/>
      <c r="L236" s="13"/>
    </row>
    <row r="237" spans="1:12" x14ac:dyDescent="0.35">
      <c r="A237" s="13"/>
      <c r="B237" s="13"/>
      <c r="C237" s="13"/>
      <c r="D237" s="13"/>
      <c r="E237" s="13"/>
      <c r="F237" s="13"/>
      <c r="G237" s="13"/>
      <c r="H237" s="13"/>
      <c r="I237" s="13"/>
      <c r="J237" s="13"/>
      <c r="K237" s="13"/>
      <c r="L237" s="13"/>
    </row>
    <row r="238" spans="1:12" x14ac:dyDescent="0.35">
      <c r="A238" s="13"/>
      <c r="B238" s="13"/>
      <c r="C238" s="13"/>
      <c r="D238" s="13"/>
      <c r="E238" s="13"/>
      <c r="F238" s="13"/>
      <c r="G238" s="13"/>
      <c r="H238" s="13"/>
      <c r="I238" s="13"/>
      <c r="J238" s="13"/>
      <c r="K238" s="13"/>
      <c r="L238" s="13"/>
    </row>
    <row r="239" spans="1:12" x14ac:dyDescent="0.35">
      <c r="A239" s="13"/>
      <c r="B239" s="13"/>
      <c r="C239" s="13"/>
      <c r="D239" s="13"/>
      <c r="E239" s="13"/>
      <c r="F239" s="13"/>
      <c r="G239" s="13"/>
      <c r="H239" s="13"/>
      <c r="I239" s="13"/>
      <c r="J239" s="13"/>
      <c r="K239" s="13"/>
      <c r="L239" s="13"/>
    </row>
    <row r="240" spans="1:12" x14ac:dyDescent="0.35">
      <c r="A240" s="13"/>
      <c r="B240" s="13"/>
      <c r="C240" s="13"/>
      <c r="D240" s="13"/>
      <c r="E240" s="13"/>
      <c r="F240" s="13"/>
      <c r="G240" s="13"/>
      <c r="H240" s="13"/>
      <c r="I240" s="13"/>
      <c r="J240" s="13"/>
      <c r="K240" s="13"/>
      <c r="L240" s="13"/>
    </row>
    <row r="241" spans="1:12" x14ac:dyDescent="0.35">
      <c r="A241" s="13"/>
      <c r="B241" s="13"/>
      <c r="C241" s="13"/>
      <c r="D241" s="13"/>
      <c r="E241" s="13"/>
      <c r="F241" s="13"/>
      <c r="G241" s="13"/>
      <c r="H241" s="13"/>
      <c r="I241" s="13"/>
      <c r="J241" s="13"/>
      <c r="K241" s="13"/>
      <c r="L241" s="13"/>
    </row>
    <row r="242" spans="1:12" x14ac:dyDescent="0.35">
      <c r="A242" s="13"/>
      <c r="B242" s="13"/>
      <c r="C242" s="13"/>
      <c r="D242" s="13"/>
      <c r="E242" s="13"/>
      <c r="F242" s="13"/>
      <c r="G242" s="13"/>
      <c r="H242" s="13"/>
      <c r="I242" s="13"/>
      <c r="J242" s="13"/>
      <c r="K242" s="13"/>
      <c r="L242" s="13"/>
    </row>
    <row r="243" spans="1:12" x14ac:dyDescent="0.35">
      <c r="A243" s="13"/>
      <c r="B243" s="13"/>
      <c r="C243" s="13"/>
      <c r="D243" s="13"/>
      <c r="E243" s="13"/>
      <c r="F243" s="13"/>
      <c r="G243" s="13"/>
      <c r="H243" s="13"/>
      <c r="I243" s="13"/>
      <c r="J243" s="13"/>
      <c r="K243" s="13"/>
      <c r="L243" s="13"/>
    </row>
    <row r="244" spans="1:12" x14ac:dyDescent="0.35">
      <c r="A244" s="13"/>
      <c r="B244" s="13"/>
      <c r="C244" s="13"/>
      <c r="D244" s="13"/>
      <c r="E244" s="13"/>
      <c r="F244" s="13"/>
      <c r="G244" s="13"/>
      <c r="H244" s="13"/>
      <c r="I244" s="13"/>
      <c r="J244" s="13"/>
      <c r="K244" s="13"/>
      <c r="L244" s="13"/>
    </row>
    <row r="245" spans="1:12" x14ac:dyDescent="0.35">
      <c r="A245" s="13"/>
      <c r="B245" s="13"/>
      <c r="C245" s="13"/>
      <c r="D245" s="13"/>
      <c r="E245" s="13"/>
      <c r="F245" s="13"/>
      <c r="G245" s="13"/>
      <c r="H245" s="13"/>
      <c r="I245" s="13"/>
      <c r="J245" s="13"/>
      <c r="K245" s="13"/>
      <c r="L245" s="13"/>
    </row>
    <row r="246" spans="1:12" x14ac:dyDescent="0.35">
      <c r="A246" s="13"/>
      <c r="B246" s="13"/>
      <c r="C246" s="13"/>
      <c r="D246" s="13"/>
      <c r="E246" s="13"/>
      <c r="F246" s="13"/>
      <c r="G246" s="13"/>
      <c r="H246" s="13"/>
      <c r="I246" s="13"/>
      <c r="J246" s="13"/>
      <c r="K246" s="13"/>
      <c r="L246" s="13"/>
    </row>
    <row r="247" spans="1:12" x14ac:dyDescent="0.35">
      <c r="A247" s="13"/>
      <c r="B247" s="13"/>
      <c r="C247" s="13"/>
      <c r="D247" s="13"/>
      <c r="E247" s="13"/>
      <c r="F247" s="13"/>
      <c r="G247" s="13"/>
      <c r="H247" s="13"/>
      <c r="I247" s="13"/>
      <c r="J247" s="13"/>
      <c r="K247" s="13"/>
      <c r="L247" s="13"/>
    </row>
    <row r="248" spans="1:12" x14ac:dyDescent="0.35">
      <c r="A248" s="13"/>
      <c r="B248" s="13"/>
      <c r="C248" s="13"/>
      <c r="D248" s="13"/>
      <c r="E248" s="13"/>
      <c r="F248" s="13"/>
      <c r="G248" s="13"/>
      <c r="H248" s="13"/>
      <c r="I248" s="13"/>
      <c r="J248" s="13"/>
      <c r="K248" s="13"/>
      <c r="L248" s="13"/>
    </row>
    <row r="249" spans="1:12" x14ac:dyDescent="0.35">
      <c r="A249" s="13"/>
      <c r="B249" s="13"/>
      <c r="C249" s="13"/>
      <c r="D249" s="13"/>
      <c r="E249" s="13"/>
      <c r="F249" s="13"/>
      <c r="G249" s="13"/>
      <c r="H249" s="13"/>
      <c r="I249" s="13"/>
      <c r="J249" s="13"/>
      <c r="K249" s="13"/>
      <c r="L249" s="13"/>
    </row>
    <row r="250" spans="1:12" x14ac:dyDescent="0.35">
      <c r="A250" s="13"/>
      <c r="B250" s="13"/>
      <c r="C250" s="13"/>
      <c r="D250" s="13"/>
      <c r="E250" s="13"/>
      <c r="F250" s="13"/>
      <c r="G250" s="13"/>
      <c r="H250" s="13"/>
      <c r="I250" s="13"/>
      <c r="J250" s="13"/>
      <c r="K250" s="13"/>
      <c r="L250" s="13"/>
    </row>
    <row r="251" spans="1:12" x14ac:dyDescent="0.35">
      <c r="A251" s="13"/>
      <c r="B251" s="13"/>
      <c r="C251" s="13"/>
      <c r="D251" s="13"/>
      <c r="E251" s="13"/>
      <c r="F251" s="13"/>
      <c r="G251" s="13"/>
      <c r="H251" s="13"/>
      <c r="I251" s="13"/>
      <c r="J251" s="13"/>
      <c r="K251" s="13"/>
      <c r="L251" s="13"/>
    </row>
    <row r="252" spans="1:12" x14ac:dyDescent="0.35">
      <c r="A252" s="13"/>
      <c r="B252" s="13"/>
      <c r="C252" s="13"/>
      <c r="D252" s="13"/>
      <c r="E252" s="13"/>
      <c r="F252" s="13"/>
      <c r="G252" s="13"/>
      <c r="H252" s="13"/>
      <c r="I252" s="13"/>
      <c r="J252" s="13"/>
      <c r="K252" s="13"/>
      <c r="L252" s="13"/>
    </row>
    <row r="253" spans="1:12" x14ac:dyDescent="0.35">
      <c r="A253" s="13"/>
      <c r="B253" s="13"/>
      <c r="C253" s="13"/>
      <c r="D253" s="13"/>
      <c r="E253" s="13"/>
      <c r="F253" s="13"/>
      <c r="G253" s="13"/>
      <c r="H253" s="13"/>
      <c r="I253" s="13"/>
      <c r="J253" s="13"/>
      <c r="K253" s="13"/>
      <c r="L253" s="13"/>
    </row>
    <row r="254" spans="1:12" x14ac:dyDescent="0.35">
      <c r="A254" s="13"/>
      <c r="B254" s="13"/>
      <c r="C254" s="13"/>
      <c r="D254" s="13"/>
      <c r="E254" s="13"/>
      <c r="F254" s="13"/>
      <c r="G254" s="13"/>
      <c r="H254" s="13"/>
      <c r="I254" s="13"/>
      <c r="J254" s="13"/>
      <c r="K254" s="13"/>
      <c r="L254" s="13"/>
    </row>
    <row r="255" spans="1:12" x14ac:dyDescent="0.35">
      <c r="A255" s="13"/>
      <c r="B255" s="13"/>
      <c r="C255" s="13"/>
      <c r="D255" s="13"/>
      <c r="E255" s="13"/>
      <c r="F255" s="13"/>
      <c r="G255" s="13"/>
      <c r="H255" s="13"/>
      <c r="I255" s="13"/>
      <c r="J255" s="13"/>
      <c r="K255" s="13"/>
      <c r="L255" s="13"/>
    </row>
    <row r="256" spans="1:12" x14ac:dyDescent="0.35">
      <c r="A256" s="13"/>
      <c r="B256" s="13"/>
      <c r="C256" s="13"/>
      <c r="D256" s="13"/>
      <c r="E256" s="13"/>
      <c r="F256" s="13"/>
      <c r="G256" s="13"/>
      <c r="H256" s="13"/>
      <c r="I256" s="13"/>
      <c r="J256" s="13"/>
      <c r="K256" s="13"/>
      <c r="L256" s="13"/>
    </row>
    <row r="257" spans="1:12" x14ac:dyDescent="0.35">
      <c r="A257" s="13"/>
      <c r="B257" s="13"/>
      <c r="C257" s="13"/>
      <c r="D257" s="13"/>
      <c r="E257" s="13"/>
      <c r="F257" s="13"/>
      <c r="G257" s="13"/>
      <c r="H257" s="13"/>
      <c r="I257" s="13"/>
      <c r="J257" s="13"/>
      <c r="K257" s="13"/>
      <c r="L257" s="13"/>
    </row>
    <row r="258" spans="1:12" x14ac:dyDescent="0.35">
      <c r="A258" s="13"/>
      <c r="B258" s="13"/>
      <c r="C258" s="13"/>
      <c r="D258" s="13"/>
      <c r="E258" s="13"/>
      <c r="F258" s="13"/>
      <c r="G258" s="13"/>
      <c r="H258" s="13"/>
      <c r="I258" s="13"/>
      <c r="J258" s="13"/>
      <c r="K258" s="13"/>
      <c r="L258" s="13"/>
    </row>
    <row r="259" spans="1:12" x14ac:dyDescent="0.35">
      <c r="A259" s="13"/>
      <c r="B259" s="13"/>
      <c r="C259" s="13"/>
      <c r="D259" s="13"/>
      <c r="E259" s="13"/>
      <c r="F259" s="13"/>
      <c r="G259" s="13"/>
      <c r="H259" s="13"/>
      <c r="I259" s="13"/>
      <c r="J259" s="13"/>
      <c r="K259" s="13"/>
      <c r="L259" s="13"/>
    </row>
    <row r="260" spans="1:12" x14ac:dyDescent="0.35">
      <c r="A260" s="13"/>
      <c r="B260" s="13"/>
      <c r="C260" s="13"/>
      <c r="D260" s="13"/>
      <c r="E260" s="13"/>
      <c r="F260" s="13"/>
      <c r="G260" s="13"/>
      <c r="H260" s="13"/>
      <c r="I260" s="13"/>
      <c r="J260" s="13"/>
      <c r="K260" s="13"/>
      <c r="L260" s="13"/>
    </row>
    <row r="261" spans="1:12" x14ac:dyDescent="0.35">
      <c r="A261" s="13"/>
      <c r="B261" s="13"/>
      <c r="C261" s="13"/>
      <c r="D261" s="13"/>
      <c r="E261" s="13"/>
      <c r="F261" s="13"/>
      <c r="G261" s="13"/>
      <c r="H261" s="13"/>
      <c r="I261" s="13"/>
      <c r="J261" s="13"/>
      <c r="K261" s="13"/>
      <c r="L261" s="13"/>
    </row>
    <row r="262" spans="1:12" x14ac:dyDescent="0.35">
      <c r="A262" s="13"/>
      <c r="B262" s="13"/>
      <c r="C262" s="13"/>
      <c r="D262" s="13"/>
      <c r="E262" s="13"/>
      <c r="F262" s="13"/>
      <c r="G262" s="13"/>
      <c r="H262" s="13"/>
      <c r="I262" s="13"/>
      <c r="J262" s="13"/>
      <c r="K262" s="13"/>
      <c r="L262" s="13"/>
    </row>
    <row r="263" spans="1:12" x14ac:dyDescent="0.35">
      <c r="A263" s="13"/>
      <c r="B263" s="13"/>
      <c r="C263" s="13"/>
      <c r="D263" s="13"/>
      <c r="E263" s="13"/>
      <c r="F263" s="13"/>
      <c r="G263" s="13"/>
      <c r="H263" s="13"/>
      <c r="I263" s="13"/>
      <c r="J263" s="13"/>
      <c r="K263" s="13"/>
      <c r="L263" s="13"/>
    </row>
    <row r="264" spans="1:12" x14ac:dyDescent="0.35">
      <c r="A264" s="13"/>
      <c r="B264" s="13"/>
      <c r="C264" s="13"/>
      <c r="D264" s="13"/>
      <c r="E264" s="13"/>
      <c r="F264" s="13"/>
      <c r="G264" s="13"/>
      <c r="H264" s="13"/>
      <c r="I264" s="13"/>
      <c r="J264" s="13"/>
      <c r="K264" s="13"/>
      <c r="L264" s="13"/>
    </row>
    <row r="265" spans="1:12" x14ac:dyDescent="0.35">
      <c r="A265" s="13"/>
      <c r="B265" s="13"/>
      <c r="C265" s="13"/>
      <c r="D265" s="13"/>
      <c r="E265" s="13"/>
      <c r="F265" s="13"/>
      <c r="G265" s="13"/>
      <c r="H265" s="13"/>
      <c r="I265" s="13"/>
      <c r="J265" s="13"/>
      <c r="K265" s="13"/>
      <c r="L265" s="13"/>
    </row>
    <row r="266" spans="1:12" x14ac:dyDescent="0.35">
      <c r="A266" s="13"/>
      <c r="B266" s="13"/>
      <c r="C266" s="13"/>
      <c r="D266" s="13"/>
      <c r="E266" s="13"/>
      <c r="F266" s="13"/>
      <c r="G266" s="13"/>
      <c r="H266" s="13"/>
      <c r="I266" s="13"/>
      <c r="J266" s="13"/>
      <c r="K266" s="13"/>
      <c r="L266" s="13"/>
    </row>
    <row r="267" spans="1:12" x14ac:dyDescent="0.35">
      <c r="A267" s="13"/>
      <c r="B267" s="13"/>
      <c r="C267" s="13"/>
      <c r="D267" s="13"/>
      <c r="E267" s="13"/>
      <c r="F267" s="13"/>
      <c r="G267" s="13"/>
      <c r="H267" s="13"/>
      <c r="I267" s="13"/>
      <c r="J267" s="13"/>
      <c r="K267" s="13"/>
      <c r="L267" s="13"/>
    </row>
    <row r="268" spans="1:12" x14ac:dyDescent="0.35">
      <c r="A268" s="13"/>
      <c r="B268" s="13"/>
      <c r="C268" s="13"/>
      <c r="D268" s="13"/>
      <c r="E268" s="13"/>
      <c r="F268" s="13"/>
      <c r="G268" s="13"/>
      <c r="H268" s="13"/>
      <c r="I268" s="13"/>
      <c r="J268" s="13"/>
      <c r="K268" s="13"/>
      <c r="L268" s="13"/>
    </row>
    <row r="269" spans="1:12" x14ac:dyDescent="0.35">
      <c r="A269" s="13"/>
      <c r="B269" s="13"/>
      <c r="C269" s="13"/>
      <c r="D269" s="13"/>
      <c r="E269" s="13"/>
      <c r="F269" s="13"/>
      <c r="G269" s="13"/>
      <c r="H269" s="13"/>
      <c r="I269" s="13"/>
      <c r="J269" s="13"/>
      <c r="K269" s="13"/>
      <c r="L269" s="13"/>
    </row>
    <row r="270" spans="1:12" x14ac:dyDescent="0.35">
      <c r="A270" s="13"/>
      <c r="B270" s="13"/>
      <c r="C270" s="13"/>
      <c r="D270" s="13"/>
      <c r="E270" s="13"/>
      <c r="F270" s="13"/>
      <c r="G270" s="13"/>
      <c r="H270" s="13"/>
      <c r="I270" s="13"/>
      <c r="J270" s="13"/>
      <c r="K270" s="13"/>
      <c r="L270" s="13"/>
    </row>
    <row r="271" spans="1:12" x14ac:dyDescent="0.35">
      <c r="A271" s="13"/>
      <c r="B271" s="13"/>
      <c r="C271" s="13"/>
      <c r="D271" s="13"/>
      <c r="E271" s="13"/>
      <c r="F271" s="13"/>
      <c r="G271" s="13"/>
      <c r="H271" s="13"/>
      <c r="I271" s="13"/>
      <c r="J271" s="13"/>
      <c r="K271" s="13"/>
      <c r="L271" s="13"/>
    </row>
    <row r="272" spans="1:12" x14ac:dyDescent="0.35">
      <c r="A272" s="13"/>
      <c r="B272" s="13"/>
      <c r="C272" s="13"/>
      <c r="D272" s="13"/>
      <c r="E272" s="13"/>
      <c r="F272" s="13"/>
      <c r="G272" s="13"/>
      <c r="H272" s="13"/>
      <c r="I272" s="13"/>
      <c r="J272" s="13"/>
      <c r="K272" s="13"/>
      <c r="L272" s="13"/>
    </row>
    <row r="273" spans="1:12" x14ac:dyDescent="0.35">
      <c r="A273" s="13"/>
      <c r="B273" s="13"/>
      <c r="C273" s="13"/>
      <c r="D273" s="13"/>
      <c r="E273" s="13"/>
      <c r="F273" s="13"/>
      <c r="G273" s="13"/>
      <c r="H273" s="13"/>
      <c r="I273" s="13"/>
      <c r="J273" s="13"/>
      <c r="K273" s="13"/>
      <c r="L273" s="13"/>
    </row>
    <row r="274" spans="1:12" x14ac:dyDescent="0.35">
      <c r="A274" s="13"/>
      <c r="B274" s="13"/>
      <c r="C274" s="13"/>
      <c r="D274" s="13"/>
      <c r="E274" s="13"/>
      <c r="F274" s="13"/>
      <c r="G274" s="13"/>
      <c r="H274" s="13"/>
      <c r="I274" s="13"/>
      <c r="J274" s="13"/>
      <c r="K274" s="13"/>
      <c r="L274" s="13"/>
    </row>
    <row r="275" spans="1:12" x14ac:dyDescent="0.35">
      <c r="A275" s="13"/>
      <c r="B275" s="13"/>
      <c r="C275" s="13"/>
      <c r="D275" s="13"/>
      <c r="E275" s="13"/>
      <c r="F275" s="13"/>
      <c r="G275" s="13"/>
      <c r="H275" s="13"/>
      <c r="I275" s="13"/>
      <c r="J275" s="13"/>
      <c r="K275" s="13"/>
      <c r="L275" s="13"/>
    </row>
    <row r="276" spans="1:12" x14ac:dyDescent="0.35">
      <c r="A276" s="13"/>
      <c r="B276" s="13"/>
      <c r="C276" s="13"/>
      <c r="D276" s="13"/>
      <c r="E276" s="13"/>
      <c r="F276" s="13"/>
      <c r="G276" s="13"/>
      <c r="H276" s="13"/>
      <c r="I276" s="13"/>
      <c r="J276" s="13"/>
      <c r="K276" s="13"/>
      <c r="L276" s="13"/>
    </row>
    <row r="277" spans="1:12" x14ac:dyDescent="0.35">
      <c r="A277" s="13"/>
      <c r="B277" s="13"/>
      <c r="C277" s="13"/>
      <c r="D277" s="13"/>
      <c r="E277" s="13"/>
      <c r="F277" s="13"/>
      <c r="G277" s="13"/>
      <c r="H277" s="13"/>
      <c r="I277" s="13"/>
      <c r="J277" s="13"/>
      <c r="K277" s="13"/>
      <c r="L277" s="13"/>
    </row>
    <row r="278" spans="1:12" x14ac:dyDescent="0.35">
      <c r="A278" s="13"/>
      <c r="B278" s="13"/>
      <c r="C278" s="13"/>
      <c r="D278" s="13"/>
      <c r="E278" s="13"/>
      <c r="F278" s="13"/>
      <c r="G278" s="13"/>
      <c r="H278" s="13"/>
      <c r="I278" s="13"/>
      <c r="J278" s="13"/>
      <c r="K278" s="13"/>
      <c r="L278" s="13"/>
    </row>
    <row r="279" spans="1:12" x14ac:dyDescent="0.35">
      <c r="A279" s="13"/>
      <c r="B279" s="13"/>
      <c r="C279" s="13"/>
      <c r="D279" s="13"/>
      <c r="E279" s="13"/>
      <c r="F279" s="13"/>
      <c r="G279" s="13"/>
      <c r="H279" s="13"/>
      <c r="I279" s="13"/>
      <c r="J279" s="13"/>
      <c r="K279" s="13"/>
      <c r="L279" s="13"/>
    </row>
    <row r="280" spans="1:12" x14ac:dyDescent="0.35">
      <c r="A280" s="13"/>
      <c r="B280" s="13"/>
      <c r="C280" s="13"/>
      <c r="D280" s="13"/>
      <c r="E280" s="13"/>
      <c r="F280" s="13"/>
      <c r="G280" s="13"/>
      <c r="H280" s="13"/>
      <c r="I280" s="13"/>
      <c r="J280" s="13"/>
      <c r="K280" s="13"/>
      <c r="L280" s="13"/>
    </row>
    <row r="281" spans="1:12" x14ac:dyDescent="0.35">
      <c r="A281" s="13"/>
      <c r="B281" s="13"/>
      <c r="C281" s="13"/>
      <c r="D281" s="13"/>
      <c r="E281" s="13"/>
      <c r="F281" s="13"/>
      <c r="G281" s="13"/>
      <c r="H281" s="13"/>
      <c r="I281" s="13"/>
      <c r="J281" s="13"/>
      <c r="K281" s="13"/>
      <c r="L281" s="13"/>
    </row>
    <row r="282" spans="1:12" x14ac:dyDescent="0.35">
      <c r="A282" s="13"/>
      <c r="B282" s="13"/>
      <c r="C282" s="13"/>
      <c r="D282" s="13"/>
      <c r="E282" s="13"/>
      <c r="F282" s="13"/>
      <c r="G282" s="13"/>
      <c r="H282" s="13"/>
      <c r="I282" s="13"/>
      <c r="J282" s="13"/>
      <c r="K282" s="13"/>
      <c r="L282" s="13"/>
    </row>
    <row r="283" spans="1:12" x14ac:dyDescent="0.35">
      <c r="A283" s="13"/>
      <c r="B283" s="13"/>
      <c r="C283" s="13"/>
      <c r="D283" s="13"/>
      <c r="E283" s="13"/>
      <c r="F283" s="13"/>
      <c r="G283" s="13"/>
      <c r="H283" s="13"/>
      <c r="I283" s="13"/>
      <c r="J283" s="13"/>
      <c r="K283" s="13"/>
      <c r="L283" s="13"/>
    </row>
    <row r="284" spans="1:12" x14ac:dyDescent="0.35">
      <c r="A284" s="13"/>
      <c r="B284" s="13"/>
      <c r="C284" s="13"/>
      <c r="D284" s="13"/>
      <c r="E284" s="13"/>
      <c r="F284" s="13"/>
      <c r="G284" s="13"/>
      <c r="H284" s="13"/>
      <c r="I284" s="13"/>
      <c r="J284" s="13"/>
      <c r="K284" s="13"/>
      <c r="L284" s="13"/>
    </row>
    <row r="285" spans="1:12" x14ac:dyDescent="0.35">
      <c r="A285" s="13"/>
      <c r="B285" s="13"/>
      <c r="C285" s="13"/>
      <c r="D285" s="13"/>
      <c r="E285" s="13"/>
      <c r="F285" s="13"/>
      <c r="G285" s="13"/>
      <c r="H285" s="13"/>
      <c r="I285" s="13"/>
      <c r="J285" s="13"/>
      <c r="K285" s="13"/>
      <c r="L285" s="13"/>
    </row>
    <row r="286" spans="1:12" x14ac:dyDescent="0.35">
      <c r="A286" s="13"/>
      <c r="B286" s="13"/>
      <c r="C286" s="13"/>
      <c r="D286" s="13"/>
      <c r="E286" s="13"/>
      <c r="F286" s="13"/>
      <c r="G286" s="13"/>
      <c r="H286" s="13"/>
      <c r="I286" s="13"/>
      <c r="J286" s="13"/>
      <c r="K286" s="13"/>
      <c r="L286" s="13"/>
    </row>
    <row r="287" spans="1:12" x14ac:dyDescent="0.35">
      <c r="A287" s="13"/>
      <c r="B287" s="13"/>
      <c r="C287" s="13"/>
      <c r="D287" s="13"/>
      <c r="E287" s="13"/>
      <c r="F287" s="13"/>
      <c r="G287" s="13"/>
      <c r="H287" s="13"/>
      <c r="I287" s="13"/>
      <c r="J287" s="13"/>
      <c r="K287" s="13"/>
      <c r="L287" s="13"/>
    </row>
    <row r="288" spans="1:12" x14ac:dyDescent="0.35">
      <c r="A288" s="13"/>
      <c r="B288" s="13"/>
      <c r="C288" s="13"/>
      <c r="D288" s="13"/>
      <c r="E288" s="13"/>
      <c r="F288" s="13"/>
      <c r="G288" s="13"/>
      <c r="H288" s="13"/>
      <c r="I288" s="13"/>
      <c r="J288" s="13"/>
      <c r="K288" s="13"/>
      <c r="L288" s="13"/>
    </row>
    <row r="289" spans="1:12" x14ac:dyDescent="0.35">
      <c r="A289" s="13"/>
      <c r="B289" s="13"/>
      <c r="C289" s="13"/>
      <c r="D289" s="13"/>
      <c r="E289" s="13"/>
      <c r="F289" s="13"/>
      <c r="G289" s="13"/>
      <c r="H289" s="13"/>
      <c r="I289" s="13"/>
      <c r="J289" s="13"/>
      <c r="K289" s="13"/>
      <c r="L289" s="13"/>
    </row>
    <row r="290" spans="1:12" x14ac:dyDescent="0.35">
      <c r="A290" s="13"/>
      <c r="B290" s="13"/>
      <c r="C290" s="13"/>
      <c r="D290" s="13"/>
      <c r="E290" s="13"/>
      <c r="F290" s="13"/>
      <c r="G290" s="13"/>
      <c r="H290" s="13"/>
      <c r="I290" s="13"/>
      <c r="J290" s="13"/>
      <c r="K290" s="13"/>
      <c r="L290" s="13"/>
    </row>
    <row r="291" spans="1:12" x14ac:dyDescent="0.35">
      <c r="A291" s="13"/>
      <c r="B291" s="13"/>
      <c r="C291" s="13"/>
      <c r="D291" s="13"/>
      <c r="E291" s="13"/>
      <c r="F291" s="13"/>
      <c r="G291" s="13"/>
      <c r="H291" s="13"/>
      <c r="I291" s="13"/>
      <c r="J291" s="13"/>
      <c r="K291" s="13"/>
      <c r="L291" s="13"/>
    </row>
    <row r="292" spans="1:12" x14ac:dyDescent="0.35">
      <c r="A292" s="13"/>
      <c r="B292" s="13"/>
      <c r="C292" s="13"/>
      <c r="D292" s="13"/>
      <c r="E292" s="13"/>
      <c r="F292" s="13"/>
      <c r="G292" s="13"/>
      <c r="H292" s="13"/>
      <c r="I292" s="13"/>
      <c r="J292" s="13"/>
      <c r="K292" s="13"/>
      <c r="L292" s="13"/>
    </row>
    <row r="293" spans="1:12" x14ac:dyDescent="0.35">
      <c r="A293" s="13"/>
      <c r="B293" s="13"/>
      <c r="C293" s="13"/>
      <c r="D293" s="13"/>
      <c r="E293" s="13"/>
      <c r="F293" s="13"/>
      <c r="G293" s="13"/>
      <c r="H293" s="13"/>
      <c r="I293" s="13"/>
      <c r="J293" s="13"/>
      <c r="K293" s="13"/>
      <c r="L293" s="13"/>
    </row>
    <row r="294" spans="1:12" x14ac:dyDescent="0.35">
      <c r="A294" s="13"/>
      <c r="B294" s="13"/>
      <c r="C294" s="13"/>
      <c r="D294" s="13"/>
      <c r="E294" s="13"/>
      <c r="F294" s="13"/>
      <c r="G294" s="13"/>
      <c r="H294" s="13"/>
      <c r="I294" s="13"/>
      <c r="J294" s="13"/>
      <c r="K294" s="13"/>
      <c r="L294" s="13"/>
    </row>
    <row r="295" spans="1:12" x14ac:dyDescent="0.35">
      <c r="A295" s="13"/>
      <c r="B295" s="13"/>
      <c r="C295" s="13"/>
      <c r="D295" s="13"/>
      <c r="E295" s="13"/>
      <c r="F295" s="13"/>
      <c r="G295" s="13"/>
      <c r="H295" s="13"/>
      <c r="I295" s="13"/>
      <c r="J295" s="13"/>
      <c r="K295" s="13"/>
      <c r="L295" s="13"/>
    </row>
    <row r="296" spans="1:12" x14ac:dyDescent="0.35">
      <c r="A296" s="13"/>
      <c r="B296" s="13"/>
      <c r="C296" s="13"/>
      <c r="D296" s="13"/>
      <c r="E296" s="13"/>
      <c r="F296" s="13"/>
      <c r="G296" s="13"/>
      <c r="H296" s="13"/>
      <c r="I296" s="13"/>
      <c r="J296" s="13"/>
      <c r="K296" s="13"/>
      <c r="L296" s="13"/>
    </row>
    <row r="297" spans="1:12" x14ac:dyDescent="0.35">
      <c r="A297" s="13"/>
      <c r="B297" s="13"/>
      <c r="C297" s="13"/>
      <c r="D297" s="13"/>
      <c r="E297" s="13"/>
      <c r="F297" s="13"/>
      <c r="G297" s="13"/>
      <c r="H297" s="13"/>
      <c r="I297" s="13"/>
      <c r="J297" s="13"/>
      <c r="K297" s="13"/>
      <c r="L297" s="13"/>
    </row>
    <row r="298" spans="1:12" x14ac:dyDescent="0.35">
      <c r="A298" s="13"/>
      <c r="B298" s="13"/>
      <c r="C298" s="13"/>
      <c r="D298" s="13"/>
      <c r="E298" s="13"/>
      <c r="F298" s="13"/>
      <c r="G298" s="13"/>
      <c r="H298" s="13"/>
      <c r="I298" s="13"/>
      <c r="J298" s="13"/>
      <c r="K298" s="13"/>
      <c r="L298" s="13"/>
    </row>
    <row r="299" spans="1:12" x14ac:dyDescent="0.35">
      <c r="A299" s="13"/>
      <c r="B299" s="13"/>
      <c r="C299" s="13"/>
      <c r="D299" s="13"/>
      <c r="E299" s="13"/>
      <c r="F299" s="13"/>
      <c r="G299" s="13"/>
      <c r="H299" s="13"/>
      <c r="I299" s="13"/>
      <c r="J299" s="13"/>
      <c r="K299" s="13"/>
      <c r="L299" s="13"/>
    </row>
    <row r="300" spans="1:12" x14ac:dyDescent="0.35">
      <c r="A300" s="13"/>
      <c r="B300" s="13"/>
      <c r="C300" s="13"/>
      <c r="D300" s="13"/>
      <c r="E300" s="13"/>
      <c r="F300" s="13"/>
      <c r="G300" s="13"/>
      <c r="H300" s="13"/>
      <c r="I300" s="13"/>
      <c r="J300" s="13"/>
      <c r="K300" s="13"/>
      <c r="L300" s="13"/>
    </row>
    <row r="301" spans="1:12" x14ac:dyDescent="0.35">
      <c r="A301" s="13"/>
      <c r="B301" s="13"/>
      <c r="C301" s="13"/>
      <c r="D301" s="13"/>
      <c r="E301" s="13"/>
      <c r="F301" s="13"/>
      <c r="G301" s="13"/>
      <c r="H301" s="13"/>
      <c r="I301" s="13"/>
      <c r="J301" s="13"/>
      <c r="K301" s="13"/>
      <c r="L301" s="13"/>
    </row>
    <row r="302" spans="1:12" x14ac:dyDescent="0.35">
      <c r="A302" s="13"/>
      <c r="B302" s="13"/>
      <c r="C302" s="13"/>
      <c r="D302" s="13"/>
      <c r="E302" s="13"/>
      <c r="F302" s="13"/>
      <c r="G302" s="13"/>
      <c r="H302" s="13"/>
      <c r="I302" s="13"/>
      <c r="J302" s="13"/>
      <c r="K302" s="13"/>
      <c r="L302" s="13"/>
    </row>
    <row r="303" spans="1:12" x14ac:dyDescent="0.35">
      <c r="A303" s="13"/>
      <c r="B303" s="13"/>
      <c r="C303" s="13"/>
      <c r="D303" s="13"/>
      <c r="E303" s="13"/>
      <c r="F303" s="13"/>
      <c r="G303" s="13"/>
      <c r="H303" s="13"/>
      <c r="I303" s="13"/>
      <c r="J303" s="13"/>
      <c r="K303" s="13"/>
      <c r="L303" s="13"/>
    </row>
    <row r="304" spans="1:12" x14ac:dyDescent="0.35">
      <c r="A304" s="13"/>
      <c r="B304" s="13"/>
      <c r="C304" s="13"/>
      <c r="D304" s="13"/>
      <c r="E304" s="13"/>
      <c r="F304" s="13"/>
      <c r="G304" s="13"/>
      <c r="H304" s="13"/>
      <c r="I304" s="13"/>
      <c r="J304" s="13"/>
      <c r="K304" s="13"/>
      <c r="L304" s="13"/>
    </row>
    <row r="305" spans="1:12" x14ac:dyDescent="0.35">
      <c r="A305" s="13"/>
      <c r="B305" s="13"/>
      <c r="C305" s="13"/>
      <c r="D305" s="13"/>
      <c r="E305" s="13"/>
      <c r="F305" s="13"/>
      <c r="G305" s="13"/>
      <c r="H305" s="13"/>
      <c r="I305" s="13"/>
      <c r="J305" s="13"/>
      <c r="K305" s="13"/>
      <c r="L305" s="13"/>
    </row>
    <row r="306" spans="1:12" x14ac:dyDescent="0.35">
      <c r="A306" s="13"/>
      <c r="B306" s="13"/>
      <c r="C306" s="13"/>
      <c r="D306" s="13"/>
      <c r="E306" s="13"/>
      <c r="F306" s="13"/>
      <c r="G306" s="13"/>
      <c r="H306" s="13"/>
      <c r="I306" s="13"/>
      <c r="J306" s="13"/>
      <c r="K306" s="13"/>
      <c r="L306" s="13"/>
    </row>
    <row r="307" spans="1:12" x14ac:dyDescent="0.35">
      <c r="A307" s="13"/>
      <c r="B307" s="13"/>
      <c r="C307" s="13"/>
      <c r="D307" s="13"/>
      <c r="E307" s="13"/>
      <c r="F307" s="13"/>
      <c r="G307" s="13"/>
      <c r="H307" s="13"/>
      <c r="I307" s="13"/>
      <c r="J307" s="13"/>
      <c r="K307" s="13"/>
      <c r="L307" s="13"/>
    </row>
    <row r="308" spans="1:12" x14ac:dyDescent="0.35">
      <c r="A308" s="13"/>
      <c r="B308" s="13"/>
      <c r="C308" s="13"/>
      <c r="D308" s="13"/>
      <c r="E308" s="13"/>
      <c r="F308" s="13"/>
      <c r="G308" s="13"/>
      <c r="H308" s="13"/>
      <c r="I308" s="13"/>
      <c r="J308" s="13"/>
      <c r="K308" s="13"/>
      <c r="L308" s="13"/>
    </row>
    <row r="309" spans="1:12" x14ac:dyDescent="0.35">
      <c r="A309" s="13"/>
      <c r="B309" s="13"/>
      <c r="C309" s="13"/>
      <c r="D309" s="13"/>
      <c r="E309" s="13"/>
      <c r="F309" s="13"/>
      <c r="G309" s="13"/>
      <c r="H309" s="13"/>
      <c r="I309" s="13"/>
      <c r="J309" s="13"/>
      <c r="K309" s="13"/>
      <c r="L309" s="13"/>
    </row>
    <row r="310" spans="1:12" x14ac:dyDescent="0.35">
      <c r="A310" s="13"/>
      <c r="B310" s="13"/>
      <c r="C310" s="13"/>
      <c r="D310" s="13"/>
      <c r="E310" s="13"/>
      <c r="F310" s="13"/>
      <c r="G310" s="13"/>
      <c r="H310" s="13"/>
      <c r="I310" s="13"/>
      <c r="J310" s="13"/>
      <c r="K310" s="13"/>
      <c r="L310" s="13"/>
    </row>
    <row r="311" spans="1:12" x14ac:dyDescent="0.35">
      <c r="A311" s="13"/>
      <c r="B311" s="13"/>
      <c r="C311" s="13"/>
      <c r="D311" s="13"/>
      <c r="E311" s="13"/>
      <c r="F311" s="13"/>
      <c r="G311" s="13"/>
      <c r="H311" s="13"/>
      <c r="I311" s="13"/>
      <c r="J311" s="13"/>
      <c r="K311" s="13"/>
      <c r="L311" s="13"/>
    </row>
    <row r="312" spans="1:12" x14ac:dyDescent="0.35">
      <c r="A312" s="13"/>
      <c r="B312" s="13"/>
      <c r="C312" s="13"/>
      <c r="D312" s="13"/>
      <c r="E312" s="13"/>
      <c r="F312" s="13"/>
      <c r="G312" s="13"/>
      <c r="H312" s="13"/>
      <c r="I312" s="13"/>
      <c r="J312" s="13"/>
      <c r="K312" s="13"/>
      <c r="L312" s="13"/>
    </row>
    <row r="313" spans="1:12" x14ac:dyDescent="0.35">
      <c r="A313" s="13"/>
      <c r="B313" s="13"/>
      <c r="C313" s="13"/>
      <c r="D313" s="13"/>
      <c r="E313" s="13"/>
      <c r="F313" s="13"/>
      <c r="G313" s="13"/>
      <c r="H313" s="13"/>
      <c r="I313" s="13"/>
      <c r="J313" s="13"/>
      <c r="K313" s="13"/>
      <c r="L313" s="13"/>
    </row>
    <row r="314" spans="1:12" x14ac:dyDescent="0.35">
      <c r="A314" s="13"/>
      <c r="B314" s="13"/>
      <c r="C314" s="13"/>
      <c r="D314" s="13"/>
      <c r="E314" s="13"/>
      <c r="F314" s="13"/>
      <c r="G314" s="13"/>
      <c r="H314" s="13"/>
      <c r="I314" s="13"/>
      <c r="J314" s="13"/>
      <c r="K314" s="13"/>
      <c r="L314" s="13"/>
    </row>
    <row r="315" spans="1:12" x14ac:dyDescent="0.35">
      <c r="A315" s="13"/>
      <c r="B315" s="13"/>
      <c r="C315" s="13"/>
      <c r="D315" s="13"/>
      <c r="E315" s="13"/>
      <c r="F315" s="13"/>
      <c r="G315" s="13"/>
      <c r="H315" s="13"/>
      <c r="I315" s="13"/>
      <c r="J315" s="13"/>
      <c r="K315" s="13"/>
      <c r="L315" s="13"/>
    </row>
    <row r="316" spans="1:12" x14ac:dyDescent="0.35">
      <c r="A316" s="13"/>
      <c r="B316" s="13"/>
      <c r="C316" s="13"/>
      <c r="D316" s="13"/>
      <c r="E316" s="13"/>
      <c r="F316" s="13"/>
      <c r="G316" s="13"/>
      <c r="H316" s="13"/>
      <c r="I316" s="13"/>
      <c r="J316" s="13"/>
      <c r="K316" s="13"/>
      <c r="L316" s="13"/>
    </row>
    <row r="317" spans="1:12" x14ac:dyDescent="0.35">
      <c r="A317" s="13"/>
      <c r="B317" s="13"/>
      <c r="C317" s="13"/>
      <c r="D317" s="13"/>
      <c r="E317" s="13"/>
      <c r="F317" s="13"/>
      <c r="G317" s="13"/>
      <c r="H317" s="13"/>
      <c r="I317" s="13"/>
      <c r="J317" s="13"/>
      <c r="K317" s="13"/>
      <c r="L317" s="13"/>
    </row>
    <row r="318" spans="1:12" x14ac:dyDescent="0.35">
      <c r="A318" s="13"/>
      <c r="B318" s="13"/>
      <c r="C318" s="13"/>
      <c r="D318" s="13"/>
      <c r="E318" s="13"/>
      <c r="F318" s="13"/>
      <c r="G318" s="13"/>
      <c r="H318" s="13"/>
      <c r="I318" s="13"/>
      <c r="J318" s="13"/>
      <c r="K318" s="13"/>
      <c r="L318" s="13"/>
    </row>
    <row r="319" spans="1:12" x14ac:dyDescent="0.35">
      <c r="A319" s="13"/>
      <c r="B319" s="13"/>
      <c r="C319" s="13"/>
      <c r="D319" s="13"/>
      <c r="E319" s="13"/>
      <c r="F319" s="13"/>
      <c r="G319" s="13"/>
      <c r="H319" s="13"/>
      <c r="I319" s="13"/>
      <c r="J319" s="13"/>
      <c r="K319" s="13"/>
      <c r="L319" s="13"/>
    </row>
    <row r="320" spans="1:12" x14ac:dyDescent="0.35">
      <c r="A320" s="13"/>
      <c r="B320" s="13"/>
      <c r="C320" s="13"/>
      <c r="D320" s="13"/>
      <c r="E320" s="13"/>
      <c r="F320" s="13"/>
      <c r="G320" s="13"/>
      <c r="H320" s="13"/>
      <c r="I320" s="13"/>
      <c r="J320" s="13"/>
      <c r="K320" s="13"/>
      <c r="L320" s="13"/>
    </row>
    <row r="321" spans="1:12" x14ac:dyDescent="0.35">
      <c r="A321" s="13"/>
      <c r="B321" s="13"/>
      <c r="C321" s="13"/>
      <c r="D321" s="13"/>
      <c r="E321" s="13"/>
      <c r="F321" s="13"/>
      <c r="G321" s="13"/>
      <c r="H321" s="13"/>
      <c r="I321" s="13"/>
      <c r="J321" s="13"/>
      <c r="K321" s="13"/>
      <c r="L321" s="13"/>
    </row>
    <row r="322" spans="1:12" x14ac:dyDescent="0.35">
      <c r="A322" s="13"/>
      <c r="B322" s="13"/>
      <c r="C322" s="13"/>
      <c r="D322" s="13"/>
      <c r="E322" s="13"/>
      <c r="F322" s="13"/>
      <c r="G322" s="13"/>
      <c r="H322" s="13"/>
      <c r="I322" s="13"/>
      <c r="J322" s="13"/>
      <c r="K322" s="13"/>
      <c r="L322" s="13"/>
    </row>
    <row r="323" spans="1:12" x14ac:dyDescent="0.35">
      <c r="A323" s="13"/>
      <c r="B323" s="13"/>
      <c r="C323" s="13"/>
      <c r="D323" s="13"/>
      <c r="E323" s="13"/>
      <c r="F323" s="13"/>
      <c r="G323" s="13"/>
      <c r="H323" s="13"/>
      <c r="I323" s="13"/>
      <c r="J323" s="13"/>
      <c r="K323" s="13"/>
      <c r="L323" s="13"/>
    </row>
    <row r="324" spans="1:12" x14ac:dyDescent="0.35">
      <c r="A324" s="13"/>
      <c r="B324" s="13"/>
      <c r="C324" s="13"/>
      <c r="D324" s="13"/>
      <c r="E324" s="13"/>
      <c r="F324" s="13"/>
      <c r="G324" s="13"/>
      <c r="H324" s="13"/>
      <c r="I324" s="13"/>
      <c r="J324" s="13"/>
      <c r="K324" s="13"/>
      <c r="L324" s="13"/>
    </row>
    <row r="325" spans="1:12" x14ac:dyDescent="0.35">
      <c r="A325" s="13"/>
      <c r="B325" s="13"/>
      <c r="C325" s="13"/>
      <c r="D325" s="13"/>
      <c r="E325" s="13"/>
      <c r="F325" s="13"/>
      <c r="G325" s="13"/>
      <c r="H325" s="13"/>
      <c r="I325" s="13"/>
      <c r="J325" s="13"/>
      <c r="K325" s="13"/>
      <c r="L325" s="13"/>
    </row>
    <row r="326" spans="1:12" x14ac:dyDescent="0.35">
      <c r="A326" s="13"/>
      <c r="B326" s="13"/>
      <c r="C326" s="13"/>
      <c r="D326" s="13"/>
      <c r="E326" s="13"/>
      <c r="F326" s="13"/>
      <c r="G326" s="13"/>
      <c r="H326" s="13"/>
      <c r="I326" s="13"/>
      <c r="J326" s="13"/>
      <c r="K326" s="13"/>
      <c r="L326" s="13"/>
    </row>
    <row r="327" spans="1:12" x14ac:dyDescent="0.35">
      <c r="A327" s="13"/>
      <c r="B327" s="13"/>
      <c r="C327" s="13"/>
      <c r="D327" s="13"/>
      <c r="E327" s="13"/>
      <c r="F327" s="13"/>
      <c r="G327" s="13"/>
      <c r="H327" s="13"/>
      <c r="I327" s="13"/>
      <c r="J327" s="13"/>
      <c r="K327" s="13"/>
      <c r="L327" s="13"/>
    </row>
    <row r="328" spans="1:12" x14ac:dyDescent="0.35">
      <c r="A328" s="13"/>
      <c r="B328" s="13"/>
      <c r="C328" s="13"/>
      <c r="D328" s="13"/>
      <c r="E328" s="13"/>
      <c r="F328" s="13"/>
      <c r="G328" s="13"/>
      <c r="H328" s="13"/>
      <c r="I328" s="13"/>
      <c r="J328" s="13"/>
      <c r="K328" s="13"/>
      <c r="L328" s="13"/>
    </row>
    <row r="329" spans="1:12" x14ac:dyDescent="0.35">
      <c r="A329" s="13"/>
      <c r="B329" s="13"/>
      <c r="C329" s="13"/>
      <c r="D329" s="13"/>
      <c r="E329" s="13"/>
      <c r="F329" s="13"/>
      <c r="G329" s="13"/>
      <c r="H329" s="13"/>
      <c r="I329" s="13"/>
      <c r="J329" s="13"/>
      <c r="K329" s="13"/>
      <c r="L329" s="13"/>
    </row>
    <row r="330" spans="1:12" x14ac:dyDescent="0.35">
      <c r="A330" s="13"/>
      <c r="B330" s="13"/>
      <c r="C330" s="13"/>
      <c r="D330" s="13"/>
      <c r="E330" s="13"/>
      <c r="F330" s="13"/>
      <c r="G330" s="13"/>
      <c r="H330" s="13"/>
      <c r="I330" s="13"/>
      <c r="J330" s="13"/>
      <c r="K330" s="13"/>
      <c r="L330" s="13"/>
    </row>
    <row r="331" spans="1:12" x14ac:dyDescent="0.35">
      <c r="A331" s="13"/>
      <c r="B331" s="13"/>
      <c r="C331" s="13"/>
      <c r="D331" s="13"/>
      <c r="E331" s="13"/>
      <c r="F331" s="13"/>
      <c r="G331" s="13"/>
      <c r="H331" s="13"/>
      <c r="I331" s="13"/>
      <c r="J331" s="13"/>
      <c r="K331" s="13"/>
      <c r="L331" s="13"/>
    </row>
    <row r="332" spans="1:12" x14ac:dyDescent="0.35">
      <c r="A332" s="13"/>
      <c r="B332" s="13"/>
      <c r="C332" s="13"/>
      <c r="D332" s="13"/>
      <c r="E332" s="13"/>
      <c r="F332" s="13"/>
      <c r="G332" s="13"/>
      <c r="H332" s="13"/>
      <c r="I332" s="13"/>
      <c r="J332" s="13"/>
      <c r="K332" s="13"/>
      <c r="L332" s="13"/>
    </row>
    <row r="333" spans="1:12" x14ac:dyDescent="0.35">
      <c r="A333" s="13"/>
      <c r="B333" s="13"/>
      <c r="C333" s="13"/>
      <c r="D333" s="13"/>
      <c r="E333" s="13"/>
      <c r="F333" s="13"/>
      <c r="G333" s="13"/>
      <c r="H333" s="13"/>
      <c r="I333" s="13"/>
      <c r="J333" s="13"/>
      <c r="K333" s="13"/>
      <c r="L333" s="13"/>
    </row>
    <row r="334" spans="1:12" x14ac:dyDescent="0.35">
      <c r="A334" s="13"/>
      <c r="B334" s="13"/>
      <c r="C334" s="13"/>
      <c r="D334" s="13"/>
      <c r="E334" s="13"/>
      <c r="F334" s="13"/>
      <c r="G334" s="13"/>
      <c r="H334" s="13"/>
      <c r="I334" s="13"/>
      <c r="J334" s="13"/>
      <c r="K334" s="13"/>
      <c r="L334" s="13"/>
    </row>
    <row r="335" spans="1:12" x14ac:dyDescent="0.35">
      <c r="A335" s="13"/>
      <c r="B335" s="13"/>
      <c r="C335" s="13"/>
      <c r="D335" s="13"/>
      <c r="E335" s="13"/>
      <c r="F335" s="13"/>
      <c r="G335" s="13"/>
      <c r="H335" s="13"/>
      <c r="I335" s="13"/>
      <c r="J335" s="13"/>
      <c r="K335" s="13"/>
      <c r="L335" s="13"/>
    </row>
    <row r="336" spans="1:12" x14ac:dyDescent="0.35">
      <c r="A336" s="13"/>
      <c r="B336" s="13"/>
      <c r="C336" s="13"/>
      <c r="D336" s="13"/>
      <c r="E336" s="13"/>
      <c r="F336" s="13"/>
      <c r="G336" s="13"/>
      <c r="H336" s="13"/>
      <c r="I336" s="13"/>
      <c r="J336" s="13"/>
      <c r="K336" s="13"/>
      <c r="L336" s="13"/>
    </row>
    <row r="337" spans="1:12" x14ac:dyDescent="0.35">
      <c r="A337" s="13"/>
      <c r="B337" s="13"/>
      <c r="C337" s="13"/>
      <c r="D337" s="13"/>
      <c r="E337" s="13"/>
      <c r="F337" s="13"/>
      <c r="G337" s="13"/>
      <c r="H337" s="13"/>
      <c r="I337" s="13"/>
      <c r="J337" s="13"/>
      <c r="K337" s="13"/>
      <c r="L337" s="13"/>
    </row>
    <row r="338" spans="1:12" x14ac:dyDescent="0.35">
      <c r="A338" s="13"/>
      <c r="B338" s="13"/>
      <c r="C338" s="13"/>
      <c r="D338" s="13"/>
      <c r="E338" s="13"/>
      <c r="F338" s="13"/>
      <c r="G338" s="13"/>
      <c r="H338" s="13"/>
      <c r="I338" s="13"/>
      <c r="J338" s="13"/>
      <c r="K338" s="13"/>
      <c r="L338" s="13"/>
    </row>
    <row r="339" spans="1:12" x14ac:dyDescent="0.35">
      <c r="A339" s="13"/>
      <c r="B339" s="13"/>
      <c r="C339" s="13"/>
      <c r="D339" s="13"/>
      <c r="E339" s="13"/>
      <c r="F339" s="13"/>
      <c r="G339" s="13"/>
      <c r="H339" s="13"/>
      <c r="I339" s="13"/>
      <c r="J339" s="13"/>
      <c r="K339" s="13"/>
      <c r="L339" s="13"/>
    </row>
    <row r="340" spans="1:12" x14ac:dyDescent="0.35">
      <c r="A340" s="13"/>
      <c r="B340" s="13"/>
      <c r="C340" s="13"/>
      <c r="D340" s="13"/>
      <c r="E340" s="13"/>
      <c r="F340" s="13"/>
      <c r="G340" s="13"/>
      <c r="H340" s="13"/>
      <c r="I340" s="13"/>
      <c r="J340" s="13"/>
      <c r="K340" s="13"/>
      <c r="L340" s="13"/>
    </row>
    <row r="341" spans="1:12" x14ac:dyDescent="0.35">
      <c r="A341" s="13"/>
      <c r="B341" s="13"/>
      <c r="C341" s="13"/>
      <c r="D341" s="13"/>
      <c r="E341" s="13"/>
      <c r="F341" s="13"/>
      <c r="G341" s="13"/>
      <c r="H341" s="13"/>
      <c r="I341" s="13"/>
      <c r="J341" s="13"/>
      <c r="K341" s="13"/>
      <c r="L341" s="13"/>
    </row>
    <row r="342" spans="1:12" x14ac:dyDescent="0.35">
      <c r="A342" s="13"/>
      <c r="B342" s="13"/>
      <c r="C342" s="13"/>
      <c r="D342" s="13"/>
      <c r="E342" s="13"/>
      <c r="F342" s="13"/>
      <c r="G342" s="13"/>
      <c r="H342" s="13"/>
      <c r="I342" s="13"/>
      <c r="J342" s="13"/>
      <c r="K342" s="13"/>
      <c r="L342" s="13"/>
    </row>
    <row r="343" spans="1:12" x14ac:dyDescent="0.35">
      <c r="A343" s="13"/>
      <c r="B343" s="13"/>
      <c r="C343" s="13"/>
      <c r="D343" s="13"/>
      <c r="E343" s="13"/>
      <c r="F343" s="13"/>
      <c r="G343" s="13"/>
      <c r="H343" s="13"/>
      <c r="I343" s="13"/>
      <c r="J343" s="13"/>
      <c r="K343" s="13"/>
      <c r="L343" s="13"/>
    </row>
    <row r="344" spans="1:12" x14ac:dyDescent="0.35">
      <c r="A344" s="13"/>
      <c r="B344" s="13"/>
      <c r="C344" s="13"/>
      <c r="D344" s="13"/>
      <c r="E344" s="13"/>
      <c r="F344" s="13"/>
      <c r="G344" s="13"/>
      <c r="H344" s="13"/>
      <c r="I344" s="13"/>
      <c r="J344" s="13"/>
      <c r="K344" s="13"/>
      <c r="L344" s="13"/>
    </row>
    <row r="345" spans="1:12" x14ac:dyDescent="0.35">
      <c r="A345" s="13"/>
      <c r="B345" s="13"/>
      <c r="C345" s="13"/>
      <c r="D345" s="13"/>
      <c r="E345" s="13"/>
      <c r="F345" s="13"/>
      <c r="G345" s="13"/>
      <c r="H345" s="13"/>
      <c r="I345" s="13"/>
      <c r="J345" s="13"/>
      <c r="K345" s="13"/>
      <c r="L345" s="13"/>
    </row>
    <row r="346" spans="1:12" x14ac:dyDescent="0.35">
      <c r="A346" s="13"/>
      <c r="B346" s="13"/>
      <c r="C346" s="13"/>
      <c r="D346" s="13"/>
      <c r="E346" s="13"/>
      <c r="F346" s="13"/>
      <c r="G346" s="13"/>
      <c r="H346" s="13"/>
      <c r="I346" s="13"/>
      <c r="J346" s="13"/>
      <c r="K346" s="13"/>
      <c r="L346" s="13"/>
    </row>
    <row r="347" spans="1:12" x14ac:dyDescent="0.35">
      <c r="A347" s="13"/>
      <c r="B347" s="13"/>
      <c r="C347" s="13"/>
      <c r="D347" s="13"/>
      <c r="E347" s="13"/>
      <c r="F347" s="13"/>
      <c r="G347" s="13"/>
      <c r="H347" s="13"/>
      <c r="I347" s="13"/>
      <c r="J347" s="13"/>
      <c r="K347" s="13"/>
      <c r="L347" s="13"/>
    </row>
    <row r="348" spans="1:12" x14ac:dyDescent="0.35">
      <c r="A348" s="13"/>
      <c r="B348" s="13"/>
      <c r="C348" s="13"/>
      <c r="D348" s="13"/>
      <c r="E348" s="13"/>
      <c r="F348" s="13"/>
      <c r="G348" s="13"/>
      <c r="H348" s="13"/>
      <c r="I348" s="13"/>
      <c r="J348" s="13"/>
      <c r="K348" s="13"/>
      <c r="L348" s="13"/>
    </row>
    <row r="349" spans="1:12" x14ac:dyDescent="0.35">
      <c r="A349" s="13"/>
      <c r="B349" s="13"/>
      <c r="C349" s="13"/>
      <c r="D349" s="13"/>
      <c r="E349" s="13"/>
      <c r="F349" s="13"/>
      <c r="G349" s="13"/>
      <c r="H349" s="13"/>
      <c r="I349" s="13"/>
      <c r="J349" s="13"/>
      <c r="K349" s="13"/>
      <c r="L349" s="13"/>
    </row>
    <row r="350" spans="1:12" x14ac:dyDescent="0.35">
      <c r="A350" s="13"/>
      <c r="B350" s="13"/>
      <c r="C350" s="13"/>
      <c r="D350" s="13"/>
      <c r="E350" s="13"/>
      <c r="F350" s="13"/>
      <c r="G350" s="13"/>
      <c r="H350" s="13"/>
      <c r="I350" s="13"/>
      <c r="J350" s="13"/>
      <c r="K350" s="13"/>
      <c r="L350" s="13"/>
    </row>
    <row r="351" spans="1:12" x14ac:dyDescent="0.35">
      <c r="A351" s="13"/>
      <c r="B351" s="13"/>
      <c r="C351" s="13"/>
      <c r="D351" s="13"/>
      <c r="E351" s="13"/>
      <c r="F351" s="13"/>
      <c r="G351" s="13"/>
      <c r="H351" s="13"/>
      <c r="I351" s="13"/>
      <c r="J351" s="13"/>
      <c r="K351" s="13"/>
      <c r="L351" s="13"/>
    </row>
    <row r="352" spans="1:12" x14ac:dyDescent="0.35">
      <c r="A352" s="13"/>
      <c r="B352" s="13"/>
      <c r="C352" s="13"/>
      <c r="D352" s="13"/>
      <c r="E352" s="13"/>
      <c r="F352" s="13"/>
      <c r="G352" s="13"/>
      <c r="H352" s="13"/>
      <c r="I352" s="13"/>
      <c r="J352" s="13"/>
      <c r="K352" s="13"/>
      <c r="L352" s="13"/>
    </row>
    <row r="353" spans="1:12" x14ac:dyDescent="0.35">
      <c r="A353" s="13"/>
      <c r="B353" s="13"/>
      <c r="C353" s="13"/>
      <c r="D353" s="13"/>
      <c r="E353" s="13"/>
      <c r="F353" s="13"/>
      <c r="G353" s="13"/>
      <c r="H353" s="13"/>
      <c r="I353" s="13"/>
      <c r="J353" s="13"/>
      <c r="K353" s="13"/>
      <c r="L353" s="13"/>
    </row>
    <row r="354" spans="1:12" x14ac:dyDescent="0.35">
      <c r="A354" s="13"/>
      <c r="B354" s="13"/>
      <c r="C354" s="13"/>
      <c r="D354" s="13"/>
      <c r="E354" s="13"/>
      <c r="F354" s="13"/>
      <c r="G354" s="13"/>
      <c r="H354" s="13"/>
      <c r="I354" s="13"/>
      <c r="J354" s="13"/>
      <c r="K354" s="13"/>
      <c r="L354" s="13"/>
    </row>
    <row r="355" spans="1:12" x14ac:dyDescent="0.35">
      <c r="A355" s="13"/>
      <c r="B355" s="13"/>
      <c r="C355" s="13"/>
      <c r="D355" s="13"/>
      <c r="E355" s="13"/>
      <c r="F355" s="13"/>
      <c r="G355" s="13"/>
      <c r="H355" s="13"/>
      <c r="I355" s="13"/>
      <c r="J355" s="13"/>
      <c r="K355" s="13"/>
      <c r="L355" s="13"/>
    </row>
    <row r="356" spans="1:12" x14ac:dyDescent="0.35">
      <c r="A356" s="13"/>
      <c r="B356" s="13"/>
      <c r="C356" s="13"/>
      <c r="D356" s="13"/>
      <c r="E356" s="13"/>
      <c r="F356" s="13"/>
      <c r="G356" s="13"/>
      <c r="H356" s="13"/>
      <c r="I356" s="13"/>
      <c r="J356" s="13"/>
      <c r="K356" s="13"/>
      <c r="L356" s="13"/>
    </row>
    <row r="357" spans="1:12" x14ac:dyDescent="0.35">
      <c r="A357" s="13"/>
      <c r="B357" s="13"/>
      <c r="C357" s="13"/>
      <c r="D357" s="13"/>
      <c r="E357" s="13"/>
      <c r="F357" s="13"/>
      <c r="G357" s="13"/>
      <c r="H357" s="13"/>
      <c r="I357" s="13"/>
      <c r="J357" s="13"/>
      <c r="K357" s="13"/>
      <c r="L357" s="13"/>
    </row>
    <row r="358" spans="1:12" x14ac:dyDescent="0.35">
      <c r="A358" s="13"/>
      <c r="B358" s="13"/>
      <c r="C358" s="13"/>
      <c r="D358" s="13"/>
      <c r="E358" s="13"/>
      <c r="F358" s="13"/>
      <c r="G358" s="13"/>
      <c r="H358" s="13"/>
      <c r="I358" s="13"/>
      <c r="J358" s="13"/>
      <c r="K358" s="13"/>
      <c r="L358" s="13"/>
    </row>
    <row r="359" spans="1:12" x14ac:dyDescent="0.35">
      <c r="A359" s="13"/>
      <c r="B359" s="13"/>
      <c r="C359" s="13"/>
      <c r="D359" s="13"/>
      <c r="E359" s="13"/>
      <c r="F359" s="13"/>
      <c r="G359" s="13"/>
      <c r="H359" s="13"/>
      <c r="I359" s="13"/>
      <c r="J359" s="13"/>
      <c r="K359" s="13"/>
      <c r="L359" s="13"/>
    </row>
    <row r="360" spans="1:12" x14ac:dyDescent="0.35">
      <c r="A360" s="13"/>
      <c r="B360" s="13"/>
      <c r="C360" s="13"/>
      <c r="D360" s="13"/>
      <c r="E360" s="13"/>
      <c r="F360" s="13"/>
      <c r="G360" s="13"/>
      <c r="H360" s="13"/>
      <c r="I360" s="13"/>
      <c r="J360" s="13"/>
      <c r="K360" s="13"/>
      <c r="L360" s="13"/>
    </row>
    <row r="361" spans="1:12" x14ac:dyDescent="0.35">
      <c r="A361" s="13"/>
      <c r="B361" s="13"/>
      <c r="C361" s="13"/>
      <c r="D361" s="13"/>
      <c r="E361" s="13"/>
      <c r="F361" s="13"/>
      <c r="G361" s="13"/>
      <c r="H361" s="13"/>
      <c r="I361" s="13"/>
      <c r="J361" s="13"/>
      <c r="K361" s="13"/>
      <c r="L361" s="13"/>
    </row>
    <row r="362" spans="1:12" x14ac:dyDescent="0.35">
      <c r="A362" s="13"/>
      <c r="B362" s="13"/>
      <c r="C362" s="13"/>
      <c r="D362" s="13"/>
      <c r="E362" s="13"/>
      <c r="F362" s="13"/>
      <c r="G362" s="13"/>
      <c r="H362" s="13"/>
      <c r="I362" s="13"/>
      <c r="J362" s="13"/>
      <c r="K362" s="13"/>
      <c r="L362" s="13"/>
    </row>
    <row r="363" spans="1:12" x14ac:dyDescent="0.35">
      <c r="A363" s="13"/>
      <c r="B363" s="13"/>
      <c r="C363" s="13"/>
      <c r="D363" s="13"/>
      <c r="E363" s="13"/>
      <c r="F363" s="13"/>
      <c r="G363" s="13"/>
      <c r="H363" s="13"/>
      <c r="I363" s="13"/>
      <c r="J363" s="13"/>
      <c r="K363" s="13"/>
      <c r="L363" s="13"/>
    </row>
    <row r="364" spans="1:12" x14ac:dyDescent="0.35">
      <c r="A364" s="13"/>
      <c r="B364" s="13"/>
      <c r="C364" s="13"/>
      <c r="D364" s="13"/>
      <c r="E364" s="13"/>
      <c r="F364" s="13"/>
      <c r="G364" s="13"/>
      <c r="H364" s="13"/>
      <c r="I364" s="13"/>
      <c r="J364" s="13"/>
      <c r="K364" s="13"/>
      <c r="L364" s="13"/>
    </row>
    <row r="365" spans="1:12" x14ac:dyDescent="0.35">
      <c r="A365" s="13"/>
      <c r="B365" s="13"/>
      <c r="C365" s="13"/>
      <c r="D365" s="13"/>
      <c r="E365" s="13"/>
      <c r="F365" s="13"/>
      <c r="G365" s="13"/>
      <c r="H365" s="13"/>
      <c r="I365" s="13"/>
      <c r="J365" s="13"/>
      <c r="K365" s="13"/>
      <c r="L365" s="13"/>
    </row>
    <row r="366" spans="1:12" x14ac:dyDescent="0.35">
      <c r="A366" s="13"/>
      <c r="B366" s="13"/>
      <c r="C366" s="13"/>
      <c r="D366" s="13"/>
      <c r="E366" s="13"/>
      <c r="F366" s="13"/>
      <c r="G366" s="13"/>
      <c r="H366" s="13"/>
      <c r="I366" s="13"/>
      <c r="J366" s="13"/>
      <c r="K366" s="13"/>
      <c r="L366" s="13"/>
    </row>
    <row r="367" spans="1:12" x14ac:dyDescent="0.35">
      <c r="A367" s="13"/>
      <c r="B367" s="13"/>
      <c r="C367" s="13"/>
      <c r="D367" s="13"/>
      <c r="E367" s="13"/>
      <c r="F367" s="13"/>
      <c r="G367" s="13"/>
      <c r="H367" s="13"/>
      <c r="I367" s="13"/>
      <c r="J367" s="13"/>
      <c r="K367" s="13"/>
      <c r="L367" s="13"/>
    </row>
    <row r="368" spans="1:12" x14ac:dyDescent="0.35">
      <c r="A368" s="13"/>
      <c r="B368" s="13"/>
      <c r="C368" s="13"/>
      <c r="D368" s="13"/>
      <c r="E368" s="13"/>
      <c r="F368" s="13"/>
      <c r="G368" s="13"/>
      <c r="H368" s="13"/>
      <c r="I368" s="13"/>
      <c r="J368" s="13"/>
      <c r="K368" s="13"/>
      <c r="L368" s="13"/>
    </row>
    <row r="369" spans="1:12" x14ac:dyDescent="0.35">
      <c r="A369" s="13"/>
      <c r="B369" s="13"/>
      <c r="C369" s="13"/>
      <c r="D369" s="13"/>
      <c r="E369" s="13"/>
      <c r="F369" s="13"/>
      <c r="G369" s="13"/>
      <c r="H369" s="13"/>
      <c r="I369" s="13"/>
      <c r="J369" s="13"/>
      <c r="K369" s="13"/>
      <c r="L369" s="13"/>
    </row>
    <row r="370" spans="1:12" x14ac:dyDescent="0.35">
      <c r="A370" s="13"/>
      <c r="B370" s="13"/>
      <c r="C370" s="13"/>
      <c r="D370" s="13"/>
      <c r="E370" s="13"/>
      <c r="F370" s="13"/>
      <c r="G370" s="13"/>
      <c r="H370" s="13"/>
      <c r="I370" s="13"/>
      <c r="J370" s="13"/>
      <c r="K370" s="13"/>
      <c r="L370" s="13"/>
    </row>
    <row r="371" spans="1:12" x14ac:dyDescent="0.35">
      <c r="A371" s="13"/>
      <c r="B371" s="13"/>
      <c r="C371" s="13"/>
      <c r="D371" s="13"/>
      <c r="E371" s="13"/>
      <c r="F371" s="13"/>
      <c r="G371" s="13"/>
      <c r="H371" s="13"/>
      <c r="I371" s="13"/>
      <c r="J371" s="13"/>
      <c r="K371" s="13"/>
      <c r="L371" s="13"/>
    </row>
    <row r="372" spans="1:12" x14ac:dyDescent="0.35">
      <c r="A372" s="13"/>
      <c r="B372" s="13"/>
      <c r="C372" s="13"/>
      <c r="D372" s="13"/>
      <c r="E372" s="13"/>
      <c r="F372" s="13"/>
      <c r="G372" s="13"/>
      <c r="H372" s="13"/>
      <c r="I372" s="13"/>
      <c r="J372" s="13"/>
      <c r="K372" s="13"/>
      <c r="L372" s="13"/>
    </row>
    <row r="373" spans="1:12" x14ac:dyDescent="0.35">
      <c r="A373" s="13"/>
      <c r="B373" s="13"/>
      <c r="C373" s="13"/>
      <c r="D373" s="13"/>
      <c r="E373" s="13"/>
      <c r="F373" s="13"/>
      <c r="G373" s="13"/>
      <c r="H373" s="13"/>
      <c r="I373" s="13"/>
      <c r="J373" s="13"/>
      <c r="K373" s="13"/>
      <c r="L373" s="13"/>
    </row>
    <row r="374" spans="1:12" x14ac:dyDescent="0.35">
      <c r="A374" s="13"/>
      <c r="B374" s="13"/>
      <c r="C374" s="13"/>
      <c r="D374" s="13"/>
      <c r="E374" s="13"/>
      <c r="F374" s="13"/>
      <c r="G374" s="13"/>
      <c r="H374" s="13"/>
      <c r="I374" s="13"/>
      <c r="J374" s="13"/>
      <c r="K374" s="13"/>
      <c r="L374" s="13"/>
    </row>
    <row r="375" spans="1:12" x14ac:dyDescent="0.35">
      <c r="A375" s="13"/>
      <c r="B375" s="13"/>
      <c r="C375" s="13"/>
      <c r="D375" s="13"/>
      <c r="E375" s="13"/>
      <c r="F375" s="13"/>
      <c r="G375" s="13"/>
      <c r="H375" s="13"/>
      <c r="I375" s="13"/>
      <c r="J375" s="13"/>
      <c r="K375" s="13"/>
      <c r="L375" s="13"/>
    </row>
    <row r="376" spans="1:12" x14ac:dyDescent="0.35">
      <c r="A376" s="13"/>
      <c r="B376" s="13"/>
      <c r="C376" s="13"/>
      <c r="D376" s="13"/>
      <c r="E376" s="13"/>
      <c r="F376" s="13"/>
      <c r="G376" s="13"/>
      <c r="H376" s="13"/>
      <c r="I376" s="13"/>
      <c r="J376" s="13"/>
      <c r="K376" s="13"/>
      <c r="L376" s="13"/>
    </row>
    <row r="377" spans="1:12" x14ac:dyDescent="0.35">
      <c r="A377" s="13"/>
      <c r="B377" s="13"/>
      <c r="C377" s="13"/>
      <c r="D377" s="13"/>
      <c r="E377" s="13"/>
      <c r="F377" s="13"/>
      <c r="G377" s="13"/>
      <c r="H377" s="13"/>
      <c r="I377" s="13"/>
      <c r="J377" s="13"/>
      <c r="K377" s="13"/>
      <c r="L377" s="13"/>
    </row>
    <row r="378" spans="1:12" x14ac:dyDescent="0.35">
      <c r="A378" s="13"/>
      <c r="B378" s="13"/>
      <c r="C378" s="13"/>
      <c r="D378" s="13"/>
      <c r="E378" s="13"/>
      <c r="F378" s="13"/>
      <c r="G378" s="13"/>
      <c r="H378" s="13"/>
      <c r="I378" s="13"/>
      <c r="J378" s="13"/>
      <c r="K378" s="13"/>
      <c r="L378" s="13"/>
    </row>
    <row r="379" spans="1:12" x14ac:dyDescent="0.35">
      <c r="A379" s="13"/>
      <c r="B379" s="13"/>
      <c r="C379" s="13"/>
      <c r="D379" s="13"/>
      <c r="E379" s="13"/>
      <c r="F379" s="13"/>
      <c r="G379" s="13"/>
      <c r="H379" s="13"/>
      <c r="I379" s="13"/>
      <c r="J379" s="13"/>
      <c r="K379" s="13"/>
      <c r="L379" s="13"/>
    </row>
    <row r="380" spans="1:12" x14ac:dyDescent="0.35">
      <c r="A380" s="13"/>
      <c r="B380" s="13"/>
      <c r="C380" s="13"/>
      <c r="D380" s="13"/>
      <c r="E380" s="13"/>
      <c r="F380" s="13"/>
      <c r="G380" s="13"/>
      <c r="H380" s="13"/>
      <c r="I380" s="13"/>
      <c r="J380" s="13"/>
      <c r="K380" s="13"/>
      <c r="L380" s="13"/>
    </row>
    <row r="381" spans="1:12" x14ac:dyDescent="0.35">
      <c r="A381" s="13"/>
      <c r="B381" s="13"/>
      <c r="C381" s="13"/>
      <c r="D381" s="13"/>
      <c r="E381" s="13"/>
      <c r="F381" s="13"/>
      <c r="G381" s="13"/>
      <c r="H381" s="13"/>
      <c r="I381" s="13"/>
      <c r="J381" s="13"/>
      <c r="K381" s="13"/>
      <c r="L381" s="13"/>
    </row>
    <row r="382" spans="1:12" x14ac:dyDescent="0.35">
      <c r="A382" s="13"/>
      <c r="B382" s="13"/>
      <c r="C382" s="13"/>
      <c r="D382" s="13"/>
      <c r="E382" s="13"/>
      <c r="F382" s="13"/>
      <c r="G382" s="13"/>
      <c r="H382" s="13"/>
      <c r="I382" s="13"/>
      <c r="J382" s="13"/>
      <c r="K382" s="13"/>
      <c r="L382" s="13"/>
    </row>
    <row r="383" spans="1:12" x14ac:dyDescent="0.35">
      <c r="A383" s="13"/>
      <c r="B383" s="13"/>
      <c r="C383" s="13"/>
      <c r="D383" s="13"/>
      <c r="E383" s="13"/>
      <c r="F383" s="13"/>
      <c r="G383" s="13"/>
      <c r="H383" s="13"/>
      <c r="I383" s="13"/>
      <c r="J383" s="13"/>
      <c r="K383" s="13"/>
      <c r="L383" s="13"/>
    </row>
    <row r="384" spans="1:12" x14ac:dyDescent="0.35">
      <c r="A384" s="13"/>
      <c r="B384" s="13"/>
      <c r="C384" s="13"/>
      <c r="D384" s="13"/>
      <c r="E384" s="13"/>
      <c r="F384" s="13"/>
      <c r="G384" s="13"/>
      <c r="H384" s="13"/>
      <c r="I384" s="13"/>
      <c r="J384" s="13"/>
      <c r="K384" s="13"/>
      <c r="L384" s="13"/>
    </row>
    <row r="385" spans="1:12" x14ac:dyDescent="0.35">
      <c r="A385" s="13"/>
      <c r="B385" s="13"/>
      <c r="C385" s="13"/>
      <c r="D385" s="13"/>
      <c r="E385" s="13"/>
      <c r="F385" s="13"/>
      <c r="G385" s="13"/>
      <c r="H385" s="13"/>
      <c r="I385" s="13"/>
      <c r="J385" s="13"/>
      <c r="K385" s="13"/>
      <c r="L385" s="13"/>
    </row>
    <row r="386" spans="1:12" x14ac:dyDescent="0.35">
      <c r="A386" s="13"/>
      <c r="B386" s="13"/>
      <c r="C386" s="13"/>
      <c r="D386" s="13"/>
      <c r="E386" s="13"/>
      <c r="F386" s="13"/>
      <c r="G386" s="13"/>
      <c r="H386" s="13"/>
      <c r="I386" s="13"/>
      <c r="J386" s="13"/>
      <c r="K386" s="13"/>
      <c r="L386" s="13"/>
    </row>
    <row r="387" spans="1:12" x14ac:dyDescent="0.35">
      <c r="A387" s="13"/>
      <c r="B387" s="13"/>
      <c r="C387" s="13"/>
      <c r="D387" s="13"/>
      <c r="E387" s="13"/>
      <c r="F387" s="13"/>
      <c r="G387" s="13"/>
      <c r="H387" s="13"/>
      <c r="I387" s="13"/>
      <c r="J387" s="13"/>
      <c r="K387" s="13"/>
      <c r="L387" s="13"/>
    </row>
    <row r="388" spans="1:12" x14ac:dyDescent="0.35">
      <c r="A388" s="13"/>
      <c r="B388" s="13"/>
      <c r="C388" s="13"/>
      <c r="D388" s="13"/>
      <c r="E388" s="13"/>
      <c r="F388" s="13"/>
      <c r="G388" s="13"/>
      <c r="H388" s="13"/>
      <c r="I388" s="13"/>
      <c r="J388" s="13"/>
      <c r="K388" s="13"/>
      <c r="L388" s="13"/>
    </row>
    <row r="389" spans="1:12" x14ac:dyDescent="0.35">
      <c r="A389" s="13"/>
      <c r="B389" s="13"/>
      <c r="C389" s="13"/>
      <c r="D389" s="13"/>
      <c r="E389" s="13"/>
      <c r="F389" s="13"/>
      <c r="G389" s="13"/>
      <c r="H389" s="13"/>
      <c r="I389" s="13"/>
      <c r="J389" s="13"/>
      <c r="K389" s="13"/>
      <c r="L389" s="13"/>
    </row>
    <row r="390" spans="1:12" x14ac:dyDescent="0.35">
      <c r="A390" s="13"/>
      <c r="B390" s="13"/>
      <c r="C390" s="13"/>
      <c r="D390" s="13"/>
      <c r="E390" s="13"/>
      <c r="F390" s="13"/>
      <c r="G390" s="13"/>
      <c r="H390" s="13"/>
      <c r="I390" s="13"/>
      <c r="J390" s="13"/>
      <c r="K390" s="13"/>
      <c r="L390" s="13"/>
    </row>
    <row r="391" spans="1:12" x14ac:dyDescent="0.35">
      <c r="A391" s="13"/>
      <c r="B391" s="13"/>
      <c r="C391" s="13"/>
      <c r="D391" s="13"/>
      <c r="E391" s="13"/>
      <c r="F391" s="13"/>
      <c r="G391" s="13"/>
      <c r="H391" s="13"/>
      <c r="I391" s="13"/>
      <c r="J391" s="13"/>
      <c r="K391" s="13"/>
      <c r="L391" s="13"/>
    </row>
    <row r="392" spans="1:12" x14ac:dyDescent="0.35">
      <c r="A392" s="13"/>
      <c r="B392" s="13"/>
      <c r="C392" s="13"/>
      <c r="D392" s="13"/>
      <c r="E392" s="13"/>
      <c r="F392" s="13"/>
      <c r="G392" s="13"/>
      <c r="H392" s="13"/>
      <c r="I392" s="13"/>
      <c r="J392" s="13"/>
      <c r="K392" s="13"/>
      <c r="L392" s="13"/>
    </row>
    <row r="393" spans="1:12" x14ac:dyDescent="0.35">
      <c r="A393" s="13"/>
      <c r="B393" s="13"/>
      <c r="C393" s="13"/>
      <c r="D393" s="13"/>
      <c r="E393" s="13"/>
      <c r="F393" s="13"/>
      <c r="G393" s="13"/>
      <c r="H393" s="13"/>
      <c r="I393" s="13"/>
      <c r="J393" s="13"/>
      <c r="K393" s="13"/>
      <c r="L393" s="13"/>
    </row>
    <row r="394" spans="1:12" x14ac:dyDescent="0.35">
      <c r="A394" s="13"/>
      <c r="B394" s="13"/>
      <c r="C394" s="13"/>
      <c r="D394" s="13"/>
      <c r="E394" s="13"/>
      <c r="F394" s="13"/>
      <c r="G394" s="13"/>
      <c r="H394" s="13"/>
      <c r="I394" s="13"/>
      <c r="J394" s="13"/>
      <c r="K394" s="13"/>
      <c r="L394" s="13"/>
    </row>
    <row r="395" spans="1:12" x14ac:dyDescent="0.35">
      <c r="A395" s="13"/>
      <c r="B395" s="13"/>
      <c r="C395" s="13"/>
      <c r="D395" s="13"/>
      <c r="E395" s="13"/>
      <c r="F395" s="13"/>
      <c r="G395" s="13"/>
      <c r="H395" s="13"/>
      <c r="I395" s="13"/>
      <c r="J395" s="13"/>
      <c r="K395" s="13"/>
      <c r="L395" s="13"/>
    </row>
    <row r="396" spans="1:12" x14ac:dyDescent="0.35">
      <c r="A396" s="13"/>
      <c r="B396" s="13"/>
      <c r="C396" s="13"/>
      <c r="D396" s="13"/>
      <c r="E396" s="13"/>
      <c r="F396" s="13"/>
      <c r="G396" s="13"/>
      <c r="H396" s="13"/>
      <c r="I396" s="13"/>
      <c r="J396" s="13"/>
      <c r="K396" s="13"/>
      <c r="L396" s="13"/>
    </row>
    <row r="397" spans="1:12" x14ac:dyDescent="0.35">
      <c r="A397" s="13"/>
      <c r="B397" s="13"/>
      <c r="C397" s="13"/>
      <c r="D397" s="13"/>
      <c r="E397" s="13"/>
      <c r="F397" s="13"/>
      <c r="G397" s="13"/>
      <c r="H397" s="13"/>
      <c r="I397" s="13"/>
      <c r="J397" s="13"/>
      <c r="K397" s="13"/>
      <c r="L397" s="13"/>
    </row>
    <row r="398" spans="1:12" x14ac:dyDescent="0.35">
      <c r="A398" s="13"/>
      <c r="B398" s="13"/>
      <c r="C398" s="13"/>
      <c r="D398" s="13"/>
      <c r="E398" s="13"/>
      <c r="F398" s="13"/>
      <c r="G398" s="13"/>
      <c r="H398" s="13"/>
      <c r="I398" s="13"/>
      <c r="J398" s="13"/>
      <c r="K398" s="13"/>
      <c r="L398" s="13"/>
    </row>
    <row r="399" spans="1:12" x14ac:dyDescent="0.35">
      <c r="A399" s="13"/>
      <c r="B399" s="13"/>
      <c r="C399" s="13"/>
      <c r="D399" s="13"/>
      <c r="E399" s="13"/>
      <c r="F399" s="13"/>
      <c r="G399" s="13"/>
      <c r="H399" s="13"/>
      <c r="I399" s="13"/>
      <c r="J399" s="13"/>
      <c r="K399" s="13"/>
      <c r="L399" s="13"/>
    </row>
    <row r="400" spans="1:12" x14ac:dyDescent="0.35">
      <c r="A400" s="13"/>
      <c r="B400" s="13"/>
      <c r="C400" s="13"/>
      <c r="D400" s="13"/>
      <c r="E400" s="13"/>
      <c r="F400" s="13"/>
      <c r="G400" s="13"/>
      <c r="H400" s="13"/>
      <c r="I400" s="13"/>
      <c r="J400" s="13"/>
      <c r="K400" s="13"/>
      <c r="L400" s="13"/>
    </row>
    <row r="401" spans="1:12" x14ac:dyDescent="0.35">
      <c r="A401" s="13"/>
      <c r="B401" s="13"/>
      <c r="C401" s="13"/>
      <c r="D401" s="13"/>
      <c r="E401" s="13"/>
      <c r="F401" s="13"/>
      <c r="G401" s="13"/>
      <c r="H401" s="13"/>
      <c r="I401" s="13"/>
      <c r="J401" s="13"/>
      <c r="K401" s="13"/>
      <c r="L401" s="13"/>
    </row>
    <row r="402" spans="1:12" x14ac:dyDescent="0.35">
      <c r="A402" s="13"/>
      <c r="B402" s="13"/>
      <c r="C402" s="13"/>
      <c r="D402" s="13"/>
      <c r="E402" s="13"/>
      <c r="F402" s="13"/>
      <c r="G402" s="13"/>
      <c r="H402" s="13"/>
      <c r="I402" s="13"/>
      <c r="J402" s="13"/>
      <c r="K402" s="13"/>
      <c r="L402" s="13"/>
    </row>
    <row r="403" spans="1:12" x14ac:dyDescent="0.35">
      <c r="A403" s="13"/>
      <c r="B403" s="13"/>
      <c r="C403" s="13"/>
      <c r="D403" s="13"/>
      <c r="E403" s="13"/>
      <c r="F403" s="13"/>
      <c r="G403" s="13"/>
      <c r="H403" s="13"/>
      <c r="I403" s="13"/>
      <c r="J403" s="13"/>
      <c r="K403" s="13"/>
      <c r="L403" s="13"/>
    </row>
    <row r="404" spans="1:12" x14ac:dyDescent="0.35">
      <c r="A404" s="13"/>
      <c r="B404" s="13"/>
      <c r="C404" s="13"/>
      <c r="D404" s="13"/>
      <c r="E404" s="13"/>
      <c r="F404" s="13"/>
      <c r="G404" s="13"/>
      <c r="H404" s="13"/>
      <c r="I404" s="13"/>
      <c r="J404" s="13"/>
      <c r="K404" s="13"/>
      <c r="L404" s="13"/>
    </row>
    <row r="405" spans="1:12" x14ac:dyDescent="0.35">
      <c r="A405" s="13"/>
      <c r="B405" s="13"/>
      <c r="C405" s="13"/>
      <c r="D405" s="13"/>
      <c r="E405" s="13"/>
      <c r="F405" s="13"/>
      <c r="G405" s="13"/>
      <c r="H405" s="13"/>
      <c r="I405" s="13"/>
      <c r="J405" s="13"/>
      <c r="K405" s="13"/>
      <c r="L405" s="13"/>
    </row>
    <row r="406" spans="1:12" x14ac:dyDescent="0.35">
      <c r="A406" s="13"/>
      <c r="B406" s="13"/>
      <c r="C406" s="13"/>
      <c r="D406" s="13"/>
      <c r="E406" s="13"/>
      <c r="F406" s="13"/>
      <c r="G406" s="13"/>
      <c r="H406" s="13"/>
      <c r="I406" s="13"/>
      <c r="J406" s="13"/>
      <c r="K406" s="13"/>
      <c r="L406" s="13"/>
    </row>
    <row r="407" spans="1:12" x14ac:dyDescent="0.35">
      <c r="A407" s="13"/>
      <c r="B407" s="13"/>
      <c r="C407" s="13"/>
      <c r="D407" s="13"/>
      <c r="E407" s="13"/>
      <c r="F407" s="13"/>
      <c r="G407" s="13"/>
      <c r="H407" s="13"/>
      <c r="I407" s="13"/>
      <c r="J407" s="13"/>
      <c r="K407" s="13"/>
      <c r="L407" s="13"/>
    </row>
    <row r="408" spans="1:12" x14ac:dyDescent="0.35">
      <c r="A408" s="13"/>
      <c r="B408" s="13"/>
      <c r="C408" s="13"/>
      <c r="D408" s="13"/>
      <c r="E408" s="13"/>
      <c r="F408" s="13"/>
      <c r="G408" s="13"/>
      <c r="H408" s="13"/>
      <c r="I408" s="13"/>
      <c r="J408" s="13"/>
      <c r="K408" s="13"/>
      <c r="L408" s="13"/>
    </row>
    <row r="409" spans="1:12" x14ac:dyDescent="0.35">
      <c r="A409" s="13"/>
      <c r="B409" s="13"/>
      <c r="C409" s="13"/>
      <c r="D409" s="13"/>
      <c r="E409" s="13"/>
      <c r="F409" s="13"/>
      <c r="G409" s="13"/>
      <c r="H409" s="13"/>
      <c r="I409" s="13"/>
      <c r="J409" s="13"/>
      <c r="K409" s="13"/>
      <c r="L409" s="13"/>
    </row>
    <row r="410" spans="1:12" x14ac:dyDescent="0.35">
      <c r="A410" s="13"/>
      <c r="B410" s="13"/>
      <c r="C410" s="13"/>
      <c r="D410" s="13"/>
      <c r="E410" s="13"/>
      <c r="F410" s="13"/>
      <c r="G410" s="13"/>
      <c r="H410" s="13"/>
      <c r="I410" s="13"/>
      <c r="J410" s="13"/>
      <c r="K410" s="13"/>
      <c r="L410" s="13"/>
    </row>
    <row r="411" spans="1:12" x14ac:dyDescent="0.35">
      <c r="A411" s="13"/>
      <c r="B411" s="13"/>
      <c r="C411" s="13"/>
      <c r="D411" s="13"/>
      <c r="E411" s="13"/>
      <c r="F411" s="13"/>
      <c r="G411" s="13"/>
      <c r="H411" s="13"/>
      <c r="I411" s="13"/>
      <c r="J411" s="13"/>
      <c r="K411" s="13"/>
      <c r="L411" s="13"/>
    </row>
    <row r="412" spans="1:12" x14ac:dyDescent="0.35">
      <c r="A412" s="13"/>
      <c r="B412" s="13"/>
      <c r="C412" s="13"/>
      <c r="D412" s="13"/>
      <c r="E412" s="13"/>
      <c r="F412" s="13"/>
      <c r="G412" s="13"/>
      <c r="H412" s="13"/>
      <c r="I412" s="13"/>
      <c r="J412" s="13"/>
      <c r="K412" s="13"/>
      <c r="L412" s="13"/>
    </row>
    <row r="413" spans="1:12" x14ac:dyDescent="0.35">
      <c r="A413" s="13"/>
      <c r="B413" s="13"/>
      <c r="C413" s="13"/>
      <c r="D413" s="13"/>
      <c r="E413" s="13"/>
      <c r="F413" s="13"/>
      <c r="G413" s="13"/>
      <c r="H413" s="13"/>
      <c r="I413" s="13"/>
      <c r="J413" s="13"/>
      <c r="K413" s="13"/>
      <c r="L413" s="13"/>
    </row>
    <row r="414" spans="1:12" x14ac:dyDescent="0.35">
      <c r="A414" s="13"/>
      <c r="B414" s="13"/>
      <c r="C414" s="13"/>
      <c r="D414" s="13"/>
      <c r="E414" s="13"/>
      <c r="F414" s="13"/>
      <c r="G414" s="13"/>
      <c r="H414" s="13"/>
      <c r="I414" s="13"/>
      <c r="J414" s="13"/>
      <c r="K414" s="13"/>
      <c r="L414" s="13"/>
    </row>
    <row r="415" spans="1:12" x14ac:dyDescent="0.35">
      <c r="A415" s="13"/>
      <c r="B415" s="13"/>
      <c r="C415" s="13"/>
      <c r="D415" s="13"/>
      <c r="E415" s="13"/>
      <c r="F415" s="13"/>
      <c r="G415" s="13"/>
      <c r="H415" s="13"/>
      <c r="I415" s="13"/>
      <c r="J415" s="13"/>
      <c r="K415" s="13"/>
      <c r="L415" s="13"/>
    </row>
    <row r="416" spans="1:12" x14ac:dyDescent="0.35">
      <c r="A416" s="13"/>
      <c r="B416" s="13"/>
      <c r="C416" s="13"/>
      <c r="D416" s="13"/>
      <c r="E416" s="13"/>
      <c r="F416" s="13"/>
      <c r="G416" s="13"/>
      <c r="H416" s="13"/>
      <c r="I416" s="13"/>
      <c r="J416" s="13"/>
      <c r="K416" s="13"/>
      <c r="L416" s="13"/>
    </row>
    <row r="417" spans="1:12" x14ac:dyDescent="0.35">
      <c r="A417" s="13"/>
      <c r="B417" s="13"/>
      <c r="C417" s="13"/>
      <c r="D417" s="13"/>
      <c r="E417" s="13"/>
      <c r="F417" s="13"/>
      <c r="G417" s="13"/>
      <c r="H417" s="13"/>
      <c r="I417" s="13"/>
      <c r="J417" s="13"/>
      <c r="K417" s="13"/>
      <c r="L417" s="13"/>
    </row>
    <row r="418" spans="1:12" x14ac:dyDescent="0.35">
      <c r="A418" s="13"/>
      <c r="B418" s="13"/>
      <c r="C418" s="13"/>
      <c r="D418" s="13"/>
      <c r="E418" s="13"/>
      <c r="F418" s="13"/>
      <c r="G418" s="13"/>
      <c r="H418" s="13"/>
      <c r="I418" s="13"/>
      <c r="J418" s="13"/>
      <c r="K418" s="13"/>
      <c r="L418" s="13"/>
    </row>
    <row r="419" spans="1:12" x14ac:dyDescent="0.35">
      <c r="A419" s="13"/>
      <c r="B419" s="13"/>
      <c r="C419" s="13"/>
      <c r="D419" s="13"/>
      <c r="E419" s="13"/>
      <c r="F419" s="13"/>
      <c r="G419" s="13"/>
      <c r="H419" s="13"/>
      <c r="I419" s="13"/>
      <c r="J419" s="13"/>
      <c r="K419" s="13"/>
      <c r="L419" s="13"/>
    </row>
    <row r="420" spans="1:12" x14ac:dyDescent="0.35">
      <c r="A420" s="13"/>
      <c r="B420" s="13"/>
      <c r="C420" s="13"/>
      <c r="D420" s="13"/>
      <c r="E420" s="13"/>
      <c r="F420" s="13"/>
      <c r="G420" s="13"/>
      <c r="H420" s="13"/>
      <c r="I420" s="13"/>
      <c r="J420" s="13"/>
      <c r="K420" s="13"/>
      <c r="L420" s="13"/>
    </row>
    <row r="421" spans="1:12" x14ac:dyDescent="0.35">
      <c r="A421" s="13"/>
      <c r="B421" s="13"/>
      <c r="C421" s="13"/>
      <c r="D421" s="13"/>
      <c r="E421" s="13"/>
      <c r="F421" s="13"/>
      <c r="G421" s="13"/>
      <c r="H421" s="13"/>
      <c r="I421" s="13"/>
      <c r="J421" s="13"/>
      <c r="K421" s="13"/>
      <c r="L421" s="13"/>
    </row>
    <row r="422" spans="1:12" x14ac:dyDescent="0.35">
      <c r="A422" s="13"/>
      <c r="B422" s="13"/>
      <c r="C422" s="13"/>
      <c r="D422" s="13"/>
      <c r="E422" s="13"/>
      <c r="F422" s="13"/>
      <c r="G422" s="13"/>
      <c r="H422" s="13"/>
      <c r="I422" s="13"/>
      <c r="J422" s="13"/>
      <c r="K422" s="13"/>
      <c r="L422" s="13"/>
    </row>
    <row r="423" spans="1:12" x14ac:dyDescent="0.35">
      <c r="A423" s="13"/>
      <c r="B423" s="13"/>
      <c r="C423" s="13"/>
      <c r="D423" s="13"/>
      <c r="E423" s="13"/>
      <c r="F423" s="13"/>
      <c r="G423" s="13"/>
      <c r="H423" s="13"/>
      <c r="I423" s="13"/>
      <c r="J423" s="13"/>
      <c r="K423" s="13"/>
      <c r="L423" s="13"/>
    </row>
    <row r="424" spans="1:12" x14ac:dyDescent="0.35">
      <c r="A424" s="13"/>
      <c r="B424" s="13"/>
      <c r="C424" s="13"/>
      <c r="D424" s="13"/>
      <c r="E424" s="13"/>
      <c r="F424" s="13"/>
      <c r="G424" s="13"/>
      <c r="H424" s="13"/>
      <c r="I424" s="13"/>
      <c r="J424" s="13"/>
      <c r="K424" s="13"/>
      <c r="L424" s="13"/>
    </row>
    <row r="425" spans="1:12" x14ac:dyDescent="0.35">
      <c r="A425" s="13"/>
      <c r="B425" s="13"/>
      <c r="C425" s="13"/>
      <c r="D425" s="13"/>
      <c r="E425" s="13"/>
      <c r="F425" s="13"/>
      <c r="G425" s="13"/>
      <c r="H425" s="13"/>
      <c r="I425" s="13"/>
      <c r="J425" s="13"/>
      <c r="K425" s="13"/>
      <c r="L425" s="13"/>
    </row>
    <row r="426" spans="1:12" x14ac:dyDescent="0.35">
      <c r="A426" s="13"/>
      <c r="B426" s="13"/>
      <c r="C426" s="13"/>
      <c r="D426" s="13"/>
      <c r="E426" s="13"/>
      <c r="F426" s="13"/>
      <c r="G426" s="13"/>
      <c r="H426" s="13"/>
      <c r="I426" s="13"/>
      <c r="J426" s="13"/>
      <c r="K426" s="13"/>
      <c r="L426" s="13"/>
    </row>
    <row r="427" spans="1:12" x14ac:dyDescent="0.35">
      <c r="A427" s="13"/>
      <c r="B427" s="13"/>
      <c r="C427" s="13"/>
      <c r="D427" s="13"/>
      <c r="E427" s="13"/>
      <c r="F427" s="13"/>
      <c r="G427" s="13"/>
      <c r="H427" s="13"/>
      <c r="I427" s="13"/>
      <c r="J427" s="13"/>
      <c r="K427" s="13"/>
      <c r="L427" s="13"/>
    </row>
    <row r="428" spans="1:12" x14ac:dyDescent="0.35">
      <c r="A428" s="13"/>
      <c r="B428" s="13"/>
      <c r="C428" s="13"/>
      <c r="D428" s="13"/>
      <c r="E428" s="13"/>
      <c r="F428" s="13"/>
      <c r="G428" s="13"/>
      <c r="H428" s="13"/>
      <c r="I428" s="13"/>
      <c r="J428" s="13"/>
      <c r="K428" s="13"/>
      <c r="L428" s="13"/>
    </row>
    <row r="429" spans="1:12" x14ac:dyDescent="0.35">
      <c r="A429" s="13"/>
      <c r="B429" s="13"/>
      <c r="C429" s="13"/>
      <c r="D429" s="13"/>
      <c r="E429" s="13"/>
      <c r="F429" s="13"/>
      <c r="G429" s="13"/>
      <c r="H429" s="13"/>
      <c r="I429" s="13"/>
      <c r="J429" s="13"/>
      <c r="K429" s="13"/>
      <c r="L429" s="13"/>
    </row>
    <row r="430" spans="1:12" x14ac:dyDescent="0.35">
      <c r="A430" s="13"/>
      <c r="B430" s="13"/>
      <c r="C430" s="13"/>
      <c r="D430" s="13"/>
      <c r="E430" s="13"/>
      <c r="F430" s="13"/>
      <c r="G430" s="13"/>
      <c r="H430" s="13"/>
      <c r="I430" s="13"/>
      <c r="J430" s="13"/>
      <c r="K430" s="13"/>
      <c r="L430" s="13"/>
    </row>
    <row r="431" spans="1:12" x14ac:dyDescent="0.35">
      <c r="A431" s="13"/>
      <c r="B431" s="13"/>
      <c r="C431" s="13"/>
      <c r="D431" s="13"/>
      <c r="E431" s="13"/>
      <c r="F431" s="13"/>
      <c r="G431" s="13"/>
      <c r="H431" s="13"/>
      <c r="I431" s="13"/>
      <c r="J431" s="13"/>
      <c r="K431" s="13"/>
      <c r="L431" s="13"/>
    </row>
    <row r="432" spans="1:12" x14ac:dyDescent="0.35">
      <c r="A432" s="13"/>
      <c r="B432" s="13"/>
      <c r="C432" s="13"/>
      <c r="D432" s="13"/>
      <c r="E432" s="13"/>
      <c r="F432" s="13"/>
      <c r="G432" s="13"/>
      <c r="H432" s="13"/>
      <c r="I432" s="13"/>
      <c r="J432" s="13"/>
      <c r="K432" s="13"/>
      <c r="L432" s="13"/>
    </row>
    <row r="433" spans="1:12" x14ac:dyDescent="0.35">
      <c r="A433" s="13"/>
      <c r="B433" s="13"/>
      <c r="C433" s="13"/>
      <c r="D433" s="13"/>
      <c r="E433" s="13"/>
      <c r="F433" s="13"/>
      <c r="G433" s="13"/>
      <c r="H433" s="13"/>
      <c r="I433" s="13"/>
      <c r="J433" s="13"/>
      <c r="K433" s="13"/>
      <c r="L433" s="13"/>
    </row>
    <row r="434" spans="1:12" x14ac:dyDescent="0.35">
      <c r="A434" s="13"/>
      <c r="B434" s="13"/>
      <c r="C434" s="13"/>
      <c r="D434" s="13"/>
      <c r="E434" s="13"/>
      <c r="F434" s="13"/>
      <c r="G434" s="13"/>
      <c r="H434" s="13"/>
      <c r="I434" s="13"/>
      <c r="J434" s="13"/>
      <c r="K434" s="13"/>
      <c r="L434" s="13"/>
    </row>
    <row r="435" spans="1:12" x14ac:dyDescent="0.35">
      <c r="A435" s="13"/>
      <c r="B435" s="13"/>
      <c r="C435" s="13"/>
      <c r="D435" s="13"/>
      <c r="E435" s="13"/>
      <c r="F435" s="13"/>
      <c r="G435" s="13"/>
      <c r="H435" s="13"/>
      <c r="I435" s="13"/>
      <c r="J435" s="13"/>
      <c r="K435" s="13"/>
      <c r="L435" s="13"/>
    </row>
    <row r="436" spans="1:12" x14ac:dyDescent="0.35">
      <c r="A436" s="13"/>
      <c r="B436" s="13"/>
      <c r="C436" s="13"/>
      <c r="D436" s="13"/>
      <c r="E436" s="13"/>
      <c r="F436" s="13"/>
      <c r="G436" s="13"/>
      <c r="H436" s="13"/>
      <c r="I436" s="13"/>
      <c r="J436" s="13"/>
      <c r="K436" s="13"/>
      <c r="L436" s="13"/>
    </row>
    <row r="437" spans="1:12" x14ac:dyDescent="0.35">
      <c r="A437" s="13"/>
      <c r="B437" s="13"/>
      <c r="C437" s="13"/>
      <c r="D437" s="13"/>
      <c r="E437" s="13"/>
      <c r="F437" s="13"/>
      <c r="G437" s="13"/>
      <c r="H437" s="13"/>
      <c r="I437" s="13"/>
      <c r="J437" s="13"/>
      <c r="K437" s="13"/>
      <c r="L437" s="13"/>
    </row>
    <row r="438" spans="1:12" x14ac:dyDescent="0.35">
      <c r="A438" s="13"/>
      <c r="B438" s="13"/>
      <c r="C438" s="13"/>
      <c r="D438" s="13"/>
      <c r="E438" s="13"/>
      <c r="F438" s="13"/>
      <c r="G438" s="13"/>
      <c r="H438" s="13"/>
      <c r="I438" s="13"/>
      <c r="J438" s="13"/>
      <c r="K438" s="13"/>
      <c r="L438" s="13"/>
    </row>
    <row r="439" spans="1:12" x14ac:dyDescent="0.35">
      <c r="A439" s="13"/>
      <c r="B439" s="13"/>
      <c r="C439" s="13"/>
      <c r="D439" s="13"/>
      <c r="E439" s="13"/>
      <c r="F439" s="13"/>
      <c r="G439" s="13"/>
      <c r="H439" s="13"/>
      <c r="I439" s="13"/>
      <c r="J439" s="13"/>
      <c r="K439" s="13"/>
      <c r="L439" s="13"/>
    </row>
    <row r="440" spans="1:12" x14ac:dyDescent="0.35">
      <c r="A440" s="13"/>
      <c r="B440" s="13"/>
      <c r="C440" s="13"/>
      <c r="D440" s="13"/>
      <c r="E440" s="13"/>
      <c r="F440" s="13"/>
      <c r="G440" s="13"/>
      <c r="H440" s="13"/>
      <c r="I440" s="13"/>
      <c r="J440" s="13"/>
      <c r="K440" s="13"/>
      <c r="L440" s="13"/>
    </row>
    <row r="441" spans="1:12" x14ac:dyDescent="0.35">
      <c r="A441" s="13"/>
      <c r="B441" s="13"/>
      <c r="C441" s="13"/>
      <c r="D441" s="13"/>
      <c r="E441" s="13"/>
      <c r="F441" s="13"/>
      <c r="G441" s="13"/>
      <c r="H441" s="13"/>
      <c r="I441" s="13"/>
      <c r="J441" s="13"/>
      <c r="K441" s="13"/>
      <c r="L441" s="13"/>
    </row>
    <row r="442" spans="1:12" x14ac:dyDescent="0.35">
      <c r="A442" s="13"/>
      <c r="B442" s="13"/>
      <c r="C442" s="13"/>
      <c r="D442" s="13"/>
      <c r="E442" s="13"/>
      <c r="F442" s="13"/>
      <c r="G442" s="13"/>
      <c r="H442" s="13"/>
      <c r="I442" s="13"/>
      <c r="J442" s="13"/>
      <c r="K442" s="13"/>
      <c r="L442" s="13"/>
    </row>
    <row r="443" spans="1:12" x14ac:dyDescent="0.35">
      <c r="A443" s="13"/>
      <c r="B443" s="13"/>
      <c r="C443" s="13"/>
      <c r="D443" s="13"/>
      <c r="E443" s="13"/>
      <c r="F443" s="13"/>
      <c r="G443" s="13"/>
      <c r="H443" s="13"/>
      <c r="I443" s="13"/>
      <c r="J443" s="13"/>
      <c r="K443" s="13"/>
      <c r="L443" s="13"/>
    </row>
    <row r="444" spans="1:12" x14ac:dyDescent="0.35">
      <c r="A444" s="13"/>
      <c r="B444" s="13"/>
      <c r="C444" s="13"/>
      <c r="D444" s="13"/>
      <c r="E444" s="13"/>
      <c r="F444" s="13"/>
      <c r="G444" s="13"/>
      <c r="H444" s="13"/>
      <c r="I444" s="13"/>
      <c r="J444" s="13"/>
      <c r="K444" s="13"/>
      <c r="L444" s="13"/>
    </row>
    <row r="445" spans="1:12" x14ac:dyDescent="0.35">
      <c r="A445" s="13"/>
      <c r="B445" s="13"/>
      <c r="C445" s="13"/>
      <c r="D445" s="13"/>
      <c r="E445" s="13"/>
      <c r="F445" s="13"/>
      <c r="G445" s="13"/>
      <c r="H445" s="13"/>
      <c r="I445" s="13"/>
      <c r="J445" s="13"/>
      <c r="K445" s="13"/>
      <c r="L445" s="13"/>
    </row>
    <row r="446" spans="1:12" x14ac:dyDescent="0.35">
      <c r="A446" s="13"/>
      <c r="B446" s="13"/>
      <c r="C446" s="13"/>
      <c r="D446" s="13"/>
      <c r="E446" s="13"/>
      <c r="F446" s="13"/>
      <c r="G446" s="13"/>
      <c r="H446" s="13"/>
      <c r="I446" s="13"/>
      <c r="J446" s="13"/>
      <c r="K446" s="13"/>
      <c r="L446" s="13"/>
    </row>
    <row r="447" spans="1:12" x14ac:dyDescent="0.35">
      <c r="A447" s="13"/>
      <c r="B447" s="13"/>
      <c r="C447" s="13"/>
      <c r="D447" s="13"/>
      <c r="E447" s="13"/>
      <c r="F447" s="13"/>
      <c r="G447" s="13"/>
      <c r="H447" s="13"/>
      <c r="I447" s="13"/>
      <c r="J447" s="13"/>
      <c r="K447" s="13"/>
      <c r="L447" s="13"/>
    </row>
    <row r="448" spans="1:12" x14ac:dyDescent="0.35">
      <c r="A448" s="13"/>
      <c r="B448" s="13"/>
      <c r="C448" s="13"/>
      <c r="D448" s="13"/>
      <c r="E448" s="13"/>
      <c r="F448" s="13"/>
      <c r="G448" s="13"/>
      <c r="H448" s="13"/>
      <c r="I448" s="13"/>
      <c r="J448" s="13"/>
      <c r="K448" s="13"/>
      <c r="L448" s="13"/>
    </row>
    <row r="449" spans="1:12" x14ac:dyDescent="0.35">
      <c r="A449" s="13"/>
      <c r="B449" s="13"/>
      <c r="C449" s="13"/>
      <c r="D449" s="13"/>
      <c r="E449" s="13"/>
      <c r="F449" s="13"/>
      <c r="G449" s="13"/>
      <c r="H449" s="13"/>
      <c r="I449" s="13"/>
      <c r="J449" s="13"/>
      <c r="K449" s="13"/>
      <c r="L449" s="13"/>
    </row>
    <row r="450" spans="1:12" x14ac:dyDescent="0.35">
      <c r="A450" s="13"/>
      <c r="B450" s="13"/>
      <c r="C450" s="13"/>
      <c r="D450" s="13"/>
      <c r="E450" s="13"/>
      <c r="F450" s="13"/>
      <c r="G450" s="13"/>
      <c r="H450" s="13"/>
      <c r="I450" s="13"/>
      <c r="J450" s="13"/>
      <c r="K450" s="13"/>
      <c r="L450" s="13"/>
    </row>
    <row r="451" spans="1:12" x14ac:dyDescent="0.35">
      <c r="A451" s="13"/>
      <c r="B451" s="13"/>
      <c r="C451" s="13"/>
      <c r="D451" s="13"/>
      <c r="E451" s="13"/>
      <c r="F451" s="13"/>
      <c r="G451" s="13"/>
      <c r="H451" s="13"/>
      <c r="I451" s="13"/>
      <c r="J451" s="13"/>
      <c r="K451" s="13"/>
      <c r="L451" s="13"/>
    </row>
    <row r="452" spans="1:12" x14ac:dyDescent="0.35">
      <c r="A452" s="13"/>
      <c r="B452" s="13"/>
      <c r="C452" s="13"/>
      <c r="D452" s="13"/>
      <c r="E452" s="13"/>
      <c r="F452" s="13"/>
      <c r="G452" s="13"/>
      <c r="H452" s="13"/>
      <c r="I452" s="13"/>
      <c r="J452" s="13"/>
      <c r="K452" s="13"/>
      <c r="L452" s="13"/>
    </row>
    <row r="453" spans="1:12" x14ac:dyDescent="0.35">
      <c r="A453" s="13"/>
      <c r="B453" s="13"/>
      <c r="C453" s="13"/>
      <c r="D453" s="13"/>
      <c r="E453" s="13"/>
      <c r="F453" s="13"/>
      <c r="G453" s="13"/>
      <c r="H453" s="13"/>
      <c r="I453" s="13"/>
      <c r="J453" s="13"/>
      <c r="K453" s="13"/>
      <c r="L453" s="13"/>
    </row>
    <row r="454" spans="1:12" x14ac:dyDescent="0.35">
      <c r="A454" s="13"/>
      <c r="B454" s="13"/>
      <c r="C454" s="13"/>
      <c r="D454" s="13"/>
      <c r="E454" s="13"/>
      <c r="F454" s="13"/>
      <c r="G454" s="13"/>
      <c r="H454" s="13"/>
      <c r="I454" s="13"/>
      <c r="J454" s="13"/>
      <c r="K454" s="13"/>
      <c r="L454" s="13"/>
    </row>
    <row r="455" spans="1:12" x14ac:dyDescent="0.35">
      <c r="A455" s="13"/>
      <c r="B455" s="13"/>
      <c r="C455" s="13"/>
      <c r="D455" s="13"/>
      <c r="E455" s="13"/>
      <c r="F455" s="13"/>
      <c r="G455" s="13"/>
      <c r="H455" s="13"/>
      <c r="I455" s="13"/>
      <c r="J455" s="13"/>
      <c r="K455" s="13"/>
      <c r="L455" s="13"/>
    </row>
    <row r="456" spans="1:12" x14ac:dyDescent="0.35">
      <c r="A456" s="13"/>
      <c r="B456" s="13"/>
      <c r="C456" s="13"/>
      <c r="D456" s="13"/>
      <c r="E456" s="13"/>
      <c r="F456" s="13"/>
      <c r="G456" s="13"/>
      <c r="H456" s="13"/>
      <c r="I456" s="13"/>
      <c r="J456" s="13"/>
      <c r="K456" s="13"/>
      <c r="L456" s="13"/>
    </row>
    <row r="457" spans="1:12" x14ac:dyDescent="0.35">
      <c r="A457" s="13"/>
      <c r="B457" s="13"/>
      <c r="C457" s="13"/>
      <c r="D457" s="13"/>
      <c r="E457" s="13"/>
      <c r="F457" s="13"/>
      <c r="G457" s="13"/>
      <c r="H457" s="13"/>
      <c r="I457" s="13"/>
      <c r="J457" s="13"/>
      <c r="K457" s="13"/>
      <c r="L457" s="13"/>
    </row>
    <row r="458" spans="1:12" x14ac:dyDescent="0.35">
      <c r="A458" s="13"/>
      <c r="B458" s="13"/>
      <c r="C458" s="13"/>
      <c r="D458" s="13"/>
      <c r="E458" s="13"/>
      <c r="F458" s="13"/>
      <c r="G458" s="13"/>
      <c r="H458" s="13"/>
      <c r="I458" s="13"/>
      <c r="J458" s="13"/>
      <c r="K458" s="13"/>
      <c r="L458" s="13"/>
    </row>
    <row r="459" spans="1:12" x14ac:dyDescent="0.35">
      <c r="A459" s="13"/>
      <c r="B459" s="13"/>
      <c r="C459" s="13"/>
      <c r="D459" s="13"/>
      <c r="E459" s="13"/>
      <c r="F459" s="13"/>
      <c r="G459" s="13"/>
      <c r="H459" s="13"/>
      <c r="I459" s="13"/>
      <c r="J459" s="13"/>
      <c r="K459" s="13"/>
      <c r="L459" s="13"/>
    </row>
    <row r="460" spans="1:12" x14ac:dyDescent="0.35">
      <c r="A460" s="13"/>
      <c r="B460" s="13"/>
      <c r="C460" s="13"/>
      <c r="D460" s="13"/>
      <c r="E460" s="13"/>
      <c r="F460" s="13"/>
      <c r="G460" s="13"/>
      <c r="H460" s="13"/>
      <c r="I460" s="13"/>
      <c r="J460" s="13"/>
      <c r="K460" s="13"/>
      <c r="L460" s="13"/>
    </row>
    <row r="461" spans="1:12" x14ac:dyDescent="0.35">
      <c r="A461" s="13"/>
      <c r="B461" s="13"/>
      <c r="C461" s="13"/>
      <c r="D461" s="13"/>
      <c r="E461" s="13"/>
      <c r="F461" s="13"/>
      <c r="G461" s="13"/>
      <c r="H461" s="13"/>
      <c r="I461" s="13"/>
      <c r="J461" s="13"/>
      <c r="K461" s="13"/>
      <c r="L461" s="13"/>
    </row>
    <row r="462" spans="1:12" x14ac:dyDescent="0.35">
      <c r="A462" s="13"/>
      <c r="B462" s="13"/>
      <c r="C462" s="13"/>
      <c r="D462" s="13"/>
      <c r="E462" s="13"/>
      <c r="F462" s="13"/>
      <c r="G462" s="13"/>
      <c r="H462" s="13"/>
      <c r="I462" s="13"/>
      <c r="J462" s="13"/>
      <c r="K462" s="13"/>
      <c r="L462" s="13"/>
    </row>
    <row r="463" spans="1:12" x14ac:dyDescent="0.35">
      <c r="A463" s="13"/>
      <c r="B463" s="13"/>
      <c r="C463" s="13"/>
      <c r="D463" s="13"/>
      <c r="E463" s="13"/>
      <c r="F463" s="13"/>
      <c r="G463" s="13"/>
      <c r="H463" s="13"/>
      <c r="I463" s="13"/>
      <c r="J463" s="13"/>
      <c r="K463" s="13"/>
      <c r="L463" s="13"/>
    </row>
    <row r="464" spans="1:12" x14ac:dyDescent="0.35">
      <c r="A464" s="13"/>
      <c r="B464" s="13"/>
      <c r="C464" s="13"/>
      <c r="D464" s="13"/>
      <c r="E464" s="13"/>
      <c r="F464" s="13"/>
      <c r="G464" s="13"/>
      <c r="H464" s="13"/>
      <c r="I464" s="13"/>
      <c r="J464" s="13"/>
      <c r="K464" s="13"/>
      <c r="L464" s="13"/>
    </row>
    <row r="465" spans="1:12" x14ac:dyDescent="0.35">
      <c r="A465" s="13"/>
      <c r="B465" s="13"/>
      <c r="C465" s="13"/>
      <c r="D465" s="13"/>
      <c r="E465" s="13"/>
      <c r="F465" s="13"/>
      <c r="G465" s="13"/>
      <c r="H465" s="13"/>
      <c r="I465" s="13"/>
      <c r="J465" s="13"/>
      <c r="K465" s="13"/>
      <c r="L465" s="13"/>
    </row>
    <row r="466" spans="1:12" x14ac:dyDescent="0.35">
      <c r="A466" s="13"/>
      <c r="B466" s="13"/>
      <c r="C466" s="13"/>
      <c r="D466" s="13"/>
      <c r="E466" s="13"/>
      <c r="F466" s="13"/>
      <c r="G466" s="13"/>
      <c r="H466" s="13"/>
      <c r="I466" s="13"/>
      <c r="J466" s="13"/>
      <c r="K466" s="13"/>
      <c r="L466" s="13"/>
    </row>
    <row r="467" spans="1:12" x14ac:dyDescent="0.35">
      <c r="A467" s="13"/>
      <c r="B467" s="13"/>
      <c r="C467" s="13"/>
      <c r="D467" s="13"/>
      <c r="E467" s="13"/>
      <c r="F467" s="13"/>
      <c r="G467" s="13"/>
      <c r="H467" s="13"/>
      <c r="I467" s="13"/>
      <c r="J467" s="13"/>
      <c r="K467" s="13"/>
      <c r="L467" s="13"/>
    </row>
    <row r="468" spans="1:12" x14ac:dyDescent="0.35">
      <c r="A468" s="13"/>
      <c r="B468" s="13"/>
      <c r="C468" s="13"/>
      <c r="D468" s="13"/>
      <c r="E468" s="13"/>
      <c r="F468" s="13"/>
      <c r="G468" s="13"/>
      <c r="H468" s="13"/>
      <c r="I468" s="13"/>
      <c r="J468" s="13"/>
      <c r="K468" s="13"/>
      <c r="L468" s="13"/>
    </row>
    <row r="469" spans="1:12" x14ac:dyDescent="0.35">
      <c r="A469" s="13"/>
      <c r="B469" s="13"/>
      <c r="C469" s="13"/>
      <c r="D469" s="13"/>
      <c r="E469" s="13"/>
      <c r="F469" s="13"/>
      <c r="G469" s="13"/>
      <c r="H469" s="13"/>
      <c r="I469" s="13"/>
      <c r="J469" s="13"/>
      <c r="K469" s="13"/>
      <c r="L469" s="13"/>
    </row>
    <row r="470" spans="1:12" x14ac:dyDescent="0.35">
      <c r="A470" s="13"/>
      <c r="B470" s="13"/>
      <c r="C470" s="13"/>
      <c r="D470" s="13"/>
      <c r="E470" s="13"/>
      <c r="F470" s="13"/>
      <c r="G470" s="13"/>
      <c r="H470" s="13"/>
      <c r="I470" s="13"/>
      <c r="J470" s="13"/>
      <c r="K470" s="13"/>
      <c r="L470" s="13"/>
    </row>
    <row r="471" spans="1:12" x14ac:dyDescent="0.35">
      <c r="A471" s="13"/>
      <c r="B471" s="13"/>
      <c r="C471" s="13"/>
      <c r="D471" s="13"/>
      <c r="E471" s="13"/>
      <c r="F471" s="13"/>
      <c r="G471" s="13"/>
      <c r="H471" s="13"/>
      <c r="I471" s="13"/>
      <c r="J471" s="13"/>
      <c r="K471" s="13"/>
      <c r="L471" s="13"/>
    </row>
    <row r="472" spans="1:12" x14ac:dyDescent="0.35">
      <c r="A472" s="13"/>
      <c r="B472" s="13"/>
      <c r="C472" s="13"/>
      <c r="D472" s="13"/>
      <c r="E472" s="13"/>
      <c r="F472" s="13"/>
      <c r="G472" s="13"/>
      <c r="H472" s="13"/>
      <c r="I472" s="13"/>
      <c r="J472" s="13"/>
      <c r="K472" s="13"/>
      <c r="L472" s="13"/>
    </row>
    <row r="473" spans="1:12" x14ac:dyDescent="0.35">
      <c r="A473" s="13"/>
      <c r="B473" s="13"/>
      <c r="C473" s="13"/>
      <c r="D473" s="13"/>
      <c r="E473" s="13"/>
      <c r="F473" s="13"/>
      <c r="G473" s="13"/>
      <c r="H473" s="13"/>
      <c r="I473" s="13"/>
      <c r="J473" s="13"/>
      <c r="K473" s="13"/>
      <c r="L473" s="13"/>
    </row>
    <row r="474" spans="1:12" x14ac:dyDescent="0.35">
      <c r="A474" s="13"/>
      <c r="B474" s="13"/>
      <c r="C474" s="13"/>
      <c r="D474" s="13"/>
      <c r="E474" s="13"/>
      <c r="F474" s="13"/>
      <c r="G474" s="13"/>
      <c r="H474" s="13"/>
      <c r="I474" s="13"/>
      <c r="J474" s="13"/>
      <c r="K474" s="13"/>
      <c r="L474" s="13"/>
    </row>
    <row r="475" spans="1:12" x14ac:dyDescent="0.35">
      <c r="A475" s="13"/>
      <c r="B475" s="13"/>
      <c r="C475" s="13"/>
      <c r="D475" s="13"/>
      <c r="E475" s="13"/>
      <c r="F475" s="13"/>
      <c r="G475" s="13"/>
      <c r="H475" s="13"/>
      <c r="I475" s="13"/>
      <c r="J475" s="13"/>
      <c r="K475" s="13"/>
      <c r="L475" s="13"/>
    </row>
    <row r="476" spans="1:12" x14ac:dyDescent="0.35">
      <c r="A476" s="13"/>
      <c r="B476" s="13"/>
      <c r="C476" s="13"/>
      <c r="D476" s="13"/>
      <c r="E476" s="13"/>
      <c r="F476" s="13"/>
      <c r="G476" s="13"/>
      <c r="H476" s="13"/>
      <c r="I476" s="13"/>
      <c r="J476" s="13"/>
      <c r="K476" s="13"/>
      <c r="L476" s="13"/>
    </row>
    <row r="477" spans="1:12" x14ac:dyDescent="0.35">
      <c r="A477" s="13"/>
      <c r="B477" s="13"/>
      <c r="C477" s="13"/>
      <c r="D477" s="13"/>
      <c r="E477" s="13"/>
      <c r="F477" s="13"/>
      <c r="G477" s="13"/>
      <c r="H477" s="13"/>
      <c r="I477" s="13"/>
      <c r="J477" s="13"/>
      <c r="K477" s="13"/>
      <c r="L477" s="13"/>
    </row>
    <row r="478" spans="1:12" x14ac:dyDescent="0.35">
      <c r="A478" s="13"/>
      <c r="B478" s="13"/>
      <c r="C478" s="13"/>
      <c r="D478" s="13"/>
      <c r="E478" s="13"/>
      <c r="F478" s="13"/>
      <c r="G478" s="13"/>
      <c r="H478" s="13"/>
      <c r="I478" s="13"/>
      <c r="J478" s="13"/>
      <c r="K478" s="13"/>
      <c r="L478" s="13"/>
    </row>
    <row r="479" spans="1:12" x14ac:dyDescent="0.35">
      <c r="A479" s="13"/>
      <c r="B479" s="13"/>
      <c r="C479" s="13"/>
      <c r="D479" s="13"/>
      <c r="E479" s="13"/>
      <c r="F479" s="13"/>
      <c r="G479" s="13"/>
      <c r="H479" s="13"/>
      <c r="I479" s="13"/>
      <c r="J479" s="13"/>
      <c r="K479" s="13"/>
      <c r="L479" s="13"/>
    </row>
    <row r="480" spans="1:12" x14ac:dyDescent="0.35">
      <c r="A480" s="13"/>
      <c r="B480" s="13"/>
      <c r="C480" s="13"/>
      <c r="D480" s="13"/>
      <c r="E480" s="13"/>
      <c r="F480" s="13"/>
      <c r="G480" s="13"/>
      <c r="H480" s="13"/>
      <c r="I480" s="13"/>
      <c r="J480" s="13"/>
      <c r="K480" s="13"/>
      <c r="L480" s="13"/>
    </row>
    <row r="481" spans="1:12" x14ac:dyDescent="0.35">
      <c r="A481" s="13"/>
      <c r="B481" s="13"/>
      <c r="C481" s="13"/>
      <c r="D481" s="13"/>
      <c r="E481" s="13"/>
      <c r="F481" s="13"/>
      <c r="G481" s="13"/>
      <c r="H481" s="13"/>
      <c r="I481" s="13"/>
      <c r="J481" s="13"/>
      <c r="K481" s="13"/>
      <c r="L481" s="13"/>
    </row>
    <row r="482" spans="1:12" x14ac:dyDescent="0.35">
      <c r="A482" s="13"/>
      <c r="B482" s="13"/>
      <c r="C482" s="13"/>
      <c r="D482" s="13"/>
      <c r="E482" s="13"/>
      <c r="F482" s="13"/>
      <c r="G482" s="13"/>
      <c r="H482" s="13"/>
      <c r="I482" s="13"/>
      <c r="J482" s="13"/>
      <c r="K482" s="13"/>
      <c r="L482" s="13"/>
    </row>
    <row r="483" spans="1:12" x14ac:dyDescent="0.35">
      <c r="A483" s="13"/>
      <c r="B483" s="13"/>
      <c r="C483" s="13"/>
      <c r="D483" s="13"/>
      <c r="E483" s="13"/>
      <c r="F483" s="13"/>
      <c r="G483" s="13"/>
      <c r="H483" s="13"/>
      <c r="I483" s="13"/>
      <c r="J483" s="13"/>
      <c r="K483" s="13"/>
      <c r="L483" s="13"/>
    </row>
    <row r="484" spans="1:12" x14ac:dyDescent="0.35">
      <c r="A484" s="13"/>
      <c r="B484" s="13"/>
      <c r="C484" s="13"/>
      <c r="D484" s="13"/>
      <c r="E484" s="13"/>
      <c r="F484" s="13"/>
      <c r="G484" s="13"/>
      <c r="H484" s="13"/>
      <c r="I484" s="13"/>
      <c r="J484" s="13"/>
      <c r="K484" s="13"/>
      <c r="L484" s="13"/>
    </row>
    <row r="485" spans="1:12" x14ac:dyDescent="0.35">
      <c r="A485" s="13"/>
      <c r="B485" s="13"/>
      <c r="C485" s="13"/>
      <c r="D485" s="13"/>
      <c r="E485" s="13"/>
      <c r="F485" s="13"/>
      <c r="G485" s="13"/>
      <c r="H485" s="13"/>
      <c r="I485" s="13"/>
      <c r="J485" s="13"/>
      <c r="K485" s="13"/>
      <c r="L485" s="13"/>
    </row>
    <row r="486" spans="1:12" x14ac:dyDescent="0.35">
      <c r="A486" s="13"/>
      <c r="B486" s="13"/>
      <c r="C486" s="13"/>
      <c r="D486" s="13"/>
      <c r="E486" s="13"/>
      <c r="F486" s="13"/>
      <c r="G486" s="13"/>
      <c r="H486" s="13"/>
      <c r="I486" s="13"/>
      <c r="J486" s="13"/>
      <c r="K486" s="13"/>
      <c r="L486" s="13"/>
    </row>
    <row r="487" spans="1:12" x14ac:dyDescent="0.35">
      <c r="A487" s="13"/>
      <c r="B487" s="13"/>
      <c r="C487" s="13"/>
      <c r="D487" s="13"/>
      <c r="E487" s="13"/>
      <c r="F487" s="13"/>
      <c r="G487" s="13"/>
      <c r="H487" s="13"/>
      <c r="I487" s="13"/>
      <c r="J487" s="13"/>
      <c r="K487" s="13"/>
      <c r="L487" s="13"/>
    </row>
    <row r="488" spans="1:12" x14ac:dyDescent="0.35">
      <c r="A488" s="13"/>
      <c r="B488" s="13"/>
      <c r="C488" s="13"/>
      <c r="D488" s="13"/>
      <c r="E488" s="13"/>
      <c r="F488" s="13"/>
      <c r="G488" s="13"/>
      <c r="H488" s="13"/>
      <c r="I488" s="13"/>
      <c r="J488" s="13"/>
      <c r="K488" s="13"/>
      <c r="L488" s="13"/>
    </row>
    <row r="489" spans="1:12" x14ac:dyDescent="0.35">
      <c r="A489" s="13"/>
      <c r="B489" s="13"/>
      <c r="C489" s="13"/>
      <c r="D489" s="13"/>
      <c r="E489" s="13"/>
      <c r="F489" s="13"/>
      <c r="G489" s="13"/>
      <c r="H489" s="13"/>
      <c r="I489" s="13"/>
      <c r="J489" s="13"/>
      <c r="K489" s="13"/>
      <c r="L489" s="13"/>
    </row>
    <row r="490" spans="1:12" x14ac:dyDescent="0.35">
      <c r="A490" s="13"/>
      <c r="B490" s="13"/>
      <c r="C490" s="13"/>
      <c r="D490" s="13"/>
      <c r="E490" s="13"/>
      <c r="F490" s="13"/>
      <c r="G490" s="13"/>
      <c r="H490" s="13"/>
      <c r="I490" s="13"/>
      <c r="J490" s="13"/>
      <c r="K490" s="13"/>
      <c r="L490" s="13"/>
    </row>
    <row r="491" spans="1:12" x14ac:dyDescent="0.35">
      <c r="A491" s="13"/>
      <c r="B491" s="13"/>
      <c r="C491" s="13"/>
      <c r="D491" s="13"/>
      <c r="E491" s="13"/>
      <c r="F491" s="13"/>
      <c r="G491" s="13"/>
      <c r="H491" s="13"/>
      <c r="I491" s="13"/>
      <c r="J491" s="13"/>
      <c r="K491" s="13"/>
      <c r="L491" s="13"/>
    </row>
    <row r="492" spans="1:12" x14ac:dyDescent="0.35">
      <c r="A492" s="13"/>
      <c r="B492" s="13"/>
      <c r="C492" s="13"/>
      <c r="D492" s="13"/>
      <c r="E492" s="13"/>
      <c r="F492" s="13"/>
      <c r="G492" s="13"/>
      <c r="H492" s="13"/>
      <c r="I492" s="13"/>
      <c r="J492" s="13"/>
      <c r="K492" s="13"/>
      <c r="L492" s="13"/>
    </row>
    <row r="493" spans="1:12" x14ac:dyDescent="0.35">
      <c r="A493" s="13"/>
      <c r="B493" s="13"/>
      <c r="C493" s="13"/>
      <c r="D493" s="13"/>
      <c r="E493" s="13"/>
      <c r="F493" s="13"/>
      <c r="G493" s="13"/>
      <c r="H493" s="13"/>
      <c r="I493" s="13"/>
      <c r="J493" s="13"/>
      <c r="K493" s="13"/>
      <c r="L493" s="13"/>
    </row>
    <row r="494" spans="1:12" x14ac:dyDescent="0.35">
      <c r="A494" s="13"/>
      <c r="B494" s="13"/>
      <c r="C494" s="13"/>
      <c r="D494" s="13"/>
      <c r="E494" s="13"/>
      <c r="F494" s="13"/>
      <c r="G494" s="13"/>
      <c r="H494" s="13"/>
      <c r="I494" s="13"/>
      <c r="J494" s="13"/>
      <c r="K494" s="13"/>
      <c r="L494" s="13"/>
    </row>
    <row r="495" spans="1:12" x14ac:dyDescent="0.35">
      <c r="A495" s="13"/>
      <c r="B495" s="13"/>
      <c r="C495" s="13"/>
      <c r="D495" s="13"/>
      <c r="E495" s="13"/>
      <c r="F495" s="13"/>
      <c r="G495" s="13"/>
      <c r="H495" s="13"/>
      <c r="I495" s="13"/>
      <c r="J495" s="13"/>
      <c r="K495" s="13"/>
      <c r="L495" s="13"/>
    </row>
    <row r="496" spans="1:12" x14ac:dyDescent="0.35">
      <c r="A496" s="13"/>
      <c r="B496" s="13"/>
      <c r="C496" s="13"/>
      <c r="D496" s="13"/>
      <c r="E496" s="13"/>
      <c r="F496" s="13"/>
      <c r="G496" s="13"/>
      <c r="H496" s="13"/>
      <c r="I496" s="13"/>
      <c r="J496" s="13"/>
      <c r="K496" s="13"/>
      <c r="L496" s="13"/>
    </row>
    <row r="497" spans="1:12" x14ac:dyDescent="0.35">
      <c r="A497" s="13"/>
      <c r="B497" s="13"/>
      <c r="C497" s="13"/>
      <c r="D497" s="13"/>
      <c r="E497" s="13"/>
      <c r="F497" s="13"/>
      <c r="G497" s="13"/>
      <c r="H497" s="13"/>
      <c r="I497" s="13"/>
      <c r="J497" s="13"/>
      <c r="K497" s="13"/>
      <c r="L497" s="13"/>
    </row>
    <row r="498" spans="1:12" x14ac:dyDescent="0.35">
      <c r="A498" s="13"/>
      <c r="B498" s="13"/>
      <c r="C498" s="13"/>
      <c r="D498" s="13"/>
      <c r="E498" s="13"/>
      <c r="F498" s="13"/>
      <c r="G498" s="13"/>
      <c r="H498" s="13"/>
      <c r="I498" s="13"/>
      <c r="J498" s="13"/>
      <c r="K498" s="13"/>
      <c r="L498" s="13"/>
    </row>
    <row r="499" spans="1:12" x14ac:dyDescent="0.35">
      <c r="A499" s="13"/>
      <c r="B499" s="13"/>
      <c r="C499" s="13"/>
      <c r="D499" s="13"/>
      <c r="E499" s="13"/>
      <c r="F499" s="13"/>
      <c r="G499" s="13"/>
      <c r="H499" s="13"/>
      <c r="I499" s="13"/>
      <c r="J499" s="13"/>
      <c r="K499" s="13"/>
      <c r="L499" s="13"/>
    </row>
    <row r="500" spans="1:12" x14ac:dyDescent="0.35">
      <c r="A500" s="13"/>
      <c r="B500" s="13"/>
      <c r="C500" s="13"/>
      <c r="D500" s="13"/>
      <c r="E500" s="13"/>
      <c r="F500" s="13"/>
      <c r="G500" s="13"/>
      <c r="H500" s="13"/>
      <c r="I500" s="13"/>
      <c r="J500" s="13"/>
      <c r="K500" s="13"/>
      <c r="L500" s="13"/>
    </row>
    <row r="501" spans="1:12" x14ac:dyDescent="0.35">
      <c r="A501" s="13"/>
      <c r="B501" s="13"/>
      <c r="C501" s="13"/>
      <c r="D501" s="13"/>
      <c r="E501" s="13"/>
      <c r="F501" s="13"/>
      <c r="G501" s="13"/>
      <c r="H501" s="13"/>
      <c r="I501" s="13"/>
      <c r="J501" s="13"/>
      <c r="K501" s="13"/>
      <c r="L501" s="13"/>
    </row>
    <row r="502" spans="1:12" x14ac:dyDescent="0.35">
      <c r="A502" s="13"/>
      <c r="B502" s="13"/>
      <c r="C502" s="13"/>
      <c r="D502" s="13"/>
      <c r="E502" s="13"/>
      <c r="F502" s="13"/>
      <c r="G502" s="13"/>
      <c r="H502" s="13"/>
      <c r="I502" s="13"/>
      <c r="J502" s="13"/>
      <c r="K502" s="13"/>
      <c r="L502" s="13"/>
    </row>
    <row r="503" spans="1:12" x14ac:dyDescent="0.35">
      <c r="A503" s="13"/>
      <c r="B503" s="13"/>
      <c r="C503" s="13"/>
      <c r="D503" s="13"/>
      <c r="E503" s="13"/>
      <c r="F503" s="13"/>
      <c r="G503" s="13"/>
      <c r="H503" s="13"/>
      <c r="I503" s="13"/>
      <c r="J503" s="13"/>
      <c r="K503" s="13"/>
      <c r="L503" s="13"/>
    </row>
    <row r="504" spans="1:12" x14ac:dyDescent="0.35">
      <c r="A504" s="13"/>
      <c r="B504" s="13"/>
      <c r="C504" s="13"/>
      <c r="D504" s="13"/>
      <c r="E504" s="13"/>
      <c r="F504" s="13"/>
      <c r="G504" s="13"/>
      <c r="H504" s="13"/>
      <c r="I504" s="13"/>
      <c r="J504" s="13"/>
      <c r="K504" s="13"/>
      <c r="L504" s="13"/>
    </row>
    <row r="505" spans="1:12" x14ac:dyDescent="0.35">
      <c r="A505" s="13"/>
      <c r="B505" s="13"/>
      <c r="C505" s="13"/>
      <c r="D505" s="13"/>
      <c r="E505" s="13"/>
      <c r="F505" s="13"/>
      <c r="G505" s="13"/>
      <c r="H505" s="13"/>
      <c r="I505" s="13"/>
      <c r="J505" s="13"/>
      <c r="K505" s="13"/>
      <c r="L505" s="13"/>
    </row>
    <row r="506" spans="1:12" x14ac:dyDescent="0.35">
      <c r="A506" s="13"/>
      <c r="B506" s="13"/>
      <c r="C506" s="13"/>
      <c r="D506" s="13"/>
      <c r="E506" s="13"/>
      <c r="F506" s="13"/>
      <c r="G506" s="13"/>
      <c r="H506" s="13"/>
      <c r="I506" s="13"/>
      <c r="J506" s="13"/>
      <c r="K506" s="13"/>
      <c r="L506" s="13"/>
    </row>
    <row r="507" spans="1:12" x14ac:dyDescent="0.35">
      <c r="A507" s="13"/>
      <c r="B507" s="13"/>
      <c r="C507" s="13"/>
      <c r="D507" s="13"/>
      <c r="E507" s="13"/>
      <c r="F507" s="13"/>
      <c r="G507" s="13"/>
      <c r="H507" s="13"/>
      <c r="I507" s="13"/>
      <c r="J507" s="13"/>
      <c r="K507" s="13"/>
      <c r="L507" s="13"/>
    </row>
    <row r="508" spans="1:12" x14ac:dyDescent="0.35">
      <c r="A508" s="13"/>
      <c r="B508" s="13"/>
      <c r="C508" s="13"/>
      <c r="D508" s="13"/>
      <c r="E508" s="13"/>
      <c r="F508" s="13"/>
      <c r="G508" s="13"/>
      <c r="H508" s="13"/>
      <c r="I508" s="13"/>
      <c r="J508" s="13"/>
      <c r="K508" s="13"/>
      <c r="L508" s="13"/>
    </row>
    <row r="509" spans="1:12" x14ac:dyDescent="0.35">
      <c r="A509" s="13"/>
      <c r="B509" s="13"/>
      <c r="C509" s="13"/>
      <c r="D509" s="13"/>
      <c r="E509" s="13"/>
      <c r="F509" s="13"/>
      <c r="G509" s="13"/>
      <c r="H509" s="13"/>
      <c r="I509" s="13"/>
      <c r="J509" s="13"/>
      <c r="K509" s="13"/>
      <c r="L509" s="13"/>
    </row>
    <row r="510" spans="1:12" x14ac:dyDescent="0.35">
      <c r="A510" s="13"/>
      <c r="B510" s="13"/>
      <c r="C510" s="13"/>
      <c r="D510" s="13"/>
      <c r="E510" s="13"/>
      <c r="F510" s="13"/>
      <c r="G510" s="13"/>
      <c r="H510" s="13"/>
      <c r="I510" s="13"/>
      <c r="J510" s="13"/>
      <c r="K510" s="13"/>
      <c r="L510" s="13"/>
    </row>
    <row r="511" spans="1:12" x14ac:dyDescent="0.35">
      <c r="A511" s="13"/>
      <c r="B511" s="13"/>
      <c r="C511" s="13"/>
      <c r="D511" s="13"/>
      <c r="E511" s="13"/>
      <c r="F511" s="13"/>
      <c r="G511" s="13"/>
      <c r="H511" s="13"/>
      <c r="I511" s="13"/>
      <c r="J511" s="13"/>
      <c r="K511" s="13"/>
      <c r="L511" s="13"/>
    </row>
    <row r="512" spans="1:12" x14ac:dyDescent="0.35">
      <c r="A512" s="13"/>
      <c r="B512" s="13"/>
      <c r="C512" s="13"/>
      <c r="D512" s="13"/>
      <c r="E512" s="13"/>
      <c r="F512" s="13"/>
      <c r="G512" s="13"/>
      <c r="H512" s="13"/>
      <c r="I512" s="13"/>
      <c r="J512" s="13"/>
      <c r="K512" s="13"/>
      <c r="L512" s="13"/>
    </row>
    <row r="513" spans="1:12" x14ac:dyDescent="0.35">
      <c r="A513" s="13"/>
      <c r="B513" s="13"/>
      <c r="C513" s="13"/>
      <c r="D513" s="13"/>
      <c r="E513" s="13"/>
      <c r="F513" s="13"/>
      <c r="G513" s="13"/>
      <c r="H513" s="13"/>
      <c r="I513" s="13"/>
      <c r="J513" s="13"/>
      <c r="K513" s="13"/>
      <c r="L513" s="13"/>
    </row>
    <row r="514" spans="1:12" x14ac:dyDescent="0.35">
      <c r="A514" s="13"/>
      <c r="B514" s="13"/>
      <c r="C514" s="13"/>
      <c r="D514" s="13"/>
      <c r="E514" s="13"/>
      <c r="F514" s="13"/>
      <c r="G514" s="13"/>
      <c r="H514" s="13"/>
      <c r="I514" s="13"/>
      <c r="J514" s="13"/>
      <c r="K514" s="13"/>
      <c r="L514" s="13"/>
    </row>
    <row r="515" spans="1:12" x14ac:dyDescent="0.35">
      <c r="A515" s="13"/>
      <c r="B515" s="13"/>
      <c r="C515" s="13"/>
      <c r="D515" s="13"/>
      <c r="E515" s="13"/>
      <c r="F515" s="13"/>
      <c r="G515" s="13"/>
      <c r="H515" s="13"/>
      <c r="I515" s="13"/>
      <c r="J515" s="13"/>
      <c r="K515" s="13"/>
      <c r="L515" s="13"/>
    </row>
    <row r="516" spans="1:12" x14ac:dyDescent="0.35">
      <c r="A516" s="13"/>
      <c r="B516" s="13"/>
      <c r="C516" s="13"/>
      <c r="D516" s="13"/>
      <c r="E516" s="13"/>
      <c r="F516" s="13"/>
      <c r="G516" s="13"/>
      <c r="H516" s="13"/>
      <c r="I516" s="13"/>
      <c r="J516" s="13"/>
      <c r="K516" s="13"/>
      <c r="L516" s="13"/>
    </row>
    <row r="517" spans="1:12" x14ac:dyDescent="0.35">
      <c r="A517" s="13"/>
      <c r="B517" s="13"/>
      <c r="C517" s="13"/>
      <c r="D517" s="13"/>
      <c r="E517" s="13"/>
      <c r="F517" s="13"/>
      <c r="G517" s="13"/>
      <c r="H517" s="13"/>
      <c r="I517" s="13"/>
      <c r="J517" s="13"/>
      <c r="K517" s="13"/>
      <c r="L517" s="13"/>
    </row>
    <row r="518" spans="1:12" x14ac:dyDescent="0.35">
      <c r="A518" s="13"/>
      <c r="B518" s="13"/>
      <c r="C518" s="13"/>
      <c r="D518" s="13"/>
      <c r="E518" s="13"/>
      <c r="F518" s="13"/>
      <c r="G518" s="13"/>
      <c r="H518" s="13"/>
      <c r="I518" s="13"/>
      <c r="J518" s="13"/>
      <c r="K518" s="13"/>
      <c r="L518" s="13"/>
    </row>
    <row r="519" spans="1:12" x14ac:dyDescent="0.35">
      <c r="A519" s="13"/>
      <c r="B519" s="13"/>
      <c r="C519" s="13"/>
      <c r="D519" s="13"/>
      <c r="E519" s="13"/>
      <c r="F519" s="13"/>
      <c r="G519" s="13"/>
      <c r="H519" s="13"/>
      <c r="I519" s="13"/>
      <c r="J519" s="13"/>
      <c r="K519" s="13"/>
      <c r="L519" s="13"/>
    </row>
    <row r="520" spans="1:12" x14ac:dyDescent="0.35">
      <c r="A520" s="13"/>
      <c r="B520" s="13"/>
      <c r="C520" s="13"/>
      <c r="D520" s="13"/>
      <c r="E520" s="13"/>
      <c r="F520" s="13"/>
      <c r="G520" s="13"/>
      <c r="H520" s="13"/>
      <c r="I520" s="13"/>
      <c r="J520" s="13"/>
      <c r="K520" s="13"/>
      <c r="L520" s="13"/>
    </row>
    <row r="521" spans="1:12" x14ac:dyDescent="0.35">
      <c r="A521" s="13"/>
      <c r="B521" s="13"/>
      <c r="C521" s="13"/>
      <c r="D521" s="13"/>
      <c r="E521" s="13"/>
      <c r="F521" s="13"/>
      <c r="G521" s="13"/>
      <c r="H521" s="13"/>
      <c r="I521" s="13"/>
      <c r="J521" s="13"/>
      <c r="K521" s="13"/>
      <c r="L521" s="13"/>
    </row>
    <row r="522" spans="1:12" x14ac:dyDescent="0.35">
      <c r="A522" s="13"/>
      <c r="B522" s="13"/>
      <c r="C522" s="13"/>
      <c r="D522" s="13"/>
      <c r="E522" s="13"/>
      <c r="F522" s="13"/>
      <c r="G522" s="13"/>
      <c r="H522" s="13"/>
      <c r="I522" s="13"/>
      <c r="J522" s="13"/>
      <c r="K522" s="13"/>
      <c r="L522" s="13"/>
    </row>
    <row r="523" spans="1:12" x14ac:dyDescent="0.35">
      <c r="A523" s="13"/>
      <c r="B523" s="13"/>
      <c r="C523" s="13"/>
      <c r="D523" s="13"/>
      <c r="E523" s="13"/>
      <c r="F523" s="13"/>
      <c r="G523" s="13"/>
      <c r="H523" s="13"/>
      <c r="I523" s="13"/>
      <c r="J523" s="13"/>
      <c r="K523" s="13"/>
      <c r="L523" s="13"/>
    </row>
    <row r="524" spans="1:12" x14ac:dyDescent="0.35">
      <c r="A524" s="13"/>
      <c r="B524" s="13"/>
      <c r="C524" s="13"/>
      <c r="D524" s="13"/>
      <c r="E524" s="13"/>
      <c r="F524" s="13"/>
      <c r="G524" s="13"/>
      <c r="H524" s="13"/>
      <c r="I524" s="13"/>
      <c r="J524" s="13"/>
      <c r="K524" s="13"/>
      <c r="L524" s="13"/>
    </row>
    <row r="525" spans="1:12" x14ac:dyDescent="0.35">
      <c r="A525" s="13"/>
      <c r="B525" s="13"/>
      <c r="C525" s="13"/>
      <c r="D525" s="13"/>
      <c r="E525" s="13"/>
      <c r="F525" s="13"/>
      <c r="G525" s="13"/>
      <c r="H525" s="13"/>
      <c r="I525" s="13"/>
      <c r="J525" s="13"/>
      <c r="K525" s="13"/>
      <c r="L525" s="13"/>
    </row>
    <row r="526" spans="1:12" x14ac:dyDescent="0.35">
      <c r="A526" s="13"/>
      <c r="B526" s="13"/>
      <c r="C526" s="13"/>
      <c r="D526" s="13"/>
      <c r="E526" s="13"/>
      <c r="F526" s="13"/>
      <c r="G526" s="13"/>
      <c r="H526" s="13"/>
      <c r="I526" s="13"/>
      <c r="J526" s="13"/>
      <c r="K526" s="13"/>
      <c r="L526" s="13"/>
    </row>
    <row r="527" spans="1:12" x14ac:dyDescent="0.35">
      <c r="A527" s="13"/>
      <c r="B527" s="13"/>
      <c r="C527" s="13"/>
      <c r="D527" s="13"/>
      <c r="E527" s="13"/>
      <c r="F527" s="13"/>
      <c r="G527" s="13"/>
      <c r="H527" s="13"/>
      <c r="I527" s="13"/>
      <c r="J527" s="13"/>
      <c r="K527" s="13"/>
      <c r="L527" s="13"/>
    </row>
    <row r="528" spans="1:12" x14ac:dyDescent="0.35">
      <c r="A528" s="13"/>
      <c r="B528" s="13"/>
      <c r="C528" s="13"/>
      <c r="D528" s="13"/>
      <c r="E528" s="13"/>
      <c r="F528" s="13"/>
      <c r="G528" s="13"/>
      <c r="H528" s="13"/>
      <c r="I528" s="13"/>
      <c r="J528" s="13"/>
      <c r="K528" s="13"/>
      <c r="L528" s="13"/>
    </row>
    <row r="529" spans="1:12" x14ac:dyDescent="0.35">
      <c r="A529" s="13"/>
      <c r="B529" s="13"/>
      <c r="C529" s="13"/>
      <c r="D529" s="13"/>
      <c r="E529" s="13"/>
      <c r="F529" s="13"/>
      <c r="G529" s="13"/>
      <c r="H529" s="13"/>
      <c r="I529" s="13"/>
      <c r="J529" s="13"/>
      <c r="K529" s="13"/>
      <c r="L529" s="13"/>
    </row>
    <row r="530" spans="1:12" x14ac:dyDescent="0.35">
      <c r="A530" s="13"/>
      <c r="B530" s="13"/>
      <c r="C530" s="13"/>
      <c r="D530" s="13"/>
      <c r="E530" s="13"/>
      <c r="F530" s="13"/>
      <c r="G530" s="13"/>
      <c r="H530" s="13"/>
      <c r="I530" s="13"/>
      <c r="J530" s="13"/>
      <c r="K530" s="13"/>
      <c r="L530" s="13"/>
    </row>
    <row r="531" spans="1:12" x14ac:dyDescent="0.35">
      <c r="A531" s="13"/>
      <c r="B531" s="13"/>
      <c r="C531" s="13"/>
      <c r="D531" s="13"/>
      <c r="E531" s="13"/>
      <c r="F531" s="13"/>
      <c r="G531" s="13"/>
      <c r="H531" s="13"/>
      <c r="I531" s="13"/>
      <c r="J531" s="13"/>
      <c r="K531" s="13"/>
      <c r="L531" s="13"/>
    </row>
    <row r="532" spans="1:12" x14ac:dyDescent="0.35">
      <c r="A532" s="13"/>
      <c r="B532" s="13"/>
      <c r="C532" s="13"/>
      <c r="D532" s="13"/>
      <c r="E532" s="13"/>
      <c r="F532" s="13"/>
      <c r="G532" s="13"/>
      <c r="H532" s="13"/>
      <c r="I532" s="13"/>
      <c r="J532" s="13"/>
      <c r="K532" s="13"/>
      <c r="L532" s="13"/>
    </row>
    <row r="533" spans="1:12" x14ac:dyDescent="0.35">
      <c r="A533" s="13"/>
      <c r="B533" s="13"/>
      <c r="C533" s="13"/>
      <c r="D533" s="13"/>
      <c r="E533" s="13"/>
      <c r="F533" s="13"/>
      <c r="G533" s="13"/>
      <c r="H533" s="13"/>
      <c r="I533" s="13"/>
      <c r="J533" s="13"/>
      <c r="K533" s="13"/>
      <c r="L533" s="13"/>
    </row>
    <row r="534" spans="1:12" x14ac:dyDescent="0.35">
      <c r="A534" s="13"/>
      <c r="B534" s="13"/>
      <c r="C534" s="13"/>
      <c r="D534" s="13"/>
      <c r="E534" s="13"/>
      <c r="F534" s="13"/>
      <c r="G534" s="13"/>
      <c r="H534" s="13"/>
      <c r="I534" s="13"/>
      <c r="J534" s="13"/>
      <c r="K534" s="13"/>
      <c r="L534" s="13"/>
    </row>
    <row r="535" spans="1:12" x14ac:dyDescent="0.35">
      <c r="A535" s="13"/>
      <c r="B535" s="13"/>
      <c r="C535" s="13"/>
      <c r="D535" s="13"/>
      <c r="E535" s="13"/>
      <c r="F535" s="13"/>
      <c r="G535" s="13"/>
      <c r="H535" s="13"/>
      <c r="I535" s="13"/>
      <c r="J535" s="13"/>
      <c r="K535" s="13"/>
      <c r="L535" s="13"/>
    </row>
    <row r="536" spans="1:12" x14ac:dyDescent="0.35">
      <c r="A536" s="13"/>
      <c r="B536" s="13"/>
      <c r="C536" s="13"/>
      <c r="D536" s="13"/>
      <c r="E536" s="13"/>
      <c r="F536" s="13"/>
      <c r="G536" s="13"/>
      <c r="H536" s="13"/>
      <c r="I536" s="13"/>
      <c r="J536" s="13"/>
      <c r="K536" s="13"/>
      <c r="L536" s="13"/>
    </row>
    <row r="537" spans="1:12" x14ac:dyDescent="0.35">
      <c r="A537" s="13"/>
      <c r="B537" s="13"/>
      <c r="C537" s="13"/>
      <c r="D537" s="13"/>
      <c r="E537" s="13"/>
      <c r="F537" s="13"/>
      <c r="G537" s="13"/>
      <c r="H537" s="13"/>
      <c r="I537" s="13"/>
      <c r="J537" s="13"/>
      <c r="K537" s="13"/>
      <c r="L537" s="13"/>
    </row>
    <row r="538" spans="1:12" x14ac:dyDescent="0.35">
      <c r="A538" s="13"/>
      <c r="B538" s="13"/>
      <c r="C538" s="13"/>
      <c r="D538" s="13"/>
      <c r="E538" s="13"/>
      <c r="F538" s="13"/>
      <c r="G538" s="13"/>
      <c r="H538" s="13"/>
      <c r="I538" s="13"/>
      <c r="J538" s="13"/>
      <c r="K538" s="13"/>
      <c r="L538" s="13"/>
    </row>
    <row r="539" spans="1:12" x14ac:dyDescent="0.35">
      <c r="A539" s="13"/>
      <c r="B539" s="13"/>
      <c r="C539" s="13"/>
      <c r="D539" s="13"/>
      <c r="E539" s="13"/>
      <c r="F539" s="13"/>
      <c r="G539" s="13"/>
      <c r="H539" s="13"/>
      <c r="I539" s="13"/>
      <c r="J539" s="13"/>
      <c r="K539" s="13"/>
      <c r="L539" s="13"/>
    </row>
    <row r="540" spans="1:12" x14ac:dyDescent="0.35">
      <c r="A540" s="13"/>
      <c r="B540" s="13"/>
      <c r="C540" s="13"/>
      <c r="D540" s="13"/>
      <c r="E540" s="13"/>
      <c r="F540" s="13"/>
      <c r="G540" s="13"/>
      <c r="H540" s="13"/>
      <c r="I540" s="13"/>
      <c r="J540" s="13"/>
      <c r="K540" s="13"/>
      <c r="L540" s="13"/>
    </row>
    <row r="541" spans="1:12" x14ac:dyDescent="0.35">
      <c r="A541" s="13"/>
      <c r="B541" s="13"/>
      <c r="C541" s="13"/>
      <c r="D541" s="13"/>
      <c r="E541" s="13"/>
      <c r="F541" s="13"/>
      <c r="G541" s="13"/>
      <c r="H541" s="13"/>
      <c r="I541" s="13"/>
      <c r="J541" s="13"/>
      <c r="K541" s="13"/>
      <c r="L541" s="13"/>
    </row>
    <row r="542" spans="1:12" x14ac:dyDescent="0.35">
      <c r="A542" s="13"/>
      <c r="B542" s="13"/>
      <c r="C542" s="13"/>
      <c r="D542" s="13"/>
      <c r="E542" s="13"/>
      <c r="F542" s="13"/>
      <c r="G542" s="13"/>
      <c r="H542" s="13"/>
      <c r="I542" s="13"/>
      <c r="J542" s="13"/>
      <c r="K542" s="13"/>
      <c r="L542" s="13"/>
    </row>
    <row r="543" spans="1:12" x14ac:dyDescent="0.35">
      <c r="A543" s="13"/>
      <c r="B543" s="13"/>
      <c r="C543" s="13"/>
      <c r="D543" s="13"/>
      <c r="E543" s="13"/>
      <c r="F543" s="13"/>
      <c r="G543" s="13"/>
      <c r="H543" s="13"/>
      <c r="I543" s="13"/>
      <c r="J543" s="13"/>
      <c r="K543" s="13"/>
      <c r="L543" s="13"/>
    </row>
    <row r="544" spans="1:12" x14ac:dyDescent="0.35">
      <c r="A544" s="13"/>
      <c r="B544" s="13"/>
      <c r="C544" s="13"/>
      <c r="D544" s="13"/>
      <c r="E544" s="13"/>
      <c r="F544" s="13"/>
      <c r="G544" s="13"/>
      <c r="H544" s="13"/>
      <c r="I544" s="13"/>
      <c r="J544" s="13"/>
      <c r="K544" s="13"/>
      <c r="L544" s="13"/>
    </row>
    <row r="545" spans="1:12" x14ac:dyDescent="0.35">
      <c r="A545" s="13"/>
      <c r="B545" s="13"/>
      <c r="C545" s="13"/>
      <c r="D545" s="13"/>
      <c r="E545" s="13"/>
      <c r="F545" s="13"/>
      <c r="G545" s="13"/>
      <c r="H545" s="13"/>
      <c r="I545" s="13"/>
      <c r="J545" s="13"/>
      <c r="K545" s="13"/>
      <c r="L545" s="13"/>
    </row>
    <row r="546" spans="1:12" x14ac:dyDescent="0.35">
      <c r="A546" s="13"/>
      <c r="B546" s="13"/>
      <c r="C546" s="13"/>
      <c r="D546" s="13"/>
      <c r="E546" s="13"/>
      <c r="F546" s="13"/>
      <c r="G546" s="13"/>
      <c r="H546" s="13"/>
      <c r="I546" s="13"/>
      <c r="J546" s="13"/>
      <c r="K546" s="13"/>
      <c r="L546" s="13"/>
    </row>
    <row r="547" spans="1:12" x14ac:dyDescent="0.35">
      <c r="A547" s="13"/>
      <c r="B547" s="13"/>
      <c r="C547" s="13"/>
      <c r="D547" s="13"/>
      <c r="E547" s="13"/>
      <c r="F547" s="13"/>
      <c r="G547" s="13"/>
      <c r="H547" s="13"/>
      <c r="I547" s="13"/>
      <c r="J547" s="13"/>
      <c r="K547" s="13"/>
      <c r="L547" s="13"/>
    </row>
    <row r="548" spans="1:12" x14ac:dyDescent="0.35">
      <c r="A548" s="13"/>
      <c r="B548" s="13"/>
      <c r="C548" s="13"/>
      <c r="D548" s="13"/>
      <c r="E548" s="13"/>
      <c r="F548" s="13"/>
      <c r="G548" s="13"/>
      <c r="H548" s="13"/>
      <c r="I548" s="13"/>
      <c r="J548" s="13"/>
      <c r="K548" s="13"/>
      <c r="L548" s="13"/>
    </row>
    <row r="549" spans="1:12" x14ac:dyDescent="0.35">
      <c r="A549" s="13"/>
      <c r="B549" s="13"/>
      <c r="C549" s="13"/>
      <c r="D549" s="13"/>
      <c r="E549" s="13"/>
      <c r="F549" s="13"/>
      <c r="G549" s="13"/>
      <c r="H549" s="13"/>
      <c r="I549" s="13"/>
      <c r="J549" s="13"/>
      <c r="K549" s="13"/>
      <c r="L549" s="13"/>
    </row>
    <row r="550" spans="1:12" x14ac:dyDescent="0.35">
      <c r="A550" s="13"/>
      <c r="B550" s="13"/>
      <c r="C550" s="13"/>
      <c r="D550" s="13"/>
      <c r="E550" s="13"/>
      <c r="F550" s="13"/>
      <c r="G550" s="13"/>
      <c r="H550" s="13"/>
      <c r="I550" s="13"/>
      <c r="J550" s="13"/>
      <c r="K550" s="13"/>
      <c r="L550" s="13"/>
    </row>
    <row r="551" spans="1:12" x14ac:dyDescent="0.35">
      <c r="A551" s="13"/>
      <c r="B551" s="13"/>
      <c r="C551" s="13"/>
      <c r="D551" s="13"/>
      <c r="E551" s="13"/>
      <c r="F551" s="13"/>
      <c r="G551" s="13"/>
      <c r="H551" s="13"/>
      <c r="I551" s="13"/>
      <c r="J551" s="13"/>
      <c r="K551" s="13"/>
      <c r="L551" s="13"/>
    </row>
    <row r="552" spans="1:12" x14ac:dyDescent="0.35">
      <c r="A552" s="13"/>
      <c r="B552" s="13"/>
      <c r="C552" s="13"/>
      <c r="D552" s="13"/>
      <c r="E552" s="13"/>
      <c r="F552" s="13"/>
      <c r="G552" s="13"/>
      <c r="H552" s="13"/>
      <c r="I552" s="13"/>
      <c r="J552" s="13"/>
      <c r="K552" s="13"/>
      <c r="L552" s="13"/>
    </row>
    <row r="553" spans="1:12" x14ac:dyDescent="0.35">
      <c r="A553" s="13"/>
      <c r="B553" s="13"/>
      <c r="C553" s="13"/>
      <c r="D553" s="13"/>
      <c r="E553" s="13"/>
      <c r="F553" s="13"/>
      <c r="G553" s="13"/>
      <c r="H553" s="13"/>
      <c r="I553" s="13"/>
      <c r="J553" s="13"/>
      <c r="K553" s="13"/>
      <c r="L553" s="13"/>
    </row>
    <row r="554" spans="1:12" x14ac:dyDescent="0.35">
      <c r="A554" s="13"/>
      <c r="B554" s="13"/>
      <c r="C554" s="13"/>
      <c r="D554" s="13"/>
      <c r="E554" s="13"/>
      <c r="F554" s="13"/>
      <c r="G554" s="13"/>
      <c r="H554" s="13"/>
      <c r="I554" s="13"/>
      <c r="J554" s="13"/>
      <c r="K554" s="13"/>
      <c r="L554" s="13"/>
    </row>
    <row r="555" spans="1:12" x14ac:dyDescent="0.35">
      <c r="A555" s="13"/>
      <c r="B555" s="13"/>
      <c r="C555" s="13"/>
      <c r="D555" s="13"/>
      <c r="E555" s="13"/>
      <c r="F555" s="13"/>
      <c r="G555" s="13"/>
      <c r="H555" s="13"/>
      <c r="I555" s="13"/>
      <c r="J555" s="13"/>
      <c r="K555" s="13"/>
      <c r="L555" s="13"/>
    </row>
    <row r="556" spans="1:12" x14ac:dyDescent="0.35">
      <c r="A556" s="13"/>
      <c r="B556" s="13"/>
      <c r="C556" s="13"/>
      <c r="D556" s="13"/>
      <c r="E556" s="13"/>
      <c r="F556" s="13"/>
      <c r="G556" s="13"/>
      <c r="H556" s="13"/>
      <c r="I556" s="13"/>
      <c r="J556" s="13"/>
      <c r="K556" s="13"/>
      <c r="L556" s="13"/>
    </row>
    <row r="557" spans="1:12" x14ac:dyDescent="0.35">
      <c r="A557" s="13"/>
      <c r="B557" s="13"/>
      <c r="C557" s="13"/>
      <c r="D557" s="13"/>
      <c r="E557" s="13"/>
      <c r="F557" s="13"/>
      <c r="G557" s="13"/>
      <c r="H557" s="13"/>
      <c r="I557" s="13"/>
      <c r="J557" s="13"/>
      <c r="K557" s="13"/>
      <c r="L557" s="13"/>
    </row>
    <row r="558" spans="1:12" x14ac:dyDescent="0.35">
      <c r="A558" s="13"/>
      <c r="B558" s="13"/>
      <c r="C558" s="13"/>
      <c r="D558" s="13"/>
      <c r="E558" s="13"/>
      <c r="F558" s="13"/>
      <c r="G558" s="13"/>
      <c r="H558" s="13"/>
      <c r="I558" s="13"/>
      <c r="J558" s="13"/>
      <c r="K558" s="13"/>
      <c r="L558" s="13"/>
    </row>
    <row r="559" spans="1:12" x14ac:dyDescent="0.35">
      <c r="A559" s="13"/>
      <c r="B559" s="13"/>
      <c r="C559" s="13"/>
      <c r="D559" s="13"/>
      <c r="E559" s="13"/>
      <c r="F559" s="13"/>
      <c r="G559" s="13"/>
      <c r="H559" s="13"/>
      <c r="I559" s="13"/>
      <c r="J559" s="13"/>
      <c r="K559" s="13"/>
      <c r="L559" s="13"/>
    </row>
    <row r="560" spans="1:12" x14ac:dyDescent="0.35">
      <c r="A560" s="13"/>
      <c r="B560" s="13"/>
      <c r="C560" s="13"/>
      <c r="D560" s="13"/>
      <c r="E560" s="13"/>
      <c r="F560" s="13"/>
      <c r="G560" s="13"/>
      <c r="H560" s="13"/>
      <c r="I560" s="13"/>
      <c r="J560" s="13"/>
      <c r="K560" s="13"/>
      <c r="L560" s="13"/>
    </row>
    <row r="561" spans="1:12" x14ac:dyDescent="0.35">
      <c r="A561" s="13"/>
      <c r="B561" s="13"/>
      <c r="C561" s="13"/>
      <c r="D561" s="13"/>
      <c r="E561" s="13"/>
      <c r="F561" s="13"/>
      <c r="G561" s="13"/>
      <c r="H561" s="13"/>
      <c r="I561" s="13"/>
      <c r="J561" s="13"/>
      <c r="K561" s="13"/>
      <c r="L561" s="13"/>
    </row>
    <row r="562" spans="1:12" x14ac:dyDescent="0.35">
      <c r="A562" s="13"/>
      <c r="B562" s="13"/>
      <c r="C562" s="13"/>
      <c r="D562" s="13"/>
      <c r="E562" s="13"/>
      <c r="F562" s="13"/>
      <c r="G562" s="13"/>
      <c r="H562" s="13"/>
      <c r="I562" s="13"/>
      <c r="J562" s="13"/>
      <c r="K562" s="13"/>
      <c r="L562" s="13"/>
    </row>
    <row r="563" spans="1:12" x14ac:dyDescent="0.35">
      <c r="A563" s="13"/>
      <c r="B563" s="13"/>
      <c r="C563" s="13"/>
      <c r="D563" s="13"/>
      <c r="E563" s="13"/>
      <c r="F563" s="13"/>
      <c r="G563" s="13"/>
      <c r="H563" s="13"/>
      <c r="I563" s="13"/>
      <c r="J563" s="13"/>
      <c r="K563" s="13"/>
      <c r="L563" s="13"/>
    </row>
    <row r="564" spans="1:12" x14ac:dyDescent="0.35">
      <c r="A564" s="13"/>
      <c r="B564" s="13"/>
      <c r="C564" s="13"/>
      <c r="D564" s="13"/>
      <c r="E564" s="13"/>
      <c r="F564" s="13"/>
      <c r="G564" s="13"/>
      <c r="H564" s="13"/>
      <c r="I564" s="13"/>
      <c r="J564" s="13"/>
      <c r="K564" s="13"/>
      <c r="L564" s="13"/>
    </row>
    <row r="565" spans="1:12" x14ac:dyDescent="0.35">
      <c r="A565" s="13"/>
      <c r="B565" s="13"/>
      <c r="C565" s="13"/>
      <c r="D565" s="13"/>
      <c r="E565" s="13"/>
      <c r="F565" s="13"/>
      <c r="G565" s="13"/>
      <c r="H565" s="13"/>
      <c r="I565" s="13"/>
      <c r="J565" s="13"/>
      <c r="K565" s="13"/>
      <c r="L565" s="13"/>
    </row>
    <row r="566" spans="1:12" x14ac:dyDescent="0.35">
      <c r="A566" s="13"/>
      <c r="B566" s="13"/>
      <c r="C566" s="13"/>
      <c r="D566" s="13"/>
      <c r="E566" s="13"/>
      <c r="F566" s="13"/>
      <c r="G566" s="13"/>
      <c r="H566" s="13"/>
      <c r="I566" s="13"/>
      <c r="J566" s="13"/>
      <c r="K566" s="13"/>
      <c r="L566" s="13"/>
    </row>
    <row r="567" spans="1:12" x14ac:dyDescent="0.35">
      <c r="A567" s="13"/>
      <c r="B567" s="13"/>
      <c r="C567" s="13"/>
      <c r="D567" s="13"/>
      <c r="E567" s="13"/>
      <c r="F567" s="13"/>
      <c r="G567" s="13"/>
      <c r="H567" s="13"/>
      <c r="I567" s="13"/>
      <c r="J567" s="13"/>
      <c r="K567" s="13"/>
      <c r="L567" s="13"/>
    </row>
    <row r="568" spans="1:12" x14ac:dyDescent="0.35">
      <c r="A568" s="13"/>
      <c r="B568" s="13"/>
      <c r="C568" s="13"/>
      <c r="D568" s="13"/>
      <c r="E568" s="13"/>
      <c r="F568" s="13"/>
      <c r="G568" s="13"/>
      <c r="H568" s="13"/>
      <c r="I568" s="13"/>
      <c r="J568" s="13"/>
      <c r="K568" s="13"/>
      <c r="L568" s="13"/>
    </row>
    <row r="569" spans="1:12" x14ac:dyDescent="0.35">
      <c r="A569" s="13"/>
      <c r="B569" s="13"/>
      <c r="C569" s="13"/>
      <c r="D569" s="13"/>
      <c r="E569" s="13"/>
      <c r="F569" s="13"/>
      <c r="G569" s="13"/>
      <c r="H569" s="13"/>
      <c r="I569" s="13"/>
      <c r="J569" s="13"/>
      <c r="K569" s="13"/>
      <c r="L569" s="13"/>
    </row>
    <row r="570" spans="1:12" x14ac:dyDescent="0.35">
      <c r="A570" s="13"/>
      <c r="B570" s="13"/>
      <c r="C570" s="13"/>
      <c r="D570" s="13"/>
      <c r="E570" s="13"/>
      <c r="F570" s="13"/>
      <c r="G570" s="13"/>
      <c r="H570" s="13"/>
      <c r="I570" s="13"/>
      <c r="J570" s="13"/>
      <c r="K570" s="13"/>
      <c r="L570" s="13"/>
    </row>
    <row r="571" spans="1:12" x14ac:dyDescent="0.35">
      <c r="A571" s="13"/>
      <c r="B571" s="13"/>
      <c r="C571" s="13"/>
      <c r="D571" s="13"/>
      <c r="E571" s="13"/>
      <c r="F571" s="13"/>
      <c r="G571" s="13"/>
      <c r="H571" s="13"/>
      <c r="I571" s="13"/>
      <c r="J571" s="13"/>
      <c r="K571" s="13"/>
      <c r="L571" s="13"/>
    </row>
    <row r="572" spans="1:12" x14ac:dyDescent="0.35">
      <c r="A572" s="13"/>
      <c r="B572" s="13"/>
      <c r="C572" s="13"/>
      <c r="D572" s="13"/>
      <c r="E572" s="13"/>
      <c r="F572" s="13"/>
      <c r="G572" s="13"/>
      <c r="H572" s="13"/>
      <c r="I572" s="13"/>
      <c r="J572" s="13"/>
      <c r="K572" s="13"/>
      <c r="L572" s="13"/>
    </row>
    <row r="573" spans="1:12" x14ac:dyDescent="0.35">
      <c r="A573" s="13"/>
      <c r="B573" s="13"/>
      <c r="C573" s="13"/>
      <c r="D573" s="13"/>
      <c r="E573" s="13"/>
      <c r="F573" s="13"/>
      <c r="G573" s="13"/>
      <c r="H573" s="13"/>
      <c r="I573" s="13"/>
      <c r="J573" s="13"/>
      <c r="K573" s="13"/>
      <c r="L573" s="13"/>
    </row>
    <row r="574" spans="1:12" x14ac:dyDescent="0.35">
      <c r="A574" s="13"/>
      <c r="B574" s="13"/>
      <c r="C574" s="13"/>
      <c r="D574" s="13"/>
      <c r="E574" s="13"/>
      <c r="F574" s="13"/>
      <c r="G574" s="13"/>
      <c r="H574" s="13"/>
      <c r="I574" s="13"/>
      <c r="J574" s="13"/>
      <c r="K574" s="13"/>
      <c r="L574" s="13"/>
    </row>
    <row r="575" spans="1:12" x14ac:dyDescent="0.35">
      <c r="A575" s="13"/>
      <c r="B575" s="13"/>
      <c r="C575" s="13"/>
      <c r="D575" s="13"/>
      <c r="E575" s="13"/>
      <c r="F575" s="13"/>
      <c r="G575" s="13"/>
      <c r="H575" s="13"/>
      <c r="I575" s="13"/>
      <c r="J575" s="13"/>
      <c r="K575" s="13"/>
      <c r="L575" s="13"/>
    </row>
    <row r="576" spans="1:12" x14ac:dyDescent="0.35">
      <c r="A576" s="13"/>
      <c r="B576" s="13"/>
      <c r="C576" s="13"/>
      <c r="D576" s="13"/>
      <c r="E576" s="13"/>
      <c r="F576" s="13"/>
      <c r="G576" s="13"/>
      <c r="H576" s="13"/>
      <c r="I576" s="13"/>
      <c r="J576" s="13"/>
      <c r="K576" s="13"/>
      <c r="L576" s="13"/>
    </row>
    <row r="577" spans="1:12" x14ac:dyDescent="0.35">
      <c r="A577" s="13"/>
      <c r="B577" s="13"/>
      <c r="C577" s="13"/>
      <c r="D577" s="13"/>
      <c r="E577" s="13"/>
      <c r="F577" s="13"/>
      <c r="G577" s="13"/>
      <c r="H577" s="13"/>
      <c r="I577" s="13"/>
      <c r="J577" s="13"/>
      <c r="K577" s="13"/>
      <c r="L577" s="13"/>
    </row>
    <row r="578" spans="1:12" x14ac:dyDescent="0.35">
      <c r="A578" s="13"/>
      <c r="B578" s="13"/>
      <c r="C578" s="13"/>
      <c r="D578" s="13"/>
      <c r="E578" s="13"/>
      <c r="F578" s="13"/>
      <c r="G578" s="13"/>
      <c r="H578" s="13"/>
      <c r="I578" s="13"/>
      <c r="J578" s="13"/>
      <c r="K578" s="13"/>
      <c r="L578" s="13"/>
    </row>
    <row r="579" spans="1:12" x14ac:dyDescent="0.35">
      <c r="A579" s="13"/>
      <c r="B579" s="13"/>
      <c r="C579" s="13"/>
      <c r="D579" s="13"/>
      <c r="E579" s="13"/>
      <c r="F579" s="13"/>
      <c r="G579" s="13"/>
      <c r="H579" s="13"/>
      <c r="I579" s="13"/>
      <c r="J579" s="13"/>
      <c r="K579" s="13"/>
      <c r="L579" s="13"/>
    </row>
    <row r="580" spans="1:12" x14ac:dyDescent="0.35">
      <c r="A580" s="13"/>
      <c r="B580" s="13"/>
      <c r="C580" s="13"/>
      <c r="D580" s="13"/>
      <c r="E580" s="13"/>
      <c r="F580" s="13"/>
      <c r="G580" s="13"/>
      <c r="H580" s="13"/>
      <c r="I580" s="13"/>
      <c r="J580" s="13"/>
      <c r="K580" s="13"/>
      <c r="L580" s="13"/>
    </row>
    <row r="581" spans="1:12" x14ac:dyDescent="0.35">
      <c r="A581" s="13"/>
      <c r="B581" s="13"/>
      <c r="C581" s="13"/>
      <c r="D581" s="13"/>
      <c r="E581" s="13"/>
      <c r="F581" s="13"/>
      <c r="G581" s="13"/>
      <c r="H581" s="13"/>
      <c r="I581" s="13"/>
      <c r="J581" s="13"/>
      <c r="K581" s="13"/>
      <c r="L581" s="13"/>
    </row>
    <row r="582" spans="1:12" x14ac:dyDescent="0.35">
      <c r="A582" s="13"/>
      <c r="B582" s="13"/>
      <c r="C582" s="13"/>
      <c r="D582" s="13"/>
      <c r="E582" s="13"/>
      <c r="F582" s="13"/>
      <c r="G582" s="13"/>
      <c r="H582" s="13"/>
      <c r="I582" s="13"/>
      <c r="J582" s="13"/>
      <c r="K582" s="13"/>
      <c r="L582" s="13"/>
    </row>
    <row r="583" spans="1:12" x14ac:dyDescent="0.35">
      <c r="A583" s="13"/>
      <c r="B583" s="13"/>
      <c r="C583" s="13"/>
      <c r="D583" s="13"/>
      <c r="E583" s="13"/>
      <c r="F583" s="13"/>
      <c r="G583" s="13"/>
      <c r="H583" s="13"/>
      <c r="I583" s="13"/>
      <c r="J583" s="13"/>
      <c r="K583" s="13"/>
      <c r="L583" s="13"/>
    </row>
    <row r="584" spans="1:12" x14ac:dyDescent="0.35">
      <c r="A584" s="13"/>
      <c r="B584" s="13"/>
      <c r="C584" s="13"/>
      <c r="D584" s="13"/>
      <c r="E584" s="13"/>
      <c r="F584" s="13"/>
      <c r="G584" s="13"/>
      <c r="H584" s="13"/>
      <c r="I584" s="13"/>
      <c r="J584" s="13"/>
      <c r="K584" s="13"/>
      <c r="L584" s="13"/>
    </row>
    <row r="585" spans="1:12" x14ac:dyDescent="0.35">
      <c r="A585" s="13"/>
      <c r="B585" s="13"/>
      <c r="C585" s="13"/>
      <c r="D585" s="13"/>
      <c r="E585" s="13"/>
      <c r="F585" s="13"/>
      <c r="G585" s="13"/>
      <c r="H585" s="13"/>
      <c r="I585" s="13"/>
      <c r="J585" s="13"/>
      <c r="K585" s="13"/>
      <c r="L585" s="13"/>
    </row>
    <row r="586" spans="1:12" x14ac:dyDescent="0.35">
      <c r="A586" s="13"/>
      <c r="B586" s="13"/>
      <c r="C586" s="13"/>
      <c r="D586" s="13"/>
      <c r="E586" s="13"/>
      <c r="F586" s="13"/>
      <c r="G586" s="13"/>
      <c r="H586" s="13"/>
      <c r="I586" s="13"/>
      <c r="J586" s="13"/>
      <c r="K586" s="13"/>
      <c r="L586" s="13"/>
    </row>
    <row r="587" spans="1:12" x14ac:dyDescent="0.35">
      <c r="A587" s="13"/>
      <c r="B587" s="13"/>
      <c r="C587" s="13"/>
      <c r="D587" s="13"/>
      <c r="E587" s="13"/>
      <c r="F587" s="13"/>
      <c r="G587" s="13"/>
      <c r="H587" s="13"/>
      <c r="I587" s="13"/>
      <c r="J587" s="13"/>
      <c r="K587" s="13"/>
      <c r="L587" s="13"/>
    </row>
    <row r="588" spans="1:12" x14ac:dyDescent="0.35">
      <c r="A588" s="13"/>
      <c r="B588" s="13"/>
      <c r="C588" s="13"/>
      <c r="D588" s="13"/>
      <c r="E588" s="13"/>
      <c r="F588" s="13"/>
      <c r="G588" s="13"/>
      <c r="H588" s="13"/>
      <c r="I588" s="13"/>
      <c r="J588" s="13"/>
      <c r="K588" s="13"/>
      <c r="L588" s="13"/>
    </row>
    <row r="589" spans="1:12" x14ac:dyDescent="0.35">
      <c r="A589" s="13"/>
      <c r="B589" s="13"/>
      <c r="C589" s="13"/>
      <c r="D589" s="13"/>
      <c r="E589" s="13"/>
      <c r="F589" s="13"/>
      <c r="G589" s="13"/>
      <c r="H589" s="13"/>
      <c r="I589" s="13"/>
      <c r="J589" s="13"/>
      <c r="K589" s="13"/>
      <c r="L589" s="13"/>
    </row>
    <row r="590" spans="1:12" x14ac:dyDescent="0.35">
      <c r="A590" s="13"/>
      <c r="B590" s="13"/>
      <c r="C590" s="13"/>
      <c r="D590" s="13"/>
      <c r="E590" s="13"/>
      <c r="F590" s="13"/>
      <c r="G590" s="13"/>
      <c r="H590" s="13"/>
      <c r="I590" s="13"/>
      <c r="J590" s="13"/>
      <c r="K590" s="13"/>
      <c r="L590" s="13"/>
    </row>
    <row r="591" spans="1:12" x14ac:dyDescent="0.35">
      <c r="A591" s="13"/>
      <c r="B591" s="13"/>
      <c r="C591" s="13"/>
      <c r="D591" s="13"/>
      <c r="E591" s="13"/>
      <c r="F591" s="13"/>
      <c r="G591" s="13"/>
      <c r="H591" s="13"/>
      <c r="I591" s="13"/>
      <c r="J591" s="13"/>
      <c r="K591" s="13"/>
      <c r="L591" s="13"/>
    </row>
    <row r="592" spans="1:12" x14ac:dyDescent="0.35">
      <c r="A592" s="13"/>
      <c r="B592" s="13"/>
      <c r="C592" s="13"/>
      <c r="D592" s="13"/>
      <c r="E592" s="13"/>
      <c r="F592" s="13"/>
      <c r="G592" s="13"/>
      <c r="H592" s="13"/>
      <c r="I592" s="13"/>
      <c r="J592" s="13"/>
      <c r="K592" s="13"/>
      <c r="L592" s="13"/>
    </row>
    <row r="593" spans="1:12" x14ac:dyDescent="0.35">
      <c r="A593" s="13"/>
      <c r="B593" s="13"/>
      <c r="C593" s="13"/>
      <c r="D593" s="13"/>
      <c r="E593" s="13"/>
      <c r="F593" s="13"/>
      <c r="G593" s="13"/>
      <c r="H593" s="13"/>
      <c r="I593" s="13"/>
      <c r="J593" s="13"/>
      <c r="K593" s="13"/>
      <c r="L593" s="13"/>
    </row>
    <row r="594" spans="1:12" x14ac:dyDescent="0.35">
      <c r="A594" s="13"/>
      <c r="B594" s="13"/>
      <c r="C594" s="13"/>
      <c r="D594" s="13"/>
      <c r="E594" s="13"/>
      <c r="F594" s="13"/>
      <c r="G594" s="13"/>
      <c r="H594" s="13"/>
      <c r="I594" s="13"/>
      <c r="J594" s="13"/>
      <c r="K594" s="13"/>
      <c r="L594" s="13"/>
    </row>
    <row r="595" spans="1:12" x14ac:dyDescent="0.35">
      <c r="A595" s="13"/>
      <c r="B595" s="13"/>
      <c r="C595" s="13"/>
      <c r="D595" s="13"/>
      <c r="E595" s="13"/>
      <c r="F595" s="13"/>
      <c r="G595" s="13"/>
      <c r="H595" s="13"/>
      <c r="I595" s="13"/>
      <c r="J595" s="13"/>
      <c r="K595" s="13"/>
      <c r="L595" s="13"/>
    </row>
    <row r="596" spans="1:12" x14ac:dyDescent="0.35">
      <c r="A596" s="13"/>
      <c r="B596" s="13"/>
      <c r="C596" s="13"/>
      <c r="D596" s="13"/>
      <c r="E596" s="13"/>
      <c r="F596" s="13"/>
      <c r="G596" s="13"/>
      <c r="H596" s="13"/>
      <c r="I596" s="13"/>
      <c r="J596" s="13"/>
      <c r="K596" s="13"/>
      <c r="L596" s="13"/>
    </row>
    <row r="597" spans="1:12" x14ac:dyDescent="0.35">
      <c r="A597" s="13"/>
      <c r="B597" s="13"/>
      <c r="C597" s="13"/>
      <c r="D597" s="13"/>
      <c r="E597" s="13"/>
      <c r="F597" s="13"/>
      <c r="G597" s="13"/>
      <c r="H597" s="13"/>
      <c r="I597" s="13"/>
      <c r="J597" s="13"/>
      <c r="K597" s="13"/>
      <c r="L597" s="13"/>
    </row>
    <row r="598" spans="1:12" x14ac:dyDescent="0.35">
      <c r="A598" s="13"/>
      <c r="B598" s="13"/>
      <c r="C598" s="13"/>
      <c r="D598" s="13"/>
      <c r="E598" s="13"/>
      <c r="F598" s="13"/>
      <c r="G598" s="13"/>
      <c r="H598" s="13"/>
      <c r="I598" s="13"/>
      <c r="J598" s="13"/>
      <c r="K598" s="13"/>
      <c r="L598" s="13"/>
    </row>
    <row r="599" spans="1:12" x14ac:dyDescent="0.35">
      <c r="A599" s="13"/>
      <c r="B599" s="13"/>
      <c r="C599" s="13"/>
      <c r="D599" s="13"/>
      <c r="E599" s="13"/>
      <c r="F599" s="13"/>
      <c r="G599" s="13"/>
      <c r="H599" s="13"/>
      <c r="I599" s="13"/>
      <c r="J599" s="13"/>
      <c r="K599" s="13"/>
      <c r="L599" s="13"/>
    </row>
    <row r="600" spans="1:12" x14ac:dyDescent="0.35">
      <c r="A600" s="13"/>
      <c r="B600" s="13"/>
      <c r="C600" s="13"/>
      <c r="D600" s="13"/>
      <c r="E600" s="13"/>
      <c r="F600" s="13"/>
      <c r="G600" s="13"/>
      <c r="H600" s="13"/>
      <c r="I600" s="13"/>
      <c r="J600" s="13"/>
      <c r="K600" s="13"/>
      <c r="L600" s="13"/>
    </row>
    <row r="601" spans="1:12" x14ac:dyDescent="0.35">
      <c r="A601" s="13"/>
      <c r="B601" s="13"/>
      <c r="C601" s="13"/>
      <c r="D601" s="13"/>
      <c r="E601" s="13"/>
      <c r="F601" s="13"/>
      <c r="G601" s="13"/>
      <c r="H601" s="13"/>
      <c r="I601" s="13"/>
      <c r="J601" s="13"/>
      <c r="K601" s="13"/>
      <c r="L601" s="13"/>
    </row>
  </sheetData>
  <mergeCells count="4">
    <mergeCell ref="A1:N2"/>
    <mergeCell ref="B9:N11"/>
    <mergeCell ref="O3:P4"/>
    <mergeCell ref="B3:N5"/>
  </mergeCells>
  <conditionalFormatting sqref="O10">
    <cfRule type="containsText" dxfId="66" priority="1" operator="containsText" text="Yes">
      <formula>NOT(ISERROR(SEARCH("Yes",O10)))</formula>
    </cfRule>
    <cfRule type="containsText" dxfId="65" priority="2" operator="containsText" text="No">
      <formula>NOT(ISERROR(SEARCH("No",O10)))</formula>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03D6A1-5026-4997-9575-960F95D68BC6}">
  <sheetPr codeName="Sheet2">
    <tabColor theme="9" tint="-0.249977111117893"/>
  </sheetPr>
  <dimension ref="C7:M25"/>
  <sheetViews>
    <sheetView topLeftCell="A7" workbookViewId="0">
      <selection activeCell="C10" sqref="C10"/>
    </sheetView>
  </sheetViews>
  <sheetFormatPr defaultRowHeight="14.5" x14ac:dyDescent="0.35"/>
  <cols>
    <col min="2" max="2" width="16" bestFit="1" customWidth="1"/>
    <col min="3" max="3" width="38.6328125" bestFit="1" customWidth="1"/>
    <col min="4" max="4" width="16.453125" bestFit="1" customWidth="1"/>
    <col min="5" max="5" width="13.08984375" bestFit="1" customWidth="1"/>
    <col min="6" max="6" width="6.36328125" bestFit="1" customWidth="1"/>
    <col min="7" max="7" width="11.81640625" bestFit="1" customWidth="1"/>
    <col min="8" max="8" width="12.7265625" bestFit="1" customWidth="1"/>
    <col min="9" max="9" width="9.08984375" bestFit="1" customWidth="1"/>
    <col min="10" max="10" width="11.81640625" bestFit="1" customWidth="1"/>
    <col min="11" max="11" width="34.453125" bestFit="1" customWidth="1"/>
    <col min="12" max="12" width="15.36328125" bestFit="1" customWidth="1"/>
    <col min="13" max="13" width="11.81640625" bestFit="1" customWidth="1"/>
    <col min="14" max="14" width="15.26953125" bestFit="1" customWidth="1"/>
    <col min="15" max="15" width="12.7265625" bestFit="1" customWidth="1"/>
    <col min="16" max="16" width="15.36328125" bestFit="1" customWidth="1"/>
    <col min="17" max="17" width="18.81640625" bestFit="1" customWidth="1"/>
    <col min="18" max="19" width="11.81640625" bestFit="1" customWidth="1"/>
    <col min="20" max="20" width="12.7265625" bestFit="1" customWidth="1"/>
    <col min="21" max="21" width="9.08984375" bestFit="1" customWidth="1"/>
    <col min="22" max="22" width="11.81640625" bestFit="1" customWidth="1"/>
    <col min="23" max="23" width="34.453125" bestFit="1" customWidth="1"/>
    <col min="24" max="24" width="15.36328125" bestFit="1" customWidth="1"/>
    <col min="25" max="28" width="11.81640625" bestFit="1" customWidth="1"/>
  </cols>
  <sheetData>
    <row r="7" spans="3:13" x14ac:dyDescent="0.35">
      <c r="C7" s="118" t="s">
        <v>69</v>
      </c>
      <c r="D7" t="s">
        <v>749</v>
      </c>
    </row>
    <row r="8" spans="3:13" x14ac:dyDescent="0.35">
      <c r="C8" s="118" t="s">
        <v>520</v>
      </c>
      <c r="D8" t="s">
        <v>596</v>
      </c>
    </row>
    <row r="10" spans="3:13" x14ac:dyDescent="0.35">
      <c r="C10" s="118" t="s">
        <v>593</v>
      </c>
      <c r="D10" s="118" t="s">
        <v>592</v>
      </c>
    </row>
    <row r="11" spans="3:13" x14ac:dyDescent="0.35">
      <c r="C11" s="118" t="s">
        <v>588</v>
      </c>
      <c r="D11" t="s">
        <v>770</v>
      </c>
      <c r="E11" t="s">
        <v>346</v>
      </c>
      <c r="F11" t="s">
        <v>811</v>
      </c>
      <c r="G11" t="s">
        <v>344</v>
      </c>
      <c r="H11" t="s">
        <v>347</v>
      </c>
      <c r="I11" t="s">
        <v>608</v>
      </c>
      <c r="J11" t="s">
        <v>4</v>
      </c>
      <c r="K11" t="s">
        <v>533</v>
      </c>
      <c r="L11" t="s">
        <v>470</v>
      </c>
      <c r="M11" t="s">
        <v>591</v>
      </c>
    </row>
    <row r="12" spans="3:13" x14ac:dyDescent="0.35">
      <c r="C12" s="119" t="s">
        <v>647</v>
      </c>
      <c r="D12" s="180"/>
      <c r="E12" s="180">
        <v>46.384999999999998</v>
      </c>
      <c r="F12" s="180">
        <v>1</v>
      </c>
      <c r="G12" s="180">
        <v>15.443402777777781</v>
      </c>
      <c r="H12" s="180">
        <v>2.839</v>
      </c>
      <c r="I12" s="180"/>
      <c r="J12" s="180">
        <v>49.463402777777773</v>
      </c>
      <c r="K12" s="180"/>
      <c r="L12" s="180">
        <v>0.25229166666666669</v>
      </c>
      <c r="M12" s="180">
        <v>115.38309722222222</v>
      </c>
    </row>
    <row r="13" spans="3:13" x14ac:dyDescent="0.35">
      <c r="C13" s="119" t="s">
        <v>767</v>
      </c>
      <c r="D13" s="180"/>
      <c r="E13" s="180">
        <v>46.384999999999998</v>
      </c>
      <c r="F13" s="180">
        <v>1</v>
      </c>
      <c r="G13" s="180"/>
      <c r="H13" s="180">
        <v>1.839</v>
      </c>
      <c r="I13" s="180"/>
      <c r="J13" s="180"/>
      <c r="K13" s="180">
        <v>25.485526875000001</v>
      </c>
      <c r="L13" s="180"/>
      <c r="M13" s="180">
        <v>74.709526874999995</v>
      </c>
    </row>
    <row r="14" spans="3:13" x14ac:dyDescent="0.35">
      <c r="C14" s="119" t="s">
        <v>609</v>
      </c>
      <c r="D14" s="180"/>
      <c r="E14" s="180">
        <v>46.384999999999998</v>
      </c>
      <c r="F14" s="180">
        <v>1</v>
      </c>
      <c r="G14" s="180">
        <v>16.965440000000001</v>
      </c>
      <c r="H14" s="180">
        <v>2.839</v>
      </c>
      <c r="I14" s="180">
        <v>2.4569999999999999</v>
      </c>
      <c r="J14" s="180">
        <v>2.3537952083333336</v>
      </c>
      <c r="K14" s="180"/>
      <c r="L14" s="180">
        <v>0.25229166666666669</v>
      </c>
      <c r="M14" s="180">
        <v>72.252526874999987</v>
      </c>
    </row>
    <row r="15" spans="3:13" x14ac:dyDescent="0.35">
      <c r="C15" s="119" t="s">
        <v>619</v>
      </c>
      <c r="D15" s="180"/>
      <c r="E15" s="180">
        <v>46.384999999999998</v>
      </c>
      <c r="F15" s="180">
        <v>1</v>
      </c>
      <c r="G15" s="180"/>
      <c r="H15" s="180">
        <v>2.839</v>
      </c>
      <c r="I15" s="180"/>
      <c r="J15" s="180"/>
      <c r="K15" s="180">
        <v>22.028526875000001</v>
      </c>
      <c r="L15" s="180"/>
      <c r="M15" s="180">
        <v>72.252526875000001</v>
      </c>
    </row>
    <row r="16" spans="3:13" x14ac:dyDescent="0.35">
      <c r="C16" s="119" t="s">
        <v>747</v>
      </c>
      <c r="D16" s="180"/>
      <c r="E16" s="180">
        <v>46.384999999999998</v>
      </c>
      <c r="F16" s="180">
        <v>1</v>
      </c>
      <c r="G16" s="180">
        <v>20.672000000000001</v>
      </c>
      <c r="H16" s="180">
        <v>2.839</v>
      </c>
      <c r="I16" s="180"/>
      <c r="J16" s="180">
        <v>46.812902777777779</v>
      </c>
      <c r="K16" s="180"/>
      <c r="L16" s="180">
        <v>0.25229166666666669</v>
      </c>
      <c r="M16" s="180">
        <v>117.96119444444444</v>
      </c>
    </row>
    <row r="17" spans="3:13" x14ac:dyDescent="0.35">
      <c r="C17" s="119" t="s">
        <v>748</v>
      </c>
      <c r="D17" s="180"/>
      <c r="E17" s="180">
        <v>46.384999999999998</v>
      </c>
      <c r="F17" s="180">
        <v>1</v>
      </c>
      <c r="G17" s="180">
        <v>26.036999999999999</v>
      </c>
      <c r="H17" s="180">
        <v>2.839</v>
      </c>
      <c r="I17" s="180"/>
      <c r="J17" s="180">
        <v>46.812902777777779</v>
      </c>
      <c r="K17" s="180"/>
      <c r="L17" s="180">
        <v>0.25229166666666669</v>
      </c>
      <c r="M17" s="180">
        <v>123.32619444444444</v>
      </c>
    </row>
    <row r="18" spans="3:13" x14ac:dyDescent="0.35">
      <c r="C18" s="119" t="s">
        <v>769</v>
      </c>
      <c r="D18" s="180"/>
      <c r="E18" s="180">
        <v>46.801724999999998</v>
      </c>
      <c r="F18" s="180">
        <v>1</v>
      </c>
      <c r="G18" s="180"/>
      <c r="H18" s="180">
        <v>1.839</v>
      </c>
      <c r="I18" s="180"/>
      <c r="J18" s="180"/>
      <c r="K18" s="180">
        <v>27.8</v>
      </c>
      <c r="L18" s="180"/>
      <c r="M18" s="180">
        <v>77.440725</v>
      </c>
    </row>
    <row r="19" spans="3:13" x14ac:dyDescent="0.35">
      <c r="C19" s="119" t="s">
        <v>768</v>
      </c>
      <c r="D19" s="180"/>
      <c r="E19" s="180">
        <v>46.801724999999998</v>
      </c>
      <c r="F19" s="180">
        <v>1</v>
      </c>
      <c r="G19" s="180"/>
      <c r="H19" s="180">
        <v>1.839</v>
      </c>
      <c r="I19" s="180"/>
      <c r="J19" s="180"/>
      <c r="K19" s="180">
        <v>21.7</v>
      </c>
      <c r="L19" s="180"/>
      <c r="M19" s="180">
        <v>71.340724999999992</v>
      </c>
    </row>
    <row r="20" spans="3:13" x14ac:dyDescent="0.35">
      <c r="C20" s="119" t="s">
        <v>620</v>
      </c>
      <c r="D20" s="180"/>
      <c r="E20" s="180">
        <v>46.801724999999998</v>
      </c>
      <c r="F20" s="180">
        <v>1</v>
      </c>
      <c r="G20" s="180">
        <v>16.965440000000001</v>
      </c>
      <c r="H20" s="180">
        <v>2.839</v>
      </c>
      <c r="I20" s="180"/>
      <c r="J20" s="180">
        <v>14.681000000000001</v>
      </c>
      <c r="K20" s="180"/>
      <c r="L20" s="180">
        <v>0.25229166666666669</v>
      </c>
      <c r="M20" s="180">
        <v>82.539456666666666</v>
      </c>
    </row>
    <row r="21" spans="3:13" x14ac:dyDescent="0.35">
      <c r="C21" s="119" t="s">
        <v>621</v>
      </c>
      <c r="D21" s="180"/>
      <c r="E21" s="180">
        <v>46.801724999999998</v>
      </c>
      <c r="F21" s="180">
        <v>1</v>
      </c>
      <c r="G21" s="180"/>
      <c r="H21" s="180">
        <v>2.839</v>
      </c>
      <c r="I21" s="180"/>
      <c r="J21" s="180"/>
      <c r="K21" s="180">
        <v>18.8</v>
      </c>
      <c r="L21" s="180"/>
      <c r="M21" s="180">
        <v>69.440725</v>
      </c>
    </row>
    <row r="22" spans="3:13" x14ac:dyDescent="0.35">
      <c r="C22" s="119" t="s">
        <v>648</v>
      </c>
      <c r="D22" s="180"/>
      <c r="E22" s="180">
        <v>46.384999999999998</v>
      </c>
      <c r="F22" s="180">
        <v>1</v>
      </c>
      <c r="G22" s="180">
        <v>15.390090090090087</v>
      </c>
      <c r="H22" s="180">
        <v>2.839</v>
      </c>
      <c r="I22" s="180"/>
      <c r="J22" s="180">
        <v>46.812902777777779</v>
      </c>
      <c r="K22" s="180"/>
      <c r="L22" s="180">
        <v>0.25229166666666669</v>
      </c>
      <c r="M22" s="180">
        <v>112.67928453453453</v>
      </c>
    </row>
    <row r="23" spans="3:13" x14ac:dyDescent="0.35">
      <c r="C23" s="119" t="s">
        <v>775</v>
      </c>
      <c r="D23" s="180">
        <v>24.7</v>
      </c>
      <c r="E23" s="180"/>
      <c r="F23" s="180"/>
      <c r="G23" s="180"/>
      <c r="H23" s="180"/>
      <c r="I23" s="180"/>
      <c r="J23" s="180"/>
      <c r="K23" s="180"/>
      <c r="L23" s="180"/>
      <c r="M23" s="180">
        <v>24.7</v>
      </c>
    </row>
    <row r="24" spans="3:13" x14ac:dyDescent="0.35">
      <c r="C24" s="119" t="s">
        <v>746</v>
      </c>
      <c r="D24" s="180"/>
      <c r="E24" s="180">
        <v>46.384999999999998</v>
      </c>
      <c r="F24" s="180">
        <v>1</v>
      </c>
      <c r="G24" s="180">
        <v>26.438000000000002</v>
      </c>
      <c r="H24" s="180">
        <v>2.839</v>
      </c>
      <c r="I24" s="180"/>
      <c r="J24" s="180">
        <v>46.812902777777779</v>
      </c>
      <c r="K24" s="180"/>
      <c r="L24" s="180">
        <v>0.25229166666666669</v>
      </c>
      <c r="M24" s="180">
        <v>123.72719444444445</v>
      </c>
    </row>
    <row r="25" spans="3:13" x14ac:dyDescent="0.35">
      <c r="C25" s="119" t="s">
        <v>591</v>
      </c>
      <c r="D25" s="180">
        <v>24.7</v>
      </c>
      <c r="E25" s="180">
        <v>558.28689999999995</v>
      </c>
      <c r="F25" s="180">
        <v>12</v>
      </c>
      <c r="G25" s="180">
        <v>137.91137286786787</v>
      </c>
      <c r="H25" s="180">
        <v>31.067999999999991</v>
      </c>
      <c r="I25" s="180">
        <v>2.4569999999999999</v>
      </c>
      <c r="J25" s="180">
        <v>253.74980909722223</v>
      </c>
      <c r="K25" s="180">
        <v>115.81405375</v>
      </c>
      <c r="L25" s="180">
        <v>1.7660416666666672</v>
      </c>
      <c r="M25" s="180">
        <v>1137.7531773817568</v>
      </c>
    </row>
  </sheetData>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6AB196-CA94-44BB-8FD7-10200F141867}">
  <sheetPr codeName="Sheet3">
    <tabColor theme="9" tint="-0.249977111117893"/>
  </sheetPr>
  <dimension ref="F2:M34"/>
  <sheetViews>
    <sheetView topLeftCell="B25" workbookViewId="0">
      <selection activeCell="F47" sqref="F47"/>
    </sheetView>
  </sheetViews>
  <sheetFormatPr defaultRowHeight="14.5" x14ac:dyDescent="0.35"/>
  <cols>
    <col min="6" max="6" width="47.7265625" bestFit="1" customWidth="1"/>
    <col min="7" max="7" width="15.26953125" bestFit="1" customWidth="1"/>
    <col min="8" max="8" width="11.81640625" bestFit="1" customWidth="1"/>
    <col min="9" max="9" width="4.81640625" bestFit="1" customWidth="1"/>
    <col min="10" max="10" width="11.81640625" bestFit="1" customWidth="1"/>
    <col min="11" max="11" width="16.26953125" bestFit="1" customWidth="1"/>
    <col min="12" max="12" width="10.6328125" bestFit="1" customWidth="1"/>
    <col min="13" max="14" width="11.81640625" bestFit="1" customWidth="1"/>
  </cols>
  <sheetData>
    <row r="2" spans="6:13" x14ac:dyDescent="0.35">
      <c r="F2" s="118" t="s">
        <v>69</v>
      </c>
      <c r="G2" t="s">
        <v>596</v>
      </c>
    </row>
    <row r="3" spans="6:13" x14ac:dyDescent="0.35">
      <c r="F3" s="118" t="s">
        <v>520</v>
      </c>
      <c r="G3" t="s">
        <v>596</v>
      </c>
    </row>
    <row r="5" spans="6:13" x14ac:dyDescent="0.35">
      <c r="F5" s="118" t="s">
        <v>593</v>
      </c>
      <c r="G5" s="118" t="s">
        <v>592</v>
      </c>
    </row>
    <row r="6" spans="6:13" x14ac:dyDescent="0.35">
      <c r="F6" s="118" t="s">
        <v>588</v>
      </c>
      <c r="G6" t="s">
        <v>815</v>
      </c>
      <c r="H6" t="s">
        <v>814</v>
      </c>
      <c r="I6" t="s">
        <v>513</v>
      </c>
      <c r="J6" t="s">
        <v>816</v>
      </c>
      <c r="K6" t="s">
        <v>817</v>
      </c>
      <c r="L6" t="s">
        <v>663</v>
      </c>
      <c r="M6" t="s">
        <v>591</v>
      </c>
    </row>
    <row r="7" spans="6:13" x14ac:dyDescent="0.35">
      <c r="F7" s="119" t="s">
        <v>647</v>
      </c>
      <c r="G7" s="180">
        <v>4.1849999999999996</v>
      </c>
      <c r="H7" s="180"/>
      <c r="I7" s="180"/>
      <c r="J7" s="180">
        <v>65.159097222222215</v>
      </c>
      <c r="K7" s="180">
        <v>0</v>
      </c>
      <c r="L7" s="180">
        <v>46.038999999999994</v>
      </c>
      <c r="M7" s="180">
        <v>115.3830972222222</v>
      </c>
    </row>
    <row r="8" spans="6:13" x14ac:dyDescent="0.35">
      <c r="F8" s="119" t="s">
        <v>589</v>
      </c>
      <c r="G8" s="180">
        <v>4.1849999999999996</v>
      </c>
      <c r="H8" s="180"/>
      <c r="I8" s="180"/>
      <c r="J8" s="180">
        <v>32.295684666666659</v>
      </c>
      <c r="K8" s="180">
        <v>0</v>
      </c>
      <c r="L8" s="180">
        <v>46.038999999999994</v>
      </c>
      <c r="M8" s="180">
        <v>82.519684666666649</v>
      </c>
    </row>
    <row r="9" spans="6:13" x14ac:dyDescent="0.35">
      <c r="F9" s="119" t="s">
        <v>649</v>
      </c>
      <c r="G9" s="180"/>
      <c r="H9" s="180">
        <v>21</v>
      </c>
      <c r="I9" s="180"/>
      <c r="J9" s="180">
        <v>32.295684666666659</v>
      </c>
      <c r="K9" s="180">
        <v>0</v>
      </c>
      <c r="L9" s="180">
        <v>3.839</v>
      </c>
      <c r="M9" s="180">
        <v>57.134684666666658</v>
      </c>
    </row>
    <row r="10" spans="6:13" x14ac:dyDescent="0.35">
      <c r="F10" s="119" t="s">
        <v>767</v>
      </c>
      <c r="G10" s="180">
        <v>4.1849999999999996</v>
      </c>
      <c r="H10" s="180"/>
      <c r="I10" s="180"/>
      <c r="J10" s="180">
        <v>25.485526875000001</v>
      </c>
      <c r="K10" s="180">
        <v>0</v>
      </c>
      <c r="L10" s="180">
        <v>45.038999999999994</v>
      </c>
      <c r="M10" s="180">
        <v>74.709526874999995</v>
      </c>
    </row>
    <row r="11" spans="6:13" x14ac:dyDescent="0.35">
      <c r="F11" s="119" t="s">
        <v>609</v>
      </c>
      <c r="G11" s="180">
        <v>4.1849999999999996</v>
      </c>
      <c r="H11" s="180"/>
      <c r="I11" s="180"/>
      <c r="J11" s="180">
        <v>22.028526875000001</v>
      </c>
      <c r="K11" s="180">
        <v>0</v>
      </c>
      <c r="L11" s="180">
        <v>46.038999999999994</v>
      </c>
      <c r="M11" s="180">
        <v>72.252526875000001</v>
      </c>
    </row>
    <row r="12" spans="6:13" x14ac:dyDescent="0.35">
      <c r="F12" s="119" t="s">
        <v>619</v>
      </c>
      <c r="G12" s="180">
        <v>4.1849999999999996</v>
      </c>
      <c r="H12" s="180"/>
      <c r="I12" s="180"/>
      <c r="J12" s="180">
        <v>22.028526875000001</v>
      </c>
      <c r="K12" s="180">
        <v>0</v>
      </c>
      <c r="L12" s="180">
        <v>46.038999999999994</v>
      </c>
      <c r="M12" s="180">
        <v>72.252526875000001</v>
      </c>
    </row>
    <row r="13" spans="6:13" x14ac:dyDescent="0.35">
      <c r="F13" s="119" t="s">
        <v>784</v>
      </c>
      <c r="G13" s="180">
        <v>8.3699999999999992</v>
      </c>
      <c r="H13" s="180">
        <v>49.964215500000002</v>
      </c>
      <c r="I13" s="180"/>
      <c r="J13" s="180">
        <v>7.1710416666666665</v>
      </c>
      <c r="K13" s="180">
        <v>0</v>
      </c>
      <c r="L13" s="180">
        <v>46.038999999999994</v>
      </c>
      <c r="M13" s="180">
        <v>111.54425716666665</v>
      </c>
    </row>
    <row r="14" spans="6:13" x14ac:dyDescent="0.35">
      <c r="F14" s="119" t="s">
        <v>785</v>
      </c>
      <c r="G14" s="180">
        <v>8.3699999999999992</v>
      </c>
      <c r="H14" s="180">
        <v>53.283106000000011</v>
      </c>
      <c r="I14" s="180"/>
      <c r="J14" s="180">
        <v>7.1710416666666665</v>
      </c>
      <c r="K14" s="180">
        <v>0</v>
      </c>
      <c r="L14" s="180">
        <v>46.038999999999994</v>
      </c>
      <c r="M14" s="180">
        <v>114.86314766666666</v>
      </c>
    </row>
    <row r="15" spans="6:13" x14ac:dyDescent="0.35">
      <c r="F15" s="119" t="s">
        <v>655</v>
      </c>
      <c r="G15" s="180">
        <v>8.3699999999999992</v>
      </c>
      <c r="H15" s="180">
        <v>45.864552500000002</v>
      </c>
      <c r="I15" s="180"/>
      <c r="J15" s="180">
        <v>7.1710416666666665</v>
      </c>
      <c r="K15" s="180">
        <v>0</v>
      </c>
      <c r="L15" s="180">
        <v>46.038999999999994</v>
      </c>
      <c r="M15" s="180">
        <v>107.44459416666666</v>
      </c>
    </row>
    <row r="16" spans="6:13" x14ac:dyDescent="0.35">
      <c r="F16" s="119" t="s">
        <v>786</v>
      </c>
      <c r="G16" s="180">
        <v>8.3699999999999992</v>
      </c>
      <c r="H16" s="180">
        <v>36.921864000000006</v>
      </c>
      <c r="I16" s="180"/>
      <c r="J16" s="180">
        <v>4.8647916666666662</v>
      </c>
      <c r="K16" s="180">
        <v>0</v>
      </c>
      <c r="L16" s="180">
        <v>46.038999999999994</v>
      </c>
      <c r="M16" s="180">
        <v>96.195655666666667</v>
      </c>
    </row>
    <row r="17" spans="6:13" x14ac:dyDescent="0.35">
      <c r="F17" s="119" t="s">
        <v>747</v>
      </c>
      <c r="G17" s="180">
        <v>38.6145</v>
      </c>
      <c r="H17" s="180">
        <v>20.672000000000001</v>
      </c>
      <c r="I17" s="180"/>
      <c r="J17" s="180">
        <v>12.635694444444445</v>
      </c>
      <c r="K17" s="180">
        <v>0</v>
      </c>
      <c r="L17" s="180">
        <v>46.038999999999994</v>
      </c>
      <c r="M17" s="180">
        <v>117.96119444444443</v>
      </c>
    </row>
    <row r="18" spans="6:13" x14ac:dyDescent="0.35">
      <c r="F18" s="119" t="s">
        <v>748</v>
      </c>
      <c r="G18" s="180">
        <v>38.6145</v>
      </c>
      <c r="H18" s="180">
        <v>26.036999999999999</v>
      </c>
      <c r="I18" s="180"/>
      <c r="J18" s="180">
        <v>12.635694444444445</v>
      </c>
      <c r="K18" s="180">
        <v>0</v>
      </c>
      <c r="L18" s="180">
        <v>46.038999999999994</v>
      </c>
      <c r="M18" s="180">
        <v>123.32619444444444</v>
      </c>
    </row>
    <row r="19" spans="6:13" x14ac:dyDescent="0.35">
      <c r="F19" s="119" t="s">
        <v>769</v>
      </c>
      <c r="G19" s="180">
        <v>46.801724999999998</v>
      </c>
      <c r="H19" s="180">
        <v>27.8</v>
      </c>
      <c r="I19" s="180"/>
      <c r="J19" s="180"/>
      <c r="K19" s="180">
        <v>0</v>
      </c>
      <c r="L19" s="180">
        <v>2.839</v>
      </c>
      <c r="M19" s="180">
        <v>77.440725</v>
      </c>
    </row>
    <row r="20" spans="6:13" x14ac:dyDescent="0.35">
      <c r="F20" s="119" t="s">
        <v>768</v>
      </c>
      <c r="G20" s="180">
        <v>46.801724999999998</v>
      </c>
      <c r="H20" s="180">
        <v>21.7</v>
      </c>
      <c r="I20" s="180"/>
      <c r="J20" s="180"/>
      <c r="K20" s="180">
        <v>0</v>
      </c>
      <c r="L20" s="180">
        <v>2.839</v>
      </c>
      <c r="M20" s="180">
        <v>71.340724999999992</v>
      </c>
    </row>
    <row r="21" spans="6:13" x14ac:dyDescent="0.35">
      <c r="F21" s="119" t="s">
        <v>620</v>
      </c>
      <c r="G21" s="180">
        <v>46.801724999999998</v>
      </c>
      <c r="H21" s="180">
        <v>14.681000000000001</v>
      </c>
      <c r="I21" s="180"/>
      <c r="J21" s="180">
        <v>17.217731666666669</v>
      </c>
      <c r="K21" s="180">
        <v>0</v>
      </c>
      <c r="L21" s="180">
        <v>3.839</v>
      </c>
      <c r="M21" s="180">
        <v>82.539456666666666</v>
      </c>
    </row>
    <row r="22" spans="6:13" x14ac:dyDescent="0.35">
      <c r="F22" s="119" t="s">
        <v>621</v>
      </c>
      <c r="G22" s="180">
        <v>46.801724999999998</v>
      </c>
      <c r="H22" s="180">
        <v>18.8</v>
      </c>
      <c r="I22" s="180"/>
      <c r="J22" s="180"/>
      <c r="K22" s="180">
        <v>0</v>
      </c>
      <c r="L22" s="180">
        <v>3.839</v>
      </c>
      <c r="M22" s="180">
        <v>69.440725</v>
      </c>
    </row>
    <row r="23" spans="6:13" x14ac:dyDescent="0.35">
      <c r="F23" s="119" t="s">
        <v>590</v>
      </c>
      <c r="G23" s="180">
        <v>46.801724999999998</v>
      </c>
      <c r="H23" s="180">
        <v>9.9992200000000011</v>
      </c>
      <c r="I23" s="180"/>
      <c r="J23" s="180">
        <v>17.160131666666665</v>
      </c>
      <c r="K23" s="180"/>
      <c r="L23" s="180">
        <v>3.839</v>
      </c>
      <c r="M23" s="180">
        <v>77.800076666666655</v>
      </c>
    </row>
    <row r="24" spans="6:13" x14ac:dyDescent="0.35">
      <c r="F24" s="119" t="s">
        <v>764</v>
      </c>
      <c r="G24" s="180">
        <v>4.1849999999999996</v>
      </c>
      <c r="H24" s="180"/>
      <c r="I24" s="180">
        <v>44.4</v>
      </c>
      <c r="J24" s="180">
        <v>0.25229166666666669</v>
      </c>
      <c r="K24" s="180">
        <v>0</v>
      </c>
      <c r="L24" s="180">
        <v>46.038999999999994</v>
      </c>
      <c r="M24" s="180">
        <v>94.87629166666666</v>
      </c>
    </row>
    <row r="25" spans="6:13" x14ac:dyDescent="0.35">
      <c r="F25" s="119" t="s">
        <v>648</v>
      </c>
      <c r="G25" s="180">
        <v>38.6145</v>
      </c>
      <c r="H25" s="180">
        <v>15.390090090090087</v>
      </c>
      <c r="I25" s="180"/>
      <c r="J25" s="180">
        <v>12.635694444444445</v>
      </c>
      <c r="K25" s="180">
        <v>0</v>
      </c>
      <c r="L25" s="180">
        <v>46.038999999999994</v>
      </c>
      <c r="M25" s="180">
        <v>112.67928453453453</v>
      </c>
    </row>
    <row r="26" spans="6:13" x14ac:dyDescent="0.35">
      <c r="F26" s="119" t="s">
        <v>765</v>
      </c>
      <c r="G26" s="180">
        <v>4.1849999999999996</v>
      </c>
      <c r="H26" s="180">
        <v>40</v>
      </c>
      <c r="I26" s="180"/>
      <c r="J26" s="180">
        <v>0.25229166666666669</v>
      </c>
      <c r="K26" s="180">
        <v>0</v>
      </c>
      <c r="L26" s="180">
        <v>46.038999999999994</v>
      </c>
      <c r="M26" s="180">
        <v>90.476291666666668</v>
      </c>
    </row>
    <row r="27" spans="6:13" x14ac:dyDescent="0.35">
      <c r="F27" s="119" t="s">
        <v>793</v>
      </c>
      <c r="G27" s="180">
        <v>8.3699999999999992</v>
      </c>
      <c r="H27" s="180">
        <v>20.360500000000002</v>
      </c>
      <c r="I27" s="180"/>
      <c r="J27" s="180">
        <v>9.477291666666666</v>
      </c>
      <c r="K27" s="180">
        <v>0</v>
      </c>
      <c r="L27" s="180">
        <v>46.038999999999994</v>
      </c>
      <c r="M27" s="180">
        <v>84.246791666666667</v>
      </c>
    </row>
    <row r="28" spans="6:13" x14ac:dyDescent="0.35">
      <c r="F28" s="119" t="s">
        <v>605</v>
      </c>
      <c r="G28" s="180">
        <v>46.801724999999998</v>
      </c>
      <c r="H28" s="180">
        <v>15.372500000000002</v>
      </c>
      <c r="I28" s="180"/>
      <c r="J28" s="180">
        <v>17.160131666666665</v>
      </c>
      <c r="K28" s="180">
        <v>0</v>
      </c>
      <c r="L28" s="180">
        <v>3.839</v>
      </c>
      <c r="M28" s="180">
        <v>83.173356666666663</v>
      </c>
    </row>
    <row r="29" spans="6:13" x14ac:dyDescent="0.35">
      <c r="F29" s="119" t="s">
        <v>775</v>
      </c>
      <c r="G29" s="180"/>
      <c r="H29" s="180">
        <v>24.7</v>
      </c>
      <c r="I29" s="180"/>
      <c r="J29" s="180"/>
      <c r="K29" s="180"/>
      <c r="L29" s="180"/>
      <c r="M29" s="180">
        <v>24.7</v>
      </c>
    </row>
    <row r="30" spans="6:13" x14ac:dyDescent="0.35">
      <c r="F30" s="119" t="s">
        <v>762</v>
      </c>
      <c r="G30" s="180">
        <v>4.1849999999999996</v>
      </c>
      <c r="H30" s="180">
        <v>19.5</v>
      </c>
      <c r="I30" s="180"/>
      <c r="J30" s="180">
        <v>0.25229166666666669</v>
      </c>
      <c r="K30" s="180">
        <v>0</v>
      </c>
      <c r="L30" s="180">
        <v>46.038999999999994</v>
      </c>
      <c r="M30" s="180">
        <v>69.976291666666668</v>
      </c>
    </row>
    <row r="31" spans="6:13" x14ac:dyDescent="0.35">
      <c r="F31" s="119" t="s">
        <v>763</v>
      </c>
      <c r="G31" s="180">
        <v>4.1849999999999996</v>
      </c>
      <c r="H31" s="180">
        <v>24.6</v>
      </c>
      <c r="I31" s="180"/>
      <c r="J31" s="180">
        <v>0.25229166666666669</v>
      </c>
      <c r="K31" s="180">
        <v>0</v>
      </c>
      <c r="L31" s="180">
        <v>46.038999999999994</v>
      </c>
      <c r="M31" s="180">
        <v>75.076291666666663</v>
      </c>
    </row>
    <row r="32" spans="6:13" x14ac:dyDescent="0.35">
      <c r="F32" s="119" t="s">
        <v>746</v>
      </c>
      <c r="G32" s="180">
        <v>38.6145</v>
      </c>
      <c r="H32" s="180">
        <v>26.438000000000002</v>
      </c>
      <c r="I32" s="180"/>
      <c r="J32" s="180">
        <v>12.635694444444445</v>
      </c>
      <c r="K32" s="180">
        <v>0</v>
      </c>
      <c r="L32" s="180">
        <v>46.038999999999994</v>
      </c>
      <c r="M32" s="180">
        <v>123.72719444444445</v>
      </c>
    </row>
    <row r="33" spans="6:13" x14ac:dyDescent="0.35">
      <c r="F33" s="119" t="s">
        <v>766</v>
      </c>
      <c r="G33" s="180">
        <v>4.1849999999999996</v>
      </c>
      <c r="H33" s="180">
        <v>23.1</v>
      </c>
      <c r="I33" s="180"/>
      <c r="J33" s="180">
        <v>0.25229166666666669</v>
      </c>
      <c r="K33" s="180">
        <v>0</v>
      </c>
      <c r="L33" s="180">
        <v>46.038999999999994</v>
      </c>
      <c r="M33" s="180">
        <v>73.576291666666663</v>
      </c>
    </row>
    <row r="34" spans="6:13" x14ac:dyDescent="0.35">
      <c r="F34" s="119" t="s">
        <v>591</v>
      </c>
      <c r="G34" s="180">
        <v>518.96834999999987</v>
      </c>
      <c r="H34" s="180">
        <v>556.18404809009007</v>
      </c>
      <c r="I34" s="180">
        <v>44.4</v>
      </c>
      <c r="J34" s="180">
        <v>338.49048662499996</v>
      </c>
      <c r="K34" s="180">
        <v>0</v>
      </c>
      <c r="L34" s="180">
        <v>898.61400000000015</v>
      </c>
      <c r="M34" s="180">
        <v>2356.6568847150902</v>
      </c>
    </row>
  </sheetData>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BA7457-8044-4A38-AB3E-7977D29D95D8}">
  <sheetPr codeName="Sheet4">
    <tabColor theme="9" tint="-0.249977111117893"/>
  </sheetPr>
  <dimension ref="D2:K12"/>
  <sheetViews>
    <sheetView workbookViewId="0">
      <selection activeCell="E9" sqref="E9"/>
    </sheetView>
  </sheetViews>
  <sheetFormatPr defaultRowHeight="14.5" x14ac:dyDescent="0.35"/>
  <cols>
    <col min="4" max="4" width="47.7265625" bestFit="1" customWidth="1"/>
    <col min="5" max="5" width="15.453125" bestFit="1" customWidth="1"/>
    <col min="6" max="6" width="11.81640625" bestFit="1" customWidth="1"/>
    <col min="7" max="7" width="12.7265625" bestFit="1" customWidth="1"/>
    <col min="8" max="8" width="11.81640625" bestFit="1" customWidth="1"/>
    <col min="9" max="9" width="15.36328125" bestFit="1" customWidth="1"/>
    <col min="10" max="10" width="6.36328125" bestFit="1" customWidth="1"/>
    <col min="11" max="11" width="11.81640625" bestFit="1" customWidth="1"/>
  </cols>
  <sheetData>
    <row r="2" spans="4:11" x14ac:dyDescent="0.35">
      <c r="D2" s="118" t="s">
        <v>69</v>
      </c>
      <c r="E2" t="s">
        <v>80</v>
      </c>
    </row>
    <row r="3" spans="4:11" x14ac:dyDescent="0.35">
      <c r="D3" s="118" t="s">
        <v>520</v>
      </c>
      <c r="E3" t="s">
        <v>596</v>
      </c>
    </row>
    <row r="5" spans="4:11" x14ac:dyDescent="0.35">
      <c r="D5" s="118" t="s">
        <v>594</v>
      </c>
      <c r="E5" s="118" t="s">
        <v>592</v>
      </c>
    </row>
    <row r="6" spans="4:11" x14ac:dyDescent="0.35">
      <c r="D6" s="118" t="s">
        <v>588</v>
      </c>
      <c r="E6" t="s">
        <v>346</v>
      </c>
      <c r="F6" t="s">
        <v>344</v>
      </c>
      <c r="G6" t="s">
        <v>347</v>
      </c>
      <c r="H6" t="s">
        <v>4</v>
      </c>
      <c r="I6" t="s">
        <v>470</v>
      </c>
      <c r="J6" t="s">
        <v>811</v>
      </c>
      <c r="K6" t="s">
        <v>591</v>
      </c>
    </row>
    <row r="7" spans="4:11" x14ac:dyDescent="0.35">
      <c r="D7" s="119" t="s">
        <v>784</v>
      </c>
      <c r="E7" s="180">
        <v>2.1298701298701297</v>
      </c>
      <c r="F7" s="180">
        <v>2.1428571428571428</v>
      </c>
      <c r="G7" s="180">
        <v>0.56578947368421051</v>
      </c>
      <c r="H7" s="180">
        <v>1.02</v>
      </c>
      <c r="I7" s="180">
        <v>1.5E-3</v>
      </c>
      <c r="J7" s="180">
        <v>0</v>
      </c>
      <c r="K7" s="180">
        <v>5.8600167464114836</v>
      </c>
    </row>
    <row r="8" spans="4:11" x14ac:dyDescent="0.35">
      <c r="D8" s="119" t="s">
        <v>785</v>
      </c>
      <c r="E8" s="180">
        <v>2.1298701298701297</v>
      </c>
      <c r="F8" s="180">
        <v>2.1428571428571428</v>
      </c>
      <c r="G8" s="180">
        <v>0.56578947368421051</v>
      </c>
      <c r="H8" s="180">
        <v>1.1299999999999999</v>
      </c>
      <c r="I8" s="180">
        <v>1.5E-3</v>
      </c>
      <c r="J8" s="180">
        <v>0</v>
      </c>
      <c r="K8" s="180">
        <v>5.9700167464114831</v>
      </c>
    </row>
    <row r="9" spans="4:11" x14ac:dyDescent="0.35">
      <c r="D9" s="119" t="s">
        <v>655</v>
      </c>
      <c r="E9" s="180">
        <v>2.1298701298701297</v>
      </c>
      <c r="F9" s="180">
        <v>2.1428571428571428</v>
      </c>
      <c r="G9" s="180">
        <v>0.56578947368421051</v>
      </c>
      <c r="H9" s="180">
        <v>1.26</v>
      </c>
      <c r="I9" s="180">
        <v>1.5E-3</v>
      </c>
      <c r="J9" s="180">
        <v>0</v>
      </c>
      <c r="K9" s="180">
        <v>6.1000167464114829</v>
      </c>
    </row>
    <row r="10" spans="4:11" x14ac:dyDescent="0.35">
      <c r="D10" s="119" t="s">
        <v>786</v>
      </c>
      <c r="E10" s="180">
        <v>2.1298701298701297</v>
      </c>
      <c r="F10" s="180">
        <v>1.4285714285714286</v>
      </c>
      <c r="G10" s="180">
        <v>0.56578947368421051</v>
      </c>
      <c r="H10" s="180">
        <v>1.79</v>
      </c>
      <c r="I10" s="180">
        <v>1.5E-3</v>
      </c>
      <c r="J10" s="180">
        <v>0</v>
      </c>
      <c r="K10" s="180">
        <v>5.9157310321257688</v>
      </c>
    </row>
    <row r="11" spans="4:11" x14ac:dyDescent="0.35">
      <c r="D11" s="119" t="s">
        <v>793</v>
      </c>
      <c r="E11" s="180">
        <v>2.1298701298701297</v>
      </c>
      <c r="F11" s="180">
        <v>2.8571428571428572</v>
      </c>
      <c r="G11" s="180">
        <v>0.56578947368421051</v>
      </c>
      <c r="H11" s="180">
        <v>0.19545454545454544</v>
      </c>
      <c r="I11" s="180">
        <v>1.5E-3</v>
      </c>
      <c r="J11" s="180">
        <v>0</v>
      </c>
      <c r="K11" s="180">
        <v>5.7497570061517429</v>
      </c>
    </row>
    <row r="12" spans="4:11" x14ac:dyDescent="0.35">
      <c r="D12" s="119" t="s">
        <v>591</v>
      </c>
      <c r="E12" s="180">
        <v>10.649350649350648</v>
      </c>
      <c r="F12" s="180">
        <v>10.714285714285715</v>
      </c>
      <c r="G12" s="180">
        <v>2.8289473684210527</v>
      </c>
      <c r="H12" s="180">
        <v>5.3954545454545455</v>
      </c>
      <c r="I12" s="180">
        <v>7.4999999999999997E-3</v>
      </c>
      <c r="J12" s="180">
        <v>0</v>
      </c>
      <c r="K12" s="180">
        <v>29.595538277511963</v>
      </c>
    </row>
  </sheetData>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11BDA5-2C2A-4B21-9F2E-661D94B2199E}">
  <sheetPr codeName="Sheet5">
    <tabColor theme="9" tint="-0.249977111117893"/>
  </sheetPr>
  <dimension ref="D4:N33"/>
  <sheetViews>
    <sheetView topLeftCell="A16" workbookViewId="0">
      <selection activeCell="B21" sqref="B21"/>
    </sheetView>
  </sheetViews>
  <sheetFormatPr defaultRowHeight="14.5" x14ac:dyDescent="0.35"/>
  <cols>
    <col min="4" max="4" width="47.7265625" bestFit="1" customWidth="1"/>
    <col min="5" max="5" width="15.26953125" bestFit="1" customWidth="1"/>
    <col min="6" max="6" width="11.81640625" bestFit="1" customWidth="1"/>
    <col min="7" max="7" width="12.7265625" bestFit="1" customWidth="1"/>
    <col min="8" max="8" width="9.08984375" bestFit="1" customWidth="1"/>
    <col min="9" max="9" width="11.81640625" bestFit="1" customWidth="1"/>
    <col min="10" max="10" width="34.453125" bestFit="1" customWidth="1"/>
    <col min="11" max="11" width="15.36328125" bestFit="1" customWidth="1"/>
    <col min="12" max="12" width="18.81640625" bestFit="1" customWidth="1"/>
    <col min="13" max="13" width="15.453125" bestFit="1" customWidth="1"/>
    <col min="14" max="14" width="11.81640625" bestFit="1" customWidth="1"/>
  </cols>
  <sheetData>
    <row r="4" spans="4:14" x14ac:dyDescent="0.35">
      <c r="D4" s="118" t="s">
        <v>623</v>
      </c>
      <c r="E4" s="118" t="s">
        <v>592</v>
      </c>
    </row>
    <row r="5" spans="4:14" x14ac:dyDescent="0.35">
      <c r="D5" s="118" t="s">
        <v>588</v>
      </c>
      <c r="E5" t="s">
        <v>346</v>
      </c>
      <c r="F5" t="s">
        <v>344</v>
      </c>
      <c r="G5" t="s">
        <v>347</v>
      </c>
      <c r="H5" t="s">
        <v>608</v>
      </c>
      <c r="I5" t="s">
        <v>4</v>
      </c>
      <c r="J5" t="s">
        <v>533</v>
      </c>
      <c r="K5" t="s">
        <v>470</v>
      </c>
      <c r="L5" t="s">
        <v>532</v>
      </c>
      <c r="M5" t="s">
        <v>770</v>
      </c>
      <c r="N5" t="s">
        <v>591</v>
      </c>
    </row>
    <row r="6" spans="4:14" x14ac:dyDescent="0.35">
      <c r="D6" s="119" t="s">
        <v>589</v>
      </c>
      <c r="E6" s="180">
        <v>231.12</v>
      </c>
      <c r="F6" s="180">
        <v>9.76</v>
      </c>
      <c r="G6" s="180">
        <v>9.3350000000000009</v>
      </c>
      <c r="H6" s="180"/>
      <c r="I6" s="180">
        <v>5.5847999999999987</v>
      </c>
      <c r="J6" s="180"/>
      <c r="K6" s="180">
        <v>0.34599999999999997</v>
      </c>
      <c r="L6" s="180"/>
      <c r="M6" s="180"/>
      <c r="N6" s="180">
        <v>256.14580000000001</v>
      </c>
    </row>
    <row r="7" spans="4:14" x14ac:dyDescent="0.35">
      <c r="D7" s="119" t="s">
        <v>609</v>
      </c>
      <c r="E7" s="180">
        <v>231.12</v>
      </c>
      <c r="F7" s="180">
        <v>12.16</v>
      </c>
      <c r="G7" s="180">
        <v>9.2850000000000001</v>
      </c>
      <c r="H7" s="180">
        <v>5.4</v>
      </c>
      <c r="I7" s="180">
        <v>8.9497916666666661</v>
      </c>
      <c r="J7" s="180"/>
      <c r="K7" s="180">
        <v>6.0763888888888888E-2</v>
      </c>
      <c r="L7" s="180"/>
      <c r="M7" s="180"/>
      <c r="N7" s="180">
        <v>266.97555555555556</v>
      </c>
    </row>
    <row r="8" spans="4:14" x14ac:dyDescent="0.35">
      <c r="D8" s="119" t="s">
        <v>619</v>
      </c>
      <c r="E8" s="180">
        <v>231.12</v>
      </c>
      <c r="F8" s="180"/>
      <c r="G8" s="180">
        <v>9.2850000000000001</v>
      </c>
      <c r="H8" s="180"/>
      <c r="I8" s="180"/>
      <c r="J8" s="180">
        <v>26.570555555555558</v>
      </c>
      <c r="K8" s="180"/>
      <c r="L8" s="180"/>
      <c r="M8" s="180"/>
      <c r="N8" s="180">
        <v>266.97555555555556</v>
      </c>
    </row>
    <row r="9" spans="4:14" x14ac:dyDescent="0.35">
      <c r="D9" s="119" t="s">
        <v>620</v>
      </c>
      <c r="E9" s="180">
        <v>233.04499999999999</v>
      </c>
      <c r="F9" s="180">
        <v>12.16</v>
      </c>
      <c r="G9" s="180">
        <v>9.2850000000000001</v>
      </c>
      <c r="H9" s="180"/>
      <c r="I9" s="180">
        <v>21.04</v>
      </c>
      <c r="J9" s="180"/>
      <c r="K9" s="180">
        <v>6.0763888888888888E-2</v>
      </c>
      <c r="L9" s="180"/>
      <c r="M9" s="180"/>
      <c r="N9" s="180">
        <v>275.59076388888889</v>
      </c>
    </row>
    <row r="10" spans="4:14" x14ac:dyDescent="0.35">
      <c r="D10" s="119" t="s">
        <v>621</v>
      </c>
      <c r="E10" s="180">
        <v>233.04499999999999</v>
      </c>
      <c r="F10" s="180"/>
      <c r="G10" s="180">
        <v>9.2850000000000001</v>
      </c>
      <c r="H10" s="180"/>
      <c r="I10" s="180"/>
      <c r="J10" s="180">
        <v>23.57</v>
      </c>
      <c r="K10" s="180"/>
      <c r="L10" s="180"/>
      <c r="M10" s="180"/>
      <c r="N10" s="180">
        <v>265.89999999999998</v>
      </c>
    </row>
    <row r="11" spans="4:14" x14ac:dyDescent="0.35">
      <c r="D11" s="119" t="s">
        <v>590</v>
      </c>
      <c r="E11" s="180">
        <v>233.04499999999999</v>
      </c>
      <c r="F11" s="180">
        <v>9.76</v>
      </c>
      <c r="G11" s="180">
        <v>9.2850000000000001</v>
      </c>
      <c r="H11" s="180"/>
      <c r="I11" s="180">
        <v>4.7300000000000004</v>
      </c>
      <c r="J11" s="180"/>
      <c r="K11" s="180">
        <v>0.34599999999999997</v>
      </c>
      <c r="L11" s="180"/>
      <c r="M11" s="180"/>
      <c r="N11" s="180">
        <v>257.166</v>
      </c>
    </row>
    <row r="12" spans="4:14" x14ac:dyDescent="0.35">
      <c r="D12" s="119" t="s">
        <v>605</v>
      </c>
      <c r="E12" s="180">
        <v>233.04499999999999</v>
      </c>
      <c r="F12" s="180">
        <v>9.76</v>
      </c>
      <c r="G12" s="180">
        <v>9.2850000000000001</v>
      </c>
      <c r="H12" s="180"/>
      <c r="I12" s="180">
        <v>4.7300000000000004</v>
      </c>
      <c r="J12" s="180"/>
      <c r="K12" s="180">
        <v>0.34599999999999997</v>
      </c>
      <c r="L12" s="180"/>
      <c r="M12" s="180"/>
      <c r="N12" s="180">
        <v>257.166</v>
      </c>
    </row>
    <row r="13" spans="4:14" x14ac:dyDescent="0.35">
      <c r="D13" s="119" t="s">
        <v>647</v>
      </c>
      <c r="E13" s="180">
        <v>231.12</v>
      </c>
      <c r="F13" s="180">
        <v>4.6180555555555562</v>
      </c>
      <c r="G13" s="180">
        <v>9.2850000000000001</v>
      </c>
      <c r="H13" s="180"/>
      <c r="I13" s="180">
        <v>367.19965277777777</v>
      </c>
      <c r="J13" s="180"/>
      <c r="K13" s="180">
        <v>6.0069444444444439E-2</v>
      </c>
      <c r="L13" s="180"/>
      <c r="M13" s="180"/>
      <c r="N13" s="180">
        <v>612.28277777777782</v>
      </c>
    </row>
    <row r="14" spans="4:14" x14ac:dyDescent="0.35">
      <c r="D14" s="119" t="s">
        <v>648</v>
      </c>
      <c r="E14" s="180">
        <v>231.12</v>
      </c>
      <c r="F14" s="180">
        <v>6.2190000000000003</v>
      </c>
      <c r="G14" s="180">
        <v>9.2850000000000001</v>
      </c>
      <c r="H14" s="180"/>
      <c r="I14" s="180">
        <v>361.8</v>
      </c>
      <c r="J14" s="180"/>
      <c r="K14" s="180">
        <v>0</v>
      </c>
      <c r="L14" s="180"/>
      <c r="M14" s="180"/>
      <c r="N14" s="180">
        <v>608.42399999999998</v>
      </c>
    </row>
    <row r="15" spans="4:14" x14ac:dyDescent="0.35">
      <c r="D15" s="119" t="s">
        <v>649</v>
      </c>
      <c r="E15" s="180">
        <v>0.12</v>
      </c>
      <c r="F15" s="180">
        <v>9.76</v>
      </c>
      <c r="G15" s="180">
        <v>9.2850000000000001</v>
      </c>
      <c r="H15" s="180"/>
      <c r="I15" s="180">
        <v>5.5847999999999987</v>
      </c>
      <c r="J15" s="180"/>
      <c r="K15" s="180">
        <v>0.34599999999999997</v>
      </c>
      <c r="L15" s="180"/>
      <c r="M15" s="180"/>
      <c r="N15" s="180">
        <v>25.095799999999997</v>
      </c>
    </row>
    <row r="16" spans="4:14" x14ac:dyDescent="0.35">
      <c r="D16" s="119" t="s">
        <v>655</v>
      </c>
      <c r="E16" s="180">
        <v>262.12</v>
      </c>
      <c r="F16" s="180">
        <v>1.875</v>
      </c>
      <c r="G16" s="180">
        <v>9.2850000000000001</v>
      </c>
      <c r="H16" s="180"/>
      <c r="I16" s="180">
        <v>139.75</v>
      </c>
      <c r="J16" s="180"/>
      <c r="K16" s="180">
        <v>0.34599999999999997</v>
      </c>
      <c r="L16" s="180"/>
      <c r="M16" s="180"/>
      <c r="N16" s="180">
        <v>413.37600000000003</v>
      </c>
    </row>
    <row r="17" spans="4:14" x14ac:dyDescent="0.35">
      <c r="D17" s="119" t="s">
        <v>746</v>
      </c>
      <c r="E17" s="180">
        <v>231.12</v>
      </c>
      <c r="F17" s="180">
        <v>8.18</v>
      </c>
      <c r="G17" s="180">
        <v>9.2850000000000001</v>
      </c>
      <c r="H17" s="180"/>
      <c r="I17" s="180">
        <v>361.8</v>
      </c>
      <c r="J17" s="180"/>
      <c r="K17" s="180">
        <v>0</v>
      </c>
      <c r="L17" s="180"/>
      <c r="M17" s="180"/>
      <c r="N17" s="180">
        <v>610.38499999999999</v>
      </c>
    </row>
    <row r="18" spans="4:14" x14ac:dyDescent="0.35">
      <c r="D18" s="119" t="s">
        <v>747</v>
      </c>
      <c r="E18" s="180">
        <v>231.12</v>
      </c>
      <c r="F18" s="180">
        <v>6.37</v>
      </c>
      <c r="G18" s="180">
        <v>9.2850000000000001</v>
      </c>
      <c r="H18" s="180"/>
      <c r="I18" s="180">
        <v>361.8</v>
      </c>
      <c r="J18" s="180"/>
      <c r="K18" s="180">
        <v>0</v>
      </c>
      <c r="L18" s="180"/>
      <c r="M18" s="180"/>
      <c r="N18" s="180">
        <v>608.57500000000005</v>
      </c>
    </row>
    <row r="19" spans="4:14" x14ac:dyDescent="0.35">
      <c r="D19" s="119" t="s">
        <v>748</v>
      </c>
      <c r="E19" s="180">
        <v>231.12</v>
      </c>
      <c r="F19" s="180">
        <v>7.74</v>
      </c>
      <c r="G19" s="180">
        <v>9.2850000000000001</v>
      </c>
      <c r="H19" s="180"/>
      <c r="I19" s="180">
        <v>361.8</v>
      </c>
      <c r="J19" s="180"/>
      <c r="K19" s="180">
        <v>0</v>
      </c>
      <c r="L19" s="180"/>
      <c r="M19" s="180"/>
      <c r="N19" s="180">
        <v>609.94500000000005</v>
      </c>
    </row>
    <row r="20" spans="4:14" x14ac:dyDescent="0.35">
      <c r="D20" s="119" t="s">
        <v>762</v>
      </c>
      <c r="E20" s="180">
        <v>231.12</v>
      </c>
      <c r="F20" s="180"/>
      <c r="G20" s="180">
        <v>9.2850000000000001</v>
      </c>
      <c r="H20" s="180"/>
      <c r="I20" s="180"/>
      <c r="J20" s="180"/>
      <c r="K20" s="180">
        <v>0.34599999999999997</v>
      </c>
      <c r="L20" s="180">
        <v>21.31</v>
      </c>
      <c r="M20" s="180"/>
      <c r="N20" s="180">
        <v>262.06099999999998</v>
      </c>
    </row>
    <row r="21" spans="4:14" x14ac:dyDescent="0.35">
      <c r="D21" s="119" t="s">
        <v>763</v>
      </c>
      <c r="E21" s="180">
        <v>231.12</v>
      </c>
      <c r="F21" s="180"/>
      <c r="G21" s="180">
        <v>9.2850000000000001</v>
      </c>
      <c r="H21" s="180"/>
      <c r="I21" s="180"/>
      <c r="J21" s="180"/>
      <c r="K21" s="180">
        <v>0.34599999999999997</v>
      </c>
      <c r="L21" s="180">
        <v>22.09</v>
      </c>
      <c r="M21" s="180"/>
      <c r="N21" s="180">
        <v>262.84100000000001</v>
      </c>
    </row>
    <row r="22" spans="4:14" x14ac:dyDescent="0.35">
      <c r="D22" s="119" t="s">
        <v>764</v>
      </c>
      <c r="E22" s="180">
        <v>231.12</v>
      </c>
      <c r="F22" s="180"/>
      <c r="G22" s="180">
        <v>9.2850000000000001</v>
      </c>
      <c r="H22" s="180"/>
      <c r="I22" s="180"/>
      <c r="J22" s="180"/>
      <c r="K22" s="180">
        <v>0.34599999999999997</v>
      </c>
      <c r="L22" s="180">
        <v>23.2</v>
      </c>
      <c r="M22" s="180"/>
      <c r="N22" s="180">
        <v>263.95100000000002</v>
      </c>
    </row>
    <row r="23" spans="4:14" x14ac:dyDescent="0.35">
      <c r="D23" s="119" t="s">
        <v>765</v>
      </c>
      <c r="E23" s="180">
        <v>231.12</v>
      </c>
      <c r="F23" s="180"/>
      <c r="G23" s="180">
        <v>9.2850000000000001</v>
      </c>
      <c r="H23" s="180"/>
      <c r="I23" s="180"/>
      <c r="J23" s="180"/>
      <c r="K23" s="180">
        <v>0.34599999999999997</v>
      </c>
      <c r="L23" s="180">
        <v>23.7</v>
      </c>
      <c r="M23" s="180"/>
      <c r="N23" s="180">
        <v>264.45100000000002</v>
      </c>
    </row>
    <row r="24" spans="4:14" x14ac:dyDescent="0.35">
      <c r="D24" s="119" t="s">
        <v>766</v>
      </c>
      <c r="E24" s="180">
        <v>231.12</v>
      </c>
      <c r="F24" s="180"/>
      <c r="G24" s="180">
        <v>9.2850000000000001</v>
      </c>
      <c r="H24" s="180"/>
      <c r="I24" s="180"/>
      <c r="J24" s="180"/>
      <c r="K24" s="180">
        <v>0.34599999999999997</v>
      </c>
      <c r="L24" s="180">
        <v>18.600000000000001</v>
      </c>
      <c r="M24" s="180"/>
      <c r="N24" s="180">
        <v>259.351</v>
      </c>
    </row>
    <row r="25" spans="4:14" x14ac:dyDescent="0.35">
      <c r="D25" s="119" t="s">
        <v>767</v>
      </c>
      <c r="E25" s="180">
        <v>231.12</v>
      </c>
      <c r="F25" s="180"/>
      <c r="G25" s="180">
        <v>9.2850000000000001</v>
      </c>
      <c r="H25" s="180"/>
      <c r="I25" s="180"/>
      <c r="J25" s="180">
        <v>32.143472222222222</v>
      </c>
      <c r="K25" s="180"/>
      <c r="L25" s="180"/>
      <c r="M25" s="180"/>
      <c r="N25" s="180">
        <v>272.54847222222224</v>
      </c>
    </row>
    <row r="26" spans="4:14" x14ac:dyDescent="0.35">
      <c r="D26" s="119" t="s">
        <v>768</v>
      </c>
      <c r="E26" s="180">
        <v>233.04499999999999</v>
      </c>
      <c r="F26" s="180"/>
      <c r="G26" s="180">
        <v>9.2850000000000001</v>
      </c>
      <c r="H26" s="180"/>
      <c r="I26" s="180"/>
      <c r="J26" s="180">
        <v>23.75</v>
      </c>
      <c r="K26" s="180"/>
      <c r="L26" s="180"/>
      <c r="M26" s="180"/>
      <c r="N26" s="180">
        <v>266.08</v>
      </c>
    </row>
    <row r="27" spans="4:14" x14ac:dyDescent="0.35">
      <c r="D27" s="119" t="s">
        <v>769</v>
      </c>
      <c r="E27" s="180">
        <v>233.04499999999999</v>
      </c>
      <c r="F27" s="180"/>
      <c r="G27" s="180">
        <v>9.2850000000000001</v>
      </c>
      <c r="H27" s="180"/>
      <c r="I27" s="180"/>
      <c r="J27" s="180">
        <v>31.66</v>
      </c>
      <c r="K27" s="180"/>
      <c r="L27" s="180"/>
      <c r="M27" s="180"/>
      <c r="N27" s="180">
        <v>273.99</v>
      </c>
    </row>
    <row r="28" spans="4:14" x14ac:dyDescent="0.35">
      <c r="D28" s="119" t="s">
        <v>775</v>
      </c>
      <c r="E28" s="180"/>
      <c r="F28" s="180"/>
      <c r="G28" s="180"/>
      <c r="H28" s="180"/>
      <c r="I28" s="180"/>
      <c r="J28" s="180"/>
      <c r="K28" s="180"/>
      <c r="L28" s="180"/>
      <c r="M28" s="180">
        <v>45.2</v>
      </c>
      <c r="N28" s="180">
        <v>45.2</v>
      </c>
    </row>
    <row r="29" spans="4:14" x14ac:dyDescent="0.35">
      <c r="D29" s="119" t="s">
        <v>784</v>
      </c>
      <c r="E29" s="180">
        <v>262.12</v>
      </c>
      <c r="F29" s="180">
        <v>1.875</v>
      </c>
      <c r="G29" s="180">
        <v>9.2850000000000001</v>
      </c>
      <c r="H29" s="180"/>
      <c r="I29" s="180">
        <v>178.45</v>
      </c>
      <c r="J29" s="180"/>
      <c r="K29" s="180">
        <v>0.34599999999999997</v>
      </c>
      <c r="L29" s="180"/>
      <c r="M29" s="180"/>
      <c r="N29" s="180">
        <v>452.07600000000002</v>
      </c>
    </row>
    <row r="30" spans="4:14" x14ac:dyDescent="0.35">
      <c r="D30" s="119" t="s">
        <v>785</v>
      </c>
      <c r="E30" s="180">
        <v>262.12</v>
      </c>
      <c r="F30" s="180">
        <v>1.875</v>
      </c>
      <c r="G30" s="180">
        <v>9.2850000000000001</v>
      </c>
      <c r="H30" s="180"/>
      <c r="I30" s="180">
        <v>163.4</v>
      </c>
      <c r="J30" s="180"/>
      <c r="K30" s="180">
        <v>0.34599999999999997</v>
      </c>
      <c r="L30" s="180"/>
      <c r="M30" s="180"/>
      <c r="N30" s="180">
        <v>437.02600000000007</v>
      </c>
    </row>
    <row r="31" spans="4:14" x14ac:dyDescent="0.35">
      <c r="D31" s="119" t="s">
        <v>786</v>
      </c>
      <c r="E31" s="180">
        <v>262.12</v>
      </c>
      <c r="F31" s="180">
        <v>1.25</v>
      </c>
      <c r="G31" s="180">
        <v>9.2850000000000001</v>
      </c>
      <c r="H31" s="180"/>
      <c r="I31" s="180">
        <v>103.2</v>
      </c>
      <c r="J31" s="180"/>
      <c r="K31" s="180">
        <v>0.34599999999999997</v>
      </c>
      <c r="L31" s="180"/>
      <c r="M31" s="180"/>
      <c r="N31" s="180">
        <v>376.20100000000002</v>
      </c>
    </row>
    <row r="32" spans="4:14" x14ac:dyDescent="0.35">
      <c r="D32" s="119" t="s">
        <v>793</v>
      </c>
      <c r="E32" s="180">
        <v>262.12</v>
      </c>
      <c r="F32" s="180">
        <v>2.5</v>
      </c>
      <c r="G32" s="180">
        <v>9.2850000000000001</v>
      </c>
      <c r="H32" s="180"/>
      <c r="I32" s="180">
        <v>103.2</v>
      </c>
      <c r="J32" s="180"/>
      <c r="K32" s="180">
        <v>0.34599999999999997</v>
      </c>
      <c r="L32" s="180"/>
      <c r="M32" s="180"/>
      <c r="N32" s="180">
        <v>377.45100000000002</v>
      </c>
    </row>
    <row r="33" spans="4:14" x14ac:dyDescent="0.35">
      <c r="D33" s="119" t="s">
        <v>591</v>
      </c>
      <c r="E33" s="180">
        <v>5944.6699999999992</v>
      </c>
      <c r="F33" s="180">
        <v>105.86205555555556</v>
      </c>
      <c r="G33" s="180">
        <v>241.45999999999992</v>
      </c>
      <c r="H33" s="180">
        <v>5.4</v>
      </c>
      <c r="I33" s="180">
        <v>2553.0190444444443</v>
      </c>
      <c r="J33" s="180">
        <v>137.69402777777779</v>
      </c>
      <c r="K33" s="180">
        <v>5.0255972222222232</v>
      </c>
      <c r="L33" s="180">
        <v>108.9</v>
      </c>
      <c r="M33" s="180">
        <v>45.2</v>
      </c>
      <c r="N33" s="180">
        <v>9147.2307250000013</v>
      </c>
    </row>
  </sheetData>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71B7E3-2960-4524-8FB8-2DFD0AC8A66C}">
  <sheetPr codeName="Sheet6">
    <tabColor theme="9" tint="-0.249977111117893"/>
  </sheetPr>
  <dimension ref="B4:V21"/>
  <sheetViews>
    <sheetView topLeftCell="A4" workbookViewId="0">
      <selection activeCell="B14" activeCellId="1" sqref="B12 B14 B16 B19"/>
      <pivotSelection pane="bottomRight" showHeader="1" axis="axisRow" dimension="1" activeRow="13" activeCol="1" previousRow="13" previousCol="1" click="1" r:id="rId1">
        <pivotArea dataOnly="0" labelOnly="1" fieldPosition="0">
          <references count="1">
            <reference field="0" count="0"/>
          </references>
        </pivotArea>
      </pivotSelection>
    </sheetView>
  </sheetViews>
  <sheetFormatPr defaultRowHeight="14.5" x14ac:dyDescent="0.35"/>
  <cols>
    <col min="2" max="2" width="108.453125" bestFit="1" customWidth="1"/>
    <col min="3" max="3" width="15.26953125" bestFit="1" customWidth="1"/>
    <col min="4" max="4" width="6.7265625" bestFit="1" customWidth="1"/>
    <col min="5" max="5" width="10.7265625" bestFit="1" customWidth="1"/>
    <col min="6" max="6" width="20.26953125" customWidth="1"/>
    <col min="8" max="8" width="16.90625" customWidth="1"/>
    <col min="10" max="10" width="25.81640625" bestFit="1" customWidth="1"/>
    <col min="12" max="12" width="18" bestFit="1" customWidth="1"/>
    <col min="14" max="14" width="27.54296875" bestFit="1" customWidth="1"/>
    <col min="16" max="16" width="14.453125" bestFit="1" customWidth="1"/>
    <col min="18" max="18" width="12.6328125" bestFit="1" customWidth="1"/>
    <col min="20" max="20" width="18.90625" bestFit="1" customWidth="1"/>
  </cols>
  <sheetData>
    <row r="4" spans="2:22" ht="43.5" x14ac:dyDescent="0.35">
      <c r="F4" s="11" t="s">
        <v>398</v>
      </c>
      <c r="N4" t="s">
        <v>452</v>
      </c>
      <c r="O4" t="s">
        <v>515</v>
      </c>
    </row>
    <row r="5" spans="2:22" ht="63" x14ac:dyDescent="0.35">
      <c r="C5" s="7" t="s">
        <v>400</v>
      </c>
      <c r="D5" s="64">
        <v>0.18</v>
      </c>
      <c r="F5" s="63" t="s">
        <v>530</v>
      </c>
      <c r="H5" t="s">
        <v>510</v>
      </c>
      <c r="J5" t="s">
        <v>517</v>
      </c>
      <c r="L5" t="s">
        <v>485</v>
      </c>
      <c r="N5" t="s">
        <v>74</v>
      </c>
      <c r="P5" t="s">
        <v>470</v>
      </c>
      <c r="R5" t="s">
        <v>346</v>
      </c>
      <c r="T5" t="s">
        <v>347</v>
      </c>
      <c r="V5" t="s">
        <v>820</v>
      </c>
    </row>
    <row r="6" spans="2:22" ht="63" x14ac:dyDescent="0.35">
      <c r="C6" s="7" t="s">
        <v>556</v>
      </c>
      <c r="D6" s="112">
        <f>1/$D$5</f>
        <v>5.5555555555555554</v>
      </c>
      <c r="F6" s="69" t="s">
        <v>4</v>
      </c>
      <c r="H6" s="69" t="s">
        <v>512</v>
      </c>
      <c r="J6" s="69" t="s">
        <v>40</v>
      </c>
      <c r="L6" s="69" t="s">
        <v>558</v>
      </c>
      <c r="M6" t="s">
        <v>561</v>
      </c>
      <c r="N6" s="69" t="s">
        <v>814</v>
      </c>
      <c r="P6" s="69" t="s">
        <v>29</v>
      </c>
      <c r="R6" s="69" t="s">
        <v>849</v>
      </c>
      <c r="T6" s="69" t="s">
        <v>854</v>
      </c>
      <c r="V6" s="69" t="s">
        <v>821</v>
      </c>
    </row>
    <row r="7" spans="2:22" x14ac:dyDescent="0.35">
      <c r="F7" s="61" t="s">
        <v>344</v>
      </c>
      <c r="H7" s="61" t="s">
        <v>513</v>
      </c>
      <c r="J7" s="61" t="s">
        <v>3</v>
      </c>
      <c r="L7" s="61" t="s">
        <v>559</v>
      </c>
      <c r="M7" t="s">
        <v>561</v>
      </c>
      <c r="N7" s="61" t="s">
        <v>815</v>
      </c>
      <c r="P7" s="61"/>
      <c r="R7" s="61" t="s">
        <v>464</v>
      </c>
      <c r="T7" s="61"/>
      <c r="V7" s="61" t="s">
        <v>822</v>
      </c>
    </row>
    <row r="8" spans="2:22" x14ac:dyDescent="0.35">
      <c r="F8" s="61" t="s">
        <v>470</v>
      </c>
      <c r="H8" s="61" t="s">
        <v>514</v>
      </c>
      <c r="J8" s="61" t="s">
        <v>24</v>
      </c>
      <c r="L8" s="61" t="s">
        <v>560</v>
      </c>
      <c r="M8" t="s">
        <v>561</v>
      </c>
      <c r="N8" s="61" t="s">
        <v>816</v>
      </c>
      <c r="P8" s="61"/>
      <c r="R8" s="61" t="s">
        <v>465</v>
      </c>
      <c r="T8" s="61"/>
      <c r="V8" s="61"/>
    </row>
    <row r="9" spans="2:22" x14ac:dyDescent="0.35">
      <c r="D9" s="111"/>
      <c r="F9" s="61" t="s">
        <v>346</v>
      </c>
      <c r="H9" s="61"/>
      <c r="J9" s="61" t="s">
        <v>41</v>
      </c>
      <c r="L9" s="61" t="s">
        <v>462</v>
      </c>
      <c r="N9" s="61" t="s">
        <v>663</v>
      </c>
      <c r="P9" s="61"/>
      <c r="R9" s="61" t="s">
        <v>3</v>
      </c>
      <c r="T9" s="61"/>
      <c r="V9" s="61"/>
    </row>
    <row r="10" spans="2:22" x14ac:dyDescent="0.35">
      <c r="B10" s="118" t="s">
        <v>602</v>
      </c>
      <c r="F10" s="61" t="s">
        <v>347</v>
      </c>
      <c r="H10" s="61"/>
      <c r="J10" s="61" t="s">
        <v>80</v>
      </c>
      <c r="L10" s="61" t="s">
        <v>481</v>
      </c>
      <c r="N10" s="61" t="s">
        <v>817</v>
      </c>
      <c r="P10" s="61"/>
      <c r="R10" s="61" t="s">
        <v>850</v>
      </c>
      <c r="T10" s="61"/>
      <c r="V10" s="61"/>
    </row>
    <row r="11" spans="2:22" x14ac:dyDescent="0.35">
      <c r="B11" s="119" t="s">
        <v>40</v>
      </c>
      <c r="F11" s="61" t="s">
        <v>334</v>
      </c>
      <c r="H11" s="61"/>
      <c r="J11" s="61" t="s">
        <v>347</v>
      </c>
      <c r="L11" s="61"/>
      <c r="N11" s="61"/>
      <c r="P11" s="61"/>
      <c r="R11" s="61"/>
      <c r="T11" s="61"/>
      <c r="V11" s="61"/>
    </row>
    <row r="12" spans="2:22" x14ac:dyDescent="0.35">
      <c r="B12" s="120" t="s">
        <v>589</v>
      </c>
      <c r="F12" s="61" t="s">
        <v>532</v>
      </c>
      <c r="H12" s="61"/>
      <c r="J12" s="61" t="s">
        <v>346</v>
      </c>
      <c r="L12" s="61"/>
      <c r="N12" s="61"/>
      <c r="P12" s="61"/>
      <c r="R12" s="61"/>
      <c r="T12" s="61"/>
      <c r="V12" s="61"/>
    </row>
    <row r="13" spans="2:22" ht="29" x14ac:dyDescent="0.35">
      <c r="B13" s="123" t="s">
        <v>599</v>
      </c>
      <c r="F13" s="105" t="s">
        <v>533</v>
      </c>
      <c r="H13" s="61"/>
      <c r="J13" s="61"/>
      <c r="L13" s="61"/>
      <c r="N13" s="61"/>
      <c r="P13" s="61"/>
      <c r="R13" s="61"/>
      <c r="T13" s="61"/>
      <c r="V13" s="61"/>
    </row>
    <row r="14" spans="2:22" x14ac:dyDescent="0.35">
      <c r="B14" s="120" t="s">
        <v>590</v>
      </c>
      <c r="F14" s="61" t="s">
        <v>608</v>
      </c>
      <c r="H14" s="61"/>
      <c r="J14" s="61"/>
      <c r="L14" s="61"/>
      <c r="N14" s="61"/>
      <c r="P14" s="61"/>
      <c r="R14" s="61"/>
      <c r="T14" s="61"/>
      <c r="V14" s="61"/>
    </row>
    <row r="15" spans="2:22" x14ac:dyDescent="0.35">
      <c r="B15" s="123" t="s">
        <v>597</v>
      </c>
      <c r="F15" s="61" t="s">
        <v>770</v>
      </c>
      <c r="H15" s="61"/>
      <c r="J15" s="61"/>
      <c r="L15" s="61"/>
      <c r="N15" s="61"/>
      <c r="P15" s="61"/>
      <c r="R15" s="61"/>
      <c r="T15" s="61"/>
      <c r="V15" s="61"/>
    </row>
    <row r="16" spans="2:22" x14ac:dyDescent="0.35">
      <c r="B16" s="120" t="s">
        <v>605</v>
      </c>
      <c r="F16" s="61" t="s">
        <v>811</v>
      </c>
      <c r="H16" s="61"/>
      <c r="J16" s="61"/>
      <c r="L16" s="61"/>
      <c r="N16" s="61"/>
      <c r="P16" s="61"/>
      <c r="R16" s="61"/>
      <c r="T16" s="61"/>
      <c r="V16" s="61"/>
    </row>
    <row r="17" spans="2:22" x14ac:dyDescent="0.35">
      <c r="B17" s="123" t="s">
        <v>597</v>
      </c>
      <c r="F17" s="61"/>
      <c r="H17" s="61"/>
      <c r="J17" s="61"/>
      <c r="L17" s="61"/>
      <c r="N17" s="61"/>
      <c r="P17" s="61"/>
      <c r="R17" s="61"/>
      <c r="T17" s="61"/>
      <c r="V17" s="61"/>
    </row>
    <row r="18" spans="2:22" x14ac:dyDescent="0.35">
      <c r="B18" s="119" t="s">
        <v>3</v>
      </c>
      <c r="F18" s="61"/>
      <c r="H18" s="61"/>
      <c r="J18" s="61"/>
      <c r="L18" s="61"/>
      <c r="N18" s="61"/>
      <c r="P18" s="61"/>
      <c r="R18" s="61"/>
      <c r="T18" s="61"/>
      <c r="V18" s="61"/>
    </row>
    <row r="19" spans="2:22" x14ac:dyDescent="0.35">
      <c r="B19" s="120" t="s">
        <v>609</v>
      </c>
      <c r="F19" s="61"/>
      <c r="H19" s="61"/>
      <c r="J19" s="61"/>
      <c r="L19" s="61"/>
      <c r="N19" s="61"/>
      <c r="P19" s="61"/>
      <c r="R19" s="61"/>
      <c r="T19" s="61"/>
      <c r="V19" s="61"/>
    </row>
    <row r="20" spans="2:22" x14ac:dyDescent="0.35">
      <c r="B20" s="123" t="s">
        <v>607</v>
      </c>
      <c r="F20" s="61"/>
      <c r="H20" s="61"/>
      <c r="J20" s="61"/>
      <c r="L20" s="61"/>
      <c r="N20" s="61"/>
      <c r="P20" s="61"/>
      <c r="R20" s="61"/>
      <c r="T20" s="61"/>
      <c r="V20" s="61"/>
    </row>
    <row r="21" spans="2:22" x14ac:dyDescent="0.35">
      <c r="B21" s="119" t="s">
        <v>591</v>
      </c>
      <c r="F21" s="62"/>
      <c r="H21" s="62"/>
      <c r="J21" s="62"/>
      <c r="L21" s="62"/>
      <c r="N21" s="62"/>
      <c r="P21" s="62"/>
      <c r="R21" s="62"/>
      <c r="T21" s="62"/>
      <c r="V21" s="62"/>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A86A6C-E79A-4955-AEE2-1D0C4A3F78E3}">
  <sheetPr codeName="Sheet7"/>
  <dimension ref="E4:H37"/>
  <sheetViews>
    <sheetView workbookViewId="0">
      <selection activeCell="E48" sqref="E48"/>
    </sheetView>
  </sheetViews>
  <sheetFormatPr defaultRowHeight="14.5" x14ac:dyDescent="0.35"/>
  <cols>
    <col min="5" max="5" width="40.6328125" bestFit="1" customWidth="1"/>
    <col min="6" max="6" width="9.7265625" bestFit="1" customWidth="1"/>
    <col min="7" max="7" width="50.1796875" style="11" customWidth="1"/>
    <col min="8" max="8" width="30.6328125" bestFit="1" customWidth="1"/>
  </cols>
  <sheetData>
    <row r="4" spans="5:8" x14ac:dyDescent="0.35">
      <c r="H4" t="s">
        <v>685</v>
      </c>
    </row>
    <row r="5" spans="5:8" x14ac:dyDescent="0.35">
      <c r="E5" s="126" t="s">
        <v>678</v>
      </c>
      <c r="F5" s="126" t="s">
        <v>679</v>
      </c>
      <c r="G5" s="127" t="s">
        <v>680</v>
      </c>
      <c r="H5" s="126" t="s">
        <v>684</v>
      </c>
    </row>
    <row r="6" spans="5:8" x14ac:dyDescent="0.35">
      <c r="E6" s="15" t="s">
        <v>451</v>
      </c>
      <c r="F6" s="15" t="s">
        <v>683</v>
      </c>
      <c r="G6" s="128" t="s">
        <v>691</v>
      </c>
      <c r="H6" s="15" t="s">
        <v>687</v>
      </c>
    </row>
    <row r="7" spans="5:8" x14ac:dyDescent="0.35">
      <c r="E7" s="15" t="s">
        <v>519</v>
      </c>
      <c r="F7" s="15" t="s">
        <v>681</v>
      </c>
      <c r="G7" s="128" t="s">
        <v>692</v>
      </c>
      <c r="H7" s="15" t="s">
        <v>687</v>
      </c>
    </row>
    <row r="8" spans="5:8" ht="43.5" x14ac:dyDescent="0.35">
      <c r="E8" s="15" t="s">
        <v>69</v>
      </c>
      <c r="F8" s="15" t="s">
        <v>681</v>
      </c>
      <c r="G8" s="128" t="s">
        <v>695</v>
      </c>
      <c r="H8" s="128" t="s">
        <v>693</v>
      </c>
    </row>
    <row r="9" spans="5:8" ht="43.5" x14ac:dyDescent="0.35">
      <c r="E9" s="15" t="s">
        <v>520</v>
      </c>
      <c r="F9" s="15" t="s">
        <v>681</v>
      </c>
      <c r="G9" s="128" t="s">
        <v>696</v>
      </c>
      <c r="H9" s="128" t="s">
        <v>694</v>
      </c>
    </row>
    <row r="10" spans="5:8" x14ac:dyDescent="0.35">
      <c r="E10" s="15" t="s">
        <v>557</v>
      </c>
      <c r="F10" s="15" t="s">
        <v>681</v>
      </c>
      <c r="G10" s="128" t="s">
        <v>697</v>
      </c>
      <c r="H10" s="15" t="s">
        <v>698</v>
      </c>
    </row>
    <row r="11" spans="5:8" ht="29" x14ac:dyDescent="0.35">
      <c r="E11" s="15" t="s">
        <v>534</v>
      </c>
      <c r="F11" s="15" t="s">
        <v>681</v>
      </c>
      <c r="G11" s="128" t="s">
        <v>699</v>
      </c>
      <c r="H11" s="15" t="s">
        <v>686</v>
      </c>
    </row>
    <row r="12" spans="5:8" x14ac:dyDescent="0.35">
      <c r="E12" s="15" t="s">
        <v>595</v>
      </c>
      <c r="F12" s="15" t="s">
        <v>681</v>
      </c>
      <c r="G12" s="128" t="s">
        <v>700</v>
      </c>
      <c r="H12" s="15" t="s">
        <v>687</v>
      </c>
    </row>
    <row r="13" spans="5:8" ht="29" x14ac:dyDescent="0.35">
      <c r="E13" s="15" t="s">
        <v>598</v>
      </c>
      <c r="F13" s="15" t="s">
        <v>681</v>
      </c>
      <c r="G13" s="128" t="s">
        <v>701</v>
      </c>
      <c r="H13" s="15" t="s">
        <v>687</v>
      </c>
    </row>
    <row r="14" spans="5:8" ht="58" x14ac:dyDescent="0.35">
      <c r="E14" s="15" t="s">
        <v>661</v>
      </c>
      <c r="F14" s="15" t="s">
        <v>682</v>
      </c>
      <c r="G14" s="128" t="s">
        <v>702</v>
      </c>
      <c r="H14" s="15" t="s">
        <v>686</v>
      </c>
    </row>
    <row r="15" spans="5:8" x14ac:dyDescent="0.35">
      <c r="E15" s="15" t="s">
        <v>658</v>
      </c>
      <c r="F15" s="15" t="s">
        <v>681</v>
      </c>
      <c r="G15" s="128" t="s">
        <v>703</v>
      </c>
      <c r="H15" s="15" t="s">
        <v>686</v>
      </c>
    </row>
    <row r="16" spans="5:8" ht="29" x14ac:dyDescent="0.35">
      <c r="E16" s="15" t="s">
        <v>662</v>
      </c>
      <c r="F16" s="15" t="s">
        <v>682</v>
      </c>
      <c r="G16" s="128" t="s">
        <v>704</v>
      </c>
      <c r="H16" s="15" t="s">
        <v>687</v>
      </c>
    </row>
    <row r="17" spans="5:8" x14ac:dyDescent="0.35">
      <c r="E17" s="15" t="s">
        <v>521</v>
      </c>
      <c r="F17" s="15" t="s">
        <v>681</v>
      </c>
      <c r="G17" s="128" t="s">
        <v>705</v>
      </c>
      <c r="H17" s="15" t="s">
        <v>688</v>
      </c>
    </row>
    <row r="18" spans="5:8" ht="29" x14ac:dyDescent="0.35">
      <c r="E18" s="15" t="s">
        <v>562</v>
      </c>
      <c r="F18" s="15" t="s">
        <v>681</v>
      </c>
      <c r="G18" s="128" t="s">
        <v>706</v>
      </c>
      <c r="H18" s="15" t="s">
        <v>687</v>
      </c>
    </row>
    <row r="19" spans="5:8" ht="58" x14ac:dyDescent="0.35">
      <c r="E19" s="15" t="s">
        <v>531</v>
      </c>
      <c r="F19" s="15" t="s">
        <v>682</v>
      </c>
      <c r="G19" s="128" t="s">
        <v>707</v>
      </c>
      <c r="H19" s="15" t="s">
        <v>688</v>
      </c>
    </row>
    <row r="20" spans="5:8" ht="43.5" x14ac:dyDescent="0.35">
      <c r="E20" s="15" t="s">
        <v>524</v>
      </c>
      <c r="F20" s="15" t="s">
        <v>682</v>
      </c>
      <c r="G20" s="128" t="s">
        <v>708</v>
      </c>
      <c r="H20" s="15" t="s">
        <v>686</v>
      </c>
    </row>
    <row r="21" spans="5:8" ht="72.5" x14ac:dyDescent="0.35">
      <c r="E21" s="15" t="s">
        <v>526</v>
      </c>
      <c r="F21" s="15" t="s">
        <v>681</v>
      </c>
      <c r="G21" s="128" t="s">
        <v>690</v>
      </c>
      <c r="H21" s="15" t="s">
        <v>688</v>
      </c>
    </row>
    <row r="22" spans="5:8" ht="43.5" x14ac:dyDescent="0.35">
      <c r="E22" s="15" t="s">
        <v>540</v>
      </c>
      <c r="F22" s="15" t="s">
        <v>681</v>
      </c>
      <c r="G22" s="128" t="s">
        <v>709</v>
      </c>
      <c r="H22" s="15" t="s">
        <v>686</v>
      </c>
    </row>
    <row r="23" spans="5:8" ht="29" x14ac:dyDescent="0.35">
      <c r="E23" s="15" t="s">
        <v>522</v>
      </c>
      <c r="F23" s="15" t="s">
        <v>682</v>
      </c>
      <c r="G23" s="128" t="s">
        <v>711</v>
      </c>
      <c r="H23" s="15" t="s">
        <v>686</v>
      </c>
    </row>
    <row r="24" spans="5:8" x14ac:dyDescent="0.35">
      <c r="E24" s="15" t="s">
        <v>570</v>
      </c>
      <c r="F24" s="15" t="s">
        <v>681</v>
      </c>
      <c r="G24" s="128" t="s">
        <v>710</v>
      </c>
      <c r="H24" s="15" t="s">
        <v>686</v>
      </c>
    </row>
    <row r="25" spans="5:8" ht="29" x14ac:dyDescent="0.35">
      <c r="E25" s="15" t="s">
        <v>523</v>
      </c>
      <c r="F25" s="15" t="s">
        <v>727</v>
      </c>
      <c r="G25" s="128" t="s">
        <v>713</v>
      </c>
      <c r="H25" s="128" t="s">
        <v>712</v>
      </c>
    </row>
    <row r="26" spans="5:8" ht="29" x14ac:dyDescent="0.35">
      <c r="E26" s="15" t="s">
        <v>541</v>
      </c>
      <c r="F26" s="15" t="s">
        <v>727</v>
      </c>
      <c r="G26" s="128" t="s">
        <v>714</v>
      </c>
      <c r="H26" s="15" t="s">
        <v>688</v>
      </c>
    </row>
    <row r="27" spans="5:8" ht="29" x14ac:dyDescent="0.35">
      <c r="E27" s="15" t="s">
        <v>527</v>
      </c>
      <c r="F27" s="15" t="s">
        <v>727</v>
      </c>
      <c r="G27" s="128" t="s">
        <v>715</v>
      </c>
      <c r="H27" s="15" t="s">
        <v>686</v>
      </c>
    </row>
    <row r="28" spans="5:8" x14ac:dyDescent="0.35">
      <c r="E28" s="15" t="s">
        <v>528</v>
      </c>
      <c r="F28" s="15" t="s">
        <v>681</v>
      </c>
      <c r="G28" s="128" t="s">
        <v>716</v>
      </c>
      <c r="H28" s="15" t="s">
        <v>686</v>
      </c>
    </row>
    <row r="29" spans="5:8" ht="29" x14ac:dyDescent="0.35">
      <c r="E29" s="15" t="s">
        <v>547</v>
      </c>
      <c r="F29" s="15" t="s">
        <v>727</v>
      </c>
      <c r="G29" s="128" t="s">
        <v>718</v>
      </c>
      <c r="H29" s="15" t="s">
        <v>687</v>
      </c>
    </row>
    <row r="30" spans="5:8" x14ac:dyDescent="0.35">
      <c r="E30" s="15" t="s">
        <v>7</v>
      </c>
      <c r="F30" s="15" t="s">
        <v>727</v>
      </c>
      <c r="G30" s="128"/>
      <c r="H30" s="15" t="s">
        <v>687</v>
      </c>
    </row>
    <row r="31" spans="5:8" ht="29" x14ac:dyDescent="0.35">
      <c r="E31" s="15" t="s">
        <v>8</v>
      </c>
      <c r="F31" s="15" t="s">
        <v>727</v>
      </c>
      <c r="G31" s="128" t="s">
        <v>717</v>
      </c>
      <c r="H31" s="15" t="s">
        <v>686</v>
      </c>
    </row>
    <row r="32" spans="5:8" ht="58" x14ac:dyDescent="0.35">
      <c r="E32" s="15" t="s">
        <v>537</v>
      </c>
      <c r="F32" s="15" t="s">
        <v>727</v>
      </c>
      <c r="G32" s="128" t="s">
        <v>722</v>
      </c>
      <c r="H32" s="15" t="s">
        <v>686</v>
      </c>
    </row>
    <row r="33" spans="5:8" x14ac:dyDescent="0.35">
      <c r="E33" s="15" t="s">
        <v>538</v>
      </c>
      <c r="F33" s="15" t="s">
        <v>727</v>
      </c>
      <c r="G33" s="128" t="s">
        <v>721</v>
      </c>
      <c r="H33" s="15" t="s">
        <v>686</v>
      </c>
    </row>
    <row r="34" spans="5:8" ht="43.5" x14ac:dyDescent="0.35">
      <c r="E34" s="15" t="s">
        <v>544</v>
      </c>
      <c r="F34" s="15" t="s">
        <v>726</v>
      </c>
      <c r="G34" s="128" t="s">
        <v>719</v>
      </c>
      <c r="H34" s="15" t="s">
        <v>686</v>
      </c>
    </row>
    <row r="35" spans="5:8" x14ac:dyDescent="0.35">
      <c r="E35" s="15" t="s">
        <v>546</v>
      </c>
      <c r="F35" s="15" t="s">
        <v>727</v>
      </c>
      <c r="G35" s="128" t="s">
        <v>720</v>
      </c>
      <c r="H35" s="15" t="s">
        <v>686</v>
      </c>
    </row>
    <row r="36" spans="5:8" ht="29" x14ac:dyDescent="0.35">
      <c r="E36" s="15" t="s">
        <v>565</v>
      </c>
      <c r="F36" s="15" t="s">
        <v>727</v>
      </c>
      <c r="G36" s="128" t="s">
        <v>724</v>
      </c>
      <c r="H36" s="15" t="s">
        <v>689</v>
      </c>
    </row>
    <row r="37" spans="5:8" ht="29" x14ac:dyDescent="0.35">
      <c r="E37" s="15" t="s">
        <v>567</v>
      </c>
      <c r="F37" s="15" t="s">
        <v>727</v>
      </c>
      <c r="G37" s="128" t="s">
        <v>725</v>
      </c>
      <c r="H37" s="128" t="s">
        <v>723</v>
      </c>
    </row>
  </sheetData>
  <conditionalFormatting sqref="H6:H37">
    <cfRule type="containsText" dxfId="64" priority="1" operator="containsText" text="unnecessary">
      <formula>NOT(ISERROR(SEARCH("unnecessary",H6)))</formula>
    </cfRule>
    <cfRule type="containsText" dxfId="63" priority="2" operator="containsText" text="Valuable">
      <formula>NOT(ISERROR(SEARCH("Valuable",H6)))</formula>
    </cfRule>
    <cfRule type="containsText" dxfId="62" priority="3" operator="containsText" text="Required">
      <formula>NOT(ISERROR(SEARCH("Required",H6)))</formula>
    </cfRule>
  </conditionalFormatting>
  <dataValidations count="1">
    <dataValidation type="list" allowBlank="1" showInputMessage="1" showErrorMessage="1" sqref="H11:H24 H6:H7 H26:H35" xr:uid="{2D4D39E5-CD0C-4C5F-B237-E868C37E9AA2}">
      <formula1>"Required, Valuable, Unnecessary"</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4A064F-427C-4AF5-9B13-6E4A405BDE9F}">
  <sheetPr codeName="Sheet8">
    <tabColor rgb="FFFFFF00"/>
  </sheetPr>
  <dimension ref="A1:D82"/>
  <sheetViews>
    <sheetView tabSelected="1" workbookViewId="0">
      <selection activeCell="D18" sqref="D18"/>
    </sheetView>
  </sheetViews>
  <sheetFormatPr defaultRowHeight="14.5" x14ac:dyDescent="0.35"/>
  <cols>
    <col min="1" max="1" width="34.90625" bestFit="1" customWidth="1"/>
    <col min="2" max="2" width="15.7265625" bestFit="1" customWidth="1"/>
    <col min="3" max="3" width="19.81640625" bestFit="1" customWidth="1"/>
    <col min="4" max="4" width="19.54296875" bestFit="1" customWidth="1"/>
    <col min="5" max="5" width="11.81640625" bestFit="1" customWidth="1"/>
    <col min="6" max="6" width="19.54296875" bestFit="1" customWidth="1"/>
    <col min="7" max="7" width="7.81640625" bestFit="1" customWidth="1"/>
    <col min="8" max="8" width="20.54296875" bestFit="1" customWidth="1"/>
    <col min="9" max="9" width="24.6328125" bestFit="1" customWidth="1"/>
    <col min="10" max="10" width="24.36328125" bestFit="1" customWidth="1"/>
  </cols>
  <sheetData>
    <row r="1" spans="1:4" x14ac:dyDescent="0.35">
      <c r="A1" s="118" t="s">
        <v>993</v>
      </c>
      <c r="B1" t="s">
        <v>994</v>
      </c>
    </row>
    <row r="2" spans="1:4" x14ac:dyDescent="0.35">
      <c r="A2" s="118" t="s">
        <v>870</v>
      </c>
      <c r="B2" t="s">
        <v>596</v>
      </c>
    </row>
    <row r="3" spans="1:4" x14ac:dyDescent="0.35">
      <c r="A3" s="118" t="s">
        <v>871</v>
      </c>
      <c r="B3" t="s">
        <v>596</v>
      </c>
    </row>
    <row r="4" spans="1:4" x14ac:dyDescent="0.35">
      <c r="A4" s="118" t="s">
        <v>872</v>
      </c>
      <c r="B4" t="s">
        <v>596</v>
      </c>
    </row>
    <row r="6" spans="1:4" x14ac:dyDescent="0.35">
      <c r="A6" s="118" t="s">
        <v>588</v>
      </c>
      <c r="B6" t="s">
        <v>877</v>
      </c>
      <c r="C6" t="s">
        <v>878</v>
      </c>
      <c r="D6" t="s">
        <v>882</v>
      </c>
    </row>
    <row r="7" spans="1:4" x14ac:dyDescent="0.35">
      <c r="A7" s="119" t="s">
        <v>916</v>
      </c>
      <c r="B7" s="180">
        <v>73.503194444444446</v>
      </c>
      <c r="C7" s="180">
        <v>47.384999999999998</v>
      </c>
      <c r="D7" s="180">
        <v>3.839</v>
      </c>
    </row>
    <row r="8" spans="1:4" x14ac:dyDescent="0.35">
      <c r="A8" s="119" t="s">
        <v>917</v>
      </c>
      <c r="B8" s="180">
        <v>32.295684666666659</v>
      </c>
      <c r="C8" s="180">
        <v>47.384999999999998</v>
      </c>
      <c r="D8" s="180">
        <v>3.839</v>
      </c>
    </row>
    <row r="9" spans="1:4" x14ac:dyDescent="0.35">
      <c r="A9" s="119" t="s">
        <v>918</v>
      </c>
      <c r="B9" s="180">
        <v>65.159097222222215</v>
      </c>
      <c r="C9" s="180">
        <v>47.384999999999998</v>
      </c>
      <c r="D9" s="180">
        <v>3.839</v>
      </c>
    </row>
    <row r="10" spans="1:4" x14ac:dyDescent="0.35">
      <c r="A10" s="119" t="s">
        <v>919</v>
      </c>
      <c r="B10" s="180">
        <v>61.320257166666671</v>
      </c>
      <c r="C10" s="180">
        <v>47.384999999999998</v>
      </c>
      <c r="D10" s="180">
        <v>3.839</v>
      </c>
    </row>
    <row r="11" spans="1:4" x14ac:dyDescent="0.35">
      <c r="A11" s="119" t="s">
        <v>920</v>
      </c>
      <c r="B11" s="180">
        <v>64.639147666666673</v>
      </c>
      <c r="C11" s="180">
        <v>47.384999999999998</v>
      </c>
      <c r="D11" s="180">
        <v>3.839</v>
      </c>
    </row>
    <row r="12" spans="1:4" x14ac:dyDescent="0.35">
      <c r="A12" s="119" t="s">
        <v>921</v>
      </c>
      <c r="B12" s="180">
        <v>57.220594166666672</v>
      </c>
      <c r="C12" s="180">
        <v>47.384999999999998</v>
      </c>
      <c r="D12" s="180">
        <v>3.839</v>
      </c>
    </row>
    <row r="13" spans="1:4" x14ac:dyDescent="0.35">
      <c r="A13" s="119" t="s">
        <v>922</v>
      </c>
      <c r="B13" s="180">
        <v>45.97165566666667</v>
      </c>
      <c r="C13" s="180">
        <v>47.384999999999998</v>
      </c>
      <c r="D13" s="180">
        <v>3.839</v>
      </c>
    </row>
    <row r="14" spans="1:4" x14ac:dyDescent="0.35">
      <c r="A14" s="119" t="s">
        <v>923</v>
      </c>
      <c r="B14" s="180">
        <v>67.737194444444441</v>
      </c>
      <c r="C14" s="180">
        <v>47.384999999999998</v>
      </c>
      <c r="D14" s="180">
        <v>3.839</v>
      </c>
    </row>
    <row r="15" spans="1:4" x14ac:dyDescent="0.35">
      <c r="A15" s="119" t="s">
        <v>924</v>
      </c>
      <c r="B15" s="180">
        <v>73.102194444444436</v>
      </c>
      <c r="C15" s="180">
        <v>47.384999999999998</v>
      </c>
      <c r="D15" s="180">
        <v>3.839</v>
      </c>
    </row>
    <row r="16" spans="1:4" x14ac:dyDescent="0.35">
      <c r="A16" s="119" t="s">
        <v>925</v>
      </c>
      <c r="B16" s="180">
        <v>27.8</v>
      </c>
      <c r="C16" s="180">
        <v>47.384999999999998</v>
      </c>
      <c r="D16" s="180">
        <v>3.839</v>
      </c>
    </row>
    <row r="17" spans="1:4" x14ac:dyDescent="0.35">
      <c r="A17" s="119" t="s">
        <v>926</v>
      </c>
      <c r="B17" s="180">
        <v>21.7</v>
      </c>
      <c r="C17" s="180">
        <v>47.384999999999998</v>
      </c>
      <c r="D17" s="180">
        <v>3.839</v>
      </c>
    </row>
    <row r="18" spans="1:4" x14ac:dyDescent="0.35">
      <c r="A18" s="119" t="s">
        <v>927</v>
      </c>
      <c r="B18" s="180">
        <v>31.89873166666667</v>
      </c>
      <c r="C18" s="180">
        <v>47.384999999999998</v>
      </c>
      <c r="D18" s="180">
        <v>3.839</v>
      </c>
    </row>
    <row r="19" spans="1:4" x14ac:dyDescent="0.35">
      <c r="A19" s="119" t="s">
        <v>928</v>
      </c>
      <c r="B19" s="180">
        <v>18.8</v>
      </c>
      <c r="C19" s="180">
        <v>47.384999999999998</v>
      </c>
      <c r="D19" s="180">
        <v>3.839</v>
      </c>
    </row>
    <row r="20" spans="1:4" x14ac:dyDescent="0.35">
      <c r="A20" s="119" t="s">
        <v>929</v>
      </c>
      <c r="B20" s="180">
        <v>27.159351666666669</v>
      </c>
      <c r="C20" s="180">
        <v>47.384999999999998</v>
      </c>
      <c r="D20" s="180">
        <v>3.839</v>
      </c>
    </row>
    <row r="21" spans="1:4" x14ac:dyDescent="0.35">
      <c r="A21" s="119" t="s">
        <v>930</v>
      </c>
      <c r="B21" s="180">
        <v>44.652291666666663</v>
      </c>
      <c r="C21" s="180">
        <v>47.384999999999998</v>
      </c>
      <c r="D21" s="180">
        <v>3.839</v>
      </c>
    </row>
    <row r="22" spans="1:4" x14ac:dyDescent="0.35">
      <c r="A22" s="119" t="s">
        <v>931</v>
      </c>
      <c r="B22" s="180">
        <v>62.455284534534528</v>
      </c>
      <c r="C22" s="180">
        <v>47.384999999999998</v>
      </c>
      <c r="D22" s="180">
        <v>3.839</v>
      </c>
    </row>
    <row r="23" spans="1:4" x14ac:dyDescent="0.35">
      <c r="A23" s="119" t="s">
        <v>932</v>
      </c>
      <c r="B23" s="180">
        <v>40.252291666666665</v>
      </c>
      <c r="C23" s="180">
        <v>47.384999999999998</v>
      </c>
      <c r="D23" s="180">
        <v>3.839</v>
      </c>
    </row>
    <row r="24" spans="1:4" x14ac:dyDescent="0.35">
      <c r="A24" s="119" t="s">
        <v>933</v>
      </c>
      <c r="B24" s="180">
        <v>34.02279166666667</v>
      </c>
      <c r="C24" s="180">
        <v>47.384999999999998</v>
      </c>
      <c r="D24" s="180">
        <v>3.839</v>
      </c>
    </row>
    <row r="25" spans="1:4" x14ac:dyDescent="0.35">
      <c r="A25" s="119" t="s">
        <v>934</v>
      </c>
      <c r="B25" s="180">
        <v>24.7</v>
      </c>
      <c r="C25" s="180">
        <v>47.384999999999998</v>
      </c>
      <c r="D25" s="180">
        <v>3.839</v>
      </c>
    </row>
    <row r="26" spans="1:4" x14ac:dyDescent="0.35">
      <c r="A26" s="119" t="s">
        <v>935</v>
      </c>
      <c r="B26" s="180">
        <v>19.752291666666668</v>
      </c>
      <c r="C26" s="180">
        <v>47.384999999999998</v>
      </c>
      <c r="D26" s="180">
        <v>3.839</v>
      </c>
    </row>
    <row r="27" spans="1:4" x14ac:dyDescent="0.35">
      <c r="A27" s="119" t="s">
        <v>936</v>
      </c>
      <c r="B27" s="180">
        <v>24.85229166666667</v>
      </c>
      <c r="C27" s="180">
        <v>47.384999999999998</v>
      </c>
      <c r="D27" s="180">
        <v>3.839</v>
      </c>
    </row>
    <row r="28" spans="1:4" x14ac:dyDescent="0.35">
      <c r="A28" s="119" t="s">
        <v>937</v>
      </c>
      <c r="B28" s="180">
        <v>23.35229166666667</v>
      </c>
      <c r="C28" s="180">
        <v>47.384999999999998</v>
      </c>
      <c r="D28" s="180">
        <v>3.839</v>
      </c>
    </row>
    <row r="29" spans="1:4" x14ac:dyDescent="0.35">
      <c r="A29" s="119" t="s">
        <v>938</v>
      </c>
      <c r="B29" s="180">
        <v>22.028526875000001</v>
      </c>
      <c r="C29" s="180">
        <v>47.384999999999998</v>
      </c>
      <c r="D29" s="180">
        <v>3.839</v>
      </c>
    </row>
    <row r="30" spans="1:4" x14ac:dyDescent="0.35">
      <c r="A30" s="119" t="s">
        <v>939</v>
      </c>
      <c r="B30" s="180">
        <v>22.028526875000001</v>
      </c>
      <c r="C30" s="180">
        <v>47.384999999999998</v>
      </c>
      <c r="D30" s="180">
        <v>3.839</v>
      </c>
    </row>
    <row r="31" spans="1:4" x14ac:dyDescent="0.35">
      <c r="A31" s="119" t="s">
        <v>940</v>
      </c>
      <c r="B31" s="180">
        <v>25.485526875000001</v>
      </c>
      <c r="C31" s="180">
        <v>47.384999999999998</v>
      </c>
      <c r="D31" s="180">
        <v>3.839</v>
      </c>
    </row>
    <row r="32" spans="1:4" x14ac:dyDescent="0.35">
      <c r="A32" s="119" t="s">
        <v>941</v>
      </c>
      <c r="B32" s="180">
        <v>73.503194444444446</v>
      </c>
      <c r="C32" s="180">
        <v>47.801724999999998</v>
      </c>
      <c r="D32" s="180">
        <v>3.839</v>
      </c>
    </row>
    <row r="33" spans="1:4" x14ac:dyDescent="0.35">
      <c r="A33" s="119" t="s">
        <v>942</v>
      </c>
      <c r="B33" s="180">
        <v>32.295684666666659</v>
      </c>
      <c r="C33" s="180">
        <v>47.801724999999998</v>
      </c>
      <c r="D33" s="180">
        <v>3.839</v>
      </c>
    </row>
    <row r="34" spans="1:4" x14ac:dyDescent="0.35">
      <c r="A34" s="119" t="s">
        <v>943</v>
      </c>
      <c r="B34" s="180">
        <v>65.159097222222215</v>
      </c>
      <c r="C34" s="180">
        <v>47.801724999999998</v>
      </c>
      <c r="D34" s="180">
        <v>3.839</v>
      </c>
    </row>
    <row r="35" spans="1:4" x14ac:dyDescent="0.35">
      <c r="A35" s="119" t="s">
        <v>944</v>
      </c>
      <c r="B35" s="180">
        <v>61.320257166666671</v>
      </c>
      <c r="C35" s="180">
        <v>47.801724999999998</v>
      </c>
      <c r="D35" s="180">
        <v>3.839</v>
      </c>
    </row>
    <row r="36" spans="1:4" x14ac:dyDescent="0.35">
      <c r="A36" s="119" t="s">
        <v>945</v>
      </c>
      <c r="B36" s="180">
        <v>64.639147666666673</v>
      </c>
      <c r="C36" s="180">
        <v>47.801724999999998</v>
      </c>
      <c r="D36" s="180">
        <v>3.839</v>
      </c>
    </row>
    <row r="37" spans="1:4" x14ac:dyDescent="0.35">
      <c r="A37" s="119" t="s">
        <v>946</v>
      </c>
      <c r="B37" s="180">
        <v>57.220594166666672</v>
      </c>
      <c r="C37" s="180">
        <v>47.801724999999998</v>
      </c>
      <c r="D37" s="180">
        <v>3.839</v>
      </c>
    </row>
    <row r="38" spans="1:4" x14ac:dyDescent="0.35">
      <c r="A38" s="119" t="s">
        <v>947</v>
      </c>
      <c r="B38" s="180">
        <v>45.97165566666667</v>
      </c>
      <c r="C38" s="180">
        <v>47.801724999999998</v>
      </c>
      <c r="D38" s="180">
        <v>3.839</v>
      </c>
    </row>
    <row r="39" spans="1:4" x14ac:dyDescent="0.35">
      <c r="A39" s="119" t="s">
        <v>948</v>
      </c>
      <c r="B39" s="180">
        <v>67.737194444444441</v>
      </c>
      <c r="C39" s="180">
        <v>47.801724999999998</v>
      </c>
      <c r="D39" s="180">
        <v>3.839</v>
      </c>
    </row>
    <row r="40" spans="1:4" x14ac:dyDescent="0.35">
      <c r="A40" s="119" t="s">
        <v>949</v>
      </c>
      <c r="B40" s="180">
        <v>73.102194444444436</v>
      </c>
      <c r="C40" s="180">
        <v>47.801724999999998</v>
      </c>
      <c r="D40" s="180">
        <v>3.839</v>
      </c>
    </row>
    <row r="41" spans="1:4" x14ac:dyDescent="0.35">
      <c r="A41" s="119" t="s">
        <v>950</v>
      </c>
      <c r="B41" s="180">
        <v>27.8</v>
      </c>
      <c r="C41" s="180">
        <v>47.801724999999998</v>
      </c>
      <c r="D41" s="180">
        <v>3.839</v>
      </c>
    </row>
    <row r="42" spans="1:4" x14ac:dyDescent="0.35">
      <c r="A42" s="119" t="s">
        <v>951</v>
      </c>
      <c r="B42" s="180">
        <v>21.7</v>
      </c>
      <c r="C42" s="180">
        <v>47.801724999999998</v>
      </c>
      <c r="D42" s="180">
        <v>3.839</v>
      </c>
    </row>
    <row r="43" spans="1:4" x14ac:dyDescent="0.35">
      <c r="A43" s="119" t="s">
        <v>952</v>
      </c>
      <c r="B43" s="180">
        <v>31.89873166666667</v>
      </c>
      <c r="C43" s="180">
        <v>47.801724999999998</v>
      </c>
      <c r="D43" s="180">
        <v>3.839</v>
      </c>
    </row>
    <row r="44" spans="1:4" x14ac:dyDescent="0.35">
      <c r="A44" s="119" t="s">
        <v>953</v>
      </c>
      <c r="B44" s="180">
        <v>18.8</v>
      </c>
      <c r="C44" s="180">
        <v>47.801724999999998</v>
      </c>
      <c r="D44" s="180">
        <v>3.839</v>
      </c>
    </row>
    <row r="45" spans="1:4" x14ac:dyDescent="0.35">
      <c r="A45" s="119" t="s">
        <v>954</v>
      </c>
      <c r="B45" s="180">
        <v>27.159351666666669</v>
      </c>
      <c r="C45" s="180">
        <v>47.801724999999998</v>
      </c>
      <c r="D45" s="180">
        <v>3.839</v>
      </c>
    </row>
    <row r="46" spans="1:4" x14ac:dyDescent="0.35">
      <c r="A46" s="119" t="s">
        <v>955</v>
      </c>
      <c r="B46" s="180">
        <v>44.652291666666663</v>
      </c>
      <c r="C46" s="180">
        <v>47.801724999999998</v>
      </c>
      <c r="D46" s="180">
        <v>3.839</v>
      </c>
    </row>
    <row r="47" spans="1:4" x14ac:dyDescent="0.35">
      <c r="A47" s="119" t="s">
        <v>956</v>
      </c>
      <c r="B47" s="180">
        <v>62.455284534534528</v>
      </c>
      <c r="C47" s="180">
        <v>47.801724999999998</v>
      </c>
      <c r="D47" s="180">
        <v>3.839</v>
      </c>
    </row>
    <row r="48" spans="1:4" x14ac:dyDescent="0.35">
      <c r="A48" s="119" t="s">
        <v>957</v>
      </c>
      <c r="B48" s="180">
        <v>40.252291666666665</v>
      </c>
      <c r="C48" s="180">
        <v>47.801724999999998</v>
      </c>
      <c r="D48" s="180">
        <v>3.839</v>
      </c>
    </row>
    <row r="49" spans="1:4" x14ac:dyDescent="0.35">
      <c r="A49" s="119" t="s">
        <v>958</v>
      </c>
      <c r="B49" s="180">
        <v>34.02279166666667</v>
      </c>
      <c r="C49" s="180">
        <v>47.801724999999998</v>
      </c>
      <c r="D49" s="180">
        <v>3.839</v>
      </c>
    </row>
    <row r="50" spans="1:4" x14ac:dyDescent="0.35">
      <c r="A50" s="119" t="s">
        <v>959</v>
      </c>
      <c r="B50" s="180">
        <v>24.7</v>
      </c>
      <c r="C50" s="180">
        <v>47.801724999999998</v>
      </c>
      <c r="D50" s="180">
        <v>3.839</v>
      </c>
    </row>
    <row r="51" spans="1:4" x14ac:dyDescent="0.35">
      <c r="A51" s="119" t="s">
        <v>960</v>
      </c>
      <c r="B51" s="180">
        <v>19.752291666666668</v>
      </c>
      <c r="C51" s="180">
        <v>47.801724999999998</v>
      </c>
      <c r="D51" s="180">
        <v>3.839</v>
      </c>
    </row>
    <row r="52" spans="1:4" x14ac:dyDescent="0.35">
      <c r="A52" s="119" t="s">
        <v>961</v>
      </c>
      <c r="B52" s="180">
        <v>24.85229166666667</v>
      </c>
      <c r="C52" s="180">
        <v>47.801724999999998</v>
      </c>
      <c r="D52" s="180">
        <v>3.839</v>
      </c>
    </row>
    <row r="53" spans="1:4" x14ac:dyDescent="0.35">
      <c r="A53" s="119" t="s">
        <v>962</v>
      </c>
      <c r="B53" s="180">
        <v>23.35229166666667</v>
      </c>
      <c r="C53" s="180">
        <v>47.801724999999998</v>
      </c>
      <c r="D53" s="180">
        <v>3.839</v>
      </c>
    </row>
    <row r="54" spans="1:4" x14ac:dyDescent="0.35">
      <c r="A54" s="119" t="s">
        <v>963</v>
      </c>
      <c r="B54" s="180">
        <v>22.028526875000001</v>
      </c>
      <c r="C54" s="180">
        <v>47.801724999999998</v>
      </c>
      <c r="D54" s="180">
        <v>3.839</v>
      </c>
    </row>
    <row r="55" spans="1:4" x14ac:dyDescent="0.35">
      <c r="A55" s="119" t="s">
        <v>964</v>
      </c>
      <c r="B55" s="180">
        <v>22.028526875000001</v>
      </c>
      <c r="C55" s="180">
        <v>47.801724999999998</v>
      </c>
      <c r="D55" s="180">
        <v>3.839</v>
      </c>
    </row>
    <row r="56" spans="1:4" x14ac:dyDescent="0.35">
      <c r="A56" s="119" t="s">
        <v>965</v>
      </c>
      <c r="B56" s="180">
        <v>25.485526875000001</v>
      </c>
      <c r="C56" s="180">
        <v>47.801724999999998</v>
      </c>
      <c r="D56" s="180">
        <v>3.839</v>
      </c>
    </row>
    <row r="57" spans="1:4" x14ac:dyDescent="0.35">
      <c r="A57" s="119" t="s">
        <v>966</v>
      </c>
      <c r="B57" s="180">
        <v>73.503194444444446</v>
      </c>
      <c r="C57" s="180">
        <v>22</v>
      </c>
      <c r="D57" s="180">
        <v>3.839</v>
      </c>
    </row>
    <row r="58" spans="1:4" x14ac:dyDescent="0.35">
      <c r="A58" s="119" t="s">
        <v>967</v>
      </c>
      <c r="B58" s="180">
        <v>32.295684666666659</v>
      </c>
      <c r="C58" s="180">
        <v>22</v>
      </c>
      <c r="D58" s="180">
        <v>3.839</v>
      </c>
    </row>
    <row r="59" spans="1:4" x14ac:dyDescent="0.35">
      <c r="A59" s="119" t="s">
        <v>968</v>
      </c>
      <c r="B59" s="180">
        <v>65.159097222222215</v>
      </c>
      <c r="C59" s="180">
        <v>22</v>
      </c>
      <c r="D59" s="180">
        <v>3.839</v>
      </c>
    </row>
    <row r="60" spans="1:4" x14ac:dyDescent="0.35">
      <c r="A60" s="119" t="s">
        <v>969</v>
      </c>
      <c r="B60" s="180">
        <v>61.320257166666671</v>
      </c>
      <c r="C60" s="180">
        <v>22</v>
      </c>
      <c r="D60" s="180">
        <v>3.839</v>
      </c>
    </row>
    <row r="61" spans="1:4" x14ac:dyDescent="0.35">
      <c r="A61" s="119" t="s">
        <v>970</v>
      </c>
      <c r="B61" s="180">
        <v>64.639147666666673</v>
      </c>
      <c r="C61" s="180">
        <v>22</v>
      </c>
      <c r="D61" s="180">
        <v>3.839</v>
      </c>
    </row>
    <row r="62" spans="1:4" x14ac:dyDescent="0.35">
      <c r="A62" s="119" t="s">
        <v>971</v>
      </c>
      <c r="B62" s="180">
        <v>57.220594166666672</v>
      </c>
      <c r="C62" s="180">
        <v>22</v>
      </c>
      <c r="D62" s="180">
        <v>3.839</v>
      </c>
    </row>
    <row r="63" spans="1:4" x14ac:dyDescent="0.35">
      <c r="A63" s="119" t="s">
        <v>972</v>
      </c>
      <c r="B63" s="180">
        <v>45.97165566666667</v>
      </c>
      <c r="C63" s="180">
        <v>22</v>
      </c>
      <c r="D63" s="180">
        <v>3.839</v>
      </c>
    </row>
    <row r="64" spans="1:4" x14ac:dyDescent="0.35">
      <c r="A64" s="119" t="s">
        <v>973</v>
      </c>
      <c r="B64" s="180">
        <v>67.737194444444441</v>
      </c>
      <c r="C64" s="180">
        <v>22</v>
      </c>
      <c r="D64" s="180">
        <v>3.839</v>
      </c>
    </row>
    <row r="65" spans="1:4" x14ac:dyDescent="0.35">
      <c r="A65" s="119" t="s">
        <v>974</v>
      </c>
      <c r="B65" s="180">
        <v>73.102194444444436</v>
      </c>
      <c r="C65" s="180">
        <v>22</v>
      </c>
      <c r="D65" s="180">
        <v>3.839</v>
      </c>
    </row>
    <row r="66" spans="1:4" x14ac:dyDescent="0.35">
      <c r="A66" s="119" t="s">
        <v>975</v>
      </c>
      <c r="B66" s="180">
        <v>27.8</v>
      </c>
      <c r="C66" s="180">
        <v>22</v>
      </c>
      <c r="D66" s="180">
        <v>3.839</v>
      </c>
    </row>
    <row r="67" spans="1:4" x14ac:dyDescent="0.35">
      <c r="A67" s="119" t="s">
        <v>976</v>
      </c>
      <c r="B67" s="180">
        <v>21.7</v>
      </c>
      <c r="C67" s="180">
        <v>22</v>
      </c>
      <c r="D67" s="180">
        <v>3.839</v>
      </c>
    </row>
    <row r="68" spans="1:4" x14ac:dyDescent="0.35">
      <c r="A68" s="119" t="s">
        <v>977</v>
      </c>
      <c r="B68" s="180">
        <v>31.89873166666667</v>
      </c>
      <c r="C68" s="180">
        <v>22</v>
      </c>
      <c r="D68" s="180">
        <v>3.839</v>
      </c>
    </row>
    <row r="69" spans="1:4" x14ac:dyDescent="0.35">
      <c r="A69" s="119" t="s">
        <v>978</v>
      </c>
      <c r="B69" s="180">
        <v>18.8</v>
      </c>
      <c r="C69" s="180">
        <v>22</v>
      </c>
      <c r="D69" s="180">
        <v>3.839</v>
      </c>
    </row>
    <row r="70" spans="1:4" x14ac:dyDescent="0.35">
      <c r="A70" s="119" t="s">
        <v>979</v>
      </c>
      <c r="B70" s="180">
        <v>27.159351666666669</v>
      </c>
      <c r="C70" s="180">
        <v>22</v>
      </c>
      <c r="D70" s="180">
        <v>3.839</v>
      </c>
    </row>
    <row r="71" spans="1:4" x14ac:dyDescent="0.35">
      <c r="A71" s="119" t="s">
        <v>980</v>
      </c>
      <c r="B71" s="180">
        <v>44.652291666666663</v>
      </c>
      <c r="C71" s="180">
        <v>22</v>
      </c>
      <c r="D71" s="180">
        <v>3.839</v>
      </c>
    </row>
    <row r="72" spans="1:4" x14ac:dyDescent="0.35">
      <c r="A72" s="119" t="s">
        <v>981</v>
      </c>
      <c r="B72" s="180">
        <v>62.455284534534528</v>
      </c>
      <c r="C72" s="180">
        <v>22</v>
      </c>
      <c r="D72" s="180">
        <v>3.839</v>
      </c>
    </row>
    <row r="73" spans="1:4" x14ac:dyDescent="0.35">
      <c r="A73" s="119" t="s">
        <v>982</v>
      </c>
      <c r="B73" s="180">
        <v>40.252291666666665</v>
      </c>
      <c r="C73" s="180">
        <v>22</v>
      </c>
      <c r="D73" s="180">
        <v>3.839</v>
      </c>
    </row>
    <row r="74" spans="1:4" x14ac:dyDescent="0.35">
      <c r="A74" s="119" t="s">
        <v>983</v>
      </c>
      <c r="B74" s="180">
        <v>34.02279166666667</v>
      </c>
      <c r="C74" s="180">
        <v>22</v>
      </c>
      <c r="D74" s="180">
        <v>3.839</v>
      </c>
    </row>
    <row r="75" spans="1:4" x14ac:dyDescent="0.35">
      <c r="A75" s="119" t="s">
        <v>984</v>
      </c>
      <c r="B75" s="180">
        <v>24.7</v>
      </c>
      <c r="C75" s="180">
        <v>22</v>
      </c>
      <c r="D75" s="180">
        <v>3.839</v>
      </c>
    </row>
    <row r="76" spans="1:4" x14ac:dyDescent="0.35">
      <c r="A76" s="119" t="s">
        <v>985</v>
      </c>
      <c r="B76" s="180">
        <v>19.752291666666668</v>
      </c>
      <c r="C76" s="180">
        <v>22</v>
      </c>
      <c r="D76" s="180">
        <v>3.839</v>
      </c>
    </row>
    <row r="77" spans="1:4" x14ac:dyDescent="0.35">
      <c r="A77" s="119" t="s">
        <v>986</v>
      </c>
      <c r="B77" s="180">
        <v>24.85229166666667</v>
      </c>
      <c r="C77" s="180">
        <v>22</v>
      </c>
      <c r="D77" s="180">
        <v>3.839</v>
      </c>
    </row>
    <row r="78" spans="1:4" x14ac:dyDescent="0.35">
      <c r="A78" s="119" t="s">
        <v>987</v>
      </c>
      <c r="B78" s="180">
        <v>23.35229166666667</v>
      </c>
      <c r="C78" s="180">
        <v>22</v>
      </c>
      <c r="D78" s="180">
        <v>3.839</v>
      </c>
    </row>
    <row r="79" spans="1:4" x14ac:dyDescent="0.35">
      <c r="A79" s="119" t="s">
        <v>988</v>
      </c>
      <c r="B79" s="180">
        <v>22.028526875000001</v>
      </c>
      <c r="C79" s="180">
        <v>22</v>
      </c>
      <c r="D79" s="180">
        <v>3.839</v>
      </c>
    </row>
    <row r="80" spans="1:4" x14ac:dyDescent="0.35">
      <c r="A80" s="119" t="s">
        <v>989</v>
      </c>
      <c r="B80" s="180">
        <v>22.028526875000001</v>
      </c>
      <c r="C80" s="180">
        <v>22</v>
      </c>
      <c r="D80" s="180">
        <v>3.839</v>
      </c>
    </row>
    <row r="81" spans="1:4" x14ac:dyDescent="0.35">
      <c r="A81" s="119" t="s">
        <v>990</v>
      </c>
      <c r="B81" s="180">
        <v>25.485526875000001</v>
      </c>
      <c r="C81" s="180">
        <v>22</v>
      </c>
      <c r="D81" s="180">
        <v>3.839</v>
      </c>
    </row>
    <row r="82" spans="1:4" x14ac:dyDescent="0.35">
      <c r="A82" s="119" t="s">
        <v>591</v>
      </c>
      <c r="B82" s="180">
        <v>3035.6676551452697</v>
      </c>
      <c r="C82" s="180">
        <v>2929.6681249999992</v>
      </c>
      <c r="D82" s="180">
        <v>287.92499999999995</v>
      </c>
    </row>
  </sheetData>
  <pageMargins left="0.7" right="0.7" top="0.75" bottom="0.75" header="0.3" footer="0.3"/>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A46703-B90C-49EB-9E0B-E3D2993152C5}">
  <sheetPr codeName="Sheet9">
    <tabColor rgb="FFFFFF00"/>
  </sheetPr>
  <dimension ref="C3:AA491"/>
  <sheetViews>
    <sheetView topLeftCell="A16" zoomScaleNormal="100" workbookViewId="0">
      <selection activeCell="C78" sqref="C78"/>
    </sheetView>
  </sheetViews>
  <sheetFormatPr defaultRowHeight="14.5" x14ac:dyDescent="0.35"/>
  <cols>
    <col min="2" max="2" width="11.26953125" bestFit="1" customWidth="1"/>
    <col min="3" max="3" width="35.81640625" customWidth="1"/>
    <col min="4" max="4" width="13.08984375" customWidth="1"/>
    <col min="5" max="8" width="20.26953125" customWidth="1"/>
    <col min="9" max="9" width="11.26953125" customWidth="1"/>
    <col min="10" max="10" width="13.36328125" customWidth="1"/>
    <col min="11" max="11" width="11.54296875" customWidth="1"/>
    <col min="12" max="12" width="10.6328125" customWidth="1"/>
    <col min="13" max="15" width="22.1796875" customWidth="1"/>
    <col min="17" max="17" width="9" customWidth="1"/>
    <col min="19" max="19" width="10.36328125" customWidth="1"/>
    <col min="20" max="20" width="21.90625" customWidth="1"/>
    <col min="22" max="22" width="10" customWidth="1"/>
    <col min="24" max="24" width="11.54296875" customWidth="1"/>
    <col min="25" max="25" width="13.453125" customWidth="1"/>
    <col min="26" max="26" width="13.81640625" customWidth="1"/>
    <col min="27" max="27" width="11.81640625" customWidth="1"/>
  </cols>
  <sheetData>
    <row r="3" spans="3:27" x14ac:dyDescent="0.35">
      <c r="C3" t="s">
        <v>864</v>
      </c>
      <c r="D3" t="s">
        <v>855</v>
      </c>
      <c r="E3" t="s">
        <v>856</v>
      </c>
      <c r="F3" t="s">
        <v>870</v>
      </c>
      <c r="G3" t="s">
        <v>871</v>
      </c>
      <c r="H3" t="s">
        <v>872</v>
      </c>
      <c r="I3" t="s">
        <v>857</v>
      </c>
      <c r="J3" t="s">
        <v>858</v>
      </c>
      <c r="K3" t="s">
        <v>859</v>
      </c>
      <c r="L3" t="s">
        <v>860</v>
      </c>
      <c r="M3" t="s">
        <v>861</v>
      </c>
      <c r="N3" t="s">
        <v>991</v>
      </c>
      <c r="O3" t="s">
        <v>993</v>
      </c>
      <c r="P3" t="s">
        <v>874</v>
      </c>
      <c r="Q3" t="s">
        <v>875</v>
      </c>
      <c r="R3" t="s">
        <v>876</v>
      </c>
      <c r="S3" t="s">
        <v>862</v>
      </c>
      <c r="T3" t="s">
        <v>863</v>
      </c>
      <c r="U3" t="s">
        <v>879</v>
      </c>
      <c r="V3" t="s">
        <v>880</v>
      </c>
      <c r="W3" t="s">
        <v>881</v>
      </c>
      <c r="X3" t="s">
        <v>865</v>
      </c>
      <c r="Y3" t="s">
        <v>866</v>
      </c>
      <c r="Z3" t="s">
        <v>867</v>
      </c>
      <c r="AA3" t="s">
        <v>868</v>
      </c>
    </row>
    <row r="4" spans="3:27" x14ac:dyDescent="0.35">
      <c r="C4" t="str">
        <f>_xlfn.CONCAT(Table4[[#This Row],[System Name (Short)]],"_",Table4[[#This Row],[Ext Finish Name (Short)]],"_",Table4[[#This Row],[Int Finish Name (Short)]])</f>
        <v>USEPDSIP_LCASolBrick_GPlas</v>
      </c>
      <c r="D4" s="119" t="s">
        <v>847</v>
      </c>
      <c r="E4" t="str">
        <f>_xlfn.XLOOKUP(Table4[[#This Row],[Base System]],BASE_SYSTEM_TABLE[System Name],BASE_SYSTEM_TABLE[System Name (Short)],FALSE)</f>
        <v>USEPDSIP</v>
      </c>
      <c r="F4" t="str">
        <f>_xlfn.XLOOKUP(Table4[[#This Row],[Base System]],BASE_SYSTEM_TABLE[System Name],BASE_SYSTEM_TABLE[System Type],FALSE)</f>
        <v>SIP</v>
      </c>
      <c r="G4" t="str">
        <f>_xlfn.XLOOKUP(Table4[[#This Row],[Base System]],BASE_SYSTEM_TABLE[System Name],BASE_SYSTEM_TABLE[System Subtype],FALSE)</f>
        <v xml:space="preserve">Closed </v>
      </c>
      <c r="H4" t="str">
        <f>_xlfn.XLOOKUP(Table4[[#This Row],[Base System]],BASE_SYSTEM_TABLE[System Name],BASE_SYSTEM_TABLE[Construction Type (Framed or Planar)],FALSE)</f>
        <v>Planar</v>
      </c>
      <c r="I4">
        <f>GETPIVOTDATA("Sum of A1-A3 Fossil kg CO2e/m^2 wall area",'COMPONENT PIVOT REF'!$A$3,"System Name",Table4[[#This Row],[Base System]])</f>
        <v>23.35229166666667</v>
      </c>
      <c r="J4">
        <f>GETPIVOTDATA("Sum of  R value (m^2-K/W)",'COMPONENT PIVOT REF'!$A$3,"System Name",Table4[[#This Row],[Base System]])</f>
        <v>3.7015000000000002</v>
      </c>
      <c r="K4">
        <f>GETPIVOTDATA("Sum of Total Mass per m^2 (kg)",'COMPONENT PIVOT REF'!$A$3,"System Name",Table4[[#This Row],[Base System]])</f>
        <v>18.946000000000002</v>
      </c>
      <c r="L4" t="s">
        <v>853</v>
      </c>
      <c r="M4" t="str">
        <f>_xlfn.XLOOKUP(Table4[[#This Row],[Ext Finish]],Master_Table4[System Name],Master_Table4[System Name (Short)],FALSE)</f>
        <v>LCASolBrick</v>
      </c>
      <c r="N4" t="str">
        <f>_xlfn.XLOOKUP(Table4[[#This Row],[Ext Finish]],Master_Table4[System Name],Master_Table4[Compatible Systems],FALSE)</f>
        <v>LGS, Timber, ICF, SIP, Concrete Block</v>
      </c>
      <c r="O4" t="str">
        <f>IF(ISNUMBER(SEARCH(Table4[[#This Row],[MMC Method]],Table4[[#This Row],[Compatible Systems]])),"YES","NO")</f>
        <v>YES</v>
      </c>
      <c r="P4">
        <f>GETPIVOTDATA("Sum of A1-A3 Fossil kg CO2e/m^2 wall area",'COMPONENT PIVOT REF'!$I$3,"System Name",Table4[[#This Row],[Ext Finish]])</f>
        <v>47.384999999999998</v>
      </c>
      <c r="Q4">
        <f>GETPIVOTDATA("Sum of  R value (m^2-K/W)",'COMPONENT PIVOT REF'!$I$3,"System Name",Table4[[#This Row],[Ext Finish]])</f>
        <v>2.1298701298701297</v>
      </c>
      <c r="R4">
        <f>GETPIVOTDATA("Sum of Total Mass per m^2 (kg)",'COMPONENT PIVOT REF'!$I$3,"System Name",Table4[[#This Row],[Ext Finish]])</f>
        <v>231.17000000000002</v>
      </c>
      <c r="S4" t="s">
        <v>854</v>
      </c>
      <c r="T4" t="str">
        <f>_xlfn.XLOOKUP(Table4[[#This Row],[Int Finish]],Master_Table6[System Name],Master_Table6[System Name (Short)],FALSE)</f>
        <v>GPlas</v>
      </c>
      <c r="U4">
        <f>GETPIVOTDATA("Sum of A1-A3 Fossil kg CO2e/m^2 wall area",'COMPONENT PIVOT REF'!$P$3,"System Name",Table4[[#This Row],[Int Finish]])</f>
        <v>3.839</v>
      </c>
      <c r="V4">
        <f>GETPIVOTDATA("Sum of  R value (m^2-K/W)",'COMPONENT PIVOT REF'!$P$3,"System Name",Table4[[#This Row],[Int Finish]])</f>
        <v>0.56578947368421051</v>
      </c>
      <c r="W4">
        <f>GETPIVOTDATA("Sum of Total Mass per m^2 (kg)",'COMPONENT PIVOT REF'!$P$3,"System Name",Table4[[#This Row],[Int Finish]])</f>
        <v>9.3850000000000016</v>
      </c>
      <c r="X4">
        <f>Table4[[#This Row],[Ext Finish GWP]]+Table4[[#This Row],[Base GWP]]+Table4[[#This Row],[Int Finish GWP]]</f>
        <v>74.576291666666663</v>
      </c>
      <c r="Y4">
        <f>Table4[[#This Row],[Ext Finish R Value]]+Table4[[#This Row],[Base R Value]]+Table4[[#This Row],[Int Finish R Value]]</f>
        <v>6.397159603554341</v>
      </c>
      <c r="Z4">
        <f>1/Table4[[#This Row],[Total R value]]</f>
        <v>0.15631937640642696</v>
      </c>
      <c r="AA4">
        <f>Table4[[#This Row],[Int Finish Mass]]+Table4[[#This Row],[Ext Finish Mass]]+Table4[[#This Row],[Base Mass]]</f>
        <v>259.50100000000003</v>
      </c>
    </row>
    <row r="5" spans="3:27" x14ac:dyDescent="0.35">
      <c r="C5" t="str">
        <f>_xlfn.CONCAT(Table4[[#This Row],[System Name (Short)]],"_",Table4[[#This Row],[Ext Finish Name (Short)]],"_",Table4[[#This Row],[Int Finish Name (Short)]])</f>
        <v>USEPDSIP_EPDSolBrick_GPlas</v>
      </c>
      <c r="D5" s="119" t="s">
        <v>847</v>
      </c>
      <c r="E5" t="str">
        <f>_xlfn.XLOOKUP(Table4[[#This Row],[Base System]],BASE_SYSTEM_TABLE[System Name],BASE_SYSTEM_TABLE[System Name (Short)],FALSE)</f>
        <v>USEPDSIP</v>
      </c>
      <c r="F5" t="str">
        <f>_xlfn.XLOOKUP(Table4[[#This Row],[Base System]],BASE_SYSTEM_TABLE[System Name],BASE_SYSTEM_TABLE[System Type],FALSE)</f>
        <v>SIP</v>
      </c>
      <c r="G5" t="str">
        <f>_xlfn.XLOOKUP(Table4[[#This Row],[Base System]],BASE_SYSTEM_TABLE[System Name],BASE_SYSTEM_TABLE[System Subtype],FALSE)</f>
        <v xml:space="preserve">Closed </v>
      </c>
      <c r="H5" t="str">
        <f>_xlfn.XLOOKUP(Table4[[#This Row],[Base System]],BASE_SYSTEM_TABLE[System Name],BASE_SYSTEM_TABLE[Construction Type (Framed or Planar)],FALSE)</f>
        <v>Planar</v>
      </c>
      <c r="I5">
        <f>GETPIVOTDATA("Sum of A1-A3 Fossil kg CO2e/m^2 wall area",'COMPONENT PIVOT REF'!$A$3,"System Name",Table4[[#This Row],[Base System]])</f>
        <v>23.35229166666667</v>
      </c>
      <c r="J5">
        <f>GETPIVOTDATA("Sum of  R value (m^2-K/W)",'COMPONENT PIVOT REF'!$A$3,"System Name",Table4[[#This Row],[Base System]])</f>
        <v>3.7015000000000002</v>
      </c>
      <c r="K5">
        <f>GETPIVOTDATA("Sum of Total Mass per m^2 (kg)",'COMPONENT PIVOT REF'!$A$3,"System Name",Table4[[#This Row],[Base System]])</f>
        <v>18.946000000000002</v>
      </c>
      <c r="L5" t="s">
        <v>852</v>
      </c>
      <c r="M5" t="str">
        <f>_xlfn.XLOOKUP(Table4[[#This Row],[Ext Finish]],Master_Table4[System Name],Master_Table4[System Name (Short)],FALSE)</f>
        <v>EPDSolBrick</v>
      </c>
      <c r="N5" t="str">
        <f>_xlfn.XLOOKUP(Table4[[#This Row],[Ext Finish]],Master_Table4[System Name],Master_Table4[Compatible Systems],FALSE)</f>
        <v>LGS, Timber, ICF, SIP, Concrete Block</v>
      </c>
      <c r="O5" t="str">
        <f>IF(ISNUMBER(SEARCH(Table4[[#This Row],[MMC Method]],Table4[[#This Row],[Compatible Systems]])),"YES","NO")</f>
        <v>YES</v>
      </c>
      <c r="P5">
        <f>GETPIVOTDATA("Sum of A1-A3 Fossil kg CO2e/m^2 wall area",'COMPONENT PIVOT REF'!$I$3,"System Name",Table4[[#This Row],[Ext Finish]])</f>
        <v>47.801724999999998</v>
      </c>
      <c r="Q5">
        <f>GETPIVOTDATA("Sum of  R value (m^2-K/W)",'COMPONENT PIVOT REF'!$I$3,"System Name",Table4[[#This Row],[Ext Finish]])</f>
        <v>2.1626984126984126</v>
      </c>
      <c r="R5">
        <f>GETPIVOTDATA("Sum of Total Mass per m^2 (kg)",'COMPONENT PIVOT REF'!$I$3,"System Name",Table4[[#This Row],[Ext Finish]])</f>
        <v>233.095</v>
      </c>
      <c r="S5" t="s">
        <v>854</v>
      </c>
      <c r="T5" t="str">
        <f>_xlfn.XLOOKUP(Table4[[#This Row],[Int Finish]],Master_Table6[System Name],Master_Table6[System Name (Short)],FALSE)</f>
        <v>GPlas</v>
      </c>
      <c r="U5">
        <f>GETPIVOTDATA("Sum of A1-A3 Fossil kg CO2e/m^2 wall area",'COMPONENT PIVOT REF'!$P$3,"System Name",Table4[[#This Row],[Int Finish]])</f>
        <v>3.839</v>
      </c>
      <c r="V5">
        <f>GETPIVOTDATA("Sum of  R value (m^2-K/W)",'COMPONENT PIVOT REF'!$P$3,"System Name",Table4[[#This Row],[Int Finish]])</f>
        <v>0.56578947368421051</v>
      </c>
      <c r="W5">
        <f>GETPIVOTDATA("Sum of Total Mass per m^2 (kg)",'COMPONENT PIVOT REF'!$P$3,"System Name",Table4[[#This Row],[Int Finish]])</f>
        <v>9.3850000000000016</v>
      </c>
      <c r="X5">
        <f>Table4[[#This Row],[Ext Finish GWP]]+Table4[[#This Row],[Base GWP]]+Table4[[#This Row],[Int Finish GWP]]</f>
        <v>74.993016666666662</v>
      </c>
      <c r="Y5">
        <f>Table4[[#This Row],[Ext Finish R Value]]+Table4[[#This Row],[Base R Value]]+Table4[[#This Row],[Int Finish R Value]]</f>
        <v>6.429987886382623</v>
      </c>
      <c r="Z5">
        <f>1/Table4[[#This Row],[Total R value]]</f>
        <v>0.15552128832432049</v>
      </c>
      <c r="AA5">
        <f>Table4[[#This Row],[Int Finish Mass]]+Table4[[#This Row],[Ext Finish Mass]]+Table4[[#This Row],[Base Mass]]</f>
        <v>261.42599999999999</v>
      </c>
    </row>
    <row r="6" spans="3:27" x14ac:dyDescent="0.35">
      <c r="C6" t="str">
        <f>_xlfn.CONCAT(Table4[[#This Row],[System Name (Short)]],"_",Table4[[#This Row],[Ext Finish Name (Short)]],"_",Table4[[#This Row],[Int Finish Name (Short)]])</f>
        <v>USEPDSIP_EPDComFiber_GPlas</v>
      </c>
      <c r="D6" s="119" t="s">
        <v>847</v>
      </c>
      <c r="E6" t="str">
        <f>_xlfn.XLOOKUP(Table4[[#This Row],[Base System]],BASE_SYSTEM_TABLE[System Name],BASE_SYSTEM_TABLE[System Name (Short)],FALSE)</f>
        <v>USEPDSIP</v>
      </c>
      <c r="F6" t="str">
        <f>_xlfn.XLOOKUP(Table4[[#This Row],[Base System]],BASE_SYSTEM_TABLE[System Name],BASE_SYSTEM_TABLE[System Type],FALSE)</f>
        <v>SIP</v>
      </c>
      <c r="G6" t="str">
        <f>_xlfn.XLOOKUP(Table4[[#This Row],[Base System]],BASE_SYSTEM_TABLE[System Name],BASE_SYSTEM_TABLE[System Subtype],FALSE)</f>
        <v xml:space="preserve">Closed </v>
      </c>
      <c r="H6" t="str">
        <f>_xlfn.XLOOKUP(Table4[[#This Row],[Base System]],BASE_SYSTEM_TABLE[System Name],BASE_SYSTEM_TABLE[Construction Type (Framed or Planar)],FALSE)</f>
        <v>Planar</v>
      </c>
      <c r="I6">
        <f>GETPIVOTDATA("Sum of A1-A3 Fossil kg CO2e/m^2 wall area",'COMPONENT PIVOT REF'!$A$3,"System Name",Table4[[#This Row],[Base System]])</f>
        <v>23.35229166666667</v>
      </c>
      <c r="J6">
        <f>GETPIVOTDATA("Sum of  R value (m^2-K/W)",'COMPONENT PIVOT REF'!$A$3,"System Name",Table4[[#This Row],[Base System]])</f>
        <v>3.7015000000000002</v>
      </c>
      <c r="K6">
        <f>GETPIVOTDATA("Sum of Total Mass per m^2 (kg)",'COMPONENT PIVOT REF'!$A$3,"System Name",Table4[[#This Row],[Base System]])</f>
        <v>18.946000000000002</v>
      </c>
      <c r="L6" t="s">
        <v>851</v>
      </c>
      <c r="M6" t="str">
        <f>_xlfn.XLOOKUP(Table4[[#This Row],[Ext Finish]],Master_Table4[System Name],Master_Table4[System Name (Short)],FALSE)</f>
        <v>EPDComFiber</v>
      </c>
      <c r="N6" t="str">
        <f>_xlfn.XLOOKUP(Table4[[#This Row],[Ext Finish]],Master_Table4[System Name],Master_Table4[Compatible Systems],FALSE)</f>
        <v>LGS, Timber, ICF, SIP, Concrete Block</v>
      </c>
      <c r="O6" t="str">
        <f>IF(ISNUMBER(SEARCH(Table4[[#This Row],[MMC Method]],Table4[[#This Row],[Compatible Systems]])),"YES","NO")</f>
        <v>YES</v>
      </c>
      <c r="P6">
        <f>GETPIVOTDATA("Sum of A1-A3 Fossil kg CO2e/m^2 wall area",'COMPONENT PIVOT REF'!$I$3,"System Name",Table4[[#This Row],[Ext Finish]])</f>
        <v>22</v>
      </c>
      <c r="Q6">
        <f>GETPIVOTDATA("Sum of  R value (m^2-K/W)",'COMPONENT PIVOT REF'!$I$3,"System Name",Table4[[#This Row],[Ext Finish]])</f>
        <v>2.4699999999999998</v>
      </c>
      <c r="R6">
        <f>GETPIVOTDATA("Sum of Total Mass per m^2 (kg)",'COMPONENT PIVOT REF'!$I$3,"System Name",Table4[[#This Row],[Ext Finish]])</f>
        <v>0.16999999999999998</v>
      </c>
      <c r="S6" t="s">
        <v>854</v>
      </c>
      <c r="T6" t="str">
        <f>_xlfn.XLOOKUP(Table4[[#This Row],[Int Finish]],Master_Table6[System Name],Master_Table6[System Name (Short)],FALSE)</f>
        <v>GPlas</v>
      </c>
      <c r="U6">
        <f>GETPIVOTDATA("Sum of A1-A3 Fossil kg CO2e/m^2 wall area",'COMPONENT PIVOT REF'!$P$3,"System Name",Table4[[#This Row],[Int Finish]])</f>
        <v>3.839</v>
      </c>
      <c r="V6">
        <f>GETPIVOTDATA("Sum of  R value (m^2-K/W)",'COMPONENT PIVOT REF'!$P$3,"System Name",Table4[[#This Row],[Int Finish]])</f>
        <v>0.56578947368421051</v>
      </c>
      <c r="W6">
        <f>GETPIVOTDATA("Sum of Total Mass per m^2 (kg)",'COMPONENT PIVOT REF'!$P$3,"System Name",Table4[[#This Row],[Int Finish]])</f>
        <v>9.3850000000000016</v>
      </c>
      <c r="X6">
        <f>Table4[[#This Row],[Ext Finish GWP]]+Table4[[#This Row],[Base GWP]]+Table4[[#This Row],[Int Finish GWP]]</f>
        <v>49.191291666666672</v>
      </c>
      <c r="Y6">
        <f>Table4[[#This Row],[Ext Finish R Value]]+Table4[[#This Row],[Base R Value]]+Table4[[#This Row],[Int Finish R Value]]</f>
        <v>6.7372894736842106</v>
      </c>
      <c r="Z6">
        <f>1/Table4[[#This Row],[Total R value]]</f>
        <v>0.14842764347680037</v>
      </c>
      <c r="AA6">
        <f>Table4[[#This Row],[Int Finish Mass]]+Table4[[#This Row],[Ext Finish Mass]]+Table4[[#This Row],[Base Mass]]</f>
        <v>28.501000000000005</v>
      </c>
    </row>
    <row r="7" spans="3:27" x14ac:dyDescent="0.35">
      <c r="C7" t="str">
        <f>_xlfn.CONCAT(Table4[[#This Row],[System Name (Short)]],"_",Table4[[#This Row],[Ext Finish Name (Short)]],"_",Table4[[#This Row],[Int Finish Name (Short)]])</f>
        <v>thermEPDICF_LCASolBrick_GPlas</v>
      </c>
      <c r="D7" t="s">
        <v>846</v>
      </c>
      <c r="E7" t="str">
        <f>_xlfn.XLOOKUP(Table4[[#This Row],[Base System]],BASE_SYSTEM_TABLE[System Name],BASE_SYSTEM_TABLE[System Name (Short)],FALSE)</f>
        <v>thermEPDICF</v>
      </c>
      <c r="F7" t="str">
        <f>_xlfn.XLOOKUP(Table4[[#This Row],[Base System]],BASE_SYSTEM_TABLE[System Name],BASE_SYSTEM_TABLE[System Type],FALSE)</f>
        <v>ICF</v>
      </c>
      <c r="G7" t="str">
        <f>_xlfn.XLOOKUP(Table4[[#This Row],[Base System]],BASE_SYSTEM_TABLE[System Name],BASE_SYSTEM_TABLE[System Subtype],FALSE)</f>
        <v>Formed Concrete</v>
      </c>
      <c r="H7" t="str">
        <f>_xlfn.XLOOKUP(Table4[[#This Row],[Base System]],BASE_SYSTEM_TABLE[System Name],BASE_SYSTEM_TABLE[Construction Type (Framed or Planar)],FALSE)</f>
        <v>Planar</v>
      </c>
      <c r="I7">
        <f>GETPIVOTDATA("Sum of A1-A3 Fossil kg CO2e/m^2 wall area",'COMPONENT PIVOT REF'!$A$3,"System Name",Table4[[#This Row],[Base System]])</f>
        <v>73.503194444444446</v>
      </c>
      <c r="J7">
        <f>GETPIVOTDATA("Sum of  R value (m^2-K/W)",'COMPONENT PIVOT REF'!$A$3,"System Name",Table4[[#This Row],[Base System]])</f>
        <v>6.1379705882352944</v>
      </c>
      <c r="K7">
        <f>GETPIVOTDATA("Sum of Total Mass per m^2 (kg)",'COMPONENT PIVOT REF'!$A$3,"System Name",Table4[[#This Row],[Base System]])</f>
        <v>369.98</v>
      </c>
      <c r="L7" t="s">
        <v>853</v>
      </c>
      <c r="M7" t="str">
        <f>_xlfn.XLOOKUP(Table4[[#This Row],[Ext Finish]],Master_Table4[System Name],Master_Table4[System Name (Short)],FALSE)</f>
        <v>LCASolBrick</v>
      </c>
      <c r="N7" t="str">
        <f>_xlfn.XLOOKUP(Table4[[#This Row],[Ext Finish]],Master_Table4[System Name],Master_Table4[Compatible Systems],FALSE)</f>
        <v>LGS, Timber, ICF, SIP, Concrete Block</v>
      </c>
      <c r="O7" t="str">
        <f>IF(ISNUMBER(SEARCH(Table4[[#This Row],[MMC Method]],Table4[[#This Row],[Compatible Systems]])),"YES","NO")</f>
        <v>YES</v>
      </c>
      <c r="P7">
        <f>GETPIVOTDATA("Sum of A1-A3 Fossil kg CO2e/m^2 wall area",'COMPONENT PIVOT REF'!$I$3,"System Name",Table4[[#This Row],[Ext Finish]])</f>
        <v>47.384999999999998</v>
      </c>
      <c r="Q7">
        <f>GETPIVOTDATA("Sum of  R value (m^2-K/W)",'COMPONENT PIVOT REF'!$I$3,"System Name",Table4[[#This Row],[Ext Finish]])</f>
        <v>2.1298701298701297</v>
      </c>
      <c r="R7">
        <f>GETPIVOTDATA("Sum of Total Mass per m^2 (kg)",'COMPONENT PIVOT REF'!$I$3,"System Name",Table4[[#This Row],[Ext Finish]])</f>
        <v>231.17000000000002</v>
      </c>
      <c r="S7" t="s">
        <v>854</v>
      </c>
      <c r="T7" t="str">
        <f>_xlfn.XLOOKUP(Table4[[#This Row],[Int Finish]],Master_Table6[System Name],Master_Table6[System Name (Short)],FALSE)</f>
        <v>GPlas</v>
      </c>
      <c r="U7">
        <f>GETPIVOTDATA("Sum of A1-A3 Fossil kg CO2e/m^2 wall area",'COMPONENT PIVOT REF'!$P$3,"System Name",Table4[[#This Row],[Int Finish]])</f>
        <v>3.839</v>
      </c>
      <c r="V7">
        <f>GETPIVOTDATA("Sum of  R value (m^2-K/W)",'COMPONENT PIVOT REF'!$P$3,"System Name",Table4[[#This Row],[Int Finish]])</f>
        <v>0.56578947368421051</v>
      </c>
      <c r="W7">
        <f>GETPIVOTDATA("Sum of Total Mass per m^2 (kg)",'COMPONENT PIVOT REF'!$P$3,"System Name",Table4[[#This Row],[Int Finish]])</f>
        <v>9.3850000000000016</v>
      </c>
      <c r="X7">
        <f>Table4[[#This Row],[Ext Finish GWP]]+Table4[[#This Row],[Base GWP]]+Table4[[#This Row],[Int Finish GWP]]</f>
        <v>124.72719444444445</v>
      </c>
      <c r="Y7">
        <f>Table4[[#This Row],[Ext Finish R Value]]+Table4[[#This Row],[Base R Value]]+Table4[[#This Row],[Int Finish R Value]]</f>
        <v>8.8336301917896343</v>
      </c>
      <c r="Z7">
        <f>1/Table4[[#This Row],[Total R value]]</f>
        <v>0.1132037427749063</v>
      </c>
      <c r="AA7">
        <f>Table4[[#This Row],[Int Finish Mass]]+Table4[[#This Row],[Ext Finish Mass]]+Table4[[#This Row],[Base Mass]]</f>
        <v>610.53500000000008</v>
      </c>
    </row>
    <row r="8" spans="3:27" x14ac:dyDescent="0.35">
      <c r="C8" t="str">
        <f>_xlfn.CONCAT(Table4[[#This Row],[System Name (Short)]],"_",Table4[[#This Row],[Ext Finish Name (Short)]],"_",Table4[[#This Row],[Int Finish Name (Short)]])</f>
        <v>thermEPDICF_EPDSolBrick_GPlas</v>
      </c>
      <c r="D8" t="s">
        <v>846</v>
      </c>
      <c r="E8" t="str">
        <f>_xlfn.XLOOKUP(Table4[[#This Row],[Base System]],BASE_SYSTEM_TABLE[System Name],BASE_SYSTEM_TABLE[System Name (Short)],FALSE)</f>
        <v>thermEPDICF</v>
      </c>
      <c r="F8" t="str">
        <f>_xlfn.XLOOKUP(Table4[[#This Row],[Base System]],BASE_SYSTEM_TABLE[System Name],BASE_SYSTEM_TABLE[System Type],FALSE)</f>
        <v>ICF</v>
      </c>
      <c r="G8" t="str">
        <f>_xlfn.XLOOKUP(Table4[[#This Row],[Base System]],BASE_SYSTEM_TABLE[System Name],BASE_SYSTEM_TABLE[System Subtype],FALSE)</f>
        <v>Formed Concrete</v>
      </c>
      <c r="H8" t="str">
        <f>_xlfn.XLOOKUP(Table4[[#This Row],[Base System]],BASE_SYSTEM_TABLE[System Name],BASE_SYSTEM_TABLE[Construction Type (Framed or Planar)],FALSE)</f>
        <v>Planar</v>
      </c>
      <c r="I8">
        <f>GETPIVOTDATA("Sum of A1-A3 Fossil kg CO2e/m^2 wall area",'COMPONENT PIVOT REF'!$A$3,"System Name",Table4[[#This Row],[Base System]])</f>
        <v>73.503194444444446</v>
      </c>
      <c r="J8">
        <f>GETPIVOTDATA("Sum of  R value (m^2-K/W)",'COMPONENT PIVOT REF'!$A$3,"System Name",Table4[[#This Row],[Base System]])</f>
        <v>6.1379705882352944</v>
      </c>
      <c r="K8">
        <f>GETPIVOTDATA("Sum of Total Mass per m^2 (kg)",'COMPONENT PIVOT REF'!$A$3,"System Name",Table4[[#This Row],[Base System]])</f>
        <v>369.98</v>
      </c>
      <c r="L8" t="s">
        <v>852</v>
      </c>
      <c r="M8" t="str">
        <f>_xlfn.XLOOKUP(Table4[[#This Row],[Ext Finish]],Master_Table4[System Name],Master_Table4[System Name (Short)],FALSE)</f>
        <v>EPDSolBrick</v>
      </c>
      <c r="N8" t="str">
        <f>_xlfn.XLOOKUP(Table4[[#This Row],[Ext Finish]],Master_Table4[System Name],Master_Table4[Compatible Systems],FALSE)</f>
        <v>LGS, Timber, ICF, SIP, Concrete Block</v>
      </c>
      <c r="O8" t="str">
        <f>IF(ISNUMBER(SEARCH(Table4[[#This Row],[MMC Method]],Table4[[#This Row],[Compatible Systems]])),"YES","NO")</f>
        <v>YES</v>
      </c>
      <c r="P8">
        <f>GETPIVOTDATA("Sum of A1-A3 Fossil kg CO2e/m^2 wall area",'COMPONENT PIVOT REF'!$I$3,"System Name",Table4[[#This Row],[Ext Finish]])</f>
        <v>47.801724999999998</v>
      </c>
      <c r="Q8">
        <f>GETPIVOTDATA("Sum of  R value (m^2-K/W)",'COMPONENT PIVOT REF'!$I$3,"System Name",Table4[[#This Row],[Ext Finish]])</f>
        <v>2.1626984126984126</v>
      </c>
      <c r="R8">
        <f>GETPIVOTDATA("Sum of Total Mass per m^2 (kg)",'COMPONENT PIVOT REF'!$I$3,"System Name",Table4[[#This Row],[Ext Finish]])</f>
        <v>233.095</v>
      </c>
      <c r="S8" t="s">
        <v>854</v>
      </c>
      <c r="T8" t="str">
        <f>_xlfn.XLOOKUP(Table4[[#This Row],[Int Finish]],Master_Table6[System Name],Master_Table6[System Name (Short)],FALSE)</f>
        <v>GPlas</v>
      </c>
      <c r="U8">
        <f>GETPIVOTDATA("Sum of A1-A3 Fossil kg CO2e/m^2 wall area",'COMPONENT PIVOT REF'!$P$3,"System Name",Table4[[#This Row],[Int Finish]])</f>
        <v>3.839</v>
      </c>
      <c r="V8">
        <f>GETPIVOTDATA("Sum of  R value (m^2-K/W)",'COMPONENT PIVOT REF'!$P$3,"System Name",Table4[[#This Row],[Int Finish]])</f>
        <v>0.56578947368421051</v>
      </c>
      <c r="W8">
        <f>GETPIVOTDATA("Sum of Total Mass per m^2 (kg)",'COMPONENT PIVOT REF'!$P$3,"System Name",Table4[[#This Row],[Int Finish]])</f>
        <v>9.3850000000000016</v>
      </c>
      <c r="X8">
        <f>Table4[[#This Row],[Ext Finish GWP]]+Table4[[#This Row],[Base GWP]]+Table4[[#This Row],[Int Finish GWP]]</f>
        <v>125.14391944444444</v>
      </c>
      <c r="Y8">
        <f>Table4[[#This Row],[Ext Finish R Value]]+Table4[[#This Row],[Base R Value]]+Table4[[#This Row],[Int Finish R Value]]</f>
        <v>8.866458474617918</v>
      </c>
      <c r="Z8">
        <f>1/Table4[[#This Row],[Total R value]]</f>
        <v>0.1127846031042392</v>
      </c>
      <c r="AA8">
        <f>Table4[[#This Row],[Int Finish Mass]]+Table4[[#This Row],[Ext Finish Mass]]+Table4[[#This Row],[Base Mass]]</f>
        <v>612.46</v>
      </c>
    </row>
    <row r="9" spans="3:27" x14ac:dyDescent="0.35">
      <c r="C9" t="str">
        <f>_xlfn.CONCAT(Table4[[#This Row],[System Name (Short)]],"_",Table4[[#This Row],[Ext Finish Name (Short)]],"_",Table4[[#This Row],[Int Finish Name (Short)]])</f>
        <v>thermEPDICF_EPDComFiber_GPlas</v>
      </c>
      <c r="D9" t="s">
        <v>846</v>
      </c>
      <c r="E9" t="str">
        <f>_xlfn.XLOOKUP(Table4[[#This Row],[Base System]],BASE_SYSTEM_TABLE[System Name],BASE_SYSTEM_TABLE[System Name (Short)],FALSE)</f>
        <v>thermEPDICF</v>
      </c>
      <c r="F9" t="str">
        <f>_xlfn.XLOOKUP(Table4[[#This Row],[Base System]],BASE_SYSTEM_TABLE[System Name],BASE_SYSTEM_TABLE[System Type],FALSE)</f>
        <v>ICF</v>
      </c>
      <c r="G9" t="str">
        <f>_xlfn.XLOOKUP(Table4[[#This Row],[Base System]],BASE_SYSTEM_TABLE[System Name],BASE_SYSTEM_TABLE[System Subtype],FALSE)</f>
        <v>Formed Concrete</v>
      </c>
      <c r="H9" t="str">
        <f>_xlfn.XLOOKUP(Table4[[#This Row],[Base System]],BASE_SYSTEM_TABLE[System Name],BASE_SYSTEM_TABLE[Construction Type (Framed or Planar)],FALSE)</f>
        <v>Planar</v>
      </c>
      <c r="I9">
        <f>GETPIVOTDATA("Sum of A1-A3 Fossil kg CO2e/m^2 wall area",'COMPONENT PIVOT REF'!$A$3,"System Name",Table4[[#This Row],[Base System]])</f>
        <v>73.503194444444446</v>
      </c>
      <c r="J9">
        <f>GETPIVOTDATA("Sum of  R value (m^2-K/W)",'COMPONENT PIVOT REF'!$A$3,"System Name",Table4[[#This Row],[Base System]])</f>
        <v>6.1379705882352944</v>
      </c>
      <c r="K9">
        <f>GETPIVOTDATA("Sum of Total Mass per m^2 (kg)",'COMPONENT PIVOT REF'!$A$3,"System Name",Table4[[#This Row],[Base System]])</f>
        <v>369.98</v>
      </c>
      <c r="L9" t="s">
        <v>851</v>
      </c>
      <c r="M9" t="str">
        <f>_xlfn.XLOOKUP(Table4[[#This Row],[Ext Finish]],Master_Table4[System Name],Master_Table4[System Name (Short)],FALSE)</f>
        <v>EPDComFiber</v>
      </c>
      <c r="N9" t="str">
        <f>_xlfn.XLOOKUP(Table4[[#This Row],[Ext Finish]],Master_Table4[System Name],Master_Table4[Compatible Systems],FALSE)</f>
        <v>LGS, Timber, ICF, SIP, Concrete Block</v>
      </c>
      <c r="O9" t="str">
        <f>IF(ISNUMBER(SEARCH(Table4[[#This Row],[MMC Method]],Table4[[#This Row],[Compatible Systems]])),"YES","NO")</f>
        <v>YES</v>
      </c>
      <c r="P9">
        <f>GETPIVOTDATA("Sum of A1-A3 Fossil kg CO2e/m^2 wall area",'COMPONENT PIVOT REF'!$I$3,"System Name",Table4[[#This Row],[Ext Finish]])</f>
        <v>22</v>
      </c>
      <c r="Q9">
        <f>GETPIVOTDATA("Sum of  R value (m^2-K/W)",'COMPONENT PIVOT REF'!$I$3,"System Name",Table4[[#This Row],[Ext Finish]])</f>
        <v>2.4699999999999998</v>
      </c>
      <c r="R9">
        <f>GETPIVOTDATA("Sum of Total Mass per m^2 (kg)",'COMPONENT PIVOT REF'!$I$3,"System Name",Table4[[#This Row],[Ext Finish]])</f>
        <v>0.16999999999999998</v>
      </c>
      <c r="S9" t="s">
        <v>854</v>
      </c>
      <c r="T9" t="str">
        <f>_xlfn.XLOOKUP(Table4[[#This Row],[Int Finish]],Master_Table6[System Name],Master_Table6[System Name (Short)],FALSE)</f>
        <v>GPlas</v>
      </c>
      <c r="U9">
        <f>GETPIVOTDATA("Sum of A1-A3 Fossil kg CO2e/m^2 wall area",'COMPONENT PIVOT REF'!$P$3,"System Name",Table4[[#This Row],[Int Finish]])</f>
        <v>3.839</v>
      </c>
      <c r="V9">
        <f>GETPIVOTDATA("Sum of  R value (m^2-K/W)",'COMPONENT PIVOT REF'!$P$3,"System Name",Table4[[#This Row],[Int Finish]])</f>
        <v>0.56578947368421051</v>
      </c>
      <c r="W9">
        <f>GETPIVOTDATA("Sum of Total Mass per m^2 (kg)",'COMPONENT PIVOT REF'!$P$3,"System Name",Table4[[#This Row],[Int Finish]])</f>
        <v>9.3850000000000016</v>
      </c>
      <c r="X9">
        <f>Table4[[#This Row],[Ext Finish GWP]]+Table4[[#This Row],[Base GWP]]+Table4[[#This Row],[Int Finish GWP]]</f>
        <v>99.342194444444445</v>
      </c>
      <c r="Y9">
        <f>Table4[[#This Row],[Ext Finish R Value]]+Table4[[#This Row],[Base R Value]]+Table4[[#This Row],[Int Finish R Value]]</f>
        <v>9.1737600619195039</v>
      </c>
      <c r="Z9">
        <f>1/Table4[[#This Row],[Total R value]]</f>
        <v>0.10900655709876518</v>
      </c>
      <c r="AA9">
        <f>Table4[[#This Row],[Int Finish Mass]]+Table4[[#This Row],[Ext Finish Mass]]+Table4[[#This Row],[Base Mass]]</f>
        <v>379.53500000000003</v>
      </c>
    </row>
    <row r="10" spans="3:27" x14ac:dyDescent="0.35">
      <c r="C10" t="str">
        <f>_xlfn.CONCAT(Table4[[#This Row],[System Name (Short)]],"_",Table4[[#This Row],[Ext Finish Name (Short)]],"_",Table4[[#This Row],[Int Finish Name (Short)]])</f>
        <v>SP-270EPDSIP_LCASolBrick_GPlas</v>
      </c>
      <c r="D10" s="119" t="s">
        <v>845</v>
      </c>
      <c r="E10" t="str">
        <f>_xlfn.XLOOKUP(Table4[[#This Row],[Base System]],BASE_SYSTEM_TABLE[System Name],BASE_SYSTEM_TABLE[System Name (Short)],FALSE)</f>
        <v>SP-270EPDSIP</v>
      </c>
      <c r="F10" t="str">
        <f>_xlfn.XLOOKUP(Table4[[#This Row],[Base System]],BASE_SYSTEM_TABLE[System Name],BASE_SYSTEM_TABLE[System Type],FALSE)</f>
        <v>SIP</v>
      </c>
      <c r="G10" t="str">
        <f>_xlfn.XLOOKUP(Table4[[#This Row],[Base System]],BASE_SYSTEM_TABLE[System Name],BASE_SYSTEM_TABLE[System Subtype],FALSE)</f>
        <v xml:space="preserve">Closed </v>
      </c>
      <c r="H10" t="str">
        <f>_xlfn.XLOOKUP(Table4[[#This Row],[Base System]],BASE_SYSTEM_TABLE[System Name],BASE_SYSTEM_TABLE[Construction Type (Framed or Planar)],FALSE)</f>
        <v>Planar</v>
      </c>
      <c r="I10">
        <f>GETPIVOTDATA("Sum of A1-A3 Fossil kg CO2e/m^2 wall area",'COMPONENT PIVOT REF'!$A$3,"System Name",Table4[[#This Row],[Base System]])</f>
        <v>24.85229166666667</v>
      </c>
      <c r="J10">
        <f>GETPIVOTDATA("Sum of  R value (m^2-K/W)",'COMPONENT PIVOT REF'!$A$3,"System Name",Table4[[#This Row],[Base System]])</f>
        <v>6.9714999999999998</v>
      </c>
      <c r="K10">
        <f>GETPIVOTDATA("Sum of Total Mass per m^2 (kg)",'COMPONENT PIVOT REF'!$A$3,"System Name",Table4[[#This Row],[Base System]])</f>
        <v>22.436</v>
      </c>
      <c r="L10" t="s">
        <v>853</v>
      </c>
      <c r="M10" t="str">
        <f>_xlfn.XLOOKUP(Table4[[#This Row],[Ext Finish]],Master_Table4[System Name],Master_Table4[System Name (Short)],FALSE)</f>
        <v>LCASolBrick</v>
      </c>
      <c r="N10" t="str">
        <f>_xlfn.XLOOKUP(Table4[[#This Row],[Ext Finish]],Master_Table4[System Name],Master_Table4[Compatible Systems],FALSE)</f>
        <v>LGS, Timber, ICF, SIP, Concrete Block</v>
      </c>
      <c r="O10" t="str">
        <f>IF(ISNUMBER(SEARCH(Table4[[#This Row],[MMC Method]],Table4[[#This Row],[Compatible Systems]])),"YES","NO")</f>
        <v>YES</v>
      </c>
      <c r="P10">
        <f>GETPIVOTDATA("Sum of A1-A3 Fossil kg CO2e/m^2 wall area",'COMPONENT PIVOT REF'!$I$3,"System Name",Table4[[#This Row],[Ext Finish]])</f>
        <v>47.384999999999998</v>
      </c>
      <c r="Q10">
        <f>GETPIVOTDATA("Sum of  R value (m^2-K/W)",'COMPONENT PIVOT REF'!$I$3,"System Name",Table4[[#This Row],[Ext Finish]])</f>
        <v>2.1298701298701297</v>
      </c>
      <c r="R10">
        <f>GETPIVOTDATA("Sum of Total Mass per m^2 (kg)",'COMPONENT PIVOT REF'!$I$3,"System Name",Table4[[#This Row],[Ext Finish]])</f>
        <v>231.17000000000002</v>
      </c>
      <c r="S10" t="s">
        <v>854</v>
      </c>
      <c r="T10" t="str">
        <f>_xlfn.XLOOKUP(Table4[[#This Row],[Int Finish]],Master_Table6[System Name],Master_Table6[System Name (Short)],FALSE)</f>
        <v>GPlas</v>
      </c>
      <c r="U10">
        <f>GETPIVOTDATA("Sum of A1-A3 Fossil kg CO2e/m^2 wall area",'COMPONENT PIVOT REF'!$P$3,"System Name",Table4[[#This Row],[Int Finish]])</f>
        <v>3.839</v>
      </c>
      <c r="V10">
        <f>GETPIVOTDATA("Sum of  R value (m^2-K/W)",'COMPONENT PIVOT REF'!$P$3,"System Name",Table4[[#This Row],[Int Finish]])</f>
        <v>0.56578947368421051</v>
      </c>
      <c r="W10">
        <f>GETPIVOTDATA("Sum of Total Mass per m^2 (kg)",'COMPONENT PIVOT REF'!$P$3,"System Name",Table4[[#This Row],[Int Finish]])</f>
        <v>9.3850000000000016</v>
      </c>
      <c r="X10">
        <f>Table4[[#This Row],[Ext Finish GWP]]+Table4[[#This Row],[Base GWP]]+Table4[[#This Row],[Int Finish GWP]]</f>
        <v>76.076291666666663</v>
      </c>
      <c r="Y10">
        <f>Table4[[#This Row],[Ext Finish R Value]]+Table4[[#This Row],[Base R Value]]+Table4[[#This Row],[Int Finish R Value]]</f>
        <v>9.6671596035543406</v>
      </c>
      <c r="Z10">
        <f>1/Table4[[#This Row],[Total R value]]</f>
        <v>0.10344300094438581</v>
      </c>
      <c r="AA10">
        <f>Table4[[#This Row],[Int Finish Mass]]+Table4[[#This Row],[Ext Finish Mass]]+Table4[[#This Row],[Base Mass]]</f>
        <v>262.99099999999999</v>
      </c>
    </row>
    <row r="11" spans="3:27" x14ac:dyDescent="0.35">
      <c r="C11" t="str">
        <f>_xlfn.CONCAT(Table4[[#This Row],[System Name (Short)]],"_",Table4[[#This Row],[Ext Finish Name (Short)]],"_",Table4[[#This Row],[Int Finish Name (Short)]])</f>
        <v>SP-270EPDSIP_EPDSolBrick_GPlas</v>
      </c>
      <c r="D11" s="119" t="s">
        <v>845</v>
      </c>
      <c r="E11" t="str">
        <f>_xlfn.XLOOKUP(Table4[[#This Row],[Base System]],BASE_SYSTEM_TABLE[System Name],BASE_SYSTEM_TABLE[System Name (Short)],FALSE)</f>
        <v>SP-270EPDSIP</v>
      </c>
      <c r="F11" t="str">
        <f>_xlfn.XLOOKUP(Table4[[#This Row],[Base System]],BASE_SYSTEM_TABLE[System Name],BASE_SYSTEM_TABLE[System Type],FALSE)</f>
        <v>SIP</v>
      </c>
      <c r="G11" t="str">
        <f>_xlfn.XLOOKUP(Table4[[#This Row],[Base System]],BASE_SYSTEM_TABLE[System Name],BASE_SYSTEM_TABLE[System Subtype],FALSE)</f>
        <v xml:space="preserve">Closed </v>
      </c>
      <c r="H11" t="str">
        <f>_xlfn.XLOOKUP(Table4[[#This Row],[Base System]],BASE_SYSTEM_TABLE[System Name],BASE_SYSTEM_TABLE[Construction Type (Framed or Planar)],FALSE)</f>
        <v>Planar</v>
      </c>
      <c r="I11">
        <f>GETPIVOTDATA("Sum of A1-A3 Fossil kg CO2e/m^2 wall area",'COMPONENT PIVOT REF'!$A$3,"System Name",Table4[[#This Row],[Base System]])</f>
        <v>24.85229166666667</v>
      </c>
      <c r="J11">
        <f>GETPIVOTDATA("Sum of  R value (m^2-K/W)",'COMPONENT PIVOT REF'!$A$3,"System Name",Table4[[#This Row],[Base System]])</f>
        <v>6.9714999999999998</v>
      </c>
      <c r="K11">
        <f>GETPIVOTDATA("Sum of Total Mass per m^2 (kg)",'COMPONENT PIVOT REF'!$A$3,"System Name",Table4[[#This Row],[Base System]])</f>
        <v>22.436</v>
      </c>
      <c r="L11" t="s">
        <v>852</v>
      </c>
      <c r="M11" t="str">
        <f>_xlfn.XLOOKUP(Table4[[#This Row],[Ext Finish]],Master_Table4[System Name],Master_Table4[System Name (Short)],FALSE)</f>
        <v>EPDSolBrick</v>
      </c>
      <c r="N11" t="str">
        <f>_xlfn.XLOOKUP(Table4[[#This Row],[Ext Finish]],Master_Table4[System Name],Master_Table4[Compatible Systems],FALSE)</f>
        <v>LGS, Timber, ICF, SIP, Concrete Block</v>
      </c>
      <c r="O11" t="str">
        <f>IF(ISNUMBER(SEARCH(Table4[[#This Row],[MMC Method]],Table4[[#This Row],[Compatible Systems]])),"YES","NO")</f>
        <v>YES</v>
      </c>
      <c r="P11">
        <f>GETPIVOTDATA("Sum of A1-A3 Fossil kg CO2e/m^2 wall area",'COMPONENT PIVOT REF'!$I$3,"System Name",Table4[[#This Row],[Ext Finish]])</f>
        <v>47.801724999999998</v>
      </c>
      <c r="Q11">
        <f>GETPIVOTDATA("Sum of  R value (m^2-K/W)",'COMPONENT PIVOT REF'!$I$3,"System Name",Table4[[#This Row],[Ext Finish]])</f>
        <v>2.1626984126984126</v>
      </c>
      <c r="R11">
        <f>GETPIVOTDATA("Sum of Total Mass per m^2 (kg)",'COMPONENT PIVOT REF'!$I$3,"System Name",Table4[[#This Row],[Ext Finish]])</f>
        <v>233.095</v>
      </c>
      <c r="S11" t="s">
        <v>854</v>
      </c>
      <c r="T11" t="str">
        <f>_xlfn.XLOOKUP(Table4[[#This Row],[Int Finish]],Master_Table6[System Name],Master_Table6[System Name (Short)],FALSE)</f>
        <v>GPlas</v>
      </c>
      <c r="U11">
        <f>GETPIVOTDATA("Sum of A1-A3 Fossil kg CO2e/m^2 wall area",'COMPONENT PIVOT REF'!$P$3,"System Name",Table4[[#This Row],[Int Finish]])</f>
        <v>3.839</v>
      </c>
      <c r="V11">
        <f>GETPIVOTDATA("Sum of  R value (m^2-K/W)",'COMPONENT PIVOT REF'!$P$3,"System Name",Table4[[#This Row],[Int Finish]])</f>
        <v>0.56578947368421051</v>
      </c>
      <c r="W11">
        <f>GETPIVOTDATA("Sum of Total Mass per m^2 (kg)",'COMPONENT PIVOT REF'!$P$3,"System Name",Table4[[#This Row],[Int Finish]])</f>
        <v>9.3850000000000016</v>
      </c>
      <c r="X11">
        <f>Table4[[#This Row],[Ext Finish GWP]]+Table4[[#This Row],[Base GWP]]+Table4[[#This Row],[Int Finish GWP]]</f>
        <v>76.493016666666662</v>
      </c>
      <c r="Y11">
        <f>Table4[[#This Row],[Ext Finish R Value]]+Table4[[#This Row],[Base R Value]]+Table4[[#This Row],[Int Finish R Value]]</f>
        <v>9.6999878863826225</v>
      </c>
      <c r="Z11">
        <f>1/Table4[[#This Row],[Total R value]]</f>
        <v>0.1030929122503189</v>
      </c>
      <c r="AA11">
        <f>Table4[[#This Row],[Int Finish Mass]]+Table4[[#This Row],[Ext Finish Mass]]+Table4[[#This Row],[Base Mass]]</f>
        <v>264.916</v>
      </c>
    </row>
    <row r="12" spans="3:27" x14ac:dyDescent="0.35">
      <c r="C12" t="str">
        <f>_xlfn.CONCAT(Table4[[#This Row],[System Name (Short)]],"_",Table4[[#This Row],[Ext Finish Name (Short)]],"_",Table4[[#This Row],[Int Finish Name (Short)]])</f>
        <v>SP-270EPDSIP_EPDComFiber_GPlas</v>
      </c>
      <c r="D12" s="119" t="s">
        <v>845</v>
      </c>
      <c r="E12" t="str">
        <f>_xlfn.XLOOKUP(Table4[[#This Row],[Base System]],BASE_SYSTEM_TABLE[System Name],BASE_SYSTEM_TABLE[System Name (Short)],FALSE)</f>
        <v>SP-270EPDSIP</v>
      </c>
      <c r="F12" t="str">
        <f>_xlfn.XLOOKUP(Table4[[#This Row],[Base System]],BASE_SYSTEM_TABLE[System Name],BASE_SYSTEM_TABLE[System Type],FALSE)</f>
        <v>SIP</v>
      </c>
      <c r="G12" t="str">
        <f>_xlfn.XLOOKUP(Table4[[#This Row],[Base System]],BASE_SYSTEM_TABLE[System Name],BASE_SYSTEM_TABLE[System Subtype],FALSE)</f>
        <v xml:space="preserve">Closed </v>
      </c>
      <c r="H12" t="str">
        <f>_xlfn.XLOOKUP(Table4[[#This Row],[Base System]],BASE_SYSTEM_TABLE[System Name],BASE_SYSTEM_TABLE[Construction Type (Framed or Planar)],FALSE)</f>
        <v>Planar</v>
      </c>
      <c r="I12">
        <f>GETPIVOTDATA("Sum of A1-A3 Fossil kg CO2e/m^2 wall area",'COMPONENT PIVOT REF'!$A$3,"System Name",Table4[[#This Row],[Base System]])</f>
        <v>24.85229166666667</v>
      </c>
      <c r="J12">
        <f>GETPIVOTDATA("Sum of  R value (m^2-K/W)",'COMPONENT PIVOT REF'!$A$3,"System Name",Table4[[#This Row],[Base System]])</f>
        <v>6.9714999999999998</v>
      </c>
      <c r="K12">
        <f>GETPIVOTDATA("Sum of Total Mass per m^2 (kg)",'COMPONENT PIVOT REF'!$A$3,"System Name",Table4[[#This Row],[Base System]])</f>
        <v>22.436</v>
      </c>
      <c r="L12" t="s">
        <v>851</v>
      </c>
      <c r="M12" t="str">
        <f>_xlfn.XLOOKUP(Table4[[#This Row],[Ext Finish]],Master_Table4[System Name],Master_Table4[System Name (Short)],FALSE)</f>
        <v>EPDComFiber</v>
      </c>
      <c r="N12" t="str">
        <f>_xlfn.XLOOKUP(Table4[[#This Row],[Ext Finish]],Master_Table4[System Name],Master_Table4[Compatible Systems],FALSE)</f>
        <v>LGS, Timber, ICF, SIP, Concrete Block</v>
      </c>
      <c r="O12" t="str">
        <f>IF(ISNUMBER(SEARCH(Table4[[#This Row],[MMC Method]],Table4[[#This Row],[Compatible Systems]])),"YES","NO")</f>
        <v>YES</v>
      </c>
      <c r="P12">
        <f>GETPIVOTDATA("Sum of A1-A3 Fossil kg CO2e/m^2 wall area",'COMPONENT PIVOT REF'!$I$3,"System Name",Table4[[#This Row],[Ext Finish]])</f>
        <v>22</v>
      </c>
      <c r="Q12">
        <f>GETPIVOTDATA("Sum of  R value (m^2-K/W)",'COMPONENT PIVOT REF'!$I$3,"System Name",Table4[[#This Row],[Ext Finish]])</f>
        <v>2.4699999999999998</v>
      </c>
      <c r="R12">
        <f>GETPIVOTDATA("Sum of Total Mass per m^2 (kg)",'COMPONENT PIVOT REF'!$I$3,"System Name",Table4[[#This Row],[Ext Finish]])</f>
        <v>0.16999999999999998</v>
      </c>
      <c r="S12" t="s">
        <v>854</v>
      </c>
      <c r="T12" t="str">
        <f>_xlfn.XLOOKUP(Table4[[#This Row],[Int Finish]],Master_Table6[System Name],Master_Table6[System Name (Short)],FALSE)</f>
        <v>GPlas</v>
      </c>
      <c r="U12">
        <f>GETPIVOTDATA("Sum of A1-A3 Fossil kg CO2e/m^2 wall area",'COMPONENT PIVOT REF'!$P$3,"System Name",Table4[[#This Row],[Int Finish]])</f>
        <v>3.839</v>
      </c>
      <c r="V12">
        <f>GETPIVOTDATA("Sum of  R value (m^2-K/W)",'COMPONENT PIVOT REF'!$P$3,"System Name",Table4[[#This Row],[Int Finish]])</f>
        <v>0.56578947368421051</v>
      </c>
      <c r="W12">
        <f>GETPIVOTDATA("Sum of Total Mass per m^2 (kg)",'COMPONENT PIVOT REF'!$P$3,"System Name",Table4[[#This Row],[Int Finish]])</f>
        <v>9.3850000000000016</v>
      </c>
      <c r="X12">
        <f>Table4[[#This Row],[Ext Finish GWP]]+Table4[[#This Row],[Base GWP]]+Table4[[#This Row],[Int Finish GWP]]</f>
        <v>50.691291666666672</v>
      </c>
      <c r="Y12">
        <f>Table4[[#This Row],[Ext Finish R Value]]+Table4[[#This Row],[Base R Value]]+Table4[[#This Row],[Int Finish R Value]]</f>
        <v>10.00728947368421</v>
      </c>
      <c r="Z12">
        <f>1/Table4[[#This Row],[Total R value]]</f>
        <v>9.9927158360879051E-2</v>
      </c>
      <c r="AA12">
        <f>Table4[[#This Row],[Int Finish Mass]]+Table4[[#This Row],[Ext Finish Mass]]+Table4[[#This Row],[Base Mass]]</f>
        <v>31.991</v>
      </c>
    </row>
    <row r="13" spans="3:27" x14ac:dyDescent="0.35">
      <c r="C13" t="str">
        <f>_xlfn.CONCAT(Table4[[#This Row],[System Name (Short)]],"_",Table4[[#This Row],[Ext Finish Name (Short)]],"_",Table4[[#This Row],[Int Finish Name (Short)]])</f>
        <v>SP-170EPDSIP_LCASolBrick_GPlas</v>
      </c>
      <c r="D13" s="119" t="s">
        <v>844</v>
      </c>
      <c r="E13" t="str">
        <f>_xlfn.XLOOKUP(Table4[[#This Row],[Base System]],BASE_SYSTEM_TABLE[System Name],BASE_SYSTEM_TABLE[System Name (Short)],FALSE)</f>
        <v>SP-170EPDSIP</v>
      </c>
      <c r="F13" t="str">
        <f>_xlfn.XLOOKUP(Table4[[#This Row],[Base System]],BASE_SYSTEM_TABLE[System Name],BASE_SYSTEM_TABLE[System Type],FALSE)</f>
        <v>SIP</v>
      </c>
      <c r="G13" t="str">
        <f>_xlfn.XLOOKUP(Table4[[#This Row],[Base System]],BASE_SYSTEM_TABLE[System Name],BASE_SYSTEM_TABLE[System Subtype],FALSE)</f>
        <v xml:space="preserve">Closed </v>
      </c>
      <c r="H13" t="str">
        <f>_xlfn.XLOOKUP(Table4[[#This Row],[Base System]],BASE_SYSTEM_TABLE[System Name],BASE_SYSTEM_TABLE[Construction Type (Framed or Planar)],FALSE)</f>
        <v>Planar</v>
      </c>
      <c r="I13">
        <f>GETPIVOTDATA("Sum of A1-A3 Fossil kg CO2e/m^2 wall area",'COMPONENT PIVOT REF'!$A$3,"System Name",Table4[[#This Row],[Base System]])</f>
        <v>19.752291666666668</v>
      </c>
      <c r="J13">
        <f>GETPIVOTDATA("Sum of  R value (m^2-K/W)",'COMPONENT PIVOT REF'!$A$3,"System Name",Table4[[#This Row],[Base System]])</f>
        <v>4.9815000000000005</v>
      </c>
      <c r="K13">
        <f>GETPIVOTDATA("Sum of Total Mass per m^2 (kg)",'COMPONENT PIVOT REF'!$A$3,"System Name",Table4[[#This Row],[Base System]])</f>
        <v>21.655999999999999</v>
      </c>
      <c r="L13" t="s">
        <v>853</v>
      </c>
      <c r="M13" t="str">
        <f>_xlfn.XLOOKUP(Table4[[#This Row],[Ext Finish]],Master_Table4[System Name],Master_Table4[System Name (Short)],FALSE)</f>
        <v>LCASolBrick</v>
      </c>
      <c r="N13" t="str">
        <f>_xlfn.XLOOKUP(Table4[[#This Row],[Ext Finish]],Master_Table4[System Name],Master_Table4[Compatible Systems],FALSE)</f>
        <v>LGS, Timber, ICF, SIP, Concrete Block</v>
      </c>
      <c r="O13" t="str">
        <f>IF(ISNUMBER(SEARCH(Table4[[#This Row],[MMC Method]],Table4[[#This Row],[Compatible Systems]])),"YES","NO")</f>
        <v>YES</v>
      </c>
      <c r="P13">
        <f>GETPIVOTDATA("Sum of A1-A3 Fossil kg CO2e/m^2 wall area",'COMPONENT PIVOT REF'!$I$3,"System Name",Table4[[#This Row],[Ext Finish]])</f>
        <v>47.384999999999998</v>
      </c>
      <c r="Q13">
        <f>GETPIVOTDATA("Sum of  R value (m^2-K/W)",'COMPONENT PIVOT REF'!$I$3,"System Name",Table4[[#This Row],[Ext Finish]])</f>
        <v>2.1298701298701297</v>
      </c>
      <c r="R13">
        <f>GETPIVOTDATA("Sum of Total Mass per m^2 (kg)",'COMPONENT PIVOT REF'!$I$3,"System Name",Table4[[#This Row],[Ext Finish]])</f>
        <v>231.17000000000002</v>
      </c>
      <c r="S13" t="s">
        <v>854</v>
      </c>
      <c r="T13" t="str">
        <f>_xlfn.XLOOKUP(Table4[[#This Row],[Int Finish]],Master_Table6[System Name],Master_Table6[System Name (Short)],FALSE)</f>
        <v>GPlas</v>
      </c>
      <c r="U13">
        <f>GETPIVOTDATA("Sum of A1-A3 Fossil kg CO2e/m^2 wall area",'COMPONENT PIVOT REF'!$P$3,"System Name",Table4[[#This Row],[Int Finish]])</f>
        <v>3.839</v>
      </c>
      <c r="V13">
        <f>GETPIVOTDATA("Sum of  R value (m^2-K/W)",'COMPONENT PIVOT REF'!$P$3,"System Name",Table4[[#This Row],[Int Finish]])</f>
        <v>0.56578947368421051</v>
      </c>
      <c r="W13">
        <f>GETPIVOTDATA("Sum of Total Mass per m^2 (kg)",'COMPONENT PIVOT REF'!$P$3,"System Name",Table4[[#This Row],[Int Finish]])</f>
        <v>9.3850000000000016</v>
      </c>
      <c r="X13">
        <f>Table4[[#This Row],[Ext Finish GWP]]+Table4[[#This Row],[Base GWP]]+Table4[[#This Row],[Int Finish GWP]]</f>
        <v>70.976291666666668</v>
      </c>
      <c r="Y13">
        <f>Table4[[#This Row],[Ext Finish R Value]]+Table4[[#This Row],[Base R Value]]+Table4[[#This Row],[Int Finish R Value]]</f>
        <v>7.6771596035543404</v>
      </c>
      <c r="Z13">
        <f>1/Table4[[#This Row],[Total R value]]</f>
        <v>0.13025650782836715</v>
      </c>
      <c r="AA13">
        <f>Table4[[#This Row],[Int Finish Mass]]+Table4[[#This Row],[Ext Finish Mass]]+Table4[[#This Row],[Base Mass]]</f>
        <v>262.21100000000001</v>
      </c>
    </row>
    <row r="14" spans="3:27" x14ac:dyDescent="0.35">
      <c r="C14" t="str">
        <f>_xlfn.CONCAT(Table4[[#This Row],[System Name (Short)]],"_",Table4[[#This Row],[Ext Finish Name (Short)]],"_",Table4[[#This Row],[Int Finish Name (Short)]])</f>
        <v>SP-170EPDSIP_EPDSolBrick_GPlas</v>
      </c>
      <c r="D14" s="119" t="s">
        <v>844</v>
      </c>
      <c r="E14" t="str">
        <f>_xlfn.XLOOKUP(Table4[[#This Row],[Base System]],BASE_SYSTEM_TABLE[System Name],BASE_SYSTEM_TABLE[System Name (Short)],FALSE)</f>
        <v>SP-170EPDSIP</v>
      </c>
      <c r="F14" t="str">
        <f>_xlfn.XLOOKUP(Table4[[#This Row],[Base System]],BASE_SYSTEM_TABLE[System Name],BASE_SYSTEM_TABLE[System Type],FALSE)</f>
        <v>SIP</v>
      </c>
      <c r="G14" t="str">
        <f>_xlfn.XLOOKUP(Table4[[#This Row],[Base System]],BASE_SYSTEM_TABLE[System Name],BASE_SYSTEM_TABLE[System Subtype],FALSE)</f>
        <v xml:space="preserve">Closed </v>
      </c>
      <c r="H14" t="str">
        <f>_xlfn.XLOOKUP(Table4[[#This Row],[Base System]],BASE_SYSTEM_TABLE[System Name],BASE_SYSTEM_TABLE[Construction Type (Framed or Planar)],FALSE)</f>
        <v>Planar</v>
      </c>
      <c r="I14">
        <f>GETPIVOTDATA("Sum of A1-A3 Fossil kg CO2e/m^2 wall area",'COMPONENT PIVOT REF'!$A$3,"System Name",Table4[[#This Row],[Base System]])</f>
        <v>19.752291666666668</v>
      </c>
      <c r="J14">
        <f>GETPIVOTDATA("Sum of  R value (m^2-K/W)",'COMPONENT PIVOT REF'!$A$3,"System Name",Table4[[#This Row],[Base System]])</f>
        <v>4.9815000000000005</v>
      </c>
      <c r="K14">
        <f>GETPIVOTDATA("Sum of Total Mass per m^2 (kg)",'COMPONENT PIVOT REF'!$A$3,"System Name",Table4[[#This Row],[Base System]])</f>
        <v>21.655999999999999</v>
      </c>
      <c r="L14" t="s">
        <v>852</v>
      </c>
      <c r="M14" t="str">
        <f>_xlfn.XLOOKUP(Table4[[#This Row],[Ext Finish]],Master_Table4[System Name],Master_Table4[System Name (Short)],FALSE)</f>
        <v>EPDSolBrick</v>
      </c>
      <c r="N14" t="str">
        <f>_xlfn.XLOOKUP(Table4[[#This Row],[Ext Finish]],Master_Table4[System Name],Master_Table4[Compatible Systems],FALSE)</f>
        <v>LGS, Timber, ICF, SIP, Concrete Block</v>
      </c>
      <c r="O14" t="str">
        <f>IF(ISNUMBER(SEARCH(Table4[[#This Row],[MMC Method]],Table4[[#This Row],[Compatible Systems]])),"YES","NO")</f>
        <v>YES</v>
      </c>
      <c r="P14">
        <f>GETPIVOTDATA("Sum of A1-A3 Fossil kg CO2e/m^2 wall area",'COMPONENT PIVOT REF'!$I$3,"System Name",Table4[[#This Row],[Ext Finish]])</f>
        <v>47.801724999999998</v>
      </c>
      <c r="Q14">
        <f>GETPIVOTDATA("Sum of  R value (m^2-K/W)",'COMPONENT PIVOT REF'!$I$3,"System Name",Table4[[#This Row],[Ext Finish]])</f>
        <v>2.1626984126984126</v>
      </c>
      <c r="R14">
        <f>GETPIVOTDATA("Sum of Total Mass per m^2 (kg)",'COMPONENT PIVOT REF'!$I$3,"System Name",Table4[[#This Row],[Ext Finish]])</f>
        <v>233.095</v>
      </c>
      <c r="S14" t="s">
        <v>854</v>
      </c>
      <c r="T14" t="str">
        <f>_xlfn.XLOOKUP(Table4[[#This Row],[Int Finish]],Master_Table6[System Name],Master_Table6[System Name (Short)],FALSE)</f>
        <v>GPlas</v>
      </c>
      <c r="U14">
        <f>GETPIVOTDATA("Sum of A1-A3 Fossil kg CO2e/m^2 wall area",'COMPONENT PIVOT REF'!$P$3,"System Name",Table4[[#This Row],[Int Finish]])</f>
        <v>3.839</v>
      </c>
      <c r="V14">
        <f>GETPIVOTDATA("Sum of  R value (m^2-K/W)",'COMPONENT PIVOT REF'!$P$3,"System Name",Table4[[#This Row],[Int Finish]])</f>
        <v>0.56578947368421051</v>
      </c>
      <c r="W14">
        <f>GETPIVOTDATA("Sum of Total Mass per m^2 (kg)",'COMPONENT PIVOT REF'!$P$3,"System Name",Table4[[#This Row],[Int Finish]])</f>
        <v>9.3850000000000016</v>
      </c>
      <c r="X14">
        <f>Table4[[#This Row],[Ext Finish GWP]]+Table4[[#This Row],[Base GWP]]+Table4[[#This Row],[Int Finish GWP]]</f>
        <v>71.393016666666668</v>
      </c>
      <c r="Y14">
        <f>Table4[[#This Row],[Ext Finish R Value]]+Table4[[#This Row],[Base R Value]]+Table4[[#This Row],[Int Finish R Value]]</f>
        <v>7.7099878863826241</v>
      </c>
      <c r="Z14">
        <f>1/Table4[[#This Row],[Total R value]]</f>
        <v>0.12970188990389978</v>
      </c>
      <c r="AA14">
        <f>Table4[[#This Row],[Int Finish Mass]]+Table4[[#This Row],[Ext Finish Mass]]+Table4[[#This Row],[Base Mass]]</f>
        <v>264.13599999999997</v>
      </c>
    </row>
    <row r="15" spans="3:27" x14ac:dyDescent="0.35">
      <c r="C15" t="str">
        <f>_xlfn.CONCAT(Table4[[#This Row],[System Name (Short)]],"_",Table4[[#This Row],[Ext Finish Name (Short)]],"_",Table4[[#This Row],[Int Finish Name (Short)]])</f>
        <v>SP-170EPDSIP_EPDComFiber_GPlas</v>
      </c>
      <c r="D15" s="119" t="s">
        <v>844</v>
      </c>
      <c r="E15" t="str">
        <f>_xlfn.XLOOKUP(Table4[[#This Row],[Base System]],BASE_SYSTEM_TABLE[System Name],BASE_SYSTEM_TABLE[System Name (Short)],FALSE)</f>
        <v>SP-170EPDSIP</v>
      </c>
      <c r="F15" t="str">
        <f>_xlfn.XLOOKUP(Table4[[#This Row],[Base System]],BASE_SYSTEM_TABLE[System Name],BASE_SYSTEM_TABLE[System Type],FALSE)</f>
        <v>SIP</v>
      </c>
      <c r="G15" t="str">
        <f>_xlfn.XLOOKUP(Table4[[#This Row],[Base System]],BASE_SYSTEM_TABLE[System Name],BASE_SYSTEM_TABLE[System Subtype],FALSE)</f>
        <v xml:space="preserve">Closed </v>
      </c>
      <c r="H15" t="str">
        <f>_xlfn.XLOOKUP(Table4[[#This Row],[Base System]],BASE_SYSTEM_TABLE[System Name],BASE_SYSTEM_TABLE[Construction Type (Framed or Planar)],FALSE)</f>
        <v>Planar</v>
      </c>
      <c r="I15">
        <f>GETPIVOTDATA("Sum of A1-A3 Fossil kg CO2e/m^2 wall area",'COMPONENT PIVOT REF'!$A$3,"System Name",Table4[[#This Row],[Base System]])</f>
        <v>19.752291666666668</v>
      </c>
      <c r="J15">
        <f>GETPIVOTDATA("Sum of  R value (m^2-K/W)",'COMPONENT PIVOT REF'!$A$3,"System Name",Table4[[#This Row],[Base System]])</f>
        <v>4.9815000000000005</v>
      </c>
      <c r="K15">
        <f>GETPIVOTDATA("Sum of Total Mass per m^2 (kg)",'COMPONENT PIVOT REF'!$A$3,"System Name",Table4[[#This Row],[Base System]])</f>
        <v>21.655999999999999</v>
      </c>
      <c r="L15" t="s">
        <v>851</v>
      </c>
      <c r="M15" t="str">
        <f>_xlfn.XLOOKUP(Table4[[#This Row],[Ext Finish]],Master_Table4[System Name],Master_Table4[System Name (Short)],FALSE)</f>
        <v>EPDComFiber</v>
      </c>
      <c r="N15" t="str">
        <f>_xlfn.XLOOKUP(Table4[[#This Row],[Ext Finish]],Master_Table4[System Name],Master_Table4[Compatible Systems],FALSE)</f>
        <v>LGS, Timber, ICF, SIP, Concrete Block</v>
      </c>
      <c r="O15" t="str">
        <f>IF(ISNUMBER(SEARCH(Table4[[#This Row],[MMC Method]],Table4[[#This Row],[Compatible Systems]])),"YES","NO")</f>
        <v>YES</v>
      </c>
      <c r="P15">
        <f>GETPIVOTDATA("Sum of A1-A3 Fossil kg CO2e/m^2 wall area",'COMPONENT PIVOT REF'!$I$3,"System Name",Table4[[#This Row],[Ext Finish]])</f>
        <v>22</v>
      </c>
      <c r="Q15">
        <f>GETPIVOTDATA("Sum of  R value (m^2-K/W)",'COMPONENT PIVOT REF'!$I$3,"System Name",Table4[[#This Row],[Ext Finish]])</f>
        <v>2.4699999999999998</v>
      </c>
      <c r="R15">
        <f>GETPIVOTDATA("Sum of Total Mass per m^2 (kg)",'COMPONENT PIVOT REF'!$I$3,"System Name",Table4[[#This Row],[Ext Finish]])</f>
        <v>0.16999999999999998</v>
      </c>
      <c r="S15" t="s">
        <v>854</v>
      </c>
      <c r="T15" t="str">
        <f>_xlfn.XLOOKUP(Table4[[#This Row],[Int Finish]],Master_Table6[System Name],Master_Table6[System Name (Short)],FALSE)</f>
        <v>GPlas</v>
      </c>
      <c r="U15">
        <f>GETPIVOTDATA("Sum of A1-A3 Fossil kg CO2e/m^2 wall area",'COMPONENT PIVOT REF'!$P$3,"System Name",Table4[[#This Row],[Int Finish]])</f>
        <v>3.839</v>
      </c>
      <c r="V15">
        <f>GETPIVOTDATA("Sum of  R value (m^2-K/W)",'COMPONENT PIVOT REF'!$P$3,"System Name",Table4[[#This Row],[Int Finish]])</f>
        <v>0.56578947368421051</v>
      </c>
      <c r="W15">
        <f>GETPIVOTDATA("Sum of Total Mass per m^2 (kg)",'COMPONENT PIVOT REF'!$P$3,"System Name",Table4[[#This Row],[Int Finish]])</f>
        <v>9.3850000000000016</v>
      </c>
      <c r="X15">
        <f>Table4[[#This Row],[Ext Finish GWP]]+Table4[[#This Row],[Base GWP]]+Table4[[#This Row],[Int Finish GWP]]</f>
        <v>45.591291666666663</v>
      </c>
      <c r="Y15">
        <f>Table4[[#This Row],[Ext Finish R Value]]+Table4[[#This Row],[Base R Value]]+Table4[[#This Row],[Int Finish R Value]]</f>
        <v>8.01728947368421</v>
      </c>
      <c r="Z15">
        <f>1/Table4[[#This Row],[Total R value]]</f>
        <v>0.12473043455426924</v>
      </c>
      <c r="AA15">
        <f>Table4[[#This Row],[Int Finish Mass]]+Table4[[#This Row],[Ext Finish Mass]]+Table4[[#This Row],[Base Mass]]</f>
        <v>31.210999999999999</v>
      </c>
    </row>
    <row r="16" spans="3:27" x14ac:dyDescent="0.35">
      <c r="C16" t="str">
        <f>_xlfn.CONCAT(Table4[[#This Row],[System Name (Short)]],"_",Table4[[#This Row],[Ext Finish Name (Short)]],"_",Table4[[#This Row],[Int Finish Name (Short)]])</f>
        <v>SkadoEPDTimFULL_LCASolBrick_GPlas</v>
      </c>
      <c r="D16" s="119" t="s">
        <v>843</v>
      </c>
      <c r="E16" t="str">
        <f>_xlfn.XLOOKUP(Table4[[#This Row],[Base System]],BASE_SYSTEM_TABLE[System Name],BASE_SYSTEM_TABLE[System Name (Short)],FALSE)</f>
        <v>SkadoEPDTimFULL</v>
      </c>
      <c r="F16" t="str">
        <f>_xlfn.XLOOKUP(Table4[[#This Row],[Base System]],BASE_SYSTEM_TABLE[System Name],BASE_SYSTEM_TABLE[System Type],FALSE)</f>
        <v>Timber</v>
      </c>
      <c r="G16" t="str">
        <f>_xlfn.XLOOKUP(Table4[[#This Row],[Base System]],BASE_SYSTEM_TABLE[System Name],BASE_SYSTEM_TABLE[System Subtype],FALSE)</f>
        <v xml:space="preserve">Closed </v>
      </c>
      <c r="H16" t="str">
        <f>_xlfn.XLOOKUP(Table4[[#This Row],[Base System]],BASE_SYSTEM_TABLE[System Name],BASE_SYSTEM_TABLE[Construction Type (Framed or Planar)],FALSE)</f>
        <v>Framed</v>
      </c>
      <c r="I16">
        <f>GETPIVOTDATA("Sum of A1-A3 Fossil kg CO2e/m^2 wall area",'COMPONENT PIVOT REF'!$A$3,"System Name",Table4[[#This Row],[Base System]])</f>
        <v>24.7</v>
      </c>
      <c r="J16">
        <f>GETPIVOTDATA("Sum of  R value (m^2-K/W)",'COMPONENT PIVOT REF'!$A$3,"System Name",Table4[[#This Row],[Base System]])</f>
        <v>5.5555555555555554</v>
      </c>
      <c r="K16">
        <f>GETPIVOTDATA("Sum of Total Mass per m^2 (kg)",'COMPONENT PIVOT REF'!$A$3,"System Name",Table4[[#This Row],[Base System]])</f>
        <v>45.2</v>
      </c>
      <c r="L16" t="s">
        <v>853</v>
      </c>
      <c r="M16" t="str">
        <f>_xlfn.XLOOKUP(Table4[[#This Row],[Ext Finish]],Master_Table4[System Name],Master_Table4[System Name (Short)],FALSE)</f>
        <v>LCASolBrick</v>
      </c>
      <c r="N16" t="str">
        <f>_xlfn.XLOOKUP(Table4[[#This Row],[Ext Finish]],Master_Table4[System Name],Master_Table4[Compatible Systems],FALSE)</f>
        <v>LGS, Timber, ICF, SIP, Concrete Block</v>
      </c>
      <c r="O16" t="str">
        <f>IF(ISNUMBER(SEARCH(Table4[[#This Row],[MMC Method]],Table4[[#This Row],[Compatible Systems]])),"YES","NO")</f>
        <v>YES</v>
      </c>
      <c r="P16">
        <f>GETPIVOTDATA("Sum of A1-A3 Fossil kg CO2e/m^2 wall area",'COMPONENT PIVOT REF'!$I$3,"System Name",Table4[[#This Row],[Ext Finish]])</f>
        <v>47.384999999999998</v>
      </c>
      <c r="Q16">
        <f>GETPIVOTDATA("Sum of  R value (m^2-K/W)",'COMPONENT PIVOT REF'!$I$3,"System Name",Table4[[#This Row],[Ext Finish]])</f>
        <v>2.1298701298701297</v>
      </c>
      <c r="R16">
        <f>GETPIVOTDATA("Sum of Total Mass per m^2 (kg)",'COMPONENT PIVOT REF'!$I$3,"System Name",Table4[[#This Row],[Ext Finish]])</f>
        <v>231.17000000000002</v>
      </c>
      <c r="S16" t="s">
        <v>854</v>
      </c>
      <c r="T16" t="str">
        <f>_xlfn.XLOOKUP(Table4[[#This Row],[Int Finish]],Master_Table6[System Name],Master_Table6[System Name (Short)],FALSE)</f>
        <v>GPlas</v>
      </c>
      <c r="U16">
        <f>GETPIVOTDATA("Sum of A1-A3 Fossil kg CO2e/m^2 wall area",'COMPONENT PIVOT REF'!$P$3,"System Name",Table4[[#This Row],[Int Finish]])</f>
        <v>3.839</v>
      </c>
      <c r="V16">
        <f>GETPIVOTDATA("Sum of  R value (m^2-K/W)",'COMPONENT PIVOT REF'!$P$3,"System Name",Table4[[#This Row],[Int Finish]])</f>
        <v>0.56578947368421051</v>
      </c>
      <c r="W16">
        <f>GETPIVOTDATA("Sum of Total Mass per m^2 (kg)",'COMPONENT PIVOT REF'!$P$3,"System Name",Table4[[#This Row],[Int Finish]])</f>
        <v>9.3850000000000016</v>
      </c>
      <c r="X16">
        <f>Table4[[#This Row],[Ext Finish GWP]]+Table4[[#This Row],[Base GWP]]+Table4[[#This Row],[Int Finish GWP]]</f>
        <v>75.923999999999992</v>
      </c>
      <c r="Y16">
        <f>Table4[[#This Row],[Ext Finish R Value]]+Table4[[#This Row],[Base R Value]]+Table4[[#This Row],[Int Finish R Value]]</f>
        <v>8.2512151591098952</v>
      </c>
      <c r="Z16">
        <f>1/Table4[[#This Row],[Total R value]]</f>
        <v>0.12119427026405109</v>
      </c>
      <c r="AA16">
        <f>Table4[[#This Row],[Int Finish Mass]]+Table4[[#This Row],[Ext Finish Mass]]+Table4[[#This Row],[Base Mass]]</f>
        <v>285.755</v>
      </c>
    </row>
    <row r="17" spans="3:27" x14ac:dyDescent="0.35">
      <c r="C17" t="str">
        <f>_xlfn.CONCAT(Table4[[#This Row],[System Name (Short)]],"_",Table4[[#This Row],[Ext Finish Name (Short)]],"_",Table4[[#This Row],[Int Finish Name (Short)]])</f>
        <v>SkadoEPDTimFULL_EPDSolBrick_GPlas</v>
      </c>
      <c r="D17" s="119" t="s">
        <v>843</v>
      </c>
      <c r="E17" t="str">
        <f>_xlfn.XLOOKUP(Table4[[#This Row],[Base System]],BASE_SYSTEM_TABLE[System Name],BASE_SYSTEM_TABLE[System Name (Short)],FALSE)</f>
        <v>SkadoEPDTimFULL</v>
      </c>
      <c r="F17" t="str">
        <f>_xlfn.XLOOKUP(Table4[[#This Row],[Base System]],BASE_SYSTEM_TABLE[System Name],BASE_SYSTEM_TABLE[System Type],FALSE)</f>
        <v>Timber</v>
      </c>
      <c r="G17" t="str">
        <f>_xlfn.XLOOKUP(Table4[[#This Row],[Base System]],BASE_SYSTEM_TABLE[System Name],BASE_SYSTEM_TABLE[System Subtype],FALSE)</f>
        <v xml:space="preserve">Closed </v>
      </c>
      <c r="H17" t="str">
        <f>_xlfn.XLOOKUP(Table4[[#This Row],[Base System]],BASE_SYSTEM_TABLE[System Name],BASE_SYSTEM_TABLE[Construction Type (Framed or Planar)],FALSE)</f>
        <v>Framed</v>
      </c>
      <c r="I17">
        <f>GETPIVOTDATA("Sum of A1-A3 Fossil kg CO2e/m^2 wall area",'COMPONENT PIVOT REF'!$A$3,"System Name",Table4[[#This Row],[Base System]])</f>
        <v>24.7</v>
      </c>
      <c r="J17">
        <f>GETPIVOTDATA("Sum of  R value (m^2-K/W)",'COMPONENT PIVOT REF'!$A$3,"System Name",Table4[[#This Row],[Base System]])</f>
        <v>5.5555555555555554</v>
      </c>
      <c r="K17">
        <f>GETPIVOTDATA("Sum of Total Mass per m^2 (kg)",'COMPONENT PIVOT REF'!$A$3,"System Name",Table4[[#This Row],[Base System]])</f>
        <v>45.2</v>
      </c>
      <c r="L17" t="s">
        <v>852</v>
      </c>
      <c r="M17" t="str">
        <f>_xlfn.XLOOKUP(Table4[[#This Row],[Ext Finish]],Master_Table4[System Name],Master_Table4[System Name (Short)],FALSE)</f>
        <v>EPDSolBrick</v>
      </c>
      <c r="N17" t="str">
        <f>_xlfn.XLOOKUP(Table4[[#This Row],[Ext Finish]],Master_Table4[System Name],Master_Table4[Compatible Systems],FALSE)</f>
        <v>LGS, Timber, ICF, SIP, Concrete Block</v>
      </c>
      <c r="O17" t="str">
        <f>IF(ISNUMBER(SEARCH(Table4[[#This Row],[MMC Method]],Table4[[#This Row],[Compatible Systems]])),"YES","NO")</f>
        <v>YES</v>
      </c>
      <c r="P17">
        <f>GETPIVOTDATA("Sum of A1-A3 Fossil kg CO2e/m^2 wall area",'COMPONENT PIVOT REF'!$I$3,"System Name",Table4[[#This Row],[Ext Finish]])</f>
        <v>47.801724999999998</v>
      </c>
      <c r="Q17">
        <f>GETPIVOTDATA("Sum of  R value (m^2-K/W)",'COMPONENT PIVOT REF'!$I$3,"System Name",Table4[[#This Row],[Ext Finish]])</f>
        <v>2.1626984126984126</v>
      </c>
      <c r="R17">
        <f>GETPIVOTDATA("Sum of Total Mass per m^2 (kg)",'COMPONENT PIVOT REF'!$I$3,"System Name",Table4[[#This Row],[Ext Finish]])</f>
        <v>233.095</v>
      </c>
      <c r="S17" t="s">
        <v>854</v>
      </c>
      <c r="T17" t="str">
        <f>_xlfn.XLOOKUP(Table4[[#This Row],[Int Finish]],Master_Table6[System Name],Master_Table6[System Name (Short)],FALSE)</f>
        <v>GPlas</v>
      </c>
      <c r="U17">
        <f>GETPIVOTDATA("Sum of A1-A3 Fossil kg CO2e/m^2 wall area",'COMPONENT PIVOT REF'!$P$3,"System Name",Table4[[#This Row],[Int Finish]])</f>
        <v>3.839</v>
      </c>
      <c r="V17">
        <f>GETPIVOTDATA("Sum of  R value (m^2-K/W)",'COMPONENT PIVOT REF'!$P$3,"System Name",Table4[[#This Row],[Int Finish]])</f>
        <v>0.56578947368421051</v>
      </c>
      <c r="W17">
        <f>GETPIVOTDATA("Sum of Total Mass per m^2 (kg)",'COMPONENT PIVOT REF'!$P$3,"System Name",Table4[[#This Row],[Int Finish]])</f>
        <v>9.3850000000000016</v>
      </c>
      <c r="X17">
        <f>Table4[[#This Row],[Ext Finish GWP]]+Table4[[#This Row],[Base GWP]]+Table4[[#This Row],[Int Finish GWP]]</f>
        <v>76.340724999999992</v>
      </c>
      <c r="Y17">
        <f>Table4[[#This Row],[Ext Finish R Value]]+Table4[[#This Row],[Base R Value]]+Table4[[#This Row],[Int Finish R Value]]</f>
        <v>8.284043441938179</v>
      </c>
      <c r="Z17">
        <f>1/Table4[[#This Row],[Total R value]]</f>
        <v>0.12071399757966922</v>
      </c>
      <c r="AA17">
        <f>Table4[[#This Row],[Int Finish Mass]]+Table4[[#This Row],[Ext Finish Mass]]+Table4[[#This Row],[Base Mass]]</f>
        <v>287.68</v>
      </c>
    </row>
    <row r="18" spans="3:27" x14ac:dyDescent="0.35">
      <c r="C18" t="str">
        <f>_xlfn.CONCAT(Table4[[#This Row],[System Name (Short)]],"_",Table4[[#This Row],[Ext Finish Name (Short)]],"_",Table4[[#This Row],[Int Finish Name (Short)]])</f>
        <v>SkadoEPDTimFULL_EPDComFiber_GPlas</v>
      </c>
      <c r="D18" s="119" t="s">
        <v>843</v>
      </c>
      <c r="E18" t="str">
        <f>_xlfn.XLOOKUP(Table4[[#This Row],[Base System]],BASE_SYSTEM_TABLE[System Name],BASE_SYSTEM_TABLE[System Name (Short)],FALSE)</f>
        <v>SkadoEPDTimFULL</v>
      </c>
      <c r="F18" t="str">
        <f>_xlfn.XLOOKUP(Table4[[#This Row],[Base System]],BASE_SYSTEM_TABLE[System Name],BASE_SYSTEM_TABLE[System Type],FALSE)</f>
        <v>Timber</v>
      </c>
      <c r="G18" t="str">
        <f>_xlfn.XLOOKUP(Table4[[#This Row],[Base System]],BASE_SYSTEM_TABLE[System Name],BASE_SYSTEM_TABLE[System Subtype],FALSE)</f>
        <v xml:space="preserve">Closed </v>
      </c>
      <c r="H18" t="str">
        <f>_xlfn.XLOOKUP(Table4[[#This Row],[Base System]],BASE_SYSTEM_TABLE[System Name],BASE_SYSTEM_TABLE[Construction Type (Framed or Planar)],FALSE)</f>
        <v>Framed</v>
      </c>
      <c r="I18">
        <f>GETPIVOTDATA("Sum of A1-A3 Fossil kg CO2e/m^2 wall area",'COMPONENT PIVOT REF'!$A$3,"System Name",Table4[[#This Row],[Base System]])</f>
        <v>24.7</v>
      </c>
      <c r="J18">
        <f>GETPIVOTDATA("Sum of  R value (m^2-K/W)",'COMPONENT PIVOT REF'!$A$3,"System Name",Table4[[#This Row],[Base System]])</f>
        <v>5.5555555555555554</v>
      </c>
      <c r="K18">
        <f>GETPIVOTDATA("Sum of Total Mass per m^2 (kg)",'COMPONENT PIVOT REF'!$A$3,"System Name",Table4[[#This Row],[Base System]])</f>
        <v>45.2</v>
      </c>
      <c r="L18" t="s">
        <v>851</v>
      </c>
      <c r="M18" t="str">
        <f>_xlfn.XLOOKUP(Table4[[#This Row],[Ext Finish]],Master_Table4[System Name],Master_Table4[System Name (Short)],FALSE)</f>
        <v>EPDComFiber</v>
      </c>
      <c r="N18" t="str">
        <f>_xlfn.XLOOKUP(Table4[[#This Row],[Ext Finish]],Master_Table4[System Name],Master_Table4[Compatible Systems],FALSE)</f>
        <v>LGS, Timber, ICF, SIP, Concrete Block</v>
      </c>
      <c r="O18" t="str">
        <f>IF(ISNUMBER(SEARCH(Table4[[#This Row],[MMC Method]],Table4[[#This Row],[Compatible Systems]])),"YES","NO")</f>
        <v>YES</v>
      </c>
      <c r="P18">
        <f>GETPIVOTDATA("Sum of A1-A3 Fossil kg CO2e/m^2 wall area",'COMPONENT PIVOT REF'!$I$3,"System Name",Table4[[#This Row],[Ext Finish]])</f>
        <v>22</v>
      </c>
      <c r="Q18">
        <f>GETPIVOTDATA("Sum of  R value (m^2-K/W)",'COMPONENT PIVOT REF'!$I$3,"System Name",Table4[[#This Row],[Ext Finish]])</f>
        <v>2.4699999999999998</v>
      </c>
      <c r="R18">
        <f>GETPIVOTDATA("Sum of Total Mass per m^2 (kg)",'COMPONENT PIVOT REF'!$I$3,"System Name",Table4[[#This Row],[Ext Finish]])</f>
        <v>0.16999999999999998</v>
      </c>
      <c r="S18" t="s">
        <v>854</v>
      </c>
      <c r="T18" t="str">
        <f>_xlfn.XLOOKUP(Table4[[#This Row],[Int Finish]],Master_Table6[System Name],Master_Table6[System Name (Short)],FALSE)</f>
        <v>GPlas</v>
      </c>
      <c r="U18">
        <f>GETPIVOTDATA("Sum of A1-A3 Fossil kg CO2e/m^2 wall area",'COMPONENT PIVOT REF'!$P$3,"System Name",Table4[[#This Row],[Int Finish]])</f>
        <v>3.839</v>
      </c>
      <c r="V18">
        <f>GETPIVOTDATA("Sum of  R value (m^2-K/W)",'COMPONENT PIVOT REF'!$P$3,"System Name",Table4[[#This Row],[Int Finish]])</f>
        <v>0.56578947368421051</v>
      </c>
      <c r="W18">
        <f>GETPIVOTDATA("Sum of Total Mass per m^2 (kg)",'COMPONENT PIVOT REF'!$P$3,"System Name",Table4[[#This Row],[Int Finish]])</f>
        <v>9.3850000000000016</v>
      </c>
      <c r="X18">
        <f>Table4[[#This Row],[Ext Finish GWP]]+Table4[[#This Row],[Base GWP]]+Table4[[#This Row],[Int Finish GWP]]</f>
        <v>50.539000000000001</v>
      </c>
      <c r="Y18">
        <f>Table4[[#This Row],[Ext Finish R Value]]+Table4[[#This Row],[Base R Value]]+Table4[[#This Row],[Int Finish R Value]]</f>
        <v>8.5913450292397666</v>
      </c>
      <c r="Z18">
        <f>1/Table4[[#This Row],[Total R value]]</f>
        <v>0.11639620997604007</v>
      </c>
      <c r="AA18">
        <f>Table4[[#This Row],[Int Finish Mass]]+Table4[[#This Row],[Ext Finish Mass]]+Table4[[#This Row],[Base Mass]]</f>
        <v>54.755000000000003</v>
      </c>
    </row>
    <row r="19" spans="3:27" x14ac:dyDescent="0.35">
      <c r="C19" t="str">
        <f>_xlfn.CONCAT(Table4[[#This Row],[System Name (Short)]],"_",Table4[[#This Row],[Ext Finish Name (Short)]],"_",Table4[[#This Row],[Int Finish Name (Short)]])</f>
        <v>RoadstoneEPDCBlk_LCASolBrick_GPlas</v>
      </c>
      <c r="D19" s="119" t="s">
        <v>841</v>
      </c>
      <c r="E19" t="str">
        <f>_xlfn.XLOOKUP(Table4[[#This Row],[Base System]],BASE_SYSTEM_TABLE[System Name],BASE_SYSTEM_TABLE[System Name (Short)],FALSE)</f>
        <v>RoadstoneEPDCBlk</v>
      </c>
      <c r="F19" t="str">
        <f>_xlfn.XLOOKUP(Table4[[#This Row],[Base System]],BASE_SYSTEM_TABLE[System Name],BASE_SYSTEM_TABLE[System Type],FALSE)</f>
        <v>Concrete Block</v>
      </c>
      <c r="G19" t="str">
        <f>_xlfn.XLOOKUP(Table4[[#This Row],[Base System]],BASE_SYSTEM_TABLE[System Name],BASE_SYSTEM_TABLE[System Subtype],FALSE)</f>
        <v>Traditional</v>
      </c>
      <c r="H19" t="str">
        <f>_xlfn.XLOOKUP(Table4[[#This Row],[Base System]],BASE_SYSTEM_TABLE[System Name],BASE_SYSTEM_TABLE[Construction Type (Framed or Planar)],FALSE)</f>
        <v>Planar</v>
      </c>
      <c r="I19">
        <f>GETPIVOTDATA("Sum of A1-A3 Fossil kg CO2e/m^2 wall area",'COMPONENT PIVOT REF'!$A$3,"System Name",Table4[[#This Row],[Base System]])</f>
        <v>34.02279166666667</v>
      </c>
      <c r="J19">
        <f>GETPIVOTDATA("Sum of  R value (m^2-K/W)",'COMPONENT PIVOT REF'!$A$3,"System Name",Table4[[#This Row],[Base System]])</f>
        <v>3.0540974025974026</v>
      </c>
      <c r="K19">
        <f>GETPIVOTDATA("Sum of Total Mass per m^2 (kg)",'COMPONENT PIVOT REF'!$A$3,"System Name",Table4[[#This Row],[Base System]])</f>
        <v>137.04599999999999</v>
      </c>
      <c r="L19" t="s">
        <v>853</v>
      </c>
      <c r="M19" t="str">
        <f>_xlfn.XLOOKUP(Table4[[#This Row],[Ext Finish]],Master_Table4[System Name],Master_Table4[System Name (Short)],FALSE)</f>
        <v>LCASolBrick</v>
      </c>
      <c r="N19" t="str">
        <f>_xlfn.XLOOKUP(Table4[[#This Row],[Ext Finish]],Master_Table4[System Name],Master_Table4[Compatible Systems],FALSE)</f>
        <v>LGS, Timber, ICF, SIP, Concrete Block</v>
      </c>
      <c r="O19" t="str">
        <f>IF(ISNUMBER(SEARCH(Table4[[#This Row],[MMC Method]],Table4[[#This Row],[Compatible Systems]])),"YES","NO")</f>
        <v>YES</v>
      </c>
      <c r="P19">
        <f>GETPIVOTDATA("Sum of A1-A3 Fossil kg CO2e/m^2 wall area",'COMPONENT PIVOT REF'!$I$3,"System Name",Table4[[#This Row],[Ext Finish]])</f>
        <v>47.384999999999998</v>
      </c>
      <c r="Q19">
        <f>GETPIVOTDATA("Sum of  R value (m^2-K/W)",'COMPONENT PIVOT REF'!$I$3,"System Name",Table4[[#This Row],[Ext Finish]])</f>
        <v>2.1298701298701297</v>
      </c>
      <c r="R19">
        <f>GETPIVOTDATA("Sum of Total Mass per m^2 (kg)",'COMPONENT PIVOT REF'!$I$3,"System Name",Table4[[#This Row],[Ext Finish]])</f>
        <v>231.17000000000002</v>
      </c>
      <c r="S19" t="s">
        <v>854</v>
      </c>
      <c r="T19" t="str">
        <f>_xlfn.XLOOKUP(Table4[[#This Row],[Int Finish]],Master_Table6[System Name],Master_Table6[System Name (Short)],FALSE)</f>
        <v>GPlas</v>
      </c>
      <c r="U19">
        <f>GETPIVOTDATA("Sum of A1-A3 Fossil kg CO2e/m^2 wall area",'COMPONENT PIVOT REF'!$P$3,"System Name",Table4[[#This Row],[Int Finish]])</f>
        <v>3.839</v>
      </c>
      <c r="V19">
        <f>GETPIVOTDATA("Sum of  R value (m^2-K/W)",'COMPONENT PIVOT REF'!$P$3,"System Name",Table4[[#This Row],[Int Finish]])</f>
        <v>0.56578947368421051</v>
      </c>
      <c r="W19">
        <f>GETPIVOTDATA("Sum of Total Mass per m^2 (kg)",'COMPONENT PIVOT REF'!$P$3,"System Name",Table4[[#This Row],[Int Finish]])</f>
        <v>9.3850000000000016</v>
      </c>
      <c r="X19">
        <f>Table4[[#This Row],[Ext Finish GWP]]+Table4[[#This Row],[Base GWP]]+Table4[[#This Row],[Int Finish GWP]]</f>
        <v>85.246791666666667</v>
      </c>
      <c r="Y19">
        <f>Table4[[#This Row],[Ext Finish R Value]]+Table4[[#This Row],[Base R Value]]+Table4[[#This Row],[Int Finish R Value]]</f>
        <v>5.7497570061517429</v>
      </c>
      <c r="Z19">
        <f>1/Table4[[#This Row],[Total R value]]</f>
        <v>0.17392039331924575</v>
      </c>
      <c r="AA19">
        <f>Table4[[#This Row],[Int Finish Mass]]+Table4[[#This Row],[Ext Finish Mass]]+Table4[[#This Row],[Base Mass]]</f>
        <v>377.601</v>
      </c>
    </row>
    <row r="20" spans="3:27" x14ac:dyDescent="0.35">
      <c r="C20" t="str">
        <f>_xlfn.CONCAT(Table4[[#This Row],[System Name (Short)]],"_",Table4[[#This Row],[Ext Finish Name (Short)]],"_",Table4[[#This Row],[Int Finish Name (Short)]])</f>
        <v>RoadstoneEPDCBlk_EPDSolBrick_GPlas</v>
      </c>
      <c r="D20" s="119" t="s">
        <v>841</v>
      </c>
      <c r="E20" t="str">
        <f>_xlfn.XLOOKUP(Table4[[#This Row],[Base System]],BASE_SYSTEM_TABLE[System Name],BASE_SYSTEM_TABLE[System Name (Short)],FALSE)</f>
        <v>RoadstoneEPDCBlk</v>
      </c>
      <c r="F20" t="str">
        <f>_xlfn.XLOOKUP(Table4[[#This Row],[Base System]],BASE_SYSTEM_TABLE[System Name],BASE_SYSTEM_TABLE[System Type],FALSE)</f>
        <v>Concrete Block</v>
      </c>
      <c r="G20" t="str">
        <f>_xlfn.XLOOKUP(Table4[[#This Row],[Base System]],BASE_SYSTEM_TABLE[System Name],BASE_SYSTEM_TABLE[System Subtype],FALSE)</f>
        <v>Traditional</v>
      </c>
      <c r="H20" t="str">
        <f>_xlfn.XLOOKUP(Table4[[#This Row],[Base System]],BASE_SYSTEM_TABLE[System Name],BASE_SYSTEM_TABLE[Construction Type (Framed or Planar)],FALSE)</f>
        <v>Planar</v>
      </c>
      <c r="I20">
        <f>GETPIVOTDATA("Sum of A1-A3 Fossil kg CO2e/m^2 wall area",'COMPONENT PIVOT REF'!$A$3,"System Name",Table4[[#This Row],[Base System]])</f>
        <v>34.02279166666667</v>
      </c>
      <c r="J20">
        <f>GETPIVOTDATA("Sum of  R value (m^2-K/W)",'COMPONENT PIVOT REF'!$A$3,"System Name",Table4[[#This Row],[Base System]])</f>
        <v>3.0540974025974026</v>
      </c>
      <c r="K20">
        <f>GETPIVOTDATA("Sum of Total Mass per m^2 (kg)",'COMPONENT PIVOT REF'!$A$3,"System Name",Table4[[#This Row],[Base System]])</f>
        <v>137.04599999999999</v>
      </c>
      <c r="L20" t="s">
        <v>852</v>
      </c>
      <c r="M20" t="str">
        <f>_xlfn.XLOOKUP(Table4[[#This Row],[Ext Finish]],Master_Table4[System Name],Master_Table4[System Name (Short)],FALSE)</f>
        <v>EPDSolBrick</v>
      </c>
      <c r="N20" t="str">
        <f>_xlfn.XLOOKUP(Table4[[#This Row],[Ext Finish]],Master_Table4[System Name],Master_Table4[Compatible Systems],FALSE)</f>
        <v>LGS, Timber, ICF, SIP, Concrete Block</v>
      </c>
      <c r="O20" t="str">
        <f>IF(ISNUMBER(SEARCH(Table4[[#This Row],[MMC Method]],Table4[[#This Row],[Compatible Systems]])),"YES","NO")</f>
        <v>YES</v>
      </c>
      <c r="P20">
        <f>GETPIVOTDATA("Sum of A1-A3 Fossil kg CO2e/m^2 wall area",'COMPONENT PIVOT REF'!$I$3,"System Name",Table4[[#This Row],[Ext Finish]])</f>
        <v>47.801724999999998</v>
      </c>
      <c r="Q20">
        <f>GETPIVOTDATA("Sum of  R value (m^2-K/W)",'COMPONENT PIVOT REF'!$I$3,"System Name",Table4[[#This Row],[Ext Finish]])</f>
        <v>2.1626984126984126</v>
      </c>
      <c r="R20">
        <f>GETPIVOTDATA("Sum of Total Mass per m^2 (kg)",'COMPONENT PIVOT REF'!$I$3,"System Name",Table4[[#This Row],[Ext Finish]])</f>
        <v>233.095</v>
      </c>
      <c r="S20" t="s">
        <v>854</v>
      </c>
      <c r="T20" t="str">
        <f>_xlfn.XLOOKUP(Table4[[#This Row],[Int Finish]],Master_Table6[System Name],Master_Table6[System Name (Short)],FALSE)</f>
        <v>GPlas</v>
      </c>
      <c r="U20">
        <f>GETPIVOTDATA("Sum of A1-A3 Fossil kg CO2e/m^2 wall area",'COMPONENT PIVOT REF'!$P$3,"System Name",Table4[[#This Row],[Int Finish]])</f>
        <v>3.839</v>
      </c>
      <c r="V20">
        <f>GETPIVOTDATA("Sum of  R value (m^2-K/W)",'COMPONENT PIVOT REF'!$P$3,"System Name",Table4[[#This Row],[Int Finish]])</f>
        <v>0.56578947368421051</v>
      </c>
      <c r="W20">
        <f>GETPIVOTDATA("Sum of Total Mass per m^2 (kg)",'COMPONENT PIVOT REF'!$P$3,"System Name",Table4[[#This Row],[Int Finish]])</f>
        <v>9.3850000000000016</v>
      </c>
      <c r="X20">
        <f>Table4[[#This Row],[Ext Finish GWP]]+Table4[[#This Row],[Base GWP]]+Table4[[#This Row],[Int Finish GWP]]</f>
        <v>85.663516666666666</v>
      </c>
      <c r="Y20">
        <f>Table4[[#This Row],[Ext Finish R Value]]+Table4[[#This Row],[Base R Value]]+Table4[[#This Row],[Int Finish R Value]]</f>
        <v>5.7825852889800258</v>
      </c>
      <c r="Z20">
        <f>1/Table4[[#This Row],[Total R value]]</f>
        <v>0.17293303082026606</v>
      </c>
      <c r="AA20">
        <f>Table4[[#This Row],[Int Finish Mass]]+Table4[[#This Row],[Ext Finish Mass]]+Table4[[#This Row],[Base Mass]]</f>
        <v>379.52599999999995</v>
      </c>
    </row>
    <row r="21" spans="3:27" x14ac:dyDescent="0.35">
      <c r="C21" t="str">
        <f>_xlfn.CONCAT(Table4[[#This Row],[System Name (Short)]],"_",Table4[[#This Row],[Ext Finish Name (Short)]],"_",Table4[[#This Row],[Int Finish Name (Short)]])</f>
        <v>RoadstoneEPDCBlk_EPDComFiber_GPlas</v>
      </c>
      <c r="D21" s="119" t="s">
        <v>841</v>
      </c>
      <c r="E21" t="str">
        <f>_xlfn.XLOOKUP(Table4[[#This Row],[Base System]],BASE_SYSTEM_TABLE[System Name],BASE_SYSTEM_TABLE[System Name (Short)],FALSE)</f>
        <v>RoadstoneEPDCBlk</v>
      </c>
      <c r="F21" t="str">
        <f>_xlfn.XLOOKUP(Table4[[#This Row],[Base System]],BASE_SYSTEM_TABLE[System Name],BASE_SYSTEM_TABLE[System Type],FALSE)</f>
        <v>Concrete Block</v>
      </c>
      <c r="G21" t="str">
        <f>_xlfn.XLOOKUP(Table4[[#This Row],[Base System]],BASE_SYSTEM_TABLE[System Name],BASE_SYSTEM_TABLE[System Subtype],FALSE)</f>
        <v>Traditional</v>
      </c>
      <c r="H21" t="str">
        <f>_xlfn.XLOOKUP(Table4[[#This Row],[Base System]],BASE_SYSTEM_TABLE[System Name],BASE_SYSTEM_TABLE[Construction Type (Framed or Planar)],FALSE)</f>
        <v>Planar</v>
      </c>
      <c r="I21">
        <f>GETPIVOTDATA("Sum of A1-A3 Fossil kg CO2e/m^2 wall area",'COMPONENT PIVOT REF'!$A$3,"System Name",Table4[[#This Row],[Base System]])</f>
        <v>34.02279166666667</v>
      </c>
      <c r="J21">
        <f>GETPIVOTDATA("Sum of  R value (m^2-K/W)",'COMPONENT PIVOT REF'!$A$3,"System Name",Table4[[#This Row],[Base System]])</f>
        <v>3.0540974025974026</v>
      </c>
      <c r="K21">
        <f>GETPIVOTDATA("Sum of Total Mass per m^2 (kg)",'COMPONENT PIVOT REF'!$A$3,"System Name",Table4[[#This Row],[Base System]])</f>
        <v>137.04599999999999</v>
      </c>
      <c r="L21" t="s">
        <v>851</v>
      </c>
      <c r="M21" t="str">
        <f>_xlfn.XLOOKUP(Table4[[#This Row],[Ext Finish]],Master_Table4[System Name],Master_Table4[System Name (Short)],FALSE)</f>
        <v>EPDComFiber</v>
      </c>
      <c r="N21" t="str">
        <f>_xlfn.XLOOKUP(Table4[[#This Row],[Ext Finish]],Master_Table4[System Name],Master_Table4[Compatible Systems],FALSE)</f>
        <v>LGS, Timber, ICF, SIP, Concrete Block</v>
      </c>
      <c r="O21" t="str">
        <f>IF(ISNUMBER(SEARCH(Table4[[#This Row],[MMC Method]],Table4[[#This Row],[Compatible Systems]])),"YES","NO")</f>
        <v>YES</v>
      </c>
      <c r="P21">
        <f>GETPIVOTDATA("Sum of A1-A3 Fossil kg CO2e/m^2 wall area",'COMPONENT PIVOT REF'!$I$3,"System Name",Table4[[#This Row],[Ext Finish]])</f>
        <v>22</v>
      </c>
      <c r="Q21">
        <f>GETPIVOTDATA("Sum of  R value (m^2-K/W)",'COMPONENT PIVOT REF'!$I$3,"System Name",Table4[[#This Row],[Ext Finish]])</f>
        <v>2.4699999999999998</v>
      </c>
      <c r="R21">
        <f>GETPIVOTDATA("Sum of Total Mass per m^2 (kg)",'COMPONENT PIVOT REF'!$I$3,"System Name",Table4[[#This Row],[Ext Finish]])</f>
        <v>0.16999999999999998</v>
      </c>
      <c r="S21" t="s">
        <v>854</v>
      </c>
      <c r="T21" t="str">
        <f>_xlfn.XLOOKUP(Table4[[#This Row],[Int Finish]],Master_Table6[System Name],Master_Table6[System Name (Short)],FALSE)</f>
        <v>GPlas</v>
      </c>
      <c r="U21">
        <f>GETPIVOTDATA("Sum of A1-A3 Fossil kg CO2e/m^2 wall area",'COMPONENT PIVOT REF'!$P$3,"System Name",Table4[[#This Row],[Int Finish]])</f>
        <v>3.839</v>
      </c>
      <c r="V21">
        <f>GETPIVOTDATA("Sum of  R value (m^2-K/W)",'COMPONENT PIVOT REF'!$P$3,"System Name",Table4[[#This Row],[Int Finish]])</f>
        <v>0.56578947368421051</v>
      </c>
      <c r="W21">
        <f>GETPIVOTDATA("Sum of Total Mass per m^2 (kg)",'COMPONENT PIVOT REF'!$P$3,"System Name",Table4[[#This Row],[Int Finish]])</f>
        <v>9.3850000000000016</v>
      </c>
      <c r="X21">
        <f>Table4[[#This Row],[Ext Finish GWP]]+Table4[[#This Row],[Base GWP]]+Table4[[#This Row],[Int Finish GWP]]</f>
        <v>59.861791666666669</v>
      </c>
      <c r="Y21">
        <f>Table4[[#This Row],[Ext Finish R Value]]+Table4[[#This Row],[Base R Value]]+Table4[[#This Row],[Int Finish R Value]]</f>
        <v>6.0898868762816125</v>
      </c>
      <c r="Z21">
        <f>1/Table4[[#This Row],[Total R value]]</f>
        <v>0.16420666267130796</v>
      </c>
      <c r="AA21">
        <f>Table4[[#This Row],[Int Finish Mass]]+Table4[[#This Row],[Ext Finish Mass]]+Table4[[#This Row],[Base Mass]]</f>
        <v>146.601</v>
      </c>
    </row>
    <row r="22" spans="3:27" x14ac:dyDescent="0.35">
      <c r="C22" t="str">
        <f>_xlfn.CONCAT(Table4[[#This Row],[System Name (Short)]],"_",Table4[[#This Row],[Ext Finish Name (Short)]],"_",Table4[[#This Row],[Int Finish Name (Short)]])</f>
        <v>NZEPDSIP_LCASolBrick_GPlas</v>
      </c>
      <c r="D22" s="119" t="s">
        <v>840</v>
      </c>
      <c r="E22" t="str">
        <f>_xlfn.XLOOKUP(Table4[[#This Row],[Base System]],BASE_SYSTEM_TABLE[System Name],BASE_SYSTEM_TABLE[System Name (Short)],FALSE)</f>
        <v>NZEPDSIP</v>
      </c>
      <c r="F22" t="str">
        <f>_xlfn.XLOOKUP(Table4[[#This Row],[Base System]],BASE_SYSTEM_TABLE[System Name],BASE_SYSTEM_TABLE[System Type],FALSE)</f>
        <v>SIP</v>
      </c>
      <c r="G22" t="str">
        <f>_xlfn.XLOOKUP(Table4[[#This Row],[Base System]],BASE_SYSTEM_TABLE[System Name],BASE_SYSTEM_TABLE[System Subtype],FALSE)</f>
        <v xml:space="preserve">Closed </v>
      </c>
      <c r="H22" t="str">
        <f>_xlfn.XLOOKUP(Table4[[#This Row],[Base System]],BASE_SYSTEM_TABLE[System Name],BASE_SYSTEM_TABLE[Construction Type (Framed or Planar)],FALSE)</f>
        <v>Planar</v>
      </c>
      <c r="I22">
        <f>GETPIVOTDATA("Sum of A1-A3 Fossil kg CO2e/m^2 wall area",'COMPONENT PIVOT REF'!$A$3,"System Name",Table4[[#This Row],[Base System]])</f>
        <v>40.252291666666665</v>
      </c>
      <c r="J22">
        <f>GETPIVOTDATA("Sum of  R value (m^2-K/W)",'COMPONENT PIVOT REF'!$A$3,"System Name",Table4[[#This Row],[Base System]])</f>
        <v>4.5015000000000001</v>
      </c>
      <c r="K22">
        <f>GETPIVOTDATA("Sum of Total Mass per m^2 (kg)",'COMPONENT PIVOT REF'!$A$3,"System Name",Table4[[#This Row],[Base System]])</f>
        <v>24.045999999999999</v>
      </c>
      <c r="L22" t="s">
        <v>853</v>
      </c>
      <c r="M22" t="str">
        <f>_xlfn.XLOOKUP(Table4[[#This Row],[Ext Finish]],Master_Table4[System Name],Master_Table4[System Name (Short)],FALSE)</f>
        <v>LCASolBrick</v>
      </c>
      <c r="N22" t="str">
        <f>_xlfn.XLOOKUP(Table4[[#This Row],[Ext Finish]],Master_Table4[System Name],Master_Table4[Compatible Systems],FALSE)</f>
        <v>LGS, Timber, ICF, SIP, Concrete Block</v>
      </c>
      <c r="O22" t="str">
        <f>IF(ISNUMBER(SEARCH(Table4[[#This Row],[MMC Method]],Table4[[#This Row],[Compatible Systems]])),"YES","NO")</f>
        <v>YES</v>
      </c>
      <c r="P22">
        <f>GETPIVOTDATA("Sum of A1-A3 Fossil kg CO2e/m^2 wall area",'COMPONENT PIVOT REF'!$I$3,"System Name",Table4[[#This Row],[Ext Finish]])</f>
        <v>47.384999999999998</v>
      </c>
      <c r="Q22">
        <f>GETPIVOTDATA("Sum of  R value (m^2-K/W)",'COMPONENT PIVOT REF'!$I$3,"System Name",Table4[[#This Row],[Ext Finish]])</f>
        <v>2.1298701298701297</v>
      </c>
      <c r="R22">
        <f>GETPIVOTDATA("Sum of Total Mass per m^2 (kg)",'COMPONENT PIVOT REF'!$I$3,"System Name",Table4[[#This Row],[Ext Finish]])</f>
        <v>231.17000000000002</v>
      </c>
      <c r="S22" t="s">
        <v>854</v>
      </c>
      <c r="T22" t="str">
        <f>_xlfn.XLOOKUP(Table4[[#This Row],[Int Finish]],Master_Table6[System Name],Master_Table6[System Name (Short)],FALSE)</f>
        <v>GPlas</v>
      </c>
      <c r="U22">
        <f>GETPIVOTDATA("Sum of A1-A3 Fossil kg CO2e/m^2 wall area",'COMPONENT PIVOT REF'!$P$3,"System Name",Table4[[#This Row],[Int Finish]])</f>
        <v>3.839</v>
      </c>
      <c r="V22">
        <f>GETPIVOTDATA("Sum of  R value (m^2-K/W)",'COMPONENT PIVOT REF'!$P$3,"System Name",Table4[[#This Row],[Int Finish]])</f>
        <v>0.56578947368421051</v>
      </c>
      <c r="W22">
        <f>GETPIVOTDATA("Sum of Total Mass per m^2 (kg)",'COMPONENT PIVOT REF'!$P$3,"System Name",Table4[[#This Row],[Int Finish]])</f>
        <v>9.3850000000000016</v>
      </c>
      <c r="X22">
        <f>Table4[[#This Row],[Ext Finish GWP]]+Table4[[#This Row],[Base GWP]]+Table4[[#This Row],[Int Finish GWP]]</f>
        <v>91.476291666666668</v>
      </c>
      <c r="Y22">
        <f>Table4[[#This Row],[Ext Finish R Value]]+Table4[[#This Row],[Base R Value]]+Table4[[#This Row],[Int Finish R Value]]</f>
        <v>7.1971596035543399</v>
      </c>
      <c r="Z22">
        <f>1/Table4[[#This Row],[Total R value]]</f>
        <v>0.13894370211078089</v>
      </c>
      <c r="AA22">
        <f>Table4[[#This Row],[Int Finish Mass]]+Table4[[#This Row],[Ext Finish Mass]]+Table4[[#This Row],[Base Mass]]</f>
        <v>264.601</v>
      </c>
    </row>
    <row r="23" spans="3:27" x14ac:dyDescent="0.35">
      <c r="C23" t="str">
        <f>_xlfn.CONCAT(Table4[[#This Row],[System Name (Short)]],"_",Table4[[#This Row],[Ext Finish Name (Short)]],"_",Table4[[#This Row],[Int Finish Name (Short)]])</f>
        <v>NZEPDSIP_EPDSolBrick_GPlas</v>
      </c>
      <c r="D23" s="119" t="s">
        <v>840</v>
      </c>
      <c r="E23" t="str">
        <f>_xlfn.XLOOKUP(Table4[[#This Row],[Base System]],BASE_SYSTEM_TABLE[System Name],BASE_SYSTEM_TABLE[System Name (Short)],FALSE)</f>
        <v>NZEPDSIP</v>
      </c>
      <c r="F23" t="str">
        <f>_xlfn.XLOOKUP(Table4[[#This Row],[Base System]],BASE_SYSTEM_TABLE[System Name],BASE_SYSTEM_TABLE[System Type],FALSE)</f>
        <v>SIP</v>
      </c>
      <c r="G23" t="str">
        <f>_xlfn.XLOOKUP(Table4[[#This Row],[Base System]],BASE_SYSTEM_TABLE[System Name],BASE_SYSTEM_TABLE[System Subtype],FALSE)</f>
        <v xml:space="preserve">Closed </v>
      </c>
      <c r="H23" t="str">
        <f>_xlfn.XLOOKUP(Table4[[#This Row],[Base System]],BASE_SYSTEM_TABLE[System Name],BASE_SYSTEM_TABLE[Construction Type (Framed or Planar)],FALSE)</f>
        <v>Planar</v>
      </c>
      <c r="I23">
        <f>GETPIVOTDATA("Sum of A1-A3 Fossil kg CO2e/m^2 wall area",'COMPONENT PIVOT REF'!$A$3,"System Name",Table4[[#This Row],[Base System]])</f>
        <v>40.252291666666665</v>
      </c>
      <c r="J23">
        <f>GETPIVOTDATA("Sum of  R value (m^2-K/W)",'COMPONENT PIVOT REF'!$A$3,"System Name",Table4[[#This Row],[Base System]])</f>
        <v>4.5015000000000001</v>
      </c>
      <c r="K23">
        <f>GETPIVOTDATA("Sum of Total Mass per m^2 (kg)",'COMPONENT PIVOT REF'!$A$3,"System Name",Table4[[#This Row],[Base System]])</f>
        <v>24.045999999999999</v>
      </c>
      <c r="L23" t="s">
        <v>852</v>
      </c>
      <c r="M23" t="str">
        <f>_xlfn.XLOOKUP(Table4[[#This Row],[Ext Finish]],Master_Table4[System Name],Master_Table4[System Name (Short)],FALSE)</f>
        <v>EPDSolBrick</v>
      </c>
      <c r="N23" t="str">
        <f>_xlfn.XLOOKUP(Table4[[#This Row],[Ext Finish]],Master_Table4[System Name],Master_Table4[Compatible Systems],FALSE)</f>
        <v>LGS, Timber, ICF, SIP, Concrete Block</v>
      </c>
      <c r="O23" t="str">
        <f>IF(ISNUMBER(SEARCH(Table4[[#This Row],[MMC Method]],Table4[[#This Row],[Compatible Systems]])),"YES","NO")</f>
        <v>YES</v>
      </c>
      <c r="P23">
        <f>GETPIVOTDATA("Sum of A1-A3 Fossil kg CO2e/m^2 wall area",'COMPONENT PIVOT REF'!$I$3,"System Name",Table4[[#This Row],[Ext Finish]])</f>
        <v>47.801724999999998</v>
      </c>
      <c r="Q23">
        <f>GETPIVOTDATA("Sum of  R value (m^2-K/W)",'COMPONENT PIVOT REF'!$I$3,"System Name",Table4[[#This Row],[Ext Finish]])</f>
        <v>2.1626984126984126</v>
      </c>
      <c r="R23">
        <f>GETPIVOTDATA("Sum of Total Mass per m^2 (kg)",'COMPONENT PIVOT REF'!$I$3,"System Name",Table4[[#This Row],[Ext Finish]])</f>
        <v>233.095</v>
      </c>
      <c r="S23" t="s">
        <v>854</v>
      </c>
      <c r="T23" t="str">
        <f>_xlfn.XLOOKUP(Table4[[#This Row],[Int Finish]],Master_Table6[System Name],Master_Table6[System Name (Short)],FALSE)</f>
        <v>GPlas</v>
      </c>
      <c r="U23">
        <f>GETPIVOTDATA("Sum of A1-A3 Fossil kg CO2e/m^2 wall area",'COMPONENT PIVOT REF'!$P$3,"System Name",Table4[[#This Row],[Int Finish]])</f>
        <v>3.839</v>
      </c>
      <c r="V23">
        <f>GETPIVOTDATA("Sum of  R value (m^2-K/W)",'COMPONENT PIVOT REF'!$P$3,"System Name",Table4[[#This Row],[Int Finish]])</f>
        <v>0.56578947368421051</v>
      </c>
      <c r="W23">
        <f>GETPIVOTDATA("Sum of Total Mass per m^2 (kg)",'COMPONENT PIVOT REF'!$P$3,"System Name",Table4[[#This Row],[Int Finish]])</f>
        <v>9.3850000000000016</v>
      </c>
      <c r="X23">
        <f>Table4[[#This Row],[Ext Finish GWP]]+Table4[[#This Row],[Base GWP]]+Table4[[#This Row],[Int Finish GWP]]</f>
        <v>91.893016666666654</v>
      </c>
      <c r="Y23">
        <f>Table4[[#This Row],[Ext Finish R Value]]+Table4[[#This Row],[Base R Value]]+Table4[[#This Row],[Int Finish R Value]]</f>
        <v>7.2299878863826237</v>
      </c>
      <c r="Z23">
        <f>1/Table4[[#This Row],[Total R value]]</f>
        <v>0.13831281818375626</v>
      </c>
      <c r="AA23">
        <f>Table4[[#This Row],[Int Finish Mass]]+Table4[[#This Row],[Ext Finish Mass]]+Table4[[#This Row],[Base Mass]]</f>
        <v>266.52600000000001</v>
      </c>
    </row>
    <row r="24" spans="3:27" x14ac:dyDescent="0.35">
      <c r="C24" t="str">
        <f>_xlfn.CONCAT(Table4[[#This Row],[System Name (Short)]],"_",Table4[[#This Row],[Ext Finish Name (Short)]],"_",Table4[[#This Row],[Int Finish Name (Short)]])</f>
        <v>NZEPDSIP_EPDComFiber_GPlas</v>
      </c>
      <c r="D24" s="119" t="s">
        <v>840</v>
      </c>
      <c r="E24" t="str">
        <f>_xlfn.XLOOKUP(Table4[[#This Row],[Base System]],BASE_SYSTEM_TABLE[System Name],BASE_SYSTEM_TABLE[System Name (Short)],FALSE)</f>
        <v>NZEPDSIP</v>
      </c>
      <c r="F24" t="str">
        <f>_xlfn.XLOOKUP(Table4[[#This Row],[Base System]],BASE_SYSTEM_TABLE[System Name],BASE_SYSTEM_TABLE[System Type],FALSE)</f>
        <v>SIP</v>
      </c>
      <c r="G24" t="str">
        <f>_xlfn.XLOOKUP(Table4[[#This Row],[Base System]],BASE_SYSTEM_TABLE[System Name],BASE_SYSTEM_TABLE[System Subtype],FALSE)</f>
        <v xml:space="preserve">Closed </v>
      </c>
      <c r="H24" t="str">
        <f>_xlfn.XLOOKUP(Table4[[#This Row],[Base System]],BASE_SYSTEM_TABLE[System Name],BASE_SYSTEM_TABLE[Construction Type (Framed or Planar)],FALSE)</f>
        <v>Planar</v>
      </c>
      <c r="I24">
        <f>GETPIVOTDATA("Sum of A1-A3 Fossil kg CO2e/m^2 wall area",'COMPONENT PIVOT REF'!$A$3,"System Name",Table4[[#This Row],[Base System]])</f>
        <v>40.252291666666665</v>
      </c>
      <c r="J24">
        <f>GETPIVOTDATA("Sum of  R value (m^2-K/W)",'COMPONENT PIVOT REF'!$A$3,"System Name",Table4[[#This Row],[Base System]])</f>
        <v>4.5015000000000001</v>
      </c>
      <c r="K24">
        <f>GETPIVOTDATA("Sum of Total Mass per m^2 (kg)",'COMPONENT PIVOT REF'!$A$3,"System Name",Table4[[#This Row],[Base System]])</f>
        <v>24.045999999999999</v>
      </c>
      <c r="L24" t="s">
        <v>851</v>
      </c>
      <c r="M24" t="str">
        <f>_xlfn.XLOOKUP(Table4[[#This Row],[Ext Finish]],Master_Table4[System Name],Master_Table4[System Name (Short)],FALSE)</f>
        <v>EPDComFiber</v>
      </c>
      <c r="N24" t="str">
        <f>_xlfn.XLOOKUP(Table4[[#This Row],[Ext Finish]],Master_Table4[System Name],Master_Table4[Compatible Systems],FALSE)</f>
        <v>LGS, Timber, ICF, SIP, Concrete Block</v>
      </c>
      <c r="O24" t="str">
        <f>IF(ISNUMBER(SEARCH(Table4[[#This Row],[MMC Method]],Table4[[#This Row],[Compatible Systems]])),"YES","NO")</f>
        <v>YES</v>
      </c>
      <c r="P24">
        <f>GETPIVOTDATA("Sum of A1-A3 Fossil kg CO2e/m^2 wall area",'COMPONENT PIVOT REF'!$I$3,"System Name",Table4[[#This Row],[Ext Finish]])</f>
        <v>22</v>
      </c>
      <c r="Q24">
        <f>GETPIVOTDATA("Sum of  R value (m^2-K/W)",'COMPONENT PIVOT REF'!$I$3,"System Name",Table4[[#This Row],[Ext Finish]])</f>
        <v>2.4699999999999998</v>
      </c>
      <c r="R24">
        <f>GETPIVOTDATA("Sum of Total Mass per m^2 (kg)",'COMPONENT PIVOT REF'!$I$3,"System Name",Table4[[#This Row],[Ext Finish]])</f>
        <v>0.16999999999999998</v>
      </c>
      <c r="S24" t="s">
        <v>854</v>
      </c>
      <c r="T24" t="str">
        <f>_xlfn.XLOOKUP(Table4[[#This Row],[Int Finish]],Master_Table6[System Name],Master_Table6[System Name (Short)],FALSE)</f>
        <v>GPlas</v>
      </c>
      <c r="U24">
        <f>GETPIVOTDATA("Sum of A1-A3 Fossil kg CO2e/m^2 wall area",'COMPONENT PIVOT REF'!$P$3,"System Name",Table4[[#This Row],[Int Finish]])</f>
        <v>3.839</v>
      </c>
      <c r="V24">
        <f>GETPIVOTDATA("Sum of  R value (m^2-K/W)",'COMPONENT PIVOT REF'!$P$3,"System Name",Table4[[#This Row],[Int Finish]])</f>
        <v>0.56578947368421051</v>
      </c>
      <c r="W24">
        <f>GETPIVOTDATA("Sum of Total Mass per m^2 (kg)",'COMPONENT PIVOT REF'!$P$3,"System Name",Table4[[#This Row],[Int Finish]])</f>
        <v>9.3850000000000016</v>
      </c>
      <c r="X24">
        <f>Table4[[#This Row],[Ext Finish GWP]]+Table4[[#This Row],[Base GWP]]+Table4[[#This Row],[Int Finish GWP]]</f>
        <v>66.091291666666663</v>
      </c>
      <c r="Y24">
        <f>Table4[[#This Row],[Ext Finish R Value]]+Table4[[#This Row],[Base R Value]]+Table4[[#This Row],[Int Finish R Value]]</f>
        <v>7.5372894736842104</v>
      </c>
      <c r="Z24">
        <f>1/Table4[[#This Row],[Total R value]]</f>
        <v>0.13267368906175261</v>
      </c>
      <c r="AA24">
        <f>Table4[[#This Row],[Int Finish Mass]]+Table4[[#This Row],[Ext Finish Mass]]+Table4[[#This Row],[Base Mass]]</f>
        <v>33.600999999999999</v>
      </c>
    </row>
    <row r="25" spans="3:27" x14ac:dyDescent="0.35">
      <c r="C25" t="str">
        <f>_xlfn.CONCAT(Table4[[#This Row],[System Name (Short)]],"_",Table4[[#This Row],[Ext Finish Name (Short)]],"_",Table4[[#This Row],[Int Finish Name (Short)]])</f>
        <v>NudEPDICF_LCASolBrick_GPlas</v>
      </c>
      <c r="D25" s="119" t="s">
        <v>839</v>
      </c>
      <c r="E25" t="str">
        <f>_xlfn.XLOOKUP(Table4[[#This Row],[Base System]],BASE_SYSTEM_TABLE[System Name],BASE_SYSTEM_TABLE[System Name (Short)],FALSE)</f>
        <v>NudEPDICF</v>
      </c>
      <c r="F25" t="str">
        <f>_xlfn.XLOOKUP(Table4[[#This Row],[Base System]],BASE_SYSTEM_TABLE[System Name],BASE_SYSTEM_TABLE[System Type],FALSE)</f>
        <v>ICF</v>
      </c>
      <c r="G25" t="str">
        <f>_xlfn.XLOOKUP(Table4[[#This Row],[Base System]],BASE_SYSTEM_TABLE[System Name],BASE_SYSTEM_TABLE[System Subtype],FALSE)</f>
        <v>Formed Concrete</v>
      </c>
      <c r="H25" t="str">
        <f>_xlfn.XLOOKUP(Table4[[#This Row],[Base System]],BASE_SYSTEM_TABLE[System Name],BASE_SYSTEM_TABLE[Construction Type (Framed or Planar)],FALSE)</f>
        <v>Planar</v>
      </c>
      <c r="I25">
        <f>GETPIVOTDATA("Sum of A1-A3 Fossil kg CO2e/m^2 wall area",'COMPONENT PIVOT REF'!$A$3,"System Name",Table4[[#This Row],[Base System]])</f>
        <v>62.455284534534528</v>
      </c>
      <c r="J25">
        <f>GETPIVOTDATA("Sum of  R value (m^2-K/W)",'COMPONENT PIVOT REF'!$A$3,"System Name",Table4[[#This Row],[Base System]])</f>
        <v>4.3779705882352946</v>
      </c>
      <c r="K25">
        <f>GETPIVOTDATA("Sum of Total Mass per m^2 (kg)",'COMPONENT PIVOT REF'!$A$3,"System Name",Table4[[#This Row],[Base System]])</f>
        <v>368.01900000000001</v>
      </c>
      <c r="L25" t="s">
        <v>853</v>
      </c>
      <c r="M25" t="str">
        <f>_xlfn.XLOOKUP(Table4[[#This Row],[Ext Finish]],Master_Table4[System Name],Master_Table4[System Name (Short)],FALSE)</f>
        <v>LCASolBrick</v>
      </c>
      <c r="N25" t="str">
        <f>_xlfn.XLOOKUP(Table4[[#This Row],[Ext Finish]],Master_Table4[System Name],Master_Table4[Compatible Systems],FALSE)</f>
        <v>LGS, Timber, ICF, SIP, Concrete Block</v>
      </c>
      <c r="O25" t="str">
        <f>IF(ISNUMBER(SEARCH(Table4[[#This Row],[MMC Method]],Table4[[#This Row],[Compatible Systems]])),"YES","NO")</f>
        <v>YES</v>
      </c>
      <c r="P25">
        <f>GETPIVOTDATA("Sum of A1-A3 Fossil kg CO2e/m^2 wall area",'COMPONENT PIVOT REF'!$I$3,"System Name",Table4[[#This Row],[Ext Finish]])</f>
        <v>47.384999999999998</v>
      </c>
      <c r="Q25">
        <f>GETPIVOTDATA("Sum of  R value (m^2-K/W)",'COMPONENT PIVOT REF'!$I$3,"System Name",Table4[[#This Row],[Ext Finish]])</f>
        <v>2.1298701298701297</v>
      </c>
      <c r="R25">
        <f>GETPIVOTDATA("Sum of Total Mass per m^2 (kg)",'COMPONENT PIVOT REF'!$I$3,"System Name",Table4[[#This Row],[Ext Finish]])</f>
        <v>231.17000000000002</v>
      </c>
      <c r="S25" t="s">
        <v>854</v>
      </c>
      <c r="T25" t="str">
        <f>_xlfn.XLOOKUP(Table4[[#This Row],[Int Finish]],Master_Table6[System Name],Master_Table6[System Name (Short)],FALSE)</f>
        <v>GPlas</v>
      </c>
      <c r="U25">
        <f>GETPIVOTDATA("Sum of A1-A3 Fossil kg CO2e/m^2 wall area",'COMPONENT PIVOT REF'!$P$3,"System Name",Table4[[#This Row],[Int Finish]])</f>
        <v>3.839</v>
      </c>
      <c r="V25">
        <f>GETPIVOTDATA("Sum of  R value (m^2-K/W)",'COMPONENT PIVOT REF'!$P$3,"System Name",Table4[[#This Row],[Int Finish]])</f>
        <v>0.56578947368421051</v>
      </c>
      <c r="W25">
        <f>GETPIVOTDATA("Sum of Total Mass per m^2 (kg)",'COMPONENT PIVOT REF'!$P$3,"System Name",Table4[[#This Row],[Int Finish]])</f>
        <v>9.3850000000000016</v>
      </c>
      <c r="X25">
        <f>Table4[[#This Row],[Ext Finish GWP]]+Table4[[#This Row],[Base GWP]]+Table4[[#This Row],[Int Finish GWP]]</f>
        <v>113.67928453453453</v>
      </c>
      <c r="Y25">
        <f>Table4[[#This Row],[Ext Finish R Value]]+Table4[[#This Row],[Base R Value]]+Table4[[#This Row],[Int Finish R Value]]</f>
        <v>7.0736301917896345</v>
      </c>
      <c r="Z25">
        <f>1/Table4[[#This Row],[Total R value]]</f>
        <v>0.14137012720296013</v>
      </c>
      <c r="AA25">
        <f>Table4[[#This Row],[Int Finish Mass]]+Table4[[#This Row],[Ext Finish Mass]]+Table4[[#This Row],[Base Mass]]</f>
        <v>608.57400000000007</v>
      </c>
    </row>
    <row r="26" spans="3:27" x14ac:dyDescent="0.35">
      <c r="C26" t="str">
        <f>_xlfn.CONCAT(Table4[[#This Row],[System Name (Short)]],"_",Table4[[#This Row],[Ext Finish Name (Short)]],"_",Table4[[#This Row],[Int Finish Name (Short)]])</f>
        <v>NudEPDICF_EPDSolBrick_GPlas</v>
      </c>
      <c r="D26" s="119" t="s">
        <v>839</v>
      </c>
      <c r="E26" t="str">
        <f>_xlfn.XLOOKUP(Table4[[#This Row],[Base System]],BASE_SYSTEM_TABLE[System Name],BASE_SYSTEM_TABLE[System Name (Short)],FALSE)</f>
        <v>NudEPDICF</v>
      </c>
      <c r="F26" t="str">
        <f>_xlfn.XLOOKUP(Table4[[#This Row],[Base System]],BASE_SYSTEM_TABLE[System Name],BASE_SYSTEM_TABLE[System Type],FALSE)</f>
        <v>ICF</v>
      </c>
      <c r="G26" t="str">
        <f>_xlfn.XLOOKUP(Table4[[#This Row],[Base System]],BASE_SYSTEM_TABLE[System Name],BASE_SYSTEM_TABLE[System Subtype],FALSE)</f>
        <v>Formed Concrete</v>
      </c>
      <c r="H26" t="str">
        <f>_xlfn.XLOOKUP(Table4[[#This Row],[Base System]],BASE_SYSTEM_TABLE[System Name],BASE_SYSTEM_TABLE[Construction Type (Framed or Planar)],FALSE)</f>
        <v>Planar</v>
      </c>
      <c r="I26">
        <f>GETPIVOTDATA("Sum of A1-A3 Fossil kg CO2e/m^2 wall area",'COMPONENT PIVOT REF'!$A$3,"System Name",Table4[[#This Row],[Base System]])</f>
        <v>62.455284534534528</v>
      </c>
      <c r="J26">
        <f>GETPIVOTDATA("Sum of  R value (m^2-K/W)",'COMPONENT PIVOT REF'!$A$3,"System Name",Table4[[#This Row],[Base System]])</f>
        <v>4.3779705882352946</v>
      </c>
      <c r="K26">
        <f>GETPIVOTDATA("Sum of Total Mass per m^2 (kg)",'COMPONENT PIVOT REF'!$A$3,"System Name",Table4[[#This Row],[Base System]])</f>
        <v>368.01900000000001</v>
      </c>
      <c r="L26" t="s">
        <v>852</v>
      </c>
      <c r="M26" t="str">
        <f>_xlfn.XLOOKUP(Table4[[#This Row],[Ext Finish]],Master_Table4[System Name],Master_Table4[System Name (Short)],FALSE)</f>
        <v>EPDSolBrick</v>
      </c>
      <c r="N26" t="str">
        <f>_xlfn.XLOOKUP(Table4[[#This Row],[Ext Finish]],Master_Table4[System Name],Master_Table4[Compatible Systems],FALSE)</f>
        <v>LGS, Timber, ICF, SIP, Concrete Block</v>
      </c>
      <c r="O26" t="str">
        <f>IF(ISNUMBER(SEARCH(Table4[[#This Row],[MMC Method]],Table4[[#This Row],[Compatible Systems]])),"YES","NO")</f>
        <v>YES</v>
      </c>
      <c r="P26">
        <f>GETPIVOTDATA("Sum of A1-A3 Fossil kg CO2e/m^2 wall area",'COMPONENT PIVOT REF'!$I$3,"System Name",Table4[[#This Row],[Ext Finish]])</f>
        <v>47.801724999999998</v>
      </c>
      <c r="Q26">
        <f>GETPIVOTDATA("Sum of  R value (m^2-K/W)",'COMPONENT PIVOT REF'!$I$3,"System Name",Table4[[#This Row],[Ext Finish]])</f>
        <v>2.1626984126984126</v>
      </c>
      <c r="R26">
        <f>GETPIVOTDATA("Sum of Total Mass per m^2 (kg)",'COMPONENT PIVOT REF'!$I$3,"System Name",Table4[[#This Row],[Ext Finish]])</f>
        <v>233.095</v>
      </c>
      <c r="S26" t="s">
        <v>854</v>
      </c>
      <c r="T26" t="str">
        <f>_xlfn.XLOOKUP(Table4[[#This Row],[Int Finish]],Master_Table6[System Name],Master_Table6[System Name (Short)],FALSE)</f>
        <v>GPlas</v>
      </c>
      <c r="U26">
        <f>GETPIVOTDATA("Sum of A1-A3 Fossil kg CO2e/m^2 wall area",'COMPONENT PIVOT REF'!$P$3,"System Name",Table4[[#This Row],[Int Finish]])</f>
        <v>3.839</v>
      </c>
      <c r="V26">
        <f>GETPIVOTDATA("Sum of  R value (m^2-K/W)",'COMPONENT PIVOT REF'!$P$3,"System Name",Table4[[#This Row],[Int Finish]])</f>
        <v>0.56578947368421051</v>
      </c>
      <c r="W26">
        <f>GETPIVOTDATA("Sum of Total Mass per m^2 (kg)",'COMPONENT PIVOT REF'!$P$3,"System Name",Table4[[#This Row],[Int Finish]])</f>
        <v>9.3850000000000016</v>
      </c>
      <c r="X26">
        <f>Table4[[#This Row],[Ext Finish GWP]]+Table4[[#This Row],[Base GWP]]+Table4[[#This Row],[Int Finish GWP]]</f>
        <v>114.09600953453452</v>
      </c>
      <c r="Y26">
        <f>Table4[[#This Row],[Ext Finish R Value]]+Table4[[#This Row],[Base R Value]]+Table4[[#This Row],[Int Finish R Value]]</f>
        <v>7.1064584746179182</v>
      </c>
      <c r="Z26">
        <f>1/Table4[[#This Row],[Total R value]]</f>
        <v>0.14071706794202657</v>
      </c>
      <c r="AA26">
        <f>Table4[[#This Row],[Int Finish Mass]]+Table4[[#This Row],[Ext Finish Mass]]+Table4[[#This Row],[Base Mass]]</f>
        <v>610.49900000000002</v>
      </c>
    </row>
    <row r="27" spans="3:27" x14ac:dyDescent="0.35">
      <c r="C27" t="str">
        <f>_xlfn.CONCAT(Table4[[#This Row],[System Name (Short)]],"_",Table4[[#This Row],[Ext Finish Name (Short)]],"_",Table4[[#This Row],[Int Finish Name (Short)]])</f>
        <v>NudEPDICF_EPDComFiber_GPlas</v>
      </c>
      <c r="D27" s="119" t="s">
        <v>839</v>
      </c>
      <c r="E27" t="str">
        <f>_xlfn.XLOOKUP(Table4[[#This Row],[Base System]],BASE_SYSTEM_TABLE[System Name],BASE_SYSTEM_TABLE[System Name (Short)],FALSE)</f>
        <v>NudEPDICF</v>
      </c>
      <c r="F27" t="str">
        <f>_xlfn.XLOOKUP(Table4[[#This Row],[Base System]],BASE_SYSTEM_TABLE[System Name],BASE_SYSTEM_TABLE[System Type],FALSE)</f>
        <v>ICF</v>
      </c>
      <c r="G27" t="str">
        <f>_xlfn.XLOOKUP(Table4[[#This Row],[Base System]],BASE_SYSTEM_TABLE[System Name],BASE_SYSTEM_TABLE[System Subtype],FALSE)</f>
        <v>Formed Concrete</v>
      </c>
      <c r="H27" t="str">
        <f>_xlfn.XLOOKUP(Table4[[#This Row],[Base System]],BASE_SYSTEM_TABLE[System Name],BASE_SYSTEM_TABLE[Construction Type (Framed or Planar)],FALSE)</f>
        <v>Planar</v>
      </c>
      <c r="I27">
        <f>GETPIVOTDATA("Sum of A1-A3 Fossil kg CO2e/m^2 wall area",'COMPONENT PIVOT REF'!$A$3,"System Name",Table4[[#This Row],[Base System]])</f>
        <v>62.455284534534528</v>
      </c>
      <c r="J27">
        <f>GETPIVOTDATA("Sum of  R value (m^2-K/W)",'COMPONENT PIVOT REF'!$A$3,"System Name",Table4[[#This Row],[Base System]])</f>
        <v>4.3779705882352946</v>
      </c>
      <c r="K27">
        <f>GETPIVOTDATA("Sum of Total Mass per m^2 (kg)",'COMPONENT PIVOT REF'!$A$3,"System Name",Table4[[#This Row],[Base System]])</f>
        <v>368.01900000000001</v>
      </c>
      <c r="L27" t="s">
        <v>851</v>
      </c>
      <c r="M27" t="str">
        <f>_xlfn.XLOOKUP(Table4[[#This Row],[Ext Finish]],Master_Table4[System Name],Master_Table4[System Name (Short)],FALSE)</f>
        <v>EPDComFiber</v>
      </c>
      <c r="N27" t="str">
        <f>_xlfn.XLOOKUP(Table4[[#This Row],[Ext Finish]],Master_Table4[System Name],Master_Table4[Compatible Systems],FALSE)</f>
        <v>LGS, Timber, ICF, SIP, Concrete Block</v>
      </c>
      <c r="O27" t="str">
        <f>IF(ISNUMBER(SEARCH(Table4[[#This Row],[MMC Method]],Table4[[#This Row],[Compatible Systems]])),"YES","NO")</f>
        <v>YES</v>
      </c>
      <c r="P27">
        <f>GETPIVOTDATA("Sum of A1-A3 Fossil kg CO2e/m^2 wall area",'COMPONENT PIVOT REF'!$I$3,"System Name",Table4[[#This Row],[Ext Finish]])</f>
        <v>22</v>
      </c>
      <c r="Q27">
        <f>GETPIVOTDATA("Sum of  R value (m^2-K/W)",'COMPONENT PIVOT REF'!$I$3,"System Name",Table4[[#This Row],[Ext Finish]])</f>
        <v>2.4699999999999998</v>
      </c>
      <c r="R27">
        <f>GETPIVOTDATA("Sum of Total Mass per m^2 (kg)",'COMPONENT PIVOT REF'!$I$3,"System Name",Table4[[#This Row],[Ext Finish]])</f>
        <v>0.16999999999999998</v>
      </c>
      <c r="S27" t="s">
        <v>854</v>
      </c>
      <c r="T27" t="str">
        <f>_xlfn.XLOOKUP(Table4[[#This Row],[Int Finish]],Master_Table6[System Name],Master_Table6[System Name (Short)],FALSE)</f>
        <v>GPlas</v>
      </c>
      <c r="U27">
        <f>GETPIVOTDATA("Sum of A1-A3 Fossil kg CO2e/m^2 wall area",'COMPONENT PIVOT REF'!$P$3,"System Name",Table4[[#This Row],[Int Finish]])</f>
        <v>3.839</v>
      </c>
      <c r="V27">
        <f>GETPIVOTDATA("Sum of  R value (m^2-K/W)",'COMPONENT PIVOT REF'!$P$3,"System Name",Table4[[#This Row],[Int Finish]])</f>
        <v>0.56578947368421051</v>
      </c>
      <c r="W27">
        <f>GETPIVOTDATA("Sum of Total Mass per m^2 (kg)",'COMPONENT PIVOT REF'!$P$3,"System Name",Table4[[#This Row],[Int Finish]])</f>
        <v>9.3850000000000016</v>
      </c>
      <c r="X27">
        <f>Table4[[#This Row],[Ext Finish GWP]]+Table4[[#This Row],[Base GWP]]+Table4[[#This Row],[Int Finish GWP]]</f>
        <v>88.294284534534526</v>
      </c>
      <c r="Y27">
        <f>Table4[[#This Row],[Ext Finish R Value]]+Table4[[#This Row],[Base R Value]]+Table4[[#This Row],[Int Finish R Value]]</f>
        <v>7.413760061919505</v>
      </c>
      <c r="Z27">
        <f>1/Table4[[#This Row],[Total R value]]</f>
        <v>0.13488432207787002</v>
      </c>
      <c r="AA27">
        <f>Table4[[#This Row],[Int Finish Mass]]+Table4[[#This Row],[Ext Finish Mass]]+Table4[[#This Row],[Base Mass]]</f>
        <v>377.57400000000001</v>
      </c>
    </row>
    <row r="28" spans="3:27" x14ac:dyDescent="0.35">
      <c r="C28" t="str">
        <f>_xlfn.CONCAT(Table4[[#This Row],[System Name (Short)]],"_",Table4[[#This Row],[Ext Finish Name (Short)]],"_",Table4[[#This Row],[Int Finish Name (Short)]])</f>
        <v>MgOEPDSIP_LCASolBrick_GPlas</v>
      </c>
      <c r="D28" s="119" t="s">
        <v>838</v>
      </c>
      <c r="E28" t="str">
        <f>_xlfn.XLOOKUP(Table4[[#This Row],[Base System]],BASE_SYSTEM_TABLE[System Name],BASE_SYSTEM_TABLE[System Name (Short)],FALSE)</f>
        <v>MgOEPDSIP</v>
      </c>
      <c r="F28" t="str">
        <f>_xlfn.XLOOKUP(Table4[[#This Row],[Base System]],BASE_SYSTEM_TABLE[System Name],BASE_SYSTEM_TABLE[System Type],FALSE)</f>
        <v>SIP</v>
      </c>
      <c r="G28" t="str">
        <f>_xlfn.XLOOKUP(Table4[[#This Row],[Base System]],BASE_SYSTEM_TABLE[System Name],BASE_SYSTEM_TABLE[System Subtype],FALSE)</f>
        <v xml:space="preserve">Closed </v>
      </c>
      <c r="H28" t="str">
        <f>_xlfn.XLOOKUP(Table4[[#This Row],[Base System]],BASE_SYSTEM_TABLE[System Name],BASE_SYSTEM_TABLE[Construction Type (Framed or Planar)],FALSE)</f>
        <v>Planar</v>
      </c>
      <c r="I28">
        <f>GETPIVOTDATA("Sum of A1-A3 Fossil kg CO2e/m^2 wall area",'COMPONENT PIVOT REF'!$A$3,"System Name",Table4[[#This Row],[Base System]])</f>
        <v>44.652291666666663</v>
      </c>
      <c r="J28">
        <f>GETPIVOTDATA("Sum of  R value (m^2-K/W)",'COMPONENT PIVOT REF'!$A$3,"System Name",Table4[[#This Row],[Base System]])</f>
        <v>5.1615000000000002</v>
      </c>
      <c r="K28">
        <f>GETPIVOTDATA("Sum of Total Mass per m^2 (kg)",'COMPONENT PIVOT REF'!$A$3,"System Name",Table4[[#This Row],[Base System]])</f>
        <v>23.545999999999999</v>
      </c>
      <c r="L28" t="s">
        <v>853</v>
      </c>
      <c r="M28" t="str">
        <f>_xlfn.XLOOKUP(Table4[[#This Row],[Ext Finish]],Master_Table4[System Name],Master_Table4[System Name (Short)],FALSE)</f>
        <v>LCASolBrick</v>
      </c>
      <c r="N28" t="str">
        <f>_xlfn.XLOOKUP(Table4[[#This Row],[Ext Finish]],Master_Table4[System Name],Master_Table4[Compatible Systems],FALSE)</f>
        <v>LGS, Timber, ICF, SIP, Concrete Block</v>
      </c>
      <c r="O28" t="str">
        <f>IF(ISNUMBER(SEARCH(Table4[[#This Row],[MMC Method]],Table4[[#This Row],[Compatible Systems]])),"YES","NO")</f>
        <v>YES</v>
      </c>
      <c r="P28">
        <f>GETPIVOTDATA("Sum of A1-A3 Fossil kg CO2e/m^2 wall area",'COMPONENT PIVOT REF'!$I$3,"System Name",Table4[[#This Row],[Ext Finish]])</f>
        <v>47.384999999999998</v>
      </c>
      <c r="Q28">
        <f>GETPIVOTDATA("Sum of  R value (m^2-K/W)",'COMPONENT PIVOT REF'!$I$3,"System Name",Table4[[#This Row],[Ext Finish]])</f>
        <v>2.1298701298701297</v>
      </c>
      <c r="R28">
        <f>GETPIVOTDATA("Sum of Total Mass per m^2 (kg)",'COMPONENT PIVOT REF'!$I$3,"System Name",Table4[[#This Row],[Ext Finish]])</f>
        <v>231.17000000000002</v>
      </c>
      <c r="S28" t="s">
        <v>854</v>
      </c>
      <c r="T28" t="str">
        <f>_xlfn.XLOOKUP(Table4[[#This Row],[Int Finish]],Master_Table6[System Name],Master_Table6[System Name (Short)],FALSE)</f>
        <v>GPlas</v>
      </c>
      <c r="U28">
        <f>GETPIVOTDATA("Sum of A1-A3 Fossil kg CO2e/m^2 wall area",'COMPONENT PIVOT REF'!$P$3,"System Name",Table4[[#This Row],[Int Finish]])</f>
        <v>3.839</v>
      </c>
      <c r="V28">
        <f>GETPIVOTDATA("Sum of  R value (m^2-K/W)",'COMPONENT PIVOT REF'!$P$3,"System Name",Table4[[#This Row],[Int Finish]])</f>
        <v>0.56578947368421051</v>
      </c>
      <c r="W28">
        <f>GETPIVOTDATA("Sum of Total Mass per m^2 (kg)",'COMPONENT PIVOT REF'!$P$3,"System Name",Table4[[#This Row],[Int Finish]])</f>
        <v>9.3850000000000016</v>
      </c>
      <c r="X28">
        <f>Table4[[#This Row],[Ext Finish GWP]]+Table4[[#This Row],[Base GWP]]+Table4[[#This Row],[Int Finish GWP]]</f>
        <v>95.87629166666666</v>
      </c>
      <c r="Y28">
        <f>Table4[[#This Row],[Ext Finish R Value]]+Table4[[#This Row],[Base R Value]]+Table4[[#This Row],[Int Finish R Value]]</f>
        <v>7.8571596035543401</v>
      </c>
      <c r="Z28">
        <f>1/Table4[[#This Row],[Total R value]]</f>
        <v>0.12727245600911943</v>
      </c>
      <c r="AA28">
        <f>Table4[[#This Row],[Int Finish Mass]]+Table4[[#This Row],[Ext Finish Mass]]+Table4[[#This Row],[Base Mass]]</f>
        <v>264.101</v>
      </c>
    </row>
    <row r="29" spans="3:27" x14ac:dyDescent="0.35">
      <c r="C29" t="str">
        <f>_xlfn.CONCAT(Table4[[#This Row],[System Name (Short)]],"_",Table4[[#This Row],[Ext Finish Name (Short)]],"_",Table4[[#This Row],[Int Finish Name (Short)]])</f>
        <v>MgOEPDSIP_EPDSolBrick_GPlas</v>
      </c>
      <c r="D29" s="119" t="s">
        <v>838</v>
      </c>
      <c r="E29" t="str">
        <f>_xlfn.XLOOKUP(Table4[[#This Row],[Base System]],BASE_SYSTEM_TABLE[System Name],BASE_SYSTEM_TABLE[System Name (Short)],FALSE)</f>
        <v>MgOEPDSIP</v>
      </c>
      <c r="F29" t="str">
        <f>_xlfn.XLOOKUP(Table4[[#This Row],[Base System]],BASE_SYSTEM_TABLE[System Name],BASE_SYSTEM_TABLE[System Type],FALSE)</f>
        <v>SIP</v>
      </c>
      <c r="G29" t="str">
        <f>_xlfn.XLOOKUP(Table4[[#This Row],[Base System]],BASE_SYSTEM_TABLE[System Name],BASE_SYSTEM_TABLE[System Subtype],FALSE)</f>
        <v xml:space="preserve">Closed </v>
      </c>
      <c r="H29" t="str">
        <f>_xlfn.XLOOKUP(Table4[[#This Row],[Base System]],BASE_SYSTEM_TABLE[System Name],BASE_SYSTEM_TABLE[Construction Type (Framed or Planar)],FALSE)</f>
        <v>Planar</v>
      </c>
      <c r="I29">
        <f>GETPIVOTDATA("Sum of A1-A3 Fossil kg CO2e/m^2 wall area",'COMPONENT PIVOT REF'!$A$3,"System Name",Table4[[#This Row],[Base System]])</f>
        <v>44.652291666666663</v>
      </c>
      <c r="J29">
        <f>GETPIVOTDATA("Sum of  R value (m^2-K/W)",'COMPONENT PIVOT REF'!$A$3,"System Name",Table4[[#This Row],[Base System]])</f>
        <v>5.1615000000000002</v>
      </c>
      <c r="K29">
        <f>GETPIVOTDATA("Sum of Total Mass per m^2 (kg)",'COMPONENT PIVOT REF'!$A$3,"System Name",Table4[[#This Row],[Base System]])</f>
        <v>23.545999999999999</v>
      </c>
      <c r="L29" t="s">
        <v>852</v>
      </c>
      <c r="M29" t="str">
        <f>_xlfn.XLOOKUP(Table4[[#This Row],[Ext Finish]],Master_Table4[System Name],Master_Table4[System Name (Short)],FALSE)</f>
        <v>EPDSolBrick</v>
      </c>
      <c r="N29" t="str">
        <f>_xlfn.XLOOKUP(Table4[[#This Row],[Ext Finish]],Master_Table4[System Name],Master_Table4[Compatible Systems],FALSE)</f>
        <v>LGS, Timber, ICF, SIP, Concrete Block</v>
      </c>
      <c r="O29" t="str">
        <f>IF(ISNUMBER(SEARCH(Table4[[#This Row],[MMC Method]],Table4[[#This Row],[Compatible Systems]])),"YES","NO")</f>
        <v>YES</v>
      </c>
      <c r="P29">
        <f>GETPIVOTDATA("Sum of A1-A3 Fossil kg CO2e/m^2 wall area",'COMPONENT PIVOT REF'!$I$3,"System Name",Table4[[#This Row],[Ext Finish]])</f>
        <v>47.801724999999998</v>
      </c>
      <c r="Q29">
        <f>GETPIVOTDATA("Sum of  R value (m^2-K/W)",'COMPONENT PIVOT REF'!$I$3,"System Name",Table4[[#This Row],[Ext Finish]])</f>
        <v>2.1626984126984126</v>
      </c>
      <c r="R29">
        <f>GETPIVOTDATA("Sum of Total Mass per m^2 (kg)",'COMPONENT PIVOT REF'!$I$3,"System Name",Table4[[#This Row],[Ext Finish]])</f>
        <v>233.095</v>
      </c>
      <c r="S29" t="s">
        <v>854</v>
      </c>
      <c r="T29" t="str">
        <f>_xlfn.XLOOKUP(Table4[[#This Row],[Int Finish]],Master_Table6[System Name],Master_Table6[System Name (Short)],FALSE)</f>
        <v>GPlas</v>
      </c>
      <c r="U29">
        <f>GETPIVOTDATA("Sum of A1-A3 Fossil kg CO2e/m^2 wall area",'COMPONENT PIVOT REF'!$P$3,"System Name",Table4[[#This Row],[Int Finish]])</f>
        <v>3.839</v>
      </c>
      <c r="V29">
        <f>GETPIVOTDATA("Sum of  R value (m^2-K/W)",'COMPONENT PIVOT REF'!$P$3,"System Name",Table4[[#This Row],[Int Finish]])</f>
        <v>0.56578947368421051</v>
      </c>
      <c r="W29">
        <f>GETPIVOTDATA("Sum of Total Mass per m^2 (kg)",'COMPONENT PIVOT REF'!$P$3,"System Name",Table4[[#This Row],[Int Finish]])</f>
        <v>9.3850000000000016</v>
      </c>
      <c r="X29">
        <f>Table4[[#This Row],[Ext Finish GWP]]+Table4[[#This Row],[Base GWP]]+Table4[[#This Row],[Int Finish GWP]]</f>
        <v>96.293016666666659</v>
      </c>
      <c r="Y29">
        <f>Table4[[#This Row],[Ext Finish R Value]]+Table4[[#This Row],[Base R Value]]+Table4[[#This Row],[Int Finish R Value]]</f>
        <v>7.8899878863826238</v>
      </c>
      <c r="Z29">
        <f>1/Table4[[#This Row],[Total R value]]</f>
        <v>0.12674290688404044</v>
      </c>
      <c r="AA29">
        <f>Table4[[#This Row],[Int Finish Mass]]+Table4[[#This Row],[Ext Finish Mass]]+Table4[[#This Row],[Base Mass]]</f>
        <v>266.02600000000001</v>
      </c>
    </row>
    <row r="30" spans="3:27" x14ac:dyDescent="0.35">
      <c r="C30" t="str">
        <f>_xlfn.CONCAT(Table4[[#This Row],[System Name (Short)]],"_",Table4[[#This Row],[Ext Finish Name (Short)]],"_",Table4[[#This Row],[Int Finish Name (Short)]])</f>
        <v>MgOEPDSIP_EPDComFiber_GPlas</v>
      </c>
      <c r="D30" s="119" t="s">
        <v>838</v>
      </c>
      <c r="E30" t="str">
        <f>_xlfn.XLOOKUP(Table4[[#This Row],[Base System]],BASE_SYSTEM_TABLE[System Name],BASE_SYSTEM_TABLE[System Name (Short)],FALSE)</f>
        <v>MgOEPDSIP</v>
      </c>
      <c r="F30" t="str">
        <f>_xlfn.XLOOKUP(Table4[[#This Row],[Base System]],BASE_SYSTEM_TABLE[System Name],BASE_SYSTEM_TABLE[System Type],FALSE)</f>
        <v>SIP</v>
      </c>
      <c r="G30" t="str">
        <f>_xlfn.XLOOKUP(Table4[[#This Row],[Base System]],BASE_SYSTEM_TABLE[System Name],BASE_SYSTEM_TABLE[System Subtype],FALSE)</f>
        <v xml:space="preserve">Closed </v>
      </c>
      <c r="H30" t="str">
        <f>_xlfn.XLOOKUP(Table4[[#This Row],[Base System]],BASE_SYSTEM_TABLE[System Name],BASE_SYSTEM_TABLE[Construction Type (Framed or Planar)],FALSE)</f>
        <v>Planar</v>
      </c>
      <c r="I30">
        <f>GETPIVOTDATA("Sum of A1-A3 Fossil kg CO2e/m^2 wall area",'COMPONENT PIVOT REF'!$A$3,"System Name",Table4[[#This Row],[Base System]])</f>
        <v>44.652291666666663</v>
      </c>
      <c r="J30">
        <f>GETPIVOTDATA("Sum of  R value (m^2-K/W)",'COMPONENT PIVOT REF'!$A$3,"System Name",Table4[[#This Row],[Base System]])</f>
        <v>5.1615000000000002</v>
      </c>
      <c r="K30">
        <f>GETPIVOTDATA("Sum of Total Mass per m^2 (kg)",'COMPONENT PIVOT REF'!$A$3,"System Name",Table4[[#This Row],[Base System]])</f>
        <v>23.545999999999999</v>
      </c>
      <c r="L30" t="s">
        <v>851</v>
      </c>
      <c r="M30" t="str">
        <f>_xlfn.XLOOKUP(Table4[[#This Row],[Ext Finish]],Master_Table4[System Name],Master_Table4[System Name (Short)],FALSE)</f>
        <v>EPDComFiber</v>
      </c>
      <c r="N30" t="str">
        <f>_xlfn.XLOOKUP(Table4[[#This Row],[Ext Finish]],Master_Table4[System Name],Master_Table4[Compatible Systems],FALSE)</f>
        <v>LGS, Timber, ICF, SIP, Concrete Block</v>
      </c>
      <c r="O30" t="str">
        <f>IF(ISNUMBER(SEARCH(Table4[[#This Row],[MMC Method]],Table4[[#This Row],[Compatible Systems]])),"YES","NO")</f>
        <v>YES</v>
      </c>
      <c r="P30">
        <f>GETPIVOTDATA("Sum of A1-A3 Fossil kg CO2e/m^2 wall area",'COMPONENT PIVOT REF'!$I$3,"System Name",Table4[[#This Row],[Ext Finish]])</f>
        <v>22</v>
      </c>
      <c r="Q30">
        <f>GETPIVOTDATA("Sum of  R value (m^2-K/W)",'COMPONENT PIVOT REF'!$I$3,"System Name",Table4[[#This Row],[Ext Finish]])</f>
        <v>2.4699999999999998</v>
      </c>
      <c r="R30">
        <f>GETPIVOTDATA("Sum of Total Mass per m^2 (kg)",'COMPONENT PIVOT REF'!$I$3,"System Name",Table4[[#This Row],[Ext Finish]])</f>
        <v>0.16999999999999998</v>
      </c>
      <c r="S30" t="s">
        <v>854</v>
      </c>
      <c r="T30" t="str">
        <f>_xlfn.XLOOKUP(Table4[[#This Row],[Int Finish]],Master_Table6[System Name],Master_Table6[System Name (Short)],FALSE)</f>
        <v>GPlas</v>
      </c>
      <c r="U30">
        <f>GETPIVOTDATA("Sum of A1-A3 Fossil kg CO2e/m^2 wall area",'COMPONENT PIVOT REF'!$P$3,"System Name",Table4[[#This Row],[Int Finish]])</f>
        <v>3.839</v>
      </c>
      <c r="V30">
        <f>GETPIVOTDATA("Sum of  R value (m^2-K/W)",'COMPONENT PIVOT REF'!$P$3,"System Name",Table4[[#This Row],[Int Finish]])</f>
        <v>0.56578947368421051</v>
      </c>
      <c r="W30">
        <f>GETPIVOTDATA("Sum of Total Mass per m^2 (kg)",'COMPONENT PIVOT REF'!$P$3,"System Name",Table4[[#This Row],[Int Finish]])</f>
        <v>9.3850000000000016</v>
      </c>
      <c r="X30">
        <f>Table4[[#This Row],[Ext Finish GWP]]+Table4[[#This Row],[Base GWP]]+Table4[[#This Row],[Int Finish GWP]]</f>
        <v>70.491291666666655</v>
      </c>
      <c r="Y30">
        <f>Table4[[#This Row],[Ext Finish R Value]]+Table4[[#This Row],[Base R Value]]+Table4[[#This Row],[Int Finish R Value]]</f>
        <v>8.1972894736842097</v>
      </c>
      <c r="Z30">
        <f>1/Table4[[#This Row],[Total R value]]</f>
        <v>0.1219915440598144</v>
      </c>
      <c r="AA30">
        <f>Table4[[#This Row],[Int Finish Mass]]+Table4[[#This Row],[Ext Finish Mass]]+Table4[[#This Row],[Base Mass]]</f>
        <v>33.100999999999999</v>
      </c>
    </row>
    <row r="31" spans="3:27" x14ac:dyDescent="0.35">
      <c r="C31" t="str">
        <f>_xlfn.CONCAT(Table4[[#This Row],[System Name (Short)]],"_",Table4[[#This Row],[Ext Finish Name (Short)]],"_",Table4[[#This Row],[Int Finish Name (Short)]])</f>
        <v>HorEPDLGSOP_LCASolBrick_GPlas</v>
      </c>
      <c r="D31" s="119" t="s">
        <v>837</v>
      </c>
      <c r="E31" t="str">
        <f>_xlfn.XLOOKUP(Table4[[#This Row],[Base System]],BASE_SYSTEM_TABLE[System Name],BASE_SYSTEM_TABLE[System Name (Short)],FALSE)</f>
        <v>HorEPDLGSOP</v>
      </c>
      <c r="F31" t="str">
        <f>_xlfn.XLOOKUP(Table4[[#This Row],[Base System]],BASE_SYSTEM_TABLE[System Name],BASE_SYSTEM_TABLE[System Type],FALSE)</f>
        <v>LGS</v>
      </c>
      <c r="G31" t="str">
        <f>_xlfn.XLOOKUP(Table4[[#This Row],[Base System]],BASE_SYSTEM_TABLE[System Name],BASE_SYSTEM_TABLE[System Subtype],FALSE)</f>
        <v>Open</v>
      </c>
      <c r="H31" t="str">
        <f>_xlfn.XLOOKUP(Table4[[#This Row],[Base System]],BASE_SYSTEM_TABLE[System Name],BASE_SYSTEM_TABLE[Construction Type (Framed or Planar)],FALSE)</f>
        <v>Framed</v>
      </c>
      <c r="I31">
        <f>GETPIVOTDATA("Sum of A1-A3 Fossil kg CO2e/m^2 wall area",'COMPONENT PIVOT REF'!$A$3,"System Name",Table4[[#This Row],[Base System]])</f>
        <v>27.159351666666669</v>
      </c>
      <c r="J31">
        <f>GETPIVOTDATA("Sum of  R value (m^2-K/W)",'COMPONENT PIVOT REF'!$A$3,"System Name",Table4[[#This Row],[Base System]])</f>
        <v>4.6750207935064942</v>
      </c>
      <c r="K31">
        <f>GETPIVOTDATA("Sum of Total Mass per m^2 (kg)",'COMPONENT PIVOT REF'!$A$3,"System Name",Table4[[#This Row],[Base System]])</f>
        <v>14.836</v>
      </c>
      <c r="L31" t="s">
        <v>853</v>
      </c>
      <c r="M31" t="str">
        <f>_xlfn.XLOOKUP(Table4[[#This Row],[Ext Finish]],Master_Table4[System Name],Master_Table4[System Name (Short)],FALSE)</f>
        <v>LCASolBrick</v>
      </c>
      <c r="N31" t="str">
        <f>_xlfn.XLOOKUP(Table4[[#This Row],[Ext Finish]],Master_Table4[System Name],Master_Table4[Compatible Systems],FALSE)</f>
        <v>LGS, Timber, ICF, SIP, Concrete Block</v>
      </c>
      <c r="O31" t="str">
        <f>IF(ISNUMBER(SEARCH(Table4[[#This Row],[MMC Method]],Table4[[#This Row],[Compatible Systems]])),"YES","NO")</f>
        <v>YES</v>
      </c>
      <c r="P31">
        <f>GETPIVOTDATA("Sum of A1-A3 Fossil kg CO2e/m^2 wall area",'COMPONENT PIVOT REF'!$I$3,"System Name",Table4[[#This Row],[Ext Finish]])</f>
        <v>47.384999999999998</v>
      </c>
      <c r="Q31">
        <f>GETPIVOTDATA("Sum of  R value (m^2-K/W)",'COMPONENT PIVOT REF'!$I$3,"System Name",Table4[[#This Row],[Ext Finish]])</f>
        <v>2.1298701298701297</v>
      </c>
      <c r="R31">
        <f>GETPIVOTDATA("Sum of Total Mass per m^2 (kg)",'COMPONENT PIVOT REF'!$I$3,"System Name",Table4[[#This Row],[Ext Finish]])</f>
        <v>231.17000000000002</v>
      </c>
      <c r="S31" t="s">
        <v>854</v>
      </c>
      <c r="T31" t="str">
        <f>_xlfn.XLOOKUP(Table4[[#This Row],[Int Finish]],Master_Table6[System Name],Master_Table6[System Name (Short)],FALSE)</f>
        <v>GPlas</v>
      </c>
      <c r="U31">
        <f>GETPIVOTDATA("Sum of A1-A3 Fossil kg CO2e/m^2 wall area",'COMPONENT PIVOT REF'!$P$3,"System Name",Table4[[#This Row],[Int Finish]])</f>
        <v>3.839</v>
      </c>
      <c r="V31">
        <f>GETPIVOTDATA("Sum of  R value (m^2-K/W)",'COMPONENT PIVOT REF'!$P$3,"System Name",Table4[[#This Row],[Int Finish]])</f>
        <v>0.56578947368421051</v>
      </c>
      <c r="W31">
        <f>GETPIVOTDATA("Sum of Total Mass per m^2 (kg)",'COMPONENT PIVOT REF'!$P$3,"System Name",Table4[[#This Row],[Int Finish]])</f>
        <v>9.3850000000000016</v>
      </c>
      <c r="X31">
        <f>Table4[[#This Row],[Ext Finish GWP]]+Table4[[#This Row],[Base GWP]]+Table4[[#This Row],[Int Finish GWP]]</f>
        <v>78.38335166666667</v>
      </c>
      <c r="Y31">
        <f>Table4[[#This Row],[Ext Finish R Value]]+Table4[[#This Row],[Base R Value]]+Table4[[#This Row],[Int Finish R Value]]</f>
        <v>7.3706803970608341</v>
      </c>
      <c r="Z31">
        <f>1/Table4[[#This Row],[Total R value]]</f>
        <v>0.13567268503444602</v>
      </c>
      <c r="AA31">
        <f>Table4[[#This Row],[Int Finish Mass]]+Table4[[#This Row],[Ext Finish Mass]]+Table4[[#This Row],[Base Mass]]</f>
        <v>255.39100000000002</v>
      </c>
    </row>
    <row r="32" spans="3:27" x14ac:dyDescent="0.35">
      <c r="C32" t="str">
        <f>_xlfn.CONCAT(Table4[[#This Row],[System Name (Short)]],"_",Table4[[#This Row],[Ext Finish Name (Short)]],"_",Table4[[#This Row],[Int Finish Name (Short)]])</f>
        <v>HorEPDLGSOP_EPDSolBrick_GPlas</v>
      </c>
      <c r="D32" s="119" t="s">
        <v>837</v>
      </c>
      <c r="E32" t="str">
        <f>_xlfn.XLOOKUP(Table4[[#This Row],[Base System]],BASE_SYSTEM_TABLE[System Name],BASE_SYSTEM_TABLE[System Name (Short)],FALSE)</f>
        <v>HorEPDLGSOP</v>
      </c>
      <c r="F32" t="str">
        <f>_xlfn.XLOOKUP(Table4[[#This Row],[Base System]],BASE_SYSTEM_TABLE[System Name],BASE_SYSTEM_TABLE[System Type],FALSE)</f>
        <v>LGS</v>
      </c>
      <c r="G32" t="str">
        <f>_xlfn.XLOOKUP(Table4[[#This Row],[Base System]],BASE_SYSTEM_TABLE[System Name],BASE_SYSTEM_TABLE[System Subtype],FALSE)</f>
        <v>Open</v>
      </c>
      <c r="H32" t="str">
        <f>_xlfn.XLOOKUP(Table4[[#This Row],[Base System]],BASE_SYSTEM_TABLE[System Name],BASE_SYSTEM_TABLE[Construction Type (Framed or Planar)],FALSE)</f>
        <v>Framed</v>
      </c>
      <c r="I32">
        <f>GETPIVOTDATA("Sum of A1-A3 Fossil kg CO2e/m^2 wall area",'COMPONENT PIVOT REF'!$A$3,"System Name",Table4[[#This Row],[Base System]])</f>
        <v>27.159351666666669</v>
      </c>
      <c r="J32">
        <f>GETPIVOTDATA("Sum of  R value (m^2-K/W)",'COMPONENT PIVOT REF'!$A$3,"System Name",Table4[[#This Row],[Base System]])</f>
        <v>4.6750207935064942</v>
      </c>
      <c r="K32">
        <f>GETPIVOTDATA("Sum of Total Mass per m^2 (kg)",'COMPONENT PIVOT REF'!$A$3,"System Name",Table4[[#This Row],[Base System]])</f>
        <v>14.836</v>
      </c>
      <c r="L32" t="s">
        <v>852</v>
      </c>
      <c r="M32" t="str">
        <f>_xlfn.XLOOKUP(Table4[[#This Row],[Ext Finish]],Master_Table4[System Name],Master_Table4[System Name (Short)],FALSE)</f>
        <v>EPDSolBrick</v>
      </c>
      <c r="N32" t="str">
        <f>_xlfn.XLOOKUP(Table4[[#This Row],[Ext Finish]],Master_Table4[System Name],Master_Table4[Compatible Systems],FALSE)</f>
        <v>LGS, Timber, ICF, SIP, Concrete Block</v>
      </c>
      <c r="O32" t="str">
        <f>IF(ISNUMBER(SEARCH(Table4[[#This Row],[MMC Method]],Table4[[#This Row],[Compatible Systems]])),"YES","NO")</f>
        <v>YES</v>
      </c>
      <c r="P32">
        <f>GETPIVOTDATA("Sum of A1-A3 Fossil kg CO2e/m^2 wall area",'COMPONENT PIVOT REF'!$I$3,"System Name",Table4[[#This Row],[Ext Finish]])</f>
        <v>47.801724999999998</v>
      </c>
      <c r="Q32">
        <f>GETPIVOTDATA("Sum of  R value (m^2-K/W)",'COMPONENT PIVOT REF'!$I$3,"System Name",Table4[[#This Row],[Ext Finish]])</f>
        <v>2.1626984126984126</v>
      </c>
      <c r="R32">
        <f>GETPIVOTDATA("Sum of Total Mass per m^2 (kg)",'COMPONENT PIVOT REF'!$I$3,"System Name",Table4[[#This Row],[Ext Finish]])</f>
        <v>233.095</v>
      </c>
      <c r="S32" t="s">
        <v>854</v>
      </c>
      <c r="T32" t="str">
        <f>_xlfn.XLOOKUP(Table4[[#This Row],[Int Finish]],Master_Table6[System Name],Master_Table6[System Name (Short)],FALSE)</f>
        <v>GPlas</v>
      </c>
      <c r="U32">
        <f>GETPIVOTDATA("Sum of A1-A3 Fossil kg CO2e/m^2 wall area",'COMPONENT PIVOT REF'!$P$3,"System Name",Table4[[#This Row],[Int Finish]])</f>
        <v>3.839</v>
      </c>
      <c r="V32">
        <f>GETPIVOTDATA("Sum of  R value (m^2-K/W)",'COMPONENT PIVOT REF'!$P$3,"System Name",Table4[[#This Row],[Int Finish]])</f>
        <v>0.56578947368421051</v>
      </c>
      <c r="W32">
        <f>GETPIVOTDATA("Sum of Total Mass per m^2 (kg)",'COMPONENT PIVOT REF'!$P$3,"System Name",Table4[[#This Row],[Int Finish]])</f>
        <v>9.3850000000000016</v>
      </c>
      <c r="X32">
        <f>Table4[[#This Row],[Ext Finish GWP]]+Table4[[#This Row],[Base GWP]]+Table4[[#This Row],[Int Finish GWP]]</f>
        <v>78.800076666666669</v>
      </c>
      <c r="Y32">
        <f>Table4[[#This Row],[Ext Finish R Value]]+Table4[[#This Row],[Base R Value]]+Table4[[#This Row],[Int Finish R Value]]</f>
        <v>7.4035086798891179</v>
      </c>
      <c r="Z32">
        <f>1/Table4[[#This Row],[Total R value]]</f>
        <v>0.13507109172660239</v>
      </c>
      <c r="AA32">
        <f>Table4[[#This Row],[Int Finish Mass]]+Table4[[#This Row],[Ext Finish Mass]]+Table4[[#This Row],[Base Mass]]</f>
        <v>257.31599999999997</v>
      </c>
    </row>
    <row r="33" spans="3:27" x14ac:dyDescent="0.35">
      <c r="C33" t="str">
        <f>_xlfn.CONCAT(Table4[[#This Row],[System Name (Short)]],"_",Table4[[#This Row],[Ext Finish Name (Short)]],"_",Table4[[#This Row],[Int Finish Name (Short)]])</f>
        <v>HorEPDLGSOP_EPDComFiber_GPlas</v>
      </c>
      <c r="D33" s="119" t="s">
        <v>837</v>
      </c>
      <c r="E33" t="str">
        <f>_xlfn.XLOOKUP(Table4[[#This Row],[Base System]],BASE_SYSTEM_TABLE[System Name],BASE_SYSTEM_TABLE[System Name (Short)],FALSE)</f>
        <v>HorEPDLGSOP</v>
      </c>
      <c r="F33" t="str">
        <f>_xlfn.XLOOKUP(Table4[[#This Row],[Base System]],BASE_SYSTEM_TABLE[System Name],BASE_SYSTEM_TABLE[System Type],FALSE)</f>
        <v>LGS</v>
      </c>
      <c r="G33" t="str">
        <f>_xlfn.XLOOKUP(Table4[[#This Row],[Base System]],BASE_SYSTEM_TABLE[System Name],BASE_SYSTEM_TABLE[System Subtype],FALSE)</f>
        <v>Open</v>
      </c>
      <c r="H33" t="str">
        <f>_xlfn.XLOOKUP(Table4[[#This Row],[Base System]],BASE_SYSTEM_TABLE[System Name],BASE_SYSTEM_TABLE[Construction Type (Framed or Planar)],FALSE)</f>
        <v>Framed</v>
      </c>
      <c r="I33">
        <f>GETPIVOTDATA("Sum of A1-A3 Fossil kg CO2e/m^2 wall area",'COMPONENT PIVOT REF'!$A$3,"System Name",Table4[[#This Row],[Base System]])</f>
        <v>27.159351666666669</v>
      </c>
      <c r="J33">
        <f>GETPIVOTDATA("Sum of  R value (m^2-K/W)",'COMPONENT PIVOT REF'!$A$3,"System Name",Table4[[#This Row],[Base System]])</f>
        <v>4.6750207935064942</v>
      </c>
      <c r="K33">
        <f>GETPIVOTDATA("Sum of Total Mass per m^2 (kg)",'COMPONENT PIVOT REF'!$A$3,"System Name",Table4[[#This Row],[Base System]])</f>
        <v>14.836</v>
      </c>
      <c r="L33" t="s">
        <v>851</v>
      </c>
      <c r="M33" t="str">
        <f>_xlfn.XLOOKUP(Table4[[#This Row],[Ext Finish]],Master_Table4[System Name],Master_Table4[System Name (Short)],FALSE)</f>
        <v>EPDComFiber</v>
      </c>
      <c r="N33" t="str">
        <f>_xlfn.XLOOKUP(Table4[[#This Row],[Ext Finish]],Master_Table4[System Name],Master_Table4[Compatible Systems],FALSE)</f>
        <v>LGS, Timber, ICF, SIP, Concrete Block</v>
      </c>
      <c r="O33" t="str">
        <f>IF(ISNUMBER(SEARCH(Table4[[#This Row],[MMC Method]],Table4[[#This Row],[Compatible Systems]])),"YES","NO")</f>
        <v>YES</v>
      </c>
      <c r="P33">
        <f>GETPIVOTDATA("Sum of A1-A3 Fossil kg CO2e/m^2 wall area",'COMPONENT PIVOT REF'!$I$3,"System Name",Table4[[#This Row],[Ext Finish]])</f>
        <v>22</v>
      </c>
      <c r="Q33">
        <f>GETPIVOTDATA("Sum of  R value (m^2-K/W)",'COMPONENT PIVOT REF'!$I$3,"System Name",Table4[[#This Row],[Ext Finish]])</f>
        <v>2.4699999999999998</v>
      </c>
      <c r="R33">
        <f>GETPIVOTDATA("Sum of Total Mass per m^2 (kg)",'COMPONENT PIVOT REF'!$I$3,"System Name",Table4[[#This Row],[Ext Finish]])</f>
        <v>0.16999999999999998</v>
      </c>
      <c r="S33" t="s">
        <v>854</v>
      </c>
      <c r="T33" t="str">
        <f>_xlfn.XLOOKUP(Table4[[#This Row],[Int Finish]],Master_Table6[System Name],Master_Table6[System Name (Short)],FALSE)</f>
        <v>GPlas</v>
      </c>
      <c r="U33">
        <f>GETPIVOTDATA("Sum of A1-A3 Fossil kg CO2e/m^2 wall area",'COMPONENT PIVOT REF'!$P$3,"System Name",Table4[[#This Row],[Int Finish]])</f>
        <v>3.839</v>
      </c>
      <c r="V33">
        <f>GETPIVOTDATA("Sum of  R value (m^2-K/W)",'COMPONENT PIVOT REF'!$P$3,"System Name",Table4[[#This Row],[Int Finish]])</f>
        <v>0.56578947368421051</v>
      </c>
      <c r="W33">
        <f>GETPIVOTDATA("Sum of Total Mass per m^2 (kg)",'COMPONENT PIVOT REF'!$P$3,"System Name",Table4[[#This Row],[Int Finish]])</f>
        <v>9.3850000000000016</v>
      </c>
      <c r="X33">
        <f>Table4[[#This Row],[Ext Finish GWP]]+Table4[[#This Row],[Base GWP]]+Table4[[#This Row],[Int Finish GWP]]</f>
        <v>52.998351666666665</v>
      </c>
      <c r="Y33">
        <f>Table4[[#This Row],[Ext Finish R Value]]+Table4[[#This Row],[Base R Value]]+Table4[[#This Row],[Int Finish R Value]]</f>
        <v>7.7108102671907046</v>
      </c>
      <c r="Z33">
        <f>1/Table4[[#This Row],[Total R value]]</f>
        <v>0.12968805681226184</v>
      </c>
      <c r="AA33">
        <f>Table4[[#This Row],[Int Finish Mass]]+Table4[[#This Row],[Ext Finish Mass]]+Table4[[#This Row],[Base Mass]]</f>
        <v>24.391000000000002</v>
      </c>
    </row>
    <row r="34" spans="3:27" x14ac:dyDescent="0.35">
      <c r="C34" t="str">
        <f>_xlfn.CONCAT(Table4[[#This Row],[System Name (Short)]],"_",Table4[[#This Row],[Ext Finish Name (Short)]],"_",Table4[[#This Row],[Int Finish Name (Short)]])</f>
        <v>DonSolEPDTimCL_LCASolBrick_GPlas</v>
      </c>
      <c r="D34" s="119" t="s">
        <v>834</v>
      </c>
      <c r="E34" t="str">
        <f>_xlfn.XLOOKUP(Table4[[#This Row],[Base System]],BASE_SYSTEM_TABLE[System Name],BASE_SYSTEM_TABLE[System Name (Short)],FALSE)</f>
        <v>DonSolEPDTimCL</v>
      </c>
      <c r="F34" t="str">
        <f>_xlfn.XLOOKUP(Table4[[#This Row],[Base System]],BASE_SYSTEM_TABLE[System Name],BASE_SYSTEM_TABLE[System Type],FALSE)</f>
        <v>Timber</v>
      </c>
      <c r="G34" t="str">
        <f>_xlfn.XLOOKUP(Table4[[#This Row],[Base System]],BASE_SYSTEM_TABLE[System Name],BASE_SYSTEM_TABLE[System Subtype],FALSE)</f>
        <v xml:space="preserve">Closed </v>
      </c>
      <c r="H34" t="str">
        <f>_xlfn.XLOOKUP(Table4[[#This Row],[Base System]],BASE_SYSTEM_TABLE[System Name],BASE_SYSTEM_TABLE[Construction Type (Framed or Planar)],FALSE)</f>
        <v>Framed</v>
      </c>
      <c r="I34">
        <f>GETPIVOTDATA("Sum of A1-A3 Fossil kg CO2e/m^2 wall area",'COMPONENT PIVOT REF'!$A$3,"System Name",Table4[[#This Row],[Base System]])</f>
        <v>21.7</v>
      </c>
      <c r="J34">
        <f>GETPIVOTDATA("Sum of  R value (m^2-K/W)",'COMPONENT PIVOT REF'!$A$3,"System Name",Table4[[#This Row],[Base System]])</f>
        <v>5</v>
      </c>
      <c r="K34">
        <f>GETPIVOTDATA("Sum of Total Mass per m^2 (kg)",'COMPONENT PIVOT REF'!$A$3,"System Name",Table4[[#This Row],[Base System]])</f>
        <v>23.75</v>
      </c>
      <c r="L34" t="s">
        <v>853</v>
      </c>
      <c r="M34" t="str">
        <f>_xlfn.XLOOKUP(Table4[[#This Row],[Ext Finish]],Master_Table4[System Name],Master_Table4[System Name (Short)],FALSE)</f>
        <v>LCASolBrick</v>
      </c>
      <c r="N34" t="str">
        <f>_xlfn.XLOOKUP(Table4[[#This Row],[Ext Finish]],Master_Table4[System Name],Master_Table4[Compatible Systems],FALSE)</f>
        <v>LGS, Timber, ICF, SIP, Concrete Block</v>
      </c>
      <c r="O34" t="str">
        <f>IF(ISNUMBER(SEARCH(Table4[[#This Row],[MMC Method]],Table4[[#This Row],[Compatible Systems]])),"YES","NO")</f>
        <v>YES</v>
      </c>
      <c r="P34">
        <f>GETPIVOTDATA("Sum of A1-A3 Fossil kg CO2e/m^2 wall area",'COMPONENT PIVOT REF'!$I$3,"System Name",Table4[[#This Row],[Ext Finish]])</f>
        <v>47.384999999999998</v>
      </c>
      <c r="Q34">
        <f>GETPIVOTDATA("Sum of  R value (m^2-K/W)",'COMPONENT PIVOT REF'!$I$3,"System Name",Table4[[#This Row],[Ext Finish]])</f>
        <v>2.1298701298701297</v>
      </c>
      <c r="R34">
        <f>GETPIVOTDATA("Sum of Total Mass per m^2 (kg)",'COMPONENT PIVOT REF'!$I$3,"System Name",Table4[[#This Row],[Ext Finish]])</f>
        <v>231.17000000000002</v>
      </c>
      <c r="S34" t="s">
        <v>854</v>
      </c>
      <c r="T34" t="str">
        <f>_xlfn.XLOOKUP(Table4[[#This Row],[Int Finish]],Master_Table6[System Name],Master_Table6[System Name (Short)],FALSE)</f>
        <v>GPlas</v>
      </c>
      <c r="U34">
        <f>GETPIVOTDATA("Sum of A1-A3 Fossil kg CO2e/m^2 wall area",'COMPONENT PIVOT REF'!$P$3,"System Name",Table4[[#This Row],[Int Finish]])</f>
        <v>3.839</v>
      </c>
      <c r="V34">
        <f>GETPIVOTDATA("Sum of  R value (m^2-K/W)",'COMPONENT PIVOT REF'!$P$3,"System Name",Table4[[#This Row],[Int Finish]])</f>
        <v>0.56578947368421051</v>
      </c>
      <c r="W34">
        <f>GETPIVOTDATA("Sum of Total Mass per m^2 (kg)",'COMPONENT PIVOT REF'!$P$3,"System Name",Table4[[#This Row],[Int Finish]])</f>
        <v>9.3850000000000016</v>
      </c>
      <c r="X34">
        <f>Table4[[#This Row],[Ext Finish GWP]]+Table4[[#This Row],[Base GWP]]+Table4[[#This Row],[Int Finish GWP]]</f>
        <v>72.923999999999992</v>
      </c>
      <c r="Y34">
        <f>Table4[[#This Row],[Ext Finish R Value]]+Table4[[#This Row],[Base R Value]]+Table4[[#This Row],[Int Finish R Value]]</f>
        <v>7.6956596035543399</v>
      </c>
      <c r="Z34">
        <f>1/Table4[[#This Row],[Total R value]]</f>
        <v>0.12994337737315423</v>
      </c>
      <c r="AA34">
        <f>Table4[[#This Row],[Int Finish Mass]]+Table4[[#This Row],[Ext Finish Mass]]+Table4[[#This Row],[Base Mass]]</f>
        <v>264.30500000000001</v>
      </c>
    </row>
    <row r="35" spans="3:27" x14ac:dyDescent="0.35">
      <c r="C35" t="str">
        <f>_xlfn.CONCAT(Table4[[#This Row],[System Name (Short)]],"_",Table4[[#This Row],[Ext Finish Name (Short)]],"_",Table4[[#This Row],[Int Finish Name (Short)]])</f>
        <v>DonSolEPDTimCL_EPDSolBrick_GPlas</v>
      </c>
      <c r="D35" s="119" t="s">
        <v>834</v>
      </c>
      <c r="E35" t="str">
        <f>_xlfn.XLOOKUP(Table4[[#This Row],[Base System]],BASE_SYSTEM_TABLE[System Name],BASE_SYSTEM_TABLE[System Name (Short)],FALSE)</f>
        <v>DonSolEPDTimCL</v>
      </c>
      <c r="F35" t="str">
        <f>_xlfn.XLOOKUP(Table4[[#This Row],[Base System]],BASE_SYSTEM_TABLE[System Name],BASE_SYSTEM_TABLE[System Type],FALSE)</f>
        <v>Timber</v>
      </c>
      <c r="G35" t="str">
        <f>_xlfn.XLOOKUP(Table4[[#This Row],[Base System]],BASE_SYSTEM_TABLE[System Name],BASE_SYSTEM_TABLE[System Subtype],FALSE)</f>
        <v xml:space="preserve">Closed </v>
      </c>
      <c r="H35" t="str">
        <f>_xlfn.XLOOKUP(Table4[[#This Row],[Base System]],BASE_SYSTEM_TABLE[System Name],BASE_SYSTEM_TABLE[Construction Type (Framed or Planar)],FALSE)</f>
        <v>Framed</v>
      </c>
      <c r="I35">
        <f>GETPIVOTDATA("Sum of A1-A3 Fossil kg CO2e/m^2 wall area",'COMPONENT PIVOT REF'!$A$3,"System Name",Table4[[#This Row],[Base System]])</f>
        <v>21.7</v>
      </c>
      <c r="J35">
        <f>GETPIVOTDATA("Sum of  R value (m^2-K/W)",'COMPONENT PIVOT REF'!$A$3,"System Name",Table4[[#This Row],[Base System]])</f>
        <v>5</v>
      </c>
      <c r="K35">
        <f>GETPIVOTDATA("Sum of Total Mass per m^2 (kg)",'COMPONENT PIVOT REF'!$A$3,"System Name",Table4[[#This Row],[Base System]])</f>
        <v>23.75</v>
      </c>
      <c r="L35" t="s">
        <v>852</v>
      </c>
      <c r="M35" t="str">
        <f>_xlfn.XLOOKUP(Table4[[#This Row],[Ext Finish]],Master_Table4[System Name],Master_Table4[System Name (Short)],FALSE)</f>
        <v>EPDSolBrick</v>
      </c>
      <c r="N35" t="str">
        <f>_xlfn.XLOOKUP(Table4[[#This Row],[Ext Finish]],Master_Table4[System Name],Master_Table4[Compatible Systems],FALSE)</f>
        <v>LGS, Timber, ICF, SIP, Concrete Block</v>
      </c>
      <c r="O35" t="str">
        <f>IF(ISNUMBER(SEARCH(Table4[[#This Row],[MMC Method]],Table4[[#This Row],[Compatible Systems]])),"YES","NO")</f>
        <v>YES</v>
      </c>
      <c r="P35">
        <f>GETPIVOTDATA("Sum of A1-A3 Fossil kg CO2e/m^2 wall area",'COMPONENT PIVOT REF'!$I$3,"System Name",Table4[[#This Row],[Ext Finish]])</f>
        <v>47.801724999999998</v>
      </c>
      <c r="Q35">
        <f>GETPIVOTDATA("Sum of  R value (m^2-K/W)",'COMPONENT PIVOT REF'!$I$3,"System Name",Table4[[#This Row],[Ext Finish]])</f>
        <v>2.1626984126984126</v>
      </c>
      <c r="R35">
        <f>GETPIVOTDATA("Sum of Total Mass per m^2 (kg)",'COMPONENT PIVOT REF'!$I$3,"System Name",Table4[[#This Row],[Ext Finish]])</f>
        <v>233.095</v>
      </c>
      <c r="S35" t="s">
        <v>854</v>
      </c>
      <c r="T35" t="str">
        <f>_xlfn.XLOOKUP(Table4[[#This Row],[Int Finish]],Master_Table6[System Name],Master_Table6[System Name (Short)],FALSE)</f>
        <v>GPlas</v>
      </c>
      <c r="U35">
        <f>GETPIVOTDATA("Sum of A1-A3 Fossil kg CO2e/m^2 wall area",'COMPONENT PIVOT REF'!$P$3,"System Name",Table4[[#This Row],[Int Finish]])</f>
        <v>3.839</v>
      </c>
      <c r="V35">
        <f>GETPIVOTDATA("Sum of  R value (m^2-K/W)",'COMPONENT PIVOT REF'!$P$3,"System Name",Table4[[#This Row],[Int Finish]])</f>
        <v>0.56578947368421051</v>
      </c>
      <c r="W35">
        <f>GETPIVOTDATA("Sum of Total Mass per m^2 (kg)",'COMPONENT PIVOT REF'!$P$3,"System Name",Table4[[#This Row],[Int Finish]])</f>
        <v>9.3850000000000016</v>
      </c>
      <c r="X35">
        <f>Table4[[#This Row],[Ext Finish GWP]]+Table4[[#This Row],[Base GWP]]+Table4[[#This Row],[Int Finish GWP]]</f>
        <v>73.340724999999992</v>
      </c>
      <c r="Y35">
        <f>Table4[[#This Row],[Ext Finish R Value]]+Table4[[#This Row],[Base R Value]]+Table4[[#This Row],[Int Finish R Value]]</f>
        <v>7.7284878863826236</v>
      </c>
      <c r="Z35">
        <f>1/Table4[[#This Row],[Total R value]]</f>
        <v>0.12939141714409252</v>
      </c>
      <c r="AA35">
        <f>Table4[[#This Row],[Int Finish Mass]]+Table4[[#This Row],[Ext Finish Mass]]+Table4[[#This Row],[Base Mass]]</f>
        <v>266.23</v>
      </c>
    </row>
    <row r="36" spans="3:27" x14ac:dyDescent="0.35">
      <c r="C36" t="str">
        <f>_xlfn.CONCAT(Table4[[#This Row],[System Name (Short)]],"_",Table4[[#This Row],[Ext Finish Name (Short)]],"_",Table4[[#This Row],[Int Finish Name (Short)]])</f>
        <v>DonSolEPDTimCL_EPDComFiber_GPlas</v>
      </c>
      <c r="D36" s="119" t="s">
        <v>834</v>
      </c>
      <c r="E36" t="str">
        <f>_xlfn.XLOOKUP(Table4[[#This Row],[Base System]],BASE_SYSTEM_TABLE[System Name],BASE_SYSTEM_TABLE[System Name (Short)],FALSE)</f>
        <v>DonSolEPDTimCL</v>
      </c>
      <c r="F36" t="str">
        <f>_xlfn.XLOOKUP(Table4[[#This Row],[Base System]],BASE_SYSTEM_TABLE[System Name],BASE_SYSTEM_TABLE[System Type],FALSE)</f>
        <v>Timber</v>
      </c>
      <c r="G36" t="str">
        <f>_xlfn.XLOOKUP(Table4[[#This Row],[Base System]],BASE_SYSTEM_TABLE[System Name],BASE_SYSTEM_TABLE[System Subtype],FALSE)</f>
        <v xml:space="preserve">Closed </v>
      </c>
      <c r="H36" t="str">
        <f>_xlfn.XLOOKUP(Table4[[#This Row],[Base System]],BASE_SYSTEM_TABLE[System Name],BASE_SYSTEM_TABLE[Construction Type (Framed or Planar)],FALSE)</f>
        <v>Framed</v>
      </c>
      <c r="I36">
        <f>GETPIVOTDATA("Sum of A1-A3 Fossil kg CO2e/m^2 wall area",'COMPONENT PIVOT REF'!$A$3,"System Name",Table4[[#This Row],[Base System]])</f>
        <v>21.7</v>
      </c>
      <c r="J36">
        <f>GETPIVOTDATA("Sum of  R value (m^2-K/W)",'COMPONENT PIVOT REF'!$A$3,"System Name",Table4[[#This Row],[Base System]])</f>
        <v>5</v>
      </c>
      <c r="K36">
        <f>GETPIVOTDATA("Sum of Total Mass per m^2 (kg)",'COMPONENT PIVOT REF'!$A$3,"System Name",Table4[[#This Row],[Base System]])</f>
        <v>23.75</v>
      </c>
      <c r="L36" t="s">
        <v>851</v>
      </c>
      <c r="M36" t="str">
        <f>_xlfn.XLOOKUP(Table4[[#This Row],[Ext Finish]],Master_Table4[System Name],Master_Table4[System Name (Short)],FALSE)</f>
        <v>EPDComFiber</v>
      </c>
      <c r="N36" t="str">
        <f>_xlfn.XLOOKUP(Table4[[#This Row],[Ext Finish]],Master_Table4[System Name],Master_Table4[Compatible Systems],FALSE)</f>
        <v>LGS, Timber, ICF, SIP, Concrete Block</v>
      </c>
      <c r="O36" t="str">
        <f>IF(ISNUMBER(SEARCH(Table4[[#This Row],[MMC Method]],Table4[[#This Row],[Compatible Systems]])),"YES","NO")</f>
        <v>YES</v>
      </c>
      <c r="P36">
        <f>GETPIVOTDATA("Sum of A1-A3 Fossil kg CO2e/m^2 wall area",'COMPONENT PIVOT REF'!$I$3,"System Name",Table4[[#This Row],[Ext Finish]])</f>
        <v>22</v>
      </c>
      <c r="Q36">
        <f>GETPIVOTDATA("Sum of  R value (m^2-K/W)",'COMPONENT PIVOT REF'!$I$3,"System Name",Table4[[#This Row],[Ext Finish]])</f>
        <v>2.4699999999999998</v>
      </c>
      <c r="R36">
        <f>GETPIVOTDATA("Sum of Total Mass per m^2 (kg)",'COMPONENT PIVOT REF'!$I$3,"System Name",Table4[[#This Row],[Ext Finish]])</f>
        <v>0.16999999999999998</v>
      </c>
      <c r="S36" t="s">
        <v>854</v>
      </c>
      <c r="T36" t="str">
        <f>_xlfn.XLOOKUP(Table4[[#This Row],[Int Finish]],Master_Table6[System Name],Master_Table6[System Name (Short)],FALSE)</f>
        <v>GPlas</v>
      </c>
      <c r="U36">
        <f>GETPIVOTDATA("Sum of A1-A3 Fossil kg CO2e/m^2 wall area",'COMPONENT PIVOT REF'!$P$3,"System Name",Table4[[#This Row],[Int Finish]])</f>
        <v>3.839</v>
      </c>
      <c r="V36">
        <f>GETPIVOTDATA("Sum of  R value (m^2-K/W)",'COMPONENT PIVOT REF'!$P$3,"System Name",Table4[[#This Row],[Int Finish]])</f>
        <v>0.56578947368421051</v>
      </c>
      <c r="W36">
        <f>GETPIVOTDATA("Sum of Total Mass per m^2 (kg)",'COMPONENT PIVOT REF'!$P$3,"System Name",Table4[[#This Row],[Int Finish]])</f>
        <v>9.3850000000000016</v>
      </c>
      <c r="X36">
        <f>Table4[[#This Row],[Ext Finish GWP]]+Table4[[#This Row],[Base GWP]]+Table4[[#This Row],[Int Finish GWP]]</f>
        <v>47.539000000000001</v>
      </c>
      <c r="Y36">
        <f>Table4[[#This Row],[Ext Finish R Value]]+Table4[[#This Row],[Base R Value]]+Table4[[#This Row],[Int Finish R Value]]</f>
        <v>8.0357894736842095</v>
      </c>
      <c r="Z36">
        <f>1/Table4[[#This Row],[Total R value]]</f>
        <v>0.12444328006287662</v>
      </c>
      <c r="AA36">
        <f>Table4[[#This Row],[Int Finish Mass]]+Table4[[#This Row],[Ext Finish Mass]]+Table4[[#This Row],[Base Mass]]</f>
        <v>33.305</v>
      </c>
    </row>
    <row r="37" spans="3:27" x14ac:dyDescent="0.35">
      <c r="C37" t="str">
        <f>_xlfn.CONCAT(Table4[[#This Row],[System Name (Short)]],"_",Table4[[#This Row],[Ext Finish Name (Short)]],"_",Table4[[#This Row],[Int Finish Name (Short)]])</f>
        <v>DonEPDTimOP_LCASolBrick_GPlas</v>
      </c>
      <c r="D37" s="119" t="s">
        <v>835</v>
      </c>
      <c r="E37" t="str">
        <f>_xlfn.XLOOKUP(Table4[[#This Row],[Base System]],BASE_SYSTEM_TABLE[System Name],BASE_SYSTEM_TABLE[System Name (Short)],FALSE)</f>
        <v>DonEPDTimOP</v>
      </c>
      <c r="F37" t="str">
        <f>_xlfn.XLOOKUP(Table4[[#This Row],[Base System]],BASE_SYSTEM_TABLE[System Name],BASE_SYSTEM_TABLE[System Type],FALSE)</f>
        <v>Timber</v>
      </c>
      <c r="G37" t="str">
        <f>_xlfn.XLOOKUP(Table4[[#This Row],[Base System]],BASE_SYSTEM_TABLE[System Name],BASE_SYSTEM_TABLE[System Subtype],FALSE)</f>
        <v>Open</v>
      </c>
      <c r="H37" t="str">
        <f>_xlfn.XLOOKUP(Table4[[#This Row],[Base System]],BASE_SYSTEM_TABLE[System Name],BASE_SYSTEM_TABLE[Construction Type (Framed or Planar)],FALSE)</f>
        <v>Framed</v>
      </c>
      <c r="I37">
        <f>GETPIVOTDATA("Sum of A1-A3 Fossil kg CO2e/m^2 wall area",'COMPONENT PIVOT REF'!$A$3,"System Name",Table4[[#This Row],[Base System]])</f>
        <v>31.89873166666667</v>
      </c>
      <c r="J37">
        <f>GETPIVOTDATA("Sum of  R value (m^2-K/W)",'COMPONENT PIVOT REF'!$A$3,"System Name",Table4[[#This Row],[Base System]])</f>
        <v>5.0679675602175607</v>
      </c>
      <c r="K37">
        <f>GETPIVOTDATA("Sum of Total Mass per m^2 (kg)",'COMPONENT PIVOT REF'!$A$3,"System Name",Table4[[#This Row],[Base System]])</f>
        <v>33.260763888888889</v>
      </c>
      <c r="L37" t="s">
        <v>853</v>
      </c>
      <c r="M37" t="str">
        <f>_xlfn.XLOOKUP(Table4[[#This Row],[Ext Finish]],Master_Table4[System Name],Master_Table4[System Name (Short)],FALSE)</f>
        <v>LCASolBrick</v>
      </c>
      <c r="N37" t="str">
        <f>_xlfn.XLOOKUP(Table4[[#This Row],[Ext Finish]],Master_Table4[System Name],Master_Table4[Compatible Systems],FALSE)</f>
        <v>LGS, Timber, ICF, SIP, Concrete Block</v>
      </c>
      <c r="O37" t="str">
        <f>IF(ISNUMBER(SEARCH(Table4[[#This Row],[MMC Method]],Table4[[#This Row],[Compatible Systems]])),"YES","NO")</f>
        <v>YES</v>
      </c>
      <c r="P37">
        <f>GETPIVOTDATA("Sum of A1-A3 Fossil kg CO2e/m^2 wall area",'COMPONENT PIVOT REF'!$I$3,"System Name",Table4[[#This Row],[Ext Finish]])</f>
        <v>47.384999999999998</v>
      </c>
      <c r="Q37">
        <f>GETPIVOTDATA("Sum of  R value (m^2-K/W)",'COMPONENT PIVOT REF'!$I$3,"System Name",Table4[[#This Row],[Ext Finish]])</f>
        <v>2.1298701298701297</v>
      </c>
      <c r="R37">
        <f>GETPIVOTDATA("Sum of Total Mass per m^2 (kg)",'COMPONENT PIVOT REF'!$I$3,"System Name",Table4[[#This Row],[Ext Finish]])</f>
        <v>231.17000000000002</v>
      </c>
      <c r="S37" t="s">
        <v>854</v>
      </c>
      <c r="T37" t="str">
        <f>_xlfn.XLOOKUP(Table4[[#This Row],[Int Finish]],Master_Table6[System Name],Master_Table6[System Name (Short)],FALSE)</f>
        <v>GPlas</v>
      </c>
      <c r="U37">
        <f>GETPIVOTDATA("Sum of A1-A3 Fossil kg CO2e/m^2 wall area",'COMPONENT PIVOT REF'!$P$3,"System Name",Table4[[#This Row],[Int Finish]])</f>
        <v>3.839</v>
      </c>
      <c r="V37">
        <f>GETPIVOTDATA("Sum of  R value (m^2-K/W)",'COMPONENT PIVOT REF'!$P$3,"System Name",Table4[[#This Row],[Int Finish]])</f>
        <v>0.56578947368421051</v>
      </c>
      <c r="W37">
        <f>GETPIVOTDATA("Sum of Total Mass per m^2 (kg)",'COMPONENT PIVOT REF'!$P$3,"System Name",Table4[[#This Row],[Int Finish]])</f>
        <v>9.3850000000000016</v>
      </c>
      <c r="X37">
        <f>Table4[[#This Row],[Ext Finish GWP]]+Table4[[#This Row],[Base GWP]]+Table4[[#This Row],[Int Finish GWP]]</f>
        <v>83.122731666666667</v>
      </c>
      <c r="Y37">
        <f>Table4[[#This Row],[Ext Finish R Value]]+Table4[[#This Row],[Base R Value]]+Table4[[#This Row],[Int Finish R Value]]</f>
        <v>7.7636271637719005</v>
      </c>
      <c r="Z37">
        <f>1/Table4[[#This Row],[Total R value]]</f>
        <v>0.12880577324300019</v>
      </c>
      <c r="AA37">
        <f>Table4[[#This Row],[Int Finish Mass]]+Table4[[#This Row],[Ext Finish Mass]]+Table4[[#This Row],[Base Mass]]</f>
        <v>273.81576388888891</v>
      </c>
    </row>
    <row r="38" spans="3:27" x14ac:dyDescent="0.35">
      <c r="C38" t="str">
        <f>_xlfn.CONCAT(Table4[[#This Row],[System Name (Short)]],"_",Table4[[#This Row],[Ext Finish Name (Short)]],"_",Table4[[#This Row],[Int Finish Name (Short)]])</f>
        <v>DonEPDTimOP_EPDSolBrick_GPlas</v>
      </c>
      <c r="D38" s="119" t="s">
        <v>835</v>
      </c>
      <c r="E38" t="str">
        <f>_xlfn.XLOOKUP(Table4[[#This Row],[Base System]],BASE_SYSTEM_TABLE[System Name],BASE_SYSTEM_TABLE[System Name (Short)],FALSE)</f>
        <v>DonEPDTimOP</v>
      </c>
      <c r="F38" t="str">
        <f>_xlfn.XLOOKUP(Table4[[#This Row],[Base System]],BASE_SYSTEM_TABLE[System Name],BASE_SYSTEM_TABLE[System Type],FALSE)</f>
        <v>Timber</v>
      </c>
      <c r="G38" t="str">
        <f>_xlfn.XLOOKUP(Table4[[#This Row],[Base System]],BASE_SYSTEM_TABLE[System Name],BASE_SYSTEM_TABLE[System Subtype],FALSE)</f>
        <v>Open</v>
      </c>
      <c r="H38" t="str">
        <f>_xlfn.XLOOKUP(Table4[[#This Row],[Base System]],BASE_SYSTEM_TABLE[System Name],BASE_SYSTEM_TABLE[Construction Type (Framed or Planar)],FALSE)</f>
        <v>Framed</v>
      </c>
      <c r="I38">
        <f>GETPIVOTDATA("Sum of A1-A3 Fossil kg CO2e/m^2 wall area",'COMPONENT PIVOT REF'!$A$3,"System Name",Table4[[#This Row],[Base System]])</f>
        <v>31.89873166666667</v>
      </c>
      <c r="J38">
        <f>GETPIVOTDATA("Sum of  R value (m^2-K/W)",'COMPONENT PIVOT REF'!$A$3,"System Name",Table4[[#This Row],[Base System]])</f>
        <v>5.0679675602175607</v>
      </c>
      <c r="K38">
        <f>GETPIVOTDATA("Sum of Total Mass per m^2 (kg)",'COMPONENT PIVOT REF'!$A$3,"System Name",Table4[[#This Row],[Base System]])</f>
        <v>33.260763888888889</v>
      </c>
      <c r="L38" t="s">
        <v>852</v>
      </c>
      <c r="M38" t="str">
        <f>_xlfn.XLOOKUP(Table4[[#This Row],[Ext Finish]],Master_Table4[System Name],Master_Table4[System Name (Short)],FALSE)</f>
        <v>EPDSolBrick</v>
      </c>
      <c r="N38" t="str">
        <f>_xlfn.XLOOKUP(Table4[[#This Row],[Ext Finish]],Master_Table4[System Name],Master_Table4[Compatible Systems],FALSE)</f>
        <v>LGS, Timber, ICF, SIP, Concrete Block</v>
      </c>
      <c r="O38" t="str">
        <f>IF(ISNUMBER(SEARCH(Table4[[#This Row],[MMC Method]],Table4[[#This Row],[Compatible Systems]])),"YES","NO")</f>
        <v>YES</v>
      </c>
      <c r="P38">
        <f>GETPIVOTDATA("Sum of A1-A3 Fossil kg CO2e/m^2 wall area",'COMPONENT PIVOT REF'!$I$3,"System Name",Table4[[#This Row],[Ext Finish]])</f>
        <v>47.801724999999998</v>
      </c>
      <c r="Q38">
        <f>GETPIVOTDATA("Sum of  R value (m^2-K/W)",'COMPONENT PIVOT REF'!$I$3,"System Name",Table4[[#This Row],[Ext Finish]])</f>
        <v>2.1626984126984126</v>
      </c>
      <c r="R38">
        <f>GETPIVOTDATA("Sum of Total Mass per m^2 (kg)",'COMPONENT PIVOT REF'!$I$3,"System Name",Table4[[#This Row],[Ext Finish]])</f>
        <v>233.095</v>
      </c>
      <c r="S38" t="s">
        <v>854</v>
      </c>
      <c r="T38" t="str">
        <f>_xlfn.XLOOKUP(Table4[[#This Row],[Int Finish]],Master_Table6[System Name],Master_Table6[System Name (Short)],FALSE)</f>
        <v>GPlas</v>
      </c>
      <c r="U38">
        <f>GETPIVOTDATA("Sum of A1-A3 Fossil kg CO2e/m^2 wall area",'COMPONENT PIVOT REF'!$P$3,"System Name",Table4[[#This Row],[Int Finish]])</f>
        <v>3.839</v>
      </c>
      <c r="V38">
        <f>GETPIVOTDATA("Sum of  R value (m^2-K/W)",'COMPONENT PIVOT REF'!$P$3,"System Name",Table4[[#This Row],[Int Finish]])</f>
        <v>0.56578947368421051</v>
      </c>
      <c r="W38">
        <f>GETPIVOTDATA("Sum of Total Mass per m^2 (kg)",'COMPONENT PIVOT REF'!$P$3,"System Name",Table4[[#This Row],[Int Finish]])</f>
        <v>9.3850000000000016</v>
      </c>
      <c r="X38">
        <f>Table4[[#This Row],[Ext Finish GWP]]+Table4[[#This Row],[Base GWP]]+Table4[[#This Row],[Int Finish GWP]]</f>
        <v>83.539456666666666</v>
      </c>
      <c r="Y38">
        <f>Table4[[#This Row],[Ext Finish R Value]]+Table4[[#This Row],[Base R Value]]+Table4[[#This Row],[Int Finish R Value]]</f>
        <v>7.7964554466001843</v>
      </c>
      <c r="Z38">
        <f>1/Table4[[#This Row],[Total R value]]</f>
        <v>0.12826341493890944</v>
      </c>
      <c r="AA38">
        <f>Table4[[#This Row],[Int Finish Mass]]+Table4[[#This Row],[Ext Finish Mass]]+Table4[[#This Row],[Base Mass]]</f>
        <v>275.74076388888886</v>
      </c>
    </row>
    <row r="39" spans="3:27" x14ac:dyDescent="0.35">
      <c r="C39" t="str">
        <f>_xlfn.CONCAT(Table4[[#This Row],[System Name (Short)]],"_",Table4[[#This Row],[Ext Finish Name (Short)]],"_",Table4[[#This Row],[Int Finish Name (Short)]])</f>
        <v>DonEPDTimOP_EPDComFiber_GPlas</v>
      </c>
      <c r="D39" s="119" t="s">
        <v>835</v>
      </c>
      <c r="E39" t="str">
        <f>_xlfn.XLOOKUP(Table4[[#This Row],[Base System]],BASE_SYSTEM_TABLE[System Name],BASE_SYSTEM_TABLE[System Name (Short)],FALSE)</f>
        <v>DonEPDTimOP</v>
      </c>
      <c r="F39" t="str">
        <f>_xlfn.XLOOKUP(Table4[[#This Row],[Base System]],BASE_SYSTEM_TABLE[System Name],BASE_SYSTEM_TABLE[System Type],FALSE)</f>
        <v>Timber</v>
      </c>
      <c r="G39" t="str">
        <f>_xlfn.XLOOKUP(Table4[[#This Row],[Base System]],BASE_SYSTEM_TABLE[System Name],BASE_SYSTEM_TABLE[System Subtype],FALSE)</f>
        <v>Open</v>
      </c>
      <c r="H39" t="str">
        <f>_xlfn.XLOOKUP(Table4[[#This Row],[Base System]],BASE_SYSTEM_TABLE[System Name],BASE_SYSTEM_TABLE[Construction Type (Framed or Planar)],FALSE)</f>
        <v>Framed</v>
      </c>
      <c r="I39">
        <f>GETPIVOTDATA("Sum of A1-A3 Fossil kg CO2e/m^2 wall area",'COMPONENT PIVOT REF'!$A$3,"System Name",Table4[[#This Row],[Base System]])</f>
        <v>31.89873166666667</v>
      </c>
      <c r="J39">
        <f>GETPIVOTDATA("Sum of  R value (m^2-K/W)",'COMPONENT PIVOT REF'!$A$3,"System Name",Table4[[#This Row],[Base System]])</f>
        <v>5.0679675602175607</v>
      </c>
      <c r="K39">
        <f>GETPIVOTDATA("Sum of Total Mass per m^2 (kg)",'COMPONENT PIVOT REF'!$A$3,"System Name",Table4[[#This Row],[Base System]])</f>
        <v>33.260763888888889</v>
      </c>
      <c r="L39" t="s">
        <v>851</v>
      </c>
      <c r="M39" t="str">
        <f>_xlfn.XLOOKUP(Table4[[#This Row],[Ext Finish]],Master_Table4[System Name],Master_Table4[System Name (Short)],FALSE)</f>
        <v>EPDComFiber</v>
      </c>
      <c r="N39" t="str">
        <f>_xlfn.XLOOKUP(Table4[[#This Row],[Ext Finish]],Master_Table4[System Name],Master_Table4[Compatible Systems],FALSE)</f>
        <v>LGS, Timber, ICF, SIP, Concrete Block</v>
      </c>
      <c r="O39" t="str">
        <f>IF(ISNUMBER(SEARCH(Table4[[#This Row],[MMC Method]],Table4[[#This Row],[Compatible Systems]])),"YES","NO")</f>
        <v>YES</v>
      </c>
      <c r="P39">
        <f>GETPIVOTDATA("Sum of A1-A3 Fossil kg CO2e/m^2 wall area",'COMPONENT PIVOT REF'!$I$3,"System Name",Table4[[#This Row],[Ext Finish]])</f>
        <v>22</v>
      </c>
      <c r="Q39">
        <f>GETPIVOTDATA("Sum of  R value (m^2-K/W)",'COMPONENT PIVOT REF'!$I$3,"System Name",Table4[[#This Row],[Ext Finish]])</f>
        <v>2.4699999999999998</v>
      </c>
      <c r="R39">
        <f>GETPIVOTDATA("Sum of Total Mass per m^2 (kg)",'COMPONENT PIVOT REF'!$I$3,"System Name",Table4[[#This Row],[Ext Finish]])</f>
        <v>0.16999999999999998</v>
      </c>
      <c r="S39" t="s">
        <v>854</v>
      </c>
      <c r="T39" t="str">
        <f>_xlfn.XLOOKUP(Table4[[#This Row],[Int Finish]],Master_Table6[System Name],Master_Table6[System Name (Short)],FALSE)</f>
        <v>GPlas</v>
      </c>
      <c r="U39">
        <f>GETPIVOTDATA("Sum of A1-A3 Fossil kg CO2e/m^2 wall area",'COMPONENT PIVOT REF'!$P$3,"System Name",Table4[[#This Row],[Int Finish]])</f>
        <v>3.839</v>
      </c>
      <c r="V39">
        <f>GETPIVOTDATA("Sum of  R value (m^2-K/W)",'COMPONENT PIVOT REF'!$P$3,"System Name",Table4[[#This Row],[Int Finish]])</f>
        <v>0.56578947368421051</v>
      </c>
      <c r="W39">
        <f>GETPIVOTDATA("Sum of Total Mass per m^2 (kg)",'COMPONENT PIVOT REF'!$P$3,"System Name",Table4[[#This Row],[Int Finish]])</f>
        <v>9.3850000000000016</v>
      </c>
      <c r="X39">
        <f>Table4[[#This Row],[Ext Finish GWP]]+Table4[[#This Row],[Base GWP]]+Table4[[#This Row],[Int Finish GWP]]</f>
        <v>57.737731666666669</v>
      </c>
      <c r="Y39">
        <f>Table4[[#This Row],[Ext Finish R Value]]+Table4[[#This Row],[Base R Value]]+Table4[[#This Row],[Int Finish R Value]]</f>
        <v>8.1037570339017702</v>
      </c>
      <c r="Z39">
        <f>1/Table4[[#This Row],[Total R value]]</f>
        <v>0.12339955354245404</v>
      </c>
      <c r="AA39">
        <f>Table4[[#This Row],[Int Finish Mass]]+Table4[[#This Row],[Ext Finish Mass]]+Table4[[#This Row],[Base Mass]]</f>
        <v>42.815763888888888</v>
      </c>
    </row>
    <row r="40" spans="3:27" x14ac:dyDescent="0.35">
      <c r="C40" t="str">
        <f>_xlfn.CONCAT(Table4[[#This Row],[System Name (Short)]],"_",Table4[[#This Row],[Ext Finish Name (Short)]],"_",Table4[[#This Row],[Int Finish Name (Short)]])</f>
        <v>DonEPDTimIN_LCASolBrick_GPlas</v>
      </c>
      <c r="D40" s="119" t="s">
        <v>836</v>
      </c>
      <c r="E40" t="str">
        <f>_xlfn.XLOOKUP(Table4[[#This Row],[Base System]],BASE_SYSTEM_TABLE[System Name],BASE_SYSTEM_TABLE[System Name (Short)],FALSE)</f>
        <v>DonEPDTimIN</v>
      </c>
      <c r="F40" t="str">
        <f>_xlfn.XLOOKUP(Table4[[#This Row],[Base System]],BASE_SYSTEM_TABLE[System Name],BASE_SYSTEM_TABLE[System Type],FALSE)</f>
        <v>Timber</v>
      </c>
      <c r="G40" t="str">
        <f>_xlfn.XLOOKUP(Table4[[#This Row],[Base System]],BASE_SYSTEM_TABLE[System Name],BASE_SYSTEM_TABLE[System Subtype],FALSE)</f>
        <v>Pre-Insulated</v>
      </c>
      <c r="H40" t="str">
        <f>_xlfn.XLOOKUP(Table4[[#This Row],[Base System]],BASE_SYSTEM_TABLE[System Name],BASE_SYSTEM_TABLE[Construction Type (Framed or Planar)],FALSE)</f>
        <v>Framed</v>
      </c>
      <c r="I40">
        <f>GETPIVOTDATA("Sum of A1-A3 Fossil kg CO2e/m^2 wall area",'COMPONENT PIVOT REF'!$A$3,"System Name",Table4[[#This Row],[Base System]])</f>
        <v>18.8</v>
      </c>
      <c r="J40">
        <f>GETPIVOTDATA("Sum of  R value (m^2-K/W)",'COMPONENT PIVOT REF'!$A$3,"System Name",Table4[[#This Row],[Base System]])</f>
        <v>5.0694675602175607</v>
      </c>
      <c r="K40">
        <f>GETPIVOTDATA("Sum of Total Mass per m^2 (kg)",'COMPONENT PIVOT REF'!$A$3,"System Name",Table4[[#This Row],[Base System]])</f>
        <v>23.57</v>
      </c>
      <c r="L40" t="s">
        <v>853</v>
      </c>
      <c r="M40" t="str">
        <f>_xlfn.XLOOKUP(Table4[[#This Row],[Ext Finish]],Master_Table4[System Name],Master_Table4[System Name (Short)],FALSE)</f>
        <v>LCASolBrick</v>
      </c>
      <c r="N40" t="str">
        <f>_xlfn.XLOOKUP(Table4[[#This Row],[Ext Finish]],Master_Table4[System Name],Master_Table4[Compatible Systems],FALSE)</f>
        <v>LGS, Timber, ICF, SIP, Concrete Block</v>
      </c>
      <c r="O40" t="str">
        <f>IF(ISNUMBER(SEARCH(Table4[[#This Row],[MMC Method]],Table4[[#This Row],[Compatible Systems]])),"YES","NO")</f>
        <v>YES</v>
      </c>
      <c r="P40">
        <f>GETPIVOTDATA("Sum of A1-A3 Fossil kg CO2e/m^2 wall area",'COMPONENT PIVOT REF'!$I$3,"System Name",Table4[[#This Row],[Ext Finish]])</f>
        <v>47.384999999999998</v>
      </c>
      <c r="Q40">
        <f>GETPIVOTDATA("Sum of  R value (m^2-K/W)",'COMPONENT PIVOT REF'!$I$3,"System Name",Table4[[#This Row],[Ext Finish]])</f>
        <v>2.1298701298701297</v>
      </c>
      <c r="R40">
        <f>GETPIVOTDATA("Sum of Total Mass per m^2 (kg)",'COMPONENT PIVOT REF'!$I$3,"System Name",Table4[[#This Row],[Ext Finish]])</f>
        <v>231.17000000000002</v>
      </c>
      <c r="S40" t="s">
        <v>854</v>
      </c>
      <c r="T40" t="str">
        <f>_xlfn.XLOOKUP(Table4[[#This Row],[Int Finish]],Master_Table6[System Name],Master_Table6[System Name (Short)],FALSE)</f>
        <v>GPlas</v>
      </c>
      <c r="U40">
        <f>GETPIVOTDATA("Sum of A1-A3 Fossil kg CO2e/m^2 wall area",'COMPONENT PIVOT REF'!$P$3,"System Name",Table4[[#This Row],[Int Finish]])</f>
        <v>3.839</v>
      </c>
      <c r="V40">
        <f>GETPIVOTDATA("Sum of  R value (m^2-K/W)",'COMPONENT PIVOT REF'!$P$3,"System Name",Table4[[#This Row],[Int Finish]])</f>
        <v>0.56578947368421051</v>
      </c>
      <c r="W40">
        <f>GETPIVOTDATA("Sum of Total Mass per m^2 (kg)",'COMPONENT PIVOT REF'!$P$3,"System Name",Table4[[#This Row],[Int Finish]])</f>
        <v>9.3850000000000016</v>
      </c>
      <c r="X40">
        <f>Table4[[#This Row],[Ext Finish GWP]]+Table4[[#This Row],[Base GWP]]+Table4[[#This Row],[Int Finish GWP]]</f>
        <v>70.024000000000001</v>
      </c>
      <c r="Y40">
        <f>Table4[[#This Row],[Ext Finish R Value]]+Table4[[#This Row],[Base R Value]]+Table4[[#This Row],[Int Finish R Value]]</f>
        <v>7.7651271637719006</v>
      </c>
      <c r="Z40">
        <f>1/Table4[[#This Row],[Total R value]]</f>
        <v>0.12878089165950649</v>
      </c>
      <c r="AA40">
        <f>Table4[[#This Row],[Int Finish Mass]]+Table4[[#This Row],[Ext Finish Mass]]+Table4[[#This Row],[Base Mass]]</f>
        <v>264.125</v>
      </c>
    </row>
    <row r="41" spans="3:27" x14ac:dyDescent="0.35">
      <c r="C41" t="str">
        <f>_xlfn.CONCAT(Table4[[#This Row],[System Name (Short)]],"_",Table4[[#This Row],[Ext Finish Name (Short)]],"_",Table4[[#This Row],[Int Finish Name (Short)]])</f>
        <v>DonEPDTimIN_EPDSolBrick_GPlas</v>
      </c>
      <c r="D41" s="119" t="s">
        <v>836</v>
      </c>
      <c r="E41" t="str">
        <f>_xlfn.XLOOKUP(Table4[[#This Row],[Base System]],BASE_SYSTEM_TABLE[System Name],BASE_SYSTEM_TABLE[System Name (Short)],FALSE)</f>
        <v>DonEPDTimIN</v>
      </c>
      <c r="F41" t="str">
        <f>_xlfn.XLOOKUP(Table4[[#This Row],[Base System]],BASE_SYSTEM_TABLE[System Name],BASE_SYSTEM_TABLE[System Type],FALSE)</f>
        <v>Timber</v>
      </c>
      <c r="G41" t="str">
        <f>_xlfn.XLOOKUP(Table4[[#This Row],[Base System]],BASE_SYSTEM_TABLE[System Name],BASE_SYSTEM_TABLE[System Subtype],FALSE)</f>
        <v>Pre-Insulated</v>
      </c>
      <c r="H41" t="str">
        <f>_xlfn.XLOOKUP(Table4[[#This Row],[Base System]],BASE_SYSTEM_TABLE[System Name],BASE_SYSTEM_TABLE[Construction Type (Framed or Planar)],FALSE)</f>
        <v>Framed</v>
      </c>
      <c r="I41">
        <f>GETPIVOTDATA("Sum of A1-A3 Fossil kg CO2e/m^2 wall area",'COMPONENT PIVOT REF'!$A$3,"System Name",Table4[[#This Row],[Base System]])</f>
        <v>18.8</v>
      </c>
      <c r="J41">
        <f>GETPIVOTDATA("Sum of  R value (m^2-K/W)",'COMPONENT PIVOT REF'!$A$3,"System Name",Table4[[#This Row],[Base System]])</f>
        <v>5.0694675602175607</v>
      </c>
      <c r="K41">
        <f>GETPIVOTDATA("Sum of Total Mass per m^2 (kg)",'COMPONENT PIVOT REF'!$A$3,"System Name",Table4[[#This Row],[Base System]])</f>
        <v>23.57</v>
      </c>
      <c r="L41" t="s">
        <v>852</v>
      </c>
      <c r="M41" t="str">
        <f>_xlfn.XLOOKUP(Table4[[#This Row],[Ext Finish]],Master_Table4[System Name],Master_Table4[System Name (Short)],FALSE)</f>
        <v>EPDSolBrick</v>
      </c>
      <c r="N41" t="str">
        <f>_xlfn.XLOOKUP(Table4[[#This Row],[Ext Finish]],Master_Table4[System Name],Master_Table4[Compatible Systems],FALSE)</f>
        <v>LGS, Timber, ICF, SIP, Concrete Block</v>
      </c>
      <c r="O41" t="str">
        <f>IF(ISNUMBER(SEARCH(Table4[[#This Row],[MMC Method]],Table4[[#This Row],[Compatible Systems]])),"YES","NO")</f>
        <v>YES</v>
      </c>
      <c r="P41">
        <f>GETPIVOTDATA("Sum of A1-A3 Fossil kg CO2e/m^2 wall area",'COMPONENT PIVOT REF'!$I$3,"System Name",Table4[[#This Row],[Ext Finish]])</f>
        <v>47.801724999999998</v>
      </c>
      <c r="Q41">
        <f>GETPIVOTDATA("Sum of  R value (m^2-K/W)",'COMPONENT PIVOT REF'!$I$3,"System Name",Table4[[#This Row],[Ext Finish]])</f>
        <v>2.1626984126984126</v>
      </c>
      <c r="R41">
        <f>GETPIVOTDATA("Sum of Total Mass per m^2 (kg)",'COMPONENT PIVOT REF'!$I$3,"System Name",Table4[[#This Row],[Ext Finish]])</f>
        <v>233.095</v>
      </c>
      <c r="S41" t="s">
        <v>854</v>
      </c>
      <c r="T41" t="str">
        <f>_xlfn.XLOOKUP(Table4[[#This Row],[Int Finish]],Master_Table6[System Name],Master_Table6[System Name (Short)],FALSE)</f>
        <v>GPlas</v>
      </c>
      <c r="U41">
        <f>GETPIVOTDATA("Sum of A1-A3 Fossil kg CO2e/m^2 wall area",'COMPONENT PIVOT REF'!$P$3,"System Name",Table4[[#This Row],[Int Finish]])</f>
        <v>3.839</v>
      </c>
      <c r="V41">
        <f>GETPIVOTDATA("Sum of  R value (m^2-K/W)",'COMPONENT PIVOT REF'!$P$3,"System Name",Table4[[#This Row],[Int Finish]])</f>
        <v>0.56578947368421051</v>
      </c>
      <c r="W41">
        <f>GETPIVOTDATA("Sum of Total Mass per m^2 (kg)",'COMPONENT PIVOT REF'!$P$3,"System Name",Table4[[#This Row],[Int Finish]])</f>
        <v>9.3850000000000016</v>
      </c>
      <c r="X41">
        <f>Table4[[#This Row],[Ext Finish GWP]]+Table4[[#This Row],[Base GWP]]+Table4[[#This Row],[Int Finish GWP]]</f>
        <v>70.440725</v>
      </c>
      <c r="Y41">
        <f>Table4[[#This Row],[Ext Finish R Value]]+Table4[[#This Row],[Base R Value]]+Table4[[#This Row],[Int Finish R Value]]</f>
        <v>7.7979554466001844</v>
      </c>
      <c r="Z41">
        <f>1/Table4[[#This Row],[Total R value]]</f>
        <v>0.12823874243036207</v>
      </c>
      <c r="AA41">
        <f>Table4[[#This Row],[Int Finish Mass]]+Table4[[#This Row],[Ext Finish Mass]]+Table4[[#This Row],[Base Mass]]</f>
        <v>266.05</v>
      </c>
    </row>
    <row r="42" spans="3:27" x14ac:dyDescent="0.35">
      <c r="C42" t="str">
        <f>_xlfn.CONCAT(Table4[[#This Row],[System Name (Short)]],"_",Table4[[#This Row],[Ext Finish Name (Short)]],"_",Table4[[#This Row],[Int Finish Name (Short)]])</f>
        <v>DonEPDTimIN_EPDComFiber_GPlas</v>
      </c>
      <c r="D42" s="119" t="s">
        <v>836</v>
      </c>
      <c r="E42" t="str">
        <f>_xlfn.XLOOKUP(Table4[[#This Row],[Base System]],BASE_SYSTEM_TABLE[System Name],BASE_SYSTEM_TABLE[System Name (Short)],FALSE)</f>
        <v>DonEPDTimIN</v>
      </c>
      <c r="F42" t="str">
        <f>_xlfn.XLOOKUP(Table4[[#This Row],[Base System]],BASE_SYSTEM_TABLE[System Name],BASE_SYSTEM_TABLE[System Type],FALSE)</f>
        <v>Timber</v>
      </c>
      <c r="G42" t="str">
        <f>_xlfn.XLOOKUP(Table4[[#This Row],[Base System]],BASE_SYSTEM_TABLE[System Name],BASE_SYSTEM_TABLE[System Subtype],FALSE)</f>
        <v>Pre-Insulated</v>
      </c>
      <c r="H42" t="str">
        <f>_xlfn.XLOOKUP(Table4[[#This Row],[Base System]],BASE_SYSTEM_TABLE[System Name],BASE_SYSTEM_TABLE[Construction Type (Framed or Planar)],FALSE)</f>
        <v>Framed</v>
      </c>
      <c r="I42">
        <f>GETPIVOTDATA("Sum of A1-A3 Fossil kg CO2e/m^2 wall area",'COMPONENT PIVOT REF'!$A$3,"System Name",Table4[[#This Row],[Base System]])</f>
        <v>18.8</v>
      </c>
      <c r="J42">
        <f>GETPIVOTDATA("Sum of  R value (m^2-K/W)",'COMPONENT PIVOT REF'!$A$3,"System Name",Table4[[#This Row],[Base System]])</f>
        <v>5.0694675602175607</v>
      </c>
      <c r="K42">
        <f>GETPIVOTDATA("Sum of Total Mass per m^2 (kg)",'COMPONENT PIVOT REF'!$A$3,"System Name",Table4[[#This Row],[Base System]])</f>
        <v>23.57</v>
      </c>
      <c r="L42" t="s">
        <v>851</v>
      </c>
      <c r="M42" t="str">
        <f>_xlfn.XLOOKUP(Table4[[#This Row],[Ext Finish]],Master_Table4[System Name],Master_Table4[System Name (Short)],FALSE)</f>
        <v>EPDComFiber</v>
      </c>
      <c r="N42" t="str">
        <f>_xlfn.XLOOKUP(Table4[[#This Row],[Ext Finish]],Master_Table4[System Name],Master_Table4[Compatible Systems],FALSE)</f>
        <v>LGS, Timber, ICF, SIP, Concrete Block</v>
      </c>
      <c r="O42" t="str">
        <f>IF(ISNUMBER(SEARCH(Table4[[#This Row],[MMC Method]],Table4[[#This Row],[Compatible Systems]])),"YES","NO")</f>
        <v>YES</v>
      </c>
      <c r="P42">
        <f>GETPIVOTDATA("Sum of A1-A3 Fossil kg CO2e/m^2 wall area",'COMPONENT PIVOT REF'!$I$3,"System Name",Table4[[#This Row],[Ext Finish]])</f>
        <v>22</v>
      </c>
      <c r="Q42">
        <f>GETPIVOTDATA("Sum of  R value (m^2-K/W)",'COMPONENT PIVOT REF'!$I$3,"System Name",Table4[[#This Row],[Ext Finish]])</f>
        <v>2.4699999999999998</v>
      </c>
      <c r="R42">
        <f>GETPIVOTDATA("Sum of Total Mass per m^2 (kg)",'COMPONENT PIVOT REF'!$I$3,"System Name",Table4[[#This Row],[Ext Finish]])</f>
        <v>0.16999999999999998</v>
      </c>
      <c r="S42" t="s">
        <v>854</v>
      </c>
      <c r="T42" t="str">
        <f>_xlfn.XLOOKUP(Table4[[#This Row],[Int Finish]],Master_Table6[System Name],Master_Table6[System Name (Short)],FALSE)</f>
        <v>GPlas</v>
      </c>
      <c r="U42">
        <f>GETPIVOTDATA("Sum of A1-A3 Fossil kg CO2e/m^2 wall area",'COMPONENT PIVOT REF'!$P$3,"System Name",Table4[[#This Row],[Int Finish]])</f>
        <v>3.839</v>
      </c>
      <c r="V42">
        <f>GETPIVOTDATA("Sum of  R value (m^2-K/W)",'COMPONENT PIVOT REF'!$P$3,"System Name",Table4[[#This Row],[Int Finish]])</f>
        <v>0.56578947368421051</v>
      </c>
      <c r="W42">
        <f>GETPIVOTDATA("Sum of Total Mass per m^2 (kg)",'COMPONENT PIVOT REF'!$P$3,"System Name",Table4[[#This Row],[Int Finish]])</f>
        <v>9.3850000000000016</v>
      </c>
      <c r="X42">
        <f>Table4[[#This Row],[Ext Finish GWP]]+Table4[[#This Row],[Base GWP]]+Table4[[#This Row],[Int Finish GWP]]</f>
        <v>44.638999999999996</v>
      </c>
      <c r="Y42">
        <f>Table4[[#This Row],[Ext Finish R Value]]+Table4[[#This Row],[Base R Value]]+Table4[[#This Row],[Int Finish R Value]]</f>
        <v>8.1052570339017702</v>
      </c>
      <c r="Z42">
        <f>1/Table4[[#This Row],[Total R value]]</f>
        <v>0.12337671659483603</v>
      </c>
      <c r="AA42">
        <f>Table4[[#This Row],[Int Finish Mass]]+Table4[[#This Row],[Ext Finish Mass]]+Table4[[#This Row],[Base Mass]]</f>
        <v>33.125</v>
      </c>
    </row>
    <row r="43" spans="3:27" x14ac:dyDescent="0.35">
      <c r="C43" t="str">
        <f>_xlfn.CONCAT(Table4[[#This Row],[System Name (Short)]],"_",Table4[[#This Row],[Ext Finish Name (Short)]],"_",Table4[[#This Row],[Int Finish Name (Short)]])</f>
        <v>DonCsEPDTimCL_LCASolBrick_GPlas</v>
      </c>
      <c r="D43" s="119" t="s">
        <v>833</v>
      </c>
      <c r="E43" t="str">
        <f>_xlfn.XLOOKUP(Table4[[#This Row],[Base System]],BASE_SYSTEM_TABLE[System Name],BASE_SYSTEM_TABLE[System Name (Short)],FALSE)</f>
        <v>DonCsEPDTimCL</v>
      </c>
      <c r="F43" t="str">
        <f>_xlfn.XLOOKUP(Table4[[#This Row],[Base System]],BASE_SYSTEM_TABLE[System Name],BASE_SYSTEM_TABLE[System Type],FALSE)</f>
        <v>Timber</v>
      </c>
      <c r="G43" t="str">
        <f>_xlfn.XLOOKUP(Table4[[#This Row],[Base System]],BASE_SYSTEM_TABLE[System Name],BASE_SYSTEM_TABLE[System Subtype],FALSE)</f>
        <v xml:space="preserve">Closed </v>
      </c>
      <c r="H43" t="str">
        <f>_xlfn.XLOOKUP(Table4[[#This Row],[Base System]],BASE_SYSTEM_TABLE[System Name],BASE_SYSTEM_TABLE[Construction Type (Framed or Planar)],FALSE)</f>
        <v>Framed</v>
      </c>
      <c r="I43">
        <f>GETPIVOTDATA("Sum of A1-A3 Fossil kg CO2e/m^2 wall area",'COMPONENT PIVOT REF'!$A$3,"System Name",Table4[[#This Row],[Base System]])</f>
        <v>27.8</v>
      </c>
      <c r="J43">
        <f>GETPIVOTDATA("Sum of  R value (m^2-K/W)",'COMPONENT PIVOT REF'!$A$3,"System Name",Table4[[#This Row],[Base System]])</f>
        <v>5</v>
      </c>
      <c r="K43">
        <f>GETPIVOTDATA("Sum of Total Mass per m^2 (kg)",'COMPONENT PIVOT REF'!$A$3,"System Name",Table4[[#This Row],[Base System]])</f>
        <v>31.66</v>
      </c>
      <c r="L43" t="s">
        <v>853</v>
      </c>
      <c r="M43" t="str">
        <f>_xlfn.XLOOKUP(Table4[[#This Row],[Ext Finish]],Master_Table4[System Name],Master_Table4[System Name (Short)],FALSE)</f>
        <v>LCASolBrick</v>
      </c>
      <c r="N43" t="str">
        <f>_xlfn.XLOOKUP(Table4[[#This Row],[Ext Finish]],Master_Table4[System Name],Master_Table4[Compatible Systems],FALSE)</f>
        <v>LGS, Timber, ICF, SIP, Concrete Block</v>
      </c>
      <c r="O43" t="str">
        <f>IF(ISNUMBER(SEARCH(Table4[[#This Row],[MMC Method]],Table4[[#This Row],[Compatible Systems]])),"YES","NO")</f>
        <v>YES</v>
      </c>
      <c r="P43">
        <f>GETPIVOTDATA("Sum of A1-A3 Fossil kg CO2e/m^2 wall area",'COMPONENT PIVOT REF'!$I$3,"System Name",Table4[[#This Row],[Ext Finish]])</f>
        <v>47.384999999999998</v>
      </c>
      <c r="Q43">
        <f>GETPIVOTDATA("Sum of  R value (m^2-K/W)",'COMPONENT PIVOT REF'!$I$3,"System Name",Table4[[#This Row],[Ext Finish]])</f>
        <v>2.1298701298701297</v>
      </c>
      <c r="R43">
        <f>GETPIVOTDATA("Sum of Total Mass per m^2 (kg)",'COMPONENT PIVOT REF'!$I$3,"System Name",Table4[[#This Row],[Ext Finish]])</f>
        <v>231.17000000000002</v>
      </c>
      <c r="S43" t="s">
        <v>854</v>
      </c>
      <c r="T43" t="str">
        <f>_xlfn.XLOOKUP(Table4[[#This Row],[Int Finish]],Master_Table6[System Name],Master_Table6[System Name (Short)],FALSE)</f>
        <v>GPlas</v>
      </c>
      <c r="U43">
        <f>GETPIVOTDATA("Sum of A1-A3 Fossil kg CO2e/m^2 wall area",'COMPONENT PIVOT REF'!$P$3,"System Name",Table4[[#This Row],[Int Finish]])</f>
        <v>3.839</v>
      </c>
      <c r="V43">
        <f>GETPIVOTDATA("Sum of  R value (m^2-K/W)",'COMPONENT PIVOT REF'!$P$3,"System Name",Table4[[#This Row],[Int Finish]])</f>
        <v>0.56578947368421051</v>
      </c>
      <c r="W43">
        <f>GETPIVOTDATA("Sum of Total Mass per m^2 (kg)",'COMPONENT PIVOT REF'!$P$3,"System Name",Table4[[#This Row],[Int Finish]])</f>
        <v>9.3850000000000016</v>
      </c>
      <c r="X43">
        <f>Table4[[#This Row],[Ext Finish GWP]]+Table4[[#This Row],[Base GWP]]+Table4[[#This Row],[Int Finish GWP]]</f>
        <v>79.024000000000001</v>
      </c>
      <c r="Y43">
        <f>Table4[[#This Row],[Ext Finish R Value]]+Table4[[#This Row],[Base R Value]]+Table4[[#This Row],[Int Finish R Value]]</f>
        <v>7.6956596035543399</v>
      </c>
      <c r="Z43">
        <f>1/Table4[[#This Row],[Total R value]]</f>
        <v>0.12994337737315423</v>
      </c>
      <c r="AA43">
        <f>Table4[[#This Row],[Int Finish Mass]]+Table4[[#This Row],[Ext Finish Mass]]+Table4[[#This Row],[Base Mass]]</f>
        <v>272.21500000000003</v>
      </c>
    </row>
    <row r="44" spans="3:27" x14ac:dyDescent="0.35">
      <c r="C44" t="str">
        <f>_xlfn.CONCAT(Table4[[#This Row],[System Name (Short)]],"_",Table4[[#This Row],[Ext Finish Name (Short)]],"_",Table4[[#This Row],[Int Finish Name (Short)]])</f>
        <v>DonCsEPDTimCL_EPDSolBrick_GPlas</v>
      </c>
      <c r="D44" s="119" t="s">
        <v>833</v>
      </c>
      <c r="E44" t="str">
        <f>_xlfn.XLOOKUP(Table4[[#This Row],[Base System]],BASE_SYSTEM_TABLE[System Name],BASE_SYSTEM_TABLE[System Name (Short)],FALSE)</f>
        <v>DonCsEPDTimCL</v>
      </c>
      <c r="F44" t="str">
        <f>_xlfn.XLOOKUP(Table4[[#This Row],[Base System]],BASE_SYSTEM_TABLE[System Name],BASE_SYSTEM_TABLE[System Type],FALSE)</f>
        <v>Timber</v>
      </c>
      <c r="G44" t="str">
        <f>_xlfn.XLOOKUP(Table4[[#This Row],[Base System]],BASE_SYSTEM_TABLE[System Name],BASE_SYSTEM_TABLE[System Subtype],FALSE)</f>
        <v xml:space="preserve">Closed </v>
      </c>
      <c r="H44" t="str">
        <f>_xlfn.XLOOKUP(Table4[[#This Row],[Base System]],BASE_SYSTEM_TABLE[System Name],BASE_SYSTEM_TABLE[Construction Type (Framed or Planar)],FALSE)</f>
        <v>Framed</v>
      </c>
      <c r="I44">
        <f>GETPIVOTDATA("Sum of A1-A3 Fossil kg CO2e/m^2 wall area",'COMPONENT PIVOT REF'!$A$3,"System Name",Table4[[#This Row],[Base System]])</f>
        <v>27.8</v>
      </c>
      <c r="J44">
        <f>GETPIVOTDATA("Sum of  R value (m^2-K/W)",'COMPONENT PIVOT REF'!$A$3,"System Name",Table4[[#This Row],[Base System]])</f>
        <v>5</v>
      </c>
      <c r="K44">
        <f>GETPIVOTDATA("Sum of Total Mass per m^2 (kg)",'COMPONENT PIVOT REF'!$A$3,"System Name",Table4[[#This Row],[Base System]])</f>
        <v>31.66</v>
      </c>
      <c r="L44" t="s">
        <v>852</v>
      </c>
      <c r="M44" t="str">
        <f>_xlfn.XLOOKUP(Table4[[#This Row],[Ext Finish]],Master_Table4[System Name],Master_Table4[System Name (Short)],FALSE)</f>
        <v>EPDSolBrick</v>
      </c>
      <c r="N44" t="str">
        <f>_xlfn.XLOOKUP(Table4[[#This Row],[Ext Finish]],Master_Table4[System Name],Master_Table4[Compatible Systems],FALSE)</f>
        <v>LGS, Timber, ICF, SIP, Concrete Block</v>
      </c>
      <c r="O44" t="str">
        <f>IF(ISNUMBER(SEARCH(Table4[[#This Row],[MMC Method]],Table4[[#This Row],[Compatible Systems]])),"YES","NO")</f>
        <v>YES</v>
      </c>
      <c r="P44">
        <f>GETPIVOTDATA("Sum of A1-A3 Fossil kg CO2e/m^2 wall area",'COMPONENT PIVOT REF'!$I$3,"System Name",Table4[[#This Row],[Ext Finish]])</f>
        <v>47.801724999999998</v>
      </c>
      <c r="Q44">
        <f>GETPIVOTDATA("Sum of  R value (m^2-K/W)",'COMPONENT PIVOT REF'!$I$3,"System Name",Table4[[#This Row],[Ext Finish]])</f>
        <v>2.1626984126984126</v>
      </c>
      <c r="R44">
        <f>GETPIVOTDATA("Sum of Total Mass per m^2 (kg)",'COMPONENT PIVOT REF'!$I$3,"System Name",Table4[[#This Row],[Ext Finish]])</f>
        <v>233.095</v>
      </c>
      <c r="S44" t="s">
        <v>854</v>
      </c>
      <c r="T44" t="str">
        <f>_xlfn.XLOOKUP(Table4[[#This Row],[Int Finish]],Master_Table6[System Name],Master_Table6[System Name (Short)],FALSE)</f>
        <v>GPlas</v>
      </c>
      <c r="U44">
        <f>GETPIVOTDATA("Sum of A1-A3 Fossil kg CO2e/m^2 wall area",'COMPONENT PIVOT REF'!$P$3,"System Name",Table4[[#This Row],[Int Finish]])</f>
        <v>3.839</v>
      </c>
      <c r="V44">
        <f>GETPIVOTDATA("Sum of  R value (m^2-K/W)",'COMPONENT PIVOT REF'!$P$3,"System Name",Table4[[#This Row],[Int Finish]])</f>
        <v>0.56578947368421051</v>
      </c>
      <c r="W44">
        <f>GETPIVOTDATA("Sum of Total Mass per m^2 (kg)",'COMPONENT PIVOT REF'!$P$3,"System Name",Table4[[#This Row],[Int Finish]])</f>
        <v>9.3850000000000016</v>
      </c>
      <c r="X44">
        <f>Table4[[#This Row],[Ext Finish GWP]]+Table4[[#This Row],[Base GWP]]+Table4[[#This Row],[Int Finish GWP]]</f>
        <v>79.440725</v>
      </c>
      <c r="Y44">
        <f>Table4[[#This Row],[Ext Finish R Value]]+Table4[[#This Row],[Base R Value]]+Table4[[#This Row],[Int Finish R Value]]</f>
        <v>7.7284878863826236</v>
      </c>
      <c r="Z44">
        <f>1/Table4[[#This Row],[Total R value]]</f>
        <v>0.12939141714409252</v>
      </c>
      <c r="AA44">
        <f>Table4[[#This Row],[Int Finish Mass]]+Table4[[#This Row],[Ext Finish Mass]]+Table4[[#This Row],[Base Mass]]</f>
        <v>274.14</v>
      </c>
    </row>
    <row r="45" spans="3:27" x14ac:dyDescent="0.35">
      <c r="C45" t="str">
        <f>_xlfn.CONCAT(Table4[[#This Row],[System Name (Short)]],"_",Table4[[#This Row],[Ext Finish Name (Short)]],"_",Table4[[#This Row],[Int Finish Name (Short)]])</f>
        <v>DonCsEPDTimCL_EPDComFiber_GPlas</v>
      </c>
      <c r="D45" s="119" t="s">
        <v>833</v>
      </c>
      <c r="E45" t="str">
        <f>_xlfn.XLOOKUP(Table4[[#This Row],[Base System]],BASE_SYSTEM_TABLE[System Name],BASE_SYSTEM_TABLE[System Name (Short)],FALSE)</f>
        <v>DonCsEPDTimCL</v>
      </c>
      <c r="F45" t="str">
        <f>_xlfn.XLOOKUP(Table4[[#This Row],[Base System]],BASE_SYSTEM_TABLE[System Name],BASE_SYSTEM_TABLE[System Type],FALSE)</f>
        <v>Timber</v>
      </c>
      <c r="G45" t="str">
        <f>_xlfn.XLOOKUP(Table4[[#This Row],[Base System]],BASE_SYSTEM_TABLE[System Name],BASE_SYSTEM_TABLE[System Subtype],FALSE)</f>
        <v xml:space="preserve">Closed </v>
      </c>
      <c r="H45" t="str">
        <f>_xlfn.XLOOKUP(Table4[[#This Row],[Base System]],BASE_SYSTEM_TABLE[System Name],BASE_SYSTEM_TABLE[Construction Type (Framed or Planar)],FALSE)</f>
        <v>Framed</v>
      </c>
      <c r="I45">
        <f>GETPIVOTDATA("Sum of A1-A3 Fossil kg CO2e/m^2 wall area",'COMPONENT PIVOT REF'!$A$3,"System Name",Table4[[#This Row],[Base System]])</f>
        <v>27.8</v>
      </c>
      <c r="J45">
        <f>GETPIVOTDATA("Sum of  R value (m^2-K/W)",'COMPONENT PIVOT REF'!$A$3,"System Name",Table4[[#This Row],[Base System]])</f>
        <v>5</v>
      </c>
      <c r="K45">
        <f>GETPIVOTDATA("Sum of Total Mass per m^2 (kg)",'COMPONENT PIVOT REF'!$A$3,"System Name",Table4[[#This Row],[Base System]])</f>
        <v>31.66</v>
      </c>
      <c r="L45" t="s">
        <v>851</v>
      </c>
      <c r="M45" t="str">
        <f>_xlfn.XLOOKUP(Table4[[#This Row],[Ext Finish]],Master_Table4[System Name],Master_Table4[System Name (Short)],FALSE)</f>
        <v>EPDComFiber</v>
      </c>
      <c r="N45" t="str">
        <f>_xlfn.XLOOKUP(Table4[[#This Row],[Ext Finish]],Master_Table4[System Name],Master_Table4[Compatible Systems],FALSE)</f>
        <v>LGS, Timber, ICF, SIP, Concrete Block</v>
      </c>
      <c r="O45" t="str">
        <f>IF(ISNUMBER(SEARCH(Table4[[#This Row],[MMC Method]],Table4[[#This Row],[Compatible Systems]])),"YES","NO")</f>
        <v>YES</v>
      </c>
      <c r="P45">
        <f>GETPIVOTDATA("Sum of A1-A3 Fossil kg CO2e/m^2 wall area",'COMPONENT PIVOT REF'!$I$3,"System Name",Table4[[#This Row],[Ext Finish]])</f>
        <v>22</v>
      </c>
      <c r="Q45">
        <f>GETPIVOTDATA("Sum of  R value (m^2-K/W)",'COMPONENT PIVOT REF'!$I$3,"System Name",Table4[[#This Row],[Ext Finish]])</f>
        <v>2.4699999999999998</v>
      </c>
      <c r="R45">
        <f>GETPIVOTDATA("Sum of Total Mass per m^2 (kg)",'COMPONENT PIVOT REF'!$I$3,"System Name",Table4[[#This Row],[Ext Finish]])</f>
        <v>0.16999999999999998</v>
      </c>
      <c r="S45" t="s">
        <v>854</v>
      </c>
      <c r="T45" t="str">
        <f>_xlfn.XLOOKUP(Table4[[#This Row],[Int Finish]],Master_Table6[System Name],Master_Table6[System Name (Short)],FALSE)</f>
        <v>GPlas</v>
      </c>
      <c r="U45">
        <f>GETPIVOTDATA("Sum of A1-A3 Fossil kg CO2e/m^2 wall area",'COMPONENT PIVOT REF'!$P$3,"System Name",Table4[[#This Row],[Int Finish]])</f>
        <v>3.839</v>
      </c>
      <c r="V45">
        <f>GETPIVOTDATA("Sum of  R value (m^2-K/W)",'COMPONENT PIVOT REF'!$P$3,"System Name",Table4[[#This Row],[Int Finish]])</f>
        <v>0.56578947368421051</v>
      </c>
      <c r="W45">
        <f>GETPIVOTDATA("Sum of Total Mass per m^2 (kg)",'COMPONENT PIVOT REF'!$P$3,"System Name",Table4[[#This Row],[Int Finish]])</f>
        <v>9.3850000000000016</v>
      </c>
      <c r="X45">
        <f>Table4[[#This Row],[Ext Finish GWP]]+Table4[[#This Row],[Base GWP]]+Table4[[#This Row],[Int Finish GWP]]</f>
        <v>53.638999999999996</v>
      </c>
      <c r="Y45">
        <f>Table4[[#This Row],[Ext Finish R Value]]+Table4[[#This Row],[Base R Value]]+Table4[[#This Row],[Int Finish R Value]]</f>
        <v>8.0357894736842095</v>
      </c>
      <c r="Z45">
        <f>1/Table4[[#This Row],[Total R value]]</f>
        <v>0.12444328006287662</v>
      </c>
      <c r="AA45">
        <f>Table4[[#This Row],[Int Finish Mass]]+Table4[[#This Row],[Ext Finish Mass]]+Table4[[#This Row],[Base Mass]]</f>
        <v>41.215000000000003</v>
      </c>
    </row>
    <row r="46" spans="3:27" x14ac:dyDescent="0.35">
      <c r="C46" t="str">
        <f>_xlfn.CONCAT(Table4[[#This Row],[System Name (Short)]],"_",Table4[[#This Row],[Ext Finish Name (Short)]],"_",Table4[[#This Row],[Int Finish Name (Short)]])</f>
        <v>ArSevenEPDCBlk_LCASolBrick_GPlas</v>
      </c>
      <c r="D46" s="119" t="s">
        <v>828</v>
      </c>
      <c r="E46" t="str">
        <f>_xlfn.XLOOKUP(Table4[[#This Row],[Base System]],BASE_SYSTEM_TABLE[System Name],BASE_SYSTEM_TABLE[System Name (Short)],FALSE)</f>
        <v>ArSevenEPDCBlk</v>
      </c>
      <c r="F46" t="str">
        <f>_xlfn.XLOOKUP(Table4[[#This Row],[Base System]],BASE_SYSTEM_TABLE[System Name],BASE_SYSTEM_TABLE[System Type],FALSE)</f>
        <v>Concrete Block</v>
      </c>
      <c r="G46" t="str">
        <f>_xlfn.XLOOKUP(Table4[[#This Row],[Base System]],BASE_SYSTEM_TABLE[System Name],BASE_SYSTEM_TABLE[System Subtype],FALSE)</f>
        <v>Traditional</v>
      </c>
      <c r="H46" t="str">
        <f>_xlfn.XLOOKUP(Table4[[#This Row],[Base System]],BASE_SYSTEM_TABLE[System Name],BASE_SYSTEM_TABLE[Construction Type (Framed or Planar)],FALSE)</f>
        <v>Planar</v>
      </c>
      <c r="I46">
        <f>GETPIVOTDATA("Sum of A1-A3 Fossil kg CO2e/m^2 wall area",'COMPONENT PIVOT REF'!$A$3,"System Name",Table4[[#This Row],[Base System]])</f>
        <v>64.639147666666673</v>
      </c>
      <c r="J46">
        <f>GETPIVOTDATA("Sum of  R value (m^2-K/W)",'COMPONENT PIVOT REF'!$A$3,"System Name",Table4[[#This Row],[Base System]])</f>
        <v>3.2743571428571427</v>
      </c>
      <c r="K46">
        <f>GETPIVOTDATA("Sum of Total Mass per m^2 (kg)",'COMPONENT PIVOT REF'!$A$3,"System Name",Table4[[#This Row],[Base System]])</f>
        <v>196.62100000000001</v>
      </c>
      <c r="L46" t="s">
        <v>853</v>
      </c>
      <c r="M46" t="str">
        <f>_xlfn.XLOOKUP(Table4[[#This Row],[Ext Finish]],Master_Table4[System Name],Master_Table4[System Name (Short)],FALSE)</f>
        <v>LCASolBrick</v>
      </c>
      <c r="N46" t="str">
        <f>_xlfn.XLOOKUP(Table4[[#This Row],[Ext Finish]],Master_Table4[System Name],Master_Table4[Compatible Systems],FALSE)</f>
        <v>LGS, Timber, ICF, SIP, Concrete Block</v>
      </c>
      <c r="O46" t="str">
        <f>IF(ISNUMBER(SEARCH(Table4[[#This Row],[MMC Method]],Table4[[#This Row],[Compatible Systems]])),"YES","NO")</f>
        <v>YES</v>
      </c>
      <c r="P46">
        <f>GETPIVOTDATA("Sum of A1-A3 Fossil kg CO2e/m^2 wall area",'COMPONENT PIVOT REF'!$I$3,"System Name",Table4[[#This Row],[Ext Finish]])</f>
        <v>47.384999999999998</v>
      </c>
      <c r="Q46">
        <f>GETPIVOTDATA("Sum of  R value (m^2-K/W)",'COMPONENT PIVOT REF'!$I$3,"System Name",Table4[[#This Row],[Ext Finish]])</f>
        <v>2.1298701298701297</v>
      </c>
      <c r="R46">
        <f>GETPIVOTDATA("Sum of Total Mass per m^2 (kg)",'COMPONENT PIVOT REF'!$I$3,"System Name",Table4[[#This Row],[Ext Finish]])</f>
        <v>231.17000000000002</v>
      </c>
      <c r="S46" t="s">
        <v>854</v>
      </c>
      <c r="T46" t="str">
        <f>_xlfn.XLOOKUP(Table4[[#This Row],[Int Finish]],Master_Table6[System Name],Master_Table6[System Name (Short)],FALSE)</f>
        <v>GPlas</v>
      </c>
      <c r="U46">
        <f>GETPIVOTDATA("Sum of A1-A3 Fossil kg CO2e/m^2 wall area",'COMPONENT PIVOT REF'!$P$3,"System Name",Table4[[#This Row],[Int Finish]])</f>
        <v>3.839</v>
      </c>
      <c r="V46">
        <f>GETPIVOTDATA("Sum of  R value (m^2-K/W)",'COMPONENT PIVOT REF'!$P$3,"System Name",Table4[[#This Row],[Int Finish]])</f>
        <v>0.56578947368421051</v>
      </c>
      <c r="W46">
        <f>GETPIVOTDATA("Sum of Total Mass per m^2 (kg)",'COMPONENT PIVOT REF'!$P$3,"System Name",Table4[[#This Row],[Int Finish]])</f>
        <v>9.3850000000000016</v>
      </c>
      <c r="X46">
        <f>Table4[[#This Row],[Ext Finish GWP]]+Table4[[#This Row],[Base GWP]]+Table4[[#This Row],[Int Finish GWP]]</f>
        <v>115.86314766666666</v>
      </c>
      <c r="Y46">
        <f>Table4[[#This Row],[Ext Finish R Value]]+Table4[[#This Row],[Base R Value]]+Table4[[#This Row],[Int Finish R Value]]</f>
        <v>5.9700167464114831</v>
      </c>
      <c r="Z46">
        <f>1/Table4[[#This Row],[Total R value]]</f>
        <v>0.167503717741008</v>
      </c>
      <c r="AA46">
        <f>Table4[[#This Row],[Int Finish Mass]]+Table4[[#This Row],[Ext Finish Mass]]+Table4[[#This Row],[Base Mass]]</f>
        <v>437.17600000000004</v>
      </c>
    </row>
    <row r="47" spans="3:27" x14ac:dyDescent="0.35">
      <c r="C47" t="str">
        <f>_xlfn.CONCAT(Table4[[#This Row],[System Name (Short)]],"_",Table4[[#This Row],[Ext Finish Name (Short)]],"_",Table4[[#This Row],[Int Finish Name (Short)]])</f>
        <v>ArSevenEPDCBlk_EPDSolBrick_GPlas</v>
      </c>
      <c r="D47" s="119" t="s">
        <v>828</v>
      </c>
      <c r="E47" t="str">
        <f>_xlfn.XLOOKUP(Table4[[#This Row],[Base System]],BASE_SYSTEM_TABLE[System Name],BASE_SYSTEM_TABLE[System Name (Short)],FALSE)</f>
        <v>ArSevenEPDCBlk</v>
      </c>
      <c r="F47" t="str">
        <f>_xlfn.XLOOKUP(Table4[[#This Row],[Base System]],BASE_SYSTEM_TABLE[System Name],BASE_SYSTEM_TABLE[System Type],FALSE)</f>
        <v>Concrete Block</v>
      </c>
      <c r="G47" t="str">
        <f>_xlfn.XLOOKUP(Table4[[#This Row],[Base System]],BASE_SYSTEM_TABLE[System Name],BASE_SYSTEM_TABLE[System Subtype],FALSE)</f>
        <v>Traditional</v>
      </c>
      <c r="H47" t="str">
        <f>_xlfn.XLOOKUP(Table4[[#This Row],[Base System]],BASE_SYSTEM_TABLE[System Name],BASE_SYSTEM_TABLE[Construction Type (Framed or Planar)],FALSE)</f>
        <v>Planar</v>
      </c>
      <c r="I47">
        <f>GETPIVOTDATA("Sum of A1-A3 Fossil kg CO2e/m^2 wall area",'COMPONENT PIVOT REF'!$A$3,"System Name",Table4[[#This Row],[Base System]])</f>
        <v>64.639147666666673</v>
      </c>
      <c r="J47">
        <f>GETPIVOTDATA("Sum of  R value (m^2-K/W)",'COMPONENT PIVOT REF'!$A$3,"System Name",Table4[[#This Row],[Base System]])</f>
        <v>3.2743571428571427</v>
      </c>
      <c r="K47">
        <f>GETPIVOTDATA("Sum of Total Mass per m^2 (kg)",'COMPONENT PIVOT REF'!$A$3,"System Name",Table4[[#This Row],[Base System]])</f>
        <v>196.62100000000001</v>
      </c>
      <c r="L47" t="s">
        <v>852</v>
      </c>
      <c r="M47" t="str">
        <f>_xlfn.XLOOKUP(Table4[[#This Row],[Ext Finish]],Master_Table4[System Name],Master_Table4[System Name (Short)],FALSE)</f>
        <v>EPDSolBrick</v>
      </c>
      <c r="N47" t="str">
        <f>_xlfn.XLOOKUP(Table4[[#This Row],[Ext Finish]],Master_Table4[System Name],Master_Table4[Compatible Systems],FALSE)</f>
        <v>LGS, Timber, ICF, SIP, Concrete Block</v>
      </c>
      <c r="O47" t="str">
        <f>IF(ISNUMBER(SEARCH(Table4[[#This Row],[MMC Method]],Table4[[#This Row],[Compatible Systems]])),"YES","NO")</f>
        <v>YES</v>
      </c>
      <c r="P47">
        <f>GETPIVOTDATA("Sum of A1-A3 Fossil kg CO2e/m^2 wall area",'COMPONENT PIVOT REF'!$I$3,"System Name",Table4[[#This Row],[Ext Finish]])</f>
        <v>47.801724999999998</v>
      </c>
      <c r="Q47">
        <f>GETPIVOTDATA("Sum of  R value (m^2-K/W)",'COMPONENT PIVOT REF'!$I$3,"System Name",Table4[[#This Row],[Ext Finish]])</f>
        <v>2.1626984126984126</v>
      </c>
      <c r="R47">
        <f>GETPIVOTDATA("Sum of Total Mass per m^2 (kg)",'COMPONENT PIVOT REF'!$I$3,"System Name",Table4[[#This Row],[Ext Finish]])</f>
        <v>233.095</v>
      </c>
      <c r="S47" t="s">
        <v>854</v>
      </c>
      <c r="T47" t="str">
        <f>_xlfn.XLOOKUP(Table4[[#This Row],[Int Finish]],Master_Table6[System Name],Master_Table6[System Name (Short)],FALSE)</f>
        <v>GPlas</v>
      </c>
      <c r="U47">
        <f>GETPIVOTDATA("Sum of A1-A3 Fossil kg CO2e/m^2 wall area",'COMPONENT PIVOT REF'!$P$3,"System Name",Table4[[#This Row],[Int Finish]])</f>
        <v>3.839</v>
      </c>
      <c r="V47">
        <f>GETPIVOTDATA("Sum of  R value (m^2-K/W)",'COMPONENT PIVOT REF'!$P$3,"System Name",Table4[[#This Row],[Int Finish]])</f>
        <v>0.56578947368421051</v>
      </c>
      <c r="W47">
        <f>GETPIVOTDATA("Sum of Total Mass per m^2 (kg)",'COMPONENT PIVOT REF'!$P$3,"System Name",Table4[[#This Row],[Int Finish]])</f>
        <v>9.3850000000000016</v>
      </c>
      <c r="X47">
        <f>Table4[[#This Row],[Ext Finish GWP]]+Table4[[#This Row],[Base GWP]]+Table4[[#This Row],[Int Finish GWP]]</f>
        <v>116.27987266666668</v>
      </c>
      <c r="Y47">
        <f>Table4[[#This Row],[Ext Finish R Value]]+Table4[[#This Row],[Base R Value]]+Table4[[#This Row],[Int Finish R Value]]</f>
        <v>6.0028450292397659</v>
      </c>
      <c r="Z47">
        <f>1/Table4[[#This Row],[Total R value]]</f>
        <v>0.16658767553202114</v>
      </c>
      <c r="AA47">
        <f>Table4[[#This Row],[Int Finish Mass]]+Table4[[#This Row],[Ext Finish Mass]]+Table4[[#This Row],[Base Mass]]</f>
        <v>439.101</v>
      </c>
    </row>
    <row r="48" spans="3:27" x14ac:dyDescent="0.35">
      <c r="C48" t="str">
        <f>_xlfn.CONCAT(Table4[[#This Row],[System Name (Short)]],"_",Table4[[#This Row],[Ext Finish Name (Short)]],"_",Table4[[#This Row],[Int Finish Name (Short)]])</f>
        <v>ArSevenEPDCBlk_EPDComFiber_GPlas</v>
      </c>
      <c r="D48" s="119" t="s">
        <v>828</v>
      </c>
      <c r="E48" t="str">
        <f>_xlfn.XLOOKUP(Table4[[#This Row],[Base System]],BASE_SYSTEM_TABLE[System Name],BASE_SYSTEM_TABLE[System Name (Short)],FALSE)</f>
        <v>ArSevenEPDCBlk</v>
      </c>
      <c r="F48" t="str">
        <f>_xlfn.XLOOKUP(Table4[[#This Row],[Base System]],BASE_SYSTEM_TABLE[System Name],BASE_SYSTEM_TABLE[System Type],FALSE)</f>
        <v>Concrete Block</v>
      </c>
      <c r="G48" t="str">
        <f>_xlfn.XLOOKUP(Table4[[#This Row],[Base System]],BASE_SYSTEM_TABLE[System Name],BASE_SYSTEM_TABLE[System Subtype],FALSE)</f>
        <v>Traditional</v>
      </c>
      <c r="H48" t="str">
        <f>_xlfn.XLOOKUP(Table4[[#This Row],[Base System]],BASE_SYSTEM_TABLE[System Name],BASE_SYSTEM_TABLE[Construction Type (Framed or Planar)],FALSE)</f>
        <v>Planar</v>
      </c>
      <c r="I48">
        <f>GETPIVOTDATA("Sum of A1-A3 Fossil kg CO2e/m^2 wall area",'COMPONENT PIVOT REF'!$A$3,"System Name",Table4[[#This Row],[Base System]])</f>
        <v>64.639147666666673</v>
      </c>
      <c r="J48">
        <f>GETPIVOTDATA("Sum of  R value (m^2-K/W)",'COMPONENT PIVOT REF'!$A$3,"System Name",Table4[[#This Row],[Base System]])</f>
        <v>3.2743571428571427</v>
      </c>
      <c r="K48">
        <f>GETPIVOTDATA("Sum of Total Mass per m^2 (kg)",'COMPONENT PIVOT REF'!$A$3,"System Name",Table4[[#This Row],[Base System]])</f>
        <v>196.62100000000001</v>
      </c>
      <c r="L48" t="s">
        <v>851</v>
      </c>
      <c r="M48" t="str">
        <f>_xlfn.XLOOKUP(Table4[[#This Row],[Ext Finish]],Master_Table4[System Name],Master_Table4[System Name (Short)],FALSE)</f>
        <v>EPDComFiber</v>
      </c>
      <c r="N48" t="str">
        <f>_xlfn.XLOOKUP(Table4[[#This Row],[Ext Finish]],Master_Table4[System Name],Master_Table4[Compatible Systems],FALSE)</f>
        <v>LGS, Timber, ICF, SIP, Concrete Block</v>
      </c>
      <c r="O48" t="str">
        <f>IF(ISNUMBER(SEARCH(Table4[[#This Row],[MMC Method]],Table4[[#This Row],[Compatible Systems]])),"YES","NO")</f>
        <v>YES</v>
      </c>
      <c r="P48">
        <f>GETPIVOTDATA("Sum of A1-A3 Fossil kg CO2e/m^2 wall area",'COMPONENT PIVOT REF'!$I$3,"System Name",Table4[[#This Row],[Ext Finish]])</f>
        <v>22</v>
      </c>
      <c r="Q48">
        <f>GETPIVOTDATA("Sum of  R value (m^2-K/W)",'COMPONENT PIVOT REF'!$I$3,"System Name",Table4[[#This Row],[Ext Finish]])</f>
        <v>2.4699999999999998</v>
      </c>
      <c r="R48">
        <f>GETPIVOTDATA("Sum of Total Mass per m^2 (kg)",'COMPONENT PIVOT REF'!$I$3,"System Name",Table4[[#This Row],[Ext Finish]])</f>
        <v>0.16999999999999998</v>
      </c>
      <c r="S48" t="s">
        <v>854</v>
      </c>
      <c r="T48" t="str">
        <f>_xlfn.XLOOKUP(Table4[[#This Row],[Int Finish]],Master_Table6[System Name],Master_Table6[System Name (Short)],FALSE)</f>
        <v>GPlas</v>
      </c>
      <c r="U48">
        <f>GETPIVOTDATA("Sum of A1-A3 Fossil kg CO2e/m^2 wall area",'COMPONENT PIVOT REF'!$P$3,"System Name",Table4[[#This Row],[Int Finish]])</f>
        <v>3.839</v>
      </c>
      <c r="V48">
        <f>GETPIVOTDATA("Sum of  R value (m^2-K/W)",'COMPONENT PIVOT REF'!$P$3,"System Name",Table4[[#This Row],[Int Finish]])</f>
        <v>0.56578947368421051</v>
      </c>
      <c r="W48">
        <f>GETPIVOTDATA("Sum of Total Mass per m^2 (kg)",'COMPONENT PIVOT REF'!$P$3,"System Name",Table4[[#This Row],[Int Finish]])</f>
        <v>9.3850000000000016</v>
      </c>
      <c r="X48">
        <f>Table4[[#This Row],[Ext Finish GWP]]+Table4[[#This Row],[Base GWP]]+Table4[[#This Row],[Int Finish GWP]]</f>
        <v>90.478147666666672</v>
      </c>
      <c r="Y48">
        <f>Table4[[#This Row],[Ext Finish R Value]]+Table4[[#This Row],[Base R Value]]+Table4[[#This Row],[Int Finish R Value]]</f>
        <v>6.3101466165413527</v>
      </c>
      <c r="Z48">
        <f>1/Table4[[#This Row],[Total R value]]</f>
        <v>0.15847492313072575</v>
      </c>
      <c r="AA48">
        <f>Table4[[#This Row],[Int Finish Mass]]+Table4[[#This Row],[Ext Finish Mass]]+Table4[[#This Row],[Base Mass]]</f>
        <v>206.17600000000002</v>
      </c>
    </row>
    <row r="49" spans="3:27" x14ac:dyDescent="0.35">
      <c r="C49" t="str">
        <f>_xlfn.CONCAT(Table4[[#This Row],[System Name (Short)]],"_",Table4[[#This Row],[Ext Finish Name (Short)]],"_",Table4[[#This Row],[Int Finish Name (Short)]])</f>
        <v>Amv350EPDICF_LCASolBrick_GPlas</v>
      </c>
      <c r="D49" s="119" t="s">
        <v>832</v>
      </c>
      <c r="E49" t="str">
        <f>_xlfn.XLOOKUP(Table4[[#This Row],[Base System]],BASE_SYSTEM_TABLE[System Name],BASE_SYSTEM_TABLE[System Name (Short)],FALSE)</f>
        <v>Amv350EPDICF</v>
      </c>
      <c r="F49" t="str">
        <f>_xlfn.XLOOKUP(Table4[[#This Row],[Base System]],BASE_SYSTEM_TABLE[System Name],BASE_SYSTEM_TABLE[System Type],FALSE)</f>
        <v>ICF</v>
      </c>
      <c r="G49" t="str">
        <f>_xlfn.XLOOKUP(Table4[[#This Row],[Base System]],BASE_SYSTEM_TABLE[System Name],BASE_SYSTEM_TABLE[System Subtype],FALSE)</f>
        <v>Formed Concrete</v>
      </c>
      <c r="H49" t="str">
        <f>_xlfn.XLOOKUP(Table4[[#This Row],[Base System]],BASE_SYSTEM_TABLE[System Name],BASE_SYSTEM_TABLE[Construction Type (Framed or Planar)],FALSE)</f>
        <v>Planar</v>
      </c>
      <c r="I49">
        <f>GETPIVOTDATA("Sum of A1-A3 Fossil kg CO2e/m^2 wall area",'COMPONENT PIVOT REF'!$A$3,"System Name",Table4[[#This Row],[Base System]])</f>
        <v>73.102194444444436</v>
      </c>
      <c r="J49">
        <f>GETPIVOTDATA("Sum of  R value (m^2-K/W)",'COMPONENT PIVOT REF'!$A$3,"System Name",Table4[[#This Row],[Base System]])</f>
        <v>6.3779705882352946</v>
      </c>
      <c r="K49">
        <f>GETPIVOTDATA("Sum of Total Mass per m^2 (kg)",'COMPONENT PIVOT REF'!$A$3,"System Name",Table4[[#This Row],[Base System]])</f>
        <v>369.54</v>
      </c>
      <c r="L49" t="s">
        <v>853</v>
      </c>
      <c r="M49" t="str">
        <f>_xlfn.XLOOKUP(Table4[[#This Row],[Ext Finish]],Master_Table4[System Name],Master_Table4[System Name (Short)],FALSE)</f>
        <v>LCASolBrick</v>
      </c>
      <c r="N49" t="str">
        <f>_xlfn.XLOOKUP(Table4[[#This Row],[Ext Finish]],Master_Table4[System Name],Master_Table4[Compatible Systems],FALSE)</f>
        <v>LGS, Timber, ICF, SIP, Concrete Block</v>
      </c>
      <c r="O49" t="str">
        <f>IF(ISNUMBER(SEARCH(Table4[[#This Row],[MMC Method]],Table4[[#This Row],[Compatible Systems]])),"YES","NO")</f>
        <v>YES</v>
      </c>
      <c r="P49">
        <f>GETPIVOTDATA("Sum of A1-A3 Fossil kg CO2e/m^2 wall area",'COMPONENT PIVOT REF'!$I$3,"System Name",Table4[[#This Row],[Ext Finish]])</f>
        <v>47.384999999999998</v>
      </c>
      <c r="Q49">
        <f>GETPIVOTDATA("Sum of  R value (m^2-K/W)",'COMPONENT PIVOT REF'!$I$3,"System Name",Table4[[#This Row],[Ext Finish]])</f>
        <v>2.1298701298701297</v>
      </c>
      <c r="R49">
        <f>GETPIVOTDATA("Sum of Total Mass per m^2 (kg)",'COMPONENT PIVOT REF'!$I$3,"System Name",Table4[[#This Row],[Ext Finish]])</f>
        <v>231.17000000000002</v>
      </c>
      <c r="S49" t="s">
        <v>854</v>
      </c>
      <c r="T49" t="str">
        <f>_xlfn.XLOOKUP(Table4[[#This Row],[Int Finish]],Master_Table6[System Name],Master_Table6[System Name (Short)],FALSE)</f>
        <v>GPlas</v>
      </c>
      <c r="U49">
        <f>GETPIVOTDATA("Sum of A1-A3 Fossil kg CO2e/m^2 wall area",'COMPONENT PIVOT REF'!$P$3,"System Name",Table4[[#This Row],[Int Finish]])</f>
        <v>3.839</v>
      </c>
      <c r="V49">
        <f>GETPIVOTDATA("Sum of  R value (m^2-K/W)",'COMPONENT PIVOT REF'!$P$3,"System Name",Table4[[#This Row],[Int Finish]])</f>
        <v>0.56578947368421051</v>
      </c>
      <c r="W49">
        <f>GETPIVOTDATA("Sum of Total Mass per m^2 (kg)",'COMPONENT PIVOT REF'!$P$3,"System Name",Table4[[#This Row],[Int Finish]])</f>
        <v>9.3850000000000016</v>
      </c>
      <c r="X49">
        <f>Table4[[#This Row],[Ext Finish GWP]]+Table4[[#This Row],[Base GWP]]+Table4[[#This Row],[Int Finish GWP]]</f>
        <v>124.32619444444444</v>
      </c>
      <c r="Y49">
        <f>Table4[[#This Row],[Ext Finish R Value]]+Table4[[#This Row],[Base R Value]]+Table4[[#This Row],[Int Finish R Value]]</f>
        <v>9.0736301917896345</v>
      </c>
      <c r="Z49">
        <f>1/Table4[[#This Row],[Total R value]]</f>
        <v>0.11020947281991501</v>
      </c>
      <c r="AA49">
        <f>Table4[[#This Row],[Int Finish Mass]]+Table4[[#This Row],[Ext Finish Mass]]+Table4[[#This Row],[Base Mass]]</f>
        <v>610.09500000000003</v>
      </c>
    </row>
    <row r="50" spans="3:27" x14ac:dyDescent="0.35">
      <c r="C50" t="str">
        <f>_xlfn.CONCAT(Table4[[#This Row],[System Name (Short)]],"_",Table4[[#This Row],[Ext Finish Name (Short)]],"_",Table4[[#This Row],[Int Finish Name (Short)]])</f>
        <v>Amv350EPDICF_EPDSolBrick_GPlas</v>
      </c>
      <c r="D50" s="119" t="s">
        <v>832</v>
      </c>
      <c r="E50" t="str">
        <f>_xlfn.XLOOKUP(Table4[[#This Row],[Base System]],BASE_SYSTEM_TABLE[System Name],BASE_SYSTEM_TABLE[System Name (Short)],FALSE)</f>
        <v>Amv350EPDICF</v>
      </c>
      <c r="F50" t="str">
        <f>_xlfn.XLOOKUP(Table4[[#This Row],[Base System]],BASE_SYSTEM_TABLE[System Name],BASE_SYSTEM_TABLE[System Type],FALSE)</f>
        <v>ICF</v>
      </c>
      <c r="G50" t="str">
        <f>_xlfn.XLOOKUP(Table4[[#This Row],[Base System]],BASE_SYSTEM_TABLE[System Name],BASE_SYSTEM_TABLE[System Subtype],FALSE)</f>
        <v>Formed Concrete</v>
      </c>
      <c r="H50" t="str">
        <f>_xlfn.XLOOKUP(Table4[[#This Row],[Base System]],BASE_SYSTEM_TABLE[System Name],BASE_SYSTEM_TABLE[Construction Type (Framed or Planar)],FALSE)</f>
        <v>Planar</v>
      </c>
      <c r="I50">
        <f>GETPIVOTDATA("Sum of A1-A3 Fossil kg CO2e/m^2 wall area",'COMPONENT PIVOT REF'!$A$3,"System Name",Table4[[#This Row],[Base System]])</f>
        <v>73.102194444444436</v>
      </c>
      <c r="J50">
        <f>GETPIVOTDATA("Sum of  R value (m^2-K/W)",'COMPONENT PIVOT REF'!$A$3,"System Name",Table4[[#This Row],[Base System]])</f>
        <v>6.3779705882352946</v>
      </c>
      <c r="K50">
        <f>GETPIVOTDATA("Sum of Total Mass per m^2 (kg)",'COMPONENT PIVOT REF'!$A$3,"System Name",Table4[[#This Row],[Base System]])</f>
        <v>369.54</v>
      </c>
      <c r="L50" t="s">
        <v>852</v>
      </c>
      <c r="M50" t="str">
        <f>_xlfn.XLOOKUP(Table4[[#This Row],[Ext Finish]],Master_Table4[System Name],Master_Table4[System Name (Short)],FALSE)</f>
        <v>EPDSolBrick</v>
      </c>
      <c r="N50" t="str">
        <f>_xlfn.XLOOKUP(Table4[[#This Row],[Ext Finish]],Master_Table4[System Name],Master_Table4[Compatible Systems],FALSE)</f>
        <v>LGS, Timber, ICF, SIP, Concrete Block</v>
      </c>
      <c r="O50" t="str">
        <f>IF(ISNUMBER(SEARCH(Table4[[#This Row],[MMC Method]],Table4[[#This Row],[Compatible Systems]])),"YES","NO")</f>
        <v>YES</v>
      </c>
      <c r="P50">
        <f>GETPIVOTDATA("Sum of A1-A3 Fossil kg CO2e/m^2 wall area",'COMPONENT PIVOT REF'!$I$3,"System Name",Table4[[#This Row],[Ext Finish]])</f>
        <v>47.801724999999998</v>
      </c>
      <c r="Q50">
        <f>GETPIVOTDATA("Sum of  R value (m^2-K/W)",'COMPONENT PIVOT REF'!$I$3,"System Name",Table4[[#This Row],[Ext Finish]])</f>
        <v>2.1626984126984126</v>
      </c>
      <c r="R50">
        <f>GETPIVOTDATA("Sum of Total Mass per m^2 (kg)",'COMPONENT PIVOT REF'!$I$3,"System Name",Table4[[#This Row],[Ext Finish]])</f>
        <v>233.095</v>
      </c>
      <c r="S50" t="s">
        <v>854</v>
      </c>
      <c r="T50" t="str">
        <f>_xlfn.XLOOKUP(Table4[[#This Row],[Int Finish]],Master_Table6[System Name],Master_Table6[System Name (Short)],FALSE)</f>
        <v>GPlas</v>
      </c>
      <c r="U50">
        <f>GETPIVOTDATA("Sum of A1-A3 Fossil kg CO2e/m^2 wall area",'COMPONENT PIVOT REF'!$P$3,"System Name",Table4[[#This Row],[Int Finish]])</f>
        <v>3.839</v>
      </c>
      <c r="V50">
        <f>GETPIVOTDATA("Sum of  R value (m^2-K/W)",'COMPONENT PIVOT REF'!$P$3,"System Name",Table4[[#This Row],[Int Finish]])</f>
        <v>0.56578947368421051</v>
      </c>
      <c r="W50">
        <f>GETPIVOTDATA("Sum of Total Mass per m^2 (kg)",'COMPONENT PIVOT REF'!$P$3,"System Name",Table4[[#This Row],[Int Finish]])</f>
        <v>9.3850000000000016</v>
      </c>
      <c r="X50">
        <f>Table4[[#This Row],[Ext Finish GWP]]+Table4[[#This Row],[Base GWP]]+Table4[[#This Row],[Int Finish GWP]]</f>
        <v>124.74291944444442</v>
      </c>
      <c r="Y50">
        <f>Table4[[#This Row],[Ext Finish R Value]]+Table4[[#This Row],[Base R Value]]+Table4[[#This Row],[Int Finish R Value]]</f>
        <v>9.1064584746179182</v>
      </c>
      <c r="Z50">
        <f>1/Table4[[#This Row],[Total R value]]</f>
        <v>0.10981217372123989</v>
      </c>
      <c r="AA50">
        <f>Table4[[#This Row],[Int Finish Mass]]+Table4[[#This Row],[Ext Finish Mass]]+Table4[[#This Row],[Base Mass]]</f>
        <v>612.02</v>
      </c>
    </row>
    <row r="51" spans="3:27" x14ac:dyDescent="0.35">
      <c r="C51" t="str">
        <f>_xlfn.CONCAT(Table4[[#This Row],[System Name (Short)]],"_",Table4[[#This Row],[Ext Finish Name (Short)]],"_",Table4[[#This Row],[Int Finish Name (Short)]])</f>
        <v>Amv350EPDICF_EPDComFiber_GPlas</v>
      </c>
      <c r="D51" s="119" t="s">
        <v>832</v>
      </c>
      <c r="E51" t="str">
        <f>_xlfn.XLOOKUP(Table4[[#This Row],[Base System]],BASE_SYSTEM_TABLE[System Name],BASE_SYSTEM_TABLE[System Name (Short)],FALSE)</f>
        <v>Amv350EPDICF</v>
      </c>
      <c r="F51" t="str">
        <f>_xlfn.XLOOKUP(Table4[[#This Row],[Base System]],BASE_SYSTEM_TABLE[System Name],BASE_SYSTEM_TABLE[System Type],FALSE)</f>
        <v>ICF</v>
      </c>
      <c r="G51" t="str">
        <f>_xlfn.XLOOKUP(Table4[[#This Row],[Base System]],BASE_SYSTEM_TABLE[System Name],BASE_SYSTEM_TABLE[System Subtype],FALSE)</f>
        <v>Formed Concrete</v>
      </c>
      <c r="H51" t="str">
        <f>_xlfn.XLOOKUP(Table4[[#This Row],[Base System]],BASE_SYSTEM_TABLE[System Name],BASE_SYSTEM_TABLE[Construction Type (Framed or Planar)],FALSE)</f>
        <v>Planar</v>
      </c>
      <c r="I51">
        <f>GETPIVOTDATA("Sum of A1-A3 Fossil kg CO2e/m^2 wall area",'COMPONENT PIVOT REF'!$A$3,"System Name",Table4[[#This Row],[Base System]])</f>
        <v>73.102194444444436</v>
      </c>
      <c r="J51">
        <f>GETPIVOTDATA("Sum of  R value (m^2-K/W)",'COMPONENT PIVOT REF'!$A$3,"System Name",Table4[[#This Row],[Base System]])</f>
        <v>6.3779705882352946</v>
      </c>
      <c r="K51">
        <f>GETPIVOTDATA("Sum of Total Mass per m^2 (kg)",'COMPONENT PIVOT REF'!$A$3,"System Name",Table4[[#This Row],[Base System]])</f>
        <v>369.54</v>
      </c>
      <c r="L51" t="s">
        <v>851</v>
      </c>
      <c r="M51" t="str">
        <f>_xlfn.XLOOKUP(Table4[[#This Row],[Ext Finish]],Master_Table4[System Name],Master_Table4[System Name (Short)],FALSE)</f>
        <v>EPDComFiber</v>
      </c>
      <c r="N51" t="str">
        <f>_xlfn.XLOOKUP(Table4[[#This Row],[Ext Finish]],Master_Table4[System Name],Master_Table4[Compatible Systems],FALSE)</f>
        <v>LGS, Timber, ICF, SIP, Concrete Block</v>
      </c>
      <c r="O51" t="str">
        <f>IF(ISNUMBER(SEARCH(Table4[[#This Row],[MMC Method]],Table4[[#This Row],[Compatible Systems]])),"YES","NO")</f>
        <v>YES</v>
      </c>
      <c r="P51">
        <f>GETPIVOTDATA("Sum of A1-A3 Fossil kg CO2e/m^2 wall area",'COMPONENT PIVOT REF'!$I$3,"System Name",Table4[[#This Row],[Ext Finish]])</f>
        <v>22</v>
      </c>
      <c r="Q51">
        <f>GETPIVOTDATA("Sum of  R value (m^2-K/W)",'COMPONENT PIVOT REF'!$I$3,"System Name",Table4[[#This Row],[Ext Finish]])</f>
        <v>2.4699999999999998</v>
      </c>
      <c r="R51">
        <f>GETPIVOTDATA("Sum of Total Mass per m^2 (kg)",'COMPONENT PIVOT REF'!$I$3,"System Name",Table4[[#This Row],[Ext Finish]])</f>
        <v>0.16999999999999998</v>
      </c>
      <c r="S51" t="s">
        <v>854</v>
      </c>
      <c r="T51" t="str">
        <f>_xlfn.XLOOKUP(Table4[[#This Row],[Int Finish]],Master_Table6[System Name],Master_Table6[System Name (Short)],FALSE)</f>
        <v>GPlas</v>
      </c>
      <c r="U51">
        <f>GETPIVOTDATA("Sum of A1-A3 Fossil kg CO2e/m^2 wall area",'COMPONENT PIVOT REF'!$P$3,"System Name",Table4[[#This Row],[Int Finish]])</f>
        <v>3.839</v>
      </c>
      <c r="V51">
        <f>GETPIVOTDATA("Sum of  R value (m^2-K/W)",'COMPONENT PIVOT REF'!$P$3,"System Name",Table4[[#This Row],[Int Finish]])</f>
        <v>0.56578947368421051</v>
      </c>
      <c r="W51">
        <f>GETPIVOTDATA("Sum of Total Mass per m^2 (kg)",'COMPONENT PIVOT REF'!$P$3,"System Name",Table4[[#This Row],[Int Finish]])</f>
        <v>9.3850000000000016</v>
      </c>
      <c r="X51">
        <f>Table4[[#This Row],[Ext Finish GWP]]+Table4[[#This Row],[Base GWP]]+Table4[[#This Row],[Int Finish GWP]]</f>
        <v>98.941194444444434</v>
      </c>
      <c r="Y51">
        <f>Table4[[#This Row],[Ext Finish R Value]]+Table4[[#This Row],[Base R Value]]+Table4[[#This Row],[Int Finish R Value]]</f>
        <v>9.4137600619195059</v>
      </c>
      <c r="Z51">
        <f>1/Table4[[#This Row],[Total R value]]</f>
        <v>0.10622747907557097</v>
      </c>
      <c r="AA51">
        <f>Table4[[#This Row],[Int Finish Mass]]+Table4[[#This Row],[Ext Finish Mass]]+Table4[[#This Row],[Base Mass]]</f>
        <v>379.09500000000003</v>
      </c>
    </row>
    <row r="52" spans="3:27" x14ac:dyDescent="0.35">
      <c r="C52" t="str">
        <f>_xlfn.CONCAT(Table4[[#This Row],[System Name (Short)]],"_",Table4[[#This Row],[Ext Finish Name (Short)]],"_",Table4[[#This Row],[Int Finish Name (Short)]])</f>
        <v>Amv300EPDICF_LCASolBrick_GPlas</v>
      </c>
      <c r="D52" s="119" t="s">
        <v>831</v>
      </c>
      <c r="E52" t="str">
        <f>_xlfn.XLOOKUP(Table4[[#This Row],[Base System]],BASE_SYSTEM_TABLE[System Name],BASE_SYSTEM_TABLE[System Name (Short)],FALSE)</f>
        <v>Amv300EPDICF</v>
      </c>
      <c r="F52" t="str">
        <f>_xlfn.XLOOKUP(Table4[[#This Row],[Base System]],BASE_SYSTEM_TABLE[System Name],BASE_SYSTEM_TABLE[System Type],FALSE)</f>
        <v>ICF</v>
      </c>
      <c r="G52" t="str">
        <f>_xlfn.XLOOKUP(Table4[[#This Row],[Base System]],BASE_SYSTEM_TABLE[System Name],BASE_SYSTEM_TABLE[System Subtype],FALSE)</f>
        <v>Formed Concrete</v>
      </c>
      <c r="H52" t="str">
        <f>_xlfn.XLOOKUP(Table4[[#This Row],[Base System]],BASE_SYSTEM_TABLE[System Name],BASE_SYSTEM_TABLE[Construction Type (Framed or Planar)],FALSE)</f>
        <v>Planar</v>
      </c>
      <c r="I52">
        <f>GETPIVOTDATA("Sum of A1-A3 Fossil kg CO2e/m^2 wall area",'COMPONENT PIVOT REF'!$A$3,"System Name",Table4[[#This Row],[Base System]])</f>
        <v>67.737194444444441</v>
      </c>
      <c r="J52">
        <f>GETPIVOTDATA("Sum of  R value (m^2-K/W)",'COMPONENT PIVOT REF'!$A$3,"System Name",Table4[[#This Row],[Base System]])</f>
        <v>5.237970588235294</v>
      </c>
      <c r="K52">
        <f>GETPIVOTDATA("Sum of Total Mass per m^2 (kg)",'COMPONENT PIVOT REF'!$A$3,"System Name",Table4[[#This Row],[Base System]])</f>
        <v>368.17</v>
      </c>
      <c r="L52" t="s">
        <v>853</v>
      </c>
      <c r="M52" t="str">
        <f>_xlfn.XLOOKUP(Table4[[#This Row],[Ext Finish]],Master_Table4[System Name],Master_Table4[System Name (Short)],FALSE)</f>
        <v>LCASolBrick</v>
      </c>
      <c r="N52" t="str">
        <f>_xlfn.XLOOKUP(Table4[[#This Row],[Ext Finish]],Master_Table4[System Name],Master_Table4[Compatible Systems],FALSE)</f>
        <v>LGS, Timber, ICF, SIP, Concrete Block</v>
      </c>
      <c r="O52" t="str">
        <f>IF(ISNUMBER(SEARCH(Table4[[#This Row],[MMC Method]],Table4[[#This Row],[Compatible Systems]])),"YES","NO")</f>
        <v>YES</v>
      </c>
      <c r="P52">
        <f>GETPIVOTDATA("Sum of A1-A3 Fossil kg CO2e/m^2 wall area",'COMPONENT PIVOT REF'!$I$3,"System Name",Table4[[#This Row],[Ext Finish]])</f>
        <v>47.384999999999998</v>
      </c>
      <c r="Q52">
        <f>GETPIVOTDATA("Sum of  R value (m^2-K/W)",'COMPONENT PIVOT REF'!$I$3,"System Name",Table4[[#This Row],[Ext Finish]])</f>
        <v>2.1298701298701297</v>
      </c>
      <c r="R52">
        <f>GETPIVOTDATA("Sum of Total Mass per m^2 (kg)",'COMPONENT PIVOT REF'!$I$3,"System Name",Table4[[#This Row],[Ext Finish]])</f>
        <v>231.17000000000002</v>
      </c>
      <c r="S52" t="s">
        <v>854</v>
      </c>
      <c r="T52" t="str">
        <f>_xlfn.XLOOKUP(Table4[[#This Row],[Int Finish]],Master_Table6[System Name],Master_Table6[System Name (Short)],FALSE)</f>
        <v>GPlas</v>
      </c>
      <c r="U52">
        <f>GETPIVOTDATA("Sum of A1-A3 Fossil kg CO2e/m^2 wall area",'COMPONENT PIVOT REF'!$P$3,"System Name",Table4[[#This Row],[Int Finish]])</f>
        <v>3.839</v>
      </c>
      <c r="V52">
        <f>GETPIVOTDATA("Sum of  R value (m^2-K/W)",'COMPONENT PIVOT REF'!$P$3,"System Name",Table4[[#This Row],[Int Finish]])</f>
        <v>0.56578947368421051</v>
      </c>
      <c r="W52">
        <f>GETPIVOTDATA("Sum of Total Mass per m^2 (kg)",'COMPONENT PIVOT REF'!$P$3,"System Name",Table4[[#This Row],[Int Finish]])</f>
        <v>9.3850000000000016</v>
      </c>
      <c r="X52">
        <f>Table4[[#This Row],[Ext Finish GWP]]+Table4[[#This Row],[Base GWP]]+Table4[[#This Row],[Int Finish GWP]]</f>
        <v>118.96119444444443</v>
      </c>
      <c r="Y52">
        <f>Table4[[#This Row],[Ext Finish R Value]]+Table4[[#This Row],[Base R Value]]+Table4[[#This Row],[Int Finish R Value]]</f>
        <v>7.9336301917896339</v>
      </c>
      <c r="Z52">
        <f>1/Table4[[#This Row],[Total R value]]</f>
        <v>0.12604570364709983</v>
      </c>
      <c r="AA52">
        <f>Table4[[#This Row],[Int Finish Mass]]+Table4[[#This Row],[Ext Finish Mass]]+Table4[[#This Row],[Base Mass]]</f>
        <v>608.72500000000002</v>
      </c>
    </row>
    <row r="53" spans="3:27" x14ac:dyDescent="0.35">
      <c r="C53" t="str">
        <f>_xlfn.CONCAT(Table4[[#This Row],[System Name (Short)]],"_",Table4[[#This Row],[Ext Finish Name (Short)]],"_",Table4[[#This Row],[Int Finish Name (Short)]])</f>
        <v>Amv300EPDICF_EPDSolBrick_GPlas</v>
      </c>
      <c r="D53" s="119" t="s">
        <v>831</v>
      </c>
      <c r="E53" t="str">
        <f>_xlfn.XLOOKUP(Table4[[#This Row],[Base System]],BASE_SYSTEM_TABLE[System Name],BASE_SYSTEM_TABLE[System Name (Short)],FALSE)</f>
        <v>Amv300EPDICF</v>
      </c>
      <c r="F53" t="str">
        <f>_xlfn.XLOOKUP(Table4[[#This Row],[Base System]],BASE_SYSTEM_TABLE[System Name],BASE_SYSTEM_TABLE[System Type],FALSE)</f>
        <v>ICF</v>
      </c>
      <c r="G53" t="str">
        <f>_xlfn.XLOOKUP(Table4[[#This Row],[Base System]],BASE_SYSTEM_TABLE[System Name],BASE_SYSTEM_TABLE[System Subtype],FALSE)</f>
        <v>Formed Concrete</v>
      </c>
      <c r="H53" t="str">
        <f>_xlfn.XLOOKUP(Table4[[#This Row],[Base System]],BASE_SYSTEM_TABLE[System Name],BASE_SYSTEM_TABLE[Construction Type (Framed or Planar)],FALSE)</f>
        <v>Planar</v>
      </c>
      <c r="I53">
        <f>GETPIVOTDATA("Sum of A1-A3 Fossil kg CO2e/m^2 wall area",'COMPONENT PIVOT REF'!$A$3,"System Name",Table4[[#This Row],[Base System]])</f>
        <v>67.737194444444441</v>
      </c>
      <c r="J53">
        <f>GETPIVOTDATA("Sum of  R value (m^2-K/W)",'COMPONENT PIVOT REF'!$A$3,"System Name",Table4[[#This Row],[Base System]])</f>
        <v>5.237970588235294</v>
      </c>
      <c r="K53">
        <f>GETPIVOTDATA("Sum of Total Mass per m^2 (kg)",'COMPONENT PIVOT REF'!$A$3,"System Name",Table4[[#This Row],[Base System]])</f>
        <v>368.17</v>
      </c>
      <c r="L53" t="s">
        <v>852</v>
      </c>
      <c r="M53" t="str">
        <f>_xlfn.XLOOKUP(Table4[[#This Row],[Ext Finish]],Master_Table4[System Name],Master_Table4[System Name (Short)],FALSE)</f>
        <v>EPDSolBrick</v>
      </c>
      <c r="N53" t="str">
        <f>_xlfn.XLOOKUP(Table4[[#This Row],[Ext Finish]],Master_Table4[System Name],Master_Table4[Compatible Systems],FALSE)</f>
        <v>LGS, Timber, ICF, SIP, Concrete Block</v>
      </c>
      <c r="O53" t="str">
        <f>IF(ISNUMBER(SEARCH(Table4[[#This Row],[MMC Method]],Table4[[#This Row],[Compatible Systems]])),"YES","NO")</f>
        <v>YES</v>
      </c>
      <c r="P53">
        <f>GETPIVOTDATA("Sum of A1-A3 Fossil kg CO2e/m^2 wall area",'COMPONENT PIVOT REF'!$I$3,"System Name",Table4[[#This Row],[Ext Finish]])</f>
        <v>47.801724999999998</v>
      </c>
      <c r="Q53">
        <f>GETPIVOTDATA("Sum of  R value (m^2-K/W)",'COMPONENT PIVOT REF'!$I$3,"System Name",Table4[[#This Row],[Ext Finish]])</f>
        <v>2.1626984126984126</v>
      </c>
      <c r="R53">
        <f>GETPIVOTDATA("Sum of Total Mass per m^2 (kg)",'COMPONENT PIVOT REF'!$I$3,"System Name",Table4[[#This Row],[Ext Finish]])</f>
        <v>233.095</v>
      </c>
      <c r="S53" t="s">
        <v>854</v>
      </c>
      <c r="T53" t="str">
        <f>_xlfn.XLOOKUP(Table4[[#This Row],[Int Finish]],Master_Table6[System Name],Master_Table6[System Name (Short)],FALSE)</f>
        <v>GPlas</v>
      </c>
      <c r="U53">
        <f>GETPIVOTDATA("Sum of A1-A3 Fossil kg CO2e/m^2 wall area",'COMPONENT PIVOT REF'!$P$3,"System Name",Table4[[#This Row],[Int Finish]])</f>
        <v>3.839</v>
      </c>
      <c r="V53">
        <f>GETPIVOTDATA("Sum of  R value (m^2-K/W)",'COMPONENT PIVOT REF'!$P$3,"System Name",Table4[[#This Row],[Int Finish]])</f>
        <v>0.56578947368421051</v>
      </c>
      <c r="W53">
        <f>GETPIVOTDATA("Sum of Total Mass per m^2 (kg)",'COMPONENT PIVOT REF'!$P$3,"System Name",Table4[[#This Row],[Int Finish]])</f>
        <v>9.3850000000000016</v>
      </c>
      <c r="X53">
        <f>Table4[[#This Row],[Ext Finish GWP]]+Table4[[#This Row],[Base GWP]]+Table4[[#This Row],[Int Finish GWP]]</f>
        <v>119.37791944444444</v>
      </c>
      <c r="Y53">
        <f>Table4[[#This Row],[Ext Finish R Value]]+Table4[[#This Row],[Base R Value]]+Table4[[#This Row],[Int Finish R Value]]</f>
        <v>7.9664584746179177</v>
      </c>
      <c r="Z53">
        <f>1/Table4[[#This Row],[Total R value]]</f>
        <v>0.12552629291750139</v>
      </c>
      <c r="AA53">
        <f>Table4[[#This Row],[Int Finish Mass]]+Table4[[#This Row],[Ext Finish Mass]]+Table4[[#This Row],[Base Mass]]</f>
        <v>610.65</v>
      </c>
    </row>
    <row r="54" spans="3:27" x14ac:dyDescent="0.35">
      <c r="C54" t="str">
        <f>_xlfn.CONCAT(Table4[[#This Row],[System Name (Short)]],"_",Table4[[#This Row],[Ext Finish Name (Short)]],"_",Table4[[#This Row],[Int Finish Name (Short)]])</f>
        <v>Amv300EPDICF_EPDComFiber_GPlas</v>
      </c>
      <c r="D54" s="119" t="s">
        <v>831</v>
      </c>
      <c r="E54" t="str">
        <f>_xlfn.XLOOKUP(Table4[[#This Row],[Base System]],BASE_SYSTEM_TABLE[System Name],BASE_SYSTEM_TABLE[System Name (Short)],FALSE)</f>
        <v>Amv300EPDICF</v>
      </c>
      <c r="F54" t="str">
        <f>_xlfn.XLOOKUP(Table4[[#This Row],[Base System]],BASE_SYSTEM_TABLE[System Name],BASE_SYSTEM_TABLE[System Type],FALSE)</f>
        <v>ICF</v>
      </c>
      <c r="G54" t="str">
        <f>_xlfn.XLOOKUP(Table4[[#This Row],[Base System]],BASE_SYSTEM_TABLE[System Name],BASE_SYSTEM_TABLE[System Subtype],FALSE)</f>
        <v>Formed Concrete</v>
      </c>
      <c r="H54" t="str">
        <f>_xlfn.XLOOKUP(Table4[[#This Row],[Base System]],BASE_SYSTEM_TABLE[System Name],BASE_SYSTEM_TABLE[Construction Type (Framed or Planar)],FALSE)</f>
        <v>Planar</v>
      </c>
      <c r="I54">
        <f>GETPIVOTDATA("Sum of A1-A3 Fossil kg CO2e/m^2 wall area",'COMPONENT PIVOT REF'!$A$3,"System Name",Table4[[#This Row],[Base System]])</f>
        <v>67.737194444444441</v>
      </c>
      <c r="J54">
        <f>GETPIVOTDATA("Sum of  R value (m^2-K/W)",'COMPONENT PIVOT REF'!$A$3,"System Name",Table4[[#This Row],[Base System]])</f>
        <v>5.237970588235294</v>
      </c>
      <c r="K54">
        <f>GETPIVOTDATA("Sum of Total Mass per m^2 (kg)",'COMPONENT PIVOT REF'!$A$3,"System Name",Table4[[#This Row],[Base System]])</f>
        <v>368.17</v>
      </c>
      <c r="L54" t="s">
        <v>851</v>
      </c>
      <c r="M54" t="str">
        <f>_xlfn.XLOOKUP(Table4[[#This Row],[Ext Finish]],Master_Table4[System Name],Master_Table4[System Name (Short)],FALSE)</f>
        <v>EPDComFiber</v>
      </c>
      <c r="N54" t="str">
        <f>_xlfn.XLOOKUP(Table4[[#This Row],[Ext Finish]],Master_Table4[System Name],Master_Table4[Compatible Systems],FALSE)</f>
        <v>LGS, Timber, ICF, SIP, Concrete Block</v>
      </c>
      <c r="O54" t="str">
        <f>IF(ISNUMBER(SEARCH(Table4[[#This Row],[MMC Method]],Table4[[#This Row],[Compatible Systems]])),"YES","NO")</f>
        <v>YES</v>
      </c>
      <c r="P54">
        <f>GETPIVOTDATA("Sum of A1-A3 Fossil kg CO2e/m^2 wall area",'COMPONENT PIVOT REF'!$I$3,"System Name",Table4[[#This Row],[Ext Finish]])</f>
        <v>22</v>
      </c>
      <c r="Q54">
        <f>GETPIVOTDATA("Sum of  R value (m^2-K/W)",'COMPONENT PIVOT REF'!$I$3,"System Name",Table4[[#This Row],[Ext Finish]])</f>
        <v>2.4699999999999998</v>
      </c>
      <c r="R54">
        <f>GETPIVOTDATA("Sum of Total Mass per m^2 (kg)",'COMPONENT PIVOT REF'!$I$3,"System Name",Table4[[#This Row],[Ext Finish]])</f>
        <v>0.16999999999999998</v>
      </c>
      <c r="S54" t="s">
        <v>854</v>
      </c>
      <c r="T54" t="str">
        <f>_xlfn.XLOOKUP(Table4[[#This Row],[Int Finish]],Master_Table6[System Name],Master_Table6[System Name (Short)],FALSE)</f>
        <v>GPlas</v>
      </c>
      <c r="U54">
        <f>GETPIVOTDATA("Sum of A1-A3 Fossil kg CO2e/m^2 wall area",'COMPONENT PIVOT REF'!$P$3,"System Name",Table4[[#This Row],[Int Finish]])</f>
        <v>3.839</v>
      </c>
      <c r="V54">
        <f>GETPIVOTDATA("Sum of  R value (m^2-K/W)",'COMPONENT PIVOT REF'!$P$3,"System Name",Table4[[#This Row],[Int Finish]])</f>
        <v>0.56578947368421051</v>
      </c>
      <c r="W54">
        <f>GETPIVOTDATA("Sum of Total Mass per m^2 (kg)",'COMPONENT PIVOT REF'!$P$3,"System Name",Table4[[#This Row],[Int Finish]])</f>
        <v>9.3850000000000016</v>
      </c>
      <c r="X54">
        <f>Table4[[#This Row],[Ext Finish GWP]]+Table4[[#This Row],[Base GWP]]+Table4[[#This Row],[Int Finish GWP]]</f>
        <v>93.57619444444444</v>
      </c>
      <c r="Y54">
        <f>Table4[[#This Row],[Ext Finish R Value]]+Table4[[#This Row],[Base R Value]]+Table4[[#This Row],[Int Finish R Value]]</f>
        <v>8.2737600619195035</v>
      </c>
      <c r="Z54">
        <f>1/Table4[[#This Row],[Total R value]]</f>
        <v>0.12086403189313676</v>
      </c>
      <c r="AA54">
        <f>Table4[[#This Row],[Int Finish Mass]]+Table4[[#This Row],[Ext Finish Mass]]+Table4[[#This Row],[Base Mass]]</f>
        <v>377.72500000000002</v>
      </c>
    </row>
    <row r="55" spans="3:27" x14ac:dyDescent="0.35">
      <c r="C55" t="str">
        <f>_xlfn.CONCAT(Table4[[#This Row],[System Name (Short)]],"_",Table4[[#This Row],[Ext Finish Name (Short)]],"_",Table4[[#This Row],[Int Finish Name (Short)]])</f>
        <v>AirSuperEPDCBlk_LCASolBrick_GPlas</v>
      </c>
      <c r="D55" s="119" t="s">
        <v>830</v>
      </c>
      <c r="E55" t="str">
        <f>_xlfn.XLOOKUP(Table4[[#This Row],[Base System]],BASE_SYSTEM_TABLE[System Name],BASE_SYSTEM_TABLE[System Name (Short)],FALSE)</f>
        <v>AirSuperEPDCBlk</v>
      </c>
      <c r="F55" t="str">
        <f>_xlfn.XLOOKUP(Table4[[#This Row],[Base System]],BASE_SYSTEM_TABLE[System Name],BASE_SYSTEM_TABLE[System Type],FALSE)</f>
        <v>Concrete Block</v>
      </c>
      <c r="G55" t="str">
        <f>_xlfn.XLOOKUP(Table4[[#This Row],[Base System]],BASE_SYSTEM_TABLE[System Name],BASE_SYSTEM_TABLE[System Subtype],FALSE)</f>
        <v>Traditional</v>
      </c>
      <c r="H55" t="str">
        <f>_xlfn.XLOOKUP(Table4[[#This Row],[Base System]],BASE_SYSTEM_TABLE[System Name],BASE_SYSTEM_TABLE[Construction Type (Framed or Planar)],FALSE)</f>
        <v>Planar</v>
      </c>
      <c r="I55">
        <f>GETPIVOTDATA("Sum of A1-A3 Fossil kg CO2e/m^2 wall area",'COMPONENT PIVOT REF'!$A$3,"System Name",Table4[[#This Row],[Base System]])</f>
        <v>45.97165566666667</v>
      </c>
      <c r="J55">
        <f>GETPIVOTDATA("Sum of  R value (m^2-K/W)",'COMPONENT PIVOT REF'!$A$3,"System Name",Table4[[#This Row],[Base System]])</f>
        <v>3.2200714285714289</v>
      </c>
      <c r="K55">
        <f>GETPIVOTDATA("Sum of Total Mass per m^2 (kg)",'COMPONENT PIVOT REF'!$A$3,"System Name",Table4[[#This Row],[Base System]])</f>
        <v>135.79599999999999</v>
      </c>
      <c r="L55" t="s">
        <v>853</v>
      </c>
      <c r="M55" t="str">
        <f>_xlfn.XLOOKUP(Table4[[#This Row],[Ext Finish]],Master_Table4[System Name],Master_Table4[System Name (Short)],FALSE)</f>
        <v>LCASolBrick</v>
      </c>
      <c r="N55" t="str">
        <f>_xlfn.XLOOKUP(Table4[[#This Row],[Ext Finish]],Master_Table4[System Name],Master_Table4[Compatible Systems],FALSE)</f>
        <v>LGS, Timber, ICF, SIP, Concrete Block</v>
      </c>
      <c r="O55" t="str">
        <f>IF(ISNUMBER(SEARCH(Table4[[#This Row],[MMC Method]],Table4[[#This Row],[Compatible Systems]])),"YES","NO")</f>
        <v>YES</v>
      </c>
      <c r="P55">
        <f>GETPIVOTDATA("Sum of A1-A3 Fossil kg CO2e/m^2 wall area",'COMPONENT PIVOT REF'!$I$3,"System Name",Table4[[#This Row],[Ext Finish]])</f>
        <v>47.384999999999998</v>
      </c>
      <c r="Q55">
        <f>GETPIVOTDATA("Sum of  R value (m^2-K/W)",'COMPONENT PIVOT REF'!$I$3,"System Name",Table4[[#This Row],[Ext Finish]])</f>
        <v>2.1298701298701297</v>
      </c>
      <c r="R55">
        <f>GETPIVOTDATA("Sum of Total Mass per m^2 (kg)",'COMPONENT PIVOT REF'!$I$3,"System Name",Table4[[#This Row],[Ext Finish]])</f>
        <v>231.17000000000002</v>
      </c>
      <c r="S55" t="s">
        <v>854</v>
      </c>
      <c r="T55" t="str">
        <f>_xlfn.XLOOKUP(Table4[[#This Row],[Int Finish]],Master_Table6[System Name],Master_Table6[System Name (Short)],FALSE)</f>
        <v>GPlas</v>
      </c>
      <c r="U55">
        <f>GETPIVOTDATA("Sum of A1-A3 Fossil kg CO2e/m^2 wall area",'COMPONENT PIVOT REF'!$P$3,"System Name",Table4[[#This Row],[Int Finish]])</f>
        <v>3.839</v>
      </c>
      <c r="V55">
        <f>GETPIVOTDATA("Sum of  R value (m^2-K/W)",'COMPONENT PIVOT REF'!$P$3,"System Name",Table4[[#This Row],[Int Finish]])</f>
        <v>0.56578947368421051</v>
      </c>
      <c r="W55">
        <f>GETPIVOTDATA("Sum of Total Mass per m^2 (kg)",'COMPONENT PIVOT REF'!$P$3,"System Name",Table4[[#This Row],[Int Finish]])</f>
        <v>9.3850000000000016</v>
      </c>
      <c r="X55">
        <f>Table4[[#This Row],[Ext Finish GWP]]+Table4[[#This Row],[Base GWP]]+Table4[[#This Row],[Int Finish GWP]]</f>
        <v>97.195655666666667</v>
      </c>
      <c r="Y55">
        <f>Table4[[#This Row],[Ext Finish R Value]]+Table4[[#This Row],[Base R Value]]+Table4[[#This Row],[Int Finish R Value]]</f>
        <v>5.9157310321257697</v>
      </c>
      <c r="Z55">
        <f>1/Table4[[#This Row],[Total R value]]</f>
        <v>0.16904081584666944</v>
      </c>
      <c r="AA55">
        <f>Table4[[#This Row],[Int Finish Mass]]+Table4[[#This Row],[Ext Finish Mass]]+Table4[[#This Row],[Base Mass]]</f>
        <v>376.351</v>
      </c>
    </row>
    <row r="56" spans="3:27" x14ac:dyDescent="0.35">
      <c r="C56" t="str">
        <f>_xlfn.CONCAT(Table4[[#This Row],[System Name (Short)]],"_",Table4[[#This Row],[Ext Finish Name (Short)]],"_",Table4[[#This Row],[Int Finish Name (Short)]])</f>
        <v>AirSuperEPDCBlk_EPDSolBrick_GPlas</v>
      </c>
      <c r="D56" s="119" t="s">
        <v>830</v>
      </c>
      <c r="E56" t="str">
        <f>_xlfn.XLOOKUP(Table4[[#This Row],[Base System]],BASE_SYSTEM_TABLE[System Name],BASE_SYSTEM_TABLE[System Name (Short)],FALSE)</f>
        <v>AirSuperEPDCBlk</v>
      </c>
      <c r="F56" t="str">
        <f>_xlfn.XLOOKUP(Table4[[#This Row],[Base System]],BASE_SYSTEM_TABLE[System Name],BASE_SYSTEM_TABLE[System Type],FALSE)</f>
        <v>Concrete Block</v>
      </c>
      <c r="G56" t="str">
        <f>_xlfn.XLOOKUP(Table4[[#This Row],[Base System]],BASE_SYSTEM_TABLE[System Name],BASE_SYSTEM_TABLE[System Subtype],FALSE)</f>
        <v>Traditional</v>
      </c>
      <c r="H56" t="str">
        <f>_xlfn.XLOOKUP(Table4[[#This Row],[Base System]],BASE_SYSTEM_TABLE[System Name],BASE_SYSTEM_TABLE[Construction Type (Framed or Planar)],FALSE)</f>
        <v>Planar</v>
      </c>
      <c r="I56">
        <f>GETPIVOTDATA("Sum of A1-A3 Fossil kg CO2e/m^2 wall area",'COMPONENT PIVOT REF'!$A$3,"System Name",Table4[[#This Row],[Base System]])</f>
        <v>45.97165566666667</v>
      </c>
      <c r="J56">
        <f>GETPIVOTDATA("Sum of  R value (m^2-K/W)",'COMPONENT PIVOT REF'!$A$3,"System Name",Table4[[#This Row],[Base System]])</f>
        <v>3.2200714285714289</v>
      </c>
      <c r="K56">
        <f>GETPIVOTDATA("Sum of Total Mass per m^2 (kg)",'COMPONENT PIVOT REF'!$A$3,"System Name",Table4[[#This Row],[Base System]])</f>
        <v>135.79599999999999</v>
      </c>
      <c r="L56" t="s">
        <v>852</v>
      </c>
      <c r="M56" t="str">
        <f>_xlfn.XLOOKUP(Table4[[#This Row],[Ext Finish]],Master_Table4[System Name],Master_Table4[System Name (Short)],FALSE)</f>
        <v>EPDSolBrick</v>
      </c>
      <c r="N56" t="str">
        <f>_xlfn.XLOOKUP(Table4[[#This Row],[Ext Finish]],Master_Table4[System Name],Master_Table4[Compatible Systems],FALSE)</f>
        <v>LGS, Timber, ICF, SIP, Concrete Block</v>
      </c>
      <c r="O56" t="str">
        <f>IF(ISNUMBER(SEARCH(Table4[[#This Row],[MMC Method]],Table4[[#This Row],[Compatible Systems]])),"YES","NO")</f>
        <v>YES</v>
      </c>
      <c r="P56">
        <f>GETPIVOTDATA("Sum of A1-A3 Fossil kg CO2e/m^2 wall area",'COMPONENT PIVOT REF'!$I$3,"System Name",Table4[[#This Row],[Ext Finish]])</f>
        <v>47.801724999999998</v>
      </c>
      <c r="Q56">
        <f>GETPIVOTDATA("Sum of  R value (m^2-K/W)",'COMPONENT PIVOT REF'!$I$3,"System Name",Table4[[#This Row],[Ext Finish]])</f>
        <v>2.1626984126984126</v>
      </c>
      <c r="R56">
        <f>GETPIVOTDATA("Sum of Total Mass per m^2 (kg)",'COMPONENT PIVOT REF'!$I$3,"System Name",Table4[[#This Row],[Ext Finish]])</f>
        <v>233.095</v>
      </c>
      <c r="S56" t="s">
        <v>854</v>
      </c>
      <c r="T56" t="str">
        <f>_xlfn.XLOOKUP(Table4[[#This Row],[Int Finish]],Master_Table6[System Name],Master_Table6[System Name (Short)],FALSE)</f>
        <v>GPlas</v>
      </c>
      <c r="U56">
        <f>GETPIVOTDATA("Sum of A1-A3 Fossil kg CO2e/m^2 wall area",'COMPONENT PIVOT REF'!$P$3,"System Name",Table4[[#This Row],[Int Finish]])</f>
        <v>3.839</v>
      </c>
      <c r="V56">
        <f>GETPIVOTDATA("Sum of  R value (m^2-K/W)",'COMPONENT PIVOT REF'!$P$3,"System Name",Table4[[#This Row],[Int Finish]])</f>
        <v>0.56578947368421051</v>
      </c>
      <c r="W56">
        <f>GETPIVOTDATA("Sum of Total Mass per m^2 (kg)",'COMPONENT PIVOT REF'!$P$3,"System Name",Table4[[#This Row],[Int Finish]])</f>
        <v>9.3850000000000016</v>
      </c>
      <c r="X56">
        <f>Table4[[#This Row],[Ext Finish GWP]]+Table4[[#This Row],[Base GWP]]+Table4[[#This Row],[Int Finish GWP]]</f>
        <v>97.612380666666667</v>
      </c>
      <c r="Y56">
        <f>Table4[[#This Row],[Ext Finish R Value]]+Table4[[#This Row],[Base R Value]]+Table4[[#This Row],[Int Finish R Value]]</f>
        <v>5.9485593149540517</v>
      </c>
      <c r="Z56">
        <f>1/Table4[[#This Row],[Total R value]]</f>
        <v>0.16810793119034811</v>
      </c>
      <c r="AA56">
        <f>Table4[[#This Row],[Int Finish Mass]]+Table4[[#This Row],[Ext Finish Mass]]+Table4[[#This Row],[Base Mass]]</f>
        <v>378.27599999999995</v>
      </c>
    </row>
    <row r="57" spans="3:27" x14ac:dyDescent="0.35">
      <c r="C57" t="str">
        <f>_xlfn.CONCAT(Table4[[#This Row],[System Name (Short)]],"_",Table4[[#This Row],[Ext Finish Name (Short)]],"_",Table4[[#This Row],[Int Finish Name (Short)]])</f>
        <v>AirSuperEPDCBlk_EPDComFiber_GPlas</v>
      </c>
      <c r="D57" s="119" t="s">
        <v>830</v>
      </c>
      <c r="E57" t="str">
        <f>_xlfn.XLOOKUP(Table4[[#This Row],[Base System]],BASE_SYSTEM_TABLE[System Name],BASE_SYSTEM_TABLE[System Name (Short)],FALSE)</f>
        <v>AirSuperEPDCBlk</v>
      </c>
      <c r="F57" t="str">
        <f>_xlfn.XLOOKUP(Table4[[#This Row],[Base System]],BASE_SYSTEM_TABLE[System Name],BASE_SYSTEM_TABLE[System Type],FALSE)</f>
        <v>Concrete Block</v>
      </c>
      <c r="G57" t="str">
        <f>_xlfn.XLOOKUP(Table4[[#This Row],[Base System]],BASE_SYSTEM_TABLE[System Name],BASE_SYSTEM_TABLE[System Subtype],FALSE)</f>
        <v>Traditional</v>
      </c>
      <c r="H57" t="str">
        <f>_xlfn.XLOOKUP(Table4[[#This Row],[Base System]],BASE_SYSTEM_TABLE[System Name],BASE_SYSTEM_TABLE[Construction Type (Framed or Planar)],FALSE)</f>
        <v>Planar</v>
      </c>
      <c r="I57">
        <f>GETPIVOTDATA("Sum of A1-A3 Fossil kg CO2e/m^2 wall area",'COMPONENT PIVOT REF'!$A$3,"System Name",Table4[[#This Row],[Base System]])</f>
        <v>45.97165566666667</v>
      </c>
      <c r="J57">
        <f>GETPIVOTDATA("Sum of  R value (m^2-K/W)",'COMPONENT PIVOT REF'!$A$3,"System Name",Table4[[#This Row],[Base System]])</f>
        <v>3.2200714285714289</v>
      </c>
      <c r="K57">
        <f>GETPIVOTDATA("Sum of Total Mass per m^2 (kg)",'COMPONENT PIVOT REF'!$A$3,"System Name",Table4[[#This Row],[Base System]])</f>
        <v>135.79599999999999</v>
      </c>
      <c r="L57" t="s">
        <v>851</v>
      </c>
      <c r="M57" t="str">
        <f>_xlfn.XLOOKUP(Table4[[#This Row],[Ext Finish]],Master_Table4[System Name],Master_Table4[System Name (Short)],FALSE)</f>
        <v>EPDComFiber</v>
      </c>
      <c r="N57" t="str">
        <f>_xlfn.XLOOKUP(Table4[[#This Row],[Ext Finish]],Master_Table4[System Name],Master_Table4[Compatible Systems],FALSE)</f>
        <v>LGS, Timber, ICF, SIP, Concrete Block</v>
      </c>
      <c r="O57" t="str">
        <f>IF(ISNUMBER(SEARCH(Table4[[#This Row],[MMC Method]],Table4[[#This Row],[Compatible Systems]])),"YES","NO")</f>
        <v>YES</v>
      </c>
      <c r="P57">
        <f>GETPIVOTDATA("Sum of A1-A3 Fossil kg CO2e/m^2 wall area",'COMPONENT PIVOT REF'!$I$3,"System Name",Table4[[#This Row],[Ext Finish]])</f>
        <v>22</v>
      </c>
      <c r="Q57">
        <f>GETPIVOTDATA("Sum of  R value (m^2-K/W)",'COMPONENT PIVOT REF'!$I$3,"System Name",Table4[[#This Row],[Ext Finish]])</f>
        <v>2.4699999999999998</v>
      </c>
      <c r="R57">
        <f>GETPIVOTDATA("Sum of Total Mass per m^2 (kg)",'COMPONENT PIVOT REF'!$I$3,"System Name",Table4[[#This Row],[Ext Finish]])</f>
        <v>0.16999999999999998</v>
      </c>
      <c r="S57" t="s">
        <v>854</v>
      </c>
      <c r="T57" t="str">
        <f>_xlfn.XLOOKUP(Table4[[#This Row],[Int Finish]],Master_Table6[System Name],Master_Table6[System Name (Short)],FALSE)</f>
        <v>GPlas</v>
      </c>
      <c r="U57">
        <f>GETPIVOTDATA("Sum of A1-A3 Fossil kg CO2e/m^2 wall area",'COMPONENT PIVOT REF'!$P$3,"System Name",Table4[[#This Row],[Int Finish]])</f>
        <v>3.839</v>
      </c>
      <c r="V57">
        <f>GETPIVOTDATA("Sum of  R value (m^2-K/W)",'COMPONENT PIVOT REF'!$P$3,"System Name",Table4[[#This Row],[Int Finish]])</f>
        <v>0.56578947368421051</v>
      </c>
      <c r="W57">
        <f>GETPIVOTDATA("Sum of Total Mass per m^2 (kg)",'COMPONENT PIVOT REF'!$P$3,"System Name",Table4[[#This Row],[Int Finish]])</f>
        <v>9.3850000000000016</v>
      </c>
      <c r="X57">
        <f>Table4[[#This Row],[Ext Finish GWP]]+Table4[[#This Row],[Base GWP]]+Table4[[#This Row],[Int Finish GWP]]</f>
        <v>71.810655666666662</v>
      </c>
      <c r="Y57">
        <f>Table4[[#This Row],[Ext Finish R Value]]+Table4[[#This Row],[Base R Value]]+Table4[[#This Row],[Int Finish R Value]]</f>
        <v>6.2558609022556393</v>
      </c>
      <c r="Z57">
        <f>1/Table4[[#This Row],[Total R value]]</f>
        <v>0.15985010146875803</v>
      </c>
      <c r="AA57">
        <f>Table4[[#This Row],[Int Finish Mass]]+Table4[[#This Row],[Ext Finish Mass]]+Table4[[#This Row],[Base Mass]]</f>
        <v>145.351</v>
      </c>
    </row>
    <row r="58" spans="3:27" x14ac:dyDescent="0.35">
      <c r="C58" t="str">
        <f>_xlfn.CONCAT(Table4[[#This Row],[System Name (Short)]],"_",Table4[[#This Row],[Ext Finish Name (Short)]],"_",Table4[[#This Row],[Int Finish Name (Short)]])</f>
        <v>AirStandEPDCBlk_LCASolBrick_GPlas</v>
      </c>
      <c r="D58" s="119" t="s">
        <v>829</v>
      </c>
      <c r="E58" t="str">
        <f>_xlfn.XLOOKUP(Table4[[#This Row],[Base System]],BASE_SYSTEM_TABLE[System Name],BASE_SYSTEM_TABLE[System Name (Short)],FALSE)</f>
        <v>AirStandEPDCBlk</v>
      </c>
      <c r="F58" t="str">
        <f>_xlfn.XLOOKUP(Table4[[#This Row],[Base System]],BASE_SYSTEM_TABLE[System Name],BASE_SYSTEM_TABLE[System Type],FALSE)</f>
        <v>Concrete Block</v>
      </c>
      <c r="G58" t="str">
        <f>_xlfn.XLOOKUP(Table4[[#This Row],[Base System]],BASE_SYSTEM_TABLE[System Name],BASE_SYSTEM_TABLE[System Subtype],FALSE)</f>
        <v>Traditional</v>
      </c>
      <c r="H58" t="str">
        <f>_xlfn.XLOOKUP(Table4[[#This Row],[Base System]],BASE_SYSTEM_TABLE[System Name],BASE_SYSTEM_TABLE[Construction Type (Framed or Planar)],FALSE)</f>
        <v>Planar</v>
      </c>
      <c r="I58">
        <f>GETPIVOTDATA("Sum of A1-A3 Fossil kg CO2e/m^2 wall area",'COMPONENT PIVOT REF'!$A$3,"System Name",Table4[[#This Row],[Base System]])</f>
        <v>57.220594166666672</v>
      </c>
      <c r="J58">
        <f>GETPIVOTDATA("Sum of  R value (m^2-K/W)",'COMPONENT PIVOT REF'!$A$3,"System Name",Table4[[#This Row],[Base System]])</f>
        <v>3.4043571428571431</v>
      </c>
      <c r="K58">
        <f>GETPIVOTDATA("Sum of Total Mass per m^2 (kg)",'COMPONENT PIVOT REF'!$A$3,"System Name",Table4[[#This Row],[Base System]])</f>
        <v>172.971</v>
      </c>
      <c r="L58" t="s">
        <v>853</v>
      </c>
      <c r="M58" t="str">
        <f>_xlfn.XLOOKUP(Table4[[#This Row],[Ext Finish]],Master_Table4[System Name],Master_Table4[System Name (Short)],FALSE)</f>
        <v>LCASolBrick</v>
      </c>
      <c r="N58" t="str">
        <f>_xlfn.XLOOKUP(Table4[[#This Row],[Ext Finish]],Master_Table4[System Name],Master_Table4[Compatible Systems],FALSE)</f>
        <v>LGS, Timber, ICF, SIP, Concrete Block</v>
      </c>
      <c r="O58" t="str">
        <f>IF(ISNUMBER(SEARCH(Table4[[#This Row],[MMC Method]],Table4[[#This Row],[Compatible Systems]])),"YES","NO")</f>
        <v>YES</v>
      </c>
      <c r="P58">
        <f>GETPIVOTDATA("Sum of A1-A3 Fossil kg CO2e/m^2 wall area",'COMPONENT PIVOT REF'!$I$3,"System Name",Table4[[#This Row],[Ext Finish]])</f>
        <v>47.384999999999998</v>
      </c>
      <c r="Q58">
        <f>GETPIVOTDATA("Sum of  R value (m^2-K/W)",'COMPONENT PIVOT REF'!$I$3,"System Name",Table4[[#This Row],[Ext Finish]])</f>
        <v>2.1298701298701297</v>
      </c>
      <c r="R58">
        <f>GETPIVOTDATA("Sum of Total Mass per m^2 (kg)",'COMPONENT PIVOT REF'!$I$3,"System Name",Table4[[#This Row],[Ext Finish]])</f>
        <v>231.17000000000002</v>
      </c>
      <c r="S58" t="s">
        <v>854</v>
      </c>
      <c r="T58" t="str">
        <f>_xlfn.XLOOKUP(Table4[[#This Row],[Int Finish]],Master_Table6[System Name],Master_Table6[System Name (Short)],FALSE)</f>
        <v>GPlas</v>
      </c>
      <c r="U58">
        <f>GETPIVOTDATA("Sum of A1-A3 Fossil kg CO2e/m^2 wall area",'COMPONENT PIVOT REF'!$P$3,"System Name",Table4[[#This Row],[Int Finish]])</f>
        <v>3.839</v>
      </c>
      <c r="V58">
        <f>GETPIVOTDATA("Sum of  R value (m^2-K/W)",'COMPONENT PIVOT REF'!$P$3,"System Name",Table4[[#This Row],[Int Finish]])</f>
        <v>0.56578947368421051</v>
      </c>
      <c r="W58">
        <f>GETPIVOTDATA("Sum of Total Mass per m^2 (kg)",'COMPONENT PIVOT REF'!$P$3,"System Name",Table4[[#This Row],[Int Finish]])</f>
        <v>9.3850000000000016</v>
      </c>
      <c r="X58">
        <f>Table4[[#This Row],[Ext Finish GWP]]+Table4[[#This Row],[Base GWP]]+Table4[[#This Row],[Int Finish GWP]]</f>
        <v>108.44459416666666</v>
      </c>
      <c r="Y58">
        <f>Table4[[#This Row],[Ext Finish R Value]]+Table4[[#This Row],[Base R Value]]+Table4[[#This Row],[Int Finish R Value]]</f>
        <v>6.1000167464114838</v>
      </c>
      <c r="Z58">
        <f>1/Table4[[#This Row],[Total R value]]</f>
        <v>0.16393397617937355</v>
      </c>
      <c r="AA58">
        <f>Table4[[#This Row],[Int Finish Mass]]+Table4[[#This Row],[Ext Finish Mass]]+Table4[[#This Row],[Base Mass]]</f>
        <v>413.52600000000001</v>
      </c>
    </row>
    <row r="59" spans="3:27" x14ac:dyDescent="0.35">
      <c r="C59" t="str">
        <f>_xlfn.CONCAT(Table4[[#This Row],[System Name (Short)]],"_",Table4[[#This Row],[Ext Finish Name (Short)]],"_",Table4[[#This Row],[Int Finish Name (Short)]])</f>
        <v>AirStandEPDCBlk_EPDSolBrick_GPlas</v>
      </c>
      <c r="D59" s="119" t="s">
        <v>829</v>
      </c>
      <c r="E59" t="str">
        <f>_xlfn.XLOOKUP(Table4[[#This Row],[Base System]],BASE_SYSTEM_TABLE[System Name],BASE_SYSTEM_TABLE[System Name (Short)],FALSE)</f>
        <v>AirStandEPDCBlk</v>
      </c>
      <c r="F59" t="str">
        <f>_xlfn.XLOOKUP(Table4[[#This Row],[Base System]],BASE_SYSTEM_TABLE[System Name],BASE_SYSTEM_TABLE[System Type],FALSE)</f>
        <v>Concrete Block</v>
      </c>
      <c r="G59" t="str">
        <f>_xlfn.XLOOKUP(Table4[[#This Row],[Base System]],BASE_SYSTEM_TABLE[System Name],BASE_SYSTEM_TABLE[System Subtype],FALSE)</f>
        <v>Traditional</v>
      </c>
      <c r="H59" t="str">
        <f>_xlfn.XLOOKUP(Table4[[#This Row],[Base System]],BASE_SYSTEM_TABLE[System Name],BASE_SYSTEM_TABLE[Construction Type (Framed or Planar)],FALSE)</f>
        <v>Planar</v>
      </c>
      <c r="I59">
        <f>GETPIVOTDATA("Sum of A1-A3 Fossil kg CO2e/m^2 wall area",'COMPONENT PIVOT REF'!$A$3,"System Name",Table4[[#This Row],[Base System]])</f>
        <v>57.220594166666672</v>
      </c>
      <c r="J59">
        <f>GETPIVOTDATA("Sum of  R value (m^2-K/W)",'COMPONENT PIVOT REF'!$A$3,"System Name",Table4[[#This Row],[Base System]])</f>
        <v>3.4043571428571431</v>
      </c>
      <c r="K59">
        <f>GETPIVOTDATA("Sum of Total Mass per m^2 (kg)",'COMPONENT PIVOT REF'!$A$3,"System Name",Table4[[#This Row],[Base System]])</f>
        <v>172.971</v>
      </c>
      <c r="L59" t="s">
        <v>852</v>
      </c>
      <c r="M59" t="str">
        <f>_xlfn.XLOOKUP(Table4[[#This Row],[Ext Finish]],Master_Table4[System Name],Master_Table4[System Name (Short)],FALSE)</f>
        <v>EPDSolBrick</v>
      </c>
      <c r="N59" t="str">
        <f>_xlfn.XLOOKUP(Table4[[#This Row],[Ext Finish]],Master_Table4[System Name],Master_Table4[Compatible Systems],FALSE)</f>
        <v>LGS, Timber, ICF, SIP, Concrete Block</v>
      </c>
      <c r="O59" t="str">
        <f>IF(ISNUMBER(SEARCH(Table4[[#This Row],[MMC Method]],Table4[[#This Row],[Compatible Systems]])),"YES","NO")</f>
        <v>YES</v>
      </c>
      <c r="P59">
        <f>GETPIVOTDATA("Sum of A1-A3 Fossil kg CO2e/m^2 wall area",'COMPONENT PIVOT REF'!$I$3,"System Name",Table4[[#This Row],[Ext Finish]])</f>
        <v>47.801724999999998</v>
      </c>
      <c r="Q59">
        <f>GETPIVOTDATA("Sum of  R value (m^2-K/W)",'COMPONENT PIVOT REF'!$I$3,"System Name",Table4[[#This Row],[Ext Finish]])</f>
        <v>2.1626984126984126</v>
      </c>
      <c r="R59">
        <f>GETPIVOTDATA("Sum of Total Mass per m^2 (kg)",'COMPONENT PIVOT REF'!$I$3,"System Name",Table4[[#This Row],[Ext Finish]])</f>
        <v>233.095</v>
      </c>
      <c r="S59" t="s">
        <v>854</v>
      </c>
      <c r="T59" t="str">
        <f>_xlfn.XLOOKUP(Table4[[#This Row],[Int Finish]],Master_Table6[System Name],Master_Table6[System Name (Short)],FALSE)</f>
        <v>GPlas</v>
      </c>
      <c r="U59">
        <f>GETPIVOTDATA("Sum of A1-A3 Fossil kg CO2e/m^2 wall area",'COMPONENT PIVOT REF'!$P$3,"System Name",Table4[[#This Row],[Int Finish]])</f>
        <v>3.839</v>
      </c>
      <c r="V59">
        <f>GETPIVOTDATA("Sum of  R value (m^2-K/W)",'COMPONENT PIVOT REF'!$P$3,"System Name",Table4[[#This Row],[Int Finish]])</f>
        <v>0.56578947368421051</v>
      </c>
      <c r="W59">
        <f>GETPIVOTDATA("Sum of Total Mass per m^2 (kg)",'COMPONENT PIVOT REF'!$P$3,"System Name",Table4[[#This Row],[Int Finish]])</f>
        <v>9.3850000000000016</v>
      </c>
      <c r="X59">
        <f>Table4[[#This Row],[Ext Finish GWP]]+Table4[[#This Row],[Base GWP]]+Table4[[#This Row],[Int Finish GWP]]</f>
        <v>108.86131916666668</v>
      </c>
      <c r="Y59">
        <f>Table4[[#This Row],[Ext Finish R Value]]+Table4[[#This Row],[Base R Value]]+Table4[[#This Row],[Int Finish R Value]]</f>
        <v>6.1328450292397658</v>
      </c>
      <c r="Z59">
        <f>1/Table4[[#This Row],[Total R value]]</f>
        <v>0.16305645996797039</v>
      </c>
      <c r="AA59">
        <f>Table4[[#This Row],[Int Finish Mass]]+Table4[[#This Row],[Ext Finish Mass]]+Table4[[#This Row],[Base Mass]]</f>
        <v>415.45100000000002</v>
      </c>
    </row>
    <row r="60" spans="3:27" x14ac:dyDescent="0.35">
      <c r="C60" t="str">
        <f>_xlfn.CONCAT(Table4[[#This Row],[System Name (Short)]],"_",Table4[[#This Row],[Ext Finish Name (Short)]],"_",Table4[[#This Row],[Int Finish Name (Short)]])</f>
        <v>AirStandEPDCBlk_EPDComFiber_GPlas</v>
      </c>
      <c r="D60" s="119" t="s">
        <v>829</v>
      </c>
      <c r="E60" t="str">
        <f>_xlfn.XLOOKUP(Table4[[#This Row],[Base System]],BASE_SYSTEM_TABLE[System Name],BASE_SYSTEM_TABLE[System Name (Short)],FALSE)</f>
        <v>AirStandEPDCBlk</v>
      </c>
      <c r="F60" t="str">
        <f>_xlfn.XLOOKUP(Table4[[#This Row],[Base System]],BASE_SYSTEM_TABLE[System Name],BASE_SYSTEM_TABLE[System Type],FALSE)</f>
        <v>Concrete Block</v>
      </c>
      <c r="G60" t="str">
        <f>_xlfn.XLOOKUP(Table4[[#This Row],[Base System]],BASE_SYSTEM_TABLE[System Name],BASE_SYSTEM_TABLE[System Subtype],FALSE)</f>
        <v>Traditional</v>
      </c>
      <c r="H60" t="str">
        <f>_xlfn.XLOOKUP(Table4[[#This Row],[Base System]],BASE_SYSTEM_TABLE[System Name],BASE_SYSTEM_TABLE[Construction Type (Framed or Planar)],FALSE)</f>
        <v>Planar</v>
      </c>
      <c r="I60">
        <f>GETPIVOTDATA("Sum of A1-A3 Fossil kg CO2e/m^2 wall area",'COMPONENT PIVOT REF'!$A$3,"System Name",Table4[[#This Row],[Base System]])</f>
        <v>57.220594166666672</v>
      </c>
      <c r="J60">
        <f>GETPIVOTDATA("Sum of  R value (m^2-K/W)",'COMPONENT PIVOT REF'!$A$3,"System Name",Table4[[#This Row],[Base System]])</f>
        <v>3.4043571428571431</v>
      </c>
      <c r="K60">
        <f>GETPIVOTDATA("Sum of Total Mass per m^2 (kg)",'COMPONENT PIVOT REF'!$A$3,"System Name",Table4[[#This Row],[Base System]])</f>
        <v>172.971</v>
      </c>
      <c r="L60" t="s">
        <v>851</v>
      </c>
      <c r="M60" t="str">
        <f>_xlfn.XLOOKUP(Table4[[#This Row],[Ext Finish]],Master_Table4[System Name],Master_Table4[System Name (Short)],FALSE)</f>
        <v>EPDComFiber</v>
      </c>
      <c r="N60" t="str">
        <f>_xlfn.XLOOKUP(Table4[[#This Row],[Ext Finish]],Master_Table4[System Name],Master_Table4[Compatible Systems],FALSE)</f>
        <v>LGS, Timber, ICF, SIP, Concrete Block</v>
      </c>
      <c r="O60" t="str">
        <f>IF(ISNUMBER(SEARCH(Table4[[#This Row],[MMC Method]],Table4[[#This Row],[Compatible Systems]])),"YES","NO")</f>
        <v>YES</v>
      </c>
      <c r="P60">
        <f>GETPIVOTDATA("Sum of A1-A3 Fossil kg CO2e/m^2 wall area",'COMPONENT PIVOT REF'!$I$3,"System Name",Table4[[#This Row],[Ext Finish]])</f>
        <v>22</v>
      </c>
      <c r="Q60">
        <f>GETPIVOTDATA("Sum of  R value (m^2-K/W)",'COMPONENT PIVOT REF'!$I$3,"System Name",Table4[[#This Row],[Ext Finish]])</f>
        <v>2.4699999999999998</v>
      </c>
      <c r="R60">
        <f>GETPIVOTDATA("Sum of Total Mass per m^2 (kg)",'COMPONENT PIVOT REF'!$I$3,"System Name",Table4[[#This Row],[Ext Finish]])</f>
        <v>0.16999999999999998</v>
      </c>
      <c r="S60" t="s">
        <v>854</v>
      </c>
      <c r="T60" t="str">
        <f>_xlfn.XLOOKUP(Table4[[#This Row],[Int Finish]],Master_Table6[System Name],Master_Table6[System Name (Short)],FALSE)</f>
        <v>GPlas</v>
      </c>
      <c r="U60">
        <f>GETPIVOTDATA("Sum of A1-A3 Fossil kg CO2e/m^2 wall area",'COMPONENT PIVOT REF'!$P$3,"System Name",Table4[[#This Row],[Int Finish]])</f>
        <v>3.839</v>
      </c>
      <c r="V60">
        <f>GETPIVOTDATA("Sum of  R value (m^2-K/W)",'COMPONENT PIVOT REF'!$P$3,"System Name",Table4[[#This Row],[Int Finish]])</f>
        <v>0.56578947368421051</v>
      </c>
      <c r="W60">
        <f>GETPIVOTDATA("Sum of Total Mass per m^2 (kg)",'COMPONENT PIVOT REF'!$P$3,"System Name",Table4[[#This Row],[Int Finish]])</f>
        <v>9.3850000000000016</v>
      </c>
      <c r="X60">
        <f>Table4[[#This Row],[Ext Finish GWP]]+Table4[[#This Row],[Base GWP]]+Table4[[#This Row],[Int Finish GWP]]</f>
        <v>83.05959416666667</v>
      </c>
      <c r="Y60">
        <f>Table4[[#This Row],[Ext Finish R Value]]+Table4[[#This Row],[Base R Value]]+Table4[[#This Row],[Int Finish R Value]]</f>
        <v>6.4401466165413535</v>
      </c>
      <c r="Z60">
        <f>1/Table4[[#This Row],[Total R value]]</f>
        <v>0.15527596800848065</v>
      </c>
      <c r="AA60">
        <f>Table4[[#This Row],[Int Finish Mass]]+Table4[[#This Row],[Ext Finish Mass]]+Table4[[#This Row],[Base Mass]]</f>
        <v>182.52600000000001</v>
      </c>
    </row>
    <row r="61" spans="3:27" x14ac:dyDescent="0.35">
      <c r="C61" t="str">
        <f>_xlfn.CONCAT(Table4[[#This Row],[System Name (Short)]],"_",Table4[[#This Row],[Ext Finish Name (Short)]],"_",Table4[[#This Row],[Int Finish Name (Short)]])</f>
        <v>AirHTenEPDCBlk_LCASolBrick_GPlas</v>
      </c>
      <c r="D61" s="119" t="s">
        <v>827</v>
      </c>
      <c r="E61" t="str">
        <f>_xlfn.XLOOKUP(Table4[[#This Row],[Base System]],BASE_SYSTEM_TABLE[System Name],BASE_SYSTEM_TABLE[System Name (Short)],FALSE)</f>
        <v>AirHTenEPDCBlk</v>
      </c>
      <c r="F61" t="str">
        <f>_xlfn.XLOOKUP(Table4[[#This Row],[Base System]],BASE_SYSTEM_TABLE[System Name],BASE_SYSTEM_TABLE[System Type],FALSE)</f>
        <v>Concrete Block</v>
      </c>
      <c r="G61" t="str">
        <f>_xlfn.XLOOKUP(Table4[[#This Row],[Base System]],BASE_SYSTEM_TABLE[System Name],BASE_SYSTEM_TABLE[System Subtype],FALSE)</f>
        <v>Traditional</v>
      </c>
      <c r="H61" t="str">
        <f>_xlfn.XLOOKUP(Table4[[#This Row],[Base System]],BASE_SYSTEM_TABLE[System Name],BASE_SYSTEM_TABLE[Construction Type (Framed or Planar)],FALSE)</f>
        <v>Planar</v>
      </c>
      <c r="I61">
        <f>GETPIVOTDATA("Sum of A1-A3 Fossil kg CO2e/m^2 wall area",'COMPONENT PIVOT REF'!$A$3,"System Name",Table4[[#This Row],[Base System]])</f>
        <v>61.320257166666671</v>
      </c>
      <c r="J61">
        <f>GETPIVOTDATA("Sum of  R value (m^2-K/W)",'COMPONENT PIVOT REF'!$A$3,"System Name",Table4[[#This Row],[Base System]])</f>
        <v>3.1643571428571429</v>
      </c>
      <c r="K61">
        <f>GETPIVOTDATA("Sum of Total Mass per m^2 (kg)",'COMPONENT PIVOT REF'!$A$3,"System Name",Table4[[#This Row],[Base System]])</f>
        <v>211.67099999999999</v>
      </c>
      <c r="L61" t="s">
        <v>853</v>
      </c>
      <c r="M61" t="str">
        <f>_xlfn.XLOOKUP(Table4[[#This Row],[Ext Finish]],Master_Table4[System Name],Master_Table4[System Name (Short)],FALSE)</f>
        <v>LCASolBrick</v>
      </c>
      <c r="N61" t="str">
        <f>_xlfn.XLOOKUP(Table4[[#This Row],[Ext Finish]],Master_Table4[System Name],Master_Table4[Compatible Systems],FALSE)</f>
        <v>LGS, Timber, ICF, SIP, Concrete Block</v>
      </c>
      <c r="O61" t="str">
        <f>IF(ISNUMBER(SEARCH(Table4[[#This Row],[MMC Method]],Table4[[#This Row],[Compatible Systems]])),"YES","NO")</f>
        <v>YES</v>
      </c>
      <c r="P61">
        <f>GETPIVOTDATA("Sum of A1-A3 Fossil kg CO2e/m^2 wall area",'COMPONENT PIVOT REF'!$I$3,"System Name",Table4[[#This Row],[Ext Finish]])</f>
        <v>47.384999999999998</v>
      </c>
      <c r="Q61">
        <f>GETPIVOTDATA("Sum of  R value (m^2-K/W)",'COMPONENT PIVOT REF'!$I$3,"System Name",Table4[[#This Row],[Ext Finish]])</f>
        <v>2.1298701298701297</v>
      </c>
      <c r="R61">
        <f>GETPIVOTDATA("Sum of Total Mass per m^2 (kg)",'COMPONENT PIVOT REF'!$I$3,"System Name",Table4[[#This Row],[Ext Finish]])</f>
        <v>231.17000000000002</v>
      </c>
      <c r="S61" t="s">
        <v>854</v>
      </c>
      <c r="T61" t="str">
        <f>_xlfn.XLOOKUP(Table4[[#This Row],[Int Finish]],Master_Table6[System Name],Master_Table6[System Name (Short)],FALSE)</f>
        <v>GPlas</v>
      </c>
      <c r="U61">
        <f>GETPIVOTDATA("Sum of A1-A3 Fossil kg CO2e/m^2 wall area",'COMPONENT PIVOT REF'!$P$3,"System Name",Table4[[#This Row],[Int Finish]])</f>
        <v>3.839</v>
      </c>
      <c r="V61">
        <f>GETPIVOTDATA("Sum of  R value (m^2-K/W)",'COMPONENT PIVOT REF'!$P$3,"System Name",Table4[[#This Row],[Int Finish]])</f>
        <v>0.56578947368421051</v>
      </c>
      <c r="W61">
        <f>GETPIVOTDATA("Sum of Total Mass per m^2 (kg)",'COMPONENT PIVOT REF'!$P$3,"System Name",Table4[[#This Row],[Int Finish]])</f>
        <v>9.3850000000000016</v>
      </c>
      <c r="X61">
        <f>Table4[[#This Row],[Ext Finish GWP]]+Table4[[#This Row],[Base GWP]]+Table4[[#This Row],[Int Finish GWP]]</f>
        <v>112.54425716666667</v>
      </c>
      <c r="Y61">
        <f>Table4[[#This Row],[Ext Finish R Value]]+Table4[[#This Row],[Base R Value]]+Table4[[#This Row],[Int Finish R Value]]</f>
        <v>5.8600167464114836</v>
      </c>
      <c r="Z61">
        <f>1/Table4[[#This Row],[Total R value]]</f>
        <v>0.17064797649467009</v>
      </c>
      <c r="AA61">
        <f>Table4[[#This Row],[Int Finish Mass]]+Table4[[#This Row],[Ext Finish Mass]]+Table4[[#This Row],[Base Mass]]</f>
        <v>452.226</v>
      </c>
    </row>
    <row r="62" spans="3:27" x14ac:dyDescent="0.35">
      <c r="C62" t="str">
        <f>_xlfn.CONCAT(Table4[[#This Row],[System Name (Short)]],"_",Table4[[#This Row],[Ext Finish Name (Short)]],"_",Table4[[#This Row],[Int Finish Name (Short)]])</f>
        <v>AirHTenEPDCBlk_EPDSolBrick_GPlas</v>
      </c>
      <c r="D62" s="119" t="s">
        <v>827</v>
      </c>
      <c r="E62" t="str">
        <f>_xlfn.XLOOKUP(Table4[[#This Row],[Base System]],BASE_SYSTEM_TABLE[System Name],BASE_SYSTEM_TABLE[System Name (Short)],FALSE)</f>
        <v>AirHTenEPDCBlk</v>
      </c>
      <c r="F62" t="str">
        <f>_xlfn.XLOOKUP(Table4[[#This Row],[Base System]],BASE_SYSTEM_TABLE[System Name],BASE_SYSTEM_TABLE[System Type],FALSE)</f>
        <v>Concrete Block</v>
      </c>
      <c r="G62" t="str">
        <f>_xlfn.XLOOKUP(Table4[[#This Row],[Base System]],BASE_SYSTEM_TABLE[System Name],BASE_SYSTEM_TABLE[System Subtype],FALSE)</f>
        <v>Traditional</v>
      </c>
      <c r="H62" t="str">
        <f>_xlfn.XLOOKUP(Table4[[#This Row],[Base System]],BASE_SYSTEM_TABLE[System Name],BASE_SYSTEM_TABLE[Construction Type (Framed or Planar)],FALSE)</f>
        <v>Planar</v>
      </c>
      <c r="I62">
        <f>GETPIVOTDATA("Sum of A1-A3 Fossil kg CO2e/m^2 wall area",'COMPONENT PIVOT REF'!$A$3,"System Name",Table4[[#This Row],[Base System]])</f>
        <v>61.320257166666671</v>
      </c>
      <c r="J62">
        <f>GETPIVOTDATA("Sum of  R value (m^2-K/W)",'COMPONENT PIVOT REF'!$A$3,"System Name",Table4[[#This Row],[Base System]])</f>
        <v>3.1643571428571429</v>
      </c>
      <c r="K62">
        <f>GETPIVOTDATA("Sum of Total Mass per m^2 (kg)",'COMPONENT PIVOT REF'!$A$3,"System Name",Table4[[#This Row],[Base System]])</f>
        <v>211.67099999999999</v>
      </c>
      <c r="L62" t="s">
        <v>852</v>
      </c>
      <c r="M62" t="str">
        <f>_xlfn.XLOOKUP(Table4[[#This Row],[Ext Finish]],Master_Table4[System Name],Master_Table4[System Name (Short)],FALSE)</f>
        <v>EPDSolBrick</v>
      </c>
      <c r="N62" t="str">
        <f>_xlfn.XLOOKUP(Table4[[#This Row],[Ext Finish]],Master_Table4[System Name],Master_Table4[Compatible Systems],FALSE)</f>
        <v>LGS, Timber, ICF, SIP, Concrete Block</v>
      </c>
      <c r="O62" t="str">
        <f>IF(ISNUMBER(SEARCH(Table4[[#This Row],[MMC Method]],Table4[[#This Row],[Compatible Systems]])),"YES","NO")</f>
        <v>YES</v>
      </c>
      <c r="P62">
        <f>GETPIVOTDATA("Sum of A1-A3 Fossil kg CO2e/m^2 wall area",'COMPONENT PIVOT REF'!$I$3,"System Name",Table4[[#This Row],[Ext Finish]])</f>
        <v>47.801724999999998</v>
      </c>
      <c r="Q62">
        <f>GETPIVOTDATA("Sum of  R value (m^2-K/W)",'COMPONENT PIVOT REF'!$I$3,"System Name",Table4[[#This Row],[Ext Finish]])</f>
        <v>2.1626984126984126</v>
      </c>
      <c r="R62">
        <f>GETPIVOTDATA("Sum of Total Mass per m^2 (kg)",'COMPONENT PIVOT REF'!$I$3,"System Name",Table4[[#This Row],[Ext Finish]])</f>
        <v>233.095</v>
      </c>
      <c r="S62" t="s">
        <v>854</v>
      </c>
      <c r="T62" t="str">
        <f>_xlfn.XLOOKUP(Table4[[#This Row],[Int Finish]],Master_Table6[System Name],Master_Table6[System Name (Short)],FALSE)</f>
        <v>GPlas</v>
      </c>
      <c r="U62">
        <f>GETPIVOTDATA("Sum of A1-A3 Fossil kg CO2e/m^2 wall area",'COMPONENT PIVOT REF'!$P$3,"System Name",Table4[[#This Row],[Int Finish]])</f>
        <v>3.839</v>
      </c>
      <c r="V62">
        <f>GETPIVOTDATA("Sum of  R value (m^2-K/W)",'COMPONENT PIVOT REF'!$P$3,"System Name",Table4[[#This Row],[Int Finish]])</f>
        <v>0.56578947368421051</v>
      </c>
      <c r="W62">
        <f>GETPIVOTDATA("Sum of Total Mass per m^2 (kg)",'COMPONENT PIVOT REF'!$P$3,"System Name",Table4[[#This Row],[Int Finish]])</f>
        <v>9.3850000000000016</v>
      </c>
      <c r="X62">
        <f>Table4[[#This Row],[Ext Finish GWP]]+Table4[[#This Row],[Base GWP]]+Table4[[#This Row],[Int Finish GWP]]</f>
        <v>112.96098216666667</v>
      </c>
      <c r="Y62">
        <f>Table4[[#This Row],[Ext Finish R Value]]+Table4[[#This Row],[Base R Value]]+Table4[[#This Row],[Int Finish R Value]]</f>
        <v>5.8928450292397656</v>
      </c>
      <c r="Z62">
        <f>1/Table4[[#This Row],[Total R value]]</f>
        <v>0.16969731853427167</v>
      </c>
      <c r="AA62">
        <f>Table4[[#This Row],[Int Finish Mass]]+Table4[[#This Row],[Ext Finish Mass]]+Table4[[#This Row],[Base Mass]]</f>
        <v>454.15099999999995</v>
      </c>
    </row>
    <row r="63" spans="3:27" x14ac:dyDescent="0.35">
      <c r="C63" t="str">
        <f>_xlfn.CONCAT(Table4[[#This Row],[System Name (Short)]],"_",Table4[[#This Row],[Ext Finish Name (Short)]],"_",Table4[[#This Row],[Int Finish Name (Short)]])</f>
        <v>AirHTenEPDCBlk_EPDComFiber_GPlas</v>
      </c>
      <c r="D63" s="119" t="s">
        <v>827</v>
      </c>
      <c r="E63" t="str">
        <f>_xlfn.XLOOKUP(Table4[[#This Row],[Base System]],BASE_SYSTEM_TABLE[System Name],BASE_SYSTEM_TABLE[System Name (Short)],FALSE)</f>
        <v>AirHTenEPDCBlk</v>
      </c>
      <c r="F63" t="str">
        <f>_xlfn.XLOOKUP(Table4[[#This Row],[Base System]],BASE_SYSTEM_TABLE[System Name],BASE_SYSTEM_TABLE[System Type],FALSE)</f>
        <v>Concrete Block</v>
      </c>
      <c r="G63" t="str">
        <f>_xlfn.XLOOKUP(Table4[[#This Row],[Base System]],BASE_SYSTEM_TABLE[System Name],BASE_SYSTEM_TABLE[System Subtype],FALSE)</f>
        <v>Traditional</v>
      </c>
      <c r="H63" t="str">
        <f>_xlfn.XLOOKUP(Table4[[#This Row],[Base System]],BASE_SYSTEM_TABLE[System Name],BASE_SYSTEM_TABLE[Construction Type (Framed or Planar)],FALSE)</f>
        <v>Planar</v>
      </c>
      <c r="I63">
        <f>GETPIVOTDATA("Sum of A1-A3 Fossil kg CO2e/m^2 wall area",'COMPONENT PIVOT REF'!$A$3,"System Name",Table4[[#This Row],[Base System]])</f>
        <v>61.320257166666671</v>
      </c>
      <c r="J63">
        <f>GETPIVOTDATA("Sum of  R value (m^2-K/W)",'COMPONENT PIVOT REF'!$A$3,"System Name",Table4[[#This Row],[Base System]])</f>
        <v>3.1643571428571429</v>
      </c>
      <c r="K63">
        <f>GETPIVOTDATA("Sum of Total Mass per m^2 (kg)",'COMPONENT PIVOT REF'!$A$3,"System Name",Table4[[#This Row],[Base System]])</f>
        <v>211.67099999999999</v>
      </c>
      <c r="L63" t="s">
        <v>851</v>
      </c>
      <c r="M63" t="str">
        <f>_xlfn.XLOOKUP(Table4[[#This Row],[Ext Finish]],Master_Table4[System Name],Master_Table4[System Name (Short)],FALSE)</f>
        <v>EPDComFiber</v>
      </c>
      <c r="N63" t="str">
        <f>_xlfn.XLOOKUP(Table4[[#This Row],[Ext Finish]],Master_Table4[System Name],Master_Table4[Compatible Systems],FALSE)</f>
        <v>LGS, Timber, ICF, SIP, Concrete Block</v>
      </c>
      <c r="O63" t="str">
        <f>IF(ISNUMBER(SEARCH(Table4[[#This Row],[MMC Method]],Table4[[#This Row],[Compatible Systems]])),"YES","NO")</f>
        <v>YES</v>
      </c>
      <c r="P63">
        <f>GETPIVOTDATA("Sum of A1-A3 Fossil kg CO2e/m^2 wall area",'COMPONENT PIVOT REF'!$I$3,"System Name",Table4[[#This Row],[Ext Finish]])</f>
        <v>22</v>
      </c>
      <c r="Q63">
        <f>GETPIVOTDATA("Sum of  R value (m^2-K/W)",'COMPONENT PIVOT REF'!$I$3,"System Name",Table4[[#This Row],[Ext Finish]])</f>
        <v>2.4699999999999998</v>
      </c>
      <c r="R63">
        <f>GETPIVOTDATA("Sum of Total Mass per m^2 (kg)",'COMPONENT PIVOT REF'!$I$3,"System Name",Table4[[#This Row],[Ext Finish]])</f>
        <v>0.16999999999999998</v>
      </c>
      <c r="S63" t="s">
        <v>854</v>
      </c>
      <c r="T63" t="str">
        <f>_xlfn.XLOOKUP(Table4[[#This Row],[Int Finish]],Master_Table6[System Name],Master_Table6[System Name (Short)],FALSE)</f>
        <v>GPlas</v>
      </c>
      <c r="U63">
        <f>GETPIVOTDATA("Sum of A1-A3 Fossil kg CO2e/m^2 wall area",'COMPONENT PIVOT REF'!$P$3,"System Name",Table4[[#This Row],[Int Finish]])</f>
        <v>3.839</v>
      </c>
      <c r="V63">
        <f>GETPIVOTDATA("Sum of  R value (m^2-K/W)",'COMPONENT PIVOT REF'!$P$3,"System Name",Table4[[#This Row],[Int Finish]])</f>
        <v>0.56578947368421051</v>
      </c>
      <c r="W63">
        <f>GETPIVOTDATA("Sum of Total Mass per m^2 (kg)",'COMPONENT PIVOT REF'!$P$3,"System Name",Table4[[#This Row],[Int Finish]])</f>
        <v>9.3850000000000016</v>
      </c>
      <c r="X63">
        <f>Table4[[#This Row],[Ext Finish GWP]]+Table4[[#This Row],[Base GWP]]+Table4[[#This Row],[Int Finish GWP]]</f>
        <v>87.159257166666663</v>
      </c>
      <c r="Y63">
        <f>Table4[[#This Row],[Ext Finish R Value]]+Table4[[#This Row],[Base R Value]]+Table4[[#This Row],[Int Finish R Value]]</f>
        <v>6.2001466165413532</v>
      </c>
      <c r="Z63">
        <f>1/Table4[[#This Row],[Total R value]]</f>
        <v>0.16128650850483162</v>
      </c>
      <c r="AA63">
        <f>Table4[[#This Row],[Int Finish Mass]]+Table4[[#This Row],[Ext Finish Mass]]+Table4[[#This Row],[Base Mass]]</f>
        <v>221.226</v>
      </c>
    </row>
    <row r="64" spans="3:27" x14ac:dyDescent="0.35">
      <c r="C64" t="str">
        <f>_xlfn.CONCAT(Table4[[#This Row],[System Name (Short)]],"_",Table4[[#This Row],[Ext Finish Name (Short)]],"_",Table4[[#This Row],[Int Finish Name (Short)]])</f>
        <v>1LCATimOP_LCASolBrick_GPlas</v>
      </c>
      <c r="D64" s="119" t="s">
        <v>913</v>
      </c>
      <c r="E64" t="str">
        <f>_xlfn.XLOOKUP(Table4[[#This Row],[Base System]],BASE_SYSTEM_TABLE[System Name],BASE_SYSTEM_TABLE[System Name (Short)],FALSE)</f>
        <v>1LCATimOP</v>
      </c>
      <c r="F64" t="str">
        <f>_xlfn.XLOOKUP(Table4[[#This Row],[Base System]],BASE_SYSTEM_TABLE[System Name],BASE_SYSTEM_TABLE[System Type],FALSE)</f>
        <v>Timber</v>
      </c>
      <c r="G64" t="str">
        <f>_xlfn.XLOOKUP(Table4[[#This Row],[Base System]],BASE_SYSTEM_TABLE[System Name],BASE_SYSTEM_TABLE[System Subtype],FALSE)</f>
        <v>Open</v>
      </c>
      <c r="H64" t="str">
        <f>_xlfn.XLOOKUP(Table4[[#This Row],[Base System]],BASE_SYSTEM_TABLE[System Name],BASE_SYSTEM_TABLE[Construction Type (Framed or Planar)],FALSE)</f>
        <v>Framed</v>
      </c>
      <c r="I64">
        <f>GETPIVOTDATA("Sum of A1-A3 Fossil kg CO2e/m^2 wall area",'COMPONENT PIVOT REF'!$A$3,"System Name",Table4[[#This Row],[Base System]])</f>
        <v>22.028526875000001</v>
      </c>
      <c r="J64">
        <f>GETPIVOTDATA("Sum of  R value (m^2-K/W)",'COMPONENT PIVOT REF'!$A$3,"System Name",Table4[[#This Row],[Base System]])</f>
        <v>5.0679675602175607</v>
      </c>
      <c r="K64">
        <f>GETPIVOTDATA("Sum of Total Mass per m^2 (kg)",'COMPONENT PIVOT REF'!$A$3,"System Name",Table4[[#This Row],[Base System]])</f>
        <v>26.570555555555558</v>
      </c>
      <c r="L64" t="s">
        <v>853</v>
      </c>
      <c r="M64" t="str">
        <f>_xlfn.XLOOKUP(Table4[[#This Row],[Ext Finish]],Master_Table4[System Name],Master_Table4[System Name (Short)],FALSE)</f>
        <v>LCASolBrick</v>
      </c>
      <c r="N64" t="str">
        <f>_xlfn.XLOOKUP(Table4[[#This Row],[Ext Finish]],Master_Table4[System Name],Master_Table4[Compatible Systems],FALSE)</f>
        <v>LGS, Timber, ICF, SIP, Concrete Block</v>
      </c>
      <c r="O64" t="str">
        <f>IF(ISNUMBER(SEARCH(Table4[[#This Row],[MMC Method]],Table4[[#This Row],[Compatible Systems]])),"YES","NO")</f>
        <v>YES</v>
      </c>
      <c r="P64">
        <f>GETPIVOTDATA("Sum of A1-A3 Fossil kg CO2e/m^2 wall area",'COMPONENT PIVOT REF'!$I$3,"System Name",Table4[[#This Row],[Ext Finish]])</f>
        <v>47.384999999999998</v>
      </c>
      <c r="Q64">
        <f>GETPIVOTDATA("Sum of  R value (m^2-K/W)",'COMPONENT PIVOT REF'!$I$3,"System Name",Table4[[#This Row],[Ext Finish]])</f>
        <v>2.1298701298701297</v>
      </c>
      <c r="R64">
        <f>GETPIVOTDATA("Sum of Total Mass per m^2 (kg)",'COMPONENT PIVOT REF'!$I$3,"System Name",Table4[[#This Row],[Ext Finish]])</f>
        <v>231.17000000000002</v>
      </c>
      <c r="S64" t="s">
        <v>854</v>
      </c>
      <c r="T64" t="str">
        <f>_xlfn.XLOOKUP(Table4[[#This Row],[Int Finish]],Master_Table6[System Name],Master_Table6[System Name (Short)],FALSE)</f>
        <v>GPlas</v>
      </c>
      <c r="U64">
        <f>GETPIVOTDATA("Sum of A1-A3 Fossil kg CO2e/m^2 wall area",'COMPONENT PIVOT REF'!$P$3,"System Name",Table4[[#This Row],[Int Finish]])</f>
        <v>3.839</v>
      </c>
      <c r="V64">
        <f>GETPIVOTDATA("Sum of  R value (m^2-K/W)",'COMPONENT PIVOT REF'!$P$3,"System Name",Table4[[#This Row],[Int Finish]])</f>
        <v>0.56578947368421051</v>
      </c>
      <c r="W64">
        <f>GETPIVOTDATA("Sum of Total Mass per m^2 (kg)",'COMPONENT PIVOT REF'!$P$3,"System Name",Table4[[#This Row],[Int Finish]])</f>
        <v>9.3850000000000016</v>
      </c>
      <c r="X64">
        <f>Table4[[#This Row],[Ext Finish GWP]]+Table4[[#This Row],[Base GWP]]+Table4[[#This Row],[Int Finish GWP]]</f>
        <v>73.252526875000001</v>
      </c>
      <c r="Y64">
        <f>Table4[[#This Row],[Ext Finish R Value]]+Table4[[#This Row],[Base R Value]]+Table4[[#This Row],[Int Finish R Value]]</f>
        <v>7.7636271637719005</v>
      </c>
      <c r="Z64">
        <f>1/Table4[[#This Row],[Total R value]]</f>
        <v>0.12880577324300019</v>
      </c>
      <c r="AA64">
        <f>Table4[[#This Row],[Int Finish Mass]]+Table4[[#This Row],[Ext Finish Mass]]+Table4[[#This Row],[Base Mass]]</f>
        <v>267.12555555555559</v>
      </c>
    </row>
    <row r="65" spans="3:27" x14ac:dyDescent="0.35">
      <c r="C65" t="str">
        <f>_xlfn.CONCAT(Table4[[#This Row],[System Name (Short)]],"_",Table4[[#This Row],[Ext Finish Name (Short)]],"_",Table4[[#This Row],[Int Finish Name (Short)]])</f>
        <v>1LCATimOP_EPDSolBrick_GPlas</v>
      </c>
      <c r="D65" s="119" t="s">
        <v>913</v>
      </c>
      <c r="E65" t="str">
        <f>_xlfn.XLOOKUP(Table4[[#This Row],[Base System]],BASE_SYSTEM_TABLE[System Name],BASE_SYSTEM_TABLE[System Name (Short)],FALSE)</f>
        <v>1LCATimOP</v>
      </c>
      <c r="F65" t="str">
        <f>_xlfn.XLOOKUP(Table4[[#This Row],[Base System]],BASE_SYSTEM_TABLE[System Name],BASE_SYSTEM_TABLE[System Type],FALSE)</f>
        <v>Timber</v>
      </c>
      <c r="G65" t="str">
        <f>_xlfn.XLOOKUP(Table4[[#This Row],[Base System]],BASE_SYSTEM_TABLE[System Name],BASE_SYSTEM_TABLE[System Subtype],FALSE)</f>
        <v>Open</v>
      </c>
      <c r="H65" t="str">
        <f>_xlfn.XLOOKUP(Table4[[#This Row],[Base System]],BASE_SYSTEM_TABLE[System Name],BASE_SYSTEM_TABLE[Construction Type (Framed or Planar)],FALSE)</f>
        <v>Framed</v>
      </c>
      <c r="I65">
        <f>GETPIVOTDATA("Sum of A1-A3 Fossil kg CO2e/m^2 wall area",'COMPONENT PIVOT REF'!$A$3,"System Name",Table4[[#This Row],[Base System]])</f>
        <v>22.028526875000001</v>
      </c>
      <c r="J65">
        <f>GETPIVOTDATA("Sum of  R value (m^2-K/W)",'COMPONENT PIVOT REF'!$A$3,"System Name",Table4[[#This Row],[Base System]])</f>
        <v>5.0679675602175607</v>
      </c>
      <c r="K65">
        <f>GETPIVOTDATA("Sum of Total Mass per m^2 (kg)",'COMPONENT PIVOT REF'!$A$3,"System Name",Table4[[#This Row],[Base System]])</f>
        <v>26.570555555555558</v>
      </c>
      <c r="L65" t="s">
        <v>852</v>
      </c>
      <c r="M65" t="str">
        <f>_xlfn.XLOOKUP(Table4[[#This Row],[Ext Finish]],Master_Table4[System Name],Master_Table4[System Name (Short)],FALSE)</f>
        <v>EPDSolBrick</v>
      </c>
      <c r="N65" t="str">
        <f>_xlfn.XLOOKUP(Table4[[#This Row],[Ext Finish]],Master_Table4[System Name],Master_Table4[Compatible Systems],FALSE)</f>
        <v>LGS, Timber, ICF, SIP, Concrete Block</v>
      </c>
      <c r="O65" t="str">
        <f>IF(ISNUMBER(SEARCH(Table4[[#This Row],[MMC Method]],Table4[[#This Row],[Compatible Systems]])),"YES","NO")</f>
        <v>YES</v>
      </c>
      <c r="P65">
        <f>GETPIVOTDATA("Sum of A1-A3 Fossil kg CO2e/m^2 wall area",'COMPONENT PIVOT REF'!$I$3,"System Name",Table4[[#This Row],[Ext Finish]])</f>
        <v>47.801724999999998</v>
      </c>
      <c r="Q65">
        <f>GETPIVOTDATA("Sum of  R value (m^2-K/W)",'COMPONENT PIVOT REF'!$I$3,"System Name",Table4[[#This Row],[Ext Finish]])</f>
        <v>2.1626984126984126</v>
      </c>
      <c r="R65">
        <f>GETPIVOTDATA("Sum of Total Mass per m^2 (kg)",'COMPONENT PIVOT REF'!$I$3,"System Name",Table4[[#This Row],[Ext Finish]])</f>
        <v>233.095</v>
      </c>
      <c r="S65" t="s">
        <v>854</v>
      </c>
      <c r="T65" t="str">
        <f>_xlfn.XLOOKUP(Table4[[#This Row],[Int Finish]],Master_Table6[System Name],Master_Table6[System Name (Short)],FALSE)</f>
        <v>GPlas</v>
      </c>
      <c r="U65">
        <f>GETPIVOTDATA("Sum of A1-A3 Fossil kg CO2e/m^2 wall area",'COMPONENT PIVOT REF'!$P$3,"System Name",Table4[[#This Row],[Int Finish]])</f>
        <v>3.839</v>
      </c>
      <c r="V65">
        <f>GETPIVOTDATA("Sum of  R value (m^2-K/W)",'COMPONENT PIVOT REF'!$P$3,"System Name",Table4[[#This Row],[Int Finish]])</f>
        <v>0.56578947368421051</v>
      </c>
      <c r="W65">
        <f>GETPIVOTDATA("Sum of Total Mass per m^2 (kg)",'COMPONENT PIVOT REF'!$P$3,"System Name",Table4[[#This Row],[Int Finish]])</f>
        <v>9.3850000000000016</v>
      </c>
      <c r="X65">
        <f>Table4[[#This Row],[Ext Finish GWP]]+Table4[[#This Row],[Base GWP]]+Table4[[#This Row],[Int Finish GWP]]</f>
        <v>73.669251875</v>
      </c>
      <c r="Y65">
        <f>Table4[[#This Row],[Ext Finish R Value]]+Table4[[#This Row],[Base R Value]]+Table4[[#This Row],[Int Finish R Value]]</f>
        <v>7.7964554466001843</v>
      </c>
      <c r="Z65">
        <f>1/Table4[[#This Row],[Total R value]]</f>
        <v>0.12826341493890944</v>
      </c>
      <c r="AA65">
        <f>Table4[[#This Row],[Int Finish Mass]]+Table4[[#This Row],[Ext Finish Mass]]+Table4[[#This Row],[Base Mass]]</f>
        <v>269.05055555555555</v>
      </c>
    </row>
    <row r="66" spans="3:27" x14ac:dyDescent="0.35">
      <c r="C66" t="str">
        <f>_xlfn.CONCAT(Table4[[#This Row],[System Name (Short)]],"_",Table4[[#This Row],[Ext Finish Name (Short)]],"_",Table4[[#This Row],[Int Finish Name (Short)]])</f>
        <v>1LCATimOP_EPDComFiber_GPlas</v>
      </c>
      <c r="D66" s="119" t="s">
        <v>913</v>
      </c>
      <c r="E66" t="str">
        <f>_xlfn.XLOOKUP(Table4[[#This Row],[Base System]],BASE_SYSTEM_TABLE[System Name],BASE_SYSTEM_TABLE[System Name (Short)],FALSE)</f>
        <v>1LCATimOP</v>
      </c>
      <c r="F66" t="str">
        <f>_xlfn.XLOOKUP(Table4[[#This Row],[Base System]],BASE_SYSTEM_TABLE[System Name],BASE_SYSTEM_TABLE[System Type],FALSE)</f>
        <v>Timber</v>
      </c>
      <c r="G66" t="str">
        <f>_xlfn.XLOOKUP(Table4[[#This Row],[Base System]],BASE_SYSTEM_TABLE[System Name],BASE_SYSTEM_TABLE[System Subtype],FALSE)</f>
        <v>Open</v>
      </c>
      <c r="H66" t="str">
        <f>_xlfn.XLOOKUP(Table4[[#This Row],[Base System]],BASE_SYSTEM_TABLE[System Name],BASE_SYSTEM_TABLE[Construction Type (Framed or Planar)],FALSE)</f>
        <v>Framed</v>
      </c>
      <c r="I66">
        <f>GETPIVOTDATA("Sum of A1-A3 Fossil kg CO2e/m^2 wall area",'COMPONENT PIVOT REF'!$A$3,"System Name",Table4[[#This Row],[Base System]])</f>
        <v>22.028526875000001</v>
      </c>
      <c r="J66">
        <f>GETPIVOTDATA("Sum of  R value (m^2-K/W)",'COMPONENT PIVOT REF'!$A$3,"System Name",Table4[[#This Row],[Base System]])</f>
        <v>5.0679675602175607</v>
      </c>
      <c r="K66">
        <f>GETPIVOTDATA("Sum of Total Mass per m^2 (kg)",'COMPONENT PIVOT REF'!$A$3,"System Name",Table4[[#This Row],[Base System]])</f>
        <v>26.570555555555558</v>
      </c>
      <c r="L66" t="s">
        <v>851</v>
      </c>
      <c r="M66" t="str">
        <f>_xlfn.XLOOKUP(Table4[[#This Row],[Ext Finish]],Master_Table4[System Name],Master_Table4[System Name (Short)],FALSE)</f>
        <v>EPDComFiber</v>
      </c>
      <c r="N66" t="str">
        <f>_xlfn.XLOOKUP(Table4[[#This Row],[Ext Finish]],Master_Table4[System Name],Master_Table4[Compatible Systems],FALSE)</f>
        <v>LGS, Timber, ICF, SIP, Concrete Block</v>
      </c>
      <c r="O66" t="str">
        <f>IF(ISNUMBER(SEARCH(Table4[[#This Row],[MMC Method]],Table4[[#This Row],[Compatible Systems]])),"YES","NO")</f>
        <v>YES</v>
      </c>
      <c r="P66">
        <f>GETPIVOTDATA("Sum of A1-A3 Fossil kg CO2e/m^2 wall area",'COMPONENT PIVOT REF'!$I$3,"System Name",Table4[[#This Row],[Ext Finish]])</f>
        <v>22</v>
      </c>
      <c r="Q66">
        <f>GETPIVOTDATA("Sum of  R value (m^2-K/W)",'COMPONENT PIVOT REF'!$I$3,"System Name",Table4[[#This Row],[Ext Finish]])</f>
        <v>2.4699999999999998</v>
      </c>
      <c r="R66">
        <f>GETPIVOTDATA("Sum of Total Mass per m^2 (kg)",'COMPONENT PIVOT REF'!$I$3,"System Name",Table4[[#This Row],[Ext Finish]])</f>
        <v>0.16999999999999998</v>
      </c>
      <c r="S66" t="s">
        <v>854</v>
      </c>
      <c r="T66" t="str">
        <f>_xlfn.XLOOKUP(Table4[[#This Row],[Int Finish]],Master_Table6[System Name],Master_Table6[System Name (Short)],FALSE)</f>
        <v>GPlas</v>
      </c>
      <c r="U66">
        <f>GETPIVOTDATA("Sum of A1-A3 Fossil kg CO2e/m^2 wall area",'COMPONENT PIVOT REF'!$P$3,"System Name",Table4[[#This Row],[Int Finish]])</f>
        <v>3.839</v>
      </c>
      <c r="V66">
        <f>GETPIVOTDATA("Sum of  R value (m^2-K/W)",'COMPONENT PIVOT REF'!$P$3,"System Name",Table4[[#This Row],[Int Finish]])</f>
        <v>0.56578947368421051</v>
      </c>
      <c r="W66">
        <f>GETPIVOTDATA("Sum of Total Mass per m^2 (kg)",'COMPONENT PIVOT REF'!$P$3,"System Name",Table4[[#This Row],[Int Finish]])</f>
        <v>9.3850000000000016</v>
      </c>
      <c r="X66">
        <f>Table4[[#This Row],[Ext Finish GWP]]+Table4[[#This Row],[Base GWP]]+Table4[[#This Row],[Int Finish GWP]]</f>
        <v>47.867526874999996</v>
      </c>
      <c r="Y66">
        <f>Table4[[#This Row],[Ext Finish R Value]]+Table4[[#This Row],[Base R Value]]+Table4[[#This Row],[Int Finish R Value]]</f>
        <v>8.1037570339017702</v>
      </c>
      <c r="Z66">
        <f>1/Table4[[#This Row],[Total R value]]</f>
        <v>0.12339955354245404</v>
      </c>
      <c r="AA66">
        <f>Table4[[#This Row],[Int Finish Mass]]+Table4[[#This Row],[Ext Finish Mass]]+Table4[[#This Row],[Base Mass]]</f>
        <v>36.125555555555557</v>
      </c>
    </row>
    <row r="67" spans="3:27" x14ac:dyDescent="0.35">
      <c r="C67" t="str">
        <f>_xlfn.CONCAT(Table4[[#This Row],[System Name (Short)]],"_",Table4[[#This Row],[Ext Finish Name (Short)]],"_",Table4[[#This Row],[Int Finish Name (Short)]])</f>
        <v>1LCATimIN_LCASolBrick_GPlas</v>
      </c>
      <c r="D67" s="119" t="s">
        <v>914</v>
      </c>
      <c r="E67" t="str">
        <f>_xlfn.XLOOKUP(Table4[[#This Row],[Base System]],BASE_SYSTEM_TABLE[System Name],BASE_SYSTEM_TABLE[System Name (Short)],FALSE)</f>
        <v>1LCATimIN</v>
      </c>
      <c r="F67" t="str">
        <f>_xlfn.XLOOKUP(Table4[[#This Row],[Base System]],BASE_SYSTEM_TABLE[System Name],BASE_SYSTEM_TABLE[System Type],FALSE)</f>
        <v>Timber</v>
      </c>
      <c r="G67" t="str">
        <f>_xlfn.XLOOKUP(Table4[[#This Row],[Base System]],BASE_SYSTEM_TABLE[System Name],BASE_SYSTEM_TABLE[System Subtype],FALSE)</f>
        <v>Pre-Insulated</v>
      </c>
      <c r="H67" t="str">
        <f>_xlfn.XLOOKUP(Table4[[#This Row],[Base System]],BASE_SYSTEM_TABLE[System Name],BASE_SYSTEM_TABLE[Construction Type (Framed or Planar)],FALSE)</f>
        <v>Framed</v>
      </c>
      <c r="I67">
        <f>GETPIVOTDATA("Sum of A1-A3 Fossil kg CO2e/m^2 wall area",'COMPONENT PIVOT REF'!$A$3,"System Name",Table4[[#This Row],[Base System]])</f>
        <v>22.028526875000001</v>
      </c>
      <c r="J67">
        <f>GETPIVOTDATA("Sum of  R value (m^2-K/W)",'COMPONENT PIVOT REF'!$A$3,"System Name",Table4[[#This Row],[Base System]])</f>
        <v>5.0679675602175607</v>
      </c>
      <c r="K67">
        <f>GETPIVOTDATA("Sum of Total Mass per m^2 (kg)",'COMPONENT PIVOT REF'!$A$3,"System Name",Table4[[#This Row],[Base System]])</f>
        <v>26.570555555555558</v>
      </c>
      <c r="L67" t="s">
        <v>853</v>
      </c>
      <c r="M67" t="str">
        <f>_xlfn.XLOOKUP(Table4[[#This Row],[Ext Finish]],Master_Table4[System Name],Master_Table4[System Name (Short)],FALSE)</f>
        <v>LCASolBrick</v>
      </c>
      <c r="N67" t="str">
        <f>_xlfn.XLOOKUP(Table4[[#This Row],[Ext Finish]],Master_Table4[System Name],Master_Table4[Compatible Systems],FALSE)</f>
        <v>LGS, Timber, ICF, SIP, Concrete Block</v>
      </c>
      <c r="O67" t="str">
        <f>IF(ISNUMBER(SEARCH(Table4[[#This Row],[MMC Method]],Table4[[#This Row],[Compatible Systems]])),"YES","NO")</f>
        <v>YES</v>
      </c>
      <c r="P67">
        <f>GETPIVOTDATA("Sum of A1-A3 Fossil kg CO2e/m^2 wall area",'COMPONENT PIVOT REF'!$I$3,"System Name",Table4[[#This Row],[Ext Finish]])</f>
        <v>47.384999999999998</v>
      </c>
      <c r="Q67">
        <f>GETPIVOTDATA("Sum of  R value (m^2-K/W)",'COMPONENT PIVOT REF'!$I$3,"System Name",Table4[[#This Row],[Ext Finish]])</f>
        <v>2.1298701298701297</v>
      </c>
      <c r="R67">
        <f>GETPIVOTDATA("Sum of Total Mass per m^2 (kg)",'COMPONENT PIVOT REF'!$I$3,"System Name",Table4[[#This Row],[Ext Finish]])</f>
        <v>231.17000000000002</v>
      </c>
      <c r="S67" t="s">
        <v>854</v>
      </c>
      <c r="T67" t="str">
        <f>_xlfn.XLOOKUP(Table4[[#This Row],[Int Finish]],Master_Table6[System Name],Master_Table6[System Name (Short)],FALSE)</f>
        <v>GPlas</v>
      </c>
      <c r="U67">
        <f>GETPIVOTDATA("Sum of A1-A3 Fossil kg CO2e/m^2 wall area",'COMPONENT PIVOT REF'!$P$3,"System Name",Table4[[#This Row],[Int Finish]])</f>
        <v>3.839</v>
      </c>
      <c r="V67">
        <f>GETPIVOTDATA("Sum of  R value (m^2-K/W)",'COMPONENT PIVOT REF'!$P$3,"System Name",Table4[[#This Row],[Int Finish]])</f>
        <v>0.56578947368421051</v>
      </c>
      <c r="W67">
        <f>GETPIVOTDATA("Sum of Total Mass per m^2 (kg)",'COMPONENT PIVOT REF'!$P$3,"System Name",Table4[[#This Row],[Int Finish]])</f>
        <v>9.3850000000000016</v>
      </c>
      <c r="X67">
        <f>Table4[[#This Row],[Ext Finish GWP]]+Table4[[#This Row],[Base GWP]]+Table4[[#This Row],[Int Finish GWP]]</f>
        <v>73.252526875000001</v>
      </c>
      <c r="Y67">
        <f>Table4[[#This Row],[Ext Finish R Value]]+Table4[[#This Row],[Base R Value]]+Table4[[#This Row],[Int Finish R Value]]</f>
        <v>7.7636271637719005</v>
      </c>
      <c r="Z67">
        <f>1/Table4[[#This Row],[Total R value]]</f>
        <v>0.12880577324300019</v>
      </c>
      <c r="AA67">
        <f>Table4[[#This Row],[Int Finish Mass]]+Table4[[#This Row],[Ext Finish Mass]]+Table4[[#This Row],[Base Mass]]</f>
        <v>267.12555555555559</v>
      </c>
    </row>
    <row r="68" spans="3:27" x14ac:dyDescent="0.35">
      <c r="C68" t="str">
        <f>_xlfn.CONCAT(Table4[[#This Row],[System Name (Short)]],"_",Table4[[#This Row],[Ext Finish Name (Short)]],"_",Table4[[#This Row],[Int Finish Name (Short)]])</f>
        <v>1LCATimIN_EPDSolBrick_GPlas</v>
      </c>
      <c r="D68" s="119" t="s">
        <v>914</v>
      </c>
      <c r="E68" t="str">
        <f>_xlfn.XLOOKUP(Table4[[#This Row],[Base System]],BASE_SYSTEM_TABLE[System Name],BASE_SYSTEM_TABLE[System Name (Short)],FALSE)</f>
        <v>1LCATimIN</v>
      </c>
      <c r="F68" t="str">
        <f>_xlfn.XLOOKUP(Table4[[#This Row],[Base System]],BASE_SYSTEM_TABLE[System Name],BASE_SYSTEM_TABLE[System Type],FALSE)</f>
        <v>Timber</v>
      </c>
      <c r="G68" t="str">
        <f>_xlfn.XLOOKUP(Table4[[#This Row],[Base System]],BASE_SYSTEM_TABLE[System Name],BASE_SYSTEM_TABLE[System Subtype],FALSE)</f>
        <v>Pre-Insulated</v>
      </c>
      <c r="H68" t="str">
        <f>_xlfn.XLOOKUP(Table4[[#This Row],[Base System]],BASE_SYSTEM_TABLE[System Name],BASE_SYSTEM_TABLE[Construction Type (Framed or Planar)],FALSE)</f>
        <v>Framed</v>
      </c>
      <c r="I68">
        <f>GETPIVOTDATA("Sum of A1-A3 Fossil kg CO2e/m^2 wall area",'COMPONENT PIVOT REF'!$A$3,"System Name",Table4[[#This Row],[Base System]])</f>
        <v>22.028526875000001</v>
      </c>
      <c r="J68">
        <f>GETPIVOTDATA("Sum of  R value (m^2-K/W)",'COMPONENT PIVOT REF'!$A$3,"System Name",Table4[[#This Row],[Base System]])</f>
        <v>5.0679675602175607</v>
      </c>
      <c r="K68">
        <f>GETPIVOTDATA("Sum of Total Mass per m^2 (kg)",'COMPONENT PIVOT REF'!$A$3,"System Name",Table4[[#This Row],[Base System]])</f>
        <v>26.570555555555558</v>
      </c>
      <c r="L68" t="s">
        <v>852</v>
      </c>
      <c r="M68" t="str">
        <f>_xlfn.XLOOKUP(Table4[[#This Row],[Ext Finish]],Master_Table4[System Name],Master_Table4[System Name (Short)],FALSE)</f>
        <v>EPDSolBrick</v>
      </c>
      <c r="N68" t="str">
        <f>_xlfn.XLOOKUP(Table4[[#This Row],[Ext Finish]],Master_Table4[System Name],Master_Table4[Compatible Systems],FALSE)</f>
        <v>LGS, Timber, ICF, SIP, Concrete Block</v>
      </c>
      <c r="O68" t="str">
        <f>IF(ISNUMBER(SEARCH(Table4[[#This Row],[MMC Method]],Table4[[#This Row],[Compatible Systems]])),"YES","NO")</f>
        <v>YES</v>
      </c>
      <c r="P68">
        <f>GETPIVOTDATA("Sum of A1-A3 Fossil kg CO2e/m^2 wall area",'COMPONENT PIVOT REF'!$I$3,"System Name",Table4[[#This Row],[Ext Finish]])</f>
        <v>47.801724999999998</v>
      </c>
      <c r="Q68">
        <f>GETPIVOTDATA("Sum of  R value (m^2-K/W)",'COMPONENT PIVOT REF'!$I$3,"System Name",Table4[[#This Row],[Ext Finish]])</f>
        <v>2.1626984126984126</v>
      </c>
      <c r="R68">
        <f>GETPIVOTDATA("Sum of Total Mass per m^2 (kg)",'COMPONENT PIVOT REF'!$I$3,"System Name",Table4[[#This Row],[Ext Finish]])</f>
        <v>233.095</v>
      </c>
      <c r="S68" t="s">
        <v>854</v>
      </c>
      <c r="T68" t="str">
        <f>_xlfn.XLOOKUP(Table4[[#This Row],[Int Finish]],Master_Table6[System Name],Master_Table6[System Name (Short)],FALSE)</f>
        <v>GPlas</v>
      </c>
      <c r="U68">
        <f>GETPIVOTDATA("Sum of A1-A3 Fossil kg CO2e/m^2 wall area",'COMPONENT PIVOT REF'!$P$3,"System Name",Table4[[#This Row],[Int Finish]])</f>
        <v>3.839</v>
      </c>
      <c r="V68">
        <f>GETPIVOTDATA("Sum of  R value (m^2-K/W)",'COMPONENT PIVOT REF'!$P$3,"System Name",Table4[[#This Row],[Int Finish]])</f>
        <v>0.56578947368421051</v>
      </c>
      <c r="W68">
        <f>GETPIVOTDATA("Sum of Total Mass per m^2 (kg)",'COMPONENT PIVOT REF'!$P$3,"System Name",Table4[[#This Row],[Int Finish]])</f>
        <v>9.3850000000000016</v>
      </c>
      <c r="X68">
        <f>Table4[[#This Row],[Ext Finish GWP]]+Table4[[#This Row],[Base GWP]]+Table4[[#This Row],[Int Finish GWP]]</f>
        <v>73.669251875</v>
      </c>
      <c r="Y68">
        <f>Table4[[#This Row],[Ext Finish R Value]]+Table4[[#This Row],[Base R Value]]+Table4[[#This Row],[Int Finish R Value]]</f>
        <v>7.7964554466001843</v>
      </c>
      <c r="Z68">
        <f>1/Table4[[#This Row],[Total R value]]</f>
        <v>0.12826341493890944</v>
      </c>
      <c r="AA68">
        <f>Table4[[#This Row],[Int Finish Mass]]+Table4[[#This Row],[Ext Finish Mass]]+Table4[[#This Row],[Base Mass]]</f>
        <v>269.05055555555555</v>
      </c>
    </row>
    <row r="69" spans="3:27" x14ac:dyDescent="0.35">
      <c r="C69" t="str">
        <f>_xlfn.CONCAT(Table4[[#This Row],[System Name (Short)]],"_",Table4[[#This Row],[Ext Finish Name (Short)]],"_",Table4[[#This Row],[Int Finish Name (Short)]])</f>
        <v>1LCATimIN_EPDComFiber_GPlas</v>
      </c>
      <c r="D69" s="119" t="s">
        <v>914</v>
      </c>
      <c r="E69" t="str">
        <f>_xlfn.XLOOKUP(Table4[[#This Row],[Base System]],BASE_SYSTEM_TABLE[System Name],BASE_SYSTEM_TABLE[System Name (Short)],FALSE)</f>
        <v>1LCATimIN</v>
      </c>
      <c r="F69" t="str">
        <f>_xlfn.XLOOKUP(Table4[[#This Row],[Base System]],BASE_SYSTEM_TABLE[System Name],BASE_SYSTEM_TABLE[System Type],FALSE)</f>
        <v>Timber</v>
      </c>
      <c r="G69" t="str">
        <f>_xlfn.XLOOKUP(Table4[[#This Row],[Base System]],BASE_SYSTEM_TABLE[System Name],BASE_SYSTEM_TABLE[System Subtype],FALSE)</f>
        <v>Pre-Insulated</v>
      </c>
      <c r="H69" t="str">
        <f>_xlfn.XLOOKUP(Table4[[#This Row],[Base System]],BASE_SYSTEM_TABLE[System Name],BASE_SYSTEM_TABLE[Construction Type (Framed or Planar)],FALSE)</f>
        <v>Framed</v>
      </c>
      <c r="I69">
        <f>GETPIVOTDATA("Sum of A1-A3 Fossil kg CO2e/m^2 wall area",'COMPONENT PIVOT REF'!$A$3,"System Name",Table4[[#This Row],[Base System]])</f>
        <v>22.028526875000001</v>
      </c>
      <c r="J69">
        <f>GETPIVOTDATA("Sum of  R value (m^2-K/W)",'COMPONENT PIVOT REF'!$A$3,"System Name",Table4[[#This Row],[Base System]])</f>
        <v>5.0679675602175607</v>
      </c>
      <c r="K69">
        <f>GETPIVOTDATA("Sum of Total Mass per m^2 (kg)",'COMPONENT PIVOT REF'!$A$3,"System Name",Table4[[#This Row],[Base System]])</f>
        <v>26.570555555555558</v>
      </c>
      <c r="L69" t="s">
        <v>851</v>
      </c>
      <c r="M69" t="str">
        <f>_xlfn.XLOOKUP(Table4[[#This Row],[Ext Finish]],Master_Table4[System Name],Master_Table4[System Name (Short)],FALSE)</f>
        <v>EPDComFiber</v>
      </c>
      <c r="N69" t="str">
        <f>_xlfn.XLOOKUP(Table4[[#This Row],[Ext Finish]],Master_Table4[System Name],Master_Table4[Compatible Systems],FALSE)</f>
        <v>LGS, Timber, ICF, SIP, Concrete Block</v>
      </c>
      <c r="O69" t="str">
        <f>IF(ISNUMBER(SEARCH(Table4[[#This Row],[MMC Method]],Table4[[#This Row],[Compatible Systems]])),"YES","NO")</f>
        <v>YES</v>
      </c>
      <c r="P69">
        <f>GETPIVOTDATA("Sum of A1-A3 Fossil kg CO2e/m^2 wall area",'COMPONENT PIVOT REF'!$I$3,"System Name",Table4[[#This Row],[Ext Finish]])</f>
        <v>22</v>
      </c>
      <c r="Q69">
        <f>GETPIVOTDATA("Sum of  R value (m^2-K/W)",'COMPONENT PIVOT REF'!$I$3,"System Name",Table4[[#This Row],[Ext Finish]])</f>
        <v>2.4699999999999998</v>
      </c>
      <c r="R69">
        <f>GETPIVOTDATA("Sum of Total Mass per m^2 (kg)",'COMPONENT PIVOT REF'!$I$3,"System Name",Table4[[#This Row],[Ext Finish]])</f>
        <v>0.16999999999999998</v>
      </c>
      <c r="S69" t="s">
        <v>854</v>
      </c>
      <c r="T69" t="str">
        <f>_xlfn.XLOOKUP(Table4[[#This Row],[Int Finish]],Master_Table6[System Name],Master_Table6[System Name (Short)],FALSE)</f>
        <v>GPlas</v>
      </c>
      <c r="U69">
        <f>GETPIVOTDATA("Sum of A1-A3 Fossil kg CO2e/m^2 wall area",'COMPONENT PIVOT REF'!$P$3,"System Name",Table4[[#This Row],[Int Finish]])</f>
        <v>3.839</v>
      </c>
      <c r="V69">
        <f>GETPIVOTDATA("Sum of  R value (m^2-K/W)",'COMPONENT PIVOT REF'!$P$3,"System Name",Table4[[#This Row],[Int Finish]])</f>
        <v>0.56578947368421051</v>
      </c>
      <c r="W69">
        <f>GETPIVOTDATA("Sum of Total Mass per m^2 (kg)",'COMPONENT PIVOT REF'!$P$3,"System Name",Table4[[#This Row],[Int Finish]])</f>
        <v>9.3850000000000016</v>
      </c>
      <c r="X69">
        <f>Table4[[#This Row],[Ext Finish GWP]]+Table4[[#This Row],[Base GWP]]+Table4[[#This Row],[Int Finish GWP]]</f>
        <v>47.867526874999996</v>
      </c>
      <c r="Y69">
        <f>Table4[[#This Row],[Ext Finish R Value]]+Table4[[#This Row],[Base R Value]]+Table4[[#This Row],[Int Finish R Value]]</f>
        <v>8.1037570339017702</v>
      </c>
      <c r="Z69">
        <f>1/Table4[[#This Row],[Total R value]]</f>
        <v>0.12339955354245404</v>
      </c>
      <c r="AA69">
        <f>Table4[[#This Row],[Int Finish Mass]]+Table4[[#This Row],[Ext Finish Mass]]+Table4[[#This Row],[Base Mass]]</f>
        <v>36.125555555555557</v>
      </c>
    </row>
    <row r="70" spans="3:27" x14ac:dyDescent="0.35">
      <c r="C70" t="str">
        <f>_xlfn.CONCAT(Table4[[#This Row],[System Name (Short)]],"_",Table4[[#This Row],[Ext Finish Name (Short)]],"_",Table4[[#This Row],[Int Finish Name (Short)]])</f>
        <v>1LCATimCL_LCASolBrick_GPlas</v>
      </c>
      <c r="D70" s="119" t="s">
        <v>915</v>
      </c>
      <c r="E70" t="str">
        <f>_xlfn.XLOOKUP(Table4[[#This Row],[Base System]],BASE_SYSTEM_TABLE[System Name],BASE_SYSTEM_TABLE[System Name (Short)],FALSE)</f>
        <v>1LCATimCL</v>
      </c>
      <c r="F70" t="str">
        <f>_xlfn.XLOOKUP(Table4[[#This Row],[Base System]],BASE_SYSTEM_TABLE[System Name],BASE_SYSTEM_TABLE[System Type],FALSE)</f>
        <v>Timber</v>
      </c>
      <c r="G70" t="str">
        <f>_xlfn.XLOOKUP(Table4[[#This Row],[Base System]],BASE_SYSTEM_TABLE[System Name],BASE_SYSTEM_TABLE[System Subtype],FALSE)</f>
        <v xml:space="preserve">Closed </v>
      </c>
      <c r="H70" t="str">
        <f>_xlfn.XLOOKUP(Table4[[#This Row],[Base System]],BASE_SYSTEM_TABLE[System Name],BASE_SYSTEM_TABLE[Construction Type (Framed or Planar)],FALSE)</f>
        <v>Framed</v>
      </c>
      <c r="I70">
        <f>GETPIVOTDATA("Sum of A1-A3 Fossil kg CO2e/m^2 wall area",'COMPONENT PIVOT REF'!$A$3,"System Name",Table4[[#This Row],[Base System]])</f>
        <v>25.485526875000001</v>
      </c>
      <c r="J70">
        <f>GETPIVOTDATA("Sum of  R value (m^2-K/W)",'COMPONENT PIVOT REF'!$A$3,"System Name",Table4[[#This Row],[Base System]])</f>
        <v>5.1371983294483297</v>
      </c>
      <c r="K70">
        <f>GETPIVOTDATA("Sum of Total Mass per m^2 (kg)",'COMPONENT PIVOT REF'!$A$3,"System Name",Table4[[#This Row],[Base System]])</f>
        <v>32.143472222222222</v>
      </c>
      <c r="L70" t="s">
        <v>853</v>
      </c>
      <c r="M70" t="str">
        <f>_xlfn.XLOOKUP(Table4[[#This Row],[Ext Finish]],Master_Table4[System Name],Master_Table4[System Name (Short)],FALSE)</f>
        <v>LCASolBrick</v>
      </c>
      <c r="N70" t="str">
        <f>_xlfn.XLOOKUP(Table4[[#This Row],[Ext Finish]],Master_Table4[System Name],Master_Table4[Compatible Systems],FALSE)</f>
        <v>LGS, Timber, ICF, SIP, Concrete Block</v>
      </c>
      <c r="O70" t="str">
        <f>IF(ISNUMBER(SEARCH(Table4[[#This Row],[MMC Method]],Table4[[#This Row],[Compatible Systems]])),"YES","NO")</f>
        <v>YES</v>
      </c>
      <c r="P70">
        <f>GETPIVOTDATA("Sum of A1-A3 Fossil kg CO2e/m^2 wall area",'COMPONENT PIVOT REF'!$I$3,"System Name",Table4[[#This Row],[Ext Finish]])</f>
        <v>47.384999999999998</v>
      </c>
      <c r="Q70">
        <f>GETPIVOTDATA("Sum of  R value (m^2-K/W)",'COMPONENT PIVOT REF'!$I$3,"System Name",Table4[[#This Row],[Ext Finish]])</f>
        <v>2.1298701298701297</v>
      </c>
      <c r="R70">
        <f>GETPIVOTDATA("Sum of Total Mass per m^2 (kg)",'COMPONENT PIVOT REF'!$I$3,"System Name",Table4[[#This Row],[Ext Finish]])</f>
        <v>231.17000000000002</v>
      </c>
      <c r="S70" t="s">
        <v>854</v>
      </c>
      <c r="T70" t="str">
        <f>_xlfn.XLOOKUP(Table4[[#This Row],[Int Finish]],Master_Table6[System Name],Master_Table6[System Name (Short)],FALSE)</f>
        <v>GPlas</v>
      </c>
      <c r="U70">
        <f>GETPIVOTDATA("Sum of A1-A3 Fossil kg CO2e/m^2 wall area",'COMPONENT PIVOT REF'!$P$3,"System Name",Table4[[#This Row],[Int Finish]])</f>
        <v>3.839</v>
      </c>
      <c r="V70">
        <f>GETPIVOTDATA("Sum of  R value (m^2-K/W)",'COMPONENT PIVOT REF'!$P$3,"System Name",Table4[[#This Row],[Int Finish]])</f>
        <v>0.56578947368421051</v>
      </c>
      <c r="W70">
        <f>GETPIVOTDATA("Sum of Total Mass per m^2 (kg)",'COMPONENT PIVOT REF'!$P$3,"System Name",Table4[[#This Row],[Int Finish]])</f>
        <v>9.3850000000000016</v>
      </c>
      <c r="X70">
        <f>Table4[[#This Row],[Ext Finish GWP]]+Table4[[#This Row],[Base GWP]]+Table4[[#This Row],[Int Finish GWP]]</f>
        <v>76.709526874999995</v>
      </c>
      <c r="Y70">
        <f>Table4[[#This Row],[Ext Finish R Value]]+Table4[[#This Row],[Base R Value]]+Table4[[#This Row],[Int Finish R Value]]</f>
        <v>7.8328579330026695</v>
      </c>
      <c r="Z70">
        <f>1/Table4[[#This Row],[Total R value]]</f>
        <v>0.12766732252178831</v>
      </c>
      <c r="AA70">
        <f>Table4[[#This Row],[Int Finish Mass]]+Table4[[#This Row],[Ext Finish Mass]]+Table4[[#This Row],[Base Mass]]</f>
        <v>272.69847222222222</v>
      </c>
    </row>
    <row r="71" spans="3:27" x14ac:dyDescent="0.35">
      <c r="C71" t="str">
        <f>_xlfn.CONCAT(Table4[[#This Row],[System Name (Short)]],"_",Table4[[#This Row],[Ext Finish Name (Short)]],"_",Table4[[#This Row],[Int Finish Name (Short)]])</f>
        <v>1LCATimCL_EPDSolBrick_GPlas</v>
      </c>
      <c r="D71" s="119" t="s">
        <v>915</v>
      </c>
      <c r="E71" t="str">
        <f>_xlfn.XLOOKUP(Table4[[#This Row],[Base System]],BASE_SYSTEM_TABLE[System Name],BASE_SYSTEM_TABLE[System Name (Short)],FALSE)</f>
        <v>1LCATimCL</v>
      </c>
      <c r="F71" t="str">
        <f>_xlfn.XLOOKUP(Table4[[#This Row],[Base System]],BASE_SYSTEM_TABLE[System Name],BASE_SYSTEM_TABLE[System Type],FALSE)</f>
        <v>Timber</v>
      </c>
      <c r="G71" t="str">
        <f>_xlfn.XLOOKUP(Table4[[#This Row],[Base System]],BASE_SYSTEM_TABLE[System Name],BASE_SYSTEM_TABLE[System Subtype],FALSE)</f>
        <v xml:space="preserve">Closed </v>
      </c>
      <c r="H71" t="str">
        <f>_xlfn.XLOOKUP(Table4[[#This Row],[Base System]],BASE_SYSTEM_TABLE[System Name],BASE_SYSTEM_TABLE[Construction Type (Framed or Planar)],FALSE)</f>
        <v>Framed</v>
      </c>
      <c r="I71">
        <f>GETPIVOTDATA("Sum of A1-A3 Fossil kg CO2e/m^2 wall area",'COMPONENT PIVOT REF'!$A$3,"System Name",Table4[[#This Row],[Base System]])</f>
        <v>25.485526875000001</v>
      </c>
      <c r="J71">
        <f>GETPIVOTDATA("Sum of  R value (m^2-K/W)",'COMPONENT PIVOT REF'!$A$3,"System Name",Table4[[#This Row],[Base System]])</f>
        <v>5.1371983294483297</v>
      </c>
      <c r="K71">
        <f>GETPIVOTDATA("Sum of Total Mass per m^2 (kg)",'COMPONENT PIVOT REF'!$A$3,"System Name",Table4[[#This Row],[Base System]])</f>
        <v>32.143472222222222</v>
      </c>
      <c r="L71" t="s">
        <v>852</v>
      </c>
      <c r="M71" t="str">
        <f>_xlfn.XLOOKUP(Table4[[#This Row],[Ext Finish]],Master_Table4[System Name],Master_Table4[System Name (Short)],FALSE)</f>
        <v>EPDSolBrick</v>
      </c>
      <c r="N71" t="str">
        <f>_xlfn.XLOOKUP(Table4[[#This Row],[Ext Finish]],Master_Table4[System Name],Master_Table4[Compatible Systems],FALSE)</f>
        <v>LGS, Timber, ICF, SIP, Concrete Block</v>
      </c>
      <c r="O71" t="str">
        <f>IF(ISNUMBER(SEARCH(Table4[[#This Row],[MMC Method]],Table4[[#This Row],[Compatible Systems]])),"YES","NO")</f>
        <v>YES</v>
      </c>
      <c r="P71">
        <f>GETPIVOTDATA("Sum of A1-A3 Fossil kg CO2e/m^2 wall area",'COMPONENT PIVOT REF'!$I$3,"System Name",Table4[[#This Row],[Ext Finish]])</f>
        <v>47.801724999999998</v>
      </c>
      <c r="Q71">
        <f>GETPIVOTDATA("Sum of  R value (m^2-K/W)",'COMPONENT PIVOT REF'!$I$3,"System Name",Table4[[#This Row],[Ext Finish]])</f>
        <v>2.1626984126984126</v>
      </c>
      <c r="R71">
        <f>GETPIVOTDATA("Sum of Total Mass per m^2 (kg)",'COMPONENT PIVOT REF'!$I$3,"System Name",Table4[[#This Row],[Ext Finish]])</f>
        <v>233.095</v>
      </c>
      <c r="S71" t="s">
        <v>854</v>
      </c>
      <c r="T71" t="str">
        <f>_xlfn.XLOOKUP(Table4[[#This Row],[Int Finish]],Master_Table6[System Name],Master_Table6[System Name (Short)],FALSE)</f>
        <v>GPlas</v>
      </c>
      <c r="U71">
        <f>GETPIVOTDATA("Sum of A1-A3 Fossil kg CO2e/m^2 wall area",'COMPONENT PIVOT REF'!$P$3,"System Name",Table4[[#This Row],[Int Finish]])</f>
        <v>3.839</v>
      </c>
      <c r="V71">
        <f>GETPIVOTDATA("Sum of  R value (m^2-K/W)",'COMPONENT PIVOT REF'!$P$3,"System Name",Table4[[#This Row],[Int Finish]])</f>
        <v>0.56578947368421051</v>
      </c>
      <c r="W71">
        <f>GETPIVOTDATA("Sum of Total Mass per m^2 (kg)",'COMPONENT PIVOT REF'!$P$3,"System Name",Table4[[#This Row],[Int Finish]])</f>
        <v>9.3850000000000016</v>
      </c>
      <c r="X71">
        <f>Table4[[#This Row],[Ext Finish GWP]]+Table4[[#This Row],[Base GWP]]+Table4[[#This Row],[Int Finish GWP]]</f>
        <v>77.126251874999994</v>
      </c>
      <c r="Y71">
        <f>Table4[[#This Row],[Ext Finish R Value]]+Table4[[#This Row],[Base R Value]]+Table4[[#This Row],[Int Finish R Value]]</f>
        <v>7.8656862158309533</v>
      </c>
      <c r="Z71">
        <f>1/Table4[[#This Row],[Total R value]]</f>
        <v>0.12713448929444196</v>
      </c>
      <c r="AA71">
        <f>Table4[[#This Row],[Int Finish Mass]]+Table4[[#This Row],[Ext Finish Mass]]+Table4[[#This Row],[Base Mass]]</f>
        <v>274.62347222222223</v>
      </c>
    </row>
    <row r="72" spans="3:27" x14ac:dyDescent="0.35">
      <c r="C72" t="str">
        <f>_xlfn.CONCAT(Table4[[#This Row],[System Name (Short)]],"_",Table4[[#This Row],[Ext Finish Name (Short)]],"_",Table4[[#This Row],[Int Finish Name (Short)]])</f>
        <v>1LCATimCL_EPDComFiber_GPlas</v>
      </c>
      <c r="D72" s="119" t="s">
        <v>915</v>
      </c>
      <c r="E72" t="str">
        <f>_xlfn.XLOOKUP(Table4[[#This Row],[Base System]],BASE_SYSTEM_TABLE[System Name],BASE_SYSTEM_TABLE[System Name (Short)],FALSE)</f>
        <v>1LCATimCL</v>
      </c>
      <c r="F72" t="str">
        <f>_xlfn.XLOOKUP(Table4[[#This Row],[Base System]],BASE_SYSTEM_TABLE[System Name],BASE_SYSTEM_TABLE[System Type],FALSE)</f>
        <v>Timber</v>
      </c>
      <c r="G72" t="str">
        <f>_xlfn.XLOOKUP(Table4[[#This Row],[Base System]],BASE_SYSTEM_TABLE[System Name],BASE_SYSTEM_TABLE[System Subtype],FALSE)</f>
        <v xml:space="preserve">Closed </v>
      </c>
      <c r="H72" t="str">
        <f>_xlfn.XLOOKUP(Table4[[#This Row],[Base System]],BASE_SYSTEM_TABLE[System Name],BASE_SYSTEM_TABLE[Construction Type (Framed or Planar)],FALSE)</f>
        <v>Framed</v>
      </c>
      <c r="I72">
        <f>GETPIVOTDATA("Sum of A1-A3 Fossil kg CO2e/m^2 wall area",'COMPONENT PIVOT REF'!$A$3,"System Name",Table4[[#This Row],[Base System]])</f>
        <v>25.485526875000001</v>
      </c>
      <c r="J72">
        <f>GETPIVOTDATA("Sum of  R value (m^2-K/W)",'COMPONENT PIVOT REF'!$A$3,"System Name",Table4[[#This Row],[Base System]])</f>
        <v>5.1371983294483297</v>
      </c>
      <c r="K72">
        <f>GETPIVOTDATA("Sum of Total Mass per m^2 (kg)",'COMPONENT PIVOT REF'!$A$3,"System Name",Table4[[#This Row],[Base System]])</f>
        <v>32.143472222222222</v>
      </c>
      <c r="L72" t="s">
        <v>851</v>
      </c>
      <c r="M72" t="str">
        <f>_xlfn.XLOOKUP(Table4[[#This Row],[Ext Finish]],Master_Table4[System Name],Master_Table4[System Name (Short)],FALSE)</f>
        <v>EPDComFiber</v>
      </c>
      <c r="N72" t="str">
        <f>_xlfn.XLOOKUP(Table4[[#This Row],[Ext Finish]],Master_Table4[System Name],Master_Table4[Compatible Systems],FALSE)</f>
        <v>LGS, Timber, ICF, SIP, Concrete Block</v>
      </c>
      <c r="O72" t="str">
        <f>IF(ISNUMBER(SEARCH(Table4[[#This Row],[MMC Method]],Table4[[#This Row],[Compatible Systems]])),"YES","NO")</f>
        <v>YES</v>
      </c>
      <c r="P72">
        <f>GETPIVOTDATA("Sum of A1-A3 Fossil kg CO2e/m^2 wall area",'COMPONENT PIVOT REF'!$I$3,"System Name",Table4[[#This Row],[Ext Finish]])</f>
        <v>22</v>
      </c>
      <c r="Q72">
        <f>GETPIVOTDATA("Sum of  R value (m^2-K/W)",'COMPONENT PIVOT REF'!$I$3,"System Name",Table4[[#This Row],[Ext Finish]])</f>
        <v>2.4699999999999998</v>
      </c>
      <c r="R72">
        <f>GETPIVOTDATA("Sum of Total Mass per m^2 (kg)",'COMPONENT PIVOT REF'!$I$3,"System Name",Table4[[#This Row],[Ext Finish]])</f>
        <v>0.16999999999999998</v>
      </c>
      <c r="S72" t="s">
        <v>854</v>
      </c>
      <c r="T72" t="str">
        <f>_xlfn.XLOOKUP(Table4[[#This Row],[Int Finish]],Master_Table6[System Name],Master_Table6[System Name (Short)],FALSE)</f>
        <v>GPlas</v>
      </c>
      <c r="U72">
        <f>GETPIVOTDATA("Sum of A1-A3 Fossil kg CO2e/m^2 wall area",'COMPONENT PIVOT REF'!$P$3,"System Name",Table4[[#This Row],[Int Finish]])</f>
        <v>3.839</v>
      </c>
      <c r="V72">
        <f>GETPIVOTDATA("Sum of  R value (m^2-K/W)",'COMPONENT PIVOT REF'!$P$3,"System Name",Table4[[#This Row],[Int Finish]])</f>
        <v>0.56578947368421051</v>
      </c>
      <c r="W72">
        <f>GETPIVOTDATA("Sum of Total Mass per m^2 (kg)",'COMPONENT PIVOT REF'!$P$3,"System Name",Table4[[#This Row],[Int Finish]])</f>
        <v>9.3850000000000016</v>
      </c>
      <c r="X72">
        <f>Table4[[#This Row],[Ext Finish GWP]]+Table4[[#This Row],[Base GWP]]+Table4[[#This Row],[Int Finish GWP]]</f>
        <v>51.324526875000004</v>
      </c>
      <c r="Y72">
        <f>Table4[[#This Row],[Ext Finish R Value]]+Table4[[#This Row],[Base R Value]]+Table4[[#This Row],[Int Finish R Value]]</f>
        <v>8.1729878031325391</v>
      </c>
      <c r="Z72">
        <f>1/Table4[[#This Row],[Total R value]]</f>
        <v>0.12235427533817197</v>
      </c>
      <c r="AA72">
        <f>Table4[[#This Row],[Int Finish Mass]]+Table4[[#This Row],[Ext Finish Mass]]+Table4[[#This Row],[Base Mass]]</f>
        <v>41.698472222222222</v>
      </c>
    </row>
    <row r="73" spans="3:27" x14ac:dyDescent="0.35">
      <c r="C73" t="str">
        <f>_xlfn.CONCAT(Table4[[#This Row],[System Name (Short)]],"_",Table4[[#This Row],[Ext Finish Name (Short)]],"_",Table4[[#This Row],[Int Finish Name (Short)]])</f>
        <v>1LCALGSOP_LCASolBrick_GPlas</v>
      </c>
      <c r="D73" t="s">
        <v>912</v>
      </c>
      <c r="E73" t="str">
        <f>_xlfn.XLOOKUP(Table4[[#This Row],[Base System]],BASE_SYSTEM_TABLE[System Name],BASE_SYSTEM_TABLE[System Name (Short)],FALSE)</f>
        <v>1LCALGSOP</v>
      </c>
      <c r="F73" t="str">
        <f>_xlfn.XLOOKUP(Table4[[#This Row],[Base System]],BASE_SYSTEM_TABLE[System Name],BASE_SYSTEM_TABLE[System Type],FALSE)</f>
        <v>LGS</v>
      </c>
      <c r="G73" t="str">
        <f>_xlfn.XLOOKUP(Table4[[#This Row],[Base System]],BASE_SYSTEM_TABLE[System Name],BASE_SYSTEM_TABLE[System Subtype],FALSE)</f>
        <v>Open</v>
      </c>
      <c r="H73" t="str">
        <f>_xlfn.XLOOKUP(Table4[[#This Row],[Base System]],BASE_SYSTEM_TABLE[System Name],BASE_SYSTEM_TABLE[Construction Type (Framed or Planar)],FALSE)</f>
        <v>Framed</v>
      </c>
      <c r="I73">
        <f>GETPIVOTDATA("Sum of A1-A3 Fossil kg CO2e/m^2 wall area",'COMPONENT PIVOT REF'!$A$3,"System Name",Table4[[#This Row],[Base System]])</f>
        <v>32.295684666666659</v>
      </c>
      <c r="J73">
        <f>GETPIVOTDATA("Sum of  R value (m^2-K/W)",'COMPONENT PIVOT REF'!$A$3,"System Name",Table4[[#This Row],[Base System]])</f>
        <v>4.6750208135064941</v>
      </c>
      <c r="K73">
        <f>GETPIVOTDATA("Sum of Total Mass per m^2 (kg)",'COMPONENT PIVOT REF'!$A$3,"System Name",Table4[[#This Row],[Base System]])</f>
        <v>15.690799999999998</v>
      </c>
      <c r="L73" t="s">
        <v>853</v>
      </c>
      <c r="M73" t="str">
        <f>_xlfn.XLOOKUP(Table4[[#This Row],[Ext Finish]],Master_Table4[System Name],Master_Table4[System Name (Short)],FALSE)</f>
        <v>LCASolBrick</v>
      </c>
      <c r="N73" t="str">
        <f>_xlfn.XLOOKUP(Table4[[#This Row],[Ext Finish]],Master_Table4[System Name],Master_Table4[Compatible Systems],FALSE)</f>
        <v>LGS, Timber, ICF, SIP, Concrete Block</v>
      </c>
      <c r="O73" t="str">
        <f>IF(ISNUMBER(SEARCH(Table4[[#This Row],[MMC Method]],Table4[[#This Row],[Compatible Systems]])),"YES","NO")</f>
        <v>YES</v>
      </c>
      <c r="P73">
        <f>GETPIVOTDATA("Sum of A1-A3 Fossil kg CO2e/m^2 wall area",'COMPONENT PIVOT REF'!$I$3,"System Name",Table4[[#This Row],[Ext Finish]])</f>
        <v>47.384999999999998</v>
      </c>
      <c r="Q73">
        <f>GETPIVOTDATA("Sum of  R value (m^2-K/W)",'COMPONENT PIVOT REF'!$I$3,"System Name",Table4[[#This Row],[Ext Finish]])</f>
        <v>2.1298701298701297</v>
      </c>
      <c r="R73">
        <f>GETPIVOTDATA("Sum of Total Mass per m^2 (kg)",'COMPONENT PIVOT REF'!$I$3,"System Name",Table4[[#This Row],[Ext Finish]])</f>
        <v>231.17000000000002</v>
      </c>
      <c r="S73" t="s">
        <v>854</v>
      </c>
      <c r="T73" t="str">
        <f>_xlfn.XLOOKUP(Table4[[#This Row],[Int Finish]],Master_Table6[System Name],Master_Table6[System Name (Short)],FALSE)</f>
        <v>GPlas</v>
      </c>
      <c r="U73">
        <f>GETPIVOTDATA("Sum of A1-A3 Fossil kg CO2e/m^2 wall area",'COMPONENT PIVOT REF'!$P$3,"System Name",Table4[[#This Row],[Int Finish]])</f>
        <v>3.839</v>
      </c>
      <c r="V73">
        <f>GETPIVOTDATA("Sum of  R value (m^2-K/W)",'COMPONENT PIVOT REF'!$P$3,"System Name",Table4[[#This Row],[Int Finish]])</f>
        <v>0.56578947368421051</v>
      </c>
      <c r="W73">
        <f>GETPIVOTDATA("Sum of Total Mass per m^2 (kg)",'COMPONENT PIVOT REF'!$P$3,"System Name",Table4[[#This Row],[Int Finish]])</f>
        <v>9.3850000000000016</v>
      </c>
      <c r="X73">
        <f>Table4[[#This Row],[Ext Finish GWP]]+Table4[[#This Row],[Base GWP]]+Table4[[#This Row],[Int Finish GWP]]</f>
        <v>83.519684666666649</v>
      </c>
      <c r="Y73">
        <f>Table4[[#This Row],[Ext Finish R Value]]+Table4[[#This Row],[Base R Value]]+Table4[[#This Row],[Int Finish R Value]]</f>
        <v>7.370680417060834</v>
      </c>
      <c r="Z73">
        <f>1/Table4[[#This Row],[Total R value]]</f>
        <v>0.13567268466630447</v>
      </c>
      <c r="AA73">
        <f>Table4[[#This Row],[Int Finish Mass]]+Table4[[#This Row],[Ext Finish Mass]]+Table4[[#This Row],[Base Mass]]</f>
        <v>256.24580000000003</v>
      </c>
    </row>
    <row r="74" spans="3:27" x14ac:dyDescent="0.35">
      <c r="C74" t="str">
        <f>_xlfn.CONCAT(Table4[[#This Row],[System Name (Short)]],"_",Table4[[#This Row],[Ext Finish Name (Short)]],"_",Table4[[#This Row],[Int Finish Name (Short)]])</f>
        <v>1LCALGSOP_EPDSolBrick_GPlas</v>
      </c>
      <c r="D74" t="s">
        <v>912</v>
      </c>
      <c r="E74" t="str">
        <f>_xlfn.XLOOKUP(Table4[[#This Row],[Base System]],BASE_SYSTEM_TABLE[System Name],BASE_SYSTEM_TABLE[System Name (Short)],FALSE)</f>
        <v>1LCALGSOP</v>
      </c>
      <c r="F74" t="str">
        <f>_xlfn.XLOOKUP(Table4[[#This Row],[Base System]],BASE_SYSTEM_TABLE[System Name],BASE_SYSTEM_TABLE[System Type],FALSE)</f>
        <v>LGS</v>
      </c>
      <c r="G74" t="str">
        <f>_xlfn.XLOOKUP(Table4[[#This Row],[Base System]],BASE_SYSTEM_TABLE[System Name],BASE_SYSTEM_TABLE[System Subtype],FALSE)</f>
        <v>Open</v>
      </c>
      <c r="H74" t="str">
        <f>_xlfn.XLOOKUP(Table4[[#This Row],[Base System]],BASE_SYSTEM_TABLE[System Name],BASE_SYSTEM_TABLE[Construction Type (Framed or Planar)],FALSE)</f>
        <v>Framed</v>
      </c>
      <c r="I74">
        <f>GETPIVOTDATA("Sum of A1-A3 Fossil kg CO2e/m^2 wall area",'COMPONENT PIVOT REF'!$A$3,"System Name",Table4[[#This Row],[Base System]])</f>
        <v>32.295684666666659</v>
      </c>
      <c r="J74">
        <f>GETPIVOTDATA("Sum of  R value (m^2-K/W)",'COMPONENT PIVOT REF'!$A$3,"System Name",Table4[[#This Row],[Base System]])</f>
        <v>4.6750208135064941</v>
      </c>
      <c r="K74">
        <f>GETPIVOTDATA("Sum of Total Mass per m^2 (kg)",'COMPONENT PIVOT REF'!$A$3,"System Name",Table4[[#This Row],[Base System]])</f>
        <v>15.690799999999998</v>
      </c>
      <c r="L74" t="s">
        <v>852</v>
      </c>
      <c r="M74" t="str">
        <f>_xlfn.XLOOKUP(Table4[[#This Row],[Ext Finish]],Master_Table4[System Name],Master_Table4[System Name (Short)],FALSE)</f>
        <v>EPDSolBrick</v>
      </c>
      <c r="N74" t="str">
        <f>_xlfn.XLOOKUP(Table4[[#This Row],[Ext Finish]],Master_Table4[System Name],Master_Table4[Compatible Systems],FALSE)</f>
        <v>LGS, Timber, ICF, SIP, Concrete Block</v>
      </c>
      <c r="O74" t="str">
        <f>IF(ISNUMBER(SEARCH(Table4[[#This Row],[MMC Method]],Table4[[#This Row],[Compatible Systems]])),"YES","NO")</f>
        <v>YES</v>
      </c>
      <c r="P74">
        <f>GETPIVOTDATA("Sum of A1-A3 Fossil kg CO2e/m^2 wall area",'COMPONENT PIVOT REF'!$I$3,"System Name",Table4[[#This Row],[Ext Finish]])</f>
        <v>47.801724999999998</v>
      </c>
      <c r="Q74">
        <f>GETPIVOTDATA("Sum of  R value (m^2-K/W)",'COMPONENT PIVOT REF'!$I$3,"System Name",Table4[[#This Row],[Ext Finish]])</f>
        <v>2.1626984126984126</v>
      </c>
      <c r="R74">
        <f>GETPIVOTDATA("Sum of Total Mass per m^2 (kg)",'COMPONENT PIVOT REF'!$I$3,"System Name",Table4[[#This Row],[Ext Finish]])</f>
        <v>233.095</v>
      </c>
      <c r="S74" t="s">
        <v>854</v>
      </c>
      <c r="T74" t="str">
        <f>_xlfn.XLOOKUP(Table4[[#This Row],[Int Finish]],Master_Table6[System Name],Master_Table6[System Name (Short)],FALSE)</f>
        <v>GPlas</v>
      </c>
      <c r="U74">
        <f>GETPIVOTDATA("Sum of A1-A3 Fossil kg CO2e/m^2 wall area",'COMPONENT PIVOT REF'!$P$3,"System Name",Table4[[#This Row],[Int Finish]])</f>
        <v>3.839</v>
      </c>
      <c r="V74">
        <f>GETPIVOTDATA("Sum of  R value (m^2-K/W)",'COMPONENT PIVOT REF'!$P$3,"System Name",Table4[[#This Row],[Int Finish]])</f>
        <v>0.56578947368421051</v>
      </c>
      <c r="W74">
        <f>GETPIVOTDATA("Sum of Total Mass per m^2 (kg)",'COMPONENT PIVOT REF'!$P$3,"System Name",Table4[[#This Row],[Int Finish]])</f>
        <v>9.3850000000000016</v>
      </c>
      <c r="X74">
        <f>Table4[[#This Row],[Ext Finish GWP]]+Table4[[#This Row],[Base GWP]]+Table4[[#This Row],[Int Finish GWP]]</f>
        <v>83.936409666666663</v>
      </c>
      <c r="Y74">
        <f>Table4[[#This Row],[Ext Finish R Value]]+Table4[[#This Row],[Base R Value]]+Table4[[#This Row],[Int Finish R Value]]</f>
        <v>7.4035086998891178</v>
      </c>
      <c r="Z74">
        <f>1/Table4[[#This Row],[Total R value]]</f>
        <v>0.13507109136171838</v>
      </c>
      <c r="AA74">
        <f>Table4[[#This Row],[Int Finish Mass]]+Table4[[#This Row],[Ext Finish Mass]]+Table4[[#This Row],[Base Mass]]</f>
        <v>258.17079999999999</v>
      </c>
    </row>
    <row r="75" spans="3:27" x14ac:dyDescent="0.35">
      <c r="C75" t="str">
        <f>_xlfn.CONCAT(Table4[[#This Row],[System Name (Short)]],"_",Table4[[#This Row],[Ext Finish Name (Short)]],"_",Table4[[#This Row],[Int Finish Name (Short)]])</f>
        <v>1LCALGSOP_EPDComFiber_GPlas</v>
      </c>
      <c r="D75" t="s">
        <v>912</v>
      </c>
      <c r="E75" t="str">
        <f>_xlfn.XLOOKUP(Table4[[#This Row],[Base System]],BASE_SYSTEM_TABLE[System Name],BASE_SYSTEM_TABLE[System Name (Short)],FALSE)</f>
        <v>1LCALGSOP</v>
      </c>
      <c r="F75" t="str">
        <f>_xlfn.XLOOKUP(Table4[[#This Row],[Base System]],BASE_SYSTEM_TABLE[System Name],BASE_SYSTEM_TABLE[System Type],FALSE)</f>
        <v>LGS</v>
      </c>
      <c r="G75" t="str">
        <f>_xlfn.XLOOKUP(Table4[[#This Row],[Base System]],BASE_SYSTEM_TABLE[System Name],BASE_SYSTEM_TABLE[System Subtype],FALSE)</f>
        <v>Open</v>
      </c>
      <c r="H75" t="str">
        <f>_xlfn.XLOOKUP(Table4[[#This Row],[Base System]],BASE_SYSTEM_TABLE[System Name],BASE_SYSTEM_TABLE[Construction Type (Framed or Planar)],FALSE)</f>
        <v>Framed</v>
      </c>
      <c r="I75">
        <f>GETPIVOTDATA("Sum of A1-A3 Fossil kg CO2e/m^2 wall area",'COMPONENT PIVOT REF'!$A$3,"System Name",Table4[[#This Row],[Base System]])</f>
        <v>32.295684666666659</v>
      </c>
      <c r="J75">
        <f>GETPIVOTDATA("Sum of  R value (m^2-K/W)",'COMPONENT PIVOT REF'!$A$3,"System Name",Table4[[#This Row],[Base System]])</f>
        <v>4.6750208135064941</v>
      </c>
      <c r="K75">
        <f>GETPIVOTDATA("Sum of Total Mass per m^2 (kg)",'COMPONENT PIVOT REF'!$A$3,"System Name",Table4[[#This Row],[Base System]])</f>
        <v>15.690799999999998</v>
      </c>
      <c r="L75" t="s">
        <v>851</v>
      </c>
      <c r="M75" t="str">
        <f>_xlfn.XLOOKUP(Table4[[#This Row],[Ext Finish]],Master_Table4[System Name],Master_Table4[System Name (Short)],FALSE)</f>
        <v>EPDComFiber</v>
      </c>
      <c r="N75" t="str">
        <f>_xlfn.XLOOKUP(Table4[[#This Row],[Ext Finish]],Master_Table4[System Name],Master_Table4[Compatible Systems],FALSE)</f>
        <v>LGS, Timber, ICF, SIP, Concrete Block</v>
      </c>
      <c r="O75" t="str">
        <f>IF(ISNUMBER(SEARCH(Table4[[#This Row],[MMC Method]],Table4[[#This Row],[Compatible Systems]])),"YES","NO")</f>
        <v>YES</v>
      </c>
      <c r="P75">
        <f>GETPIVOTDATA("Sum of A1-A3 Fossil kg CO2e/m^2 wall area",'COMPONENT PIVOT REF'!$I$3,"System Name",Table4[[#This Row],[Ext Finish]])</f>
        <v>22</v>
      </c>
      <c r="Q75">
        <f>GETPIVOTDATA("Sum of  R value (m^2-K/W)",'COMPONENT PIVOT REF'!$I$3,"System Name",Table4[[#This Row],[Ext Finish]])</f>
        <v>2.4699999999999998</v>
      </c>
      <c r="R75">
        <f>GETPIVOTDATA("Sum of Total Mass per m^2 (kg)",'COMPONENT PIVOT REF'!$I$3,"System Name",Table4[[#This Row],[Ext Finish]])</f>
        <v>0.16999999999999998</v>
      </c>
      <c r="S75" t="s">
        <v>854</v>
      </c>
      <c r="T75" t="str">
        <f>_xlfn.XLOOKUP(Table4[[#This Row],[Int Finish]],Master_Table6[System Name],Master_Table6[System Name (Short)],FALSE)</f>
        <v>GPlas</v>
      </c>
      <c r="U75">
        <f>GETPIVOTDATA("Sum of A1-A3 Fossil kg CO2e/m^2 wall area",'COMPONENT PIVOT REF'!$P$3,"System Name",Table4[[#This Row],[Int Finish]])</f>
        <v>3.839</v>
      </c>
      <c r="V75">
        <f>GETPIVOTDATA("Sum of  R value (m^2-K/W)",'COMPONENT PIVOT REF'!$P$3,"System Name",Table4[[#This Row],[Int Finish]])</f>
        <v>0.56578947368421051</v>
      </c>
      <c r="W75">
        <f>GETPIVOTDATA("Sum of Total Mass per m^2 (kg)",'COMPONENT PIVOT REF'!$P$3,"System Name",Table4[[#This Row],[Int Finish]])</f>
        <v>9.3850000000000016</v>
      </c>
      <c r="X75">
        <f>Table4[[#This Row],[Ext Finish GWP]]+Table4[[#This Row],[Base GWP]]+Table4[[#This Row],[Int Finish GWP]]</f>
        <v>58.134684666666658</v>
      </c>
      <c r="Y75">
        <f>Table4[[#This Row],[Ext Finish R Value]]+Table4[[#This Row],[Base R Value]]+Table4[[#This Row],[Int Finish R Value]]</f>
        <v>7.7108102871907045</v>
      </c>
      <c r="Z75">
        <f>1/Table4[[#This Row],[Total R value]]</f>
        <v>0.129688056475882</v>
      </c>
      <c r="AA75">
        <f>Table4[[#This Row],[Int Finish Mass]]+Table4[[#This Row],[Ext Finish Mass]]+Table4[[#This Row],[Base Mass]]</f>
        <v>25.245799999999999</v>
      </c>
    </row>
    <row r="76" spans="3:27" x14ac:dyDescent="0.35">
      <c r="C76" t="str">
        <f>_xlfn.CONCAT(Table4[[#This Row],[System Name (Short)]],"_",Table4[[#This Row],[Ext Finish Name (Short)]],"_",Table4[[#This Row],[Int Finish Name (Short)]])</f>
        <v>1LCAICF_LCASolBrick_GPlas</v>
      </c>
      <c r="D76" s="119" t="s">
        <v>826</v>
      </c>
      <c r="E76" t="str">
        <f>_xlfn.XLOOKUP(Table4[[#This Row],[Base System]],BASE_SYSTEM_TABLE[System Name],BASE_SYSTEM_TABLE[System Name (Short)],FALSE)</f>
        <v>1LCAICF</v>
      </c>
      <c r="F76" t="str">
        <f>_xlfn.XLOOKUP(Table4[[#This Row],[Base System]],BASE_SYSTEM_TABLE[System Name],BASE_SYSTEM_TABLE[System Type],FALSE)</f>
        <v>ICF</v>
      </c>
      <c r="G76" t="str">
        <f>_xlfn.XLOOKUP(Table4[[#This Row],[Base System]],BASE_SYSTEM_TABLE[System Name],BASE_SYSTEM_TABLE[System Subtype],FALSE)</f>
        <v>Formed Concrete</v>
      </c>
      <c r="H76" t="str">
        <f>_xlfn.XLOOKUP(Table4[[#This Row],[Base System]],BASE_SYSTEM_TABLE[System Name],BASE_SYSTEM_TABLE[Construction Type (Framed or Planar)],FALSE)</f>
        <v>Planar</v>
      </c>
      <c r="I76">
        <f>GETPIVOTDATA("Sum of A1-A3 Fossil kg CO2e/m^2 wall area",'COMPONENT PIVOT REF'!$A$3,"System Name",Table4[[#This Row],[Base System]])</f>
        <v>65.159097222222215</v>
      </c>
      <c r="J76">
        <f>GETPIVOTDATA("Sum of  R value (m^2-K/W)",'COMPONENT PIVOT REF'!$A$3,"System Name",Table4[[#This Row],[Base System]])</f>
        <v>4.3247142857142853</v>
      </c>
      <c r="K76">
        <f>GETPIVOTDATA("Sum of Total Mass per m^2 (kg)",'COMPONENT PIVOT REF'!$A$3,"System Name",Table4[[#This Row],[Base System]])</f>
        <v>371.87777777777774</v>
      </c>
      <c r="L76" t="s">
        <v>853</v>
      </c>
      <c r="M76" t="str">
        <f>_xlfn.XLOOKUP(Table4[[#This Row],[Ext Finish]],Master_Table4[System Name],Master_Table4[System Name (Short)],FALSE)</f>
        <v>LCASolBrick</v>
      </c>
      <c r="N76" t="str">
        <f>_xlfn.XLOOKUP(Table4[[#This Row],[Ext Finish]],Master_Table4[System Name],Master_Table4[Compatible Systems],FALSE)</f>
        <v>LGS, Timber, ICF, SIP, Concrete Block</v>
      </c>
      <c r="O76" t="str">
        <f>IF(ISNUMBER(SEARCH(Table4[[#This Row],[MMC Method]],Table4[[#This Row],[Compatible Systems]])),"YES","NO")</f>
        <v>YES</v>
      </c>
      <c r="P76">
        <f>GETPIVOTDATA("Sum of A1-A3 Fossil kg CO2e/m^2 wall area",'COMPONENT PIVOT REF'!$I$3,"System Name",Table4[[#This Row],[Ext Finish]])</f>
        <v>47.384999999999998</v>
      </c>
      <c r="Q76">
        <f>GETPIVOTDATA("Sum of  R value (m^2-K/W)",'COMPONENT PIVOT REF'!$I$3,"System Name",Table4[[#This Row],[Ext Finish]])</f>
        <v>2.1298701298701297</v>
      </c>
      <c r="R76">
        <f>GETPIVOTDATA("Sum of Total Mass per m^2 (kg)",'COMPONENT PIVOT REF'!$I$3,"System Name",Table4[[#This Row],[Ext Finish]])</f>
        <v>231.17000000000002</v>
      </c>
      <c r="S76" t="s">
        <v>854</v>
      </c>
      <c r="T76" t="str">
        <f>_xlfn.XLOOKUP(Table4[[#This Row],[Int Finish]],Master_Table6[System Name],Master_Table6[System Name (Short)],FALSE)</f>
        <v>GPlas</v>
      </c>
      <c r="U76">
        <f>GETPIVOTDATA("Sum of A1-A3 Fossil kg CO2e/m^2 wall area",'COMPONENT PIVOT REF'!$P$3,"System Name",Table4[[#This Row],[Int Finish]])</f>
        <v>3.839</v>
      </c>
      <c r="V76">
        <f>GETPIVOTDATA("Sum of  R value (m^2-K/W)",'COMPONENT PIVOT REF'!$P$3,"System Name",Table4[[#This Row],[Int Finish]])</f>
        <v>0.56578947368421051</v>
      </c>
      <c r="W76">
        <f>GETPIVOTDATA("Sum of Total Mass per m^2 (kg)",'COMPONENT PIVOT REF'!$P$3,"System Name",Table4[[#This Row],[Int Finish]])</f>
        <v>9.3850000000000016</v>
      </c>
      <c r="X76">
        <f>Table4[[#This Row],[Ext Finish GWP]]+Table4[[#This Row],[Base GWP]]+Table4[[#This Row],[Int Finish GWP]]</f>
        <v>116.3830972222222</v>
      </c>
      <c r="Y76">
        <f>Table4[[#This Row],[Ext Finish R Value]]+Table4[[#This Row],[Base R Value]]+Table4[[#This Row],[Int Finish R Value]]</f>
        <v>7.020373889268626</v>
      </c>
      <c r="Z76">
        <f>1/Table4[[#This Row],[Total R value]]</f>
        <v>0.14244255587706009</v>
      </c>
      <c r="AA76">
        <f>Table4[[#This Row],[Int Finish Mass]]+Table4[[#This Row],[Ext Finish Mass]]+Table4[[#This Row],[Base Mass]]</f>
        <v>612.4327777777778</v>
      </c>
    </row>
    <row r="77" spans="3:27" x14ac:dyDescent="0.35">
      <c r="C77" t="str">
        <f>_xlfn.CONCAT(Table4[[#This Row],[System Name (Short)]],"_",Table4[[#This Row],[Ext Finish Name (Short)]],"_",Table4[[#This Row],[Int Finish Name (Short)]])</f>
        <v>1LCAICF_EPDSolBrick_GPlas</v>
      </c>
      <c r="D77" s="119" t="s">
        <v>826</v>
      </c>
      <c r="E77" t="str">
        <f>_xlfn.XLOOKUP(Table4[[#This Row],[Base System]],BASE_SYSTEM_TABLE[System Name],BASE_SYSTEM_TABLE[System Name (Short)],FALSE)</f>
        <v>1LCAICF</v>
      </c>
      <c r="F77" t="str">
        <f>_xlfn.XLOOKUP(Table4[[#This Row],[Base System]],BASE_SYSTEM_TABLE[System Name],BASE_SYSTEM_TABLE[System Type],FALSE)</f>
        <v>ICF</v>
      </c>
      <c r="G77" t="str">
        <f>_xlfn.XLOOKUP(Table4[[#This Row],[Base System]],BASE_SYSTEM_TABLE[System Name],BASE_SYSTEM_TABLE[System Subtype],FALSE)</f>
        <v>Formed Concrete</v>
      </c>
      <c r="H77" t="str">
        <f>_xlfn.XLOOKUP(Table4[[#This Row],[Base System]],BASE_SYSTEM_TABLE[System Name],BASE_SYSTEM_TABLE[Construction Type (Framed or Planar)],FALSE)</f>
        <v>Planar</v>
      </c>
      <c r="I77">
        <f>GETPIVOTDATA("Sum of A1-A3 Fossil kg CO2e/m^2 wall area",'COMPONENT PIVOT REF'!$A$3,"System Name",Table4[[#This Row],[Base System]])</f>
        <v>65.159097222222215</v>
      </c>
      <c r="J77">
        <f>GETPIVOTDATA("Sum of  R value (m^2-K/W)",'COMPONENT PIVOT REF'!$A$3,"System Name",Table4[[#This Row],[Base System]])</f>
        <v>4.3247142857142853</v>
      </c>
      <c r="K77">
        <f>GETPIVOTDATA("Sum of Total Mass per m^2 (kg)",'COMPONENT PIVOT REF'!$A$3,"System Name",Table4[[#This Row],[Base System]])</f>
        <v>371.87777777777774</v>
      </c>
      <c r="L77" t="s">
        <v>852</v>
      </c>
      <c r="M77" t="str">
        <f>_xlfn.XLOOKUP(Table4[[#This Row],[Ext Finish]],Master_Table4[System Name],Master_Table4[System Name (Short)],FALSE)</f>
        <v>EPDSolBrick</v>
      </c>
      <c r="N77" t="str">
        <f>_xlfn.XLOOKUP(Table4[[#This Row],[Ext Finish]],Master_Table4[System Name],Master_Table4[Compatible Systems],FALSE)</f>
        <v>LGS, Timber, ICF, SIP, Concrete Block</v>
      </c>
      <c r="O77" t="str">
        <f>IF(ISNUMBER(SEARCH(Table4[[#This Row],[MMC Method]],Table4[[#This Row],[Compatible Systems]])),"YES","NO")</f>
        <v>YES</v>
      </c>
      <c r="P77">
        <f>GETPIVOTDATA("Sum of A1-A3 Fossil kg CO2e/m^2 wall area",'COMPONENT PIVOT REF'!$I$3,"System Name",Table4[[#This Row],[Ext Finish]])</f>
        <v>47.801724999999998</v>
      </c>
      <c r="Q77">
        <f>GETPIVOTDATA("Sum of  R value (m^2-K/W)",'COMPONENT PIVOT REF'!$I$3,"System Name",Table4[[#This Row],[Ext Finish]])</f>
        <v>2.1626984126984126</v>
      </c>
      <c r="R77">
        <f>GETPIVOTDATA("Sum of Total Mass per m^2 (kg)",'COMPONENT PIVOT REF'!$I$3,"System Name",Table4[[#This Row],[Ext Finish]])</f>
        <v>233.095</v>
      </c>
      <c r="S77" t="s">
        <v>854</v>
      </c>
      <c r="T77" t="str">
        <f>_xlfn.XLOOKUP(Table4[[#This Row],[Int Finish]],Master_Table6[System Name],Master_Table6[System Name (Short)],FALSE)</f>
        <v>GPlas</v>
      </c>
      <c r="U77">
        <f>GETPIVOTDATA("Sum of A1-A3 Fossil kg CO2e/m^2 wall area",'COMPONENT PIVOT REF'!$P$3,"System Name",Table4[[#This Row],[Int Finish]])</f>
        <v>3.839</v>
      </c>
      <c r="V77">
        <f>GETPIVOTDATA("Sum of  R value (m^2-K/W)",'COMPONENT PIVOT REF'!$P$3,"System Name",Table4[[#This Row],[Int Finish]])</f>
        <v>0.56578947368421051</v>
      </c>
      <c r="W77">
        <f>GETPIVOTDATA("Sum of Total Mass per m^2 (kg)",'COMPONENT PIVOT REF'!$P$3,"System Name",Table4[[#This Row],[Int Finish]])</f>
        <v>9.3850000000000016</v>
      </c>
      <c r="X77">
        <f>Table4[[#This Row],[Ext Finish GWP]]+Table4[[#This Row],[Base GWP]]+Table4[[#This Row],[Int Finish GWP]]</f>
        <v>116.79982222222222</v>
      </c>
      <c r="Y77">
        <f>Table4[[#This Row],[Ext Finish R Value]]+Table4[[#This Row],[Base R Value]]+Table4[[#This Row],[Int Finish R Value]]</f>
        <v>7.053202172096908</v>
      </c>
      <c r="Z77">
        <f>1/Table4[[#This Row],[Total R value]]</f>
        <v>0.14177957409984482</v>
      </c>
      <c r="AA77">
        <f>Table4[[#This Row],[Int Finish Mass]]+Table4[[#This Row],[Ext Finish Mass]]+Table4[[#This Row],[Base Mass]]</f>
        <v>614.35777777777776</v>
      </c>
    </row>
    <row r="78" spans="3:27" x14ac:dyDescent="0.35">
      <c r="C78" t="str">
        <f>_xlfn.CONCAT(Table4[[#This Row],[System Name (Short)]],"_",Table4[[#This Row],[Ext Finish Name (Short)]],"_",Table4[[#This Row],[Int Finish Name (Short)]])</f>
        <v>1LCAICF_EPDComFiber_GPlas</v>
      </c>
      <c r="D78" s="119" t="s">
        <v>826</v>
      </c>
      <c r="E78" t="str">
        <f>_xlfn.XLOOKUP(Table4[[#This Row],[Base System]],BASE_SYSTEM_TABLE[System Name],BASE_SYSTEM_TABLE[System Name (Short)],FALSE)</f>
        <v>1LCAICF</v>
      </c>
      <c r="F78" t="str">
        <f>_xlfn.XLOOKUP(Table4[[#This Row],[Base System]],BASE_SYSTEM_TABLE[System Name],BASE_SYSTEM_TABLE[System Type],FALSE)</f>
        <v>ICF</v>
      </c>
      <c r="G78" t="str">
        <f>_xlfn.XLOOKUP(Table4[[#This Row],[Base System]],BASE_SYSTEM_TABLE[System Name],BASE_SYSTEM_TABLE[System Subtype],FALSE)</f>
        <v>Formed Concrete</v>
      </c>
      <c r="H78" t="str">
        <f>_xlfn.XLOOKUP(Table4[[#This Row],[Base System]],BASE_SYSTEM_TABLE[System Name],BASE_SYSTEM_TABLE[Construction Type (Framed or Planar)],FALSE)</f>
        <v>Planar</v>
      </c>
      <c r="I78">
        <f>GETPIVOTDATA("Sum of A1-A3 Fossil kg CO2e/m^2 wall area",'COMPONENT PIVOT REF'!$A$3,"System Name",Table4[[#This Row],[Base System]])</f>
        <v>65.159097222222215</v>
      </c>
      <c r="J78">
        <f>GETPIVOTDATA("Sum of  R value (m^2-K/W)",'COMPONENT PIVOT REF'!$A$3,"System Name",Table4[[#This Row],[Base System]])</f>
        <v>4.3247142857142853</v>
      </c>
      <c r="K78">
        <f>GETPIVOTDATA("Sum of Total Mass per m^2 (kg)",'COMPONENT PIVOT REF'!$A$3,"System Name",Table4[[#This Row],[Base System]])</f>
        <v>371.87777777777774</v>
      </c>
      <c r="L78" t="s">
        <v>851</v>
      </c>
      <c r="M78" t="str">
        <f>_xlfn.XLOOKUP(Table4[[#This Row],[Ext Finish]],Master_Table4[System Name],Master_Table4[System Name (Short)],FALSE)</f>
        <v>EPDComFiber</v>
      </c>
      <c r="N78" t="str">
        <f>_xlfn.XLOOKUP(Table4[[#This Row],[Ext Finish]],Master_Table4[System Name],Master_Table4[Compatible Systems],FALSE)</f>
        <v>LGS, Timber, ICF, SIP, Concrete Block</v>
      </c>
      <c r="O78" t="str">
        <f>IF(ISNUMBER(SEARCH(Table4[[#This Row],[MMC Method]],Table4[[#This Row],[Compatible Systems]])),"YES","NO")</f>
        <v>YES</v>
      </c>
      <c r="P78">
        <f>GETPIVOTDATA("Sum of A1-A3 Fossil kg CO2e/m^2 wall area",'COMPONENT PIVOT REF'!$I$3,"System Name",Table4[[#This Row],[Ext Finish]])</f>
        <v>22</v>
      </c>
      <c r="Q78">
        <f>GETPIVOTDATA("Sum of  R value (m^2-K/W)",'COMPONENT PIVOT REF'!$I$3,"System Name",Table4[[#This Row],[Ext Finish]])</f>
        <v>2.4699999999999998</v>
      </c>
      <c r="R78">
        <f>GETPIVOTDATA("Sum of Total Mass per m^2 (kg)",'COMPONENT PIVOT REF'!$I$3,"System Name",Table4[[#This Row],[Ext Finish]])</f>
        <v>0.16999999999999998</v>
      </c>
      <c r="S78" t="s">
        <v>854</v>
      </c>
      <c r="T78" t="str">
        <f>_xlfn.XLOOKUP(Table4[[#This Row],[Int Finish]],Master_Table6[System Name],Master_Table6[System Name (Short)],FALSE)</f>
        <v>GPlas</v>
      </c>
      <c r="U78">
        <f>GETPIVOTDATA("Sum of A1-A3 Fossil kg CO2e/m^2 wall area",'COMPONENT PIVOT REF'!$P$3,"System Name",Table4[[#This Row],[Int Finish]])</f>
        <v>3.839</v>
      </c>
      <c r="V78">
        <f>GETPIVOTDATA("Sum of  R value (m^2-K/W)",'COMPONENT PIVOT REF'!$P$3,"System Name",Table4[[#This Row],[Int Finish]])</f>
        <v>0.56578947368421051</v>
      </c>
      <c r="W78">
        <f>GETPIVOTDATA("Sum of Total Mass per m^2 (kg)",'COMPONENT PIVOT REF'!$P$3,"System Name",Table4[[#This Row],[Int Finish]])</f>
        <v>9.3850000000000016</v>
      </c>
      <c r="X78">
        <f>Table4[[#This Row],[Ext Finish GWP]]+Table4[[#This Row],[Base GWP]]+Table4[[#This Row],[Int Finish GWP]]</f>
        <v>90.998097222222214</v>
      </c>
      <c r="Y78">
        <f>Table4[[#This Row],[Ext Finish R Value]]+Table4[[#This Row],[Base R Value]]+Table4[[#This Row],[Int Finish R Value]]</f>
        <v>7.3605037593984957</v>
      </c>
      <c r="Z78">
        <f>1/Table4[[#This Row],[Total R value]]</f>
        <v>0.13586026618397115</v>
      </c>
      <c r="AA78">
        <f>Table4[[#This Row],[Int Finish Mass]]+Table4[[#This Row],[Ext Finish Mass]]+Table4[[#This Row],[Base Mass]]</f>
        <v>381.43277777777774</v>
      </c>
    </row>
    <row r="79" spans="3:27" x14ac:dyDescent="0.35">
      <c r="C79" t="str">
        <f>_xlfn.CONCAT(Table4[[#This Row],[System Name (Short)]],"_",Table4[[#This Row],[Ext Finish Name (Short)]],"_",Table4[[#This Row],[Int Finish Name (Short)]])</f>
        <v>0_0_0</v>
      </c>
      <c r="E79">
        <f>_xlfn.XLOOKUP(Table4[[#This Row],[Base System]],BASE_SYSTEM_TABLE[System Name],BASE_SYSTEM_TABLE[System Name (Short)],FALSE)</f>
        <v>0</v>
      </c>
      <c r="F79">
        <f>_xlfn.XLOOKUP(Table4[[#This Row],[Base System]],BASE_SYSTEM_TABLE[System Name],BASE_SYSTEM_TABLE[System Type],FALSE)</f>
        <v>0</v>
      </c>
      <c r="G79">
        <f>_xlfn.XLOOKUP(Table4[[#This Row],[Base System]],BASE_SYSTEM_TABLE[System Name],BASE_SYSTEM_TABLE[System Subtype],FALSE)</f>
        <v>0</v>
      </c>
      <c r="H79">
        <f>_xlfn.XLOOKUP(Table4[[#This Row],[Base System]],BASE_SYSTEM_TABLE[System Name],BASE_SYSTEM_TABLE[Construction Type (Framed or Planar)],FALSE)</f>
        <v>0</v>
      </c>
      <c r="I79" t="e">
        <f>GETPIVOTDATA("Sum of A1-A3 Fossil kg CO2e/m^2 wall area",'COMPONENT PIVOT REF'!$A$3,"System Name",Table4[[#This Row],[Base System]])</f>
        <v>#REF!</v>
      </c>
      <c r="J79" t="e">
        <f>GETPIVOTDATA("Sum of  R value (m^2-K/W)",'COMPONENT PIVOT REF'!$A$3,"System Name",Table4[[#This Row],[Base System]])</f>
        <v>#REF!</v>
      </c>
      <c r="K79" t="e">
        <f>GETPIVOTDATA("Sum of Total Mass per m^2 (kg)",'COMPONENT PIVOT REF'!$A$3,"System Name",Table4[[#This Row],[Base System]])</f>
        <v>#REF!</v>
      </c>
      <c r="M79">
        <f>_xlfn.XLOOKUP(Table4[[#This Row],[Ext Finish]],Master_Table4[System Name],Master_Table4[System Name (Short)],FALSE)</f>
        <v>0</v>
      </c>
      <c r="N79">
        <f>_xlfn.XLOOKUP(Table4[[#This Row],[Ext Finish]],Master_Table4[System Name],Master_Table4[Compatible Systems],FALSE)</f>
        <v>0</v>
      </c>
      <c r="O79" t="str">
        <f>IF(ISNUMBER(SEARCH(Table4[[#This Row],[MMC Method]],Table4[[#This Row],[Compatible Systems]])),"YES","NO")</f>
        <v>YES</v>
      </c>
      <c r="P79" t="e">
        <f>GETPIVOTDATA("Sum of A1-A3 Fossil kg CO2e/m^2 wall area",'COMPONENT PIVOT REF'!$I$3,"System Name",Table4[[#This Row],[Ext Finish]])</f>
        <v>#REF!</v>
      </c>
      <c r="Q79" t="e">
        <f>GETPIVOTDATA("Sum of  R value (m^2-K/W)",'COMPONENT PIVOT REF'!$I$3,"System Name",Table4[[#This Row],[Ext Finish]])</f>
        <v>#REF!</v>
      </c>
      <c r="R79" t="e">
        <f>GETPIVOTDATA("Sum of Total Mass per m^2 (kg)",'COMPONENT PIVOT REF'!$I$3,"System Name",Table4[[#This Row],[Ext Finish]])</f>
        <v>#REF!</v>
      </c>
      <c r="T79">
        <f>_xlfn.XLOOKUP(Table4[[#This Row],[Int Finish]],Master_Table6[System Name],Master_Table6[System Name (Short)],FALSE)</f>
        <v>0</v>
      </c>
      <c r="U79" t="e">
        <f>GETPIVOTDATA("Sum of A1-A3 Fossil kg CO2e/m^2 wall area",'COMPONENT PIVOT REF'!$P$3,"System Name",Table4[[#This Row],[Int Finish]])</f>
        <v>#REF!</v>
      </c>
      <c r="V79" t="e">
        <f>GETPIVOTDATA("Sum of  R value (m^2-K/W)",'COMPONENT PIVOT REF'!$P$3,"System Name",Table4[[#This Row],[Int Finish]])</f>
        <v>#REF!</v>
      </c>
      <c r="W79" t="e">
        <f>GETPIVOTDATA("Sum of Total Mass per m^2 (kg)",'COMPONENT PIVOT REF'!$P$3,"System Name",Table4[[#This Row],[Int Finish]])</f>
        <v>#REF!</v>
      </c>
      <c r="X79" t="e">
        <f>Table4[[#This Row],[Ext Finish GWP]]+Table4[[#This Row],[Base GWP]]+Table4[[#This Row],[Int Finish GWP]]</f>
        <v>#REF!</v>
      </c>
      <c r="Y79" t="e">
        <f>Table4[[#This Row],[Ext Finish R Value]]+Table4[[#This Row],[Base R Value]]+Table4[[#This Row],[Int Finish R Value]]</f>
        <v>#REF!</v>
      </c>
      <c r="Z79" t="e">
        <f>1/Table4[[#This Row],[Total R value]]</f>
        <v>#REF!</v>
      </c>
      <c r="AA79" t="e">
        <f>Table4[[#This Row],[Int Finish Mass]]+Table4[[#This Row],[Ext Finish Mass]]+Table4[[#This Row],[Base Mass]]</f>
        <v>#REF!</v>
      </c>
    </row>
    <row r="80" spans="3:27" x14ac:dyDescent="0.35">
      <c r="C80" t="str">
        <f>_xlfn.CONCAT(Table4[[#This Row],[System Name (Short)]],"_",Table4[[#This Row],[Ext Finish Name (Short)]],"_",Table4[[#This Row],[Int Finish Name (Short)]])</f>
        <v>0_0_0</v>
      </c>
      <c r="E80">
        <f>_xlfn.XLOOKUP(Table4[[#This Row],[Base System]],BASE_SYSTEM_TABLE[System Name],BASE_SYSTEM_TABLE[System Name (Short)],FALSE)</f>
        <v>0</v>
      </c>
      <c r="F80">
        <f>_xlfn.XLOOKUP(Table4[[#This Row],[Base System]],BASE_SYSTEM_TABLE[System Name],BASE_SYSTEM_TABLE[System Type],FALSE)</f>
        <v>0</v>
      </c>
      <c r="G80">
        <f>_xlfn.XLOOKUP(Table4[[#This Row],[Base System]],BASE_SYSTEM_TABLE[System Name],BASE_SYSTEM_TABLE[System Subtype],FALSE)</f>
        <v>0</v>
      </c>
      <c r="H80">
        <f>_xlfn.XLOOKUP(Table4[[#This Row],[Base System]],BASE_SYSTEM_TABLE[System Name],BASE_SYSTEM_TABLE[Construction Type (Framed or Planar)],FALSE)</f>
        <v>0</v>
      </c>
      <c r="I80" t="e">
        <f>GETPIVOTDATA("Sum of A1-A3 Fossil kg CO2e/m^2 wall area",'COMPONENT PIVOT REF'!$A$3,"System Name",Table4[[#This Row],[Base System]])</f>
        <v>#REF!</v>
      </c>
      <c r="J80" t="e">
        <f>GETPIVOTDATA("Sum of  R value (m^2-K/W)",'COMPONENT PIVOT REF'!$A$3,"System Name",Table4[[#This Row],[Base System]])</f>
        <v>#REF!</v>
      </c>
      <c r="K80" t="e">
        <f>GETPIVOTDATA("Sum of Total Mass per m^2 (kg)",'COMPONENT PIVOT REF'!$A$3,"System Name",Table4[[#This Row],[Base System]])</f>
        <v>#REF!</v>
      </c>
      <c r="M80">
        <f>_xlfn.XLOOKUP(Table4[[#This Row],[Ext Finish]],Master_Table4[System Name],Master_Table4[System Name (Short)],FALSE)</f>
        <v>0</v>
      </c>
      <c r="N80">
        <f>_xlfn.XLOOKUP(Table4[[#This Row],[Ext Finish]],Master_Table4[System Name],Master_Table4[Compatible Systems],FALSE)</f>
        <v>0</v>
      </c>
      <c r="O80" t="str">
        <f>IF(ISNUMBER(SEARCH(Table4[[#This Row],[MMC Method]],Table4[[#This Row],[Compatible Systems]])),"YES","NO")</f>
        <v>YES</v>
      </c>
      <c r="P80" t="e">
        <f>GETPIVOTDATA("Sum of A1-A3 Fossil kg CO2e/m^2 wall area",'COMPONENT PIVOT REF'!$I$3,"System Name",Table4[[#This Row],[Ext Finish]])</f>
        <v>#REF!</v>
      </c>
      <c r="Q80" t="e">
        <f>GETPIVOTDATA("Sum of  R value (m^2-K/W)",'COMPONENT PIVOT REF'!$I$3,"System Name",Table4[[#This Row],[Ext Finish]])</f>
        <v>#REF!</v>
      </c>
      <c r="R80" t="e">
        <f>GETPIVOTDATA("Sum of Total Mass per m^2 (kg)",'COMPONENT PIVOT REF'!$I$3,"System Name",Table4[[#This Row],[Ext Finish]])</f>
        <v>#REF!</v>
      </c>
      <c r="T80">
        <f>_xlfn.XLOOKUP(Table4[[#This Row],[Int Finish]],Master_Table6[System Name],Master_Table6[System Name (Short)],FALSE)</f>
        <v>0</v>
      </c>
      <c r="U80" t="e">
        <f>GETPIVOTDATA("Sum of A1-A3 Fossil kg CO2e/m^2 wall area",'COMPONENT PIVOT REF'!$P$3,"System Name",Table4[[#This Row],[Int Finish]])</f>
        <v>#REF!</v>
      </c>
      <c r="V80" t="e">
        <f>GETPIVOTDATA("Sum of  R value (m^2-K/W)",'COMPONENT PIVOT REF'!$P$3,"System Name",Table4[[#This Row],[Int Finish]])</f>
        <v>#REF!</v>
      </c>
      <c r="W80" t="e">
        <f>GETPIVOTDATA("Sum of Total Mass per m^2 (kg)",'COMPONENT PIVOT REF'!$P$3,"System Name",Table4[[#This Row],[Int Finish]])</f>
        <v>#REF!</v>
      </c>
      <c r="X80" t="e">
        <f>Table4[[#This Row],[Ext Finish GWP]]+Table4[[#This Row],[Base GWP]]+Table4[[#This Row],[Int Finish GWP]]</f>
        <v>#REF!</v>
      </c>
      <c r="Y80" t="e">
        <f>Table4[[#This Row],[Ext Finish R Value]]+Table4[[#This Row],[Base R Value]]+Table4[[#This Row],[Int Finish R Value]]</f>
        <v>#REF!</v>
      </c>
      <c r="Z80" t="e">
        <f>1/Table4[[#This Row],[Total R value]]</f>
        <v>#REF!</v>
      </c>
      <c r="AA80" t="e">
        <f>Table4[[#This Row],[Int Finish Mass]]+Table4[[#This Row],[Ext Finish Mass]]+Table4[[#This Row],[Base Mass]]</f>
        <v>#REF!</v>
      </c>
    </row>
    <row r="81" spans="3:27" x14ac:dyDescent="0.35">
      <c r="C81" t="str">
        <f>_xlfn.CONCAT(Table4[[#This Row],[System Name (Short)]],"_",Table4[[#This Row],[Ext Finish Name (Short)]],"_",Table4[[#This Row],[Int Finish Name (Short)]])</f>
        <v>0_0_0</v>
      </c>
      <c r="E81">
        <f>_xlfn.XLOOKUP(Table4[[#This Row],[Base System]],BASE_SYSTEM_TABLE[System Name],BASE_SYSTEM_TABLE[System Name (Short)],FALSE)</f>
        <v>0</v>
      </c>
      <c r="F81">
        <f>_xlfn.XLOOKUP(Table4[[#This Row],[Base System]],BASE_SYSTEM_TABLE[System Name],BASE_SYSTEM_TABLE[System Type],FALSE)</f>
        <v>0</v>
      </c>
      <c r="G81">
        <f>_xlfn.XLOOKUP(Table4[[#This Row],[Base System]],BASE_SYSTEM_TABLE[System Name],BASE_SYSTEM_TABLE[System Subtype],FALSE)</f>
        <v>0</v>
      </c>
      <c r="H81">
        <f>_xlfn.XLOOKUP(Table4[[#This Row],[Base System]],BASE_SYSTEM_TABLE[System Name],BASE_SYSTEM_TABLE[Construction Type (Framed or Planar)],FALSE)</f>
        <v>0</v>
      </c>
      <c r="I81" t="e">
        <f>GETPIVOTDATA("Sum of A1-A3 Fossil kg CO2e/m^2 wall area",'COMPONENT PIVOT REF'!$A$3,"System Name",Table4[[#This Row],[Base System]])</f>
        <v>#REF!</v>
      </c>
      <c r="J81" t="e">
        <f>GETPIVOTDATA("Sum of  R value (m^2-K/W)",'COMPONENT PIVOT REF'!$A$3,"System Name",Table4[[#This Row],[Base System]])</f>
        <v>#REF!</v>
      </c>
      <c r="K81" t="e">
        <f>GETPIVOTDATA("Sum of Total Mass per m^2 (kg)",'COMPONENT PIVOT REF'!$A$3,"System Name",Table4[[#This Row],[Base System]])</f>
        <v>#REF!</v>
      </c>
      <c r="M81">
        <f>_xlfn.XLOOKUP(Table4[[#This Row],[Ext Finish]],Master_Table4[System Name],Master_Table4[System Name (Short)],FALSE)</f>
        <v>0</v>
      </c>
      <c r="N81">
        <f>_xlfn.XLOOKUP(Table4[[#This Row],[Ext Finish]],Master_Table4[System Name],Master_Table4[Compatible Systems],FALSE)</f>
        <v>0</v>
      </c>
      <c r="O81" t="str">
        <f>IF(ISNUMBER(SEARCH(Table4[[#This Row],[MMC Method]],Table4[[#This Row],[Compatible Systems]])),"YES","NO")</f>
        <v>YES</v>
      </c>
      <c r="P81" t="e">
        <f>GETPIVOTDATA("Sum of A1-A3 Fossil kg CO2e/m^2 wall area",'COMPONENT PIVOT REF'!$I$3,"System Name",Table4[[#This Row],[Ext Finish]])</f>
        <v>#REF!</v>
      </c>
      <c r="Q81" t="e">
        <f>GETPIVOTDATA("Sum of  R value (m^2-K/W)",'COMPONENT PIVOT REF'!$I$3,"System Name",Table4[[#This Row],[Ext Finish]])</f>
        <v>#REF!</v>
      </c>
      <c r="R81" t="e">
        <f>GETPIVOTDATA("Sum of Total Mass per m^2 (kg)",'COMPONENT PIVOT REF'!$I$3,"System Name",Table4[[#This Row],[Ext Finish]])</f>
        <v>#REF!</v>
      </c>
      <c r="T81">
        <f>_xlfn.XLOOKUP(Table4[[#This Row],[Int Finish]],Master_Table6[System Name],Master_Table6[System Name (Short)],FALSE)</f>
        <v>0</v>
      </c>
      <c r="U81" t="e">
        <f>GETPIVOTDATA("Sum of A1-A3 Fossil kg CO2e/m^2 wall area",'COMPONENT PIVOT REF'!$P$3,"System Name",Table4[[#This Row],[Int Finish]])</f>
        <v>#REF!</v>
      </c>
      <c r="V81" t="e">
        <f>GETPIVOTDATA("Sum of  R value (m^2-K/W)",'COMPONENT PIVOT REF'!$P$3,"System Name",Table4[[#This Row],[Int Finish]])</f>
        <v>#REF!</v>
      </c>
      <c r="W81" t="e">
        <f>GETPIVOTDATA("Sum of Total Mass per m^2 (kg)",'COMPONENT PIVOT REF'!$P$3,"System Name",Table4[[#This Row],[Int Finish]])</f>
        <v>#REF!</v>
      </c>
      <c r="X81" t="e">
        <f>Table4[[#This Row],[Ext Finish GWP]]+Table4[[#This Row],[Base GWP]]+Table4[[#This Row],[Int Finish GWP]]</f>
        <v>#REF!</v>
      </c>
      <c r="Y81" t="e">
        <f>Table4[[#This Row],[Ext Finish R Value]]+Table4[[#This Row],[Base R Value]]+Table4[[#This Row],[Int Finish R Value]]</f>
        <v>#REF!</v>
      </c>
      <c r="Z81" t="e">
        <f>1/Table4[[#This Row],[Total R value]]</f>
        <v>#REF!</v>
      </c>
      <c r="AA81" t="e">
        <f>Table4[[#This Row],[Int Finish Mass]]+Table4[[#This Row],[Ext Finish Mass]]+Table4[[#This Row],[Base Mass]]</f>
        <v>#REF!</v>
      </c>
    </row>
    <row r="82" spans="3:27" x14ac:dyDescent="0.35">
      <c r="C82" t="str">
        <f>_xlfn.CONCAT(Table4[[#This Row],[System Name (Short)]],"_",Table4[[#This Row],[Ext Finish Name (Short)]],"_",Table4[[#This Row],[Int Finish Name (Short)]])</f>
        <v>0_0_0</v>
      </c>
      <c r="E82">
        <f>_xlfn.XLOOKUP(Table4[[#This Row],[Base System]],BASE_SYSTEM_TABLE[System Name],BASE_SYSTEM_TABLE[System Name (Short)],FALSE)</f>
        <v>0</v>
      </c>
      <c r="F82">
        <f>_xlfn.XLOOKUP(Table4[[#This Row],[Base System]],BASE_SYSTEM_TABLE[System Name],BASE_SYSTEM_TABLE[System Type],FALSE)</f>
        <v>0</v>
      </c>
      <c r="G82">
        <f>_xlfn.XLOOKUP(Table4[[#This Row],[Base System]],BASE_SYSTEM_TABLE[System Name],BASE_SYSTEM_TABLE[System Subtype],FALSE)</f>
        <v>0</v>
      </c>
      <c r="H82">
        <f>_xlfn.XLOOKUP(Table4[[#This Row],[Base System]],BASE_SYSTEM_TABLE[System Name],BASE_SYSTEM_TABLE[Construction Type (Framed or Planar)],FALSE)</f>
        <v>0</v>
      </c>
      <c r="I82" t="e">
        <f>GETPIVOTDATA("Sum of A1-A3 Fossil kg CO2e/m^2 wall area",'COMPONENT PIVOT REF'!$A$3,"System Name",Table4[[#This Row],[Base System]])</f>
        <v>#REF!</v>
      </c>
      <c r="J82" t="e">
        <f>GETPIVOTDATA("Sum of  R value (m^2-K/W)",'COMPONENT PIVOT REF'!$A$3,"System Name",Table4[[#This Row],[Base System]])</f>
        <v>#REF!</v>
      </c>
      <c r="K82" t="e">
        <f>GETPIVOTDATA("Sum of Total Mass per m^2 (kg)",'COMPONENT PIVOT REF'!$A$3,"System Name",Table4[[#This Row],[Base System]])</f>
        <v>#REF!</v>
      </c>
      <c r="M82">
        <f>_xlfn.XLOOKUP(Table4[[#This Row],[Ext Finish]],Master_Table4[System Name],Master_Table4[System Name (Short)],FALSE)</f>
        <v>0</v>
      </c>
      <c r="N82">
        <f>_xlfn.XLOOKUP(Table4[[#This Row],[Ext Finish]],Master_Table4[System Name],Master_Table4[Compatible Systems],FALSE)</f>
        <v>0</v>
      </c>
      <c r="O82" t="str">
        <f>IF(ISNUMBER(SEARCH(Table4[[#This Row],[MMC Method]],Table4[[#This Row],[Compatible Systems]])),"YES","NO")</f>
        <v>YES</v>
      </c>
      <c r="P82" t="e">
        <f>GETPIVOTDATA("Sum of A1-A3 Fossil kg CO2e/m^2 wall area",'COMPONENT PIVOT REF'!$I$3,"System Name",Table4[[#This Row],[Ext Finish]])</f>
        <v>#REF!</v>
      </c>
      <c r="Q82" t="e">
        <f>GETPIVOTDATA("Sum of  R value (m^2-K/W)",'COMPONENT PIVOT REF'!$I$3,"System Name",Table4[[#This Row],[Ext Finish]])</f>
        <v>#REF!</v>
      </c>
      <c r="R82" t="e">
        <f>GETPIVOTDATA("Sum of Total Mass per m^2 (kg)",'COMPONENT PIVOT REF'!$I$3,"System Name",Table4[[#This Row],[Ext Finish]])</f>
        <v>#REF!</v>
      </c>
      <c r="T82">
        <f>_xlfn.XLOOKUP(Table4[[#This Row],[Int Finish]],Master_Table6[System Name],Master_Table6[System Name (Short)],FALSE)</f>
        <v>0</v>
      </c>
      <c r="U82" t="e">
        <f>GETPIVOTDATA("Sum of A1-A3 Fossil kg CO2e/m^2 wall area",'COMPONENT PIVOT REF'!$P$3,"System Name",Table4[[#This Row],[Int Finish]])</f>
        <v>#REF!</v>
      </c>
      <c r="V82" t="e">
        <f>GETPIVOTDATA("Sum of  R value (m^2-K/W)",'COMPONENT PIVOT REF'!$P$3,"System Name",Table4[[#This Row],[Int Finish]])</f>
        <v>#REF!</v>
      </c>
      <c r="W82" t="e">
        <f>GETPIVOTDATA("Sum of Total Mass per m^2 (kg)",'COMPONENT PIVOT REF'!$P$3,"System Name",Table4[[#This Row],[Int Finish]])</f>
        <v>#REF!</v>
      </c>
      <c r="X82" t="e">
        <f>Table4[[#This Row],[Ext Finish GWP]]+Table4[[#This Row],[Base GWP]]+Table4[[#This Row],[Int Finish GWP]]</f>
        <v>#REF!</v>
      </c>
      <c r="Y82" t="e">
        <f>Table4[[#This Row],[Ext Finish R Value]]+Table4[[#This Row],[Base R Value]]+Table4[[#This Row],[Int Finish R Value]]</f>
        <v>#REF!</v>
      </c>
      <c r="Z82" t="e">
        <f>1/Table4[[#This Row],[Total R value]]</f>
        <v>#REF!</v>
      </c>
      <c r="AA82" t="e">
        <f>Table4[[#This Row],[Int Finish Mass]]+Table4[[#This Row],[Ext Finish Mass]]+Table4[[#This Row],[Base Mass]]</f>
        <v>#REF!</v>
      </c>
    </row>
    <row r="83" spans="3:27" x14ac:dyDescent="0.35">
      <c r="C83" t="str">
        <f>_xlfn.CONCAT(Table4[[#This Row],[System Name (Short)]],"_",Table4[[#This Row],[Ext Finish Name (Short)]],"_",Table4[[#This Row],[Int Finish Name (Short)]])</f>
        <v>0_0_0</v>
      </c>
      <c r="E83">
        <f>_xlfn.XLOOKUP(Table4[[#This Row],[Base System]],BASE_SYSTEM_TABLE[System Name],BASE_SYSTEM_TABLE[System Name (Short)],FALSE)</f>
        <v>0</v>
      </c>
      <c r="F83">
        <f>_xlfn.XLOOKUP(Table4[[#This Row],[Base System]],BASE_SYSTEM_TABLE[System Name],BASE_SYSTEM_TABLE[System Type],FALSE)</f>
        <v>0</v>
      </c>
      <c r="G83">
        <f>_xlfn.XLOOKUP(Table4[[#This Row],[Base System]],BASE_SYSTEM_TABLE[System Name],BASE_SYSTEM_TABLE[System Subtype],FALSE)</f>
        <v>0</v>
      </c>
      <c r="H83">
        <f>_xlfn.XLOOKUP(Table4[[#This Row],[Base System]],BASE_SYSTEM_TABLE[System Name],BASE_SYSTEM_TABLE[Construction Type (Framed or Planar)],FALSE)</f>
        <v>0</v>
      </c>
      <c r="I83" t="e">
        <f>GETPIVOTDATA("Sum of A1-A3 Fossil kg CO2e/m^2 wall area",'COMPONENT PIVOT REF'!$A$3,"System Name",Table4[[#This Row],[Base System]])</f>
        <v>#REF!</v>
      </c>
      <c r="J83" t="e">
        <f>GETPIVOTDATA("Sum of  R value (m^2-K/W)",'COMPONENT PIVOT REF'!$A$3,"System Name",Table4[[#This Row],[Base System]])</f>
        <v>#REF!</v>
      </c>
      <c r="K83" t="e">
        <f>GETPIVOTDATA("Sum of Total Mass per m^2 (kg)",'COMPONENT PIVOT REF'!$A$3,"System Name",Table4[[#This Row],[Base System]])</f>
        <v>#REF!</v>
      </c>
      <c r="M83">
        <f>_xlfn.XLOOKUP(Table4[[#This Row],[Ext Finish]],Master_Table4[System Name],Master_Table4[System Name (Short)],FALSE)</f>
        <v>0</v>
      </c>
      <c r="N83">
        <f>_xlfn.XLOOKUP(Table4[[#This Row],[Ext Finish]],Master_Table4[System Name],Master_Table4[Compatible Systems],FALSE)</f>
        <v>0</v>
      </c>
      <c r="O83" t="str">
        <f>IF(ISNUMBER(SEARCH(Table4[[#This Row],[MMC Method]],Table4[[#This Row],[Compatible Systems]])),"YES","NO")</f>
        <v>YES</v>
      </c>
      <c r="P83" t="e">
        <f>GETPIVOTDATA("Sum of A1-A3 Fossil kg CO2e/m^2 wall area",'COMPONENT PIVOT REF'!$I$3,"System Name",Table4[[#This Row],[Ext Finish]])</f>
        <v>#REF!</v>
      </c>
      <c r="Q83" t="e">
        <f>GETPIVOTDATA("Sum of  R value (m^2-K/W)",'COMPONENT PIVOT REF'!$I$3,"System Name",Table4[[#This Row],[Ext Finish]])</f>
        <v>#REF!</v>
      </c>
      <c r="R83" t="e">
        <f>GETPIVOTDATA("Sum of Total Mass per m^2 (kg)",'COMPONENT PIVOT REF'!$I$3,"System Name",Table4[[#This Row],[Ext Finish]])</f>
        <v>#REF!</v>
      </c>
      <c r="T83">
        <f>_xlfn.XLOOKUP(Table4[[#This Row],[Int Finish]],Master_Table6[System Name],Master_Table6[System Name (Short)],FALSE)</f>
        <v>0</v>
      </c>
      <c r="U83" t="e">
        <f>GETPIVOTDATA("Sum of A1-A3 Fossil kg CO2e/m^2 wall area",'COMPONENT PIVOT REF'!$P$3,"System Name",Table4[[#This Row],[Int Finish]])</f>
        <v>#REF!</v>
      </c>
      <c r="V83" t="e">
        <f>GETPIVOTDATA("Sum of  R value (m^2-K/W)",'COMPONENT PIVOT REF'!$P$3,"System Name",Table4[[#This Row],[Int Finish]])</f>
        <v>#REF!</v>
      </c>
      <c r="W83" t="e">
        <f>GETPIVOTDATA("Sum of Total Mass per m^2 (kg)",'COMPONENT PIVOT REF'!$P$3,"System Name",Table4[[#This Row],[Int Finish]])</f>
        <v>#REF!</v>
      </c>
      <c r="X83" t="e">
        <f>Table4[[#This Row],[Ext Finish GWP]]+Table4[[#This Row],[Base GWP]]+Table4[[#This Row],[Int Finish GWP]]</f>
        <v>#REF!</v>
      </c>
      <c r="Y83" t="e">
        <f>Table4[[#This Row],[Ext Finish R Value]]+Table4[[#This Row],[Base R Value]]+Table4[[#This Row],[Int Finish R Value]]</f>
        <v>#REF!</v>
      </c>
      <c r="Z83" t="e">
        <f>1/Table4[[#This Row],[Total R value]]</f>
        <v>#REF!</v>
      </c>
      <c r="AA83" t="e">
        <f>Table4[[#This Row],[Int Finish Mass]]+Table4[[#This Row],[Ext Finish Mass]]+Table4[[#This Row],[Base Mass]]</f>
        <v>#REF!</v>
      </c>
    </row>
    <row r="84" spans="3:27" x14ac:dyDescent="0.35">
      <c r="C84" t="str">
        <f>_xlfn.CONCAT(Table4[[#This Row],[System Name (Short)]],"_",Table4[[#This Row],[Ext Finish Name (Short)]],"_",Table4[[#This Row],[Int Finish Name (Short)]])</f>
        <v>0_0_0</v>
      </c>
      <c r="E84">
        <f>_xlfn.XLOOKUP(Table4[[#This Row],[Base System]],BASE_SYSTEM_TABLE[System Name],BASE_SYSTEM_TABLE[System Name (Short)],FALSE)</f>
        <v>0</v>
      </c>
      <c r="F84">
        <f>_xlfn.XLOOKUP(Table4[[#This Row],[Base System]],BASE_SYSTEM_TABLE[System Name],BASE_SYSTEM_TABLE[System Type],FALSE)</f>
        <v>0</v>
      </c>
      <c r="G84">
        <f>_xlfn.XLOOKUP(Table4[[#This Row],[Base System]],BASE_SYSTEM_TABLE[System Name],BASE_SYSTEM_TABLE[System Subtype],FALSE)</f>
        <v>0</v>
      </c>
      <c r="H84">
        <f>_xlfn.XLOOKUP(Table4[[#This Row],[Base System]],BASE_SYSTEM_TABLE[System Name],BASE_SYSTEM_TABLE[Construction Type (Framed or Planar)],FALSE)</f>
        <v>0</v>
      </c>
      <c r="I84" t="e">
        <f>GETPIVOTDATA("Sum of A1-A3 Fossil kg CO2e/m^2 wall area",'COMPONENT PIVOT REF'!$A$3,"System Name",Table4[[#This Row],[Base System]])</f>
        <v>#REF!</v>
      </c>
      <c r="J84" t="e">
        <f>GETPIVOTDATA("Sum of  R value (m^2-K/W)",'COMPONENT PIVOT REF'!$A$3,"System Name",Table4[[#This Row],[Base System]])</f>
        <v>#REF!</v>
      </c>
      <c r="K84" t="e">
        <f>GETPIVOTDATA("Sum of Total Mass per m^2 (kg)",'COMPONENT PIVOT REF'!$A$3,"System Name",Table4[[#This Row],[Base System]])</f>
        <v>#REF!</v>
      </c>
      <c r="M84">
        <f>_xlfn.XLOOKUP(Table4[[#This Row],[Ext Finish]],Master_Table4[System Name],Master_Table4[System Name (Short)],FALSE)</f>
        <v>0</v>
      </c>
      <c r="N84">
        <f>_xlfn.XLOOKUP(Table4[[#This Row],[Ext Finish]],Master_Table4[System Name],Master_Table4[Compatible Systems],FALSE)</f>
        <v>0</v>
      </c>
      <c r="O84" t="str">
        <f>IF(ISNUMBER(SEARCH(Table4[[#This Row],[MMC Method]],Table4[[#This Row],[Compatible Systems]])),"YES","NO")</f>
        <v>YES</v>
      </c>
      <c r="P84" t="e">
        <f>GETPIVOTDATA("Sum of A1-A3 Fossil kg CO2e/m^2 wall area",'COMPONENT PIVOT REF'!$I$3,"System Name",Table4[[#This Row],[Ext Finish]])</f>
        <v>#REF!</v>
      </c>
      <c r="Q84" t="e">
        <f>GETPIVOTDATA("Sum of  R value (m^2-K/W)",'COMPONENT PIVOT REF'!$I$3,"System Name",Table4[[#This Row],[Ext Finish]])</f>
        <v>#REF!</v>
      </c>
      <c r="R84" t="e">
        <f>GETPIVOTDATA("Sum of Total Mass per m^2 (kg)",'COMPONENT PIVOT REF'!$I$3,"System Name",Table4[[#This Row],[Ext Finish]])</f>
        <v>#REF!</v>
      </c>
      <c r="T84">
        <f>_xlfn.XLOOKUP(Table4[[#This Row],[Int Finish]],Master_Table6[System Name],Master_Table6[System Name (Short)],FALSE)</f>
        <v>0</v>
      </c>
      <c r="U84" t="e">
        <f>GETPIVOTDATA("Sum of A1-A3 Fossil kg CO2e/m^2 wall area",'COMPONENT PIVOT REF'!$P$3,"System Name",Table4[[#This Row],[Int Finish]])</f>
        <v>#REF!</v>
      </c>
      <c r="V84" t="e">
        <f>GETPIVOTDATA("Sum of  R value (m^2-K/W)",'COMPONENT PIVOT REF'!$P$3,"System Name",Table4[[#This Row],[Int Finish]])</f>
        <v>#REF!</v>
      </c>
      <c r="W84" t="e">
        <f>GETPIVOTDATA("Sum of Total Mass per m^2 (kg)",'COMPONENT PIVOT REF'!$P$3,"System Name",Table4[[#This Row],[Int Finish]])</f>
        <v>#REF!</v>
      </c>
      <c r="X84" t="e">
        <f>Table4[[#This Row],[Ext Finish GWP]]+Table4[[#This Row],[Base GWP]]+Table4[[#This Row],[Int Finish GWP]]</f>
        <v>#REF!</v>
      </c>
      <c r="Y84" t="e">
        <f>Table4[[#This Row],[Ext Finish R Value]]+Table4[[#This Row],[Base R Value]]+Table4[[#This Row],[Int Finish R Value]]</f>
        <v>#REF!</v>
      </c>
      <c r="Z84" t="e">
        <f>1/Table4[[#This Row],[Total R value]]</f>
        <v>#REF!</v>
      </c>
      <c r="AA84" t="e">
        <f>Table4[[#This Row],[Int Finish Mass]]+Table4[[#This Row],[Ext Finish Mass]]+Table4[[#This Row],[Base Mass]]</f>
        <v>#REF!</v>
      </c>
    </row>
    <row r="85" spans="3:27" x14ac:dyDescent="0.35">
      <c r="C85" t="str">
        <f>_xlfn.CONCAT(Table4[[#This Row],[System Name (Short)]],"_",Table4[[#This Row],[Ext Finish Name (Short)]],"_",Table4[[#This Row],[Int Finish Name (Short)]])</f>
        <v>0_0_0</v>
      </c>
      <c r="E85">
        <f>_xlfn.XLOOKUP(Table4[[#This Row],[Base System]],BASE_SYSTEM_TABLE[System Name],BASE_SYSTEM_TABLE[System Name (Short)],FALSE)</f>
        <v>0</v>
      </c>
      <c r="F85">
        <f>_xlfn.XLOOKUP(Table4[[#This Row],[Base System]],BASE_SYSTEM_TABLE[System Name],BASE_SYSTEM_TABLE[System Type],FALSE)</f>
        <v>0</v>
      </c>
      <c r="G85">
        <f>_xlfn.XLOOKUP(Table4[[#This Row],[Base System]],BASE_SYSTEM_TABLE[System Name],BASE_SYSTEM_TABLE[System Subtype],FALSE)</f>
        <v>0</v>
      </c>
      <c r="H85">
        <f>_xlfn.XLOOKUP(Table4[[#This Row],[Base System]],BASE_SYSTEM_TABLE[System Name],BASE_SYSTEM_TABLE[Construction Type (Framed or Planar)],FALSE)</f>
        <v>0</v>
      </c>
      <c r="I85" t="e">
        <f>GETPIVOTDATA("Sum of A1-A3 Fossil kg CO2e/m^2 wall area",'COMPONENT PIVOT REF'!$A$3,"System Name",Table4[[#This Row],[Base System]])</f>
        <v>#REF!</v>
      </c>
      <c r="J85" t="e">
        <f>GETPIVOTDATA("Sum of  R value (m^2-K/W)",'COMPONENT PIVOT REF'!$A$3,"System Name",Table4[[#This Row],[Base System]])</f>
        <v>#REF!</v>
      </c>
      <c r="K85" t="e">
        <f>GETPIVOTDATA("Sum of Total Mass per m^2 (kg)",'COMPONENT PIVOT REF'!$A$3,"System Name",Table4[[#This Row],[Base System]])</f>
        <v>#REF!</v>
      </c>
      <c r="M85">
        <f>_xlfn.XLOOKUP(Table4[[#This Row],[Ext Finish]],Master_Table4[System Name],Master_Table4[System Name (Short)],FALSE)</f>
        <v>0</v>
      </c>
      <c r="N85">
        <f>_xlfn.XLOOKUP(Table4[[#This Row],[Ext Finish]],Master_Table4[System Name],Master_Table4[Compatible Systems],FALSE)</f>
        <v>0</v>
      </c>
      <c r="O85" t="str">
        <f>IF(ISNUMBER(SEARCH(Table4[[#This Row],[MMC Method]],Table4[[#This Row],[Compatible Systems]])),"YES","NO")</f>
        <v>YES</v>
      </c>
      <c r="P85" t="e">
        <f>GETPIVOTDATA("Sum of A1-A3 Fossil kg CO2e/m^2 wall area",'COMPONENT PIVOT REF'!$I$3,"System Name",Table4[[#This Row],[Ext Finish]])</f>
        <v>#REF!</v>
      </c>
      <c r="Q85" t="e">
        <f>GETPIVOTDATA("Sum of  R value (m^2-K/W)",'COMPONENT PIVOT REF'!$I$3,"System Name",Table4[[#This Row],[Ext Finish]])</f>
        <v>#REF!</v>
      </c>
      <c r="R85" t="e">
        <f>GETPIVOTDATA("Sum of Total Mass per m^2 (kg)",'COMPONENT PIVOT REF'!$I$3,"System Name",Table4[[#This Row],[Ext Finish]])</f>
        <v>#REF!</v>
      </c>
      <c r="T85">
        <f>_xlfn.XLOOKUP(Table4[[#This Row],[Int Finish]],Master_Table6[System Name],Master_Table6[System Name (Short)],FALSE)</f>
        <v>0</v>
      </c>
      <c r="U85" t="e">
        <f>GETPIVOTDATA("Sum of A1-A3 Fossil kg CO2e/m^2 wall area",'COMPONENT PIVOT REF'!$P$3,"System Name",Table4[[#This Row],[Int Finish]])</f>
        <v>#REF!</v>
      </c>
      <c r="V85" t="e">
        <f>GETPIVOTDATA("Sum of  R value (m^2-K/W)",'COMPONENT PIVOT REF'!$P$3,"System Name",Table4[[#This Row],[Int Finish]])</f>
        <v>#REF!</v>
      </c>
      <c r="W85" t="e">
        <f>GETPIVOTDATA("Sum of Total Mass per m^2 (kg)",'COMPONENT PIVOT REF'!$P$3,"System Name",Table4[[#This Row],[Int Finish]])</f>
        <v>#REF!</v>
      </c>
      <c r="X85" t="e">
        <f>Table4[[#This Row],[Ext Finish GWP]]+Table4[[#This Row],[Base GWP]]+Table4[[#This Row],[Int Finish GWP]]</f>
        <v>#REF!</v>
      </c>
      <c r="Y85" t="e">
        <f>Table4[[#This Row],[Ext Finish R Value]]+Table4[[#This Row],[Base R Value]]+Table4[[#This Row],[Int Finish R Value]]</f>
        <v>#REF!</v>
      </c>
      <c r="Z85" t="e">
        <f>1/Table4[[#This Row],[Total R value]]</f>
        <v>#REF!</v>
      </c>
      <c r="AA85" t="e">
        <f>Table4[[#This Row],[Int Finish Mass]]+Table4[[#This Row],[Ext Finish Mass]]+Table4[[#This Row],[Base Mass]]</f>
        <v>#REF!</v>
      </c>
    </row>
    <row r="86" spans="3:27" x14ac:dyDescent="0.35">
      <c r="C86" t="str">
        <f>_xlfn.CONCAT(Table4[[#This Row],[System Name (Short)]],"_",Table4[[#This Row],[Ext Finish Name (Short)]],"_",Table4[[#This Row],[Int Finish Name (Short)]])</f>
        <v>0_0_0</v>
      </c>
      <c r="E86">
        <f>_xlfn.XLOOKUP(Table4[[#This Row],[Base System]],BASE_SYSTEM_TABLE[System Name],BASE_SYSTEM_TABLE[System Name (Short)],FALSE)</f>
        <v>0</v>
      </c>
      <c r="F86">
        <f>_xlfn.XLOOKUP(Table4[[#This Row],[Base System]],BASE_SYSTEM_TABLE[System Name],BASE_SYSTEM_TABLE[System Type],FALSE)</f>
        <v>0</v>
      </c>
      <c r="G86">
        <f>_xlfn.XLOOKUP(Table4[[#This Row],[Base System]],BASE_SYSTEM_TABLE[System Name],BASE_SYSTEM_TABLE[System Subtype],FALSE)</f>
        <v>0</v>
      </c>
      <c r="H86">
        <f>_xlfn.XLOOKUP(Table4[[#This Row],[Base System]],BASE_SYSTEM_TABLE[System Name],BASE_SYSTEM_TABLE[Construction Type (Framed or Planar)],FALSE)</f>
        <v>0</v>
      </c>
      <c r="I86" t="e">
        <f>GETPIVOTDATA("Sum of A1-A3 Fossil kg CO2e/m^2 wall area",'COMPONENT PIVOT REF'!$A$3,"System Name",Table4[[#This Row],[Base System]])</f>
        <v>#REF!</v>
      </c>
      <c r="J86" t="e">
        <f>GETPIVOTDATA("Sum of  R value (m^2-K/W)",'COMPONENT PIVOT REF'!$A$3,"System Name",Table4[[#This Row],[Base System]])</f>
        <v>#REF!</v>
      </c>
      <c r="K86" t="e">
        <f>GETPIVOTDATA("Sum of Total Mass per m^2 (kg)",'COMPONENT PIVOT REF'!$A$3,"System Name",Table4[[#This Row],[Base System]])</f>
        <v>#REF!</v>
      </c>
      <c r="M86">
        <f>_xlfn.XLOOKUP(Table4[[#This Row],[Ext Finish]],Master_Table4[System Name],Master_Table4[System Name (Short)],FALSE)</f>
        <v>0</v>
      </c>
      <c r="N86">
        <f>_xlfn.XLOOKUP(Table4[[#This Row],[Ext Finish]],Master_Table4[System Name],Master_Table4[Compatible Systems],FALSE)</f>
        <v>0</v>
      </c>
      <c r="O86" t="str">
        <f>IF(ISNUMBER(SEARCH(Table4[[#This Row],[MMC Method]],Table4[[#This Row],[Compatible Systems]])),"YES","NO")</f>
        <v>YES</v>
      </c>
      <c r="P86" t="e">
        <f>GETPIVOTDATA("Sum of A1-A3 Fossil kg CO2e/m^2 wall area",'COMPONENT PIVOT REF'!$I$3,"System Name",Table4[[#This Row],[Ext Finish]])</f>
        <v>#REF!</v>
      </c>
      <c r="Q86" t="e">
        <f>GETPIVOTDATA("Sum of  R value (m^2-K/W)",'COMPONENT PIVOT REF'!$I$3,"System Name",Table4[[#This Row],[Ext Finish]])</f>
        <v>#REF!</v>
      </c>
      <c r="R86" t="e">
        <f>GETPIVOTDATA("Sum of Total Mass per m^2 (kg)",'COMPONENT PIVOT REF'!$I$3,"System Name",Table4[[#This Row],[Ext Finish]])</f>
        <v>#REF!</v>
      </c>
      <c r="T86">
        <f>_xlfn.XLOOKUP(Table4[[#This Row],[Int Finish]],Master_Table6[System Name],Master_Table6[System Name (Short)],FALSE)</f>
        <v>0</v>
      </c>
      <c r="U86" t="e">
        <f>GETPIVOTDATA("Sum of A1-A3 Fossil kg CO2e/m^2 wall area",'COMPONENT PIVOT REF'!$P$3,"System Name",Table4[[#This Row],[Int Finish]])</f>
        <v>#REF!</v>
      </c>
      <c r="V86" t="e">
        <f>GETPIVOTDATA("Sum of  R value (m^2-K/W)",'COMPONENT PIVOT REF'!$P$3,"System Name",Table4[[#This Row],[Int Finish]])</f>
        <v>#REF!</v>
      </c>
      <c r="W86" t="e">
        <f>GETPIVOTDATA("Sum of Total Mass per m^2 (kg)",'COMPONENT PIVOT REF'!$P$3,"System Name",Table4[[#This Row],[Int Finish]])</f>
        <v>#REF!</v>
      </c>
      <c r="X86" t="e">
        <f>Table4[[#This Row],[Ext Finish GWP]]+Table4[[#This Row],[Base GWP]]+Table4[[#This Row],[Int Finish GWP]]</f>
        <v>#REF!</v>
      </c>
      <c r="Y86" t="e">
        <f>Table4[[#This Row],[Ext Finish R Value]]+Table4[[#This Row],[Base R Value]]+Table4[[#This Row],[Int Finish R Value]]</f>
        <v>#REF!</v>
      </c>
      <c r="Z86" t="e">
        <f>1/Table4[[#This Row],[Total R value]]</f>
        <v>#REF!</v>
      </c>
      <c r="AA86" t="e">
        <f>Table4[[#This Row],[Int Finish Mass]]+Table4[[#This Row],[Ext Finish Mass]]+Table4[[#This Row],[Base Mass]]</f>
        <v>#REF!</v>
      </c>
    </row>
    <row r="87" spans="3:27" x14ac:dyDescent="0.35">
      <c r="C87" t="str">
        <f>_xlfn.CONCAT(Table4[[#This Row],[System Name (Short)]],"_",Table4[[#This Row],[Ext Finish Name (Short)]],"_",Table4[[#This Row],[Int Finish Name (Short)]])</f>
        <v>0_0_0</v>
      </c>
      <c r="E87">
        <f>_xlfn.XLOOKUP(Table4[[#This Row],[Base System]],BASE_SYSTEM_TABLE[System Name],BASE_SYSTEM_TABLE[System Name (Short)],FALSE)</f>
        <v>0</v>
      </c>
      <c r="F87">
        <f>_xlfn.XLOOKUP(Table4[[#This Row],[Base System]],BASE_SYSTEM_TABLE[System Name],BASE_SYSTEM_TABLE[System Type],FALSE)</f>
        <v>0</v>
      </c>
      <c r="G87">
        <f>_xlfn.XLOOKUP(Table4[[#This Row],[Base System]],BASE_SYSTEM_TABLE[System Name],BASE_SYSTEM_TABLE[System Subtype],FALSE)</f>
        <v>0</v>
      </c>
      <c r="H87">
        <f>_xlfn.XLOOKUP(Table4[[#This Row],[Base System]],BASE_SYSTEM_TABLE[System Name],BASE_SYSTEM_TABLE[Construction Type (Framed or Planar)],FALSE)</f>
        <v>0</v>
      </c>
      <c r="I87" t="e">
        <f>GETPIVOTDATA("Sum of A1-A3 Fossil kg CO2e/m^2 wall area",'COMPONENT PIVOT REF'!$A$3,"System Name",Table4[[#This Row],[Base System]])</f>
        <v>#REF!</v>
      </c>
      <c r="J87" t="e">
        <f>GETPIVOTDATA("Sum of  R value (m^2-K/W)",'COMPONENT PIVOT REF'!$A$3,"System Name",Table4[[#This Row],[Base System]])</f>
        <v>#REF!</v>
      </c>
      <c r="K87" t="e">
        <f>GETPIVOTDATA("Sum of Total Mass per m^2 (kg)",'COMPONENT PIVOT REF'!$A$3,"System Name",Table4[[#This Row],[Base System]])</f>
        <v>#REF!</v>
      </c>
      <c r="M87">
        <f>_xlfn.XLOOKUP(Table4[[#This Row],[Ext Finish]],Master_Table4[System Name],Master_Table4[System Name (Short)],FALSE)</f>
        <v>0</v>
      </c>
      <c r="N87">
        <f>_xlfn.XLOOKUP(Table4[[#This Row],[Ext Finish]],Master_Table4[System Name],Master_Table4[Compatible Systems],FALSE)</f>
        <v>0</v>
      </c>
      <c r="O87" t="str">
        <f>IF(ISNUMBER(SEARCH(Table4[[#This Row],[MMC Method]],Table4[[#This Row],[Compatible Systems]])),"YES","NO")</f>
        <v>YES</v>
      </c>
      <c r="P87" t="e">
        <f>GETPIVOTDATA("Sum of A1-A3 Fossil kg CO2e/m^2 wall area",'COMPONENT PIVOT REF'!$I$3,"System Name",Table4[[#This Row],[Ext Finish]])</f>
        <v>#REF!</v>
      </c>
      <c r="Q87" t="e">
        <f>GETPIVOTDATA("Sum of  R value (m^2-K/W)",'COMPONENT PIVOT REF'!$I$3,"System Name",Table4[[#This Row],[Ext Finish]])</f>
        <v>#REF!</v>
      </c>
      <c r="R87" t="e">
        <f>GETPIVOTDATA("Sum of Total Mass per m^2 (kg)",'COMPONENT PIVOT REF'!$I$3,"System Name",Table4[[#This Row],[Ext Finish]])</f>
        <v>#REF!</v>
      </c>
      <c r="T87">
        <f>_xlfn.XLOOKUP(Table4[[#This Row],[Int Finish]],Master_Table6[System Name],Master_Table6[System Name (Short)],FALSE)</f>
        <v>0</v>
      </c>
      <c r="U87" t="e">
        <f>GETPIVOTDATA("Sum of A1-A3 Fossil kg CO2e/m^2 wall area",'COMPONENT PIVOT REF'!$P$3,"System Name",Table4[[#This Row],[Int Finish]])</f>
        <v>#REF!</v>
      </c>
      <c r="V87" t="e">
        <f>GETPIVOTDATA("Sum of  R value (m^2-K/W)",'COMPONENT PIVOT REF'!$P$3,"System Name",Table4[[#This Row],[Int Finish]])</f>
        <v>#REF!</v>
      </c>
      <c r="W87" t="e">
        <f>GETPIVOTDATA("Sum of Total Mass per m^2 (kg)",'COMPONENT PIVOT REF'!$P$3,"System Name",Table4[[#This Row],[Int Finish]])</f>
        <v>#REF!</v>
      </c>
      <c r="X87" t="e">
        <f>Table4[[#This Row],[Ext Finish GWP]]+Table4[[#This Row],[Base GWP]]+Table4[[#This Row],[Int Finish GWP]]</f>
        <v>#REF!</v>
      </c>
      <c r="Y87" t="e">
        <f>Table4[[#This Row],[Ext Finish R Value]]+Table4[[#This Row],[Base R Value]]+Table4[[#This Row],[Int Finish R Value]]</f>
        <v>#REF!</v>
      </c>
      <c r="Z87" t="e">
        <f>1/Table4[[#This Row],[Total R value]]</f>
        <v>#REF!</v>
      </c>
      <c r="AA87" t="e">
        <f>Table4[[#This Row],[Int Finish Mass]]+Table4[[#This Row],[Ext Finish Mass]]+Table4[[#This Row],[Base Mass]]</f>
        <v>#REF!</v>
      </c>
    </row>
    <row r="88" spans="3:27" x14ac:dyDescent="0.35">
      <c r="C88" t="str">
        <f>_xlfn.CONCAT(Table4[[#This Row],[System Name (Short)]],"_",Table4[[#This Row],[Ext Finish Name (Short)]],"_",Table4[[#This Row],[Int Finish Name (Short)]])</f>
        <v>0_0_0</v>
      </c>
      <c r="E88">
        <f>_xlfn.XLOOKUP(Table4[[#This Row],[Base System]],BASE_SYSTEM_TABLE[System Name],BASE_SYSTEM_TABLE[System Name (Short)],FALSE)</f>
        <v>0</v>
      </c>
      <c r="F88">
        <f>_xlfn.XLOOKUP(Table4[[#This Row],[Base System]],BASE_SYSTEM_TABLE[System Name],BASE_SYSTEM_TABLE[System Type],FALSE)</f>
        <v>0</v>
      </c>
      <c r="G88">
        <f>_xlfn.XLOOKUP(Table4[[#This Row],[Base System]],BASE_SYSTEM_TABLE[System Name],BASE_SYSTEM_TABLE[System Subtype],FALSE)</f>
        <v>0</v>
      </c>
      <c r="H88">
        <f>_xlfn.XLOOKUP(Table4[[#This Row],[Base System]],BASE_SYSTEM_TABLE[System Name],BASE_SYSTEM_TABLE[Construction Type (Framed or Planar)],FALSE)</f>
        <v>0</v>
      </c>
      <c r="I88" t="e">
        <f>GETPIVOTDATA("Sum of A1-A3 Fossil kg CO2e/m^2 wall area",'COMPONENT PIVOT REF'!$A$3,"System Name",Table4[[#This Row],[Base System]])</f>
        <v>#REF!</v>
      </c>
      <c r="J88" t="e">
        <f>GETPIVOTDATA("Sum of  R value (m^2-K/W)",'COMPONENT PIVOT REF'!$A$3,"System Name",Table4[[#This Row],[Base System]])</f>
        <v>#REF!</v>
      </c>
      <c r="K88" t="e">
        <f>GETPIVOTDATA("Sum of Total Mass per m^2 (kg)",'COMPONENT PIVOT REF'!$A$3,"System Name",Table4[[#This Row],[Base System]])</f>
        <v>#REF!</v>
      </c>
      <c r="M88">
        <f>_xlfn.XLOOKUP(Table4[[#This Row],[Ext Finish]],Master_Table4[System Name],Master_Table4[System Name (Short)],FALSE)</f>
        <v>0</v>
      </c>
      <c r="N88">
        <f>_xlfn.XLOOKUP(Table4[[#This Row],[Ext Finish]],Master_Table4[System Name],Master_Table4[Compatible Systems],FALSE)</f>
        <v>0</v>
      </c>
      <c r="O88" t="str">
        <f>IF(ISNUMBER(SEARCH(Table4[[#This Row],[MMC Method]],Table4[[#This Row],[Compatible Systems]])),"YES","NO")</f>
        <v>YES</v>
      </c>
      <c r="P88" t="e">
        <f>GETPIVOTDATA("Sum of A1-A3 Fossil kg CO2e/m^2 wall area",'COMPONENT PIVOT REF'!$I$3,"System Name",Table4[[#This Row],[Ext Finish]])</f>
        <v>#REF!</v>
      </c>
      <c r="Q88" t="e">
        <f>GETPIVOTDATA("Sum of  R value (m^2-K/W)",'COMPONENT PIVOT REF'!$I$3,"System Name",Table4[[#This Row],[Ext Finish]])</f>
        <v>#REF!</v>
      </c>
      <c r="R88" t="e">
        <f>GETPIVOTDATA("Sum of Total Mass per m^2 (kg)",'COMPONENT PIVOT REF'!$I$3,"System Name",Table4[[#This Row],[Ext Finish]])</f>
        <v>#REF!</v>
      </c>
      <c r="T88">
        <f>_xlfn.XLOOKUP(Table4[[#This Row],[Int Finish]],Master_Table6[System Name],Master_Table6[System Name (Short)],FALSE)</f>
        <v>0</v>
      </c>
      <c r="U88" t="e">
        <f>GETPIVOTDATA("Sum of A1-A3 Fossil kg CO2e/m^2 wall area",'COMPONENT PIVOT REF'!$P$3,"System Name",Table4[[#This Row],[Int Finish]])</f>
        <v>#REF!</v>
      </c>
      <c r="V88" t="e">
        <f>GETPIVOTDATA("Sum of  R value (m^2-K/W)",'COMPONENT PIVOT REF'!$P$3,"System Name",Table4[[#This Row],[Int Finish]])</f>
        <v>#REF!</v>
      </c>
      <c r="W88" t="e">
        <f>GETPIVOTDATA("Sum of Total Mass per m^2 (kg)",'COMPONENT PIVOT REF'!$P$3,"System Name",Table4[[#This Row],[Int Finish]])</f>
        <v>#REF!</v>
      </c>
      <c r="X88" t="e">
        <f>Table4[[#This Row],[Ext Finish GWP]]+Table4[[#This Row],[Base GWP]]+Table4[[#This Row],[Int Finish GWP]]</f>
        <v>#REF!</v>
      </c>
      <c r="Y88" t="e">
        <f>Table4[[#This Row],[Ext Finish R Value]]+Table4[[#This Row],[Base R Value]]+Table4[[#This Row],[Int Finish R Value]]</f>
        <v>#REF!</v>
      </c>
      <c r="Z88" t="e">
        <f>1/Table4[[#This Row],[Total R value]]</f>
        <v>#REF!</v>
      </c>
      <c r="AA88" t="e">
        <f>Table4[[#This Row],[Int Finish Mass]]+Table4[[#This Row],[Ext Finish Mass]]+Table4[[#This Row],[Base Mass]]</f>
        <v>#REF!</v>
      </c>
    </row>
    <row r="89" spans="3:27" x14ac:dyDescent="0.35">
      <c r="C89" t="str">
        <f>_xlfn.CONCAT(Table4[[#This Row],[System Name (Short)]],"_",Table4[[#This Row],[Ext Finish Name (Short)]],"_",Table4[[#This Row],[Int Finish Name (Short)]])</f>
        <v>0_0_0</v>
      </c>
      <c r="E89">
        <f>_xlfn.XLOOKUP(Table4[[#This Row],[Base System]],BASE_SYSTEM_TABLE[System Name],BASE_SYSTEM_TABLE[System Name (Short)],FALSE)</f>
        <v>0</v>
      </c>
      <c r="F89">
        <f>_xlfn.XLOOKUP(Table4[[#This Row],[Base System]],BASE_SYSTEM_TABLE[System Name],BASE_SYSTEM_TABLE[System Type],FALSE)</f>
        <v>0</v>
      </c>
      <c r="G89">
        <f>_xlfn.XLOOKUP(Table4[[#This Row],[Base System]],BASE_SYSTEM_TABLE[System Name],BASE_SYSTEM_TABLE[System Subtype],FALSE)</f>
        <v>0</v>
      </c>
      <c r="H89">
        <f>_xlfn.XLOOKUP(Table4[[#This Row],[Base System]],BASE_SYSTEM_TABLE[System Name],BASE_SYSTEM_TABLE[Construction Type (Framed or Planar)],FALSE)</f>
        <v>0</v>
      </c>
      <c r="I89" t="e">
        <f>GETPIVOTDATA("Sum of A1-A3 Fossil kg CO2e/m^2 wall area",'COMPONENT PIVOT REF'!$A$3,"System Name",Table4[[#This Row],[Base System]])</f>
        <v>#REF!</v>
      </c>
      <c r="J89" t="e">
        <f>GETPIVOTDATA("Sum of  R value (m^2-K/W)",'COMPONENT PIVOT REF'!$A$3,"System Name",Table4[[#This Row],[Base System]])</f>
        <v>#REF!</v>
      </c>
      <c r="K89" t="e">
        <f>GETPIVOTDATA("Sum of Total Mass per m^2 (kg)",'COMPONENT PIVOT REF'!$A$3,"System Name",Table4[[#This Row],[Base System]])</f>
        <v>#REF!</v>
      </c>
      <c r="M89">
        <f>_xlfn.XLOOKUP(Table4[[#This Row],[Ext Finish]],Master_Table4[System Name],Master_Table4[System Name (Short)],FALSE)</f>
        <v>0</v>
      </c>
      <c r="N89">
        <f>_xlfn.XLOOKUP(Table4[[#This Row],[Ext Finish]],Master_Table4[System Name],Master_Table4[Compatible Systems],FALSE)</f>
        <v>0</v>
      </c>
      <c r="O89" t="str">
        <f>IF(ISNUMBER(SEARCH(Table4[[#This Row],[MMC Method]],Table4[[#This Row],[Compatible Systems]])),"YES","NO")</f>
        <v>YES</v>
      </c>
      <c r="P89" t="e">
        <f>GETPIVOTDATA("Sum of A1-A3 Fossil kg CO2e/m^2 wall area",'COMPONENT PIVOT REF'!$I$3,"System Name",Table4[[#This Row],[Ext Finish]])</f>
        <v>#REF!</v>
      </c>
      <c r="Q89" t="e">
        <f>GETPIVOTDATA("Sum of  R value (m^2-K/W)",'COMPONENT PIVOT REF'!$I$3,"System Name",Table4[[#This Row],[Ext Finish]])</f>
        <v>#REF!</v>
      </c>
      <c r="R89" t="e">
        <f>GETPIVOTDATA("Sum of Total Mass per m^2 (kg)",'COMPONENT PIVOT REF'!$I$3,"System Name",Table4[[#This Row],[Ext Finish]])</f>
        <v>#REF!</v>
      </c>
      <c r="T89">
        <f>_xlfn.XLOOKUP(Table4[[#This Row],[Int Finish]],Master_Table6[System Name],Master_Table6[System Name (Short)],FALSE)</f>
        <v>0</v>
      </c>
      <c r="U89" t="e">
        <f>GETPIVOTDATA("Sum of A1-A3 Fossil kg CO2e/m^2 wall area",'COMPONENT PIVOT REF'!$P$3,"System Name",Table4[[#This Row],[Int Finish]])</f>
        <v>#REF!</v>
      </c>
      <c r="V89" t="e">
        <f>GETPIVOTDATA("Sum of  R value (m^2-K/W)",'COMPONENT PIVOT REF'!$P$3,"System Name",Table4[[#This Row],[Int Finish]])</f>
        <v>#REF!</v>
      </c>
      <c r="W89" t="e">
        <f>GETPIVOTDATA("Sum of Total Mass per m^2 (kg)",'COMPONENT PIVOT REF'!$P$3,"System Name",Table4[[#This Row],[Int Finish]])</f>
        <v>#REF!</v>
      </c>
      <c r="X89" t="e">
        <f>Table4[[#This Row],[Ext Finish GWP]]+Table4[[#This Row],[Base GWP]]+Table4[[#This Row],[Int Finish GWP]]</f>
        <v>#REF!</v>
      </c>
      <c r="Y89" t="e">
        <f>Table4[[#This Row],[Ext Finish R Value]]+Table4[[#This Row],[Base R Value]]+Table4[[#This Row],[Int Finish R Value]]</f>
        <v>#REF!</v>
      </c>
      <c r="Z89" t="e">
        <f>1/Table4[[#This Row],[Total R value]]</f>
        <v>#REF!</v>
      </c>
      <c r="AA89" t="e">
        <f>Table4[[#This Row],[Int Finish Mass]]+Table4[[#This Row],[Ext Finish Mass]]+Table4[[#This Row],[Base Mass]]</f>
        <v>#REF!</v>
      </c>
    </row>
    <row r="90" spans="3:27" x14ac:dyDescent="0.35">
      <c r="C90" t="str">
        <f>_xlfn.CONCAT(Table4[[#This Row],[System Name (Short)]],"_",Table4[[#This Row],[Ext Finish Name (Short)]],"_",Table4[[#This Row],[Int Finish Name (Short)]])</f>
        <v>0_0_0</v>
      </c>
      <c r="E90">
        <f>_xlfn.XLOOKUP(Table4[[#This Row],[Base System]],BASE_SYSTEM_TABLE[System Name],BASE_SYSTEM_TABLE[System Name (Short)],FALSE)</f>
        <v>0</v>
      </c>
      <c r="F90">
        <f>_xlfn.XLOOKUP(Table4[[#This Row],[Base System]],BASE_SYSTEM_TABLE[System Name],BASE_SYSTEM_TABLE[System Type],FALSE)</f>
        <v>0</v>
      </c>
      <c r="G90">
        <f>_xlfn.XLOOKUP(Table4[[#This Row],[Base System]],BASE_SYSTEM_TABLE[System Name],BASE_SYSTEM_TABLE[System Subtype],FALSE)</f>
        <v>0</v>
      </c>
      <c r="H90">
        <f>_xlfn.XLOOKUP(Table4[[#This Row],[Base System]],BASE_SYSTEM_TABLE[System Name],BASE_SYSTEM_TABLE[Construction Type (Framed or Planar)],FALSE)</f>
        <v>0</v>
      </c>
      <c r="I90" t="e">
        <f>GETPIVOTDATA("Sum of A1-A3 Fossil kg CO2e/m^2 wall area",'COMPONENT PIVOT REF'!$A$3,"System Name",Table4[[#This Row],[Base System]])</f>
        <v>#REF!</v>
      </c>
      <c r="J90" t="e">
        <f>GETPIVOTDATA("Sum of  R value (m^2-K/W)",'COMPONENT PIVOT REF'!$A$3,"System Name",Table4[[#This Row],[Base System]])</f>
        <v>#REF!</v>
      </c>
      <c r="K90" t="e">
        <f>GETPIVOTDATA("Sum of Total Mass per m^2 (kg)",'COMPONENT PIVOT REF'!$A$3,"System Name",Table4[[#This Row],[Base System]])</f>
        <v>#REF!</v>
      </c>
      <c r="M90">
        <f>_xlfn.XLOOKUP(Table4[[#This Row],[Ext Finish]],Master_Table4[System Name],Master_Table4[System Name (Short)],FALSE)</f>
        <v>0</v>
      </c>
      <c r="N90">
        <f>_xlfn.XLOOKUP(Table4[[#This Row],[Ext Finish]],Master_Table4[System Name],Master_Table4[Compatible Systems],FALSE)</f>
        <v>0</v>
      </c>
      <c r="O90" t="str">
        <f>IF(ISNUMBER(SEARCH(Table4[[#This Row],[MMC Method]],Table4[[#This Row],[Compatible Systems]])),"YES","NO")</f>
        <v>YES</v>
      </c>
      <c r="P90" t="e">
        <f>GETPIVOTDATA("Sum of A1-A3 Fossil kg CO2e/m^2 wall area",'COMPONENT PIVOT REF'!$I$3,"System Name",Table4[[#This Row],[Ext Finish]])</f>
        <v>#REF!</v>
      </c>
      <c r="Q90" t="e">
        <f>GETPIVOTDATA("Sum of  R value (m^2-K/W)",'COMPONENT PIVOT REF'!$I$3,"System Name",Table4[[#This Row],[Ext Finish]])</f>
        <v>#REF!</v>
      </c>
      <c r="R90" t="e">
        <f>GETPIVOTDATA("Sum of Total Mass per m^2 (kg)",'COMPONENT PIVOT REF'!$I$3,"System Name",Table4[[#This Row],[Ext Finish]])</f>
        <v>#REF!</v>
      </c>
      <c r="T90">
        <f>_xlfn.XLOOKUP(Table4[[#This Row],[Int Finish]],Master_Table6[System Name],Master_Table6[System Name (Short)],FALSE)</f>
        <v>0</v>
      </c>
      <c r="U90" t="e">
        <f>GETPIVOTDATA("Sum of A1-A3 Fossil kg CO2e/m^2 wall area",'COMPONENT PIVOT REF'!$P$3,"System Name",Table4[[#This Row],[Int Finish]])</f>
        <v>#REF!</v>
      </c>
      <c r="V90" t="e">
        <f>GETPIVOTDATA("Sum of  R value (m^2-K/W)",'COMPONENT PIVOT REF'!$P$3,"System Name",Table4[[#This Row],[Int Finish]])</f>
        <v>#REF!</v>
      </c>
      <c r="W90" t="e">
        <f>GETPIVOTDATA("Sum of Total Mass per m^2 (kg)",'COMPONENT PIVOT REF'!$P$3,"System Name",Table4[[#This Row],[Int Finish]])</f>
        <v>#REF!</v>
      </c>
      <c r="X90" t="e">
        <f>Table4[[#This Row],[Ext Finish GWP]]+Table4[[#This Row],[Base GWP]]+Table4[[#This Row],[Int Finish GWP]]</f>
        <v>#REF!</v>
      </c>
      <c r="Y90" t="e">
        <f>Table4[[#This Row],[Ext Finish R Value]]+Table4[[#This Row],[Base R Value]]+Table4[[#This Row],[Int Finish R Value]]</f>
        <v>#REF!</v>
      </c>
      <c r="Z90" t="e">
        <f>1/Table4[[#This Row],[Total R value]]</f>
        <v>#REF!</v>
      </c>
      <c r="AA90" t="e">
        <f>Table4[[#This Row],[Int Finish Mass]]+Table4[[#This Row],[Ext Finish Mass]]+Table4[[#This Row],[Base Mass]]</f>
        <v>#REF!</v>
      </c>
    </row>
    <row r="91" spans="3:27" x14ac:dyDescent="0.35">
      <c r="C91" t="str">
        <f>_xlfn.CONCAT(Table4[[#This Row],[System Name (Short)]],"_",Table4[[#This Row],[Ext Finish Name (Short)]],"_",Table4[[#This Row],[Int Finish Name (Short)]])</f>
        <v>0_0_0</v>
      </c>
      <c r="E91">
        <f>_xlfn.XLOOKUP(Table4[[#This Row],[Base System]],BASE_SYSTEM_TABLE[System Name],BASE_SYSTEM_TABLE[System Name (Short)],FALSE)</f>
        <v>0</v>
      </c>
      <c r="F91">
        <f>_xlfn.XLOOKUP(Table4[[#This Row],[Base System]],BASE_SYSTEM_TABLE[System Name],BASE_SYSTEM_TABLE[System Type],FALSE)</f>
        <v>0</v>
      </c>
      <c r="G91">
        <f>_xlfn.XLOOKUP(Table4[[#This Row],[Base System]],BASE_SYSTEM_TABLE[System Name],BASE_SYSTEM_TABLE[System Subtype],FALSE)</f>
        <v>0</v>
      </c>
      <c r="H91">
        <f>_xlfn.XLOOKUP(Table4[[#This Row],[Base System]],BASE_SYSTEM_TABLE[System Name],BASE_SYSTEM_TABLE[Construction Type (Framed or Planar)],FALSE)</f>
        <v>0</v>
      </c>
      <c r="I91" t="e">
        <f>GETPIVOTDATA("Sum of A1-A3 Fossil kg CO2e/m^2 wall area",'COMPONENT PIVOT REF'!$A$3,"System Name",Table4[[#This Row],[Base System]])</f>
        <v>#REF!</v>
      </c>
      <c r="J91" t="e">
        <f>GETPIVOTDATA("Sum of  R value (m^2-K/W)",'COMPONENT PIVOT REF'!$A$3,"System Name",Table4[[#This Row],[Base System]])</f>
        <v>#REF!</v>
      </c>
      <c r="K91" t="e">
        <f>GETPIVOTDATA("Sum of Total Mass per m^2 (kg)",'COMPONENT PIVOT REF'!$A$3,"System Name",Table4[[#This Row],[Base System]])</f>
        <v>#REF!</v>
      </c>
      <c r="M91">
        <f>_xlfn.XLOOKUP(Table4[[#This Row],[Ext Finish]],Master_Table4[System Name],Master_Table4[System Name (Short)],FALSE)</f>
        <v>0</v>
      </c>
      <c r="N91">
        <f>_xlfn.XLOOKUP(Table4[[#This Row],[Ext Finish]],Master_Table4[System Name],Master_Table4[Compatible Systems],FALSE)</f>
        <v>0</v>
      </c>
      <c r="O91" t="str">
        <f>IF(ISNUMBER(SEARCH(Table4[[#This Row],[MMC Method]],Table4[[#This Row],[Compatible Systems]])),"YES","NO")</f>
        <v>YES</v>
      </c>
      <c r="P91" t="e">
        <f>GETPIVOTDATA("Sum of A1-A3 Fossil kg CO2e/m^2 wall area",'COMPONENT PIVOT REF'!$I$3,"System Name",Table4[[#This Row],[Ext Finish]])</f>
        <v>#REF!</v>
      </c>
      <c r="Q91" t="e">
        <f>GETPIVOTDATA("Sum of  R value (m^2-K/W)",'COMPONENT PIVOT REF'!$I$3,"System Name",Table4[[#This Row],[Ext Finish]])</f>
        <v>#REF!</v>
      </c>
      <c r="R91" t="e">
        <f>GETPIVOTDATA("Sum of Total Mass per m^2 (kg)",'COMPONENT PIVOT REF'!$I$3,"System Name",Table4[[#This Row],[Ext Finish]])</f>
        <v>#REF!</v>
      </c>
      <c r="T91">
        <f>_xlfn.XLOOKUP(Table4[[#This Row],[Int Finish]],Master_Table6[System Name],Master_Table6[System Name (Short)],FALSE)</f>
        <v>0</v>
      </c>
      <c r="U91" t="e">
        <f>GETPIVOTDATA("Sum of A1-A3 Fossil kg CO2e/m^2 wall area",'COMPONENT PIVOT REF'!$P$3,"System Name",Table4[[#This Row],[Int Finish]])</f>
        <v>#REF!</v>
      </c>
      <c r="V91" t="e">
        <f>GETPIVOTDATA("Sum of  R value (m^2-K/W)",'COMPONENT PIVOT REF'!$P$3,"System Name",Table4[[#This Row],[Int Finish]])</f>
        <v>#REF!</v>
      </c>
      <c r="W91" t="e">
        <f>GETPIVOTDATA("Sum of Total Mass per m^2 (kg)",'COMPONENT PIVOT REF'!$P$3,"System Name",Table4[[#This Row],[Int Finish]])</f>
        <v>#REF!</v>
      </c>
      <c r="X91" t="e">
        <f>Table4[[#This Row],[Ext Finish GWP]]+Table4[[#This Row],[Base GWP]]+Table4[[#This Row],[Int Finish GWP]]</f>
        <v>#REF!</v>
      </c>
      <c r="Y91" t="e">
        <f>Table4[[#This Row],[Ext Finish R Value]]+Table4[[#This Row],[Base R Value]]+Table4[[#This Row],[Int Finish R Value]]</f>
        <v>#REF!</v>
      </c>
      <c r="Z91" t="e">
        <f>1/Table4[[#This Row],[Total R value]]</f>
        <v>#REF!</v>
      </c>
      <c r="AA91" t="e">
        <f>Table4[[#This Row],[Int Finish Mass]]+Table4[[#This Row],[Ext Finish Mass]]+Table4[[#This Row],[Base Mass]]</f>
        <v>#REF!</v>
      </c>
    </row>
    <row r="92" spans="3:27" x14ac:dyDescent="0.35">
      <c r="C92" t="str">
        <f>_xlfn.CONCAT(Table4[[#This Row],[System Name (Short)]],"_",Table4[[#This Row],[Ext Finish Name (Short)]],"_",Table4[[#This Row],[Int Finish Name (Short)]])</f>
        <v>0_0_0</v>
      </c>
      <c r="E92">
        <f>_xlfn.XLOOKUP(Table4[[#This Row],[Base System]],BASE_SYSTEM_TABLE[System Name],BASE_SYSTEM_TABLE[System Name (Short)],FALSE)</f>
        <v>0</v>
      </c>
      <c r="F92">
        <f>_xlfn.XLOOKUP(Table4[[#This Row],[Base System]],BASE_SYSTEM_TABLE[System Name],BASE_SYSTEM_TABLE[System Type],FALSE)</f>
        <v>0</v>
      </c>
      <c r="G92">
        <f>_xlfn.XLOOKUP(Table4[[#This Row],[Base System]],BASE_SYSTEM_TABLE[System Name],BASE_SYSTEM_TABLE[System Subtype],FALSE)</f>
        <v>0</v>
      </c>
      <c r="H92">
        <f>_xlfn.XLOOKUP(Table4[[#This Row],[Base System]],BASE_SYSTEM_TABLE[System Name],BASE_SYSTEM_TABLE[Construction Type (Framed or Planar)],FALSE)</f>
        <v>0</v>
      </c>
      <c r="I92" t="e">
        <f>GETPIVOTDATA("Sum of A1-A3 Fossil kg CO2e/m^2 wall area",'COMPONENT PIVOT REF'!$A$3,"System Name",Table4[[#This Row],[Base System]])</f>
        <v>#REF!</v>
      </c>
      <c r="J92" t="e">
        <f>GETPIVOTDATA("Sum of  R value (m^2-K/W)",'COMPONENT PIVOT REF'!$A$3,"System Name",Table4[[#This Row],[Base System]])</f>
        <v>#REF!</v>
      </c>
      <c r="K92" t="e">
        <f>GETPIVOTDATA("Sum of Total Mass per m^2 (kg)",'COMPONENT PIVOT REF'!$A$3,"System Name",Table4[[#This Row],[Base System]])</f>
        <v>#REF!</v>
      </c>
      <c r="M92">
        <f>_xlfn.XLOOKUP(Table4[[#This Row],[Ext Finish]],Master_Table4[System Name],Master_Table4[System Name (Short)],FALSE)</f>
        <v>0</v>
      </c>
      <c r="N92">
        <f>_xlfn.XLOOKUP(Table4[[#This Row],[Ext Finish]],Master_Table4[System Name],Master_Table4[Compatible Systems],FALSE)</f>
        <v>0</v>
      </c>
      <c r="O92" t="str">
        <f>IF(ISNUMBER(SEARCH(Table4[[#This Row],[MMC Method]],Table4[[#This Row],[Compatible Systems]])),"YES","NO")</f>
        <v>YES</v>
      </c>
      <c r="P92" t="e">
        <f>GETPIVOTDATA("Sum of A1-A3 Fossil kg CO2e/m^2 wall area",'COMPONENT PIVOT REF'!$I$3,"System Name",Table4[[#This Row],[Ext Finish]])</f>
        <v>#REF!</v>
      </c>
      <c r="Q92" t="e">
        <f>GETPIVOTDATA("Sum of  R value (m^2-K/W)",'COMPONENT PIVOT REF'!$I$3,"System Name",Table4[[#This Row],[Ext Finish]])</f>
        <v>#REF!</v>
      </c>
      <c r="R92" t="e">
        <f>GETPIVOTDATA("Sum of Total Mass per m^2 (kg)",'COMPONENT PIVOT REF'!$I$3,"System Name",Table4[[#This Row],[Ext Finish]])</f>
        <v>#REF!</v>
      </c>
      <c r="T92">
        <f>_xlfn.XLOOKUP(Table4[[#This Row],[Int Finish]],Master_Table6[System Name],Master_Table6[System Name (Short)],FALSE)</f>
        <v>0</v>
      </c>
      <c r="U92" t="e">
        <f>GETPIVOTDATA("Sum of A1-A3 Fossil kg CO2e/m^2 wall area",'COMPONENT PIVOT REF'!$P$3,"System Name",Table4[[#This Row],[Int Finish]])</f>
        <v>#REF!</v>
      </c>
      <c r="V92" t="e">
        <f>GETPIVOTDATA("Sum of  R value (m^2-K/W)",'COMPONENT PIVOT REF'!$P$3,"System Name",Table4[[#This Row],[Int Finish]])</f>
        <v>#REF!</v>
      </c>
      <c r="W92" t="e">
        <f>GETPIVOTDATA("Sum of Total Mass per m^2 (kg)",'COMPONENT PIVOT REF'!$P$3,"System Name",Table4[[#This Row],[Int Finish]])</f>
        <v>#REF!</v>
      </c>
      <c r="X92" t="e">
        <f>Table4[[#This Row],[Ext Finish GWP]]+Table4[[#This Row],[Base GWP]]+Table4[[#This Row],[Int Finish GWP]]</f>
        <v>#REF!</v>
      </c>
      <c r="Y92" t="e">
        <f>Table4[[#This Row],[Ext Finish R Value]]+Table4[[#This Row],[Base R Value]]+Table4[[#This Row],[Int Finish R Value]]</f>
        <v>#REF!</v>
      </c>
      <c r="Z92" t="e">
        <f>1/Table4[[#This Row],[Total R value]]</f>
        <v>#REF!</v>
      </c>
      <c r="AA92" t="e">
        <f>Table4[[#This Row],[Int Finish Mass]]+Table4[[#This Row],[Ext Finish Mass]]+Table4[[#This Row],[Base Mass]]</f>
        <v>#REF!</v>
      </c>
    </row>
    <row r="93" spans="3:27" x14ac:dyDescent="0.35">
      <c r="C93" t="str">
        <f>_xlfn.CONCAT(Table4[[#This Row],[System Name (Short)]],"_",Table4[[#This Row],[Ext Finish Name (Short)]],"_",Table4[[#This Row],[Int Finish Name (Short)]])</f>
        <v>0_0_0</v>
      </c>
      <c r="E93">
        <f>_xlfn.XLOOKUP(Table4[[#This Row],[Base System]],BASE_SYSTEM_TABLE[System Name],BASE_SYSTEM_TABLE[System Name (Short)],FALSE)</f>
        <v>0</v>
      </c>
      <c r="F93">
        <f>_xlfn.XLOOKUP(Table4[[#This Row],[Base System]],BASE_SYSTEM_TABLE[System Name],BASE_SYSTEM_TABLE[System Type],FALSE)</f>
        <v>0</v>
      </c>
      <c r="G93">
        <f>_xlfn.XLOOKUP(Table4[[#This Row],[Base System]],BASE_SYSTEM_TABLE[System Name],BASE_SYSTEM_TABLE[System Subtype],FALSE)</f>
        <v>0</v>
      </c>
      <c r="H93">
        <f>_xlfn.XLOOKUP(Table4[[#This Row],[Base System]],BASE_SYSTEM_TABLE[System Name],BASE_SYSTEM_TABLE[Construction Type (Framed or Planar)],FALSE)</f>
        <v>0</v>
      </c>
      <c r="I93" t="e">
        <f>GETPIVOTDATA("Sum of A1-A3 Fossil kg CO2e/m^2 wall area",'COMPONENT PIVOT REF'!$A$3,"System Name",Table4[[#This Row],[Base System]])</f>
        <v>#REF!</v>
      </c>
      <c r="J93" t="e">
        <f>GETPIVOTDATA("Sum of  R value (m^2-K/W)",'COMPONENT PIVOT REF'!$A$3,"System Name",Table4[[#This Row],[Base System]])</f>
        <v>#REF!</v>
      </c>
      <c r="K93" t="e">
        <f>GETPIVOTDATA("Sum of Total Mass per m^2 (kg)",'COMPONENT PIVOT REF'!$A$3,"System Name",Table4[[#This Row],[Base System]])</f>
        <v>#REF!</v>
      </c>
      <c r="M93">
        <f>_xlfn.XLOOKUP(Table4[[#This Row],[Ext Finish]],Master_Table4[System Name],Master_Table4[System Name (Short)],FALSE)</f>
        <v>0</v>
      </c>
      <c r="N93">
        <f>_xlfn.XLOOKUP(Table4[[#This Row],[Ext Finish]],Master_Table4[System Name],Master_Table4[Compatible Systems],FALSE)</f>
        <v>0</v>
      </c>
      <c r="O93" t="str">
        <f>IF(ISNUMBER(SEARCH(Table4[[#This Row],[MMC Method]],Table4[[#This Row],[Compatible Systems]])),"YES","NO")</f>
        <v>YES</v>
      </c>
      <c r="P93" t="e">
        <f>GETPIVOTDATA("Sum of A1-A3 Fossil kg CO2e/m^2 wall area",'COMPONENT PIVOT REF'!$I$3,"System Name",Table4[[#This Row],[Ext Finish]])</f>
        <v>#REF!</v>
      </c>
      <c r="Q93" t="e">
        <f>GETPIVOTDATA("Sum of  R value (m^2-K/W)",'COMPONENT PIVOT REF'!$I$3,"System Name",Table4[[#This Row],[Ext Finish]])</f>
        <v>#REF!</v>
      </c>
      <c r="R93" t="e">
        <f>GETPIVOTDATA("Sum of Total Mass per m^2 (kg)",'COMPONENT PIVOT REF'!$I$3,"System Name",Table4[[#This Row],[Ext Finish]])</f>
        <v>#REF!</v>
      </c>
      <c r="T93">
        <f>_xlfn.XLOOKUP(Table4[[#This Row],[Int Finish]],Master_Table6[System Name],Master_Table6[System Name (Short)],FALSE)</f>
        <v>0</v>
      </c>
      <c r="U93" t="e">
        <f>GETPIVOTDATA("Sum of A1-A3 Fossil kg CO2e/m^2 wall area",'COMPONENT PIVOT REF'!$P$3,"System Name",Table4[[#This Row],[Int Finish]])</f>
        <v>#REF!</v>
      </c>
      <c r="V93" t="e">
        <f>GETPIVOTDATA("Sum of  R value (m^2-K/W)",'COMPONENT PIVOT REF'!$P$3,"System Name",Table4[[#This Row],[Int Finish]])</f>
        <v>#REF!</v>
      </c>
      <c r="W93" t="e">
        <f>GETPIVOTDATA("Sum of Total Mass per m^2 (kg)",'COMPONENT PIVOT REF'!$P$3,"System Name",Table4[[#This Row],[Int Finish]])</f>
        <v>#REF!</v>
      </c>
      <c r="X93" t="e">
        <f>Table4[[#This Row],[Ext Finish GWP]]+Table4[[#This Row],[Base GWP]]+Table4[[#This Row],[Int Finish GWP]]</f>
        <v>#REF!</v>
      </c>
      <c r="Y93" t="e">
        <f>Table4[[#This Row],[Ext Finish R Value]]+Table4[[#This Row],[Base R Value]]+Table4[[#This Row],[Int Finish R Value]]</f>
        <v>#REF!</v>
      </c>
      <c r="Z93" t="e">
        <f>1/Table4[[#This Row],[Total R value]]</f>
        <v>#REF!</v>
      </c>
      <c r="AA93" t="e">
        <f>Table4[[#This Row],[Int Finish Mass]]+Table4[[#This Row],[Ext Finish Mass]]+Table4[[#This Row],[Base Mass]]</f>
        <v>#REF!</v>
      </c>
    </row>
    <row r="94" spans="3:27" x14ac:dyDescent="0.35">
      <c r="C94" t="str">
        <f>_xlfn.CONCAT(Table4[[#This Row],[System Name (Short)]],"_",Table4[[#This Row],[Ext Finish Name (Short)]],"_",Table4[[#This Row],[Int Finish Name (Short)]])</f>
        <v>0_0_0</v>
      </c>
      <c r="E94">
        <f>_xlfn.XLOOKUP(Table4[[#This Row],[Base System]],BASE_SYSTEM_TABLE[System Name],BASE_SYSTEM_TABLE[System Name (Short)],FALSE)</f>
        <v>0</v>
      </c>
      <c r="F94">
        <f>_xlfn.XLOOKUP(Table4[[#This Row],[Base System]],BASE_SYSTEM_TABLE[System Name],BASE_SYSTEM_TABLE[System Type],FALSE)</f>
        <v>0</v>
      </c>
      <c r="G94">
        <f>_xlfn.XLOOKUP(Table4[[#This Row],[Base System]],BASE_SYSTEM_TABLE[System Name],BASE_SYSTEM_TABLE[System Subtype],FALSE)</f>
        <v>0</v>
      </c>
      <c r="H94">
        <f>_xlfn.XLOOKUP(Table4[[#This Row],[Base System]],BASE_SYSTEM_TABLE[System Name],BASE_SYSTEM_TABLE[Construction Type (Framed or Planar)],FALSE)</f>
        <v>0</v>
      </c>
      <c r="I94" t="e">
        <f>GETPIVOTDATA("Sum of A1-A3 Fossil kg CO2e/m^2 wall area",'COMPONENT PIVOT REF'!$A$3,"System Name",Table4[[#This Row],[Base System]])</f>
        <v>#REF!</v>
      </c>
      <c r="J94" t="e">
        <f>GETPIVOTDATA("Sum of  R value (m^2-K/W)",'COMPONENT PIVOT REF'!$A$3,"System Name",Table4[[#This Row],[Base System]])</f>
        <v>#REF!</v>
      </c>
      <c r="K94" t="e">
        <f>GETPIVOTDATA("Sum of Total Mass per m^2 (kg)",'COMPONENT PIVOT REF'!$A$3,"System Name",Table4[[#This Row],[Base System]])</f>
        <v>#REF!</v>
      </c>
      <c r="M94">
        <f>_xlfn.XLOOKUP(Table4[[#This Row],[Ext Finish]],Master_Table4[System Name],Master_Table4[System Name (Short)],FALSE)</f>
        <v>0</v>
      </c>
      <c r="N94">
        <f>_xlfn.XLOOKUP(Table4[[#This Row],[Ext Finish]],Master_Table4[System Name],Master_Table4[Compatible Systems],FALSE)</f>
        <v>0</v>
      </c>
      <c r="O94" t="str">
        <f>IF(ISNUMBER(SEARCH(Table4[[#This Row],[MMC Method]],Table4[[#This Row],[Compatible Systems]])),"YES","NO")</f>
        <v>YES</v>
      </c>
      <c r="P94" t="e">
        <f>GETPIVOTDATA("Sum of A1-A3 Fossil kg CO2e/m^2 wall area",'COMPONENT PIVOT REF'!$I$3,"System Name",Table4[[#This Row],[Ext Finish]])</f>
        <v>#REF!</v>
      </c>
      <c r="Q94" t="e">
        <f>GETPIVOTDATA("Sum of  R value (m^2-K/W)",'COMPONENT PIVOT REF'!$I$3,"System Name",Table4[[#This Row],[Ext Finish]])</f>
        <v>#REF!</v>
      </c>
      <c r="R94" t="e">
        <f>GETPIVOTDATA("Sum of Total Mass per m^2 (kg)",'COMPONENT PIVOT REF'!$I$3,"System Name",Table4[[#This Row],[Ext Finish]])</f>
        <v>#REF!</v>
      </c>
      <c r="T94">
        <f>_xlfn.XLOOKUP(Table4[[#This Row],[Int Finish]],Master_Table6[System Name],Master_Table6[System Name (Short)],FALSE)</f>
        <v>0</v>
      </c>
      <c r="U94" t="e">
        <f>GETPIVOTDATA("Sum of A1-A3 Fossil kg CO2e/m^2 wall area",'COMPONENT PIVOT REF'!$P$3,"System Name",Table4[[#This Row],[Int Finish]])</f>
        <v>#REF!</v>
      </c>
      <c r="V94" t="e">
        <f>GETPIVOTDATA("Sum of  R value (m^2-K/W)",'COMPONENT PIVOT REF'!$P$3,"System Name",Table4[[#This Row],[Int Finish]])</f>
        <v>#REF!</v>
      </c>
      <c r="W94" t="e">
        <f>GETPIVOTDATA("Sum of Total Mass per m^2 (kg)",'COMPONENT PIVOT REF'!$P$3,"System Name",Table4[[#This Row],[Int Finish]])</f>
        <v>#REF!</v>
      </c>
      <c r="X94" t="e">
        <f>Table4[[#This Row],[Ext Finish GWP]]+Table4[[#This Row],[Base GWP]]+Table4[[#This Row],[Int Finish GWP]]</f>
        <v>#REF!</v>
      </c>
      <c r="Y94" t="e">
        <f>Table4[[#This Row],[Ext Finish R Value]]+Table4[[#This Row],[Base R Value]]+Table4[[#This Row],[Int Finish R Value]]</f>
        <v>#REF!</v>
      </c>
      <c r="Z94" t="e">
        <f>1/Table4[[#This Row],[Total R value]]</f>
        <v>#REF!</v>
      </c>
      <c r="AA94" t="e">
        <f>Table4[[#This Row],[Int Finish Mass]]+Table4[[#This Row],[Ext Finish Mass]]+Table4[[#This Row],[Base Mass]]</f>
        <v>#REF!</v>
      </c>
    </row>
    <row r="95" spans="3:27" x14ac:dyDescent="0.35">
      <c r="C95" t="str">
        <f>_xlfn.CONCAT(Table4[[#This Row],[System Name (Short)]],"_",Table4[[#This Row],[Ext Finish Name (Short)]],"_",Table4[[#This Row],[Int Finish Name (Short)]])</f>
        <v>0_0_0</v>
      </c>
      <c r="E95">
        <f>_xlfn.XLOOKUP(Table4[[#This Row],[Base System]],BASE_SYSTEM_TABLE[System Name],BASE_SYSTEM_TABLE[System Name (Short)],FALSE)</f>
        <v>0</v>
      </c>
      <c r="F95">
        <f>_xlfn.XLOOKUP(Table4[[#This Row],[Base System]],BASE_SYSTEM_TABLE[System Name],BASE_SYSTEM_TABLE[System Type],FALSE)</f>
        <v>0</v>
      </c>
      <c r="G95">
        <f>_xlfn.XLOOKUP(Table4[[#This Row],[Base System]],BASE_SYSTEM_TABLE[System Name],BASE_SYSTEM_TABLE[System Subtype],FALSE)</f>
        <v>0</v>
      </c>
      <c r="H95">
        <f>_xlfn.XLOOKUP(Table4[[#This Row],[Base System]],BASE_SYSTEM_TABLE[System Name],BASE_SYSTEM_TABLE[Construction Type (Framed or Planar)],FALSE)</f>
        <v>0</v>
      </c>
      <c r="I95" t="e">
        <f>GETPIVOTDATA("Sum of A1-A3 Fossil kg CO2e/m^2 wall area",'COMPONENT PIVOT REF'!$A$3,"System Name",Table4[[#This Row],[Base System]])</f>
        <v>#REF!</v>
      </c>
      <c r="J95" t="e">
        <f>GETPIVOTDATA("Sum of  R value (m^2-K/W)",'COMPONENT PIVOT REF'!$A$3,"System Name",Table4[[#This Row],[Base System]])</f>
        <v>#REF!</v>
      </c>
      <c r="K95" t="e">
        <f>GETPIVOTDATA("Sum of Total Mass per m^2 (kg)",'COMPONENT PIVOT REF'!$A$3,"System Name",Table4[[#This Row],[Base System]])</f>
        <v>#REF!</v>
      </c>
      <c r="M95">
        <f>_xlfn.XLOOKUP(Table4[[#This Row],[Ext Finish]],Master_Table4[System Name],Master_Table4[System Name (Short)],FALSE)</f>
        <v>0</v>
      </c>
      <c r="N95">
        <f>_xlfn.XLOOKUP(Table4[[#This Row],[Ext Finish]],Master_Table4[System Name],Master_Table4[Compatible Systems],FALSE)</f>
        <v>0</v>
      </c>
      <c r="O95" t="str">
        <f>IF(ISNUMBER(SEARCH(Table4[[#This Row],[MMC Method]],Table4[[#This Row],[Compatible Systems]])),"YES","NO")</f>
        <v>YES</v>
      </c>
      <c r="P95" t="e">
        <f>GETPIVOTDATA("Sum of A1-A3 Fossil kg CO2e/m^2 wall area",'COMPONENT PIVOT REF'!$I$3,"System Name",Table4[[#This Row],[Ext Finish]])</f>
        <v>#REF!</v>
      </c>
      <c r="Q95" t="e">
        <f>GETPIVOTDATA("Sum of  R value (m^2-K/W)",'COMPONENT PIVOT REF'!$I$3,"System Name",Table4[[#This Row],[Ext Finish]])</f>
        <v>#REF!</v>
      </c>
      <c r="R95" t="e">
        <f>GETPIVOTDATA("Sum of Total Mass per m^2 (kg)",'COMPONENT PIVOT REF'!$I$3,"System Name",Table4[[#This Row],[Ext Finish]])</f>
        <v>#REF!</v>
      </c>
      <c r="T95">
        <f>_xlfn.XLOOKUP(Table4[[#This Row],[Int Finish]],Master_Table6[System Name],Master_Table6[System Name (Short)],FALSE)</f>
        <v>0</v>
      </c>
      <c r="U95" t="e">
        <f>GETPIVOTDATA("Sum of A1-A3 Fossil kg CO2e/m^2 wall area",'COMPONENT PIVOT REF'!$P$3,"System Name",Table4[[#This Row],[Int Finish]])</f>
        <v>#REF!</v>
      </c>
      <c r="V95" t="e">
        <f>GETPIVOTDATA("Sum of  R value (m^2-K/W)",'COMPONENT PIVOT REF'!$P$3,"System Name",Table4[[#This Row],[Int Finish]])</f>
        <v>#REF!</v>
      </c>
      <c r="W95" t="e">
        <f>GETPIVOTDATA("Sum of Total Mass per m^2 (kg)",'COMPONENT PIVOT REF'!$P$3,"System Name",Table4[[#This Row],[Int Finish]])</f>
        <v>#REF!</v>
      </c>
      <c r="X95" t="e">
        <f>Table4[[#This Row],[Ext Finish GWP]]+Table4[[#This Row],[Base GWP]]+Table4[[#This Row],[Int Finish GWP]]</f>
        <v>#REF!</v>
      </c>
      <c r="Y95" t="e">
        <f>Table4[[#This Row],[Ext Finish R Value]]+Table4[[#This Row],[Base R Value]]+Table4[[#This Row],[Int Finish R Value]]</f>
        <v>#REF!</v>
      </c>
      <c r="Z95" t="e">
        <f>1/Table4[[#This Row],[Total R value]]</f>
        <v>#REF!</v>
      </c>
      <c r="AA95" t="e">
        <f>Table4[[#This Row],[Int Finish Mass]]+Table4[[#This Row],[Ext Finish Mass]]+Table4[[#This Row],[Base Mass]]</f>
        <v>#REF!</v>
      </c>
    </row>
    <row r="96" spans="3:27" x14ac:dyDescent="0.35">
      <c r="C96" t="str">
        <f>_xlfn.CONCAT(Table4[[#This Row],[System Name (Short)]],"_",Table4[[#This Row],[Ext Finish Name (Short)]],"_",Table4[[#This Row],[Int Finish Name (Short)]])</f>
        <v>0_0_0</v>
      </c>
      <c r="E96">
        <f>_xlfn.XLOOKUP(Table4[[#This Row],[Base System]],BASE_SYSTEM_TABLE[System Name],BASE_SYSTEM_TABLE[System Name (Short)],FALSE)</f>
        <v>0</v>
      </c>
      <c r="F96">
        <f>_xlfn.XLOOKUP(Table4[[#This Row],[Base System]],BASE_SYSTEM_TABLE[System Name],BASE_SYSTEM_TABLE[System Type],FALSE)</f>
        <v>0</v>
      </c>
      <c r="G96">
        <f>_xlfn.XLOOKUP(Table4[[#This Row],[Base System]],BASE_SYSTEM_TABLE[System Name],BASE_SYSTEM_TABLE[System Subtype],FALSE)</f>
        <v>0</v>
      </c>
      <c r="H96">
        <f>_xlfn.XLOOKUP(Table4[[#This Row],[Base System]],BASE_SYSTEM_TABLE[System Name],BASE_SYSTEM_TABLE[Construction Type (Framed or Planar)],FALSE)</f>
        <v>0</v>
      </c>
      <c r="I96" t="e">
        <f>GETPIVOTDATA("Sum of A1-A3 Fossil kg CO2e/m^2 wall area",'COMPONENT PIVOT REF'!$A$3,"System Name",Table4[[#This Row],[Base System]])</f>
        <v>#REF!</v>
      </c>
      <c r="J96" t="e">
        <f>GETPIVOTDATA("Sum of  R value (m^2-K/W)",'COMPONENT PIVOT REF'!$A$3,"System Name",Table4[[#This Row],[Base System]])</f>
        <v>#REF!</v>
      </c>
      <c r="K96" t="e">
        <f>GETPIVOTDATA("Sum of Total Mass per m^2 (kg)",'COMPONENT PIVOT REF'!$A$3,"System Name",Table4[[#This Row],[Base System]])</f>
        <v>#REF!</v>
      </c>
      <c r="M96">
        <f>_xlfn.XLOOKUP(Table4[[#This Row],[Ext Finish]],Master_Table4[System Name],Master_Table4[System Name (Short)],FALSE)</f>
        <v>0</v>
      </c>
      <c r="N96">
        <f>_xlfn.XLOOKUP(Table4[[#This Row],[Ext Finish]],Master_Table4[System Name],Master_Table4[Compatible Systems],FALSE)</f>
        <v>0</v>
      </c>
      <c r="O96" t="str">
        <f>IF(ISNUMBER(SEARCH(Table4[[#This Row],[MMC Method]],Table4[[#This Row],[Compatible Systems]])),"YES","NO")</f>
        <v>YES</v>
      </c>
      <c r="P96" t="e">
        <f>GETPIVOTDATA("Sum of A1-A3 Fossil kg CO2e/m^2 wall area",'COMPONENT PIVOT REF'!$I$3,"System Name",Table4[[#This Row],[Ext Finish]])</f>
        <v>#REF!</v>
      </c>
      <c r="Q96" t="e">
        <f>GETPIVOTDATA("Sum of  R value (m^2-K/W)",'COMPONENT PIVOT REF'!$I$3,"System Name",Table4[[#This Row],[Ext Finish]])</f>
        <v>#REF!</v>
      </c>
      <c r="R96" t="e">
        <f>GETPIVOTDATA("Sum of Total Mass per m^2 (kg)",'COMPONENT PIVOT REF'!$I$3,"System Name",Table4[[#This Row],[Ext Finish]])</f>
        <v>#REF!</v>
      </c>
      <c r="T96">
        <f>_xlfn.XLOOKUP(Table4[[#This Row],[Int Finish]],Master_Table6[System Name],Master_Table6[System Name (Short)],FALSE)</f>
        <v>0</v>
      </c>
      <c r="U96" t="e">
        <f>GETPIVOTDATA("Sum of A1-A3 Fossil kg CO2e/m^2 wall area",'COMPONENT PIVOT REF'!$P$3,"System Name",Table4[[#This Row],[Int Finish]])</f>
        <v>#REF!</v>
      </c>
      <c r="V96" t="e">
        <f>GETPIVOTDATA("Sum of  R value (m^2-K/W)",'COMPONENT PIVOT REF'!$P$3,"System Name",Table4[[#This Row],[Int Finish]])</f>
        <v>#REF!</v>
      </c>
      <c r="W96" t="e">
        <f>GETPIVOTDATA("Sum of Total Mass per m^2 (kg)",'COMPONENT PIVOT REF'!$P$3,"System Name",Table4[[#This Row],[Int Finish]])</f>
        <v>#REF!</v>
      </c>
      <c r="X96" t="e">
        <f>Table4[[#This Row],[Ext Finish GWP]]+Table4[[#This Row],[Base GWP]]+Table4[[#This Row],[Int Finish GWP]]</f>
        <v>#REF!</v>
      </c>
      <c r="Y96" t="e">
        <f>Table4[[#This Row],[Ext Finish R Value]]+Table4[[#This Row],[Base R Value]]+Table4[[#This Row],[Int Finish R Value]]</f>
        <v>#REF!</v>
      </c>
      <c r="Z96" t="e">
        <f>1/Table4[[#This Row],[Total R value]]</f>
        <v>#REF!</v>
      </c>
      <c r="AA96" t="e">
        <f>Table4[[#This Row],[Int Finish Mass]]+Table4[[#This Row],[Ext Finish Mass]]+Table4[[#This Row],[Base Mass]]</f>
        <v>#REF!</v>
      </c>
    </row>
    <row r="97" spans="3:27" x14ac:dyDescent="0.35">
      <c r="C97" t="str">
        <f>_xlfn.CONCAT(Table4[[#This Row],[System Name (Short)]],"_",Table4[[#This Row],[Ext Finish Name (Short)]],"_",Table4[[#This Row],[Int Finish Name (Short)]])</f>
        <v>0_0_0</v>
      </c>
      <c r="E97">
        <f>_xlfn.XLOOKUP(Table4[[#This Row],[Base System]],BASE_SYSTEM_TABLE[System Name],BASE_SYSTEM_TABLE[System Name (Short)],FALSE)</f>
        <v>0</v>
      </c>
      <c r="F97">
        <f>_xlfn.XLOOKUP(Table4[[#This Row],[Base System]],BASE_SYSTEM_TABLE[System Name],BASE_SYSTEM_TABLE[System Type],FALSE)</f>
        <v>0</v>
      </c>
      <c r="G97">
        <f>_xlfn.XLOOKUP(Table4[[#This Row],[Base System]],BASE_SYSTEM_TABLE[System Name],BASE_SYSTEM_TABLE[System Subtype],FALSE)</f>
        <v>0</v>
      </c>
      <c r="H97">
        <f>_xlfn.XLOOKUP(Table4[[#This Row],[Base System]],BASE_SYSTEM_TABLE[System Name],BASE_SYSTEM_TABLE[Construction Type (Framed or Planar)],FALSE)</f>
        <v>0</v>
      </c>
      <c r="I97" t="e">
        <f>GETPIVOTDATA("Sum of A1-A3 Fossil kg CO2e/m^2 wall area",'COMPONENT PIVOT REF'!$A$3,"System Name",Table4[[#This Row],[Base System]])</f>
        <v>#REF!</v>
      </c>
      <c r="J97" t="e">
        <f>GETPIVOTDATA("Sum of  R value (m^2-K/W)",'COMPONENT PIVOT REF'!$A$3,"System Name",Table4[[#This Row],[Base System]])</f>
        <v>#REF!</v>
      </c>
      <c r="K97" t="e">
        <f>GETPIVOTDATA("Sum of Total Mass per m^2 (kg)",'COMPONENT PIVOT REF'!$A$3,"System Name",Table4[[#This Row],[Base System]])</f>
        <v>#REF!</v>
      </c>
      <c r="M97">
        <f>_xlfn.XLOOKUP(Table4[[#This Row],[Ext Finish]],Master_Table4[System Name],Master_Table4[System Name (Short)],FALSE)</f>
        <v>0</v>
      </c>
      <c r="N97">
        <f>_xlfn.XLOOKUP(Table4[[#This Row],[Ext Finish]],Master_Table4[System Name],Master_Table4[Compatible Systems],FALSE)</f>
        <v>0</v>
      </c>
      <c r="O97" t="str">
        <f>IF(ISNUMBER(SEARCH(Table4[[#This Row],[MMC Method]],Table4[[#This Row],[Compatible Systems]])),"YES","NO")</f>
        <v>YES</v>
      </c>
      <c r="P97" t="e">
        <f>GETPIVOTDATA("Sum of A1-A3 Fossil kg CO2e/m^2 wall area",'COMPONENT PIVOT REF'!$I$3,"System Name",Table4[[#This Row],[Ext Finish]])</f>
        <v>#REF!</v>
      </c>
      <c r="Q97" t="e">
        <f>GETPIVOTDATA("Sum of  R value (m^2-K/W)",'COMPONENT PIVOT REF'!$I$3,"System Name",Table4[[#This Row],[Ext Finish]])</f>
        <v>#REF!</v>
      </c>
      <c r="R97" t="e">
        <f>GETPIVOTDATA("Sum of Total Mass per m^2 (kg)",'COMPONENT PIVOT REF'!$I$3,"System Name",Table4[[#This Row],[Ext Finish]])</f>
        <v>#REF!</v>
      </c>
      <c r="T97">
        <f>_xlfn.XLOOKUP(Table4[[#This Row],[Int Finish]],Master_Table6[System Name],Master_Table6[System Name (Short)],FALSE)</f>
        <v>0</v>
      </c>
      <c r="U97" t="e">
        <f>GETPIVOTDATA("Sum of A1-A3 Fossil kg CO2e/m^2 wall area",'COMPONENT PIVOT REF'!$P$3,"System Name",Table4[[#This Row],[Int Finish]])</f>
        <v>#REF!</v>
      </c>
      <c r="V97" t="e">
        <f>GETPIVOTDATA("Sum of  R value (m^2-K/W)",'COMPONENT PIVOT REF'!$P$3,"System Name",Table4[[#This Row],[Int Finish]])</f>
        <v>#REF!</v>
      </c>
      <c r="W97" t="e">
        <f>GETPIVOTDATA("Sum of Total Mass per m^2 (kg)",'COMPONENT PIVOT REF'!$P$3,"System Name",Table4[[#This Row],[Int Finish]])</f>
        <v>#REF!</v>
      </c>
      <c r="X97" t="e">
        <f>Table4[[#This Row],[Ext Finish GWP]]+Table4[[#This Row],[Base GWP]]+Table4[[#This Row],[Int Finish GWP]]</f>
        <v>#REF!</v>
      </c>
      <c r="Y97" t="e">
        <f>Table4[[#This Row],[Ext Finish R Value]]+Table4[[#This Row],[Base R Value]]+Table4[[#This Row],[Int Finish R Value]]</f>
        <v>#REF!</v>
      </c>
      <c r="Z97" t="e">
        <f>1/Table4[[#This Row],[Total R value]]</f>
        <v>#REF!</v>
      </c>
      <c r="AA97" t="e">
        <f>Table4[[#This Row],[Int Finish Mass]]+Table4[[#This Row],[Ext Finish Mass]]+Table4[[#This Row],[Base Mass]]</f>
        <v>#REF!</v>
      </c>
    </row>
    <row r="98" spans="3:27" x14ac:dyDescent="0.35">
      <c r="C98" t="str">
        <f>_xlfn.CONCAT(Table4[[#This Row],[System Name (Short)]],"_",Table4[[#This Row],[Ext Finish Name (Short)]],"_",Table4[[#This Row],[Int Finish Name (Short)]])</f>
        <v>0_0_0</v>
      </c>
      <c r="E98">
        <f>_xlfn.XLOOKUP(Table4[[#This Row],[Base System]],BASE_SYSTEM_TABLE[System Name],BASE_SYSTEM_TABLE[System Name (Short)],FALSE)</f>
        <v>0</v>
      </c>
      <c r="F98">
        <f>_xlfn.XLOOKUP(Table4[[#This Row],[Base System]],BASE_SYSTEM_TABLE[System Name],BASE_SYSTEM_TABLE[System Type],FALSE)</f>
        <v>0</v>
      </c>
      <c r="G98">
        <f>_xlfn.XLOOKUP(Table4[[#This Row],[Base System]],BASE_SYSTEM_TABLE[System Name],BASE_SYSTEM_TABLE[System Subtype],FALSE)</f>
        <v>0</v>
      </c>
      <c r="H98">
        <f>_xlfn.XLOOKUP(Table4[[#This Row],[Base System]],BASE_SYSTEM_TABLE[System Name],BASE_SYSTEM_TABLE[Construction Type (Framed or Planar)],FALSE)</f>
        <v>0</v>
      </c>
      <c r="I98" t="e">
        <f>GETPIVOTDATA("Sum of A1-A3 Fossil kg CO2e/m^2 wall area",'COMPONENT PIVOT REF'!$A$3,"System Name",Table4[[#This Row],[Base System]])</f>
        <v>#REF!</v>
      </c>
      <c r="J98" t="e">
        <f>GETPIVOTDATA("Sum of  R value (m^2-K/W)",'COMPONENT PIVOT REF'!$A$3,"System Name",Table4[[#This Row],[Base System]])</f>
        <v>#REF!</v>
      </c>
      <c r="K98" t="e">
        <f>GETPIVOTDATA("Sum of Total Mass per m^2 (kg)",'COMPONENT PIVOT REF'!$A$3,"System Name",Table4[[#This Row],[Base System]])</f>
        <v>#REF!</v>
      </c>
      <c r="M98">
        <f>_xlfn.XLOOKUP(Table4[[#This Row],[Ext Finish]],Master_Table4[System Name],Master_Table4[System Name (Short)],FALSE)</f>
        <v>0</v>
      </c>
      <c r="N98">
        <f>_xlfn.XLOOKUP(Table4[[#This Row],[Ext Finish]],Master_Table4[System Name],Master_Table4[Compatible Systems],FALSE)</f>
        <v>0</v>
      </c>
      <c r="O98" t="str">
        <f>IF(ISNUMBER(SEARCH(Table4[[#This Row],[MMC Method]],Table4[[#This Row],[Compatible Systems]])),"YES","NO")</f>
        <v>YES</v>
      </c>
      <c r="P98" t="e">
        <f>GETPIVOTDATA("Sum of A1-A3 Fossil kg CO2e/m^2 wall area",'COMPONENT PIVOT REF'!$I$3,"System Name",Table4[[#This Row],[Ext Finish]])</f>
        <v>#REF!</v>
      </c>
      <c r="Q98" t="e">
        <f>GETPIVOTDATA("Sum of  R value (m^2-K/W)",'COMPONENT PIVOT REF'!$I$3,"System Name",Table4[[#This Row],[Ext Finish]])</f>
        <v>#REF!</v>
      </c>
      <c r="R98" t="e">
        <f>GETPIVOTDATA("Sum of Total Mass per m^2 (kg)",'COMPONENT PIVOT REF'!$I$3,"System Name",Table4[[#This Row],[Ext Finish]])</f>
        <v>#REF!</v>
      </c>
      <c r="T98">
        <f>_xlfn.XLOOKUP(Table4[[#This Row],[Int Finish]],Master_Table6[System Name],Master_Table6[System Name (Short)],FALSE)</f>
        <v>0</v>
      </c>
      <c r="U98" t="e">
        <f>GETPIVOTDATA("Sum of A1-A3 Fossil kg CO2e/m^2 wall area",'COMPONENT PIVOT REF'!$P$3,"System Name",Table4[[#This Row],[Int Finish]])</f>
        <v>#REF!</v>
      </c>
      <c r="V98" t="e">
        <f>GETPIVOTDATA("Sum of  R value (m^2-K/W)",'COMPONENT PIVOT REF'!$P$3,"System Name",Table4[[#This Row],[Int Finish]])</f>
        <v>#REF!</v>
      </c>
      <c r="W98" t="e">
        <f>GETPIVOTDATA("Sum of Total Mass per m^2 (kg)",'COMPONENT PIVOT REF'!$P$3,"System Name",Table4[[#This Row],[Int Finish]])</f>
        <v>#REF!</v>
      </c>
      <c r="X98" t="e">
        <f>Table4[[#This Row],[Ext Finish GWP]]+Table4[[#This Row],[Base GWP]]+Table4[[#This Row],[Int Finish GWP]]</f>
        <v>#REF!</v>
      </c>
      <c r="Y98" t="e">
        <f>Table4[[#This Row],[Ext Finish R Value]]+Table4[[#This Row],[Base R Value]]+Table4[[#This Row],[Int Finish R Value]]</f>
        <v>#REF!</v>
      </c>
      <c r="Z98" t="e">
        <f>1/Table4[[#This Row],[Total R value]]</f>
        <v>#REF!</v>
      </c>
      <c r="AA98" t="e">
        <f>Table4[[#This Row],[Int Finish Mass]]+Table4[[#This Row],[Ext Finish Mass]]+Table4[[#This Row],[Base Mass]]</f>
        <v>#REF!</v>
      </c>
    </row>
    <row r="99" spans="3:27" x14ac:dyDescent="0.35">
      <c r="C99" t="str">
        <f>_xlfn.CONCAT(Table4[[#This Row],[System Name (Short)]],"_",Table4[[#This Row],[Ext Finish Name (Short)]],"_",Table4[[#This Row],[Int Finish Name (Short)]])</f>
        <v>0_0_0</v>
      </c>
      <c r="E99">
        <f>_xlfn.XLOOKUP(Table4[[#This Row],[Base System]],BASE_SYSTEM_TABLE[System Name],BASE_SYSTEM_TABLE[System Name (Short)],FALSE)</f>
        <v>0</v>
      </c>
      <c r="F99">
        <f>_xlfn.XLOOKUP(Table4[[#This Row],[Base System]],BASE_SYSTEM_TABLE[System Name],BASE_SYSTEM_TABLE[System Type],FALSE)</f>
        <v>0</v>
      </c>
      <c r="G99">
        <f>_xlfn.XLOOKUP(Table4[[#This Row],[Base System]],BASE_SYSTEM_TABLE[System Name],BASE_SYSTEM_TABLE[System Subtype],FALSE)</f>
        <v>0</v>
      </c>
      <c r="H99">
        <f>_xlfn.XLOOKUP(Table4[[#This Row],[Base System]],BASE_SYSTEM_TABLE[System Name],BASE_SYSTEM_TABLE[Construction Type (Framed or Planar)],FALSE)</f>
        <v>0</v>
      </c>
      <c r="I99" t="e">
        <f>GETPIVOTDATA("Sum of A1-A3 Fossil kg CO2e/m^2 wall area",'COMPONENT PIVOT REF'!$A$3,"System Name",Table4[[#This Row],[Base System]])</f>
        <v>#REF!</v>
      </c>
      <c r="J99" t="e">
        <f>GETPIVOTDATA("Sum of  R value (m^2-K/W)",'COMPONENT PIVOT REF'!$A$3,"System Name",Table4[[#This Row],[Base System]])</f>
        <v>#REF!</v>
      </c>
      <c r="K99" t="e">
        <f>GETPIVOTDATA("Sum of Total Mass per m^2 (kg)",'COMPONENT PIVOT REF'!$A$3,"System Name",Table4[[#This Row],[Base System]])</f>
        <v>#REF!</v>
      </c>
      <c r="M99">
        <f>_xlfn.XLOOKUP(Table4[[#This Row],[Ext Finish]],Master_Table4[System Name],Master_Table4[System Name (Short)],FALSE)</f>
        <v>0</v>
      </c>
      <c r="N99">
        <f>_xlfn.XLOOKUP(Table4[[#This Row],[Ext Finish]],Master_Table4[System Name],Master_Table4[Compatible Systems],FALSE)</f>
        <v>0</v>
      </c>
      <c r="O99" t="str">
        <f>IF(ISNUMBER(SEARCH(Table4[[#This Row],[MMC Method]],Table4[[#This Row],[Compatible Systems]])),"YES","NO")</f>
        <v>YES</v>
      </c>
      <c r="P99" t="e">
        <f>GETPIVOTDATA("Sum of A1-A3 Fossil kg CO2e/m^2 wall area",'COMPONENT PIVOT REF'!$I$3,"System Name",Table4[[#This Row],[Ext Finish]])</f>
        <v>#REF!</v>
      </c>
      <c r="Q99" t="e">
        <f>GETPIVOTDATA("Sum of  R value (m^2-K/W)",'COMPONENT PIVOT REF'!$I$3,"System Name",Table4[[#This Row],[Ext Finish]])</f>
        <v>#REF!</v>
      </c>
      <c r="R99" t="e">
        <f>GETPIVOTDATA("Sum of Total Mass per m^2 (kg)",'COMPONENT PIVOT REF'!$I$3,"System Name",Table4[[#This Row],[Ext Finish]])</f>
        <v>#REF!</v>
      </c>
      <c r="T99">
        <f>_xlfn.XLOOKUP(Table4[[#This Row],[Int Finish]],Master_Table6[System Name],Master_Table6[System Name (Short)],FALSE)</f>
        <v>0</v>
      </c>
      <c r="U99" t="e">
        <f>GETPIVOTDATA("Sum of A1-A3 Fossil kg CO2e/m^2 wall area",'COMPONENT PIVOT REF'!$P$3,"System Name",Table4[[#This Row],[Int Finish]])</f>
        <v>#REF!</v>
      </c>
      <c r="V99" t="e">
        <f>GETPIVOTDATA("Sum of  R value (m^2-K/W)",'COMPONENT PIVOT REF'!$P$3,"System Name",Table4[[#This Row],[Int Finish]])</f>
        <v>#REF!</v>
      </c>
      <c r="W99" t="e">
        <f>GETPIVOTDATA("Sum of Total Mass per m^2 (kg)",'COMPONENT PIVOT REF'!$P$3,"System Name",Table4[[#This Row],[Int Finish]])</f>
        <v>#REF!</v>
      </c>
      <c r="X99" t="e">
        <f>Table4[[#This Row],[Ext Finish GWP]]+Table4[[#This Row],[Base GWP]]+Table4[[#This Row],[Int Finish GWP]]</f>
        <v>#REF!</v>
      </c>
      <c r="Y99" t="e">
        <f>Table4[[#This Row],[Ext Finish R Value]]+Table4[[#This Row],[Base R Value]]+Table4[[#This Row],[Int Finish R Value]]</f>
        <v>#REF!</v>
      </c>
      <c r="Z99" t="e">
        <f>1/Table4[[#This Row],[Total R value]]</f>
        <v>#REF!</v>
      </c>
      <c r="AA99" t="e">
        <f>Table4[[#This Row],[Int Finish Mass]]+Table4[[#This Row],[Ext Finish Mass]]+Table4[[#This Row],[Base Mass]]</f>
        <v>#REF!</v>
      </c>
    </row>
    <row r="100" spans="3:27" x14ac:dyDescent="0.35">
      <c r="C100" t="str">
        <f>_xlfn.CONCAT(Table4[[#This Row],[System Name (Short)]],"_",Table4[[#This Row],[Ext Finish Name (Short)]],"_",Table4[[#This Row],[Int Finish Name (Short)]])</f>
        <v>0_0_0</v>
      </c>
      <c r="E100">
        <f>_xlfn.XLOOKUP(Table4[[#This Row],[Base System]],BASE_SYSTEM_TABLE[System Name],BASE_SYSTEM_TABLE[System Name (Short)],FALSE)</f>
        <v>0</v>
      </c>
      <c r="F100">
        <f>_xlfn.XLOOKUP(Table4[[#This Row],[Base System]],BASE_SYSTEM_TABLE[System Name],BASE_SYSTEM_TABLE[System Type],FALSE)</f>
        <v>0</v>
      </c>
      <c r="G100">
        <f>_xlfn.XLOOKUP(Table4[[#This Row],[Base System]],BASE_SYSTEM_TABLE[System Name],BASE_SYSTEM_TABLE[System Subtype],FALSE)</f>
        <v>0</v>
      </c>
      <c r="H100">
        <f>_xlfn.XLOOKUP(Table4[[#This Row],[Base System]],BASE_SYSTEM_TABLE[System Name],BASE_SYSTEM_TABLE[Construction Type (Framed or Planar)],FALSE)</f>
        <v>0</v>
      </c>
      <c r="I100" t="e">
        <f>GETPIVOTDATA("Sum of A1-A3 Fossil kg CO2e/m^2 wall area",'COMPONENT PIVOT REF'!$A$3,"System Name",Table4[[#This Row],[Base System]])</f>
        <v>#REF!</v>
      </c>
      <c r="J100" t="e">
        <f>GETPIVOTDATA("Sum of  R value (m^2-K/W)",'COMPONENT PIVOT REF'!$A$3,"System Name",Table4[[#This Row],[Base System]])</f>
        <v>#REF!</v>
      </c>
      <c r="K100" t="e">
        <f>GETPIVOTDATA("Sum of Total Mass per m^2 (kg)",'COMPONENT PIVOT REF'!$A$3,"System Name",Table4[[#This Row],[Base System]])</f>
        <v>#REF!</v>
      </c>
      <c r="M100">
        <f>_xlfn.XLOOKUP(Table4[[#This Row],[Ext Finish]],Master_Table4[System Name],Master_Table4[System Name (Short)],FALSE)</f>
        <v>0</v>
      </c>
      <c r="N100">
        <f>_xlfn.XLOOKUP(Table4[[#This Row],[Ext Finish]],Master_Table4[System Name],Master_Table4[Compatible Systems],FALSE)</f>
        <v>0</v>
      </c>
      <c r="O100" t="str">
        <f>IF(ISNUMBER(SEARCH(Table4[[#This Row],[MMC Method]],Table4[[#This Row],[Compatible Systems]])),"YES","NO")</f>
        <v>YES</v>
      </c>
      <c r="P100" t="e">
        <f>GETPIVOTDATA("Sum of A1-A3 Fossil kg CO2e/m^2 wall area",'COMPONENT PIVOT REF'!$I$3,"System Name",Table4[[#This Row],[Ext Finish]])</f>
        <v>#REF!</v>
      </c>
      <c r="Q100" t="e">
        <f>GETPIVOTDATA("Sum of  R value (m^2-K/W)",'COMPONENT PIVOT REF'!$I$3,"System Name",Table4[[#This Row],[Ext Finish]])</f>
        <v>#REF!</v>
      </c>
      <c r="R100" t="e">
        <f>GETPIVOTDATA("Sum of Total Mass per m^2 (kg)",'COMPONENT PIVOT REF'!$I$3,"System Name",Table4[[#This Row],[Ext Finish]])</f>
        <v>#REF!</v>
      </c>
      <c r="T100">
        <f>_xlfn.XLOOKUP(Table4[[#This Row],[Int Finish]],Master_Table6[System Name],Master_Table6[System Name (Short)],FALSE)</f>
        <v>0</v>
      </c>
      <c r="U100" t="e">
        <f>GETPIVOTDATA("Sum of A1-A3 Fossil kg CO2e/m^2 wall area",'COMPONENT PIVOT REF'!$P$3,"System Name",Table4[[#This Row],[Int Finish]])</f>
        <v>#REF!</v>
      </c>
      <c r="V100" t="e">
        <f>GETPIVOTDATA("Sum of  R value (m^2-K/W)",'COMPONENT PIVOT REF'!$P$3,"System Name",Table4[[#This Row],[Int Finish]])</f>
        <v>#REF!</v>
      </c>
      <c r="W100" t="e">
        <f>GETPIVOTDATA("Sum of Total Mass per m^2 (kg)",'COMPONENT PIVOT REF'!$P$3,"System Name",Table4[[#This Row],[Int Finish]])</f>
        <v>#REF!</v>
      </c>
      <c r="X100" t="e">
        <f>Table4[[#This Row],[Ext Finish GWP]]+Table4[[#This Row],[Base GWP]]+Table4[[#This Row],[Int Finish GWP]]</f>
        <v>#REF!</v>
      </c>
      <c r="Y100" t="e">
        <f>Table4[[#This Row],[Ext Finish R Value]]+Table4[[#This Row],[Base R Value]]+Table4[[#This Row],[Int Finish R Value]]</f>
        <v>#REF!</v>
      </c>
      <c r="Z100" t="e">
        <f>1/Table4[[#This Row],[Total R value]]</f>
        <v>#REF!</v>
      </c>
      <c r="AA100" t="e">
        <f>Table4[[#This Row],[Int Finish Mass]]+Table4[[#This Row],[Ext Finish Mass]]+Table4[[#This Row],[Base Mass]]</f>
        <v>#REF!</v>
      </c>
    </row>
    <row r="101" spans="3:27" x14ac:dyDescent="0.35">
      <c r="C101" t="str">
        <f>_xlfn.CONCAT(Table4[[#This Row],[System Name (Short)]],"_",Table4[[#This Row],[Ext Finish Name (Short)]],"_",Table4[[#This Row],[Int Finish Name (Short)]])</f>
        <v>0_0_0</v>
      </c>
      <c r="E101">
        <f>_xlfn.XLOOKUP(Table4[[#This Row],[Base System]],BASE_SYSTEM_TABLE[System Name],BASE_SYSTEM_TABLE[System Name (Short)],FALSE)</f>
        <v>0</v>
      </c>
      <c r="F101">
        <f>_xlfn.XLOOKUP(Table4[[#This Row],[Base System]],BASE_SYSTEM_TABLE[System Name],BASE_SYSTEM_TABLE[System Type],FALSE)</f>
        <v>0</v>
      </c>
      <c r="G101">
        <f>_xlfn.XLOOKUP(Table4[[#This Row],[Base System]],BASE_SYSTEM_TABLE[System Name],BASE_SYSTEM_TABLE[System Subtype],FALSE)</f>
        <v>0</v>
      </c>
      <c r="H101">
        <f>_xlfn.XLOOKUP(Table4[[#This Row],[Base System]],BASE_SYSTEM_TABLE[System Name],BASE_SYSTEM_TABLE[Construction Type (Framed or Planar)],FALSE)</f>
        <v>0</v>
      </c>
      <c r="I101" t="e">
        <f>GETPIVOTDATA("Sum of A1-A3 Fossil kg CO2e/m^2 wall area",'COMPONENT PIVOT REF'!$A$3,"System Name",Table4[[#This Row],[Base System]])</f>
        <v>#REF!</v>
      </c>
      <c r="J101" t="e">
        <f>GETPIVOTDATA("Sum of  R value (m^2-K/W)",'COMPONENT PIVOT REF'!$A$3,"System Name",Table4[[#This Row],[Base System]])</f>
        <v>#REF!</v>
      </c>
      <c r="K101" t="e">
        <f>GETPIVOTDATA("Sum of Total Mass per m^2 (kg)",'COMPONENT PIVOT REF'!$A$3,"System Name",Table4[[#This Row],[Base System]])</f>
        <v>#REF!</v>
      </c>
      <c r="M101">
        <f>_xlfn.XLOOKUP(Table4[[#This Row],[Ext Finish]],Master_Table4[System Name],Master_Table4[System Name (Short)],FALSE)</f>
        <v>0</v>
      </c>
      <c r="N101">
        <f>_xlfn.XLOOKUP(Table4[[#This Row],[Ext Finish]],Master_Table4[System Name],Master_Table4[Compatible Systems],FALSE)</f>
        <v>0</v>
      </c>
      <c r="O101" t="str">
        <f>IF(ISNUMBER(SEARCH(Table4[[#This Row],[MMC Method]],Table4[[#This Row],[Compatible Systems]])),"YES","NO")</f>
        <v>YES</v>
      </c>
      <c r="P101" t="e">
        <f>GETPIVOTDATA("Sum of A1-A3 Fossil kg CO2e/m^2 wall area",'COMPONENT PIVOT REF'!$I$3,"System Name",Table4[[#This Row],[Ext Finish]])</f>
        <v>#REF!</v>
      </c>
      <c r="Q101" t="e">
        <f>GETPIVOTDATA("Sum of  R value (m^2-K/W)",'COMPONENT PIVOT REF'!$I$3,"System Name",Table4[[#This Row],[Ext Finish]])</f>
        <v>#REF!</v>
      </c>
      <c r="R101" t="e">
        <f>GETPIVOTDATA("Sum of Total Mass per m^2 (kg)",'COMPONENT PIVOT REF'!$I$3,"System Name",Table4[[#This Row],[Ext Finish]])</f>
        <v>#REF!</v>
      </c>
      <c r="T101">
        <f>_xlfn.XLOOKUP(Table4[[#This Row],[Int Finish]],Master_Table6[System Name],Master_Table6[System Name (Short)],FALSE)</f>
        <v>0</v>
      </c>
      <c r="U101" t="e">
        <f>GETPIVOTDATA("Sum of A1-A3 Fossil kg CO2e/m^2 wall area",'COMPONENT PIVOT REF'!$P$3,"System Name",Table4[[#This Row],[Int Finish]])</f>
        <v>#REF!</v>
      </c>
      <c r="V101" t="e">
        <f>GETPIVOTDATA("Sum of  R value (m^2-K/W)",'COMPONENT PIVOT REF'!$P$3,"System Name",Table4[[#This Row],[Int Finish]])</f>
        <v>#REF!</v>
      </c>
      <c r="W101" t="e">
        <f>GETPIVOTDATA("Sum of Total Mass per m^2 (kg)",'COMPONENT PIVOT REF'!$P$3,"System Name",Table4[[#This Row],[Int Finish]])</f>
        <v>#REF!</v>
      </c>
      <c r="X101" t="e">
        <f>Table4[[#This Row],[Ext Finish GWP]]+Table4[[#This Row],[Base GWP]]+Table4[[#This Row],[Int Finish GWP]]</f>
        <v>#REF!</v>
      </c>
      <c r="Y101" t="e">
        <f>Table4[[#This Row],[Ext Finish R Value]]+Table4[[#This Row],[Base R Value]]+Table4[[#This Row],[Int Finish R Value]]</f>
        <v>#REF!</v>
      </c>
      <c r="Z101" t="e">
        <f>1/Table4[[#This Row],[Total R value]]</f>
        <v>#REF!</v>
      </c>
      <c r="AA101" t="e">
        <f>Table4[[#This Row],[Int Finish Mass]]+Table4[[#This Row],[Ext Finish Mass]]+Table4[[#This Row],[Base Mass]]</f>
        <v>#REF!</v>
      </c>
    </row>
    <row r="102" spans="3:27" x14ac:dyDescent="0.35">
      <c r="C102" t="str">
        <f>_xlfn.CONCAT(Table4[[#This Row],[System Name (Short)]],"_",Table4[[#This Row],[Ext Finish Name (Short)]],"_",Table4[[#This Row],[Int Finish Name (Short)]])</f>
        <v>0_0_0</v>
      </c>
      <c r="E102">
        <f>_xlfn.XLOOKUP(Table4[[#This Row],[Base System]],BASE_SYSTEM_TABLE[System Name],BASE_SYSTEM_TABLE[System Name (Short)],FALSE)</f>
        <v>0</v>
      </c>
      <c r="F102">
        <f>_xlfn.XLOOKUP(Table4[[#This Row],[Base System]],BASE_SYSTEM_TABLE[System Name],BASE_SYSTEM_TABLE[System Type],FALSE)</f>
        <v>0</v>
      </c>
      <c r="G102">
        <f>_xlfn.XLOOKUP(Table4[[#This Row],[Base System]],BASE_SYSTEM_TABLE[System Name],BASE_SYSTEM_TABLE[System Subtype],FALSE)</f>
        <v>0</v>
      </c>
      <c r="H102">
        <f>_xlfn.XLOOKUP(Table4[[#This Row],[Base System]],BASE_SYSTEM_TABLE[System Name],BASE_SYSTEM_TABLE[Construction Type (Framed or Planar)],FALSE)</f>
        <v>0</v>
      </c>
      <c r="I102" t="e">
        <f>GETPIVOTDATA("Sum of A1-A3 Fossil kg CO2e/m^2 wall area",'COMPONENT PIVOT REF'!$A$3,"System Name",Table4[[#This Row],[Base System]])</f>
        <v>#REF!</v>
      </c>
      <c r="J102" t="e">
        <f>GETPIVOTDATA("Sum of  R value (m^2-K/W)",'COMPONENT PIVOT REF'!$A$3,"System Name",Table4[[#This Row],[Base System]])</f>
        <v>#REF!</v>
      </c>
      <c r="K102" t="e">
        <f>GETPIVOTDATA("Sum of Total Mass per m^2 (kg)",'COMPONENT PIVOT REF'!$A$3,"System Name",Table4[[#This Row],[Base System]])</f>
        <v>#REF!</v>
      </c>
      <c r="M102">
        <f>_xlfn.XLOOKUP(Table4[[#This Row],[Ext Finish]],Master_Table4[System Name],Master_Table4[System Name (Short)],FALSE)</f>
        <v>0</v>
      </c>
      <c r="N102">
        <f>_xlfn.XLOOKUP(Table4[[#This Row],[Ext Finish]],Master_Table4[System Name],Master_Table4[Compatible Systems],FALSE)</f>
        <v>0</v>
      </c>
      <c r="O102" t="str">
        <f>IF(ISNUMBER(SEARCH(Table4[[#This Row],[MMC Method]],Table4[[#This Row],[Compatible Systems]])),"YES","NO")</f>
        <v>YES</v>
      </c>
      <c r="P102" t="e">
        <f>GETPIVOTDATA("Sum of A1-A3 Fossil kg CO2e/m^2 wall area",'COMPONENT PIVOT REF'!$I$3,"System Name",Table4[[#This Row],[Ext Finish]])</f>
        <v>#REF!</v>
      </c>
      <c r="Q102" t="e">
        <f>GETPIVOTDATA("Sum of  R value (m^2-K/W)",'COMPONENT PIVOT REF'!$I$3,"System Name",Table4[[#This Row],[Ext Finish]])</f>
        <v>#REF!</v>
      </c>
      <c r="R102" t="e">
        <f>GETPIVOTDATA("Sum of Total Mass per m^2 (kg)",'COMPONENT PIVOT REF'!$I$3,"System Name",Table4[[#This Row],[Ext Finish]])</f>
        <v>#REF!</v>
      </c>
      <c r="T102">
        <f>_xlfn.XLOOKUP(Table4[[#This Row],[Int Finish]],Master_Table6[System Name],Master_Table6[System Name (Short)],FALSE)</f>
        <v>0</v>
      </c>
      <c r="U102" t="e">
        <f>GETPIVOTDATA("Sum of A1-A3 Fossil kg CO2e/m^2 wall area",'COMPONENT PIVOT REF'!$P$3,"System Name",Table4[[#This Row],[Int Finish]])</f>
        <v>#REF!</v>
      </c>
      <c r="V102" t="e">
        <f>GETPIVOTDATA("Sum of  R value (m^2-K/W)",'COMPONENT PIVOT REF'!$P$3,"System Name",Table4[[#This Row],[Int Finish]])</f>
        <v>#REF!</v>
      </c>
      <c r="W102" t="e">
        <f>GETPIVOTDATA("Sum of Total Mass per m^2 (kg)",'COMPONENT PIVOT REF'!$P$3,"System Name",Table4[[#This Row],[Int Finish]])</f>
        <v>#REF!</v>
      </c>
      <c r="X102" t="e">
        <f>Table4[[#This Row],[Ext Finish GWP]]+Table4[[#This Row],[Base GWP]]+Table4[[#This Row],[Int Finish GWP]]</f>
        <v>#REF!</v>
      </c>
      <c r="Y102" t="e">
        <f>Table4[[#This Row],[Ext Finish R Value]]+Table4[[#This Row],[Base R Value]]+Table4[[#This Row],[Int Finish R Value]]</f>
        <v>#REF!</v>
      </c>
      <c r="Z102" t="e">
        <f>1/Table4[[#This Row],[Total R value]]</f>
        <v>#REF!</v>
      </c>
      <c r="AA102" t="e">
        <f>Table4[[#This Row],[Int Finish Mass]]+Table4[[#This Row],[Ext Finish Mass]]+Table4[[#This Row],[Base Mass]]</f>
        <v>#REF!</v>
      </c>
    </row>
    <row r="103" spans="3:27" x14ac:dyDescent="0.35">
      <c r="C103" t="str">
        <f>_xlfn.CONCAT(Table4[[#This Row],[System Name (Short)]],"_",Table4[[#This Row],[Ext Finish Name (Short)]],"_",Table4[[#This Row],[Int Finish Name (Short)]])</f>
        <v>0_0_0</v>
      </c>
      <c r="E103">
        <f>_xlfn.XLOOKUP(Table4[[#This Row],[Base System]],BASE_SYSTEM_TABLE[System Name],BASE_SYSTEM_TABLE[System Name (Short)],FALSE)</f>
        <v>0</v>
      </c>
      <c r="F103">
        <f>_xlfn.XLOOKUP(Table4[[#This Row],[Base System]],BASE_SYSTEM_TABLE[System Name],BASE_SYSTEM_TABLE[System Type],FALSE)</f>
        <v>0</v>
      </c>
      <c r="G103">
        <f>_xlfn.XLOOKUP(Table4[[#This Row],[Base System]],BASE_SYSTEM_TABLE[System Name],BASE_SYSTEM_TABLE[System Subtype],FALSE)</f>
        <v>0</v>
      </c>
      <c r="H103">
        <f>_xlfn.XLOOKUP(Table4[[#This Row],[Base System]],BASE_SYSTEM_TABLE[System Name],BASE_SYSTEM_TABLE[Construction Type (Framed or Planar)],FALSE)</f>
        <v>0</v>
      </c>
      <c r="I103" t="e">
        <f>GETPIVOTDATA("Sum of A1-A3 Fossil kg CO2e/m^2 wall area",'COMPONENT PIVOT REF'!$A$3,"System Name",Table4[[#This Row],[Base System]])</f>
        <v>#REF!</v>
      </c>
      <c r="J103" t="e">
        <f>GETPIVOTDATA("Sum of  R value (m^2-K/W)",'COMPONENT PIVOT REF'!$A$3,"System Name",Table4[[#This Row],[Base System]])</f>
        <v>#REF!</v>
      </c>
      <c r="K103" t="e">
        <f>GETPIVOTDATA("Sum of Total Mass per m^2 (kg)",'COMPONENT PIVOT REF'!$A$3,"System Name",Table4[[#This Row],[Base System]])</f>
        <v>#REF!</v>
      </c>
      <c r="M103">
        <f>_xlfn.XLOOKUP(Table4[[#This Row],[Ext Finish]],Master_Table4[System Name],Master_Table4[System Name (Short)],FALSE)</f>
        <v>0</v>
      </c>
      <c r="N103">
        <f>_xlfn.XLOOKUP(Table4[[#This Row],[Ext Finish]],Master_Table4[System Name],Master_Table4[Compatible Systems],FALSE)</f>
        <v>0</v>
      </c>
      <c r="O103" t="str">
        <f>IF(ISNUMBER(SEARCH(Table4[[#This Row],[MMC Method]],Table4[[#This Row],[Compatible Systems]])),"YES","NO")</f>
        <v>YES</v>
      </c>
      <c r="P103" t="e">
        <f>GETPIVOTDATA("Sum of A1-A3 Fossil kg CO2e/m^2 wall area",'COMPONENT PIVOT REF'!$I$3,"System Name",Table4[[#This Row],[Ext Finish]])</f>
        <v>#REF!</v>
      </c>
      <c r="Q103" t="e">
        <f>GETPIVOTDATA("Sum of  R value (m^2-K/W)",'COMPONENT PIVOT REF'!$I$3,"System Name",Table4[[#This Row],[Ext Finish]])</f>
        <v>#REF!</v>
      </c>
      <c r="R103" t="e">
        <f>GETPIVOTDATA("Sum of Total Mass per m^2 (kg)",'COMPONENT PIVOT REF'!$I$3,"System Name",Table4[[#This Row],[Ext Finish]])</f>
        <v>#REF!</v>
      </c>
      <c r="T103">
        <f>_xlfn.XLOOKUP(Table4[[#This Row],[Int Finish]],Master_Table6[System Name],Master_Table6[System Name (Short)],FALSE)</f>
        <v>0</v>
      </c>
      <c r="U103" t="e">
        <f>GETPIVOTDATA("Sum of A1-A3 Fossil kg CO2e/m^2 wall area",'COMPONENT PIVOT REF'!$P$3,"System Name",Table4[[#This Row],[Int Finish]])</f>
        <v>#REF!</v>
      </c>
      <c r="V103" t="e">
        <f>GETPIVOTDATA("Sum of  R value (m^2-K/W)",'COMPONENT PIVOT REF'!$P$3,"System Name",Table4[[#This Row],[Int Finish]])</f>
        <v>#REF!</v>
      </c>
      <c r="W103" t="e">
        <f>GETPIVOTDATA("Sum of Total Mass per m^2 (kg)",'COMPONENT PIVOT REF'!$P$3,"System Name",Table4[[#This Row],[Int Finish]])</f>
        <v>#REF!</v>
      </c>
      <c r="X103" t="e">
        <f>Table4[[#This Row],[Ext Finish GWP]]+Table4[[#This Row],[Base GWP]]+Table4[[#This Row],[Int Finish GWP]]</f>
        <v>#REF!</v>
      </c>
      <c r="Y103" t="e">
        <f>Table4[[#This Row],[Ext Finish R Value]]+Table4[[#This Row],[Base R Value]]+Table4[[#This Row],[Int Finish R Value]]</f>
        <v>#REF!</v>
      </c>
      <c r="Z103" t="e">
        <f>1/Table4[[#This Row],[Total R value]]</f>
        <v>#REF!</v>
      </c>
      <c r="AA103" t="e">
        <f>Table4[[#This Row],[Int Finish Mass]]+Table4[[#This Row],[Ext Finish Mass]]+Table4[[#This Row],[Base Mass]]</f>
        <v>#REF!</v>
      </c>
    </row>
    <row r="104" spans="3:27" x14ac:dyDescent="0.35">
      <c r="C104" t="str">
        <f>_xlfn.CONCAT(Table4[[#This Row],[System Name (Short)]],"_",Table4[[#This Row],[Ext Finish Name (Short)]],"_",Table4[[#This Row],[Int Finish Name (Short)]])</f>
        <v>0_0_0</v>
      </c>
      <c r="E104">
        <f>_xlfn.XLOOKUP(Table4[[#This Row],[Base System]],BASE_SYSTEM_TABLE[System Name],BASE_SYSTEM_TABLE[System Name (Short)],FALSE)</f>
        <v>0</v>
      </c>
      <c r="F104">
        <f>_xlfn.XLOOKUP(Table4[[#This Row],[Base System]],BASE_SYSTEM_TABLE[System Name],BASE_SYSTEM_TABLE[System Type],FALSE)</f>
        <v>0</v>
      </c>
      <c r="G104">
        <f>_xlfn.XLOOKUP(Table4[[#This Row],[Base System]],BASE_SYSTEM_TABLE[System Name],BASE_SYSTEM_TABLE[System Subtype],FALSE)</f>
        <v>0</v>
      </c>
      <c r="H104">
        <f>_xlfn.XLOOKUP(Table4[[#This Row],[Base System]],BASE_SYSTEM_TABLE[System Name],BASE_SYSTEM_TABLE[Construction Type (Framed or Planar)],FALSE)</f>
        <v>0</v>
      </c>
      <c r="I104" t="e">
        <f>GETPIVOTDATA("Sum of A1-A3 Fossil kg CO2e/m^2 wall area",'COMPONENT PIVOT REF'!$A$3,"System Name",Table4[[#This Row],[Base System]])</f>
        <v>#REF!</v>
      </c>
      <c r="J104" t="e">
        <f>GETPIVOTDATA("Sum of  R value (m^2-K/W)",'COMPONENT PIVOT REF'!$A$3,"System Name",Table4[[#This Row],[Base System]])</f>
        <v>#REF!</v>
      </c>
      <c r="K104" t="e">
        <f>GETPIVOTDATA("Sum of Total Mass per m^2 (kg)",'COMPONENT PIVOT REF'!$A$3,"System Name",Table4[[#This Row],[Base System]])</f>
        <v>#REF!</v>
      </c>
      <c r="M104">
        <f>_xlfn.XLOOKUP(Table4[[#This Row],[Ext Finish]],Master_Table4[System Name],Master_Table4[System Name (Short)],FALSE)</f>
        <v>0</v>
      </c>
      <c r="N104">
        <f>_xlfn.XLOOKUP(Table4[[#This Row],[Ext Finish]],Master_Table4[System Name],Master_Table4[Compatible Systems],FALSE)</f>
        <v>0</v>
      </c>
      <c r="O104" t="str">
        <f>IF(ISNUMBER(SEARCH(Table4[[#This Row],[MMC Method]],Table4[[#This Row],[Compatible Systems]])),"YES","NO")</f>
        <v>YES</v>
      </c>
      <c r="P104" t="e">
        <f>GETPIVOTDATA("Sum of A1-A3 Fossil kg CO2e/m^2 wall area",'COMPONENT PIVOT REF'!$I$3,"System Name",Table4[[#This Row],[Ext Finish]])</f>
        <v>#REF!</v>
      </c>
      <c r="Q104" t="e">
        <f>GETPIVOTDATA("Sum of  R value (m^2-K/W)",'COMPONENT PIVOT REF'!$I$3,"System Name",Table4[[#This Row],[Ext Finish]])</f>
        <v>#REF!</v>
      </c>
      <c r="R104" t="e">
        <f>GETPIVOTDATA("Sum of Total Mass per m^2 (kg)",'COMPONENT PIVOT REF'!$I$3,"System Name",Table4[[#This Row],[Ext Finish]])</f>
        <v>#REF!</v>
      </c>
      <c r="T104">
        <f>_xlfn.XLOOKUP(Table4[[#This Row],[Int Finish]],Master_Table6[System Name],Master_Table6[System Name (Short)],FALSE)</f>
        <v>0</v>
      </c>
      <c r="U104" t="e">
        <f>GETPIVOTDATA("Sum of A1-A3 Fossil kg CO2e/m^2 wall area",'COMPONENT PIVOT REF'!$P$3,"System Name",Table4[[#This Row],[Int Finish]])</f>
        <v>#REF!</v>
      </c>
      <c r="V104" t="e">
        <f>GETPIVOTDATA("Sum of  R value (m^2-K/W)",'COMPONENT PIVOT REF'!$P$3,"System Name",Table4[[#This Row],[Int Finish]])</f>
        <v>#REF!</v>
      </c>
      <c r="W104" t="e">
        <f>GETPIVOTDATA("Sum of Total Mass per m^2 (kg)",'COMPONENT PIVOT REF'!$P$3,"System Name",Table4[[#This Row],[Int Finish]])</f>
        <v>#REF!</v>
      </c>
      <c r="X104" t="e">
        <f>Table4[[#This Row],[Ext Finish GWP]]+Table4[[#This Row],[Base GWP]]+Table4[[#This Row],[Int Finish GWP]]</f>
        <v>#REF!</v>
      </c>
      <c r="Y104" t="e">
        <f>Table4[[#This Row],[Ext Finish R Value]]+Table4[[#This Row],[Base R Value]]+Table4[[#This Row],[Int Finish R Value]]</f>
        <v>#REF!</v>
      </c>
      <c r="Z104" t="e">
        <f>1/Table4[[#This Row],[Total R value]]</f>
        <v>#REF!</v>
      </c>
      <c r="AA104" t="e">
        <f>Table4[[#This Row],[Int Finish Mass]]+Table4[[#This Row],[Ext Finish Mass]]+Table4[[#This Row],[Base Mass]]</f>
        <v>#REF!</v>
      </c>
    </row>
    <row r="105" spans="3:27" x14ac:dyDescent="0.35">
      <c r="C105" t="str">
        <f>_xlfn.CONCAT(Table4[[#This Row],[System Name (Short)]],"_",Table4[[#This Row],[Ext Finish Name (Short)]],"_",Table4[[#This Row],[Int Finish Name (Short)]])</f>
        <v>0_0_0</v>
      </c>
      <c r="E105">
        <f>_xlfn.XLOOKUP(Table4[[#This Row],[Base System]],BASE_SYSTEM_TABLE[System Name],BASE_SYSTEM_TABLE[System Name (Short)],FALSE)</f>
        <v>0</v>
      </c>
      <c r="F105">
        <f>_xlfn.XLOOKUP(Table4[[#This Row],[Base System]],BASE_SYSTEM_TABLE[System Name],BASE_SYSTEM_TABLE[System Type],FALSE)</f>
        <v>0</v>
      </c>
      <c r="G105">
        <f>_xlfn.XLOOKUP(Table4[[#This Row],[Base System]],BASE_SYSTEM_TABLE[System Name],BASE_SYSTEM_TABLE[System Subtype],FALSE)</f>
        <v>0</v>
      </c>
      <c r="H105">
        <f>_xlfn.XLOOKUP(Table4[[#This Row],[Base System]],BASE_SYSTEM_TABLE[System Name],BASE_SYSTEM_TABLE[Construction Type (Framed or Planar)],FALSE)</f>
        <v>0</v>
      </c>
      <c r="I105" t="e">
        <f>GETPIVOTDATA("Sum of A1-A3 Fossil kg CO2e/m^2 wall area",'COMPONENT PIVOT REF'!$A$3,"System Name",Table4[[#This Row],[Base System]])</f>
        <v>#REF!</v>
      </c>
      <c r="J105" t="e">
        <f>GETPIVOTDATA("Sum of  R value (m^2-K/W)",'COMPONENT PIVOT REF'!$A$3,"System Name",Table4[[#This Row],[Base System]])</f>
        <v>#REF!</v>
      </c>
      <c r="K105" t="e">
        <f>GETPIVOTDATA("Sum of Total Mass per m^2 (kg)",'COMPONENT PIVOT REF'!$A$3,"System Name",Table4[[#This Row],[Base System]])</f>
        <v>#REF!</v>
      </c>
      <c r="M105">
        <f>_xlfn.XLOOKUP(Table4[[#This Row],[Ext Finish]],Master_Table4[System Name],Master_Table4[System Name (Short)],FALSE)</f>
        <v>0</v>
      </c>
      <c r="N105">
        <f>_xlfn.XLOOKUP(Table4[[#This Row],[Ext Finish]],Master_Table4[System Name],Master_Table4[Compatible Systems],FALSE)</f>
        <v>0</v>
      </c>
      <c r="O105" t="str">
        <f>IF(ISNUMBER(SEARCH(Table4[[#This Row],[MMC Method]],Table4[[#This Row],[Compatible Systems]])),"YES","NO")</f>
        <v>YES</v>
      </c>
      <c r="P105" t="e">
        <f>GETPIVOTDATA("Sum of A1-A3 Fossil kg CO2e/m^2 wall area",'COMPONENT PIVOT REF'!$I$3,"System Name",Table4[[#This Row],[Ext Finish]])</f>
        <v>#REF!</v>
      </c>
      <c r="Q105" t="e">
        <f>GETPIVOTDATA("Sum of  R value (m^2-K/W)",'COMPONENT PIVOT REF'!$I$3,"System Name",Table4[[#This Row],[Ext Finish]])</f>
        <v>#REF!</v>
      </c>
      <c r="R105" t="e">
        <f>GETPIVOTDATA("Sum of Total Mass per m^2 (kg)",'COMPONENT PIVOT REF'!$I$3,"System Name",Table4[[#This Row],[Ext Finish]])</f>
        <v>#REF!</v>
      </c>
      <c r="T105">
        <f>_xlfn.XLOOKUP(Table4[[#This Row],[Int Finish]],Master_Table6[System Name],Master_Table6[System Name (Short)],FALSE)</f>
        <v>0</v>
      </c>
      <c r="U105" t="e">
        <f>GETPIVOTDATA("Sum of A1-A3 Fossil kg CO2e/m^2 wall area",'COMPONENT PIVOT REF'!$P$3,"System Name",Table4[[#This Row],[Int Finish]])</f>
        <v>#REF!</v>
      </c>
      <c r="V105" t="e">
        <f>GETPIVOTDATA("Sum of  R value (m^2-K/W)",'COMPONENT PIVOT REF'!$P$3,"System Name",Table4[[#This Row],[Int Finish]])</f>
        <v>#REF!</v>
      </c>
      <c r="W105" t="e">
        <f>GETPIVOTDATA("Sum of Total Mass per m^2 (kg)",'COMPONENT PIVOT REF'!$P$3,"System Name",Table4[[#This Row],[Int Finish]])</f>
        <v>#REF!</v>
      </c>
      <c r="X105" t="e">
        <f>Table4[[#This Row],[Ext Finish GWP]]+Table4[[#This Row],[Base GWP]]+Table4[[#This Row],[Int Finish GWP]]</f>
        <v>#REF!</v>
      </c>
      <c r="Y105" t="e">
        <f>Table4[[#This Row],[Ext Finish R Value]]+Table4[[#This Row],[Base R Value]]+Table4[[#This Row],[Int Finish R Value]]</f>
        <v>#REF!</v>
      </c>
      <c r="Z105" t="e">
        <f>1/Table4[[#This Row],[Total R value]]</f>
        <v>#REF!</v>
      </c>
      <c r="AA105" t="e">
        <f>Table4[[#This Row],[Int Finish Mass]]+Table4[[#This Row],[Ext Finish Mass]]+Table4[[#This Row],[Base Mass]]</f>
        <v>#REF!</v>
      </c>
    </row>
    <row r="106" spans="3:27" x14ac:dyDescent="0.35">
      <c r="C106" t="str">
        <f>_xlfn.CONCAT(Table4[[#This Row],[System Name (Short)]],"_",Table4[[#This Row],[Ext Finish Name (Short)]],"_",Table4[[#This Row],[Int Finish Name (Short)]])</f>
        <v>0_0_0</v>
      </c>
      <c r="E106">
        <f>_xlfn.XLOOKUP(Table4[[#This Row],[Base System]],BASE_SYSTEM_TABLE[System Name],BASE_SYSTEM_TABLE[System Name (Short)],FALSE)</f>
        <v>0</v>
      </c>
      <c r="F106">
        <f>_xlfn.XLOOKUP(Table4[[#This Row],[Base System]],BASE_SYSTEM_TABLE[System Name],BASE_SYSTEM_TABLE[System Type],FALSE)</f>
        <v>0</v>
      </c>
      <c r="G106">
        <f>_xlfn.XLOOKUP(Table4[[#This Row],[Base System]],BASE_SYSTEM_TABLE[System Name],BASE_SYSTEM_TABLE[System Subtype],FALSE)</f>
        <v>0</v>
      </c>
      <c r="H106">
        <f>_xlfn.XLOOKUP(Table4[[#This Row],[Base System]],BASE_SYSTEM_TABLE[System Name],BASE_SYSTEM_TABLE[Construction Type (Framed or Planar)],FALSE)</f>
        <v>0</v>
      </c>
      <c r="I106" t="e">
        <f>GETPIVOTDATA("Sum of A1-A3 Fossil kg CO2e/m^2 wall area",'COMPONENT PIVOT REF'!$A$3,"System Name",Table4[[#This Row],[Base System]])</f>
        <v>#REF!</v>
      </c>
      <c r="J106" t="e">
        <f>GETPIVOTDATA("Sum of  R value (m^2-K/W)",'COMPONENT PIVOT REF'!$A$3,"System Name",Table4[[#This Row],[Base System]])</f>
        <v>#REF!</v>
      </c>
      <c r="K106" t="e">
        <f>GETPIVOTDATA("Sum of Total Mass per m^2 (kg)",'COMPONENT PIVOT REF'!$A$3,"System Name",Table4[[#This Row],[Base System]])</f>
        <v>#REF!</v>
      </c>
      <c r="M106">
        <f>_xlfn.XLOOKUP(Table4[[#This Row],[Ext Finish]],Master_Table4[System Name],Master_Table4[System Name (Short)],FALSE)</f>
        <v>0</v>
      </c>
      <c r="N106">
        <f>_xlfn.XLOOKUP(Table4[[#This Row],[Ext Finish]],Master_Table4[System Name],Master_Table4[Compatible Systems],FALSE)</f>
        <v>0</v>
      </c>
      <c r="O106" t="str">
        <f>IF(ISNUMBER(SEARCH(Table4[[#This Row],[MMC Method]],Table4[[#This Row],[Compatible Systems]])),"YES","NO")</f>
        <v>YES</v>
      </c>
      <c r="P106" t="e">
        <f>GETPIVOTDATA("Sum of A1-A3 Fossil kg CO2e/m^2 wall area",'COMPONENT PIVOT REF'!$I$3,"System Name",Table4[[#This Row],[Ext Finish]])</f>
        <v>#REF!</v>
      </c>
      <c r="Q106" t="e">
        <f>GETPIVOTDATA("Sum of  R value (m^2-K/W)",'COMPONENT PIVOT REF'!$I$3,"System Name",Table4[[#This Row],[Ext Finish]])</f>
        <v>#REF!</v>
      </c>
      <c r="R106" t="e">
        <f>GETPIVOTDATA("Sum of Total Mass per m^2 (kg)",'COMPONENT PIVOT REF'!$I$3,"System Name",Table4[[#This Row],[Ext Finish]])</f>
        <v>#REF!</v>
      </c>
      <c r="T106">
        <f>_xlfn.XLOOKUP(Table4[[#This Row],[Int Finish]],Master_Table6[System Name],Master_Table6[System Name (Short)],FALSE)</f>
        <v>0</v>
      </c>
      <c r="U106" t="e">
        <f>GETPIVOTDATA("Sum of A1-A3 Fossil kg CO2e/m^2 wall area",'COMPONENT PIVOT REF'!$P$3,"System Name",Table4[[#This Row],[Int Finish]])</f>
        <v>#REF!</v>
      </c>
      <c r="V106" t="e">
        <f>GETPIVOTDATA("Sum of  R value (m^2-K/W)",'COMPONENT PIVOT REF'!$P$3,"System Name",Table4[[#This Row],[Int Finish]])</f>
        <v>#REF!</v>
      </c>
      <c r="W106" t="e">
        <f>GETPIVOTDATA("Sum of Total Mass per m^2 (kg)",'COMPONENT PIVOT REF'!$P$3,"System Name",Table4[[#This Row],[Int Finish]])</f>
        <v>#REF!</v>
      </c>
      <c r="X106" t="e">
        <f>Table4[[#This Row],[Ext Finish GWP]]+Table4[[#This Row],[Base GWP]]+Table4[[#This Row],[Int Finish GWP]]</f>
        <v>#REF!</v>
      </c>
      <c r="Y106" t="e">
        <f>Table4[[#This Row],[Ext Finish R Value]]+Table4[[#This Row],[Base R Value]]+Table4[[#This Row],[Int Finish R Value]]</f>
        <v>#REF!</v>
      </c>
      <c r="Z106" t="e">
        <f>1/Table4[[#This Row],[Total R value]]</f>
        <v>#REF!</v>
      </c>
      <c r="AA106" t="e">
        <f>Table4[[#This Row],[Int Finish Mass]]+Table4[[#This Row],[Ext Finish Mass]]+Table4[[#This Row],[Base Mass]]</f>
        <v>#REF!</v>
      </c>
    </row>
    <row r="107" spans="3:27" x14ac:dyDescent="0.35">
      <c r="C107" t="str">
        <f>_xlfn.CONCAT(Table4[[#This Row],[System Name (Short)]],"_",Table4[[#This Row],[Ext Finish Name (Short)]],"_",Table4[[#This Row],[Int Finish Name (Short)]])</f>
        <v>0_0_0</v>
      </c>
      <c r="E107">
        <f>_xlfn.XLOOKUP(Table4[[#This Row],[Base System]],BASE_SYSTEM_TABLE[System Name],BASE_SYSTEM_TABLE[System Name (Short)],FALSE)</f>
        <v>0</v>
      </c>
      <c r="F107">
        <f>_xlfn.XLOOKUP(Table4[[#This Row],[Base System]],BASE_SYSTEM_TABLE[System Name],BASE_SYSTEM_TABLE[System Type],FALSE)</f>
        <v>0</v>
      </c>
      <c r="G107">
        <f>_xlfn.XLOOKUP(Table4[[#This Row],[Base System]],BASE_SYSTEM_TABLE[System Name],BASE_SYSTEM_TABLE[System Subtype],FALSE)</f>
        <v>0</v>
      </c>
      <c r="H107">
        <f>_xlfn.XLOOKUP(Table4[[#This Row],[Base System]],BASE_SYSTEM_TABLE[System Name],BASE_SYSTEM_TABLE[Construction Type (Framed or Planar)],FALSE)</f>
        <v>0</v>
      </c>
      <c r="I107" t="e">
        <f>GETPIVOTDATA("Sum of A1-A3 Fossil kg CO2e/m^2 wall area",'COMPONENT PIVOT REF'!$A$3,"System Name",Table4[[#This Row],[Base System]])</f>
        <v>#REF!</v>
      </c>
      <c r="J107" t="e">
        <f>GETPIVOTDATA("Sum of  R value (m^2-K/W)",'COMPONENT PIVOT REF'!$A$3,"System Name",Table4[[#This Row],[Base System]])</f>
        <v>#REF!</v>
      </c>
      <c r="K107" t="e">
        <f>GETPIVOTDATA("Sum of Total Mass per m^2 (kg)",'COMPONENT PIVOT REF'!$A$3,"System Name",Table4[[#This Row],[Base System]])</f>
        <v>#REF!</v>
      </c>
      <c r="M107">
        <f>_xlfn.XLOOKUP(Table4[[#This Row],[Ext Finish]],Master_Table4[System Name],Master_Table4[System Name (Short)],FALSE)</f>
        <v>0</v>
      </c>
      <c r="N107">
        <f>_xlfn.XLOOKUP(Table4[[#This Row],[Ext Finish]],Master_Table4[System Name],Master_Table4[Compatible Systems],FALSE)</f>
        <v>0</v>
      </c>
      <c r="O107" t="str">
        <f>IF(ISNUMBER(SEARCH(Table4[[#This Row],[MMC Method]],Table4[[#This Row],[Compatible Systems]])),"YES","NO")</f>
        <v>YES</v>
      </c>
      <c r="P107" t="e">
        <f>GETPIVOTDATA("Sum of A1-A3 Fossil kg CO2e/m^2 wall area",'COMPONENT PIVOT REF'!$I$3,"System Name",Table4[[#This Row],[Ext Finish]])</f>
        <v>#REF!</v>
      </c>
      <c r="Q107" t="e">
        <f>GETPIVOTDATA("Sum of  R value (m^2-K/W)",'COMPONENT PIVOT REF'!$I$3,"System Name",Table4[[#This Row],[Ext Finish]])</f>
        <v>#REF!</v>
      </c>
      <c r="R107" t="e">
        <f>GETPIVOTDATA("Sum of Total Mass per m^2 (kg)",'COMPONENT PIVOT REF'!$I$3,"System Name",Table4[[#This Row],[Ext Finish]])</f>
        <v>#REF!</v>
      </c>
      <c r="T107">
        <f>_xlfn.XLOOKUP(Table4[[#This Row],[Int Finish]],Master_Table6[System Name],Master_Table6[System Name (Short)],FALSE)</f>
        <v>0</v>
      </c>
      <c r="U107" t="e">
        <f>GETPIVOTDATA("Sum of A1-A3 Fossil kg CO2e/m^2 wall area",'COMPONENT PIVOT REF'!$P$3,"System Name",Table4[[#This Row],[Int Finish]])</f>
        <v>#REF!</v>
      </c>
      <c r="V107" t="e">
        <f>GETPIVOTDATA("Sum of  R value (m^2-K/W)",'COMPONENT PIVOT REF'!$P$3,"System Name",Table4[[#This Row],[Int Finish]])</f>
        <v>#REF!</v>
      </c>
      <c r="W107" t="e">
        <f>GETPIVOTDATA("Sum of Total Mass per m^2 (kg)",'COMPONENT PIVOT REF'!$P$3,"System Name",Table4[[#This Row],[Int Finish]])</f>
        <v>#REF!</v>
      </c>
      <c r="X107" t="e">
        <f>Table4[[#This Row],[Ext Finish GWP]]+Table4[[#This Row],[Base GWP]]+Table4[[#This Row],[Int Finish GWP]]</f>
        <v>#REF!</v>
      </c>
      <c r="Y107" t="e">
        <f>Table4[[#This Row],[Ext Finish R Value]]+Table4[[#This Row],[Base R Value]]+Table4[[#This Row],[Int Finish R Value]]</f>
        <v>#REF!</v>
      </c>
      <c r="Z107" t="e">
        <f>1/Table4[[#This Row],[Total R value]]</f>
        <v>#REF!</v>
      </c>
      <c r="AA107" t="e">
        <f>Table4[[#This Row],[Int Finish Mass]]+Table4[[#This Row],[Ext Finish Mass]]+Table4[[#This Row],[Base Mass]]</f>
        <v>#REF!</v>
      </c>
    </row>
    <row r="108" spans="3:27" x14ac:dyDescent="0.35">
      <c r="C108" t="str">
        <f>_xlfn.CONCAT(Table4[[#This Row],[System Name (Short)]],"_",Table4[[#This Row],[Ext Finish Name (Short)]],"_",Table4[[#This Row],[Int Finish Name (Short)]])</f>
        <v>0_0_0</v>
      </c>
      <c r="E108">
        <f>_xlfn.XLOOKUP(Table4[[#This Row],[Base System]],BASE_SYSTEM_TABLE[System Name],BASE_SYSTEM_TABLE[System Name (Short)],FALSE)</f>
        <v>0</v>
      </c>
      <c r="F108">
        <f>_xlfn.XLOOKUP(Table4[[#This Row],[Base System]],BASE_SYSTEM_TABLE[System Name],BASE_SYSTEM_TABLE[System Type],FALSE)</f>
        <v>0</v>
      </c>
      <c r="G108">
        <f>_xlfn.XLOOKUP(Table4[[#This Row],[Base System]],BASE_SYSTEM_TABLE[System Name],BASE_SYSTEM_TABLE[System Subtype],FALSE)</f>
        <v>0</v>
      </c>
      <c r="H108">
        <f>_xlfn.XLOOKUP(Table4[[#This Row],[Base System]],BASE_SYSTEM_TABLE[System Name],BASE_SYSTEM_TABLE[Construction Type (Framed or Planar)],FALSE)</f>
        <v>0</v>
      </c>
      <c r="I108" t="e">
        <f>GETPIVOTDATA("Sum of A1-A3 Fossil kg CO2e/m^2 wall area",'COMPONENT PIVOT REF'!$A$3,"System Name",Table4[[#This Row],[Base System]])</f>
        <v>#REF!</v>
      </c>
      <c r="J108" t="e">
        <f>GETPIVOTDATA("Sum of  R value (m^2-K/W)",'COMPONENT PIVOT REF'!$A$3,"System Name",Table4[[#This Row],[Base System]])</f>
        <v>#REF!</v>
      </c>
      <c r="K108" t="e">
        <f>GETPIVOTDATA("Sum of Total Mass per m^2 (kg)",'COMPONENT PIVOT REF'!$A$3,"System Name",Table4[[#This Row],[Base System]])</f>
        <v>#REF!</v>
      </c>
      <c r="M108">
        <f>_xlfn.XLOOKUP(Table4[[#This Row],[Ext Finish]],Master_Table4[System Name],Master_Table4[System Name (Short)],FALSE)</f>
        <v>0</v>
      </c>
      <c r="N108">
        <f>_xlfn.XLOOKUP(Table4[[#This Row],[Ext Finish]],Master_Table4[System Name],Master_Table4[Compatible Systems],FALSE)</f>
        <v>0</v>
      </c>
      <c r="O108" t="str">
        <f>IF(ISNUMBER(SEARCH(Table4[[#This Row],[MMC Method]],Table4[[#This Row],[Compatible Systems]])),"YES","NO")</f>
        <v>YES</v>
      </c>
      <c r="P108" t="e">
        <f>GETPIVOTDATA("Sum of A1-A3 Fossil kg CO2e/m^2 wall area",'COMPONENT PIVOT REF'!$I$3,"System Name",Table4[[#This Row],[Ext Finish]])</f>
        <v>#REF!</v>
      </c>
      <c r="Q108" t="e">
        <f>GETPIVOTDATA("Sum of  R value (m^2-K/W)",'COMPONENT PIVOT REF'!$I$3,"System Name",Table4[[#This Row],[Ext Finish]])</f>
        <v>#REF!</v>
      </c>
      <c r="R108" t="e">
        <f>GETPIVOTDATA("Sum of Total Mass per m^2 (kg)",'COMPONENT PIVOT REF'!$I$3,"System Name",Table4[[#This Row],[Ext Finish]])</f>
        <v>#REF!</v>
      </c>
      <c r="T108">
        <f>_xlfn.XLOOKUP(Table4[[#This Row],[Int Finish]],Master_Table6[System Name],Master_Table6[System Name (Short)],FALSE)</f>
        <v>0</v>
      </c>
      <c r="U108" t="e">
        <f>GETPIVOTDATA("Sum of A1-A3 Fossil kg CO2e/m^2 wall area",'COMPONENT PIVOT REF'!$P$3,"System Name",Table4[[#This Row],[Int Finish]])</f>
        <v>#REF!</v>
      </c>
      <c r="V108" t="e">
        <f>GETPIVOTDATA("Sum of  R value (m^2-K/W)",'COMPONENT PIVOT REF'!$P$3,"System Name",Table4[[#This Row],[Int Finish]])</f>
        <v>#REF!</v>
      </c>
      <c r="W108" t="e">
        <f>GETPIVOTDATA("Sum of Total Mass per m^2 (kg)",'COMPONENT PIVOT REF'!$P$3,"System Name",Table4[[#This Row],[Int Finish]])</f>
        <v>#REF!</v>
      </c>
      <c r="X108" t="e">
        <f>Table4[[#This Row],[Ext Finish GWP]]+Table4[[#This Row],[Base GWP]]+Table4[[#This Row],[Int Finish GWP]]</f>
        <v>#REF!</v>
      </c>
      <c r="Y108" t="e">
        <f>Table4[[#This Row],[Ext Finish R Value]]+Table4[[#This Row],[Base R Value]]+Table4[[#This Row],[Int Finish R Value]]</f>
        <v>#REF!</v>
      </c>
      <c r="Z108" t="e">
        <f>1/Table4[[#This Row],[Total R value]]</f>
        <v>#REF!</v>
      </c>
      <c r="AA108" t="e">
        <f>Table4[[#This Row],[Int Finish Mass]]+Table4[[#This Row],[Ext Finish Mass]]+Table4[[#This Row],[Base Mass]]</f>
        <v>#REF!</v>
      </c>
    </row>
    <row r="109" spans="3:27" x14ac:dyDescent="0.35">
      <c r="C109" t="str">
        <f>_xlfn.CONCAT(Table4[[#This Row],[System Name (Short)]],"_",Table4[[#This Row],[Ext Finish Name (Short)]],"_",Table4[[#This Row],[Int Finish Name (Short)]])</f>
        <v>0_0_0</v>
      </c>
      <c r="E109">
        <f>_xlfn.XLOOKUP(Table4[[#This Row],[Base System]],BASE_SYSTEM_TABLE[System Name],BASE_SYSTEM_TABLE[System Name (Short)],FALSE)</f>
        <v>0</v>
      </c>
      <c r="F109">
        <f>_xlfn.XLOOKUP(Table4[[#This Row],[Base System]],BASE_SYSTEM_TABLE[System Name],BASE_SYSTEM_TABLE[System Type],FALSE)</f>
        <v>0</v>
      </c>
      <c r="G109">
        <f>_xlfn.XLOOKUP(Table4[[#This Row],[Base System]],BASE_SYSTEM_TABLE[System Name],BASE_SYSTEM_TABLE[System Subtype],FALSE)</f>
        <v>0</v>
      </c>
      <c r="H109">
        <f>_xlfn.XLOOKUP(Table4[[#This Row],[Base System]],BASE_SYSTEM_TABLE[System Name],BASE_SYSTEM_TABLE[Construction Type (Framed or Planar)],FALSE)</f>
        <v>0</v>
      </c>
      <c r="I109" t="e">
        <f>GETPIVOTDATA("Sum of A1-A3 Fossil kg CO2e/m^2 wall area",'COMPONENT PIVOT REF'!$A$3,"System Name",Table4[[#This Row],[Base System]])</f>
        <v>#REF!</v>
      </c>
      <c r="J109" t="e">
        <f>GETPIVOTDATA("Sum of  R value (m^2-K/W)",'COMPONENT PIVOT REF'!$A$3,"System Name",Table4[[#This Row],[Base System]])</f>
        <v>#REF!</v>
      </c>
      <c r="K109" t="e">
        <f>GETPIVOTDATA("Sum of Total Mass per m^2 (kg)",'COMPONENT PIVOT REF'!$A$3,"System Name",Table4[[#This Row],[Base System]])</f>
        <v>#REF!</v>
      </c>
      <c r="M109">
        <f>_xlfn.XLOOKUP(Table4[[#This Row],[Ext Finish]],Master_Table4[System Name],Master_Table4[System Name (Short)],FALSE)</f>
        <v>0</v>
      </c>
      <c r="N109">
        <f>_xlfn.XLOOKUP(Table4[[#This Row],[Ext Finish]],Master_Table4[System Name],Master_Table4[Compatible Systems],FALSE)</f>
        <v>0</v>
      </c>
      <c r="O109" t="str">
        <f>IF(ISNUMBER(SEARCH(Table4[[#This Row],[MMC Method]],Table4[[#This Row],[Compatible Systems]])),"YES","NO")</f>
        <v>YES</v>
      </c>
      <c r="P109" t="e">
        <f>GETPIVOTDATA("Sum of A1-A3 Fossil kg CO2e/m^2 wall area",'COMPONENT PIVOT REF'!$I$3,"System Name",Table4[[#This Row],[Ext Finish]])</f>
        <v>#REF!</v>
      </c>
      <c r="Q109" t="e">
        <f>GETPIVOTDATA("Sum of  R value (m^2-K/W)",'COMPONENT PIVOT REF'!$I$3,"System Name",Table4[[#This Row],[Ext Finish]])</f>
        <v>#REF!</v>
      </c>
      <c r="R109" t="e">
        <f>GETPIVOTDATA("Sum of Total Mass per m^2 (kg)",'COMPONENT PIVOT REF'!$I$3,"System Name",Table4[[#This Row],[Ext Finish]])</f>
        <v>#REF!</v>
      </c>
      <c r="T109">
        <f>_xlfn.XLOOKUP(Table4[[#This Row],[Int Finish]],Master_Table6[System Name],Master_Table6[System Name (Short)],FALSE)</f>
        <v>0</v>
      </c>
      <c r="U109" t="e">
        <f>GETPIVOTDATA("Sum of A1-A3 Fossil kg CO2e/m^2 wall area",'COMPONENT PIVOT REF'!$P$3,"System Name",Table4[[#This Row],[Int Finish]])</f>
        <v>#REF!</v>
      </c>
      <c r="V109" t="e">
        <f>GETPIVOTDATA("Sum of  R value (m^2-K/W)",'COMPONENT PIVOT REF'!$P$3,"System Name",Table4[[#This Row],[Int Finish]])</f>
        <v>#REF!</v>
      </c>
      <c r="W109" t="e">
        <f>GETPIVOTDATA("Sum of Total Mass per m^2 (kg)",'COMPONENT PIVOT REF'!$P$3,"System Name",Table4[[#This Row],[Int Finish]])</f>
        <v>#REF!</v>
      </c>
      <c r="X109" t="e">
        <f>Table4[[#This Row],[Ext Finish GWP]]+Table4[[#This Row],[Base GWP]]+Table4[[#This Row],[Int Finish GWP]]</f>
        <v>#REF!</v>
      </c>
      <c r="Y109" t="e">
        <f>Table4[[#This Row],[Ext Finish R Value]]+Table4[[#This Row],[Base R Value]]+Table4[[#This Row],[Int Finish R Value]]</f>
        <v>#REF!</v>
      </c>
      <c r="Z109" t="e">
        <f>1/Table4[[#This Row],[Total R value]]</f>
        <v>#REF!</v>
      </c>
      <c r="AA109" t="e">
        <f>Table4[[#This Row],[Int Finish Mass]]+Table4[[#This Row],[Ext Finish Mass]]+Table4[[#This Row],[Base Mass]]</f>
        <v>#REF!</v>
      </c>
    </row>
    <row r="110" spans="3:27" x14ac:dyDescent="0.35">
      <c r="C110" t="str">
        <f>_xlfn.CONCAT(Table4[[#This Row],[System Name (Short)]],"_",Table4[[#This Row],[Ext Finish Name (Short)]],"_",Table4[[#This Row],[Int Finish Name (Short)]])</f>
        <v>0_0_0</v>
      </c>
      <c r="E110">
        <f>_xlfn.XLOOKUP(Table4[[#This Row],[Base System]],BASE_SYSTEM_TABLE[System Name],BASE_SYSTEM_TABLE[System Name (Short)],FALSE)</f>
        <v>0</v>
      </c>
      <c r="F110">
        <f>_xlfn.XLOOKUP(Table4[[#This Row],[Base System]],BASE_SYSTEM_TABLE[System Name],BASE_SYSTEM_TABLE[System Type],FALSE)</f>
        <v>0</v>
      </c>
      <c r="G110">
        <f>_xlfn.XLOOKUP(Table4[[#This Row],[Base System]],BASE_SYSTEM_TABLE[System Name],BASE_SYSTEM_TABLE[System Subtype],FALSE)</f>
        <v>0</v>
      </c>
      <c r="H110">
        <f>_xlfn.XLOOKUP(Table4[[#This Row],[Base System]],BASE_SYSTEM_TABLE[System Name],BASE_SYSTEM_TABLE[Construction Type (Framed or Planar)],FALSE)</f>
        <v>0</v>
      </c>
      <c r="I110" t="e">
        <f>GETPIVOTDATA("Sum of A1-A3 Fossil kg CO2e/m^2 wall area",'COMPONENT PIVOT REF'!$A$3,"System Name",Table4[[#This Row],[Base System]])</f>
        <v>#REF!</v>
      </c>
      <c r="J110" t="e">
        <f>GETPIVOTDATA("Sum of  R value (m^2-K/W)",'COMPONENT PIVOT REF'!$A$3,"System Name",Table4[[#This Row],[Base System]])</f>
        <v>#REF!</v>
      </c>
      <c r="K110" t="e">
        <f>GETPIVOTDATA("Sum of Total Mass per m^2 (kg)",'COMPONENT PIVOT REF'!$A$3,"System Name",Table4[[#This Row],[Base System]])</f>
        <v>#REF!</v>
      </c>
      <c r="M110">
        <f>_xlfn.XLOOKUP(Table4[[#This Row],[Ext Finish]],Master_Table4[System Name],Master_Table4[System Name (Short)],FALSE)</f>
        <v>0</v>
      </c>
      <c r="N110">
        <f>_xlfn.XLOOKUP(Table4[[#This Row],[Ext Finish]],Master_Table4[System Name],Master_Table4[Compatible Systems],FALSE)</f>
        <v>0</v>
      </c>
      <c r="O110" t="str">
        <f>IF(ISNUMBER(SEARCH(Table4[[#This Row],[MMC Method]],Table4[[#This Row],[Compatible Systems]])),"YES","NO")</f>
        <v>YES</v>
      </c>
      <c r="P110" t="e">
        <f>GETPIVOTDATA("Sum of A1-A3 Fossil kg CO2e/m^2 wall area",'COMPONENT PIVOT REF'!$I$3,"System Name",Table4[[#This Row],[Ext Finish]])</f>
        <v>#REF!</v>
      </c>
      <c r="Q110" t="e">
        <f>GETPIVOTDATA("Sum of  R value (m^2-K/W)",'COMPONENT PIVOT REF'!$I$3,"System Name",Table4[[#This Row],[Ext Finish]])</f>
        <v>#REF!</v>
      </c>
      <c r="R110" t="e">
        <f>GETPIVOTDATA("Sum of Total Mass per m^2 (kg)",'COMPONENT PIVOT REF'!$I$3,"System Name",Table4[[#This Row],[Ext Finish]])</f>
        <v>#REF!</v>
      </c>
      <c r="T110">
        <f>_xlfn.XLOOKUP(Table4[[#This Row],[Int Finish]],Master_Table6[System Name],Master_Table6[System Name (Short)],FALSE)</f>
        <v>0</v>
      </c>
      <c r="U110" t="e">
        <f>GETPIVOTDATA("Sum of A1-A3 Fossil kg CO2e/m^2 wall area",'COMPONENT PIVOT REF'!$P$3,"System Name",Table4[[#This Row],[Int Finish]])</f>
        <v>#REF!</v>
      </c>
      <c r="V110" t="e">
        <f>GETPIVOTDATA("Sum of  R value (m^2-K/W)",'COMPONENT PIVOT REF'!$P$3,"System Name",Table4[[#This Row],[Int Finish]])</f>
        <v>#REF!</v>
      </c>
      <c r="W110" t="e">
        <f>GETPIVOTDATA("Sum of Total Mass per m^2 (kg)",'COMPONENT PIVOT REF'!$P$3,"System Name",Table4[[#This Row],[Int Finish]])</f>
        <v>#REF!</v>
      </c>
      <c r="X110" t="e">
        <f>Table4[[#This Row],[Ext Finish GWP]]+Table4[[#This Row],[Base GWP]]+Table4[[#This Row],[Int Finish GWP]]</f>
        <v>#REF!</v>
      </c>
      <c r="Y110" t="e">
        <f>Table4[[#This Row],[Ext Finish R Value]]+Table4[[#This Row],[Base R Value]]+Table4[[#This Row],[Int Finish R Value]]</f>
        <v>#REF!</v>
      </c>
      <c r="Z110" t="e">
        <f>1/Table4[[#This Row],[Total R value]]</f>
        <v>#REF!</v>
      </c>
      <c r="AA110" t="e">
        <f>Table4[[#This Row],[Int Finish Mass]]+Table4[[#This Row],[Ext Finish Mass]]+Table4[[#This Row],[Base Mass]]</f>
        <v>#REF!</v>
      </c>
    </row>
    <row r="111" spans="3:27" x14ac:dyDescent="0.35">
      <c r="C111" t="str">
        <f>_xlfn.CONCAT(Table4[[#This Row],[System Name (Short)]],"_",Table4[[#This Row],[Ext Finish Name (Short)]],"_",Table4[[#This Row],[Int Finish Name (Short)]])</f>
        <v>0_0_0</v>
      </c>
      <c r="E111">
        <f>_xlfn.XLOOKUP(Table4[[#This Row],[Base System]],BASE_SYSTEM_TABLE[System Name],BASE_SYSTEM_TABLE[System Name (Short)],FALSE)</f>
        <v>0</v>
      </c>
      <c r="F111">
        <f>_xlfn.XLOOKUP(Table4[[#This Row],[Base System]],BASE_SYSTEM_TABLE[System Name],BASE_SYSTEM_TABLE[System Type],FALSE)</f>
        <v>0</v>
      </c>
      <c r="G111">
        <f>_xlfn.XLOOKUP(Table4[[#This Row],[Base System]],BASE_SYSTEM_TABLE[System Name],BASE_SYSTEM_TABLE[System Subtype],FALSE)</f>
        <v>0</v>
      </c>
      <c r="H111">
        <f>_xlfn.XLOOKUP(Table4[[#This Row],[Base System]],BASE_SYSTEM_TABLE[System Name],BASE_SYSTEM_TABLE[Construction Type (Framed or Planar)],FALSE)</f>
        <v>0</v>
      </c>
      <c r="I111" t="e">
        <f>GETPIVOTDATA("Sum of A1-A3 Fossil kg CO2e/m^2 wall area",'COMPONENT PIVOT REF'!$A$3,"System Name",Table4[[#This Row],[Base System]])</f>
        <v>#REF!</v>
      </c>
      <c r="J111" t="e">
        <f>GETPIVOTDATA("Sum of  R value (m^2-K/W)",'COMPONENT PIVOT REF'!$A$3,"System Name",Table4[[#This Row],[Base System]])</f>
        <v>#REF!</v>
      </c>
      <c r="K111" t="e">
        <f>GETPIVOTDATA("Sum of Total Mass per m^2 (kg)",'COMPONENT PIVOT REF'!$A$3,"System Name",Table4[[#This Row],[Base System]])</f>
        <v>#REF!</v>
      </c>
      <c r="M111">
        <f>_xlfn.XLOOKUP(Table4[[#This Row],[Ext Finish]],Master_Table4[System Name],Master_Table4[System Name (Short)],FALSE)</f>
        <v>0</v>
      </c>
      <c r="N111">
        <f>_xlfn.XLOOKUP(Table4[[#This Row],[Ext Finish]],Master_Table4[System Name],Master_Table4[Compatible Systems],FALSE)</f>
        <v>0</v>
      </c>
      <c r="O111" t="str">
        <f>IF(ISNUMBER(SEARCH(Table4[[#This Row],[MMC Method]],Table4[[#This Row],[Compatible Systems]])),"YES","NO")</f>
        <v>YES</v>
      </c>
      <c r="P111" t="e">
        <f>GETPIVOTDATA("Sum of A1-A3 Fossil kg CO2e/m^2 wall area",'COMPONENT PIVOT REF'!$I$3,"System Name",Table4[[#This Row],[Ext Finish]])</f>
        <v>#REF!</v>
      </c>
      <c r="Q111" t="e">
        <f>GETPIVOTDATA("Sum of  R value (m^2-K/W)",'COMPONENT PIVOT REF'!$I$3,"System Name",Table4[[#This Row],[Ext Finish]])</f>
        <v>#REF!</v>
      </c>
      <c r="R111" t="e">
        <f>GETPIVOTDATA("Sum of Total Mass per m^2 (kg)",'COMPONENT PIVOT REF'!$I$3,"System Name",Table4[[#This Row],[Ext Finish]])</f>
        <v>#REF!</v>
      </c>
      <c r="T111">
        <f>_xlfn.XLOOKUP(Table4[[#This Row],[Int Finish]],Master_Table6[System Name],Master_Table6[System Name (Short)],FALSE)</f>
        <v>0</v>
      </c>
      <c r="U111" t="e">
        <f>GETPIVOTDATA("Sum of A1-A3 Fossil kg CO2e/m^2 wall area",'COMPONENT PIVOT REF'!$P$3,"System Name",Table4[[#This Row],[Int Finish]])</f>
        <v>#REF!</v>
      </c>
      <c r="V111" t="e">
        <f>GETPIVOTDATA("Sum of  R value (m^2-K/W)",'COMPONENT PIVOT REF'!$P$3,"System Name",Table4[[#This Row],[Int Finish]])</f>
        <v>#REF!</v>
      </c>
      <c r="W111" t="e">
        <f>GETPIVOTDATA("Sum of Total Mass per m^2 (kg)",'COMPONENT PIVOT REF'!$P$3,"System Name",Table4[[#This Row],[Int Finish]])</f>
        <v>#REF!</v>
      </c>
      <c r="X111" t="e">
        <f>Table4[[#This Row],[Ext Finish GWP]]+Table4[[#This Row],[Base GWP]]+Table4[[#This Row],[Int Finish GWP]]</f>
        <v>#REF!</v>
      </c>
      <c r="Y111" t="e">
        <f>Table4[[#This Row],[Ext Finish R Value]]+Table4[[#This Row],[Base R Value]]+Table4[[#This Row],[Int Finish R Value]]</f>
        <v>#REF!</v>
      </c>
      <c r="Z111" t="e">
        <f>1/Table4[[#This Row],[Total R value]]</f>
        <v>#REF!</v>
      </c>
      <c r="AA111" t="e">
        <f>Table4[[#This Row],[Int Finish Mass]]+Table4[[#This Row],[Ext Finish Mass]]+Table4[[#This Row],[Base Mass]]</f>
        <v>#REF!</v>
      </c>
    </row>
    <row r="112" spans="3:27" x14ac:dyDescent="0.35">
      <c r="C112" t="str">
        <f>_xlfn.CONCAT(Table4[[#This Row],[System Name (Short)]],"_",Table4[[#This Row],[Ext Finish Name (Short)]],"_",Table4[[#This Row],[Int Finish Name (Short)]])</f>
        <v>0_0_0</v>
      </c>
      <c r="E112">
        <f>_xlfn.XLOOKUP(Table4[[#This Row],[Base System]],BASE_SYSTEM_TABLE[System Name],BASE_SYSTEM_TABLE[System Name (Short)],FALSE)</f>
        <v>0</v>
      </c>
      <c r="F112">
        <f>_xlfn.XLOOKUP(Table4[[#This Row],[Base System]],BASE_SYSTEM_TABLE[System Name],BASE_SYSTEM_TABLE[System Type],FALSE)</f>
        <v>0</v>
      </c>
      <c r="G112">
        <f>_xlfn.XLOOKUP(Table4[[#This Row],[Base System]],BASE_SYSTEM_TABLE[System Name],BASE_SYSTEM_TABLE[System Subtype],FALSE)</f>
        <v>0</v>
      </c>
      <c r="H112">
        <f>_xlfn.XLOOKUP(Table4[[#This Row],[Base System]],BASE_SYSTEM_TABLE[System Name],BASE_SYSTEM_TABLE[Construction Type (Framed or Planar)],FALSE)</f>
        <v>0</v>
      </c>
      <c r="I112" t="e">
        <f>GETPIVOTDATA("Sum of A1-A3 Fossil kg CO2e/m^2 wall area",'COMPONENT PIVOT REF'!$A$3,"System Name",Table4[[#This Row],[Base System]])</f>
        <v>#REF!</v>
      </c>
      <c r="J112" t="e">
        <f>GETPIVOTDATA("Sum of  R value (m^2-K/W)",'COMPONENT PIVOT REF'!$A$3,"System Name",Table4[[#This Row],[Base System]])</f>
        <v>#REF!</v>
      </c>
      <c r="K112" t="e">
        <f>GETPIVOTDATA("Sum of Total Mass per m^2 (kg)",'COMPONENT PIVOT REF'!$A$3,"System Name",Table4[[#This Row],[Base System]])</f>
        <v>#REF!</v>
      </c>
      <c r="M112">
        <f>_xlfn.XLOOKUP(Table4[[#This Row],[Ext Finish]],Master_Table4[System Name],Master_Table4[System Name (Short)],FALSE)</f>
        <v>0</v>
      </c>
      <c r="N112">
        <f>_xlfn.XLOOKUP(Table4[[#This Row],[Ext Finish]],Master_Table4[System Name],Master_Table4[Compatible Systems],FALSE)</f>
        <v>0</v>
      </c>
      <c r="O112" t="str">
        <f>IF(ISNUMBER(SEARCH(Table4[[#This Row],[MMC Method]],Table4[[#This Row],[Compatible Systems]])),"YES","NO")</f>
        <v>YES</v>
      </c>
      <c r="P112" t="e">
        <f>GETPIVOTDATA("Sum of A1-A3 Fossil kg CO2e/m^2 wall area",'COMPONENT PIVOT REF'!$I$3,"System Name",Table4[[#This Row],[Ext Finish]])</f>
        <v>#REF!</v>
      </c>
      <c r="Q112" t="e">
        <f>GETPIVOTDATA("Sum of  R value (m^2-K/W)",'COMPONENT PIVOT REF'!$I$3,"System Name",Table4[[#This Row],[Ext Finish]])</f>
        <v>#REF!</v>
      </c>
      <c r="R112" t="e">
        <f>GETPIVOTDATA("Sum of Total Mass per m^2 (kg)",'COMPONENT PIVOT REF'!$I$3,"System Name",Table4[[#This Row],[Ext Finish]])</f>
        <v>#REF!</v>
      </c>
      <c r="T112">
        <f>_xlfn.XLOOKUP(Table4[[#This Row],[Int Finish]],Master_Table6[System Name],Master_Table6[System Name (Short)],FALSE)</f>
        <v>0</v>
      </c>
      <c r="U112" t="e">
        <f>GETPIVOTDATA("Sum of A1-A3 Fossil kg CO2e/m^2 wall area",'COMPONENT PIVOT REF'!$P$3,"System Name",Table4[[#This Row],[Int Finish]])</f>
        <v>#REF!</v>
      </c>
      <c r="V112" t="e">
        <f>GETPIVOTDATA("Sum of  R value (m^2-K/W)",'COMPONENT PIVOT REF'!$P$3,"System Name",Table4[[#This Row],[Int Finish]])</f>
        <v>#REF!</v>
      </c>
      <c r="W112" t="e">
        <f>GETPIVOTDATA("Sum of Total Mass per m^2 (kg)",'COMPONENT PIVOT REF'!$P$3,"System Name",Table4[[#This Row],[Int Finish]])</f>
        <v>#REF!</v>
      </c>
      <c r="X112" t="e">
        <f>Table4[[#This Row],[Ext Finish GWP]]+Table4[[#This Row],[Base GWP]]+Table4[[#This Row],[Int Finish GWP]]</f>
        <v>#REF!</v>
      </c>
      <c r="Y112" t="e">
        <f>Table4[[#This Row],[Ext Finish R Value]]+Table4[[#This Row],[Base R Value]]+Table4[[#This Row],[Int Finish R Value]]</f>
        <v>#REF!</v>
      </c>
      <c r="Z112" t="e">
        <f>1/Table4[[#This Row],[Total R value]]</f>
        <v>#REF!</v>
      </c>
      <c r="AA112" t="e">
        <f>Table4[[#This Row],[Int Finish Mass]]+Table4[[#This Row],[Ext Finish Mass]]+Table4[[#This Row],[Base Mass]]</f>
        <v>#REF!</v>
      </c>
    </row>
    <row r="113" spans="3:27" x14ac:dyDescent="0.35">
      <c r="C113" t="str">
        <f>_xlfn.CONCAT(Table4[[#This Row],[System Name (Short)]],"_",Table4[[#This Row],[Ext Finish Name (Short)]],"_",Table4[[#This Row],[Int Finish Name (Short)]])</f>
        <v>0_0_0</v>
      </c>
      <c r="E113">
        <f>_xlfn.XLOOKUP(Table4[[#This Row],[Base System]],BASE_SYSTEM_TABLE[System Name],BASE_SYSTEM_TABLE[System Name (Short)],FALSE)</f>
        <v>0</v>
      </c>
      <c r="F113">
        <f>_xlfn.XLOOKUP(Table4[[#This Row],[Base System]],BASE_SYSTEM_TABLE[System Name],BASE_SYSTEM_TABLE[System Type],FALSE)</f>
        <v>0</v>
      </c>
      <c r="G113">
        <f>_xlfn.XLOOKUP(Table4[[#This Row],[Base System]],BASE_SYSTEM_TABLE[System Name],BASE_SYSTEM_TABLE[System Subtype],FALSE)</f>
        <v>0</v>
      </c>
      <c r="H113">
        <f>_xlfn.XLOOKUP(Table4[[#This Row],[Base System]],BASE_SYSTEM_TABLE[System Name],BASE_SYSTEM_TABLE[Construction Type (Framed or Planar)],FALSE)</f>
        <v>0</v>
      </c>
      <c r="I113" t="e">
        <f>GETPIVOTDATA("Sum of A1-A3 Fossil kg CO2e/m^2 wall area",'COMPONENT PIVOT REF'!$A$3,"System Name",Table4[[#This Row],[Base System]])</f>
        <v>#REF!</v>
      </c>
      <c r="J113" t="e">
        <f>GETPIVOTDATA("Sum of  R value (m^2-K/W)",'COMPONENT PIVOT REF'!$A$3,"System Name",Table4[[#This Row],[Base System]])</f>
        <v>#REF!</v>
      </c>
      <c r="K113" t="e">
        <f>GETPIVOTDATA("Sum of Total Mass per m^2 (kg)",'COMPONENT PIVOT REF'!$A$3,"System Name",Table4[[#This Row],[Base System]])</f>
        <v>#REF!</v>
      </c>
      <c r="M113">
        <f>_xlfn.XLOOKUP(Table4[[#This Row],[Ext Finish]],Master_Table4[System Name],Master_Table4[System Name (Short)],FALSE)</f>
        <v>0</v>
      </c>
      <c r="N113">
        <f>_xlfn.XLOOKUP(Table4[[#This Row],[Ext Finish]],Master_Table4[System Name],Master_Table4[Compatible Systems],FALSE)</f>
        <v>0</v>
      </c>
      <c r="O113" t="str">
        <f>IF(ISNUMBER(SEARCH(Table4[[#This Row],[MMC Method]],Table4[[#This Row],[Compatible Systems]])),"YES","NO")</f>
        <v>YES</v>
      </c>
      <c r="P113" t="e">
        <f>GETPIVOTDATA("Sum of A1-A3 Fossil kg CO2e/m^2 wall area",'COMPONENT PIVOT REF'!$I$3,"System Name",Table4[[#This Row],[Ext Finish]])</f>
        <v>#REF!</v>
      </c>
      <c r="Q113" t="e">
        <f>GETPIVOTDATA("Sum of  R value (m^2-K/W)",'COMPONENT PIVOT REF'!$I$3,"System Name",Table4[[#This Row],[Ext Finish]])</f>
        <v>#REF!</v>
      </c>
      <c r="R113" t="e">
        <f>GETPIVOTDATA("Sum of Total Mass per m^2 (kg)",'COMPONENT PIVOT REF'!$I$3,"System Name",Table4[[#This Row],[Ext Finish]])</f>
        <v>#REF!</v>
      </c>
      <c r="T113">
        <f>_xlfn.XLOOKUP(Table4[[#This Row],[Int Finish]],Master_Table6[System Name],Master_Table6[System Name (Short)],FALSE)</f>
        <v>0</v>
      </c>
      <c r="U113" t="e">
        <f>GETPIVOTDATA("Sum of A1-A3 Fossil kg CO2e/m^2 wall area",'COMPONENT PIVOT REF'!$P$3,"System Name",Table4[[#This Row],[Int Finish]])</f>
        <v>#REF!</v>
      </c>
      <c r="V113" t="e">
        <f>GETPIVOTDATA("Sum of  R value (m^2-K/W)",'COMPONENT PIVOT REF'!$P$3,"System Name",Table4[[#This Row],[Int Finish]])</f>
        <v>#REF!</v>
      </c>
      <c r="W113" t="e">
        <f>GETPIVOTDATA("Sum of Total Mass per m^2 (kg)",'COMPONENT PIVOT REF'!$P$3,"System Name",Table4[[#This Row],[Int Finish]])</f>
        <v>#REF!</v>
      </c>
      <c r="X113" t="e">
        <f>Table4[[#This Row],[Ext Finish GWP]]+Table4[[#This Row],[Base GWP]]+Table4[[#This Row],[Int Finish GWP]]</f>
        <v>#REF!</v>
      </c>
      <c r="Y113" t="e">
        <f>Table4[[#This Row],[Ext Finish R Value]]+Table4[[#This Row],[Base R Value]]+Table4[[#This Row],[Int Finish R Value]]</f>
        <v>#REF!</v>
      </c>
      <c r="Z113" t="e">
        <f>1/Table4[[#This Row],[Total R value]]</f>
        <v>#REF!</v>
      </c>
      <c r="AA113" t="e">
        <f>Table4[[#This Row],[Int Finish Mass]]+Table4[[#This Row],[Ext Finish Mass]]+Table4[[#This Row],[Base Mass]]</f>
        <v>#REF!</v>
      </c>
    </row>
    <row r="114" spans="3:27" x14ac:dyDescent="0.35">
      <c r="C114" t="str">
        <f>_xlfn.CONCAT(Table4[[#This Row],[System Name (Short)]],"_",Table4[[#This Row],[Ext Finish Name (Short)]],"_",Table4[[#This Row],[Int Finish Name (Short)]])</f>
        <v>0_0_0</v>
      </c>
      <c r="E114">
        <f>_xlfn.XLOOKUP(Table4[[#This Row],[Base System]],BASE_SYSTEM_TABLE[System Name],BASE_SYSTEM_TABLE[System Name (Short)],FALSE)</f>
        <v>0</v>
      </c>
      <c r="F114">
        <f>_xlfn.XLOOKUP(Table4[[#This Row],[Base System]],BASE_SYSTEM_TABLE[System Name],BASE_SYSTEM_TABLE[System Type],FALSE)</f>
        <v>0</v>
      </c>
      <c r="G114">
        <f>_xlfn.XLOOKUP(Table4[[#This Row],[Base System]],BASE_SYSTEM_TABLE[System Name],BASE_SYSTEM_TABLE[System Subtype],FALSE)</f>
        <v>0</v>
      </c>
      <c r="H114">
        <f>_xlfn.XLOOKUP(Table4[[#This Row],[Base System]],BASE_SYSTEM_TABLE[System Name],BASE_SYSTEM_TABLE[Construction Type (Framed or Planar)],FALSE)</f>
        <v>0</v>
      </c>
      <c r="I114" t="e">
        <f>GETPIVOTDATA("Sum of A1-A3 Fossil kg CO2e/m^2 wall area",'COMPONENT PIVOT REF'!$A$3,"System Name",Table4[[#This Row],[Base System]])</f>
        <v>#REF!</v>
      </c>
      <c r="J114" t="e">
        <f>GETPIVOTDATA("Sum of  R value (m^2-K/W)",'COMPONENT PIVOT REF'!$A$3,"System Name",Table4[[#This Row],[Base System]])</f>
        <v>#REF!</v>
      </c>
      <c r="K114" t="e">
        <f>GETPIVOTDATA("Sum of Total Mass per m^2 (kg)",'COMPONENT PIVOT REF'!$A$3,"System Name",Table4[[#This Row],[Base System]])</f>
        <v>#REF!</v>
      </c>
      <c r="M114">
        <f>_xlfn.XLOOKUP(Table4[[#This Row],[Ext Finish]],Master_Table4[System Name],Master_Table4[System Name (Short)],FALSE)</f>
        <v>0</v>
      </c>
      <c r="N114">
        <f>_xlfn.XLOOKUP(Table4[[#This Row],[Ext Finish]],Master_Table4[System Name],Master_Table4[Compatible Systems],FALSE)</f>
        <v>0</v>
      </c>
      <c r="O114" t="str">
        <f>IF(ISNUMBER(SEARCH(Table4[[#This Row],[MMC Method]],Table4[[#This Row],[Compatible Systems]])),"YES","NO")</f>
        <v>YES</v>
      </c>
      <c r="P114" t="e">
        <f>GETPIVOTDATA("Sum of A1-A3 Fossil kg CO2e/m^2 wall area",'COMPONENT PIVOT REF'!$I$3,"System Name",Table4[[#This Row],[Ext Finish]])</f>
        <v>#REF!</v>
      </c>
      <c r="Q114" t="e">
        <f>GETPIVOTDATA("Sum of  R value (m^2-K/W)",'COMPONENT PIVOT REF'!$I$3,"System Name",Table4[[#This Row],[Ext Finish]])</f>
        <v>#REF!</v>
      </c>
      <c r="R114" t="e">
        <f>GETPIVOTDATA("Sum of Total Mass per m^2 (kg)",'COMPONENT PIVOT REF'!$I$3,"System Name",Table4[[#This Row],[Ext Finish]])</f>
        <v>#REF!</v>
      </c>
      <c r="T114">
        <f>_xlfn.XLOOKUP(Table4[[#This Row],[Int Finish]],Master_Table6[System Name],Master_Table6[System Name (Short)],FALSE)</f>
        <v>0</v>
      </c>
      <c r="U114" t="e">
        <f>GETPIVOTDATA("Sum of A1-A3 Fossil kg CO2e/m^2 wall area",'COMPONENT PIVOT REF'!$P$3,"System Name",Table4[[#This Row],[Int Finish]])</f>
        <v>#REF!</v>
      </c>
      <c r="V114" t="e">
        <f>GETPIVOTDATA("Sum of  R value (m^2-K/W)",'COMPONENT PIVOT REF'!$P$3,"System Name",Table4[[#This Row],[Int Finish]])</f>
        <v>#REF!</v>
      </c>
      <c r="W114" t="e">
        <f>GETPIVOTDATA("Sum of Total Mass per m^2 (kg)",'COMPONENT PIVOT REF'!$P$3,"System Name",Table4[[#This Row],[Int Finish]])</f>
        <v>#REF!</v>
      </c>
      <c r="X114" t="e">
        <f>Table4[[#This Row],[Ext Finish GWP]]+Table4[[#This Row],[Base GWP]]+Table4[[#This Row],[Int Finish GWP]]</f>
        <v>#REF!</v>
      </c>
      <c r="Y114" t="e">
        <f>Table4[[#This Row],[Ext Finish R Value]]+Table4[[#This Row],[Base R Value]]+Table4[[#This Row],[Int Finish R Value]]</f>
        <v>#REF!</v>
      </c>
      <c r="Z114" t="e">
        <f>1/Table4[[#This Row],[Total R value]]</f>
        <v>#REF!</v>
      </c>
      <c r="AA114" t="e">
        <f>Table4[[#This Row],[Int Finish Mass]]+Table4[[#This Row],[Ext Finish Mass]]+Table4[[#This Row],[Base Mass]]</f>
        <v>#REF!</v>
      </c>
    </row>
    <row r="115" spans="3:27" x14ac:dyDescent="0.35">
      <c r="C115" t="str">
        <f>_xlfn.CONCAT(Table4[[#This Row],[System Name (Short)]],"_",Table4[[#This Row],[Ext Finish Name (Short)]],"_",Table4[[#This Row],[Int Finish Name (Short)]])</f>
        <v>0_0_0</v>
      </c>
      <c r="E115">
        <f>_xlfn.XLOOKUP(Table4[[#This Row],[Base System]],BASE_SYSTEM_TABLE[System Name],BASE_SYSTEM_TABLE[System Name (Short)],FALSE)</f>
        <v>0</v>
      </c>
      <c r="F115">
        <f>_xlfn.XLOOKUP(Table4[[#This Row],[Base System]],BASE_SYSTEM_TABLE[System Name],BASE_SYSTEM_TABLE[System Type],FALSE)</f>
        <v>0</v>
      </c>
      <c r="G115">
        <f>_xlfn.XLOOKUP(Table4[[#This Row],[Base System]],BASE_SYSTEM_TABLE[System Name],BASE_SYSTEM_TABLE[System Subtype],FALSE)</f>
        <v>0</v>
      </c>
      <c r="H115">
        <f>_xlfn.XLOOKUP(Table4[[#This Row],[Base System]],BASE_SYSTEM_TABLE[System Name],BASE_SYSTEM_TABLE[Construction Type (Framed or Planar)],FALSE)</f>
        <v>0</v>
      </c>
      <c r="I115" t="e">
        <f>GETPIVOTDATA("Sum of A1-A3 Fossil kg CO2e/m^2 wall area",'COMPONENT PIVOT REF'!$A$3,"System Name",Table4[[#This Row],[Base System]])</f>
        <v>#REF!</v>
      </c>
      <c r="J115" t="e">
        <f>GETPIVOTDATA("Sum of  R value (m^2-K/W)",'COMPONENT PIVOT REF'!$A$3,"System Name",Table4[[#This Row],[Base System]])</f>
        <v>#REF!</v>
      </c>
      <c r="K115" t="e">
        <f>GETPIVOTDATA("Sum of Total Mass per m^2 (kg)",'COMPONENT PIVOT REF'!$A$3,"System Name",Table4[[#This Row],[Base System]])</f>
        <v>#REF!</v>
      </c>
      <c r="M115">
        <f>_xlfn.XLOOKUP(Table4[[#This Row],[Ext Finish]],Master_Table4[System Name],Master_Table4[System Name (Short)],FALSE)</f>
        <v>0</v>
      </c>
      <c r="N115">
        <f>_xlfn.XLOOKUP(Table4[[#This Row],[Ext Finish]],Master_Table4[System Name],Master_Table4[Compatible Systems],FALSE)</f>
        <v>0</v>
      </c>
      <c r="O115" t="str">
        <f>IF(ISNUMBER(SEARCH(Table4[[#This Row],[MMC Method]],Table4[[#This Row],[Compatible Systems]])),"YES","NO")</f>
        <v>YES</v>
      </c>
      <c r="P115" t="e">
        <f>GETPIVOTDATA("Sum of A1-A3 Fossil kg CO2e/m^2 wall area",'COMPONENT PIVOT REF'!$I$3,"System Name",Table4[[#This Row],[Ext Finish]])</f>
        <v>#REF!</v>
      </c>
      <c r="Q115" t="e">
        <f>GETPIVOTDATA("Sum of  R value (m^2-K/W)",'COMPONENT PIVOT REF'!$I$3,"System Name",Table4[[#This Row],[Ext Finish]])</f>
        <v>#REF!</v>
      </c>
      <c r="R115" t="e">
        <f>GETPIVOTDATA("Sum of Total Mass per m^2 (kg)",'COMPONENT PIVOT REF'!$I$3,"System Name",Table4[[#This Row],[Ext Finish]])</f>
        <v>#REF!</v>
      </c>
      <c r="T115">
        <f>_xlfn.XLOOKUP(Table4[[#This Row],[Int Finish]],Master_Table6[System Name],Master_Table6[System Name (Short)],FALSE)</f>
        <v>0</v>
      </c>
      <c r="U115" t="e">
        <f>GETPIVOTDATA("Sum of A1-A3 Fossil kg CO2e/m^2 wall area",'COMPONENT PIVOT REF'!$P$3,"System Name",Table4[[#This Row],[Int Finish]])</f>
        <v>#REF!</v>
      </c>
      <c r="V115" t="e">
        <f>GETPIVOTDATA("Sum of  R value (m^2-K/W)",'COMPONENT PIVOT REF'!$P$3,"System Name",Table4[[#This Row],[Int Finish]])</f>
        <v>#REF!</v>
      </c>
      <c r="W115" t="e">
        <f>GETPIVOTDATA("Sum of Total Mass per m^2 (kg)",'COMPONENT PIVOT REF'!$P$3,"System Name",Table4[[#This Row],[Int Finish]])</f>
        <v>#REF!</v>
      </c>
      <c r="X115" t="e">
        <f>Table4[[#This Row],[Ext Finish GWP]]+Table4[[#This Row],[Base GWP]]+Table4[[#This Row],[Int Finish GWP]]</f>
        <v>#REF!</v>
      </c>
      <c r="Y115" t="e">
        <f>Table4[[#This Row],[Ext Finish R Value]]+Table4[[#This Row],[Base R Value]]+Table4[[#This Row],[Int Finish R Value]]</f>
        <v>#REF!</v>
      </c>
      <c r="Z115" t="e">
        <f>1/Table4[[#This Row],[Total R value]]</f>
        <v>#REF!</v>
      </c>
      <c r="AA115" t="e">
        <f>Table4[[#This Row],[Int Finish Mass]]+Table4[[#This Row],[Ext Finish Mass]]+Table4[[#This Row],[Base Mass]]</f>
        <v>#REF!</v>
      </c>
    </row>
    <row r="116" spans="3:27" x14ac:dyDescent="0.35">
      <c r="C116" t="str">
        <f>_xlfn.CONCAT(Table4[[#This Row],[System Name (Short)]],"_",Table4[[#This Row],[Ext Finish Name (Short)]],"_",Table4[[#This Row],[Int Finish Name (Short)]])</f>
        <v>0_0_0</v>
      </c>
      <c r="E116">
        <f>_xlfn.XLOOKUP(Table4[[#This Row],[Base System]],BASE_SYSTEM_TABLE[System Name],BASE_SYSTEM_TABLE[System Name (Short)],FALSE)</f>
        <v>0</v>
      </c>
      <c r="F116">
        <f>_xlfn.XLOOKUP(Table4[[#This Row],[Base System]],BASE_SYSTEM_TABLE[System Name],BASE_SYSTEM_TABLE[System Type],FALSE)</f>
        <v>0</v>
      </c>
      <c r="G116">
        <f>_xlfn.XLOOKUP(Table4[[#This Row],[Base System]],BASE_SYSTEM_TABLE[System Name],BASE_SYSTEM_TABLE[System Subtype],FALSE)</f>
        <v>0</v>
      </c>
      <c r="H116">
        <f>_xlfn.XLOOKUP(Table4[[#This Row],[Base System]],BASE_SYSTEM_TABLE[System Name],BASE_SYSTEM_TABLE[Construction Type (Framed or Planar)],FALSE)</f>
        <v>0</v>
      </c>
      <c r="I116" t="e">
        <f>GETPIVOTDATA("Sum of A1-A3 Fossil kg CO2e/m^2 wall area",'COMPONENT PIVOT REF'!$A$3,"System Name",Table4[[#This Row],[Base System]])</f>
        <v>#REF!</v>
      </c>
      <c r="J116" t="e">
        <f>GETPIVOTDATA("Sum of  R value (m^2-K/W)",'COMPONENT PIVOT REF'!$A$3,"System Name",Table4[[#This Row],[Base System]])</f>
        <v>#REF!</v>
      </c>
      <c r="K116" t="e">
        <f>GETPIVOTDATA("Sum of Total Mass per m^2 (kg)",'COMPONENT PIVOT REF'!$A$3,"System Name",Table4[[#This Row],[Base System]])</f>
        <v>#REF!</v>
      </c>
      <c r="M116">
        <f>_xlfn.XLOOKUP(Table4[[#This Row],[Ext Finish]],Master_Table4[System Name],Master_Table4[System Name (Short)],FALSE)</f>
        <v>0</v>
      </c>
      <c r="N116">
        <f>_xlfn.XLOOKUP(Table4[[#This Row],[Ext Finish]],Master_Table4[System Name],Master_Table4[Compatible Systems],FALSE)</f>
        <v>0</v>
      </c>
      <c r="O116" t="str">
        <f>IF(ISNUMBER(SEARCH(Table4[[#This Row],[MMC Method]],Table4[[#This Row],[Compatible Systems]])),"YES","NO")</f>
        <v>YES</v>
      </c>
      <c r="P116" t="e">
        <f>GETPIVOTDATA("Sum of A1-A3 Fossil kg CO2e/m^2 wall area",'COMPONENT PIVOT REF'!$I$3,"System Name",Table4[[#This Row],[Ext Finish]])</f>
        <v>#REF!</v>
      </c>
      <c r="Q116" t="e">
        <f>GETPIVOTDATA("Sum of  R value (m^2-K/W)",'COMPONENT PIVOT REF'!$I$3,"System Name",Table4[[#This Row],[Ext Finish]])</f>
        <v>#REF!</v>
      </c>
      <c r="R116" t="e">
        <f>GETPIVOTDATA("Sum of Total Mass per m^2 (kg)",'COMPONENT PIVOT REF'!$I$3,"System Name",Table4[[#This Row],[Ext Finish]])</f>
        <v>#REF!</v>
      </c>
      <c r="T116">
        <f>_xlfn.XLOOKUP(Table4[[#This Row],[Int Finish]],Master_Table6[System Name],Master_Table6[System Name (Short)],FALSE)</f>
        <v>0</v>
      </c>
      <c r="U116" t="e">
        <f>GETPIVOTDATA("Sum of A1-A3 Fossil kg CO2e/m^2 wall area",'COMPONENT PIVOT REF'!$P$3,"System Name",Table4[[#This Row],[Int Finish]])</f>
        <v>#REF!</v>
      </c>
      <c r="V116" t="e">
        <f>GETPIVOTDATA("Sum of  R value (m^2-K/W)",'COMPONENT PIVOT REF'!$P$3,"System Name",Table4[[#This Row],[Int Finish]])</f>
        <v>#REF!</v>
      </c>
      <c r="W116" t="e">
        <f>GETPIVOTDATA("Sum of Total Mass per m^2 (kg)",'COMPONENT PIVOT REF'!$P$3,"System Name",Table4[[#This Row],[Int Finish]])</f>
        <v>#REF!</v>
      </c>
      <c r="X116" t="e">
        <f>Table4[[#This Row],[Ext Finish GWP]]+Table4[[#This Row],[Base GWP]]+Table4[[#This Row],[Int Finish GWP]]</f>
        <v>#REF!</v>
      </c>
      <c r="Y116" t="e">
        <f>Table4[[#This Row],[Ext Finish R Value]]+Table4[[#This Row],[Base R Value]]+Table4[[#This Row],[Int Finish R Value]]</f>
        <v>#REF!</v>
      </c>
      <c r="Z116" t="e">
        <f>1/Table4[[#This Row],[Total R value]]</f>
        <v>#REF!</v>
      </c>
      <c r="AA116" t="e">
        <f>Table4[[#This Row],[Int Finish Mass]]+Table4[[#This Row],[Ext Finish Mass]]+Table4[[#This Row],[Base Mass]]</f>
        <v>#REF!</v>
      </c>
    </row>
    <row r="117" spans="3:27" x14ac:dyDescent="0.35">
      <c r="C117" t="str">
        <f>_xlfn.CONCAT(Table4[[#This Row],[System Name (Short)]],"_",Table4[[#This Row],[Ext Finish Name (Short)]],"_",Table4[[#This Row],[Int Finish Name (Short)]])</f>
        <v>0_0_0</v>
      </c>
      <c r="E117">
        <f>_xlfn.XLOOKUP(Table4[[#This Row],[Base System]],BASE_SYSTEM_TABLE[System Name],BASE_SYSTEM_TABLE[System Name (Short)],FALSE)</f>
        <v>0</v>
      </c>
      <c r="F117">
        <f>_xlfn.XLOOKUP(Table4[[#This Row],[Base System]],BASE_SYSTEM_TABLE[System Name],BASE_SYSTEM_TABLE[System Type],FALSE)</f>
        <v>0</v>
      </c>
      <c r="G117">
        <f>_xlfn.XLOOKUP(Table4[[#This Row],[Base System]],BASE_SYSTEM_TABLE[System Name],BASE_SYSTEM_TABLE[System Subtype],FALSE)</f>
        <v>0</v>
      </c>
      <c r="H117">
        <f>_xlfn.XLOOKUP(Table4[[#This Row],[Base System]],BASE_SYSTEM_TABLE[System Name],BASE_SYSTEM_TABLE[Construction Type (Framed or Planar)],FALSE)</f>
        <v>0</v>
      </c>
      <c r="I117" t="e">
        <f>GETPIVOTDATA("Sum of A1-A3 Fossil kg CO2e/m^2 wall area",'COMPONENT PIVOT REF'!$A$3,"System Name",Table4[[#This Row],[Base System]])</f>
        <v>#REF!</v>
      </c>
      <c r="J117" t="e">
        <f>GETPIVOTDATA("Sum of  R value (m^2-K/W)",'COMPONENT PIVOT REF'!$A$3,"System Name",Table4[[#This Row],[Base System]])</f>
        <v>#REF!</v>
      </c>
      <c r="K117" t="e">
        <f>GETPIVOTDATA("Sum of Total Mass per m^2 (kg)",'COMPONENT PIVOT REF'!$A$3,"System Name",Table4[[#This Row],[Base System]])</f>
        <v>#REF!</v>
      </c>
      <c r="M117">
        <f>_xlfn.XLOOKUP(Table4[[#This Row],[Ext Finish]],Master_Table4[System Name],Master_Table4[System Name (Short)],FALSE)</f>
        <v>0</v>
      </c>
      <c r="N117">
        <f>_xlfn.XLOOKUP(Table4[[#This Row],[Ext Finish]],Master_Table4[System Name],Master_Table4[Compatible Systems],FALSE)</f>
        <v>0</v>
      </c>
      <c r="O117" t="str">
        <f>IF(ISNUMBER(SEARCH(Table4[[#This Row],[MMC Method]],Table4[[#This Row],[Compatible Systems]])),"YES","NO")</f>
        <v>YES</v>
      </c>
      <c r="P117" t="e">
        <f>GETPIVOTDATA("Sum of A1-A3 Fossil kg CO2e/m^2 wall area",'COMPONENT PIVOT REF'!$I$3,"System Name",Table4[[#This Row],[Ext Finish]])</f>
        <v>#REF!</v>
      </c>
      <c r="Q117" t="e">
        <f>GETPIVOTDATA("Sum of  R value (m^2-K/W)",'COMPONENT PIVOT REF'!$I$3,"System Name",Table4[[#This Row],[Ext Finish]])</f>
        <v>#REF!</v>
      </c>
      <c r="R117" t="e">
        <f>GETPIVOTDATA("Sum of Total Mass per m^2 (kg)",'COMPONENT PIVOT REF'!$I$3,"System Name",Table4[[#This Row],[Ext Finish]])</f>
        <v>#REF!</v>
      </c>
      <c r="T117">
        <f>_xlfn.XLOOKUP(Table4[[#This Row],[Int Finish]],Master_Table6[System Name],Master_Table6[System Name (Short)],FALSE)</f>
        <v>0</v>
      </c>
      <c r="U117" t="e">
        <f>GETPIVOTDATA("Sum of A1-A3 Fossil kg CO2e/m^2 wall area",'COMPONENT PIVOT REF'!$P$3,"System Name",Table4[[#This Row],[Int Finish]])</f>
        <v>#REF!</v>
      </c>
      <c r="V117" t="e">
        <f>GETPIVOTDATA("Sum of  R value (m^2-K/W)",'COMPONENT PIVOT REF'!$P$3,"System Name",Table4[[#This Row],[Int Finish]])</f>
        <v>#REF!</v>
      </c>
      <c r="W117" t="e">
        <f>GETPIVOTDATA("Sum of Total Mass per m^2 (kg)",'COMPONENT PIVOT REF'!$P$3,"System Name",Table4[[#This Row],[Int Finish]])</f>
        <v>#REF!</v>
      </c>
      <c r="X117" t="e">
        <f>Table4[[#This Row],[Ext Finish GWP]]+Table4[[#This Row],[Base GWP]]+Table4[[#This Row],[Int Finish GWP]]</f>
        <v>#REF!</v>
      </c>
      <c r="Y117" t="e">
        <f>Table4[[#This Row],[Ext Finish R Value]]+Table4[[#This Row],[Base R Value]]+Table4[[#This Row],[Int Finish R Value]]</f>
        <v>#REF!</v>
      </c>
      <c r="Z117" t="e">
        <f>1/Table4[[#This Row],[Total R value]]</f>
        <v>#REF!</v>
      </c>
      <c r="AA117" t="e">
        <f>Table4[[#This Row],[Int Finish Mass]]+Table4[[#This Row],[Ext Finish Mass]]+Table4[[#This Row],[Base Mass]]</f>
        <v>#REF!</v>
      </c>
    </row>
    <row r="118" spans="3:27" x14ac:dyDescent="0.35">
      <c r="C118" t="str">
        <f>_xlfn.CONCAT(Table4[[#This Row],[System Name (Short)]],"_",Table4[[#This Row],[Ext Finish Name (Short)]],"_",Table4[[#This Row],[Int Finish Name (Short)]])</f>
        <v>0_0_0</v>
      </c>
      <c r="E118">
        <f>_xlfn.XLOOKUP(Table4[[#This Row],[Base System]],BASE_SYSTEM_TABLE[System Name],BASE_SYSTEM_TABLE[System Name (Short)],FALSE)</f>
        <v>0</v>
      </c>
      <c r="F118">
        <f>_xlfn.XLOOKUP(Table4[[#This Row],[Base System]],BASE_SYSTEM_TABLE[System Name],BASE_SYSTEM_TABLE[System Type],FALSE)</f>
        <v>0</v>
      </c>
      <c r="G118">
        <f>_xlfn.XLOOKUP(Table4[[#This Row],[Base System]],BASE_SYSTEM_TABLE[System Name],BASE_SYSTEM_TABLE[System Subtype],FALSE)</f>
        <v>0</v>
      </c>
      <c r="H118">
        <f>_xlfn.XLOOKUP(Table4[[#This Row],[Base System]],BASE_SYSTEM_TABLE[System Name],BASE_SYSTEM_TABLE[Construction Type (Framed or Planar)],FALSE)</f>
        <v>0</v>
      </c>
      <c r="I118" t="e">
        <f>GETPIVOTDATA("Sum of A1-A3 Fossil kg CO2e/m^2 wall area",'COMPONENT PIVOT REF'!$A$3,"System Name",Table4[[#This Row],[Base System]])</f>
        <v>#REF!</v>
      </c>
      <c r="J118" t="e">
        <f>GETPIVOTDATA("Sum of  R value (m^2-K/W)",'COMPONENT PIVOT REF'!$A$3,"System Name",Table4[[#This Row],[Base System]])</f>
        <v>#REF!</v>
      </c>
      <c r="K118" t="e">
        <f>GETPIVOTDATA("Sum of Total Mass per m^2 (kg)",'COMPONENT PIVOT REF'!$A$3,"System Name",Table4[[#This Row],[Base System]])</f>
        <v>#REF!</v>
      </c>
      <c r="M118">
        <f>_xlfn.XLOOKUP(Table4[[#This Row],[Ext Finish]],Master_Table4[System Name],Master_Table4[System Name (Short)],FALSE)</f>
        <v>0</v>
      </c>
      <c r="N118">
        <f>_xlfn.XLOOKUP(Table4[[#This Row],[Ext Finish]],Master_Table4[System Name],Master_Table4[Compatible Systems],FALSE)</f>
        <v>0</v>
      </c>
      <c r="O118" t="str">
        <f>IF(ISNUMBER(SEARCH(Table4[[#This Row],[MMC Method]],Table4[[#This Row],[Compatible Systems]])),"YES","NO")</f>
        <v>YES</v>
      </c>
      <c r="P118" t="e">
        <f>GETPIVOTDATA("Sum of A1-A3 Fossil kg CO2e/m^2 wall area",'COMPONENT PIVOT REF'!$I$3,"System Name",Table4[[#This Row],[Ext Finish]])</f>
        <v>#REF!</v>
      </c>
      <c r="Q118" t="e">
        <f>GETPIVOTDATA("Sum of  R value (m^2-K/W)",'COMPONENT PIVOT REF'!$I$3,"System Name",Table4[[#This Row],[Ext Finish]])</f>
        <v>#REF!</v>
      </c>
      <c r="R118" t="e">
        <f>GETPIVOTDATA("Sum of Total Mass per m^2 (kg)",'COMPONENT PIVOT REF'!$I$3,"System Name",Table4[[#This Row],[Ext Finish]])</f>
        <v>#REF!</v>
      </c>
      <c r="T118">
        <f>_xlfn.XLOOKUP(Table4[[#This Row],[Int Finish]],Master_Table6[System Name],Master_Table6[System Name (Short)],FALSE)</f>
        <v>0</v>
      </c>
      <c r="U118" t="e">
        <f>GETPIVOTDATA("Sum of A1-A3 Fossil kg CO2e/m^2 wall area",'COMPONENT PIVOT REF'!$P$3,"System Name",Table4[[#This Row],[Int Finish]])</f>
        <v>#REF!</v>
      </c>
      <c r="V118" t="e">
        <f>GETPIVOTDATA("Sum of  R value (m^2-K/W)",'COMPONENT PIVOT REF'!$P$3,"System Name",Table4[[#This Row],[Int Finish]])</f>
        <v>#REF!</v>
      </c>
      <c r="W118" t="e">
        <f>GETPIVOTDATA("Sum of Total Mass per m^2 (kg)",'COMPONENT PIVOT REF'!$P$3,"System Name",Table4[[#This Row],[Int Finish]])</f>
        <v>#REF!</v>
      </c>
      <c r="X118" t="e">
        <f>Table4[[#This Row],[Ext Finish GWP]]+Table4[[#This Row],[Base GWP]]+Table4[[#This Row],[Int Finish GWP]]</f>
        <v>#REF!</v>
      </c>
      <c r="Y118" t="e">
        <f>Table4[[#This Row],[Ext Finish R Value]]+Table4[[#This Row],[Base R Value]]+Table4[[#This Row],[Int Finish R Value]]</f>
        <v>#REF!</v>
      </c>
      <c r="Z118" t="e">
        <f>1/Table4[[#This Row],[Total R value]]</f>
        <v>#REF!</v>
      </c>
      <c r="AA118" t="e">
        <f>Table4[[#This Row],[Int Finish Mass]]+Table4[[#This Row],[Ext Finish Mass]]+Table4[[#This Row],[Base Mass]]</f>
        <v>#REF!</v>
      </c>
    </row>
    <row r="119" spans="3:27" x14ac:dyDescent="0.35">
      <c r="C119" t="str">
        <f>_xlfn.CONCAT(Table4[[#This Row],[System Name (Short)]],"_",Table4[[#This Row],[Ext Finish Name (Short)]],"_",Table4[[#This Row],[Int Finish Name (Short)]])</f>
        <v>0_0_0</v>
      </c>
      <c r="E119">
        <f>_xlfn.XLOOKUP(Table4[[#This Row],[Base System]],BASE_SYSTEM_TABLE[System Name],BASE_SYSTEM_TABLE[System Name (Short)],FALSE)</f>
        <v>0</v>
      </c>
      <c r="F119">
        <f>_xlfn.XLOOKUP(Table4[[#This Row],[Base System]],BASE_SYSTEM_TABLE[System Name],BASE_SYSTEM_TABLE[System Type],FALSE)</f>
        <v>0</v>
      </c>
      <c r="G119">
        <f>_xlfn.XLOOKUP(Table4[[#This Row],[Base System]],BASE_SYSTEM_TABLE[System Name],BASE_SYSTEM_TABLE[System Subtype],FALSE)</f>
        <v>0</v>
      </c>
      <c r="H119">
        <f>_xlfn.XLOOKUP(Table4[[#This Row],[Base System]],BASE_SYSTEM_TABLE[System Name],BASE_SYSTEM_TABLE[Construction Type (Framed or Planar)],FALSE)</f>
        <v>0</v>
      </c>
      <c r="I119" t="e">
        <f>GETPIVOTDATA("Sum of A1-A3 Fossil kg CO2e/m^2 wall area",'COMPONENT PIVOT REF'!$A$3,"System Name",Table4[[#This Row],[Base System]])</f>
        <v>#REF!</v>
      </c>
      <c r="J119" t="e">
        <f>GETPIVOTDATA("Sum of  R value (m^2-K/W)",'COMPONENT PIVOT REF'!$A$3,"System Name",Table4[[#This Row],[Base System]])</f>
        <v>#REF!</v>
      </c>
      <c r="K119" t="e">
        <f>GETPIVOTDATA("Sum of Total Mass per m^2 (kg)",'COMPONENT PIVOT REF'!$A$3,"System Name",Table4[[#This Row],[Base System]])</f>
        <v>#REF!</v>
      </c>
      <c r="M119">
        <f>_xlfn.XLOOKUP(Table4[[#This Row],[Ext Finish]],Master_Table4[System Name],Master_Table4[System Name (Short)],FALSE)</f>
        <v>0</v>
      </c>
      <c r="N119">
        <f>_xlfn.XLOOKUP(Table4[[#This Row],[Ext Finish]],Master_Table4[System Name],Master_Table4[Compatible Systems],FALSE)</f>
        <v>0</v>
      </c>
      <c r="O119" t="str">
        <f>IF(ISNUMBER(SEARCH(Table4[[#This Row],[MMC Method]],Table4[[#This Row],[Compatible Systems]])),"YES","NO")</f>
        <v>YES</v>
      </c>
      <c r="P119" t="e">
        <f>GETPIVOTDATA("Sum of A1-A3 Fossil kg CO2e/m^2 wall area",'COMPONENT PIVOT REF'!$I$3,"System Name",Table4[[#This Row],[Ext Finish]])</f>
        <v>#REF!</v>
      </c>
      <c r="Q119" t="e">
        <f>GETPIVOTDATA("Sum of  R value (m^2-K/W)",'COMPONENT PIVOT REF'!$I$3,"System Name",Table4[[#This Row],[Ext Finish]])</f>
        <v>#REF!</v>
      </c>
      <c r="R119" t="e">
        <f>GETPIVOTDATA("Sum of Total Mass per m^2 (kg)",'COMPONENT PIVOT REF'!$I$3,"System Name",Table4[[#This Row],[Ext Finish]])</f>
        <v>#REF!</v>
      </c>
      <c r="T119">
        <f>_xlfn.XLOOKUP(Table4[[#This Row],[Int Finish]],Master_Table6[System Name],Master_Table6[System Name (Short)],FALSE)</f>
        <v>0</v>
      </c>
      <c r="U119" t="e">
        <f>GETPIVOTDATA("Sum of A1-A3 Fossil kg CO2e/m^2 wall area",'COMPONENT PIVOT REF'!$P$3,"System Name",Table4[[#This Row],[Int Finish]])</f>
        <v>#REF!</v>
      </c>
      <c r="V119" t="e">
        <f>GETPIVOTDATA("Sum of  R value (m^2-K/W)",'COMPONENT PIVOT REF'!$P$3,"System Name",Table4[[#This Row],[Int Finish]])</f>
        <v>#REF!</v>
      </c>
      <c r="W119" t="e">
        <f>GETPIVOTDATA("Sum of Total Mass per m^2 (kg)",'COMPONENT PIVOT REF'!$P$3,"System Name",Table4[[#This Row],[Int Finish]])</f>
        <v>#REF!</v>
      </c>
      <c r="X119" t="e">
        <f>Table4[[#This Row],[Ext Finish GWP]]+Table4[[#This Row],[Base GWP]]+Table4[[#This Row],[Int Finish GWP]]</f>
        <v>#REF!</v>
      </c>
      <c r="Y119" t="e">
        <f>Table4[[#This Row],[Ext Finish R Value]]+Table4[[#This Row],[Base R Value]]+Table4[[#This Row],[Int Finish R Value]]</f>
        <v>#REF!</v>
      </c>
      <c r="Z119" t="e">
        <f>1/Table4[[#This Row],[Total R value]]</f>
        <v>#REF!</v>
      </c>
      <c r="AA119" t="e">
        <f>Table4[[#This Row],[Int Finish Mass]]+Table4[[#This Row],[Ext Finish Mass]]+Table4[[#This Row],[Base Mass]]</f>
        <v>#REF!</v>
      </c>
    </row>
    <row r="120" spans="3:27" x14ac:dyDescent="0.35">
      <c r="C120" t="str">
        <f>_xlfn.CONCAT(Table4[[#This Row],[System Name (Short)]],"_",Table4[[#This Row],[Ext Finish Name (Short)]],"_",Table4[[#This Row],[Int Finish Name (Short)]])</f>
        <v>0_0_0</v>
      </c>
      <c r="E120">
        <f>_xlfn.XLOOKUP(Table4[[#This Row],[Base System]],BASE_SYSTEM_TABLE[System Name],BASE_SYSTEM_TABLE[System Name (Short)],FALSE)</f>
        <v>0</v>
      </c>
      <c r="F120">
        <f>_xlfn.XLOOKUP(Table4[[#This Row],[Base System]],BASE_SYSTEM_TABLE[System Name],BASE_SYSTEM_TABLE[System Type],FALSE)</f>
        <v>0</v>
      </c>
      <c r="G120">
        <f>_xlfn.XLOOKUP(Table4[[#This Row],[Base System]],BASE_SYSTEM_TABLE[System Name],BASE_SYSTEM_TABLE[System Subtype],FALSE)</f>
        <v>0</v>
      </c>
      <c r="H120">
        <f>_xlfn.XLOOKUP(Table4[[#This Row],[Base System]],BASE_SYSTEM_TABLE[System Name],BASE_SYSTEM_TABLE[Construction Type (Framed or Planar)],FALSE)</f>
        <v>0</v>
      </c>
      <c r="I120" t="e">
        <f>GETPIVOTDATA("Sum of A1-A3 Fossil kg CO2e/m^2 wall area",'COMPONENT PIVOT REF'!$A$3,"System Name",Table4[[#This Row],[Base System]])</f>
        <v>#REF!</v>
      </c>
      <c r="J120" t="e">
        <f>GETPIVOTDATA("Sum of  R value (m^2-K/W)",'COMPONENT PIVOT REF'!$A$3,"System Name",Table4[[#This Row],[Base System]])</f>
        <v>#REF!</v>
      </c>
      <c r="K120" t="e">
        <f>GETPIVOTDATA("Sum of Total Mass per m^2 (kg)",'COMPONENT PIVOT REF'!$A$3,"System Name",Table4[[#This Row],[Base System]])</f>
        <v>#REF!</v>
      </c>
      <c r="M120">
        <f>_xlfn.XLOOKUP(Table4[[#This Row],[Ext Finish]],Master_Table4[System Name],Master_Table4[System Name (Short)],FALSE)</f>
        <v>0</v>
      </c>
      <c r="N120">
        <f>_xlfn.XLOOKUP(Table4[[#This Row],[Ext Finish]],Master_Table4[System Name],Master_Table4[Compatible Systems],FALSE)</f>
        <v>0</v>
      </c>
      <c r="O120" t="str">
        <f>IF(ISNUMBER(SEARCH(Table4[[#This Row],[MMC Method]],Table4[[#This Row],[Compatible Systems]])),"YES","NO")</f>
        <v>YES</v>
      </c>
      <c r="P120" t="e">
        <f>GETPIVOTDATA("Sum of A1-A3 Fossil kg CO2e/m^2 wall area",'COMPONENT PIVOT REF'!$I$3,"System Name",Table4[[#This Row],[Ext Finish]])</f>
        <v>#REF!</v>
      </c>
      <c r="Q120" t="e">
        <f>GETPIVOTDATA("Sum of  R value (m^2-K/W)",'COMPONENT PIVOT REF'!$I$3,"System Name",Table4[[#This Row],[Ext Finish]])</f>
        <v>#REF!</v>
      </c>
      <c r="R120" t="e">
        <f>GETPIVOTDATA("Sum of Total Mass per m^2 (kg)",'COMPONENT PIVOT REF'!$I$3,"System Name",Table4[[#This Row],[Ext Finish]])</f>
        <v>#REF!</v>
      </c>
      <c r="T120">
        <f>_xlfn.XLOOKUP(Table4[[#This Row],[Int Finish]],Master_Table6[System Name],Master_Table6[System Name (Short)],FALSE)</f>
        <v>0</v>
      </c>
      <c r="U120" t="e">
        <f>GETPIVOTDATA("Sum of A1-A3 Fossil kg CO2e/m^2 wall area",'COMPONENT PIVOT REF'!$P$3,"System Name",Table4[[#This Row],[Int Finish]])</f>
        <v>#REF!</v>
      </c>
      <c r="V120" t="e">
        <f>GETPIVOTDATA("Sum of  R value (m^2-K/W)",'COMPONENT PIVOT REF'!$P$3,"System Name",Table4[[#This Row],[Int Finish]])</f>
        <v>#REF!</v>
      </c>
      <c r="W120" t="e">
        <f>GETPIVOTDATA("Sum of Total Mass per m^2 (kg)",'COMPONENT PIVOT REF'!$P$3,"System Name",Table4[[#This Row],[Int Finish]])</f>
        <v>#REF!</v>
      </c>
      <c r="X120" t="e">
        <f>Table4[[#This Row],[Ext Finish GWP]]+Table4[[#This Row],[Base GWP]]+Table4[[#This Row],[Int Finish GWP]]</f>
        <v>#REF!</v>
      </c>
      <c r="Y120" t="e">
        <f>Table4[[#This Row],[Ext Finish R Value]]+Table4[[#This Row],[Base R Value]]+Table4[[#This Row],[Int Finish R Value]]</f>
        <v>#REF!</v>
      </c>
      <c r="Z120" t="e">
        <f>1/Table4[[#This Row],[Total R value]]</f>
        <v>#REF!</v>
      </c>
      <c r="AA120" t="e">
        <f>Table4[[#This Row],[Int Finish Mass]]+Table4[[#This Row],[Ext Finish Mass]]+Table4[[#This Row],[Base Mass]]</f>
        <v>#REF!</v>
      </c>
    </row>
    <row r="121" spans="3:27" x14ac:dyDescent="0.35">
      <c r="C121" t="str">
        <f>_xlfn.CONCAT(Table4[[#This Row],[System Name (Short)]],"_",Table4[[#This Row],[Ext Finish Name (Short)]],"_",Table4[[#This Row],[Int Finish Name (Short)]])</f>
        <v>0_0_0</v>
      </c>
      <c r="E121">
        <f>_xlfn.XLOOKUP(Table4[[#This Row],[Base System]],BASE_SYSTEM_TABLE[System Name],BASE_SYSTEM_TABLE[System Name (Short)],FALSE)</f>
        <v>0</v>
      </c>
      <c r="F121">
        <f>_xlfn.XLOOKUP(Table4[[#This Row],[Base System]],BASE_SYSTEM_TABLE[System Name],BASE_SYSTEM_TABLE[System Type],FALSE)</f>
        <v>0</v>
      </c>
      <c r="G121">
        <f>_xlfn.XLOOKUP(Table4[[#This Row],[Base System]],BASE_SYSTEM_TABLE[System Name],BASE_SYSTEM_TABLE[System Subtype],FALSE)</f>
        <v>0</v>
      </c>
      <c r="H121">
        <f>_xlfn.XLOOKUP(Table4[[#This Row],[Base System]],BASE_SYSTEM_TABLE[System Name],BASE_SYSTEM_TABLE[Construction Type (Framed or Planar)],FALSE)</f>
        <v>0</v>
      </c>
      <c r="I121" t="e">
        <f>GETPIVOTDATA("Sum of A1-A3 Fossil kg CO2e/m^2 wall area",'COMPONENT PIVOT REF'!$A$3,"System Name",Table4[[#This Row],[Base System]])</f>
        <v>#REF!</v>
      </c>
      <c r="J121" t="e">
        <f>GETPIVOTDATA("Sum of  R value (m^2-K/W)",'COMPONENT PIVOT REF'!$A$3,"System Name",Table4[[#This Row],[Base System]])</f>
        <v>#REF!</v>
      </c>
      <c r="K121" t="e">
        <f>GETPIVOTDATA("Sum of Total Mass per m^2 (kg)",'COMPONENT PIVOT REF'!$A$3,"System Name",Table4[[#This Row],[Base System]])</f>
        <v>#REF!</v>
      </c>
      <c r="M121">
        <f>_xlfn.XLOOKUP(Table4[[#This Row],[Ext Finish]],Master_Table4[System Name],Master_Table4[System Name (Short)],FALSE)</f>
        <v>0</v>
      </c>
      <c r="N121">
        <f>_xlfn.XLOOKUP(Table4[[#This Row],[Ext Finish]],Master_Table4[System Name],Master_Table4[Compatible Systems],FALSE)</f>
        <v>0</v>
      </c>
      <c r="O121" t="str">
        <f>IF(ISNUMBER(SEARCH(Table4[[#This Row],[MMC Method]],Table4[[#This Row],[Compatible Systems]])),"YES","NO")</f>
        <v>YES</v>
      </c>
      <c r="P121" t="e">
        <f>GETPIVOTDATA("Sum of A1-A3 Fossil kg CO2e/m^2 wall area",'COMPONENT PIVOT REF'!$I$3,"System Name",Table4[[#This Row],[Ext Finish]])</f>
        <v>#REF!</v>
      </c>
      <c r="Q121" t="e">
        <f>GETPIVOTDATA("Sum of  R value (m^2-K/W)",'COMPONENT PIVOT REF'!$I$3,"System Name",Table4[[#This Row],[Ext Finish]])</f>
        <v>#REF!</v>
      </c>
      <c r="R121" t="e">
        <f>GETPIVOTDATA("Sum of Total Mass per m^2 (kg)",'COMPONENT PIVOT REF'!$I$3,"System Name",Table4[[#This Row],[Ext Finish]])</f>
        <v>#REF!</v>
      </c>
      <c r="T121">
        <f>_xlfn.XLOOKUP(Table4[[#This Row],[Int Finish]],Master_Table6[System Name],Master_Table6[System Name (Short)],FALSE)</f>
        <v>0</v>
      </c>
      <c r="U121" t="e">
        <f>GETPIVOTDATA("Sum of A1-A3 Fossil kg CO2e/m^2 wall area",'COMPONENT PIVOT REF'!$P$3,"System Name",Table4[[#This Row],[Int Finish]])</f>
        <v>#REF!</v>
      </c>
      <c r="V121" t="e">
        <f>GETPIVOTDATA("Sum of  R value (m^2-K/W)",'COMPONENT PIVOT REF'!$P$3,"System Name",Table4[[#This Row],[Int Finish]])</f>
        <v>#REF!</v>
      </c>
      <c r="W121" t="e">
        <f>GETPIVOTDATA("Sum of Total Mass per m^2 (kg)",'COMPONENT PIVOT REF'!$P$3,"System Name",Table4[[#This Row],[Int Finish]])</f>
        <v>#REF!</v>
      </c>
      <c r="X121" t="e">
        <f>Table4[[#This Row],[Ext Finish GWP]]+Table4[[#This Row],[Base GWP]]+Table4[[#This Row],[Int Finish GWP]]</f>
        <v>#REF!</v>
      </c>
      <c r="Y121" t="e">
        <f>Table4[[#This Row],[Ext Finish R Value]]+Table4[[#This Row],[Base R Value]]+Table4[[#This Row],[Int Finish R Value]]</f>
        <v>#REF!</v>
      </c>
      <c r="Z121" t="e">
        <f>1/Table4[[#This Row],[Total R value]]</f>
        <v>#REF!</v>
      </c>
      <c r="AA121" t="e">
        <f>Table4[[#This Row],[Int Finish Mass]]+Table4[[#This Row],[Ext Finish Mass]]+Table4[[#This Row],[Base Mass]]</f>
        <v>#REF!</v>
      </c>
    </row>
    <row r="122" spans="3:27" x14ac:dyDescent="0.35">
      <c r="C122" t="str">
        <f>_xlfn.CONCAT(Table4[[#This Row],[System Name (Short)]],"_",Table4[[#This Row],[Ext Finish Name (Short)]],"_",Table4[[#This Row],[Int Finish Name (Short)]])</f>
        <v>0_0_0</v>
      </c>
      <c r="E122">
        <f>_xlfn.XLOOKUP(Table4[[#This Row],[Base System]],BASE_SYSTEM_TABLE[System Name],BASE_SYSTEM_TABLE[System Name (Short)],FALSE)</f>
        <v>0</v>
      </c>
      <c r="F122">
        <f>_xlfn.XLOOKUP(Table4[[#This Row],[Base System]],BASE_SYSTEM_TABLE[System Name],BASE_SYSTEM_TABLE[System Type],FALSE)</f>
        <v>0</v>
      </c>
      <c r="G122">
        <f>_xlfn.XLOOKUP(Table4[[#This Row],[Base System]],BASE_SYSTEM_TABLE[System Name],BASE_SYSTEM_TABLE[System Subtype],FALSE)</f>
        <v>0</v>
      </c>
      <c r="H122">
        <f>_xlfn.XLOOKUP(Table4[[#This Row],[Base System]],BASE_SYSTEM_TABLE[System Name],BASE_SYSTEM_TABLE[Construction Type (Framed or Planar)],FALSE)</f>
        <v>0</v>
      </c>
      <c r="I122" t="e">
        <f>GETPIVOTDATA("Sum of A1-A3 Fossil kg CO2e/m^2 wall area",'COMPONENT PIVOT REF'!$A$3,"System Name",Table4[[#This Row],[Base System]])</f>
        <v>#REF!</v>
      </c>
      <c r="J122" t="e">
        <f>GETPIVOTDATA("Sum of  R value (m^2-K/W)",'COMPONENT PIVOT REF'!$A$3,"System Name",Table4[[#This Row],[Base System]])</f>
        <v>#REF!</v>
      </c>
      <c r="K122" t="e">
        <f>GETPIVOTDATA("Sum of Total Mass per m^2 (kg)",'COMPONENT PIVOT REF'!$A$3,"System Name",Table4[[#This Row],[Base System]])</f>
        <v>#REF!</v>
      </c>
      <c r="M122">
        <f>_xlfn.XLOOKUP(Table4[[#This Row],[Ext Finish]],Master_Table4[System Name],Master_Table4[System Name (Short)],FALSE)</f>
        <v>0</v>
      </c>
      <c r="N122">
        <f>_xlfn.XLOOKUP(Table4[[#This Row],[Ext Finish]],Master_Table4[System Name],Master_Table4[Compatible Systems],FALSE)</f>
        <v>0</v>
      </c>
      <c r="O122" t="str">
        <f>IF(ISNUMBER(SEARCH(Table4[[#This Row],[MMC Method]],Table4[[#This Row],[Compatible Systems]])),"YES","NO")</f>
        <v>YES</v>
      </c>
      <c r="P122" t="e">
        <f>GETPIVOTDATA("Sum of A1-A3 Fossil kg CO2e/m^2 wall area",'COMPONENT PIVOT REF'!$I$3,"System Name",Table4[[#This Row],[Ext Finish]])</f>
        <v>#REF!</v>
      </c>
      <c r="Q122" t="e">
        <f>GETPIVOTDATA("Sum of  R value (m^2-K/W)",'COMPONENT PIVOT REF'!$I$3,"System Name",Table4[[#This Row],[Ext Finish]])</f>
        <v>#REF!</v>
      </c>
      <c r="R122" t="e">
        <f>GETPIVOTDATA("Sum of Total Mass per m^2 (kg)",'COMPONENT PIVOT REF'!$I$3,"System Name",Table4[[#This Row],[Ext Finish]])</f>
        <v>#REF!</v>
      </c>
      <c r="T122">
        <f>_xlfn.XLOOKUP(Table4[[#This Row],[Int Finish]],Master_Table6[System Name],Master_Table6[System Name (Short)],FALSE)</f>
        <v>0</v>
      </c>
      <c r="U122" t="e">
        <f>GETPIVOTDATA("Sum of A1-A3 Fossil kg CO2e/m^2 wall area",'COMPONENT PIVOT REF'!$P$3,"System Name",Table4[[#This Row],[Int Finish]])</f>
        <v>#REF!</v>
      </c>
      <c r="V122" t="e">
        <f>GETPIVOTDATA("Sum of  R value (m^2-K/W)",'COMPONENT PIVOT REF'!$P$3,"System Name",Table4[[#This Row],[Int Finish]])</f>
        <v>#REF!</v>
      </c>
      <c r="W122" t="e">
        <f>GETPIVOTDATA("Sum of Total Mass per m^2 (kg)",'COMPONENT PIVOT REF'!$P$3,"System Name",Table4[[#This Row],[Int Finish]])</f>
        <v>#REF!</v>
      </c>
      <c r="X122" t="e">
        <f>Table4[[#This Row],[Ext Finish GWP]]+Table4[[#This Row],[Base GWP]]+Table4[[#This Row],[Int Finish GWP]]</f>
        <v>#REF!</v>
      </c>
      <c r="Y122" t="e">
        <f>Table4[[#This Row],[Ext Finish R Value]]+Table4[[#This Row],[Base R Value]]+Table4[[#This Row],[Int Finish R Value]]</f>
        <v>#REF!</v>
      </c>
      <c r="Z122" t="e">
        <f>1/Table4[[#This Row],[Total R value]]</f>
        <v>#REF!</v>
      </c>
      <c r="AA122" t="e">
        <f>Table4[[#This Row],[Int Finish Mass]]+Table4[[#This Row],[Ext Finish Mass]]+Table4[[#This Row],[Base Mass]]</f>
        <v>#REF!</v>
      </c>
    </row>
    <row r="123" spans="3:27" x14ac:dyDescent="0.35">
      <c r="C123" t="str">
        <f>_xlfn.CONCAT(Table4[[#This Row],[System Name (Short)]],"_",Table4[[#This Row],[Ext Finish Name (Short)]],"_",Table4[[#This Row],[Int Finish Name (Short)]])</f>
        <v>0_0_0</v>
      </c>
      <c r="E123">
        <f>_xlfn.XLOOKUP(Table4[[#This Row],[Base System]],BASE_SYSTEM_TABLE[System Name],BASE_SYSTEM_TABLE[System Name (Short)],FALSE)</f>
        <v>0</v>
      </c>
      <c r="F123">
        <f>_xlfn.XLOOKUP(Table4[[#This Row],[Base System]],BASE_SYSTEM_TABLE[System Name],BASE_SYSTEM_TABLE[System Type],FALSE)</f>
        <v>0</v>
      </c>
      <c r="G123">
        <f>_xlfn.XLOOKUP(Table4[[#This Row],[Base System]],BASE_SYSTEM_TABLE[System Name],BASE_SYSTEM_TABLE[System Subtype],FALSE)</f>
        <v>0</v>
      </c>
      <c r="H123">
        <f>_xlfn.XLOOKUP(Table4[[#This Row],[Base System]],BASE_SYSTEM_TABLE[System Name],BASE_SYSTEM_TABLE[Construction Type (Framed or Planar)],FALSE)</f>
        <v>0</v>
      </c>
      <c r="I123" t="e">
        <f>GETPIVOTDATA("Sum of A1-A3 Fossil kg CO2e/m^2 wall area",'COMPONENT PIVOT REF'!$A$3,"System Name",Table4[[#This Row],[Base System]])</f>
        <v>#REF!</v>
      </c>
      <c r="J123" t="e">
        <f>GETPIVOTDATA("Sum of  R value (m^2-K/W)",'COMPONENT PIVOT REF'!$A$3,"System Name",Table4[[#This Row],[Base System]])</f>
        <v>#REF!</v>
      </c>
      <c r="K123" t="e">
        <f>GETPIVOTDATA("Sum of Total Mass per m^2 (kg)",'COMPONENT PIVOT REF'!$A$3,"System Name",Table4[[#This Row],[Base System]])</f>
        <v>#REF!</v>
      </c>
      <c r="M123">
        <f>_xlfn.XLOOKUP(Table4[[#This Row],[Ext Finish]],Master_Table4[System Name],Master_Table4[System Name (Short)],FALSE)</f>
        <v>0</v>
      </c>
      <c r="N123">
        <f>_xlfn.XLOOKUP(Table4[[#This Row],[Ext Finish]],Master_Table4[System Name],Master_Table4[Compatible Systems],FALSE)</f>
        <v>0</v>
      </c>
      <c r="O123" t="str">
        <f>IF(ISNUMBER(SEARCH(Table4[[#This Row],[MMC Method]],Table4[[#This Row],[Compatible Systems]])),"YES","NO")</f>
        <v>YES</v>
      </c>
      <c r="P123" t="e">
        <f>GETPIVOTDATA("Sum of A1-A3 Fossil kg CO2e/m^2 wall area",'COMPONENT PIVOT REF'!$I$3,"System Name",Table4[[#This Row],[Ext Finish]])</f>
        <v>#REF!</v>
      </c>
      <c r="Q123" t="e">
        <f>GETPIVOTDATA("Sum of  R value (m^2-K/W)",'COMPONENT PIVOT REF'!$I$3,"System Name",Table4[[#This Row],[Ext Finish]])</f>
        <v>#REF!</v>
      </c>
      <c r="R123" t="e">
        <f>GETPIVOTDATA("Sum of Total Mass per m^2 (kg)",'COMPONENT PIVOT REF'!$I$3,"System Name",Table4[[#This Row],[Ext Finish]])</f>
        <v>#REF!</v>
      </c>
      <c r="T123">
        <f>_xlfn.XLOOKUP(Table4[[#This Row],[Int Finish]],Master_Table6[System Name],Master_Table6[System Name (Short)],FALSE)</f>
        <v>0</v>
      </c>
      <c r="U123" t="e">
        <f>GETPIVOTDATA("Sum of A1-A3 Fossil kg CO2e/m^2 wall area",'COMPONENT PIVOT REF'!$P$3,"System Name",Table4[[#This Row],[Int Finish]])</f>
        <v>#REF!</v>
      </c>
      <c r="V123" t="e">
        <f>GETPIVOTDATA("Sum of  R value (m^2-K/W)",'COMPONENT PIVOT REF'!$P$3,"System Name",Table4[[#This Row],[Int Finish]])</f>
        <v>#REF!</v>
      </c>
      <c r="W123" t="e">
        <f>GETPIVOTDATA("Sum of Total Mass per m^2 (kg)",'COMPONENT PIVOT REF'!$P$3,"System Name",Table4[[#This Row],[Int Finish]])</f>
        <v>#REF!</v>
      </c>
      <c r="X123" t="e">
        <f>Table4[[#This Row],[Ext Finish GWP]]+Table4[[#This Row],[Base GWP]]+Table4[[#This Row],[Int Finish GWP]]</f>
        <v>#REF!</v>
      </c>
      <c r="Y123" t="e">
        <f>Table4[[#This Row],[Ext Finish R Value]]+Table4[[#This Row],[Base R Value]]+Table4[[#This Row],[Int Finish R Value]]</f>
        <v>#REF!</v>
      </c>
      <c r="Z123" t="e">
        <f>1/Table4[[#This Row],[Total R value]]</f>
        <v>#REF!</v>
      </c>
      <c r="AA123" t="e">
        <f>Table4[[#This Row],[Int Finish Mass]]+Table4[[#This Row],[Ext Finish Mass]]+Table4[[#This Row],[Base Mass]]</f>
        <v>#REF!</v>
      </c>
    </row>
    <row r="124" spans="3:27" x14ac:dyDescent="0.35">
      <c r="C124" t="str">
        <f>_xlfn.CONCAT(Table4[[#This Row],[System Name (Short)]],"_",Table4[[#This Row],[Ext Finish Name (Short)]],"_",Table4[[#This Row],[Int Finish Name (Short)]])</f>
        <v>0_0_0</v>
      </c>
      <c r="E124">
        <f>_xlfn.XLOOKUP(Table4[[#This Row],[Base System]],BASE_SYSTEM_TABLE[System Name],BASE_SYSTEM_TABLE[System Name (Short)],FALSE)</f>
        <v>0</v>
      </c>
      <c r="F124">
        <f>_xlfn.XLOOKUP(Table4[[#This Row],[Base System]],BASE_SYSTEM_TABLE[System Name],BASE_SYSTEM_TABLE[System Type],FALSE)</f>
        <v>0</v>
      </c>
      <c r="G124">
        <f>_xlfn.XLOOKUP(Table4[[#This Row],[Base System]],BASE_SYSTEM_TABLE[System Name],BASE_SYSTEM_TABLE[System Subtype],FALSE)</f>
        <v>0</v>
      </c>
      <c r="H124">
        <f>_xlfn.XLOOKUP(Table4[[#This Row],[Base System]],BASE_SYSTEM_TABLE[System Name],BASE_SYSTEM_TABLE[Construction Type (Framed or Planar)],FALSE)</f>
        <v>0</v>
      </c>
      <c r="I124" t="e">
        <f>GETPIVOTDATA("Sum of A1-A3 Fossil kg CO2e/m^2 wall area",'COMPONENT PIVOT REF'!$A$3,"System Name",Table4[[#This Row],[Base System]])</f>
        <v>#REF!</v>
      </c>
      <c r="J124" t="e">
        <f>GETPIVOTDATA("Sum of  R value (m^2-K/W)",'COMPONENT PIVOT REF'!$A$3,"System Name",Table4[[#This Row],[Base System]])</f>
        <v>#REF!</v>
      </c>
      <c r="K124" t="e">
        <f>GETPIVOTDATA("Sum of Total Mass per m^2 (kg)",'COMPONENT PIVOT REF'!$A$3,"System Name",Table4[[#This Row],[Base System]])</f>
        <v>#REF!</v>
      </c>
      <c r="M124">
        <f>_xlfn.XLOOKUP(Table4[[#This Row],[Ext Finish]],Master_Table4[System Name],Master_Table4[System Name (Short)],FALSE)</f>
        <v>0</v>
      </c>
      <c r="N124">
        <f>_xlfn.XLOOKUP(Table4[[#This Row],[Ext Finish]],Master_Table4[System Name],Master_Table4[Compatible Systems],FALSE)</f>
        <v>0</v>
      </c>
      <c r="O124" t="str">
        <f>IF(ISNUMBER(SEARCH(Table4[[#This Row],[MMC Method]],Table4[[#This Row],[Compatible Systems]])),"YES","NO")</f>
        <v>YES</v>
      </c>
      <c r="P124" t="e">
        <f>GETPIVOTDATA("Sum of A1-A3 Fossil kg CO2e/m^2 wall area",'COMPONENT PIVOT REF'!$I$3,"System Name",Table4[[#This Row],[Ext Finish]])</f>
        <v>#REF!</v>
      </c>
      <c r="Q124" t="e">
        <f>GETPIVOTDATA("Sum of  R value (m^2-K/W)",'COMPONENT PIVOT REF'!$I$3,"System Name",Table4[[#This Row],[Ext Finish]])</f>
        <v>#REF!</v>
      </c>
      <c r="R124" t="e">
        <f>GETPIVOTDATA("Sum of Total Mass per m^2 (kg)",'COMPONENT PIVOT REF'!$I$3,"System Name",Table4[[#This Row],[Ext Finish]])</f>
        <v>#REF!</v>
      </c>
      <c r="T124">
        <f>_xlfn.XLOOKUP(Table4[[#This Row],[Int Finish]],Master_Table6[System Name],Master_Table6[System Name (Short)],FALSE)</f>
        <v>0</v>
      </c>
      <c r="U124" t="e">
        <f>GETPIVOTDATA("Sum of A1-A3 Fossil kg CO2e/m^2 wall area",'COMPONENT PIVOT REF'!$P$3,"System Name",Table4[[#This Row],[Int Finish]])</f>
        <v>#REF!</v>
      </c>
      <c r="V124" t="e">
        <f>GETPIVOTDATA("Sum of  R value (m^2-K/W)",'COMPONENT PIVOT REF'!$P$3,"System Name",Table4[[#This Row],[Int Finish]])</f>
        <v>#REF!</v>
      </c>
      <c r="W124" t="e">
        <f>GETPIVOTDATA("Sum of Total Mass per m^2 (kg)",'COMPONENT PIVOT REF'!$P$3,"System Name",Table4[[#This Row],[Int Finish]])</f>
        <v>#REF!</v>
      </c>
      <c r="X124" t="e">
        <f>Table4[[#This Row],[Ext Finish GWP]]+Table4[[#This Row],[Base GWP]]+Table4[[#This Row],[Int Finish GWP]]</f>
        <v>#REF!</v>
      </c>
      <c r="Y124" t="e">
        <f>Table4[[#This Row],[Ext Finish R Value]]+Table4[[#This Row],[Base R Value]]+Table4[[#This Row],[Int Finish R Value]]</f>
        <v>#REF!</v>
      </c>
      <c r="Z124" t="e">
        <f>1/Table4[[#This Row],[Total R value]]</f>
        <v>#REF!</v>
      </c>
      <c r="AA124" t="e">
        <f>Table4[[#This Row],[Int Finish Mass]]+Table4[[#This Row],[Ext Finish Mass]]+Table4[[#This Row],[Base Mass]]</f>
        <v>#REF!</v>
      </c>
    </row>
    <row r="125" spans="3:27" x14ac:dyDescent="0.35">
      <c r="C125" t="str">
        <f>_xlfn.CONCAT(Table4[[#This Row],[System Name (Short)]],"_",Table4[[#This Row],[Ext Finish Name (Short)]],"_",Table4[[#This Row],[Int Finish Name (Short)]])</f>
        <v>0_0_0</v>
      </c>
      <c r="E125">
        <f>_xlfn.XLOOKUP(Table4[[#This Row],[Base System]],BASE_SYSTEM_TABLE[System Name],BASE_SYSTEM_TABLE[System Name (Short)],FALSE)</f>
        <v>0</v>
      </c>
      <c r="F125">
        <f>_xlfn.XLOOKUP(Table4[[#This Row],[Base System]],BASE_SYSTEM_TABLE[System Name],BASE_SYSTEM_TABLE[System Type],FALSE)</f>
        <v>0</v>
      </c>
      <c r="G125">
        <f>_xlfn.XLOOKUP(Table4[[#This Row],[Base System]],BASE_SYSTEM_TABLE[System Name],BASE_SYSTEM_TABLE[System Subtype],FALSE)</f>
        <v>0</v>
      </c>
      <c r="H125">
        <f>_xlfn.XLOOKUP(Table4[[#This Row],[Base System]],BASE_SYSTEM_TABLE[System Name],BASE_SYSTEM_TABLE[Construction Type (Framed or Planar)],FALSE)</f>
        <v>0</v>
      </c>
      <c r="I125" t="e">
        <f>GETPIVOTDATA("Sum of A1-A3 Fossil kg CO2e/m^2 wall area",'COMPONENT PIVOT REF'!$A$3,"System Name",Table4[[#This Row],[Base System]])</f>
        <v>#REF!</v>
      </c>
      <c r="J125" t="e">
        <f>GETPIVOTDATA("Sum of  R value (m^2-K/W)",'COMPONENT PIVOT REF'!$A$3,"System Name",Table4[[#This Row],[Base System]])</f>
        <v>#REF!</v>
      </c>
      <c r="K125" t="e">
        <f>GETPIVOTDATA("Sum of Total Mass per m^2 (kg)",'COMPONENT PIVOT REF'!$A$3,"System Name",Table4[[#This Row],[Base System]])</f>
        <v>#REF!</v>
      </c>
      <c r="M125">
        <f>_xlfn.XLOOKUP(Table4[[#This Row],[Ext Finish]],Master_Table4[System Name],Master_Table4[System Name (Short)],FALSE)</f>
        <v>0</v>
      </c>
      <c r="N125">
        <f>_xlfn.XLOOKUP(Table4[[#This Row],[Ext Finish]],Master_Table4[System Name],Master_Table4[Compatible Systems],FALSE)</f>
        <v>0</v>
      </c>
      <c r="O125" t="str">
        <f>IF(ISNUMBER(SEARCH(Table4[[#This Row],[MMC Method]],Table4[[#This Row],[Compatible Systems]])),"YES","NO")</f>
        <v>YES</v>
      </c>
      <c r="P125" t="e">
        <f>GETPIVOTDATA("Sum of A1-A3 Fossil kg CO2e/m^2 wall area",'COMPONENT PIVOT REF'!$I$3,"System Name",Table4[[#This Row],[Ext Finish]])</f>
        <v>#REF!</v>
      </c>
      <c r="Q125" t="e">
        <f>GETPIVOTDATA("Sum of  R value (m^2-K/W)",'COMPONENT PIVOT REF'!$I$3,"System Name",Table4[[#This Row],[Ext Finish]])</f>
        <v>#REF!</v>
      </c>
      <c r="R125" t="e">
        <f>GETPIVOTDATA("Sum of Total Mass per m^2 (kg)",'COMPONENT PIVOT REF'!$I$3,"System Name",Table4[[#This Row],[Ext Finish]])</f>
        <v>#REF!</v>
      </c>
      <c r="T125">
        <f>_xlfn.XLOOKUP(Table4[[#This Row],[Int Finish]],Master_Table6[System Name],Master_Table6[System Name (Short)],FALSE)</f>
        <v>0</v>
      </c>
      <c r="U125" t="e">
        <f>GETPIVOTDATA("Sum of A1-A3 Fossil kg CO2e/m^2 wall area",'COMPONENT PIVOT REF'!$P$3,"System Name",Table4[[#This Row],[Int Finish]])</f>
        <v>#REF!</v>
      </c>
      <c r="V125" t="e">
        <f>GETPIVOTDATA("Sum of  R value (m^2-K/W)",'COMPONENT PIVOT REF'!$P$3,"System Name",Table4[[#This Row],[Int Finish]])</f>
        <v>#REF!</v>
      </c>
      <c r="W125" t="e">
        <f>GETPIVOTDATA("Sum of Total Mass per m^2 (kg)",'COMPONENT PIVOT REF'!$P$3,"System Name",Table4[[#This Row],[Int Finish]])</f>
        <v>#REF!</v>
      </c>
      <c r="X125" t="e">
        <f>Table4[[#This Row],[Ext Finish GWP]]+Table4[[#This Row],[Base GWP]]+Table4[[#This Row],[Int Finish GWP]]</f>
        <v>#REF!</v>
      </c>
      <c r="Y125" t="e">
        <f>Table4[[#This Row],[Ext Finish R Value]]+Table4[[#This Row],[Base R Value]]+Table4[[#This Row],[Int Finish R Value]]</f>
        <v>#REF!</v>
      </c>
      <c r="Z125" t="e">
        <f>1/Table4[[#This Row],[Total R value]]</f>
        <v>#REF!</v>
      </c>
      <c r="AA125" t="e">
        <f>Table4[[#This Row],[Int Finish Mass]]+Table4[[#This Row],[Ext Finish Mass]]+Table4[[#This Row],[Base Mass]]</f>
        <v>#REF!</v>
      </c>
    </row>
    <row r="126" spans="3:27" x14ac:dyDescent="0.35">
      <c r="C126" t="str">
        <f>_xlfn.CONCAT(Table4[[#This Row],[System Name (Short)]],"_",Table4[[#This Row],[Ext Finish Name (Short)]],"_",Table4[[#This Row],[Int Finish Name (Short)]])</f>
        <v>0_0_0</v>
      </c>
      <c r="E126">
        <f>_xlfn.XLOOKUP(Table4[[#This Row],[Base System]],BASE_SYSTEM_TABLE[System Name],BASE_SYSTEM_TABLE[System Name (Short)],FALSE)</f>
        <v>0</v>
      </c>
      <c r="F126">
        <f>_xlfn.XLOOKUP(Table4[[#This Row],[Base System]],BASE_SYSTEM_TABLE[System Name],BASE_SYSTEM_TABLE[System Type],FALSE)</f>
        <v>0</v>
      </c>
      <c r="G126">
        <f>_xlfn.XLOOKUP(Table4[[#This Row],[Base System]],BASE_SYSTEM_TABLE[System Name],BASE_SYSTEM_TABLE[System Subtype],FALSE)</f>
        <v>0</v>
      </c>
      <c r="H126">
        <f>_xlfn.XLOOKUP(Table4[[#This Row],[Base System]],BASE_SYSTEM_TABLE[System Name],BASE_SYSTEM_TABLE[Construction Type (Framed or Planar)],FALSE)</f>
        <v>0</v>
      </c>
      <c r="I126" t="e">
        <f>GETPIVOTDATA("Sum of A1-A3 Fossil kg CO2e/m^2 wall area",'COMPONENT PIVOT REF'!$A$3,"System Name",Table4[[#This Row],[Base System]])</f>
        <v>#REF!</v>
      </c>
      <c r="J126" t="e">
        <f>GETPIVOTDATA("Sum of  R value (m^2-K/W)",'COMPONENT PIVOT REF'!$A$3,"System Name",Table4[[#This Row],[Base System]])</f>
        <v>#REF!</v>
      </c>
      <c r="K126" t="e">
        <f>GETPIVOTDATA("Sum of Total Mass per m^2 (kg)",'COMPONENT PIVOT REF'!$A$3,"System Name",Table4[[#This Row],[Base System]])</f>
        <v>#REF!</v>
      </c>
      <c r="M126">
        <f>_xlfn.XLOOKUP(Table4[[#This Row],[Ext Finish]],Master_Table4[System Name],Master_Table4[System Name (Short)],FALSE)</f>
        <v>0</v>
      </c>
      <c r="N126">
        <f>_xlfn.XLOOKUP(Table4[[#This Row],[Ext Finish]],Master_Table4[System Name],Master_Table4[Compatible Systems],FALSE)</f>
        <v>0</v>
      </c>
      <c r="O126" t="str">
        <f>IF(ISNUMBER(SEARCH(Table4[[#This Row],[MMC Method]],Table4[[#This Row],[Compatible Systems]])),"YES","NO")</f>
        <v>YES</v>
      </c>
      <c r="P126" t="e">
        <f>GETPIVOTDATA("Sum of A1-A3 Fossil kg CO2e/m^2 wall area",'COMPONENT PIVOT REF'!$I$3,"System Name",Table4[[#This Row],[Ext Finish]])</f>
        <v>#REF!</v>
      </c>
      <c r="Q126" t="e">
        <f>GETPIVOTDATA("Sum of  R value (m^2-K/W)",'COMPONENT PIVOT REF'!$I$3,"System Name",Table4[[#This Row],[Ext Finish]])</f>
        <v>#REF!</v>
      </c>
      <c r="R126" t="e">
        <f>GETPIVOTDATA("Sum of Total Mass per m^2 (kg)",'COMPONENT PIVOT REF'!$I$3,"System Name",Table4[[#This Row],[Ext Finish]])</f>
        <v>#REF!</v>
      </c>
      <c r="T126">
        <f>_xlfn.XLOOKUP(Table4[[#This Row],[Int Finish]],Master_Table6[System Name],Master_Table6[System Name (Short)],FALSE)</f>
        <v>0</v>
      </c>
      <c r="U126" t="e">
        <f>GETPIVOTDATA("Sum of A1-A3 Fossil kg CO2e/m^2 wall area",'COMPONENT PIVOT REF'!$P$3,"System Name",Table4[[#This Row],[Int Finish]])</f>
        <v>#REF!</v>
      </c>
      <c r="V126" t="e">
        <f>GETPIVOTDATA("Sum of  R value (m^2-K/W)",'COMPONENT PIVOT REF'!$P$3,"System Name",Table4[[#This Row],[Int Finish]])</f>
        <v>#REF!</v>
      </c>
      <c r="W126" t="e">
        <f>GETPIVOTDATA("Sum of Total Mass per m^2 (kg)",'COMPONENT PIVOT REF'!$P$3,"System Name",Table4[[#This Row],[Int Finish]])</f>
        <v>#REF!</v>
      </c>
      <c r="X126" t="e">
        <f>Table4[[#This Row],[Ext Finish GWP]]+Table4[[#This Row],[Base GWP]]+Table4[[#This Row],[Int Finish GWP]]</f>
        <v>#REF!</v>
      </c>
      <c r="Y126" t="e">
        <f>Table4[[#This Row],[Ext Finish R Value]]+Table4[[#This Row],[Base R Value]]+Table4[[#This Row],[Int Finish R Value]]</f>
        <v>#REF!</v>
      </c>
      <c r="Z126" t="e">
        <f>1/Table4[[#This Row],[Total R value]]</f>
        <v>#REF!</v>
      </c>
      <c r="AA126" t="e">
        <f>Table4[[#This Row],[Int Finish Mass]]+Table4[[#This Row],[Ext Finish Mass]]+Table4[[#This Row],[Base Mass]]</f>
        <v>#REF!</v>
      </c>
    </row>
    <row r="127" spans="3:27" x14ac:dyDescent="0.35">
      <c r="C127" t="str">
        <f>_xlfn.CONCAT(Table4[[#This Row],[System Name (Short)]],"_",Table4[[#This Row],[Ext Finish Name (Short)]],"_",Table4[[#This Row],[Int Finish Name (Short)]])</f>
        <v>0_0_0</v>
      </c>
      <c r="E127">
        <f>_xlfn.XLOOKUP(Table4[[#This Row],[Base System]],BASE_SYSTEM_TABLE[System Name],BASE_SYSTEM_TABLE[System Name (Short)],FALSE)</f>
        <v>0</v>
      </c>
      <c r="F127">
        <f>_xlfn.XLOOKUP(Table4[[#This Row],[Base System]],BASE_SYSTEM_TABLE[System Name],BASE_SYSTEM_TABLE[System Type],FALSE)</f>
        <v>0</v>
      </c>
      <c r="G127">
        <f>_xlfn.XLOOKUP(Table4[[#This Row],[Base System]],BASE_SYSTEM_TABLE[System Name],BASE_SYSTEM_TABLE[System Subtype],FALSE)</f>
        <v>0</v>
      </c>
      <c r="H127">
        <f>_xlfn.XLOOKUP(Table4[[#This Row],[Base System]],BASE_SYSTEM_TABLE[System Name],BASE_SYSTEM_TABLE[Construction Type (Framed or Planar)],FALSE)</f>
        <v>0</v>
      </c>
      <c r="I127" t="e">
        <f>GETPIVOTDATA("Sum of A1-A3 Fossil kg CO2e/m^2 wall area",'COMPONENT PIVOT REF'!$A$3,"System Name",Table4[[#This Row],[Base System]])</f>
        <v>#REF!</v>
      </c>
      <c r="J127" t="e">
        <f>GETPIVOTDATA("Sum of  R value (m^2-K/W)",'COMPONENT PIVOT REF'!$A$3,"System Name",Table4[[#This Row],[Base System]])</f>
        <v>#REF!</v>
      </c>
      <c r="K127" t="e">
        <f>GETPIVOTDATA("Sum of Total Mass per m^2 (kg)",'COMPONENT PIVOT REF'!$A$3,"System Name",Table4[[#This Row],[Base System]])</f>
        <v>#REF!</v>
      </c>
      <c r="M127">
        <f>_xlfn.XLOOKUP(Table4[[#This Row],[Ext Finish]],Master_Table4[System Name],Master_Table4[System Name (Short)],FALSE)</f>
        <v>0</v>
      </c>
      <c r="N127">
        <f>_xlfn.XLOOKUP(Table4[[#This Row],[Ext Finish]],Master_Table4[System Name],Master_Table4[Compatible Systems],FALSE)</f>
        <v>0</v>
      </c>
      <c r="O127" t="str">
        <f>IF(ISNUMBER(SEARCH(Table4[[#This Row],[MMC Method]],Table4[[#This Row],[Compatible Systems]])),"YES","NO")</f>
        <v>YES</v>
      </c>
      <c r="P127" t="e">
        <f>GETPIVOTDATA("Sum of A1-A3 Fossil kg CO2e/m^2 wall area",'COMPONENT PIVOT REF'!$I$3,"System Name",Table4[[#This Row],[Ext Finish]])</f>
        <v>#REF!</v>
      </c>
      <c r="Q127" t="e">
        <f>GETPIVOTDATA("Sum of  R value (m^2-K/W)",'COMPONENT PIVOT REF'!$I$3,"System Name",Table4[[#This Row],[Ext Finish]])</f>
        <v>#REF!</v>
      </c>
      <c r="R127" t="e">
        <f>GETPIVOTDATA("Sum of Total Mass per m^2 (kg)",'COMPONENT PIVOT REF'!$I$3,"System Name",Table4[[#This Row],[Ext Finish]])</f>
        <v>#REF!</v>
      </c>
      <c r="T127">
        <f>_xlfn.XLOOKUP(Table4[[#This Row],[Int Finish]],Master_Table6[System Name],Master_Table6[System Name (Short)],FALSE)</f>
        <v>0</v>
      </c>
      <c r="U127" t="e">
        <f>GETPIVOTDATA("Sum of A1-A3 Fossil kg CO2e/m^2 wall area",'COMPONENT PIVOT REF'!$P$3,"System Name",Table4[[#This Row],[Int Finish]])</f>
        <v>#REF!</v>
      </c>
      <c r="V127" t="e">
        <f>GETPIVOTDATA("Sum of  R value (m^2-K/W)",'COMPONENT PIVOT REF'!$P$3,"System Name",Table4[[#This Row],[Int Finish]])</f>
        <v>#REF!</v>
      </c>
      <c r="W127" t="e">
        <f>GETPIVOTDATA("Sum of Total Mass per m^2 (kg)",'COMPONENT PIVOT REF'!$P$3,"System Name",Table4[[#This Row],[Int Finish]])</f>
        <v>#REF!</v>
      </c>
      <c r="X127" t="e">
        <f>Table4[[#This Row],[Ext Finish GWP]]+Table4[[#This Row],[Base GWP]]+Table4[[#This Row],[Int Finish GWP]]</f>
        <v>#REF!</v>
      </c>
      <c r="Y127" t="e">
        <f>Table4[[#This Row],[Ext Finish R Value]]+Table4[[#This Row],[Base R Value]]+Table4[[#This Row],[Int Finish R Value]]</f>
        <v>#REF!</v>
      </c>
      <c r="Z127" t="e">
        <f>1/Table4[[#This Row],[Total R value]]</f>
        <v>#REF!</v>
      </c>
      <c r="AA127" t="e">
        <f>Table4[[#This Row],[Int Finish Mass]]+Table4[[#This Row],[Ext Finish Mass]]+Table4[[#This Row],[Base Mass]]</f>
        <v>#REF!</v>
      </c>
    </row>
    <row r="128" spans="3:27" x14ac:dyDescent="0.35">
      <c r="C128" t="str">
        <f>_xlfn.CONCAT(Table4[[#This Row],[System Name (Short)]],"_",Table4[[#This Row],[Ext Finish Name (Short)]],"_",Table4[[#This Row],[Int Finish Name (Short)]])</f>
        <v>0_0_0</v>
      </c>
      <c r="E128">
        <f>_xlfn.XLOOKUP(Table4[[#This Row],[Base System]],BASE_SYSTEM_TABLE[System Name],BASE_SYSTEM_TABLE[System Name (Short)],FALSE)</f>
        <v>0</v>
      </c>
      <c r="F128">
        <f>_xlfn.XLOOKUP(Table4[[#This Row],[Base System]],BASE_SYSTEM_TABLE[System Name],BASE_SYSTEM_TABLE[System Type],FALSE)</f>
        <v>0</v>
      </c>
      <c r="G128">
        <f>_xlfn.XLOOKUP(Table4[[#This Row],[Base System]],BASE_SYSTEM_TABLE[System Name],BASE_SYSTEM_TABLE[System Subtype],FALSE)</f>
        <v>0</v>
      </c>
      <c r="H128">
        <f>_xlfn.XLOOKUP(Table4[[#This Row],[Base System]],BASE_SYSTEM_TABLE[System Name],BASE_SYSTEM_TABLE[Construction Type (Framed or Planar)],FALSE)</f>
        <v>0</v>
      </c>
      <c r="I128" t="e">
        <f>GETPIVOTDATA("Sum of A1-A3 Fossil kg CO2e/m^2 wall area",'COMPONENT PIVOT REF'!$A$3,"System Name",Table4[[#This Row],[Base System]])</f>
        <v>#REF!</v>
      </c>
      <c r="J128" t="e">
        <f>GETPIVOTDATA("Sum of  R value (m^2-K/W)",'COMPONENT PIVOT REF'!$A$3,"System Name",Table4[[#This Row],[Base System]])</f>
        <v>#REF!</v>
      </c>
      <c r="K128" t="e">
        <f>GETPIVOTDATA("Sum of Total Mass per m^2 (kg)",'COMPONENT PIVOT REF'!$A$3,"System Name",Table4[[#This Row],[Base System]])</f>
        <v>#REF!</v>
      </c>
      <c r="M128">
        <f>_xlfn.XLOOKUP(Table4[[#This Row],[Ext Finish]],Master_Table4[System Name],Master_Table4[System Name (Short)],FALSE)</f>
        <v>0</v>
      </c>
      <c r="N128">
        <f>_xlfn.XLOOKUP(Table4[[#This Row],[Ext Finish]],Master_Table4[System Name],Master_Table4[Compatible Systems],FALSE)</f>
        <v>0</v>
      </c>
      <c r="O128" t="str">
        <f>IF(ISNUMBER(SEARCH(Table4[[#This Row],[MMC Method]],Table4[[#This Row],[Compatible Systems]])),"YES","NO")</f>
        <v>YES</v>
      </c>
      <c r="P128" t="e">
        <f>GETPIVOTDATA("Sum of A1-A3 Fossil kg CO2e/m^2 wall area",'COMPONENT PIVOT REF'!$I$3,"System Name",Table4[[#This Row],[Ext Finish]])</f>
        <v>#REF!</v>
      </c>
      <c r="Q128" t="e">
        <f>GETPIVOTDATA("Sum of  R value (m^2-K/W)",'COMPONENT PIVOT REF'!$I$3,"System Name",Table4[[#This Row],[Ext Finish]])</f>
        <v>#REF!</v>
      </c>
      <c r="R128" t="e">
        <f>GETPIVOTDATA("Sum of Total Mass per m^2 (kg)",'COMPONENT PIVOT REF'!$I$3,"System Name",Table4[[#This Row],[Ext Finish]])</f>
        <v>#REF!</v>
      </c>
      <c r="T128">
        <f>_xlfn.XLOOKUP(Table4[[#This Row],[Int Finish]],Master_Table6[System Name],Master_Table6[System Name (Short)],FALSE)</f>
        <v>0</v>
      </c>
      <c r="U128" t="e">
        <f>GETPIVOTDATA("Sum of A1-A3 Fossil kg CO2e/m^2 wall area",'COMPONENT PIVOT REF'!$P$3,"System Name",Table4[[#This Row],[Int Finish]])</f>
        <v>#REF!</v>
      </c>
      <c r="V128" t="e">
        <f>GETPIVOTDATA("Sum of  R value (m^2-K/W)",'COMPONENT PIVOT REF'!$P$3,"System Name",Table4[[#This Row],[Int Finish]])</f>
        <v>#REF!</v>
      </c>
      <c r="W128" t="e">
        <f>GETPIVOTDATA("Sum of Total Mass per m^2 (kg)",'COMPONENT PIVOT REF'!$P$3,"System Name",Table4[[#This Row],[Int Finish]])</f>
        <v>#REF!</v>
      </c>
      <c r="X128" t="e">
        <f>Table4[[#This Row],[Ext Finish GWP]]+Table4[[#This Row],[Base GWP]]+Table4[[#This Row],[Int Finish GWP]]</f>
        <v>#REF!</v>
      </c>
      <c r="Y128" t="e">
        <f>Table4[[#This Row],[Ext Finish R Value]]+Table4[[#This Row],[Base R Value]]+Table4[[#This Row],[Int Finish R Value]]</f>
        <v>#REF!</v>
      </c>
      <c r="Z128" t="e">
        <f>1/Table4[[#This Row],[Total R value]]</f>
        <v>#REF!</v>
      </c>
      <c r="AA128" t="e">
        <f>Table4[[#This Row],[Int Finish Mass]]+Table4[[#This Row],[Ext Finish Mass]]+Table4[[#This Row],[Base Mass]]</f>
        <v>#REF!</v>
      </c>
    </row>
    <row r="129" spans="3:27" x14ac:dyDescent="0.35">
      <c r="C129" t="str">
        <f>_xlfn.CONCAT(Table4[[#This Row],[System Name (Short)]],"_",Table4[[#This Row],[Ext Finish Name (Short)]],"_",Table4[[#This Row],[Int Finish Name (Short)]])</f>
        <v>0_0_0</v>
      </c>
      <c r="E129">
        <f>_xlfn.XLOOKUP(Table4[[#This Row],[Base System]],BASE_SYSTEM_TABLE[System Name],BASE_SYSTEM_TABLE[System Name (Short)],FALSE)</f>
        <v>0</v>
      </c>
      <c r="F129">
        <f>_xlfn.XLOOKUP(Table4[[#This Row],[Base System]],BASE_SYSTEM_TABLE[System Name],BASE_SYSTEM_TABLE[System Type],FALSE)</f>
        <v>0</v>
      </c>
      <c r="G129">
        <f>_xlfn.XLOOKUP(Table4[[#This Row],[Base System]],BASE_SYSTEM_TABLE[System Name],BASE_SYSTEM_TABLE[System Subtype],FALSE)</f>
        <v>0</v>
      </c>
      <c r="H129">
        <f>_xlfn.XLOOKUP(Table4[[#This Row],[Base System]],BASE_SYSTEM_TABLE[System Name],BASE_SYSTEM_TABLE[Construction Type (Framed or Planar)],FALSE)</f>
        <v>0</v>
      </c>
      <c r="I129" t="e">
        <f>GETPIVOTDATA("Sum of A1-A3 Fossil kg CO2e/m^2 wall area",'COMPONENT PIVOT REF'!$A$3,"System Name",Table4[[#This Row],[Base System]])</f>
        <v>#REF!</v>
      </c>
      <c r="J129" t="e">
        <f>GETPIVOTDATA("Sum of  R value (m^2-K/W)",'COMPONENT PIVOT REF'!$A$3,"System Name",Table4[[#This Row],[Base System]])</f>
        <v>#REF!</v>
      </c>
      <c r="K129" t="e">
        <f>GETPIVOTDATA("Sum of Total Mass per m^2 (kg)",'COMPONENT PIVOT REF'!$A$3,"System Name",Table4[[#This Row],[Base System]])</f>
        <v>#REF!</v>
      </c>
      <c r="M129">
        <f>_xlfn.XLOOKUP(Table4[[#This Row],[Ext Finish]],Master_Table4[System Name],Master_Table4[System Name (Short)],FALSE)</f>
        <v>0</v>
      </c>
      <c r="N129">
        <f>_xlfn.XLOOKUP(Table4[[#This Row],[Ext Finish]],Master_Table4[System Name],Master_Table4[Compatible Systems],FALSE)</f>
        <v>0</v>
      </c>
      <c r="O129" t="str">
        <f>IF(ISNUMBER(SEARCH(Table4[[#This Row],[MMC Method]],Table4[[#This Row],[Compatible Systems]])),"YES","NO")</f>
        <v>YES</v>
      </c>
      <c r="P129" t="e">
        <f>GETPIVOTDATA("Sum of A1-A3 Fossil kg CO2e/m^2 wall area",'COMPONENT PIVOT REF'!$I$3,"System Name",Table4[[#This Row],[Ext Finish]])</f>
        <v>#REF!</v>
      </c>
      <c r="Q129" t="e">
        <f>GETPIVOTDATA("Sum of  R value (m^2-K/W)",'COMPONENT PIVOT REF'!$I$3,"System Name",Table4[[#This Row],[Ext Finish]])</f>
        <v>#REF!</v>
      </c>
      <c r="R129" t="e">
        <f>GETPIVOTDATA("Sum of Total Mass per m^2 (kg)",'COMPONENT PIVOT REF'!$I$3,"System Name",Table4[[#This Row],[Ext Finish]])</f>
        <v>#REF!</v>
      </c>
      <c r="T129">
        <f>_xlfn.XLOOKUP(Table4[[#This Row],[Int Finish]],Master_Table6[System Name],Master_Table6[System Name (Short)],FALSE)</f>
        <v>0</v>
      </c>
      <c r="U129" t="e">
        <f>GETPIVOTDATA("Sum of A1-A3 Fossil kg CO2e/m^2 wall area",'COMPONENT PIVOT REF'!$P$3,"System Name",Table4[[#This Row],[Int Finish]])</f>
        <v>#REF!</v>
      </c>
      <c r="V129" t="e">
        <f>GETPIVOTDATA("Sum of  R value (m^2-K/W)",'COMPONENT PIVOT REF'!$P$3,"System Name",Table4[[#This Row],[Int Finish]])</f>
        <v>#REF!</v>
      </c>
      <c r="W129" t="e">
        <f>GETPIVOTDATA("Sum of Total Mass per m^2 (kg)",'COMPONENT PIVOT REF'!$P$3,"System Name",Table4[[#This Row],[Int Finish]])</f>
        <v>#REF!</v>
      </c>
      <c r="X129" t="e">
        <f>Table4[[#This Row],[Ext Finish GWP]]+Table4[[#This Row],[Base GWP]]+Table4[[#This Row],[Int Finish GWP]]</f>
        <v>#REF!</v>
      </c>
      <c r="Y129" t="e">
        <f>Table4[[#This Row],[Ext Finish R Value]]+Table4[[#This Row],[Base R Value]]+Table4[[#This Row],[Int Finish R Value]]</f>
        <v>#REF!</v>
      </c>
      <c r="Z129" t="e">
        <f>1/Table4[[#This Row],[Total R value]]</f>
        <v>#REF!</v>
      </c>
      <c r="AA129" t="e">
        <f>Table4[[#This Row],[Int Finish Mass]]+Table4[[#This Row],[Ext Finish Mass]]+Table4[[#This Row],[Base Mass]]</f>
        <v>#REF!</v>
      </c>
    </row>
    <row r="130" spans="3:27" x14ac:dyDescent="0.35">
      <c r="C130" t="str">
        <f>_xlfn.CONCAT(Table4[[#This Row],[System Name (Short)]],"_",Table4[[#This Row],[Ext Finish Name (Short)]],"_",Table4[[#This Row],[Int Finish Name (Short)]])</f>
        <v>0_0_0</v>
      </c>
      <c r="E130">
        <f>_xlfn.XLOOKUP(Table4[[#This Row],[Base System]],BASE_SYSTEM_TABLE[System Name],BASE_SYSTEM_TABLE[System Name (Short)],FALSE)</f>
        <v>0</v>
      </c>
      <c r="F130">
        <f>_xlfn.XLOOKUP(Table4[[#This Row],[Base System]],BASE_SYSTEM_TABLE[System Name],BASE_SYSTEM_TABLE[System Type],FALSE)</f>
        <v>0</v>
      </c>
      <c r="G130">
        <f>_xlfn.XLOOKUP(Table4[[#This Row],[Base System]],BASE_SYSTEM_TABLE[System Name],BASE_SYSTEM_TABLE[System Subtype],FALSE)</f>
        <v>0</v>
      </c>
      <c r="H130">
        <f>_xlfn.XLOOKUP(Table4[[#This Row],[Base System]],BASE_SYSTEM_TABLE[System Name],BASE_SYSTEM_TABLE[Construction Type (Framed or Planar)],FALSE)</f>
        <v>0</v>
      </c>
      <c r="I130" t="e">
        <f>GETPIVOTDATA("Sum of A1-A3 Fossil kg CO2e/m^2 wall area",'COMPONENT PIVOT REF'!$A$3,"System Name",Table4[[#This Row],[Base System]])</f>
        <v>#REF!</v>
      </c>
      <c r="J130" t="e">
        <f>GETPIVOTDATA("Sum of  R value (m^2-K/W)",'COMPONENT PIVOT REF'!$A$3,"System Name",Table4[[#This Row],[Base System]])</f>
        <v>#REF!</v>
      </c>
      <c r="K130" t="e">
        <f>GETPIVOTDATA("Sum of Total Mass per m^2 (kg)",'COMPONENT PIVOT REF'!$A$3,"System Name",Table4[[#This Row],[Base System]])</f>
        <v>#REF!</v>
      </c>
      <c r="M130">
        <f>_xlfn.XLOOKUP(Table4[[#This Row],[Ext Finish]],Master_Table4[System Name],Master_Table4[System Name (Short)],FALSE)</f>
        <v>0</v>
      </c>
      <c r="N130">
        <f>_xlfn.XLOOKUP(Table4[[#This Row],[Ext Finish]],Master_Table4[System Name],Master_Table4[Compatible Systems],FALSE)</f>
        <v>0</v>
      </c>
      <c r="O130" t="str">
        <f>IF(ISNUMBER(SEARCH(Table4[[#This Row],[MMC Method]],Table4[[#This Row],[Compatible Systems]])),"YES","NO")</f>
        <v>YES</v>
      </c>
      <c r="P130" t="e">
        <f>GETPIVOTDATA("Sum of A1-A3 Fossil kg CO2e/m^2 wall area",'COMPONENT PIVOT REF'!$I$3,"System Name",Table4[[#This Row],[Ext Finish]])</f>
        <v>#REF!</v>
      </c>
      <c r="Q130" t="e">
        <f>GETPIVOTDATA("Sum of  R value (m^2-K/W)",'COMPONENT PIVOT REF'!$I$3,"System Name",Table4[[#This Row],[Ext Finish]])</f>
        <v>#REF!</v>
      </c>
      <c r="R130" t="e">
        <f>GETPIVOTDATA("Sum of Total Mass per m^2 (kg)",'COMPONENT PIVOT REF'!$I$3,"System Name",Table4[[#This Row],[Ext Finish]])</f>
        <v>#REF!</v>
      </c>
      <c r="T130">
        <f>_xlfn.XLOOKUP(Table4[[#This Row],[Int Finish]],Master_Table6[System Name],Master_Table6[System Name (Short)],FALSE)</f>
        <v>0</v>
      </c>
      <c r="U130" t="e">
        <f>GETPIVOTDATA("Sum of A1-A3 Fossil kg CO2e/m^2 wall area",'COMPONENT PIVOT REF'!$P$3,"System Name",Table4[[#This Row],[Int Finish]])</f>
        <v>#REF!</v>
      </c>
      <c r="V130" t="e">
        <f>GETPIVOTDATA("Sum of  R value (m^2-K/W)",'COMPONENT PIVOT REF'!$P$3,"System Name",Table4[[#This Row],[Int Finish]])</f>
        <v>#REF!</v>
      </c>
      <c r="W130" t="e">
        <f>GETPIVOTDATA("Sum of Total Mass per m^2 (kg)",'COMPONENT PIVOT REF'!$P$3,"System Name",Table4[[#This Row],[Int Finish]])</f>
        <v>#REF!</v>
      </c>
      <c r="X130" t="e">
        <f>Table4[[#This Row],[Ext Finish GWP]]+Table4[[#This Row],[Base GWP]]+Table4[[#This Row],[Int Finish GWP]]</f>
        <v>#REF!</v>
      </c>
      <c r="Y130" t="e">
        <f>Table4[[#This Row],[Ext Finish R Value]]+Table4[[#This Row],[Base R Value]]+Table4[[#This Row],[Int Finish R Value]]</f>
        <v>#REF!</v>
      </c>
      <c r="Z130" t="e">
        <f>1/Table4[[#This Row],[Total R value]]</f>
        <v>#REF!</v>
      </c>
      <c r="AA130" t="e">
        <f>Table4[[#This Row],[Int Finish Mass]]+Table4[[#This Row],[Ext Finish Mass]]+Table4[[#This Row],[Base Mass]]</f>
        <v>#REF!</v>
      </c>
    </row>
    <row r="131" spans="3:27" x14ac:dyDescent="0.35">
      <c r="C131" t="str">
        <f>_xlfn.CONCAT(Table4[[#This Row],[System Name (Short)]],"_",Table4[[#This Row],[Ext Finish Name (Short)]],"_",Table4[[#This Row],[Int Finish Name (Short)]])</f>
        <v>0_0_0</v>
      </c>
      <c r="E131">
        <f>_xlfn.XLOOKUP(Table4[[#This Row],[Base System]],BASE_SYSTEM_TABLE[System Name],BASE_SYSTEM_TABLE[System Name (Short)],FALSE)</f>
        <v>0</v>
      </c>
      <c r="F131">
        <f>_xlfn.XLOOKUP(Table4[[#This Row],[Base System]],BASE_SYSTEM_TABLE[System Name],BASE_SYSTEM_TABLE[System Type],FALSE)</f>
        <v>0</v>
      </c>
      <c r="G131">
        <f>_xlfn.XLOOKUP(Table4[[#This Row],[Base System]],BASE_SYSTEM_TABLE[System Name],BASE_SYSTEM_TABLE[System Subtype],FALSE)</f>
        <v>0</v>
      </c>
      <c r="H131">
        <f>_xlfn.XLOOKUP(Table4[[#This Row],[Base System]],BASE_SYSTEM_TABLE[System Name],BASE_SYSTEM_TABLE[Construction Type (Framed or Planar)],FALSE)</f>
        <v>0</v>
      </c>
      <c r="I131" t="e">
        <f>GETPIVOTDATA("Sum of A1-A3 Fossil kg CO2e/m^2 wall area",'COMPONENT PIVOT REF'!$A$3,"System Name",Table4[[#This Row],[Base System]])</f>
        <v>#REF!</v>
      </c>
      <c r="J131" t="e">
        <f>GETPIVOTDATA("Sum of  R value (m^2-K/W)",'COMPONENT PIVOT REF'!$A$3,"System Name",Table4[[#This Row],[Base System]])</f>
        <v>#REF!</v>
      </c>
      <c r="K131" t="e">
        <f>GETPIVOTDATA("Sum of Total Mass per m^2 (kg)",'COMPONENT PIVOT REF'!$A$3,"System Name",Table4[[#This Row],[Base System]])</f>
        <v>#REF!</v>
      </c>
      <c r="M131">
        <f>_xlfn.XLOOKUP(Table4[[#This Row],[Ext Finish]],Master_Table4[System Name],Master_Table4[System Name (Short)],FALSE)</f>
        <v>0</v>
      </c>
      <c r="N131">
        <f>_xlfn.XLOOKUP(Table4[[#This Row],[Ext Finish]],Master_Table4[System Name],Master_Table4[Compatible Systems],FALSE)</f>
        <v>0</v>
      </c>
      <c r="O131" t="str">
        <f>IF(ISNUMBER(SEARCH(Table4[[#This Row],[MMC Method]],Table4[[#This Row],[Compatible Systems]])),"YES","NO")</f>
        <v>YES</v>
      </c>
      <c r="P131" t="e">
        <f>GETPIVOTDATA("Sum of A1-A3 Fossil kg CO2e/m^2 wall area",'COMPONENT PIVOT REF'!$I$3,"System Name",Table4[[#This Row],[Ext Finish]])</f>
        <v>#REF!</v>
      </c>
      <c r="Q131" t="e">
        <f>GETPIVOTDATA("Sum of  R value (m^2-K/W)",'COMPONENT PIVOT REF'!$I$3,"System Name",Table4[[#This Row],[Ext Finish]])</f>
        <v>#REF!</v>
      </c>
      <c r="R131" t="e">
        <f>GETPIVOTDATA("Sum of Total Mass per m^2 (kg)",'COMPONENT PIVOT REF'!$I$3,"System Name",Table4[[#This Row],[Ext Finish]])</f>
        <v>#REF!</v>
      </c>
      <c r="T131">
        <f>_xlfn.XLOOKUP(Table4[[#This Row],[Int Finish]],Master_Table6[System Name],Master_Table6[System Name (Short)],FALSE)</f>
        <v>0</v>
      </c>
      <c r="U131" t="e">
        <f>GETPIVOTDATA("Sum of A1-A3 Fossil kg CO2e/m^2 wall area",'COMPONENT PIVOT REF'!$P$3,"System Name",Table4[[#This Row],[Int Finish]])</f>
        <v>#REF!</v>
      </c>
      <c r="V131" t="e">
        <f>GETPIVOTDATA("Sum of  R value (m^2-K/W)",'COMPONENT PIVOT REF'!$P$3,"System Name",Table4[[#This Row],[Int Finish]])</f>
        <v>#REF!</v>
      </c>
      <c r="W131" t="e">
        <f>GETPIVOTDATA("Sum of Total Mass per m^2 (kg)",'COMPONENT PIVOT REF'!$P$3,"System Name",Table4[[#This Row],[Int Finish]])</f>
        <v>#REF!</v>
      </c>
      <c r="X131" t="e">
        <f>Table4[[#This Row],[Ext Finish GWP]]+Table4[[#This Row],[Base GWP]]+Table4[[#This Row],[Int Finish GWP]]</f>
        <v>#REF!</v>
      </c>
      <c r="Y131" t="e">
        <f>Table4[[#This Row],[Ext Finish R Value]]+Table4[[#This Row],[Base R Value]]+Table4[[#This Row],[Int Finish R Value]]</f>
        <v>#REF!</v>
      </c>
      <c r="Z131" t="e">
        <f>1/Table4[[#This Row],[Total R value]]</f>
        <v>#REF!</v>
      </c>
      <c r="AA131" t="e">
        <f>Table4[[#This Row],[Int Finish Mass]]+Table4[[#This Row],[Ext Finish Mass]]+Table4[[#This Row],[Base Mass]]</f>
        <v>#REF!</v>
      </c>
    </row>
    <row r="132" spans="3:27" x14ac:dyDescent="0.35">
      <c r="C132" t="str">
        <f>_xlfn.CONCAT(Table4[[#This Row],[System Name (Short)]],"_",Table4[[#This Row],[Ext Finish Name (Short)]],"_",Table4[[#This Row],[Int Finish Name (Short)]])</f>
        <v>0_0_0</v>
      </c>
      <c r="E132">
        <f>_xlfn.XLOOKUP(Table4[[#This Row],[Base System]],BASE_SYSTEM_TABLE[System Name],BASE_SYSTEM_TABLE[System Name (Short)],FALSE)</f>
        <v>0</v>
      </c>
      <c r="F132">
        <f>_xlfn.XLOOKUP(Table4[[#This Row],[Base System]],BASE_SYSTEM_TABLE[System Name],BASE_SYSTEM_TABLE[System Type],FALSE)</f>
        <v>0</v>
      </c>
      <c r="G132">
        <f>_xlfn.XLOOKUP(Table4[[#This Row],[Base System]],BASE_SYSTEM_TABLE[System Name],BASE_SYSTEM_TABLE[System Subtype],FALSE)</f>
        <v>0</v>
      </c>
      <c r="H132">
        <f>_xlfn.XLOOKUP(Table4[[#This Row],[Base System]],BASE_SYSTEM_TABLE[System Name],BASE_SYSTEM_TABLE[Construction Type (Framed or Planar)],FALSE)</f>
        <v>0</v>
      </c>
      <c r="I132" t="e">
        <f>GETPIVOTDATA("Sum of A1-A3 Fossil kg CO2e/m^2 wall area",'COMPONENT PIVOT REF'!$A$3,"System Name",Table4[[#This Row],[Base System]])</f>
        <v>#REF!</v>
      </c>
      <c r="J132" t="e">
        <f>GETPIVOTDATA("Sum of  R value (m^2-K/W)",'COMPONENT PIVOT REF'!$A$3,"System Name",Table4[[#This Row],[Base System]])</f>
        <v>#REF!</v>
      </c>
      <c r="K132" t="e">
        <f>GETPIVOTDATA("Sum of Total Mass per m^2 (kg)",'COMPONENT PIVOT REF'!$A$3,"System Name",Table4[[#This Row],[Base System]])</f>
        <v>#REF!</v>
      </c>
      <c r="M132">
        <f>_xlfn.XLOOKUP(Table4[[#This Row],[Ext Finish]],Master_Table4[System Name],Master_Table4[System Name (Short)],FALSE)</f>
        <v>0</v>
      </c>
      <c r="N132">
        <f>_xlfn.XLOOKUP(Table4[[#This Row],[Ext Finish]],Master_Table4[System Name],Master_Table4[Compatible Systems],FALSE)</f>
        <v>0</v>
      </c>
      <c r="O132" t="str">
        <f>IF(ISNUMBER(SEARCH(Table4[[#This Row],[MMC Method]],Table4[[#This Row],[Compatible Systems]])),"YES","NO")</f>
        <v>YES</v>
      </c>
      <c r="P132" t="e">
        <f>GETPIVOTDATA("Sum of A1-A3 Fossil kg CO2e/m^2 wall area",'COMPONENT PIVOT REF'!$I$3,"System Name",Table4[[#This Row],[Ext Finish]])</f>
        <v>#REF!</v>
      </c>
      <c r="Q132" t="e">
        <f>GETPIVOTDATA("Sum of  R value (m^2-K/W)",'COMPONENT PIVOT REF'!$I$3,"System Name",Table4[[#This Row],[Ext Finish]])</f>
        <v>#REF!</v>
      </c>
      <c r="R132" t="e">
        <f>GETPIVOTDATA("Sum of Total Mass per m^2 (kg)",'COMPONENT PIVOT REF'!$I$3,"System Name",Table4[[#This Row],[Ext Finish]])</f>
        <v>#REF!</v>
      </c>
      <c r="T132">
        <f>_xlfn.XLOOKUP(Table4[[#This Row],[Int Finish]],Master_Table6[System Name],Master_Table6[System Name (Short)],FALSE)</f>
        <v>0</v>
      </c>
      <c r="U132" t="e">
        <f>GETPIVOTDATA("Sum of A1-A3 Fossil kg CO2e/m^2 wall area",'COMPONENT PIVOT REF'!$P$3,"System Name",Table4[[#This Row],[Int Finish]])</f>
        <v>#REF!</v>
      </c>
      <c r="V132" t="e">
        <f>GETPIVOTDATA("Sum of  R value (m^2-K/W)",'COMPONENT PIVOT REF'!$P$3,"System Name",Table4[[#This Row],[Int Finish]])</f>
        <v>#REF!</v>
      </c>
      <c r="W132" t="e">
        <f>GETPIVOTDATA("Sum of Total Mass per m^2 (kg)",'COMPONENT PIVOT REF'!$P$3,"System Name",Table4[[#This Row],[Int Finish]])</f>
        <v>#REF!</v>
      </c>
      <c r="X132" t="e">
        <f>Table4[[#This Row],[Ext Finish GWP]]+Table4[[#This Row],[Base GWP]]+Table4[[#This Row],[Int Finish GWP]]</f>
        <v>#REF!</v>
      </c>
      <c r="Y132" t="e">
        <f>Table4[[#This Row],[Ext Finish R Value]]+Table4[[#This Row],[Base R Value]]+Table4[[#This Row],[Int Finish R Value]]</f>
        <v>#REF!</v>
      </c>
      <c r="Z132" t="e">
        <f>1/Table4[[#This Row],[Total R value]]</f>
        <v>#REF!</v>
      </c>
      <c r="AA132" t="e">
        <f>Table4[[#This Row],[Int Finish Mass]]+Table4[[#This Row],[Ext Finish Mass]]+Table4[[#This Row],[Base Mass]]</f>
        <v>#REF!</v>
      </c>
    </row>
    <row r="133" spans="3:27" x14ac:dyDescent="0.35">
      <c r="C133" t="str">
        <f>_xlfn.CONCAT(Table4[[#This Row],[System Name (Short)]],"_",Table4[[#This Row],[Ext Finish Name (Short)]],"_",Table4[[#This Row],[Int Finish Name (Short)]])</f>
        <v>0_0_0</v>
      </c>
      <c r="E133">
        <f>_xlfn.XLOOKUP(Table4[[#This Row],[Base System]],BASE_SYSTEM_TABLE[System Name],BASE_SYSTEM_TABLE[System Name (Short)],FALSE)</f>
        <v>0</v>
      </c>
      <c r="F133">
        <f>_xlfn.XLOOKUP(Table4[[#This Row],[Base System]],BASE_SYSTEM_TABLE[System Name],BASE_SYSTEM_TABLE[System Type],FALSE)</f>
        <v>0</v>
      </c>
      <c r="G133">
        <f>_xlfn.XLOOKUP(Table4[[#This Row],[Base System]],BASE_SYSTEM_TABLE[System Name],BASE_SYSTEM_TABLE[System Subtype],FALSE)</f>
        <v>0</v>
      </c>
      <c r="H133">
        <f>_xlfn.XLOOKUP(Table4[[#This Row],[Base System]],BASE_SYSTEM_TABLE[System Name],BASE_SYSTEM_TABLE[Construction Type (Framed or Planar)],FALSE)</f>
        <v>0</v>
      </c>
      <c r="I133" t="e">
        <f>GETPIVOTDATA("Sum of A1-A3 Fossil kg CO2e/m^2 wall area",'COMPONENT PIVOT REF'!$A$3,"System Name",Table4[[#This Row],[Base System]])</f>
        <v>#REF!</v>
      </c>
      <c r="J133" t="e">
        <f>GETPIVOTDATA("Sum of  R value (m^2-K/W)",'COMPONENT PIVOT REF'!$A$3,"System Name",Table4[[#This Row],[Base System]])</f>
        <v>#REF!</v>
      </c>
      <c r="K133" t="e">
        <f>GETPIVOTDATA("Sum of Total Mass per m^2 (kg)",'COMPONENT PIVOT REF'!$A$3,"System Name",Table4[[#This Row],[Base System]])</f>
        <v>#REF!</v>
      </c>
      <c r="M133">
        <f>_xlfn.XLOOKUP(Table4[[#This Row],[Ext Finish]],Master_Table4[System Name],Master_Table4[System Name (Short)],FALSE)</f>
        <v>0</v>
      </c>
      <c r="N133">
        <f>_xlfn.XLOOKUP(Table4[[#This Row],[Ext Finish]],Master_Table4[System Name],Master_Table4[Compatible Systems],FALSE)</f>
        <v>0</v>
      </c>
      <c r="O133" t="str">
        <f>IF(ISNUMBER(SEARCH(Table4[[#This Row],[MMC Method]],Table4[[#This Row],[Compatible Systems]])),"YES","NO")</f>
        <v>YES</v>
      </c>
      <c r="P133" t="e">
        <f>GETPIVOTDATA("Sum of A1-A3 Fossil kg CO2e/m^2 wall area",'COMPONENT PIVOT REF'!$I$3,"System Name",Table4[[#This Row],[Ext Finish]])</f>
        <v>#REF!</v>
      </c>
      <c r="Q133" t="e">
        <f>GETPIVOTDATA("Sum of  R value (m^2-K/W)",'COMPONENT PIVOT REF'!$I$3,"System Name",Table4[[#This Row],[Ext Finish]])</f>
        <v>#REF!</v>
      </c>
      <c r="R133" t="e">
        <f>GETPIVOTDATA("Sum of Total Mass per m^2 (kg)",'COMPONENT PIVOT REF'!$I$3,"System Name",Table4[[#This Row],[Ext Finish]])</f>
        <v>#REF!</v>
      </c>
      <c r="T133">
        <f>_xlfn.XLOOKUP(Table4[[#This Row],[Int Finish]],Master_Table6[System Name],Master_Table6[System Name (Short)],FALSE)</f>
        <v>0</v>
      </c>
      <c r="U133" t="e">
        <f>GETPIVOTDATA("Sum of A1-A3 Fossil kg CO2e/m^2 wall area",'COMPONENT PIVOT REF'!$P$3,"System Name",Table4[[#This Row],[Int Finish]])</f>
        <v>#REF!</v>
      </c>
      <c r="V133" t="e">
        <f>GETPIVOTDATA("Sum of  R value (m^2-K/W)",'COMPONENT PIVOT REF'!$P$3,"System Name",Table4[[#This Row],[Int Finish]])</f>
        <v>#REF!</v>
      </c>
      <c r="W133" t="e">
        <f>GETPIVOTDATA("Sum of Total Mass per m^2 (kg)",'COMPONENT PIVOT REF'!$P$3,"System Name",Table4[[#This Row],[Int Finish]])</f>
        <v>#REF!</v>
      </c>
      <c r="X133" t="e">
        <f>Table4[[#This Row],[Ext Finish GWP]]+Table4[[#This Row],[Base GWP]]+Table4[[#This Row],[Int Finish GWP]]</f>
        <v>#REF!</v>
      </c>
      <c r="Y133" t="e">
        <f>Table4[[#This Row],[Ext Finish R Value]]+Table4[[#This Row],[Base R Value]]+Table4[[#This Row],[Int Finish R Value]]</f>
        <v>#REF!</v>
      </c>
      <c r="Z133" t="e">
        <f>1/Table4[[#This Row],[Total R value]]</f>
        <v>#REF!</v>
      </c>
      <c r="AA133" t="e">
        <f>Table4[[#This Row],[Int Finish Mass]]+Table4[[#This Row],[Ext Finish Mass]]+Table4[[#This Row],[Base Mass]]</f>
        <v>#REF!</v>
      </c>
    </row>
    <row r="134" spans="3:27" x14ac:dyDescent="0.35">
      <c r="C134" t="str">
        <f>_xlfn.CONCAT(Table4[[#This Row],[System Name (Short)]],"_",Table4[[#This Row],[Ext Finish Name (Short)]],"_",Table4[[#This Row],[Int Finish Name (Short)]])</f>
        <v>0_0_0</v>
      </c>
      <c r="E134">
        <f>_xlfn.XLOOKUP(Table4[[#This Row],[Base System]],BASE_SYSTEM_TABLE[System Name],BASE_SYSTEM_TABLE[System Name (Short)],FALSE)</f>
        <v>0</v>
      </c>
      <c r="F134">
        <f>_xlfn.XLOOKUP(Table4[[#This Row],[Base System]],BASE_SYSTEM_TABLE[System Name],BASE_SYSTEM_TABLE[System Type],FALSE)</f>
        <v>0</v>
      </c>
      <c r="G134">
        <f>_xlfn.XLOOKUP(Table4[[#This Row],[Base System]],BASE_SYSTEM_TABLE[System Name],BASE_SYSTEM_TABLE[System Subtype],FALSE)</f>
        <v>0</v>
      </c>
      <c r="H134">
        <f>_xlfn.XLOOKUP(Table4[[#This Row],[Base System]],BASE_SYSTEM_TABLE[System Name],BASE_SYSTEM_TABLE[Construction Type (Framed or Planar)],FALSE)</f>
        <v>0</v>
      </c>
      <c r="I134" t="e">
        <f>GETPIVOTDATA("Sum of A1-A3 Fossil kg CO2e/m^2 wall area",'COMPONENT PIVOT REF'!$A$3,"System Name",Table4[[#This Row],[Base System]])</f>
        <v>#REF!</v>
      </c>
      <c r="J134" t="e">
        <f>GETPIVOTDATA("Sum of  R value (m^2-K/W)",'COMPONENT PIVOT REF'!$A$3,"System Name",Table4[[#This Row],[Base System]])</f>
        <v>#REF!</v>
      </c>
      <c r="K134" t="e">
        <f>GETPIVOTDATA("Sum of Total Mass per m^2 (kg)",'COMPONENT PIVOT REF'!$A$3,"System Name",Table4[[#This Row],[Base System]])</f>
        <v>#REF!</v>
      </c>
      <c r="M134">
        <f>_xlfn.XLOOKUP(Table4[[#This Row],[Ext Finish]],Master_Table4[System Name],Master_Table4[System Name (Short)],FALSE)</f>
        <v>0</v>
      </c>
      <c r="N134">
        <f>_xlfn.XLOOKUP(Table4[[#This Row],[Ext Finish]],Master_Table4[System Name],Master_Table4[Compatible Systems],FALSE)</f>
        <v>0</v>
      </c>
      <c r="O134" t="str">
        <f>IF(ISNUMBER(SEARCH(Table4[[#This Row],[MMC Method]],Table4[[#This Row],[Compatible Systems]])),"YES","NO")</f>
        <v>YES</v>
      </c>
      <c r="P134" t="e">
        <f>GETPIVOTDATA("Sum of A1-A3 Fossil kg CO2e/m^2 wall area",'COMPONENT PIVOT REF'!$I$3,"System Name",Table4[[#This Row],[Ext Finish]])</f>
        <v>#REF!</v>
      </c>
      <c r="Q134" t="e">
        <f>GETPIVOTDATA("Sum of  R value (m^2-K/W)",'COMPONENT PIVOT REF'!$I$3,"System Name",Table4[[#This Row],[Ext Finish]])</f>
        <v>#REF!</v>
      </c>
      <c r="R134" t="e">
        <f>GETPIVOTDATA("Sum of Total Mass per m^2 (kg)",'COMPONENT PIVOT REF'!$I$3,"System Name",Table4[[#This Row],[Ext Finish]])</f>
        <v>#REF!</v>
      </c>
      <c r="T134">
        <f>_xlfn.XLOOKUP(Table4[[#This Row],[Int Finish]],Master_Table6[System Name],Master_Table6[System Name (Short)],FALSE)</f>
        <v>0</v>
      </c>
      <c r="U134" t="e">
        <f>GETPIVOTDATA("Sum of A1-A3 Fossil kg CO2e/m^2 wall area",'COMPONENT PIVOT REF'!$P$3,"System Name",Table4[[#This Row],[Int Finish]])</f>
        <v>#REF!</v>
      </c>
      <c r="V134" t="e">
        <f>GETPIVOTDATA("Sum of  R value (m^2-K/W)",'COMPONENT PIVOT REF'!$P$3,"System Name",Table4[[#This Row],[Int Finish]])</f>
        <v>#REF!</v>
      </c>
      <c r="W134" t="e">
        <f>GETPIVOTDATA("Sum of Total Mass per m^2 (kg)",'COMPONENT PIVOT REF'!$P$3,"System Name",Table4[[#This Row],[Int Finish]])</f>
        <v>#REF!</v>
      </c>
      <c r="X134" t="e">
        <f>Table4[[#This Row],[Ext Finish GWP]]+Table4[[#This Row],[Base GWP]]+Table4[[#This Row],[Int Finish GWP]]</f>
        <v>#REF!</v>
      </c>
      <c r="Y134" t="e">
        <f>Table4[[#This Row],[Ext Finish R Value]]+Table4[[#This Row],[Base R Value]]+Table4[[#This Row],[Int Finish R Value]]</f>
        <v>#REF!</v>
      </c>
      <c r="Z134" t="e">
        <f>1/Table4[[#This Row],[Total R value]]</f>
        <v>#REF!</v>
      </c>
      <c r="AA134" t="e">
        <f>Table4[[#This Row],[Int Finish Mass]]+Table4[[#This Row],[Ext Finish Mass]]+Table4[[#This Row],[Base Mass]]</f>
        <v>#REF!</v>
      </c>
    </row>
    <row r="135" spans="3:27" x14ac:dyDescent="0.35">
      <c r="C135" t="str">
        <f>_xlfn.CONCAT(Table4[[#This Row],[System Name (Short)]],"_",Table4[[#This Row],[Ext Finish Name (Short)]],"_",Table4[[#This Row],[Int Finish Name (Short)]])</f>
        <v>0_0_0</v>
      </c>
      <c r="E135">
        <f>_xlfn.XLOOKUP(Table4[[#This Row],[Base System]],BASE_SYSTEM_TABLE[System Name],BASE_SYSTEM_TABLE[System Name (Short)],FALSE)</f>
        <v>0</v>
      </c>
      <c r="F135">
        <f>_xlfn.XLOOKUP(Table4[[#This Row],[Base System]],BASE_SYSTEM_TABLE[System Name],BASE_SYSTEM_TABLE[System Type],FALSE)</f>
        <v>0</v>
      </c>
      <c r="G135">
        <f>_xlfn.XLOOKUP(Table4[[#This Row],[Base System]],BASE_SYSTEM_TABLE[System Name],BASE_SYSTEM_TABLE[System Subtype],FALSE)</f>
        <v>0</v>
      </c>
      <c r="H135">
        <f>_xlfn.XLOOKUP(Table4[[#This Row],[Base System]],BASE_SYSTEM_TABLE[System Name],BASE_SYSTEM_TABLE[Construction Type (Framed or Planar)],FALSE)</f>
        <v>0</v>
      </c>
      <c r="I135" t="e">
        <f>GETPIVOTDATA("Sum of A1-A3 Fossil kg CO2e/m^2 wall area",'COMPONENT PIVOT REF'!$A$3,"System Name",Table4[[#This Row],[Base System]])</f>
        <v>#REF!</v>
      </c>
      <c r="J135" t="e">
        <f>GETPIVOTDATA("Sum of  R value (m^2-K/W)",'COMPONENT PIVOT REF'!$A$3,"System Name",Table4[[#This Row],[Base System]])</f>
        <v>#REF!</v>
      </c>
      <c r="K135" t="e">
        <f>GETPIVOTDATA("Sum of Total Mass per m^2 (kg)",'COMPONENT PIVOT REF'!$A$3,"System Name",Table4[[#This Row],[Base System]])</f>
        <v>#REF!</v>
      </c>
      <c r="M135">
        <f>_xlfn.XLOOKUP(Table4[[#This Row],[Ext Finish]],Master_Table4[System Name],Master_Table4[System Name (Short)],FALSE)</f>
        <v>0</v>
      </c>
      <c r="N135">
        <f>_xlfn.XLOOKUP(Table4[[#This Row],[Ext Finish]],Master_Table4[System Name],Master_Table4[Compatible Systems],FALSE)</f>
        <v>0</v>
      </c>
      <c r="O135" t="str">
        <f>IF(ISNUMBER(SEARCH(Table4[[#This Row],[MMC Method]],Table4[[#This Row],[Compatible Systems]])),"YES","NO")</f>
        <v>YES</v>
      </c>
      <c r="P135" t="e">
        <f>GETPIVOTDATA("Sum of A1-A3 Fossil kg CO2e/m^2 wall area",'COMPONENT PIVOT REF'!$I$3,"System Name",Table4[[#This Row],[Ext Finish]])</f>
        <v>#REF!</v>
      </c>
      <c r="Q135" t="e">
        <f>GETPIVOTDATA("Sum of  R value (m^2-K/W)",'COMPONENT PIVOT REF'!$I$3,"System Name",Table4[[#This Row],[Ext Finish]])</f>
        <v>#REF!</v>
      </c>
      <c r="R135" t="e">
        <f>GETPIVOTDATA("Sum of Total Mass per m^2 (kg)",'COMPONENT PIVOT REF'!$I$3,"System Name",Table4[[#This Row],[Ext Finish]])</f>
        <v>#REF!</v>
      </c>
      <c r="T135">
        <f>_xlfn.XLOOKUP(Table4[[#This Row],[Int Finish]],Master_Table6[System Name],Master_Table6[System Name (Short)],FALSE)</f>
        <v>0</v>
      </c>
      <c r="U135" t="e">
        <f>GETPIVOTDATA("Sum of A1-A3 Fossil kg CO2e/m^2 wall area",'COMPONENT PIVOT REF'!$P$3,"System Name",Table4[[#This Row],[Int Finish]])</f>
        <v>#REF!</v>
      </c>
      <c r="V135" t="e">
        <f>GETPIVOTDATA("Sum of  R value (m^2-K/W)",'COMPONENT PIVOT REF'!$P$3,"System Name",Table4[[#This Row],[Int Finish]])</f>
        <v>#REF!</v>
      </c>
      <c r="W135" t="e">
        <f>GETPIVOTDATA("Sum of Total Mass per m^2 (kg)",'COMPONENT PIVOT REF'!$P$3,"System Name",Table4[[#This Row],[Int Finish]])</f>
        <v>#REF!</v>
      </c>
      <c r="X135" t="e">
        <f>Table4[[#This Row],[Ext Finish GWP]]+Table4[[#This Row],[Base GWP]]+Table4[[#This Row],[Int Finish GWP]]</f>
        <v>#REF!</v>
      </c>
      <c r="Y135" t="e">
        <f>Table4[[#This Row],[Ext Finish R Value]]+Table4[[#This Row],[Base R Value]]+Table4[[#This Row],[Int Finish R Value]]</f>
        <v>#REF!</v>
      </c>
      <c r="Z135" t="e">
        <f>1/Table4[[#This Row],[Total R value]]</f>
        <v>#REF!</v>
      </c>
      <c r="AA135" t="e">
        <f>Table4[[#This Row],[Int Finish Mass]]+Table4[[#This Row],[Ext Finish Mass]]+Table4[[#This Row],[Base Mass]]</f>
        <v>#REF!</v>
      </c>
    </row>
    <row r="136" spans="3:27" x14ac:dyDescent="0.35">
      <c r="C136" t="str">
        <f>_xlfn.CONCAT(Table4[[#This Row],[System Name (Short)]],"_",Table4[[#This Row],[Ext Finish Name (Short)]],"_",Table4[[#This Row],[Int Finish Name (Short)]])</f>
        <v>0_0_0</v>
      </c>
      <c r="E136">
        <f>_xlfn.XLOOKUP(Table4[[#This Row],[Base System]],BASE_SYSTEM_TABLE[System Name],BASE_SYSTEM_TABLE[System Name (Short)],FALSE)</f>
        <v>0</v>
      </c>
      <c r="F136">
        <f>_xlfn.XLOOKUP(Table4[[#This Row],[Base System]],BASE_SYSTEM_TABLE[System Name],BASE_SYSTEM_TABLE[System Type],FALSE)</f>
        <v>0</v>
      </c>
      <c r="G136">
        <f>_xlfn.XLOOKUP(Table4[[#This Row],[Base System]],BASE_SYSTEM_TABLE[System Name],BASE_SYSTEM_TABLE[System Subtype],FALSE)</f>
        <v>0</v>
      </c>
      <c r="H136">
        <f>_xlfn.XLOOKUP(Table4[[#This Row],[Base System]],BASE_SYSTEM_TABLE[System Name],BASE_SYSTEM_TABLE[Construction Type (Framed or Planar)],FALSE)</f>
        <v>0</v>
      </c>
      <c r="I136" t="e">
        <f>GETPIVOTDATA("Sum of A1-A3 Fossil kg CO2e/m^2 wall area",'COMPONENT PIVOT REF'!$A$3,"System Name",Table4[[#This Row],[Base System]])</f>
        <v>#REF!</v>
      </c>
      <c r="J136" t="e">
        <f>GETPIVOTDATA("Sum of  R value (m^2-K/W)",'COMPONENT PIVOT REF'!$A$3,"System Name",Table4[[#This Row],[Base System]])</f>
        <v>#REF!</v>
      </c>
      <c r="K136" t="e">
        <f>GETPIVOTDATA("Sum of Total Mass per m^2 (kg)",'COMPONENT PIVOT REF'!$A$3,"System Name",Table4[[#This Row],[Base System]])</f>
        <v>#REF!</v>
      </c>
      <c r="M136">
        <f>_xlfn.XLOOKUP(Table4[[#This Row],[Ext Finish]],Master_Table4[System Name],Master_Table4[System Name (Short)],FALSE)</f>
        <v>0</v>
      </c>
      <c r="N136">
        <f>_xlfn.XLOOKUP(Table4[[#This Row],[Ext Finish]],Master_Table4[System Name],Master_Table4[Compatible Systems],FALSE)</f>
        <v>0</v>
      </c>
      <c r="O136" t="str">
        <f>IF(ISNUMBER(SEARCH(Table4[[#This Row],[MMC Method]],Table4[[#This Row],[Compatible Systems]])),"YES","NO")</f>
        <v>YES</v>
      </c>
      <c r="P136" t="e">
        <f>GETPIVOTDATA("Sum of A1-A3 Fossil kg CO2e/m^2 wall area",'COMPONENT PIVOT REF'!$I$3,"System Name",Table4[[#This Row],[Ext Finish]])</f>
        <v>#REF!</v>
      </c>
      <c r="Q136" t="e">
        <f>GETPIVOTDATA("Sum of  R value (m^2-K/W)",'COMPONENT PIVOT REF'!$I$3,"System Name",Table4[[#This Row],[Ext Finish]])</f>
        <v>#REF!</v>
      </c>
      <c r="R136" t="e">
        <f>GETPIVOTDATA("Sum of Total Mass per m^2 (kg)",'COMPONENT PIVOT REF'!$I$3,"System Name",Table4[[#This Row],[Ext Finish]])</f>
        <v>#REF!</v>
      </c>
      <c r="T136">
        <f>_xlfn.XLOOKUP(Table4[[#This Row],[Int Finish]],Master_Table6[System Name],Master_Table6[System Name (Short)],FALSE)</f>
        <v>0</v>
      </c>
      <c r="U136" t="e">
        <f>GETPIVOTDATA("Sum of A1-A3 Fossil kg CO2e/m^2 wall area",'COMPONENT PIVOT REF'!$P$3,"System Name",Table4[[#This Row],[Int Finish]])</f>
        <v>#REF!</v>
      </c>
      <c r="V136" t="e">
        <f>GETPIVOTDATA("Sum of  R value (m^2-K/W)",'COMPONENT PIVOT REF'!$P$3,"System Name",Table4[[#This Row],[Int Finish]])</f>
        <v>#REF!</v>
      </c>
      <c r="W136" t="e">
        <f>GETPIVOTDATA("Sum of Total Mass per m^2 (kg)",'COMPONENT PIVOT REF'!$P$3,"System Name",Table4[[#This Row],[Int Finish]])</f>
        <v>#REF!</v>
      </c>
      <c r="X136" t="e">
        <f>Table4[[#This Row],[Ext Finish GWP]]+Table4[[#This Row],[Base GWP]]+Table4[[#This Row],[Int Finish GWP]]</f>
        <v>#REF!</v>
      </c>
      <c r="Y136" t="e">
        <f>Table4[[#This Row],[Ext Finish R Value]]+Table4[[#This Row],[Base R Value]]+Table4[[#This Row],[Int Finish R Value]]</f>
        <v>#REF!</v>
      </c>
      <c r="Z136" t="e">
        <f>1/Table4[[#This Row],[Total R value]]</f>
        <v>#REF!</v>
      </c>
      <c r="AA136" t="e">
        <f>Table4[[#This Row],[Int Finish Mass]]+Table4[[#This Row],[Ext Finish Mass]]+Table4[[#This Row],[Base Mass]]</f>
        <v>#REF!</v>
      </c>
    </row>
    <row r="137" spans="3:27" x14ac:dyDescent="0.35">
      <c r="C137" t="str">
        <f>_xlfn.CONCAT(Table4[[#This Row],[System Name (Short)]],"_",Table4[[#This Row],[Ext Finish Name (Short)]],"_",Table4[[#This Row],[Int Finish Name (Short)]])</f>
        <v>0_0_0</v>
      </c>
      <c r="E137">
        <f>_xlfn.XLOOKUP(Table4[[#This Row],[Base System]],BASE_SYSTEM_TABLE[System Name],BASE_SYSTEM_TABLE[System Name (Short)],FALSE)</f>
        <v>0</v>
      </c>
      <c r="F137">
        <f>_xlfn.XLOOKUP(Table4[[#This Row],[Base System]],BASE_SYSTEM_TABLE[System Name],BASE_SYSTEM_TABLE[System Type],FALSE)</f>
        <v>0</v>
      </c>
      <c r="G137">
        <f>_xlfn.XLOOKUP(Table4[[#This Row],[Base System]],BASE_SYSTEM_TABLE[System Name],BASE_SYSTEM_TABLE[System Subtype],FALSE)</f>
        <v>0</v>
      </c>
      <c r="H137">
        <f>_xlfn.XLOOKUP(Table4[[#This Row],[Base System]],BASE_SYSTEM_TABLE[System Name],BASE_SYSTEM_TABLE[Construction Type (Framed or Planar)],FALSE)</f>
        <v>0</v>
      </c>
      <c r="I137" t="e">
        <f>GETPIVOTDATA("Sum of A1-A3 Fossil kg CO2e/m^2 wall area",'COMPONENT PIVOT REF'!$A$3,"System Name",Table4[[#This Row],[Base System]])</f>
        <v>#REF!</v>
      </c>
      <c r="J137" t="e">
        <f>GETPIVOTDATA("Sum of  R value (m^2-K/W)",'COMPONENT PIVOT REF'!$A$3,"System Name",Table4[[#This Row],[Base System]])</f>
        <v>#REF!</v>
      </c>
      <c r="K137" t="e">
        <f>GETPIVOTDATA("Sum of Total Mass per m^2 (kg)",'COMPONENT PIVOT REF'!$A$3,"System Name",Table4[[#This Row],[Base System]])</f>
        <v>#REF!</v>
      </c>
      <c r="M137">
        <f>_xlfn.XLOOKUP(Table4[[#This Row],[Ext Finish]],Master_Table4[System Name],Master_Table4[System Name (Short)],FALSE)</f>
        <v>0</v>
      </c>
      <c r="N137">
        <f>_xlfn.XLOOKUP(Table4[[#This Row],[Ext Finish]],Master_Table4[System Name],Master_Table4[Compatible Systems],FALSE)</f>
        <v>0</v>
      </c>
      <c r="O137" t="str">
        <f>IF(ISNUMBER(SEARCH(Table4[[#This Row],[MMC Method]],Table4[[#This Row],[Compatible Systems]])),"YES","NO")</f>
        <v>YES</v>
      </c>
      <c r="P137" t="e">
        <f>GETPIVOTDATA("Sum of A1-A3 Fossil kg CO2e/m^2 wall area",'COMPONENT PIVOT REF'!$I$3,"System Name",Table4[[#This Row],[Ext Finish]])</f>
        <v>#REF!</v>
      </c>
      <c r="Q137" t="e">
        <f>GETPIVOTDATA("Sum of  R value (m^2-K/W)",'COMPONENT PIVOT REF'!$I$3,"System Name",Table4[[#This Row],[Ext Finish]])</f>
        <v>#REF!</v>
      </c>
      <c r="R137" t="e">
        <f>GETPIVOTDATA("Sum of Total Mass per m^2 (kg)",'COMPONENT PIVOT REF'!$I$3,"System Name",Table4[[#This Row],[Ext Finish]])</f>
        <v>#REF!</v>
      </c>
      <c r="T137">
        <f>_xlfn.XLOOKUP(Table4[[#This Row],[Int Finish]],Master_Table6[System Name],Master_Table6[System Name (Short)],FALSE)</f>
        <v>0</v>
      </c>
      <c r="U137" t="e">
        <f>GETPIVOTDATA("Sum of A1-A3 Fossil kg CO2e/m^2 wall area",'COMPONENT PIVOT REF'!$P$3,"System Name",Table4[[#This Row],[Int Finish]])</f>
        <v>#REF!</v>
      </c>
      <c r="V137" t="e">
        <f>GETPIVOTDATA("Sum of  R value (m^2-K/W)",'COMPONENT PIVOT REF'!$P$3,"System Name",Table4[[#This Row],[Int Finish]])</f>
        <v>#REF!</v>
      </c>
      <c r="W137" t="e">
        <f>GETPIVOTDATA("Sum of Total Mass per m^2 (kg)",'COMPONENT PIVOT REF'!$P$3,"System Name",Table4[[#This Row],[Int Finish]])</f>
        <v>#REF!</v>
      </c>
      <c r="X137" t="e">
        <f>Table4[[#This Row],[Ext Finish GWP]]+Table4[[#This Row],[Base GWP]]+Table4[[#This Row],[Int Finish GWP]]</f>
        <v>#REF!</v>
      </c>
      <c r="Y137" t="e">
        <f>Table4[[#This Row],[Ext Finish R Value]]+Table4[[#This Row],[Base R Value]]+Table4[[#This Row],[Int Finish R Value]]</f>
        <v>#REF!</v>
      </c>
      <c r="Z137" t="e">
        <f>1/Table4[[#This Row],[Total R value]]</f>
        <v>#REF!</v>
      </c>
      <c r="AA137" t="e">
        <f>Table4[[#This Row],[Int Finish Mass]]+Table4[[#This Row],[Ext Finish Mass]]+Table4[[#This Row],[Base Mass]]</f>
        <v>#REF!</v>
      </c>
    </row>
    <row r="138" spans="3:27" x14ac:dyDescent="0.35">
      <c r="C138" t="str">
        <f>_xlfn.CONCAT(Table4[[#This Row],[System Name (Short)]],"_",Table4[[#This Row],[Ext Finish Name (Short)]],"_",Table4[[#This Row],[Int Finish Name (Short)]])</f>
        <v>0_0_0</v>
      </c>
      <c r="E138">
        <f>_xlfn.XLOOKUP(Table4[[#This Row],[Base System]],BASE_SYSTEM_TABLE[System Name],BASE_SYSTEM_TABLE[System Name (Short)],FALSE)</f>
        <v>0</v>
      </c>
      <c r="F138">
        <f>_xlfn.XLOOKUP(Table4[[#This Row],[Base System]],BASE_SYSTEM_TABLE[System Name],BASE_SYSTEM_TABLE[System Type],FALSE)</f>
        <v>0</v>
      </c>
      <c r="G138">
        <f>_xlfn.XLOOKUP(Table4[[#This Row],[Base System]],BASE_SYSTEM_TABLE[System Name],BASE_SYSTEM_TABLE[System Subtype],FALSE)</f>
        <v>0</v>
      </c>
      <c r="H138">
        <f>_xlfn.XLOOKUP(Table4[[#This Row],[Base System]],BASE_SYSTEM_TABLE[System Name],BASE_SYSTEM_TABLE[Construction Type (Framed or Planar)],FALSE)</f>
        <v>0</v>
      </c>
      <c r="I138" t="e">
        <f>GETPIVOTDATA("Sum of A1-A3 Fossil kg CO2e/m^2 wall area",'COMPONENT PIVOT REF'!$A$3,"System Name",Table4[[#This Row],[Base System]])</f>
        <v>#REF!</v>
      </c>
      <c r="J138" t="e">
        <f>GETPIVOTDATA("Sum of  R value (m^2-K/W)",'COMPONENT PIVOT REF'!$A$3,"System Name",Table4[[#This Row],[Base System]])</f>
        <v>#REF!</v>
      </c>
      <c r="K138" t="e">
        <f>GETPIVOTDATA("Sum of Total Mass per m^2 (kg)",'COMPONENT PIVOT REF'!$A$3,"System Name",Table4[[#This Row],[Base System]])</f>
        <v>#REF!</v>
      </c>
      <c r="M138">
        <f>_xlfn.XLOOKUP(Table4[[#This Row],[Ext Finish]],Master_Table4[System Name],Master_Table4[System Name (Short)],FALSE)</f>
        <v>0</v>
      </c>
      <c r="N138">
        <f>_xlfn.XLOOKUP(Table4[[#This Row],[Ext Finish]],Master_Table4[System Name],Master_Table4[Compatible Systems],FALSE)</f>
        <v>0</v>
      </c>
      <c r="O138" t="str">
        <f>IF(ISNUMBER(SEARCH(Table4[[#This Row],[MMC Method]],Table4[[#This Row],[Compatible Systems]])),"YES","NO")</f>
        <v>YES</v>
      </c>
      <c r="P138" t="e">
        <f>GETPIVOTDATA("Sum of A1-A3 Fossil kg CO2e/m^2 wall area",'COMPONENT PIVOT REF'!$I$3,"System Name",Table4[[#This Row],[Ext Finish]])</f>
        <v>#REF!</v>
      </c>
      <c r="Q138" t="e">
        <f>GETPIVOTDATA("Sum of  R value (m^2-K/W)",'COMPONENT PIVOT REF'!$I$3,"System Name",Table4[[#This Row],[Ext Finish]])</f>
        <v>#REF!</v>
      </c>
      <c r="R138" t="e">
        <f>GETPIVOTDATA("Sum of Total Mass per m^2 (kg)",'COMPONENT PIVOT REF'!$I$3,"System Name",Table4[[#This Row],[Ext Finish]])</f>
        <v>#REF!</v>
      </c>
      <c r="T138">
        <f>_xlfn.XLOOKUP(Table4[[#This Row],[Int Finish]],Master_Table6[System Name],Master_Table6[System Name (Short)],FALSE)</f>
        <v>0</v>
      </c>
      <c r="U138" t="e">
        <f>GETPIVOTDATA("Sum of A1-A3 Fossil kg CO2e/m^2 wall area",'COMPONENT PIVOT REF'!$P$3,"System Name",Table4[[#This Row],[Int Finish]])</f>
        <v>#REF!</v>
      </c>
      <c r="V138" t="e">
        <f>GETPIVOTDATA("Sum of  R value (m^2-K/W)",'COMPONENT PIVOT REF'!$P$3,"System Name",Table4[[#This Row],[Int Finish]])</f>
        <v>#REF!</v>
      </c>
      <c r="W138" t="e">
        <f>GETPIVOTDATA("Sum of Total Mass per m^2 (kg)",'COMPONENT PIVOT REF'!$P$3,"System Name",Table4[[#This Row],[Int Finish]])</f>
        <v>#REF!</v>
      </c>
      <c r="X138" t="e">
        <f>Table4[[#This Row],[Ext Finish GWP]]+Table4[[#This Row],[Base GWP]]+Table4[[#This Row],[Int Finish GWP]]</f>
        <v>#REF!</v>
      </c>
      <c r="Y138" t="e">
        <f>Table4[[#This Row],[Ext Finish R Value]]+Table4[[#This Row],[Base R Value]]+Table4[[#This Row],[Int Finish R Value]]</f>
        <v>#REF!</v>
      </c>
      <c r="Z138" t="e">
        <f>1/Table4[[#This Row],[Total R value]]</f>
        <v>#REF!</v>
      </c>
      <c r="AA138" t="e">
        <f>Table4[[#This Row],[Int Finish Mass]]+Table4[[#This Row],[Ext Finish Mass]]+Table4[[#This Row],[Base Mass]]</f>
        <v>#REF!</v>
      </c>
    </row>
    <row r="139" spans="3:27" x14ac:dyDescent="0.35">
      <c r="C139" t="str">
        <f>_xlfn.CONCAT(Table4[[#This Row],[System Name (Short)]],"_",Table4[[#This Row],[Ext Finish Name (Short)]],"_",Table4[[#This Row],[Int Finish Name (Short)]])</f>
        <v>0_0_0</v>
      </c>
      <c r="E139">
        <f>_xlfn.XLOOKUP(Table4[[#This Row],[Base System]],BASE_SYSTEM_TABLE[System Name],BASE_SYSTEM_TABLE[System Name (Short)],FALSE)</f>
        <v>0</v>
      </c>
      <c r="F139">
        <f>_xlfn.XLOOKUP(Table4[[#This Row],[Base System]],BASE_SYSTEM_TABLE[System Name],BASE_SYSTEM_TABLE[System Type],FALSE)</f>
        <v>0</v>
      </c>
      <c r="G139">
        <f>_xlfn.XLOOKUP(Table4[[#This Row],[Base System]],BASE_SYSTEM_TABLE[System Name],BASE_SYSTEM_TABLE[System Subtype],FALSE)</f>
        <v>0</v>
      </c>
      <c r="H139">
        <f>_xlfn.XLOOKUP(Table4[[#This Row],[Base System]],BASE_SYSTEM_TABLE[System Name],BASE_SYSTEM_TABLE[Construction Type (Framed or Planar)],FALSE)</f>
        <v>0</v>
      </c>
      <c r="I139" t="e">
        <f>GETPIVOTDATA("Sum of A1-A3 Fossil kg CO2e/m^2 wall area",'COMPONENT PIVOT REF'!$A$3,"System Name",Table4[[#This Row],[Base System]])</f>
        <v>#REF!</v>
      </c>
      <c r="J139" t="e">
        <f>GETPIVOTDATA("Sum of  R value (m^2-K/W)",'COMPONENT PIVOT REF'!$A$3,"System Name",Table4[[#This Row],[Base System]])</f>
        <v>#REF!</v>
      </c>
      <c r="K139" t="e">
        <f>GETPIVOTDATA("Sum of Total Mass per m^2 (kg)",'COMPONENT PIVOT REF'!$A$3,"System Name",Table4[[#This Row],[Base System]])</f>
        <v>#REF!</v>
      </c>
      <c r="M139">
        <f>_xlfn.XLOOKUP(Table4[[#This Row],[Ext Finish]],Master_Table4[System Name],Master_Table4[System Name (Short)],FALSE)</f>
        <v>0</v>
      </c>
      <c r="N139">
        <f>_xlfn.XLOOKUP(Table4[[#This Row],[Ext Finish]],Master_Table4[System Name],Master_Table4[Compatible Systems],FALSE)</f>
        <v>0</v>
      </c>
      <c r="O139" t="str">
        <f>IF(ISNUMBER(SEARCH(Table4[[#This Row],[MMC Method]],Table4[[#This Row],[Compatible Systems]])),"YES","NO")</f>
        <v>YES</v>
      </c>
      <c r="P139" t="e">
        <f>GETPIVOTDATA("Sum of A1-A3 Fossil kg CO2e/m^2 wall area",'COMPONENT PIVOT REF'!$I$3,"System Name",Table4[[#This Row],[Ext Finish]])</f>
        <v>#REF!</v>
      </c>
      <c r="Q139" t="e">
        <f>GETPIVOTDATA("Sum of  R value (m^2-K/W)",'COMPONENT PIVOT REF'!$I$3,"System Name",Table4[[#This Row],[Ext Finish]])</f>
        <v>#REF!</v>
      </c>
      <c r="R139" t="e">
        <f>GETPIVOTDATA("Sum of Total Mass per m^2 (kg)",'COMPONENT PIVOT REF'!$I$3,"System Name",Table4[[#This Row],[Ext Finish]])</f>
        <v>#REF!</v>
      </c>
      <c r="T139">
        <f>_xlfn.XLOOKUP(Table4[[#This Row],[Int Finish]],Master_Table6[System Name],Master_Table6[System Name (Short)],FALSE)</f>
        <v>0</v>
      </c>
      <c r="U139" t="e">
        <f>GETPIVOTDATA("Sum of A1-A3 Fossil kg CO2e/m^2 wall area",'COMPONENT PIVOT REF'!$P$3,"System Name",Table4[[#This Row],[Int Finish]])</f>
        <v>#REF!</v>
      </c>
      <c r="V139" t="e">
        <f>GETPIVOTDATA("Sum of  R value (m^2-K/W)",'COMPONENT PIVOT REF'!$P$3,"System Name",Table4[[#This Row],[Int Finish]])</f>
        <v>#REF!</v>
      </c>
      <c r="W139" t="e">
        <f>GETPIVOTDATA("Sum of Total Mass per m^2 (kg)",'COMPONENT PIVOT REF'!$P$3,"System Name",Table4[[#This Row],[Int Finish]])</f>
        <v>#REF!</v>
      </c>
      <c r="X139" t="e">
        <f>Table4[[#This Row],[Ext Finish GWP]]+Table4[[#This Row],[Base GWP]]+Table4[[#This Row],[Int Finish GWP]]</f>
        <v>#REF!</v>
      </c>
      <c r="Y139" t="e">
        <f>Table4[[#This Row],[Ext Finish R Value]]+Table4[[#This Row],[Base R Value]]+Table4[[#This Row],[Int Finish R Value]]</f>
        <v>#REF!</v>
      </c>
      <c r="Z139" t="e">
        <f>1/Table4[[#This Row],[Total R value]]</f>
        <v>#REF!</v>
      </c>
      <c r="AA139" t="e">
        <f>Table4[[#This Row],[Int Finish Mass]]+Table4[[#This Row],[Ext Finish Mass]]+Table4[[#This Row],[Base Mass]]</f>
        <v>#REF!</v>
      </c>
    </row>
    <row r="140" spans="3:27" x14ac:dyDescent="0.35">
      <c r="C140" t="str">
        <f>_xlfn.CONCAT(Table4[[#This Row],[System Name (Short)]],"_",Table4[[#This Row],[Ext Finish Name (Short)]],"_",Table4[[#This Row],[Int Finish Name (Short)]])</f>
        <v>0_0_0</v>
      </c>
      <c r="E140">
        <f>_xlfn.XLOOKUP(Table4[[#This Row],[Base System]],BASE_SYSTEM_TABLE[System Name],BASE_SYSTEM_TABLE[System Name (Short)],FALSE)</f>
        <v>0</v>
      </c>
      <c r="F140">
        <f>_xlfn.XLOOKUP(Table4[[#This Row],[Base System]],BASE_SYSTEM_TABLE[System Name],BASE_SYSTEM_TABLE[System Type],FALSE)</f>
        <v>0</v>
      </c>
      <c r="G140">
        <f>_xlfn.XLOOKUP(Table4[[#This Row],[Base System]],BASE_SYSTEM_TABLE[System Name],BASE_SYSTEM_TABLE[System Subtype],FALSE)</f>
        <v>0</v>
      </c>
      <c r="H140">
        <f>_xlfn.XLOOKUP(Table4[[#This Row],[Base System]],BASE_SYSTEM_TABLE[System Name],BASE_SYSTEM_TABLE[Construction Type (Framed or Planar)],FALSE)</f>
        <v>0</v>
      </c>
      <c r="I140" t="e">
        <f>GETPIVOTDATA("Sum of A1-A3 Fossil kg CO2e/m^2 wall area",'COMPONENT PIVOT REF'!$A$3,"System Name",Table4[[#This Row],[Base System]])</f>
        <v>#REF!</v>
      </c>
      <c r="J140" t="e">
        <f>GETPIVOTDATA("Sum of  R value (m^2-K/W)",'COMPONENT PIVOT REF'!$A$3,"System Name",Table4[[#This Row],[Base System]])</f>
        <v>#REF!</v>
      </c>
      <c r="K140" t="e">
        <f>GETPIVOTDATA("Sum of Total Mass per m^2 (kg)",'COMPONENT PIVOT REF'!$A$3,"System Name",Table4[[#This Row],[Base System]])</f>
        <v>#REF!</v>
      </c>
      <c r="M140">
        <f>_xlfn.XLOOKUP(Table4[[#This Row],[Ext Finish]],Master_Table4[System Name],Master_Table4[System Name (Short)],FALSE)</f>
        <v>0</v>
      </c>
      <c r="N140">
        <f>_xlfn.XLOOKUP(Table4[[#This Row],[Ext Finish]],Master_Table4[System Name],Master_Table4[Compatible Systems],FALSE)</f>
        <v>0</v>
      </c>
      <c r="O140" t="str">
        <f>IF(ISNUMBER(SEARCH(Table4[[#This Row],[MMC Method]],Table4[[#This Row],[Compatible Systems]])),"YES","NO")</f>
        <v>YES</v>
      </c>
      <c r="P140" t="e">
        <f>GETPIVOTDATA("Sum of A1-A3 Fossil kg CO2e/m^2 wall area",'COMPONENT PIVOT REF'!$I$3,"System Name",Table4[[#This Row],[Ext Finish]])</f>
        <v>#REF!</v>
      </c>
      <c r="Q140" t="e">
        <f>GETPIVOTDATA("Sum of  R value (m^2-K/W)",'COMPONENT PIVOT REF'!$I$3,"System Name",Table4[[#This Row],[Ext Finish]])</f>
        <v>#REF!</v>
      </c>
      <c r="R140" t="e">
        <f>GETPIVOTDATA("Sum of Total Mass per m^2 (kg)",'COMPONENT PIVOT REF'!$I$3,"System Name",Table4[[#This Row],[Ext Finish]])</f>
        <v>#REF!</v>
      </c>
      <c r="T140">
        <f>_xlfn.XLOOKUP(Table4[[#This Row],[Int Finish]],Master_Table6[System Name],Master_Table6[System Name (Short)],FALSE)</f>
        <v>0</v>
      </c>
      <c r="U140" t="e">
        <f>GETPIVOTDATA("Sum of A1-A3 Fossil kg CO2e/m^2 wall area",'COMPONENT PIVOT REF'!$P$3,"System Name",Table4[[#This Row],[Int Finish]])</f>
        <v>#REF!</v>
      </c>
      <c r="V140" t="e">
        <f>GETPIVOTDATA("Sum of  R value (m^2-K/W)",'COMPONENT PIVOT REF'!$P$3,"System Name",Table4[[#This Row],[Int Finish]])</f>
        <v>#REF!</v>
      </c>
      <c r="W140" t="e">
        <f>GETPIVOTDATA("Sum of Total Mass per m^2 (kg)",'COMPONENT PIVOT REF'!$P$3,"System Name",Table4[[#This Row],[Int Finish]])</f>
        <v>#REF!</v>
      </c>
      <c r="X140" t="e">
        <f>Table4[[#This Row],[Ext Finish GWP]]+Table4[[#This Row],[Base GWP]]+Table4[[#This Row],[Int Finish GWP]]</f>
        <v>#REF!</v>
      </c>
      <c r="Y140" t="e">
        <f>Table4[[#This Row],[Ext Finish R Value]]+Table4[[#This Row],[Base R Value]]+Table4[[#This Row],[Int Finish R Value]]</f>
        <v>#REF!</v>
      </c>
      <c r="Z140" t="e">
        <f>1/Table4[[#This Row],[Total R value]]</f>
        <v>#REF!</v>
      </c>
      <c r="AA140" t="e">
        <f>Table4[[#This Row],[Int Finish Mass]]+Table4[[#This Row],[Ext Finish Mass]]+Table4[[#This Row],[Base Mass]]</f>
        <v>#REF!</v>
      </c>
    </row>
    <row r="141" spans="3:27" x14ac:dyDescent="0.35">
      <c r="C141" t="str">
        <f>_xlfn.CONCAT(Table4[[#This Row],[System Name (Short)]],"_",Table4[[#This Row],[Ext Finish Name (Short)]],"_",Table4[[#This Row],[Int Finish Name (Short)]])</f>
        <v>0_0_0</v>
      </c>
      <c r="E141">
        <f>_xlfn.XLOOKUP(Table4[[#This Row],[Base System]],BASE_SYSTEM_TABLE[System Name],BASE_SYSTEM_TABLE[System Name (Short)],FALSE)</f>
        <v>0</v>
      </c>
      <c r="F141">
        <f>_xlfn.XLOOKUP(Table4[[#This Row],[Base System]],BASE_SYSTEM_TABLE[System Name],BASE_SYSTEM_TABLE[System Type],FALSE)</f>
        <v>0</v>
      </c>
      <c r="G141">
        <f>_xlfn.XLOOKUP(Table4[[#This Row],[Base System]],BASE_SYSTEM_TABLE[System Name],BASE_SYSTEM_TABLE[System Subtype],FALSE)</f>
        <v>0</v>
      </c>
      <c r="H141">
        <f>_xlfn.XLOOKUP(Table4[[#This Row],[Base System]],BASE_SYSTEM_TABLE[System Name],BASE_SYSTEM_TABLE[Construction Type (Framed or Planar)],FALSE)</f>
        <v>0</v>
      </c>
      <c r="I141" t="e">
        <f>GETPIVOTDATA("Sum of A1-A3 Fossil kg CO2e/m^2 wall area",'COMPONENT PIVOT REF'!$A$3,"System Name",Table4[[#This Row],[Base System]])</f>
        <v>#REF!</v>
      </c>
      <c r="J141" t="e">
        <f>GETPIVOTDATA("Sum of  R value (m^2-K/W)",'COMPONENT PIVOT REF'!$A$3,"System Name",Table4[[#This Row],[Base System]])</f>
        <v>#REF!</v>
      </c>
      <c r="K141" t="e">
        <f>GETPIVOTDATA("Sum of Total Mass per m^2 (kg)",'COMPONENT PIVOT REF'!$A$3,"System Name",Table4[[#This Row],[Base System]])</f>
        <v>#REF!</v>
      </c>
      <c r="M141">
        <f>_xlfn.XLOOKUP(Table4[[#This Row],[Ext Finish]],Master_Table4[System Name],Master_Table4[System Name (Short)],FALSE)</f>
        <v>0</v>
      </c>
      <c r="N141">
        <f>_xlfn.XLOOKUP(Table4[[#This Row],[Ext Finish]],Master_Table4[System Name],Master_Table4[Compatible Systems],FALSE)</f>
        <v>0</v>
      </c>
      <c r="O141" t="str">
        <f>IF(ISNUMBER(SEARCH(Table4[[#This Row],[MMC Method]],Table4[[#This Row],[Compatible Systems]])),"YES","NO")</f>
        <v>YES</v>
      </c>
      <c r="P141" t="e">
        <f>GETPIVOTDATA("Sum of A1-A3 Fossil kg CO2e/m^2 wall area",'COMPONENT PIVOT REF'!$I$3,"System Name",Table4[[#This Row],[Ext Finish]])</f>
        <v>#REF!</v>
      </c>
      <c r="Q141" t="e">
        <f>GETPIVOTDATA("Sum of  R value (m^2-K/W)",'COMPONENT PIVOT REF'!$I$3,"System Name",Table4[[#This Row],[Ext Finish]])</f>
        <v>#REF!</v>
      </c>
      <c r="R141" t="e">
        <f>GETPIVOTDATA("Sum of Total Mass per m^2 (kg)",'COMPONENT PIVOT REF'!$I$3,"System Name",Table4[[#This Row],[Ext Finish]])</f>
        <v>#REF!</v>
      </c>
      <c r="T141">
        <f>_xlfn.XLOOKUP(Table4[[#This Row],[Int Finish]],Master_Table6[System Name],Master_Table6[System Name (Short)],FALSE)</f>
        <v>0</v>
      </c>
      <c r="U141" t="e">
        <f>GETPIVOTDATA("Sum of A1-A3 Fossil kg CO2e/m^2 wall area",'COMPONENT PIVOT REF'!$P$3,"System Name",Table4[[#This Row],[Int Finish]])</f>
        <v>#REF!</v>
      </c>
      <c r="V141" t="e">
        <f>GETPIVOTDATA("Sum of  R value (m^2-K/W)",'COMPONENT PIVOT REF'!$P$3,"System Name",Table4[[#This Row],[Int Finish]])</f>
        <v>#REF!</v>
      </c>
      <c r="W141" t="e">
        <f>GETPIVOTDATA("Sum of Total Mass per m^2 (kg)",'COMPONENT PIVOT REF'!$P$3,"System Name",Table4[[#This Row],[Int Finish]])</f>
        <v>#REF!</v>
      </c>
      <c r="X141" t="e">
        <f>Table4[[#This Row],[Ext Finish GWP]]+Table4[[#This Row],[Base GWP]]+Table4[[#This Row],[Int Finish GWP]]</f>
        <v>#REF!</v>
      </c>
      <c r="Y141" t="e">
        <f>Table4[[#This Row],[Ext Finish R Value]]+Table4[[#This Row],[Base R Value]]+Table4[[#This Row],[Int Finish R Value]]</f>
        <v>#REF!</v>
      </c>
      <c r="Z141" t="e">
        <f>1/Table4[[#This Row],[Total R value]]</f>
        <v>#REF!</v>
      </c>
      <c r="AA141" t="e">
        <f>Table4[[#This Row],[Int Finish Mass]]+Table4[[#This Row],[Ext Finish Mass]]+Table4[[#This Row],[Base Mass]]</f>
        <v>#REF!</v>
      </c>
    </row>
    <row r="142" spans="3:27" x14ac:dyDescent="0.35">
      <c r="C142" t="str">
        <f>_xlfn.CONCAT(Table4[[#This Row],[System Name (Short)]],"_",Table4[[#This Row],[Ext Finish Name (Short)]],"_",Table4[[#This Row],[Int Finish Name (Short)]])</f>
        <v>0_0_0</v>
      </c>
      <c r="E142">
        <f>_xlfn.XLOOKUP(Table4[[#This Row],[Base System]],BASE_SYSTEM_TABLE[System Name],BASE_SYSTEM_TABLE[System Name (Short)],FALSE)</f>
        <v>0</v>
      </c>
      <c r="F142">
        <f>_xlfn.XLOOKUP(Table4[[#This Row],[Base System]],BASE_SYSTEM_TABLE[System Name],BASE_SYSTEM_TABLE[System Type],FALSE)</f>
        <v>0</v>
      </c>
      <c r="G142">
        <f>_xlfn.XLOOKUP(Table4[[#This Row],[Base System]],BASE_SYSTEM_TABLE[System Name],BASE_SYSTEM_TABLE[System Subtype],FALSE)</f>
        <v>0</v>
      </c>
      <c r="H142">
        <f>_xlfn.XLOOKUP(Table4[[#This Row],[Base System]],BASE_SYSTEM_TABLE[System Name],BASE_SYSTEM_TABLE[Construction Type (Framed or Planar)],FALSE)</f>
        <v>0</v>
      </c>
      <c r="I142" t="e">
        <f>GETPIVOTDATA("Sum of A1-A3 Fossil kg CO2e/m^2 wall area",'COMPONENT PIVOT REF'!$A$3,"System Name",Table4[[#This Row],[Base System]])</f>
        <v>#REF!</v>
      </c>
      <c r="J142" t="e">
        <f>GETPIVOTDATA("Sum of  R value (m^2-K/W)",'COMPONENT PIVOT REF'!$A$3,"System Name",Table4[[#This Row],[Base System]])</f>
        <v>#REF!</v>
      </c>
      <c r="K142" t="e">
        <f>GETPIVOTDATA("Sum of Total Mass per m^2 (kg)",'COMPONENT PIVOT REF'!$A$3,"System Name",Table4[[#This Row],[Base System]])</f>
        <v>#REF!</v>
      </c>
      <c r="M142">
        <f>_xlfn.XLOOKUP(Table4[[#This Row],[Ext Finish]],Master_Table4[System Name],Master_Table4[System Name (Short)],FALSE)</f>
        <v>0</v>
      </c>
      <c r="N142">
        <f>_xlfn.XLOOKUP(Table4[[#This Row],[Ext Finish]],Master_Table4[System Name],Master_Table4[Compatible Systems],FALSE)</f>
        <v>0</v>
      </c>
      <c r="O142" t="str">
        <f>IF(ISNUMBER(SEARCH(Table4[[#This Row],[MMC Method]],Table4[[#This Row],[Compatible Systems]])),"YES","NO")</f>
        <v>YES</v>
      </c>
      <c r="P142" t="e">
        <f>GETPIVOTDATA("Sum of A1-A3 Fossil kg CO2e/m^2 wall area",'COMPONENT PIVOT REF'!$I$3,"System Name",Table4[[#This Row],[Ext Finish]])</f>
        <v>#REF!</v>
      </c>
      <c r="Q142" t="e">
        <f>GETPIVOTDATA("Sum of  R value (m^2-K/W)",'COMPONENT PIVOT REF'!$I$3,"System Name",Table4[[#This Row],[Ext Finish]])</f>
        <v>#REF!</v>
      </c>
      <c r="R142" t="e">
        <f>GETPIVOTDATA("Sum of Total Mass per m^2 (kg)",'COMPONENT PIVOT REF'!$I$3,"System Name",Table4[[#This Row],[Ext Finish]])</f>
        <v>#REF!</v>
      </c>
      <c r="T142">
        <f>_xlfn.XLOOKUP(Table4[[#This Row],[Int Finish]],Master_Table6[System Name],Master_Table6[System Name (Short)],FALSE)</f>
        <v>0</v>
      </c>
      <c r="U142" t="e">
        <f>GETPIVOTDATA("Sum of A1-A3 Fossil kg CO2e/m^2 wall area",'COMPONENT PIVOT REF'!$P$3,"System Name",Table4[[#This Row],[Int Finish]])</f>
        <v>#REF!</v>
      </c>
      <c r="V142" t="e">
        <f>GETPIVOTDATA("Sum of  R value (m^2-K/W)",'COMPONENT PIVOT REF'!$P$3,"System Name",Table4[[#This Row],[Int Finish]])</f>
        <v>#REF!</v>
      </c>
      <c r="W142" t="e">
        <f>GETPIVOTDATA("Sum of Total Mass per m^2 (kg)",'COMPONENT PIVOT REF'!$P$3,"System Name",Table4[[#This Row],[Int Finish]])</f>
        <v>#REF!</v>
      </c>
      <c r="X142" t="e">
        <f>Table4[[#This Row],[Ext Finish GWP]]+Table4[[#This Row],[Base GWP]]+Table4[[#This Row],[Int Finish GWP]]</f>
        <v>#REF!</v>
      </c>
      <c r="Y142" t="e">
        <f>Table4[[#This Row],[Ext Finish R Value]]+Table4[[#This Row],[Base R Value]]+Table4[[#This Row],[Int Finish R Value]]</f>
        <v>#REF!</v>
      </c>
      <c r="Z142" t="e">
        <f>1/Table4[[#This Row],[Total R value]]</f>
        <v>#REF!</v>
      </c>
      <c r="AA142" t="e">
        <f>Table4[[#This Row],[Int Finish Mass]]+Table4[[#This Row],[Ext Finish Mass]]+Table4[[#This Row],[Base Mass]]</f>
        <v>#REF!</v>
      </c>
    </row>
    <row r="143" spans="3:27" x14ac:dyDescent="0.35">
      <c r="C143" t="str">
        <f>_xlfn.CONCAT(Table4[[#This Row],[System Name (Short)]],"_",Table4[[#This Row],[Ext Finish Name (Short)]],"_",Table4[[#This Row],[Int Finish Name (Short)]])</f>
        <v>0_0_0</v>
      </c>
      <c r="E143">
        <f>_xlfn.XLOOKUP(Table4[[#This Row],[Base System]],BASE_SYSTEM_TABLE[System Name],BASE_SYSTEM_TABLE[System Name (Short)],FALSE)</f>
        <v>0</v>
      </c>
      <c r="F143">
        <f>_xlfn.XLOOKUP(Table4[[#This Row],[Base System]],BASE_SYSTEM_TABLE[System Name],BASE_SYSTEM_TABLE[System Type],FALSE)</f>
        <v>0</v>
      </c>
      <c r="G143">
        <f>_xlfn.XLOOKUP(Table4[[#This Row],[Base System]],BASE_SYSTEM_TABLE[System Name],BASE_SYSTEM_TABLE[System Subtype],FALSE)</f>
        <v>0</v>
      </c>
      <c r="H143">
        <f>_xlfn.XLOOKUP(Table4[[#This Row],[Base System]],BASE_SYSTEM_TABLE[System Name],BASE_SYSTEM_TABLE[Construction Type (Framed or Planar)],FALSE)</f>
        <v>0</v>
      </c>
      <c r="I143" t="e">
        <f>GETPIVOTDATA("Sum of A1-A3 Fossil kg CO2e/m^2 wall area",'COMPONENT PIVOT REF'!$A$3,"System Name",Table4[[#This Row],[Base System]])</f>
        <v>#REF!</v>
      </c>
      <c r="J143" t="e">
        <f>GETPIVOTDATA("Sum of  R value (m^2-K/W)",'COMPONENT PIVOT REF'!$A$3,"System Name",Table4[[#This Row],[Base System]])</f>
        <v>#REF!</v>
      </c>
      <c r="K143" t="e">
        <f>GETPIVOTDATA("Sum of Total Mass per m^2 (kg)",'COMPONENT PIVOT REF'!$A$3,"System Name",Table4[[#This Row],[Base System]])</f>
        <v>#REF!</v>
      </c>
      <c r="M143">
        <f>_xlfn.XLOOKUP(Table4[[#This Row],[Ext Finish]],Master_Table4[System Name],Master_Table4[System Name (Short)],FALSE)</f>
        <v>0</v>
      </c>
      <c r="N143">
        <f>_xlfn.XLOOKUP(Table4[[#This Row],[Ext Finish]],Master_Table4[System Name],Master_Table4[Compatible Systems],FALSE)</f>
        <v>0</v>
      </c>
      <c r="O143" t="str">
        <f>IF(ISNUMBER(SEARCH(Table4[[#This Row],[MMC Method]],Table4[[#This Row],[Compatible Systems]])),"YES","NO")</f>
        <v>YES</v>
      </c>
      <c r="P143" t="e">
        <f>GETPIVOTDATA("Sum of A1-A3 Fossil kg CO2e/m^2 wall area",'COMPONENT PIVOT REF'!$I$3,"System Name",Table4[[#This Row],[Ext Finish]])</f>
        <v>#REF!</v>
      </c>
      <c r="Q143" t="e">
        <f>GETPIVOTDATA("Sum of  R value (m^2-K/W)",'COMPONENT PIVOT REF'!$I$3,"System Name",Table4[[#This Row],[Ext Finish]])</f>
        <v>#REF!</v>
      </c>
      <c r="R143" t="e">
        <f>GETPIVOTDATA("Sum of Total Mass per m^2 (kg)",'COMPONENT PIVOT REF'!$I$3,"System Name",Table4[[#This Row],[Ext Finish]])</f>
        <v>#REF!</v>
      </c>
      <c r="T143">
        <f>_xlfn.XLOOKUP(Table4[[#This Row],[Int Finish]],Master_Table6[System Name],Master_Table6[System Name (Short)],FALSE)</f>
        <v>0</v>
      </c>
      <c r="U143" t="e">
        <f>GETPIVOTDATA("Sum of A1-A3 Fossil kg CO2e/m^2 wall area",'COMPONENT PIVOT REF'!$P$3,"System Name",Table4[[#This Row],[Int Finish]])</f>
        <v>#REF!</v>
      </c>
      <c r="V143" t="e">
        <f>GETPIVOTDATA("Sum of  R value (m^2-K/W)",'COMPONENT PIVOT REF'!$P$3,"System Name",Table4[[#This Row],[Int Finish]])</f>
        <v>#REF!</v>
      </c>
      <c r="W143" t="e">
        <f>GETPIVOTDATA("Sum of Total Mass per m^2 (kg)",'COMPONENT PIVOT REF'!$P$3,"System Name",Table4[[#This Row],[Int Finish]])</f>
        <v>#REF!</v>
      </c>
      <c r="X143" t="e">
        <f>Table4[[#This Row],[Ext Finish GWP]]+Table4[[#This Row],[Base GWP]]+Table4[[#This Row],[Int Finish GWP]]</f>
        <v>#REF!</v>
      </c>
      <c r="Y143" t="e">
        <f>Table4[[#This Row],[Ext Finish R Value]]+Table4[[#This Row],[Base R Value]]+Table4[[#This Row],[Int Finish R Value]]</f>
        <v>#REF!</v>
      </c>
      <c r="Z143" t="e">
        <f>1/Table4[[#This Row],[Total R value]]</f>
        <v>#REF!</v>
      </c>
      <c r="AA143" t="e">
        <f>Table4[[#This Row],[Int Finish Mass]]+Table4[[#This Row],[Ext Finish Mass]]+Table4[[#This Row],[Base Mass]]</f>
        <v>#REF!</v>
      </c>
    </row>
    <row r="144" spans="3:27" x14ac:dyDescent="0.35">
      <c r="C144" t="str">
        <f>_xlfn.CONCAT(Table4[[#This Row],[System Name (Short)]],"_",Table4[[#This Row],[Ext Finish Name (Short)]],"_",Table4[[#This Row],[Int Finish Name (Short)]])</f>
        <v>0_0_0</v>
      </c>
      <c r="E144">
        <f>_xlfn.XLOOKUP(Table4[[#This Row],[Base System]],BASE_SYSTEM_TABLE[System Name],BASE_SYSTEM_TABLE[System Name (Short)],FALSE)</f>
        <v>0</v>
      </c>
      <c r="F144">
        <f>_xlfn.XLOOKUP(Table4[[#This Row],[Base System]],BASE_SYSTEM_TABLE[System Name],BASE_SYSTEM_TABLE[System Type],FALSE)</f>
        <v>0</v>
      </c>
      <c r="G144">
        <f>_xlfn.XLOOKUP(Table4[[#This Row],[Base System]],BASE_SYSTEM_TABLE[System Name],BASE_SYSTEM_TABLE[System Subtype],FALSE)</f>
        <v>0</v>
      </c>
      <c r="H144">
        <f>_xlfn.XLOOKUP(Table4[[#This Row],[Base System]],BASE_SYSTEM_TABLE[System Name],BASE_SYSTEM_TABLE[Construction Type (Framed or Planar)],FALSE)</f>
        <v>0</v>
      </c>
      <c r="I144" t="e">
        <f>GETPIVOTDATA("Sum of A1-A3 Fossil kg CO2e/m^2 wall area",'COMPONENT PIVOT REF'!$A$3,"System Name",Table4[[#This Row],[Base System]])</f>
        <v>#REF!</v>
      </c>
      <c r="J144" t="e">
        <f>GETPIVOTDATA("Sum of  R value (m^2-K/W)",'COMPONENT PIVOT REF'!$A$3,"System Name",Table4[[#This Row],[Base System]])</f>
        <v>#REF!</v>
      </c>
      <c r="K144" t="e">
        <f>GETPIVOTDATA("Sum of Total Mass per m^2 (kg)",'COMPONENT PIVOT REF'!$A$3,"System Name",Table4[[#This Row],[Base System]])</f>
        <v>#REF!</v>
      </c>
      <c r="M144">
        <f>_xlfn.XLOOKUP(Table4[[#This Row],[Ext Finish]],Master_Table4[System Name],Master_Table4[System Name (Short)],FALSE)</f>
        <v>0</v>
      </c>
      <c r="N144">
        <f>_xlfn.XLOOKUP(Table4[[#This Row],[Ext Finish]],Master_Table4[System Name],Master_Table4[Compatible Systems],FALSE)</f>
        <v>0</v>
      </c>
      <c r="O144" t="str">
        <f>IF(ISNUMBER(SEARCH(Table4[[#This Row],[MMC Method]],Table4[[#This Row],[Compatible Systems]])),"YES","NO")</f>
        <v>YES</v>
      </c>
      <c r="P144" t="e">
        <f>GETPIVOTDATA("Sum of A1-A3 Fossil kg CO2e/m^2 wall area",'COMPONENT PIVOT REF'!$I$3,"System Name",Table4[[#This Row],[Ext Finish]])</f>
        <v>#REF!</v>
      </c>
      <c r="Q144" t="e">
        <f>GETPIVOTDATA("Sum of  R value (m^2-K/W)",'COMPONENT PIVOT REF'!$I$3,"System Name",Table4[[#This Row],[Ext Finish]])</f>
        <v>#REF!</v>
      </c>
      <c r="R144" t="e">
        <f>GETPIVOTDATA("Sum of Total Mass per m^2 (kg)",'COMPONENT PIVOT REF'!$I$3,"System Name",Table4[[#This Row],[Ext Finish]])</f>
        <v>#REF!</v>
      </c>
      <c r="T144">
        <f>_xlfn.XLOOKUP(Table4[[#This Row],[Int Finish]],Master_Table6[System Name],Master_Table6[System Name (Short)],FALSE)</f>
        <v>0</v>
      </c>
      <c r="U144" t="e">
        <f>GETPIVOTDATA("Sum of A1-A3 Fossil kg CO2e/m^2 wall area",'COMPONENT PIVOT REF'!$P$3,"System Name",Table4[[#This Row],[Int Finish]])</f>
        <v>#REF!</v>
      </c>
      <c r="V144" t="e">
        <f>GETPIVOTDATA("Sum of  R value (m^2-K/W)",'COMPONENT PIVOT REF'!$P$3,"System Name",Table4[[#This Row],[Int Finish]])</f>
        <v>#REF!</v>
      </c>
      <c r="W144" t="e">
        <f>GETPIVOTDATA("Sum of Total Mass per m^2 (kg)",'COMPONENT PIVOT REF'!$P$3,"System Name",Table4[[#This Row],[Int Finish]])</f>
        <v>#REF!</v>
      </c>
      <c r="X144" t="e">
        <f>Table4[[#This Row],[Ext Finish GWP]]+Table4[[#This Row],[Base GWP]]+Table4[[#This Row],[Int Finish GWP]]</f>
        <v>#REF!</v>
      </c>
      <c r="Y144" t="e">
        <f>Table4[[#This Row],[Ext Finish R Value]]+Table4[[#This Row],[Base R Value]]+Table4[[#This Row],[Int Finish R Value]]</f>
        <v>#REF!</v>
      </c>
      <c r="Z144" t="e">
        <f>1/Table4[[#This Row],[Total R value]]</f>
        <v>#REF!</v>
      </c>
      <c r="AA144" t="e">
        <f>Table4[[#This Row],[Int Finish Mass]]+Table4[[#This Row],[Ext Finish Mass]]+Table4[[#This Row],[Base Mass]]</f>
        <v>#REF!</v>
      </c>
    </row>
    <row r="145" spans="3:27" x14ac:dyDescent="0.35">
      <c r="C145" t="str">
        <f>_xlfn.CONCAT(Table4[[#This Row],[System Name (Short)]],"_",Table4[[#This Row],[Ext Finish Name (Short)]],"_",Table4[[#This Row],[Int Finish Name (Short)]])</f>
        <v>0_0_0</v>
      </c>
      <c r="E145">
        <f>_xlfn.XLOOKUP(Table4[[#This Row],[Base System]],BASE_SYSTEM_TABLE[System Name],BASE_SYSTEM_TABLE[System Name (Short)],FALSE)</f>
        <v>0</v>
      </c>
      <c r="F145">
        <f>_xlfn.XLOOKUP(Table4[[#This Row],[Base System]],BASE_SYSTEM_TABLE[System Name],BASE_SYSTEM_TABLE[System Type],FALSE)</f>
        <v>0</v>
      </c>
      <c r="G145">
        <f>_xlfn.XLOOKUP(Table4[[#This Row],[Base System]],BASE_SYSTEM_TABLE[System Name],BASE_SYSTEM_TABLE[System Subtype],FALSE)</f>
        <v>0</v>
      </c>
      <c r="H145">
        <f>_xlfn.XLOOKUP(Table4[[#This Row],[Base System]],BASE_SYSTEM_TABLE[System Name],BASE_SYSTEM_TABLE[Construction Type (Framed or Planar)],FALSE)</f>
        <v>0</v>
      </c>
      <c r="I145" t="e">
        <f>GETPIVOTDATA("Sum of A1-A3 Fossil kg CO2e/m^2 wall area",'COMPONENT PIVOT REF'!$A$3,"System Name",Table4[[#This Row],[Base System]])</f>
        <v>#REF!</v>
      </c>
      <c r="J145" t="e">
        <f>GETPIVOTDATA("Sum of  R value (m^2-K/W)",'COMPONENT PIVOT REF'!$A$3,"System Name",Table4[[#This Row],[Base System]])</f>
        <v>#REF!</v>
      </c>
      <c r="K145" t="e">
        <f>GETPIVOTDATA("Sum of Total Mass per m^2 (kg)",'COMPONENT PIVOT REF'!$A$3,"System Name",Table4[[#This Row],[Base System]])</f>
        <v>#REF!</v>
      </c>
      <c r="M145">
        <f>_xlfn.XLOOKUP(Table4[[#This Row],[Ext Finish]],Master_Table4[System Name],Master_Table4[System Name (Short)],FALSE)</f>
        <v>0</v>
      </c>
      <c r="N145">
        <f>_xlfn.XLOOKUP(Table4[[#This Row],[Ext Finish]],Master_Table4[System Name],Master_Table4[Compatible Systems],FALSE)</f>
        <v>0</v>
      </c>
      <c r="O145" t="str">
        <f>IF(ISNUMBER(SEARCH(Table4[[#This Row],[MMC Method]],Table4[[#This Row],[Compatible Systems]])),"YES","NO")</f>
        <v>YES</v>
      </c>
      <c r="P145" t="e">
        <f>GETPIVOTDATA("Sum of A1-A3 Fossil kg CO2e/m^2 wall area",'COMPONENT PIVOT REF'!$I$3,"System Name",Table4[[#This Row],[Ext Finish]])</f>
        <v>#REF!</v>
      </c>
      <c r="Q145" t="e">
        <f>GETPIVOTDATA("Sum of  R value (m^2-K/W)",'COMPONENT PIVOT REF'!$I$3,"System Name",Table4[[#This Row],[Ext Finish]])</f>
        <v>#REF!</v>
      </c>
      <c r="R145" t="e">
        <f>GETPIVOTDATA("Sum of Total Mass per m^2 (kg)",'COMPONENT PIVOT REF'!$I$3,"System Name",Table4[[#This Row],[Ext Finish]])</f>
        <v>#REF!</v>
      </c>
      <c r="T145">
        <f>_xlfn.XLOOKUP(Table4[[#This Row],[Int Finish]],Master_Table6[System Name],Master_Table6[System Name (Short)],FALSE)</f>
        <v>0</v>
      </c>
      <c r="U145" t="e">
        <f>GETPIVOTDATA("Sum of A1-A3 Fossil kg CO2e/m^2 wall area",'COMPONENT PIVOT REF'!$P$3,"System Name",Table4[[#This Row],[Int Finish]])</f>
        <v>#REF!</v>
      </c>
      <c r="V145" t="e">
        <f>GETPIVOTDATA("Sum of  R value (m^2-K/W)",'COMPONENT PIVOT REF'!$P$3,"System Name",Table4[[#This Row],[Int Finish]])</f>
        <v>#REF!</v>
      </c>
      <c r="W145" t="e">
        <f>GETPIVOTDATA("Sum of Total Mass per m^2 (kg)",'COMPONENT PIVOT REF'!$P$3,"System Name",Table4[[#This Row],[Int Finish]])</f>
        <v>#REF!</v>
      </c>
      <c r="X145" t="e">
        <f>Table4[[#This Row],[Ext Finish GWP]]+Table4[[#This Row],[Base GWP]]+Table4[[#This Row],[Int Finish GWP]]</f>
        <v>#REF!</v>
      </c>
      <c r="Y145" t="e">
        <f>Table4[[#This Row],[Ext Finish R Value]]+Table4[[#This Row],[Base R Value]]+Table4[[#This Row],[Int Finish R Value]]</f>
        <v>#REF!</v>
      </c>
      <c r="Z145" t="e">
        <f>1/Table4[[#This Row],[Total R value]]</f>
        <v>#REF!</v>
      </c>
      <c r="AA145" t="e">
        <f>Table4[[#This Row],[Int Finish Mass]]+Table4[[#This Row],[Ext Finish Mass]]+Table4[[#This Row],[Base Mass]]</f>
        <v>#REF!</v>
      </c>
    </row>
    <row r="146" spans="3:27" x14ac:dyDescent="0.35">
      <c r="C146" t="str">
        <f>_xlfn.CONCAT(Table4[[#This Row],[System Name (Short)]],"_",Table4[[#This Row],[Ext Finish Name (Short)]],"_",Table4[[#This Row],[Int Finish Name (Short)]])</f>
        <v>0_0_0</v>
      </c>
      <c r="E146">
        <f>_xlfn.XLOOKUP(Table4[[#This Row],[Base System]],BASE_SYSTEM_TABLE[System Name],BASE_SYSTEM_TABLE[System Name (Short)],FALSE)</f>
        <v>0</v>
      </c>
      <c r="F146">
        <f>_xlfn.XLOOKUP(Table4[[#This Row],[Base System]],BASE_SYSTEM_TABLE[System Name],BASE_SYSTEM_TABLE[System Type],FALSE)</f>
        <v>0</v>
      </c>
      <c r="G146">
        <f>_xlfn.XLOOKUP(Table4[[#This Row],[Base System]],BASE_SYSTEM_TABLE[System Name],BASE_SYSTEM_TABLE[System Subtype],FALSE)</f>
        <v>0</v>
      </c>
      <c r="H146">
        <f>_xlfn.XLOOKUP(Table4[[#This Row],[Base System]],BASE_SYSTEM_TABLE[System Name],BASE_SYSTEM_TABLE[Construction Type (Framed or Planar)],FALSE)</f>
        <v>0</v>
      </c>
      <c r="I146" t="e">
        <f>GETPIVOTDATA("Sum of A1-A3 Fossil kg CO2e/m^2 wall area",'COMPONENT PIVOT REF'!$A$3,"System Name",Table4[[#This Row],[Base System]])</f>
        <v>#REF!</v>
      </c>
      <c r="J146" t="e">
        <f>GETPIVOTDATA("Sum of  R value (m^2-K/W)",'COMPONENT PIVOT REF'!$A$3,"System Name",Table4[[#This Row],[Base System]])</f>
        <v>#REF!</v>
      </c>
      <c r="K146" t="e">
        <f>GETPIVOTDATA("Sum of Total Mass per m^2 (kg)",'COMPONENT PIVOT REF'!$A$3,"System Name",Table4[[#This Row],[Base System]])</f>
        <v>#REF!</v>
      </c>
      <c r="M146">
        <f>_xlfn.XLOOKUP(Table4[[#This Row],[Ext Finish]],Master_Table4[System Name],Master_Table4[System Name (Short)],FALSE)</f>
        <v>0</v>
      </c>
      <c r="N146">
        <f>_xlfn.XLOOKUP(Table4[[#This Row],[Ext Finish]],Master_Table4[System Name],Master_Table4[Compatible Systems],FALSE)</f>
        <v>0</v>
      </c>
      <c r="O146" t="str">
        <f>IF(ISNUMBER(SEARCH(Table4[[#This Row],[MMC Method]],Table4[[#This Row],[Compatible Systems]])),"YES","NO")</f>
        <v>YES</v>
      </c>
      <c r="P146" t="e">
        <f>GETPIVOTDATA("Sum of A1-A3 Fossil kg CO2e/m^2 wall area",'COMPONENT PIVOT REF'!$I$3,"System Name",Table4[[#This Row],[Ext Finish]])</f>
        <v>#REF!</v>
      </c>
      <c r="Q146" t="e">
        <f>GETPIVOTDATA("Sum of  R value (m^2-K/W)",'COMPONENT PIVOT REF'!$I$3,"System Name",Table4[[#This Row],[Ext Finish]])</f>
        <v>#REF!</v>
      </c>
      <c r="R146" t="e">
        <f>GETPIVOTDATA("Sum of Total Mass per m^2 (kg)",'COMPONENT PIVOT REF'!$I$3,"System Name",Table4[[#This Row],[Ext Finish]])</f>
        <v>#REF!</v>
      </c>
      <c r="T146">
        <f>_xlfn.XLOOKUP(Table4[[#This Row],[Int Finish]],Master_Table6[System Name],Master_Table6[System Name (Short)],FALSE)</f>
        <v>0</v>
      </c>
      <c r="U146" t="e">
        <f>GETPIVOTDATA("Sum of A1-A3 Fossil kg CO2e/m^2 wall area",'COMPONENT PIVOT REF'!$P$3,"System Name",Table4[[#This Row],[Int Finish]])</f>
        <v>#REF!</v>
      </c>
      <c r="V146" t="e">
        <f>GETPIVOTDATA("Sum of  R value (m^2-K/W)",'COMPONENT PIVOT REF'!$P$3,"System Name",Table4[[#This Row],[Int Finish]])</f>
        <v>#REF!</v>
      </c>
      <c r="W146" t="e">
        <f>GETPIVOTDATA("Sum of Total Mass per m^2 (kg)",'COMPONENT PIVOT REF'!$P$3,"System Name",Table4[[#This Row],[Int Finish]])</f>
        <v>#REF!</v>
      </c>
      <c r="X146" t="e">
        <f>Table4[[#This Row],[Ext Finish GWP]]+Table4[[#This Row],[Base GWP]]+Table4[[#This Row],[Int Finish GWP]]</f>
        <v>#REF!</v>
      </c>
      <c r="Y146" t="e">
        <f>Table4[[#This Row],[Ext Finish R Value]]+Table4[[#This Row],[Base R Value]]+Table4[[#This Row],[Int Finish R Value]]</f>
        <v>#REF!</v>
      </c>
      <c r="Z146" t="e">
        <f>1/Table4[[#This Row],[Total R value]]</f>
        <v>#REF!</v>
      </c>
      <c r="AA146" t="e">
        <f>Table4[[#This Row],[Int Finish Mass]]+Table4[[#This Row],[Ext Finish Mass]]+Table4[[#This Row],[Base Mass]]</f>
        <v>#REF!</v>
      </c>
    </row>
    <row r="147" spans="3:27" x14ac:dyDescent="0.35">
      <c r="C147" t="str">
        <f>_xlfn.CONCAT(Table4[[#This Row],[System Name (Short)]],"_",Table4[[#This Row],[Ext Finish Name (Short)]],"_",Table4[[#This Row],[Int Finish Name (Short)]])</f>
        <v>0_0_0</v>
      </c>
      <c r="E147">
        <f>_xlfn.XLOOKUP(Table4[[#This Row],[Base System]],BASE_SYSTEM_TABLE[System Name],BASE_SYSTEM_TABLE[System Name (Short)],FALSE)</f>
        <v>0</v>
      </c>
      <c r="F147">
        <f>_xlfn.XLOOKUP(Table4[[#This Row],[Base System]],BASE_SYSTEM_TABLE[System Name],BASE_SYSTEM_TABLE[System Type],FALSE)</f>
        <v>0</v>
      </c>
      <c r="G147">
        <f>_xlfn.XLOOKUP(Table4[[#This Row],[Base System]],BASE_SYSTEM_TABLE[System Name],BASE_SYSTEM_TABLE[System Subtype],FALSE)</f>
        <v>0</v>
      </c>
      <c r="H147">
        <f>_xlfn.XLOOKUP(Table4[[#This Row],[Base System]],BASE_SYSTEM_TABLE[System Name],BASE_SYSTEM_TABLE[Construction Type (Framed or Planar)],FALSE)</f>
        <v>0</v>
      </c>
      <c r="I147" t="e">
        <f>GETPIVOTDATA("Sum of A1-A3 Fossil kg CO2e/m^2 wall area",'COMPONENT PIVOT REF'!$A$3,"System Name",Table4[[#This Row],[Base System]])</f>
        <v>#REF!</v>
      </c>
      <c r="J147" t="e">
        <f>GETPIVOTDATA("Sum of  R value (m^2-K/W)",'COMPONENT PIVOT REF'!$A$3,"System Name",Table4[[#This Row],[Base System]])</f>
        <v>#REF!</v>
      </c>
      <c r="K147" t="e">
        <f>GETPIVOTDATA("Sum of Total Mass per m^2 (kg)",'COMPONENT PIVOT REF'!$A$3,"System Name",Table4[[#This Row],[Base System]])</f>
        <v>#REF!</v>
      </c>
      <c r="M147">
        <f>_xlfn.XLOOKUP(Table4[[#This Row],[Ext Finish]],Master_Table4[System Name],Master_Table4[System Name (Short)],FALSE)</f>
        <v>0</v>
      </c>
      <c r="N147">
        <f>_xlfn.XLOOKUP(Table4[[#This Row],[Ext Finish]],Master_Table4[System Name],Master_Table4[Compatible Systems],FALSE)</f>
        <v>0</v>
      </c>
      <c r="O147" t="str">
        <f>IF(ISNUMBER(SEARCH(Table4[[#This Row],[MMC Method]],Table4[[#This Row],[Compatible Systems]])),"YES","NO")</f>
        <v>YES</v>
      </c>
      <c r="P147" t="e">
        <f>GETPIVOTDATA("Sum of A1-A3 Fossil kg CO2e/m^2 wall area",'COMPONENT PIVOT REF'!$I$3,"System Name",Table4[[#This Row],[Ext Finish]])</f>
        <v>#REF!</v>
      </c>
      <c r="Q147" t="e">
        <f>GETPIVOTDATA("Sum of  R value (m^2-K/W)",'COMPONENT PIVOT REF'!$I$3,"System Name",Table4[[#This Row],[Ext Finish]])</f>
        <v>#REF!</v>
      </c>
      <c r="R147" t="e">
        <f>GETPIVOTDATA("Sum of Total Mass per m^2 (kg)",'COMPONENT PIVOT REF'!$I$3,"System Name",Table4[[#This Row],[Ext Finish]])</f>
        <v>#REF!</v>
      </c>
      <c r="T147">
        <f>_xlfn.XLOOKUP(Table4[[#This Row],[Int Finish]],Master_Table6[System Name],Master_Table6[System Name (Short)],FALSE)</f>
        <v>0</v>
      </c>
      <c r="U147" t="e">
        <f>GETPIVOTDATA("Sum of A1-A3 Fossil kg CO2e/m^2 wall area",'COMPONENT PIVOT REF'!$P$3,"System Name",Table4[[#This Row],[Int Finish]])</f>
        <v>#REF!</v>
      </c>
      <c r="V147" t="e">
        <f>GETPIVOTDATA("Sum of  R value (m^2-K/W)",'COMPONENT PIVOT REF'!$P$3,"System Name",Table4[[#This Row],[Int Finish]])</f>
        <v>#REF!</v>
      </c>
      <c r="W147" t="e">
        <f>GETPIVOTDATA("Sum of Total Mass per m^2 (kg)",'COMPONENT PIVOT REF'!$P$3,"System Name",Table4[[#This Row],[Int Finish]])</f>
        <v>#REF!</v>
      </c>
      <c r="X147" t="e">
        <f>Table4[[#This Row],[Ext Finish GWP]]+Table4[[#This Row],[Base GWP]]+Table4[[#This Row],[Int Finish GWP]]</f>
        <v>#REF!</v>
      </c>
      <c r="Y147" t="e">
        <f>Table4[[#This Row],[Ext Finish R Value]]+Table4[[#This Row],[Base R Value]]+Table4[[#This Row],[Int Finish R Value]]</f>
        <v>#REF!</v>
      </c>
      <c r="Z147" t="e">
        <f>1/Table4[[#This Row],[Total R value]]</f>
        <v>#REF!</v>
      </c>
      <c r="AA147" t="e">
        <f>Table4[[#This Row],[Int Finish Mass]]+Table4[[#This Row],[Ext Finish Mass]]+Table4[[#This Row],[Base Mass]]</f>
        <v>#REF!</v>
      </c>
    </row>
    <row r="148" spans="3:27" x14ac:dyDescent="0.35">
      <c r="C148" t="str">
        <f>_xlfn.CONCAT(Table4[[#This Row],[System Name (Short)]],"_",Table4[[#This Row],[Ext Finish Name (Short)]],"_",Table4[[#This Row],[Int Finish Name (Short)]])</f>
        <v>0_0_0</v>
      </c>
      <c r="E148">
        <f>_xlfn.XLOOKUP(Table4[[#This Row],[Base System]],BASE_SYSTEM_TABLE[System Name],BASE_SYSTEM_TABLE[System Name (Short)],FALSE)</f>
        <v>0</v>
      </c>
      <c r="F148">
        <f>_xlfn.XLOOKUP(Table4[[#This Row],[Base System]],BASE_SYSTEM_TABLE[System Name],BASE_SYSTEM_TABLE[System Type],FALSE)</f>
        <v>0</v>
      </c>
      <c r="G148">
        <f>_xlfn.XLOOKUP(Table4[[#This Row],[Base System]],BASE_SYSTEM_TABLE[System Name],BASE_SYSTEM_TABLE[System Subtype],FALSE)</f>
        <v>0</v>
      </c>
      <c r="H148">
        <f>_xlfn.XLOOKUP(Table4[[#This Row],[Base System]],BASE_SYSTEM_TABLE[System Name],BASE_SYSTEM_TABLE[Construction Type (Framed or Planar)],FALSE)</f>
        <v>0</v>
      </c>
      <c r="I148" t="e">
        <f>GETPIVOTDATA("Sum of A1-A3 Fossil kg CO2e/m^2 wall area",'COMPONENT PIVOT REF'!$A$3,"System Name",Table4[[#This Row],[Base System]])</f>
        <v>#REF!</v>
      </c>
      <c r="J148" t="e">
        <f>GETPIVOTDATA("Sum of  R value (m^2-K/W)",'COMPONENT PIVOT REF'!$A$3,"System Name",Table4[[#This Row],[Base System]])</f>
        <v>#REF!</v>
      </c>
      <c r="K148" t="e">
        <f>GETPIVOTDATA("Sum of Total Mass per m^2 (kg)",'COMPONENT PIVOT REF'!$A$3,"System Name",Table4[[#This Row],[Base System]])</f>
        <v>#REF!</v>
      </c>
      <c r="M148">
        <f>_xlfn.XLOOKUP(Table4[[#This Row],[Ext Finish]],Master_Table4[System Name],Master_Table4[System Name (Short)],FALSE)</f>
        <v>0</v>
      </c>
      <c r="N148">
        <f>_xlfn.XLOOKUP(Table4[[#This Row],[Ext Finish]],Master_Table4[System Name],Master_Table4[Compatible Systems],FALSE)</f>
        <v>0</v>
      </c>
      <c r="O148" t="str">
        <f>IF(ISNUMBER(SEARCH(Table4[[#This Row],[MMC Method]],Table4[[#This Row],[Compatible Systems]])),"YES","NO")</f>
        <v>YES</v>
      </c>
      <c r="P148" t="e">
        <f>GETPIVOTDATA("Sum of A1-A3 Fossil kg CO2e/m^2 wall area",'COMPONENT PIVOT REF'!$I$3,"System Name",Table4[[#This Row],[Ext Finish]])</f>
        <v>#REF!</v>
      </c>
      <c r="Q148" t="e">
        <f>GETPIVOTDATA("Sum of  R value (m^2-K/W)",'COMPONENT PIVOT REF'!$I$3,"System Name",Table4[[#This Row],[Ext Finish]])</f>
        <v>#REF!</v>
      </c>
      <c r="R148" t="e">
        <f>GETPIVOTDATA("Sum of Total Mass per m^2 (kg)",'COMPONENT PIVOT REF'!$I$3,"System Name",Table4[[#This Row],[Ext Finish]])</f>
        <v>#REF!</v>
      </c>
      <c r="T148">
        <f>_xlfn.XLOOKUP(Table4[[#This Row],[Int Finish]],Master_Table6[System Name],Master_Table6[System Name (Short)],FALSE)</f>
        <v>0</v>
      </c>
      <c r="U148" t="e">
        <f>GETPIVOTDATA("Sum of A1-A3 Fossil kg CO2e/m^2 wall area",'COMPONENT PIVOT REF'!$P$3,"System Name",Table4[[#This Row],[Int Finish]])</f>
        <v>#REF!</v>
      </c>
      <c r="V148" t="e">
        <f>GETPIVOTDATA("Sum of  R value (m^2-K/W)",'COMPONENT PIVOT REF'!$P$3,"System Name",Table4[[#This Row],[Int Finish]])</f>
        <v>#REF!</v>
      </c>
      <c r="W148" t="e">
        <f>GETPIVOTDATA("Sum of Total Mass per m^2 (kg)",'COMPONENT PIVOT REF'!$P$3,"System Name",Table4[[#This Row],[Int Finish]])</f>
        <v>#REF!</v>
      </c>
      <c r="X148" t="e">
        <f>Table4[[#This Row],[Ext Finish GWP]]+Table4[[#This Row],[Base GWP]]+Table4[[#This Row],[Int Finish GWP]]</f>
        <v>#REF!</v>
      </c>
      <c r="Y148" t="e">
        <f>Table4[[#This Row],[Ext Finish R Value]]+Table4[[#This Row],[Base R Value]]+Table4[[#This Row],[Int Finish R Value]]</f>
        <v>#REF!</v>
      </c>
      <c r="Z148" t="e">
        <f>1/Table4[[#This Row],[Total R value]]</f>
        <v>#REF!</v>
      </c>
      <c r="AA148" t="e">
        <f>Table4[[#This Row],[Int Finish Mass]]+Table4[[#This Row],[Ext Finish Mass]]+Table4[[#This Row],[Base Mass]]</f>
        <v>#REF!</v>
      </c>
    </row>
    <row r="149" spans="3:27" x14ac:dyDescent="0.35">
      <c r="C149" t="str">
        <f>_xlfn.CONCAT(Table4[[#This Row],[System Name (Short)]],"_",Table4[[#This Row],[Ext Finish Name (Short)]],"_",Table4[[#This Row],[Int Finish Name (Short)]])</f>
        <v>0_0_0</v>
      </c>
      <c r="E149">
        <f>_xlfn.XLOOKUP(Table4[[#This Row],[Base System]],BASE_SYSTEM_TABLE[System Name],BASE_SYSTEM_TABLE[System Name (Short)],FALSE)</f>
        <v>0</v>
      </c>
      <c r="F149">
        <f>_xlfn.XLOOKUP(Table4[[#This Row],[Base System]],BASE_SYSTEM_TABLE[System Name],BASE_SYSTEM_TABLE[System Type],FALSE)</f>
        <v>0</v>
      </c>
      <c r="G149">
        <f>_xlfn.XLOOKUP(Table4[[#This Row],[Base System]],BASE_SYSTEM_TABLE[System Name],BASE_SYSTEM_TABLE[System Subtype],FALSE)</f>
        <v>0</v>
      </c>
      <c r="H149">
        <f>_xlfn.XLOOKUP(Table4[[#This Row],[Base System]],BASE_SYSTEM_TABLE[System Name],BASE_SYSTEM_TABLE[Construction Type (Framed or Planar)],FALSE)</f>
        <v>0</v>
      </c>
      <c r="I149" t="e">
        <f>GETPIVOTDATA("Sum of A1-A3 Fossil kg CO2e/m^2 wall area",'COMPONENT PIVOT REF'!$A$3,"System Name",Table4[[#This Row],[Base System]])</f>
        <v>#REF!</v>
      </c>
      <c r="J149" t="e">
        <f>GETPIVOTDATA("Sum of  R value (m^2-K/W)",'COMPONENT PIVOT REF'!$A$3,"System Name",Table4[[#This Row],[Base System]])</f>
        <v>#REF!</v>
      </c>
      <c r="K149" t="e">
        <f>GETPIVOTDATA("Sum of Total Mass per m^2 (kg)",'COMPONENT PIVOT REF'!$A$3,"System Name",Table4[[#This Row],[Base System]])</f>
        <v>#REF!</v>
      </c>
      <c r="M149">
        <f>_xlfn.XLOOKUP(Table4[[#This Row],[Ext Finish]],Master_Table4[System Name],Master_Table4[System Name (Short)],FALSE)</f>
        <v>0</v>
      </c>
      <c r="N149">
        <f>_xlfn.XLOOKUP(Table4[[#This Row],[Ext Finish]],Master_Table4[System Name],Master_Table4[Compatible Systems],FALSE)</f>
        <v>0</v>
      </c>
      <c r="O149" t="str">
        <f>IF(ISNUMBER(SEARCH(Table4[[#This Row],[MMC Method]],Table4[[#This Row],[Compatible Systems]])),"YES","NO")</f>
        <v>YES</v>
      </c>
      <c r="P149" t="e">
        <f>GETPIVOTDATA("Sum of A1-A3 Fossil kg CO2e/m^2 wall area",'COMPONENT PIVOT REF'!$I$3,"System Name",Table4[[#This Row],[Ext Finish]])</f>
        <v>#REF!</v>
      </c>
      <c r="Q149" t="e">
        <f>GETPIVOTDATA("Sum of  R value (m^2-K/W)",'COMPONENT PIVOT REF'!$I$3,"System Name",Table4[[#This Row],[Ext Finish]])</f>
        <v>#REF!</v>
      </c>
      <c r="R149" t="e">
        <f>GETPIVOTDATA("Sum of Total Mass per m^2 (kg)",'COMPONENT PIVOT REF'!$I$3,"System Name",Table4[[#This Row],[Ext Finish]])</f>
        <v>#REF!</v>
      </c>
      <c r="T149">
        <f>_xlfn.XLOOKUP(Table4[[#This Row],[Int Finish]],Master_Table6[System Name],Master_Table6[System Name (Short)],FALSE)</f>
        <v>0</v>
      </c>
      <c r="U149" t="e">
        <f>GETPIVOTDATA("Sum of A1-A3 Fossil kg CO2e/m^2 wall area",'COMPONENT PIVOT REF'!$P$3,"System Name",Table4[[#This Row],[Int Finish]])</f>
        <v>#REF!</v>
      </c>
      <c r="V149" t="e">
        <f>GETPIVOTDATA("Sum of  R value (m^2-K/W)",'COMPONENT PIVOT REF'!$P$3,"System Name",Table4[[#This Row],[Int Finish]])</f>
        <v>#REF!</v>
      </c>
      <c r="W149" t="e">
        <f>GETPIVOTDATA("Sum of Total Mass per m^2 (kg)",'COMPONENT PIVOT REF'!$P$3,"System Name",Table4[[#This Row],[Int Finish]])</f>
        <v>#REF!</v>
      </c>
      <c r="X149" t="e">
        <f>Table4[[#This Row],[Ext Finish GWP]]+Table4[[#This Row],[Base GWP]]+Table4[[#This Row],[Int Finish GWP]]</f>
        <v>#REF!</v>
      </c>
      <c r="Y149" t="e">
        <f>Table4[[#This Row],[Ext Finish R Value]]+Table4[[#This Row],[Base R Value]]+Table4[[#This Row],[Int Finish R Value]]</f>
        <v>#REF!</v>
      </c>
      <c r="Z149" t="e">
        <f>1/Table4[[#This Row],[Total R value]]</f>
        <v>#REF!</v>
      </c>
      <c r="AA149" t="e">
        <f>Table4[[#This Row],[Int Finish Mass]]+Table4[[#This Row],[Ext Finish Mass]]+Table4[[#This Row],[Base Mass]]</f>
        <v>#REF!</v>
      </c>
    </row>
    <row r="150" spans="3:27" x14ac:dyDescent="0.35">
      <c r="C150" t="str">
        <f>_xlfn.CONCAT(Table4[[#This Row],[System Name (Short)]],"_",Table4[[#This Row],[Ext Finish Name (Short)]],"_",Table4[[#This Row],[Int Finish Name (Short)]])</f>
        <v>0_0_0</v>
      </c>
      <c r="E150">
        <f>_xlfn.XLOOKUP(Table4[[#This Row],[Base System]],BASE_SYSTEM_TABLE[System Name],BASE_SYSTEM_TABLE[System Name (Short)],FALSE)</f>
        <v>0</v>
      </c>
      <c r="F150">
        <f>_xlfn.XLOOKUP(Table4[[#This Row],[Base System]],BASE_SYSTEM_TABLE[System Name],BASE_SYSTEM_TABLE[System Type],FALSE)</f>
        <v>0</v>
      </c>
      <c r="G150">
        <f>_xlfn.XLOOKUP(Table4[[#This Row],[Base System]],BASE_SYSTEM_TABLE[System Name],BASE_SYSTEM_TABLE[System Subtype],FALSE)</f>
        <v>0</v>
      </c>
      <c r="H150">
        <f>_xlfn.XLOOKUP(Table4[[#This Row],[Base System]],BASE_SYSTEM_TABLE[System Name],BASE_SYSTEM_TABLE[Construction Type (Framed or Planar)],FALSE)</f>
        <v>0</v>
      </c>
      <c r="I150" t="e">
        <f>GETPIVOTDATA("Sum of A1-A3 Fossil kg CO2e/m^2 wall area",'COMPONENT PIVOT REF'!$A$3,"System Name",Table4[[#This Row],[Base System]])</f>
        <v>#REF!</v>
      </c>
      <c r="J150" t="e">
        <f>GETPIVOTDATA("Sum of  R value (m^2-K/W)",'COMPONENT PIVOT REF'!$A$3,"System Name",Table4[[#This Row],[Base System]])</f>
        <v>#REF!</v>
      </c>
      <c r="K150" t="e">
        <f>GETPIVOTDATA("Sum of Total Mass per m^2 (kg)",'COMPONENT PIVOT REF'!$A$3,"System Name",Table4[[#This Row],[Base System]])</f>
        <v>#REF!</v>
      </c>
      <c r="M150">
        <f>_xlfn.XLOOKUP(Table4[[#This Row],[Ext Finish]],Master_Table4[System Name],Master_Table4[System Name (Short)],FALSE)</f>
        <v>0</v>
      </c>
      <c r="N150">
        <f>_xlfn.XLOOKUP(Table4[[#This Row],[Ext Finish]],Master_Table4[System Name],Master_Table4[Compatible Systems],FALSE)</f>
        <v>0</v>
      </c>
      <c r="O150" t="str">
        <f>IF(ISNUMBER(SEARCH(Table4[[#This Row],[MMC Method]],Table4[[#This Row],[Compatible Systems]])),"YES","NO")</f>
        <v>YES</v>
      </c>
      <c r="P150" t="e">
        <f>GETPIVOTDATA("Sum of A1-A3 Fossil kg CO2e/m^2 wall area",'COMPONENT PIVOT REF'!$I$3,"System Name",Table4[[#This Row],[Ext Finish]])</f>
        <v>#REF!</v>
      </c>
      <c r="Q150" t="e">
        <f>GETPIVOTDATA("Sum of  R value (m^2-K/W)",'COMPONENT PIVOT REF'!$I$3,"System Name",Table4[[#This Row],[Ext Finish]])</f>
        <v>#REF!</v>
      </c>
      <c r="R150" t="e">
        <f>GETPIVOTDATA("Sum of Total Mass per m^2 (kg)",'COMPONENT PIVOT REF'!$I$3,"System Name",Table4[[#This Row],[Ext Finish]])</f>
        <v>#REF!</v>
      </c>
      <c r="T150">
        <f>_xlfn.XLOOKUP(Table4[[#This Row],[Int Finish]],Master_Table6[System Name],Master_Table6[System Name (Short)],FALSE)</f>
        <v>0</v>
      </c>
      <c r="U150" t="e">
        <f>GETPIVOTDATA("Sum of A1-A3 Fossil kg CO2e/m^2 wall area",'COMPONENT PIVOT REF'!$P$3,"System Name",Table4[[#This Row],[Int Finish]])</f>
        <v>#REF!</v>
      </c>
      <c r="V150" t="e">
        <f>GETPIVOTDATA("Sum of  R value (m^2-K/W)",'COMPONENT PIVOT REF'!$P$3,"System Name",Table4[[#This Row],[Int Finish]])</f>
        <v>#REF!</v>
      </c>
      <c r="W150" t="e">
        <f>GETPIVOTDATA("Sum of Total Mass per m^2 (kg)",'COMPONENT PIVOT REF'!$P$3,"System Name",Table4[[#This Row],[Int Finish]])</f>
        <v>#REF!</v>
      </c>
      <c r="X150" t="e">
        <f>Table4[[#This Row],[Ext Finish GWP]]+Table4[[#This Row],[Base GWP]]+Table4[[#This Row],[Int Finish GWP]]</f>
        <v>#REF!</v>
      </c>
      <c r="Y150" t="e">
        <f>Table4[[#This Row],[Ext Finish R Value]]+Table4[[#This Row],[Base R Value]]+Table4[[#This Row],[Int Finish R Value]]</f>
        <v>#REF!</v>
      </c>
      <c r="Z150" t="e">
        <f>1/Table4[[#This Row],[Total R value]]</f>
        <v>#REF!</v>
      </c>
      <c r="AA150" t="e">
        <f>Table4[[#This Row],[Int Finish Mass]]+Table4[[#This Row],[Ext Finish Mass]]+Table4[[#This Row],[Base Mass]]</f>
        <v>#REF!</v>
      </c>
    </row>
    <row r="151" spans="3:27" x14ac:dyDescent="0.35">
      <c r="C151" t="str">
        <f>_xlfn.CONCAT(Table4[[#This Row],[System Name (Short)]],"_",Table4[[#This Row],[Ext Finish Name (Short)]],"_",Table4[[#This Row],[Int Finish Name (Short)]])</f>
        <v>0_0_0</v>
      </c>
      <c r="E151">
        <f>_xlfn.XLOOKUP(Table4[[#This Row],[Base System]],BASE_SYSTEM_TABLE[System Name],BASE_SYSTEM_TABLE[System Name (Short)],FALSE)</f>
        <v>0</v>
      </c>
      <c r="F151">
        <f>_xlfn.XLOOKUP(Table4[[#This Row],[Base System]],BASE_SYSTEM_TABLE[System Name],BASE_SYSTEM_TABLE[System Type],FALSE)</f>
        <v>0</v>
      </c>
      <c r="G151">
        <f>_xlfn.XLOOKUP(Table4[[#This Row],[Base System]],BASE_SYSTEM_TABLE[System Name],BASE_SYSTEM_TABLE[System Subtype],FALSE)</f>
        <v>0</v>
      </c>
      <c r="H151">
        <f>_xlfn.XLOOKUP(Table4[[#This Row],[Base System]],BASE_SYSTEM_TABLE[System Name],BASE_SYSTEM_TABLE[Construction Type (Framed or Planar)],FALSE)</f>
        <v>0</v>
      </c>
      <c r="I151" t="e">
        <f>GETPIVOTDATA("Sum of A1-A3 Fossil kg CO2e/m^2 wall area",'COMPONENT PIVOT REF'!$A$3,"System Name",Table4[[#This Row],[Base System]])</f>
        <v>#REF!</v>
      </c>
      <c r="J151" t="e">
        <f>GETPIVOTDATA("Sum of  R value (m^2-K/W)",'COMPONENT PIVOT REF'!$A$3,"System Name",Table4[[#This Row],[Base System]])</f>
        <v>#REF!</v>
      </c>
      <c r="K151" t="e">
        <f>GETPIVOTDATA("Sum of Total Mass per m^2 (kg)",'COMPONENT PIVOT REF'!$A$3,"System Name",Table4[[#This Row],[Base System]])</f>
        <v>#REF!</v>
      </c>
      <c r="M151">
        <f>_xlfn.XLOOKUP(Table4[[#This Row],[Ext Finish]],Master_Table4[System Name],Master_Table4[System Name (Short)],FALSE)</f>
        <v>0</v>
      </c>
      <c r="N151">
        <f>_xlfn.XLOOKUP(Table4[[#This Row],[Ext Finish]],Master_Table4[System Name],Master_Table4[Compatible Systems],FALSE)</f>
        <v>0</v>
      </c>
      <c r="O151" t="str">
        <f>IF(ISNUMBER(SEARCH(Table4[[#This Row],[MMC Method]],Table4[[#This Row],[Compatible Systems]])),"YES","NO")</f>
        <v>YES</v>
      </c>
      <c r="P151" t="e">
        <f>GETPIVOTDATA("Sum of A1-A3 Fossil kg CO2e/m^2 wall area",'COMPONENT PIVOT REF'!$I$3,"System Name",Table4[[#This Row],[Ext Finish]])</f>
        <v>#REF!</v>
      </c>
      <c r="Q151" t="e">
        <f>GETPIVOTDATA("Sum of  R value (m^2-K/W)",'COMPONENT PIVOT REF'!$I$3,"System Name",Table4[[#This Row],[Ext Finish]])</f>
        <v>#REF!</v>
      </c>
      <c r="R151" t="e">
        <f>GETPIVOTDATA("Sum of Total Mass per m^2 (kg)",'COMPONENT PIVOT REF'!$I$3,"System Name",Table4[[#This Row],[Ext Finish]])</f>
        <v>#REF!</v>
      </c>
      <c r="T151">
        <f>_xlfn.XLOOKUP(Table4[[#This Row],[Int Finish]],Master_Table6[System Name],Master_Table6[System Name (Short)],FALSE)</f>
        <v>0</v>
      </c>
      <c r="U151" t="e">
        <f>GETPIVOTDATA("Sum of A1-A3 Fossil kg CO2e/m^2 wall area",'COMPONENT PIVOT REF'!$P$3,"System Name",Table4[[#This Row],[Int Finish]])</f>
        <v>#REF!</v>
      </c>
      <c r="V151" t="e">
        <f>GETPIVOTDATA("Sum of  R value (m^2-K/W)",'COMPONENT PIVOT REF'!$P$3,"System Name",Table4[[#This Row],[Int Finish]])</f>
        <v>#REF!</v>
      </c>
      <c r="W151" t="e">
        <f>GETPIVOTDATA("Sum of Total Mass per m^2 (kg)",'COMPONENT PIVOT REF'!$P$3,"System Name",Table4[[#This Row],[Int Finish]])</f>
        <v>#REF!</v>
      </c>
      <c r="X151" t="e">
        <f>Table4[[#This Row],[Ext Finish GWP]]+Table4[[#This Row],[Base GWP]]+Table4[[#This Row],[Int Finish GWP]]</f>
        <v>#REF!</v>
      </c>
      <c r="Y151" t="e">
        <f>Table4[[#This Row],[Ext Finish R Value]]+Table4[[#This Row],[Base R Value]]+Table4[[#This Row],[Int Finish R Value]]</f>
        <v>#REF!</v>
      </c>
      <c r="Z151" t="e">
        <f>1/Table4[[#This Row],[Total R value]]</f>
        <v>#REF!</v>
      </c>
      <c r="AA151" t="e">
        <f>Table4[[#This Row],[Int Finish Mass]]+Table4[[#This Row],[Ext Finish Mass]]+Table4[[#This Row],[Base Mass]]</f>
        <v>#REF!</v>
      </c>
    </row>
    <row r="152" spans="3:27" x14ac:dyDescent="0.35">
      <c r="C152" t="str">
        <f>_xlfn.CONCAT(Table4[[#This Row],[System Name (Short)]],"_",Table4[[#This Row],[Ext Finish Name (Short)]],"_",Table4[[#This Row],[Int Finish Name (Short)]])</f>
        <v>0_0_0</v>
      </c>
      <c r="E152">
        <f>_xlfn.XLOOKUP(Table4[[#This Row],[Base System]],BASE_SYSTEM_TABLE[System Name],BASE_SYSTEM_TABLE[System Name (Short)],FALSE)</f>
        <v>0</v>
      </c>
      <c r="F152">
        <f>_xlfn.XLOOKUP(Table4[[#This Row],[Base System]],BASE_SYSTEM_TABLE[System Name],BASE_SYSTEM_TABLE[System Type],FALSE)</f>
        <v>0</v>
      </c>
      <c r="G152">
        <f>_xlfn.XLOOKUP(Table4[[#This Row],[Base System]],BASE_SYSTEM_TABLE[System Name],BASE_SYSTEM_TABLE[System Subtype],FALSE)</f>
        <v>0</v>
      </c>
      <c r="H152">
        <f>_xlfn.XLOOKUP(Table4[[#This Row],[Base System]],BASE_SYSTEM_TABLE[System Name],BASE_SYSTEM_TABLE[Construction Type (Framed or Planar)],FALSE)</f>
        <v>0</v>
      </c>
      <c r="I152" t="e">
        <f>GETPIVOTDATA("Sum of A1-A3 Fossil kg CO2e/m^2 wall area",'COMPONENT PIVOT REF'!$A$3,"System Name",Table4[[#This Row],[Base System]])</f>
        <v>#REF!</v>
      </c>
      <c r="J152" t="e">
        <f>GETPIVOTDATA("Sum of  R value (m^2-K/W)",'COMPONENT PIVOT REF'!$A$3,"System Name",Table4[[#This Row],[Base System]])</f>
        <v>#REF!</v>
      </c>
      <c r="K152" t="e">
        <f>GETPIVOTDATA("Sum of Total Mass per m^2 (kg)",'COMPONENT PIVOT REF'!$A$3,"System Name",Table4[[#This Row],[Base System]])</f>
        <v>#REF!</v>
      </c>
      <c r="M152">
        <f>_xlfn.XLOOKUP(Table4[[#This Row],[Ext Finish]],Master_Table4[System Name],Master_Table4[System Name (Short)],FALSE)</f>
        <v>0</v>
      </c>
      <c r="N152">
        <f>_xlfn.XLOOKUP(Table4[[#This Row],[Ext Finish]],Master_Table4[System Name],Master_Table4[Compatible Systems],FALSE)</f>
        <v>0</v>
      </c>
      <c r="O152" t="str">
        <f>IF(ISNUMBER(SEARCH(Table4[[#This Row],[MMC Method]],Table4[[#This Row],[Compatible Systems]])),"YES","NO")</f>
        <v>YES</v>
      </c>
      <c r="P152" t="e">
        <f>GETPIVOTDATA("Sum of A1-A3 Fossil kg CO2e/m^2 wall area",'COMPONENT PIVOT REF'!$I$3,"System Name",Table4[[#This Row],[Ext Finish]])</f>
        <v>#REF!</v>
      </c>
      <c r="Q152" t="e">
        <f>GETPIVOTDATA("Sum of  R value (m^2-K/W)",'COMPONENT PIVOT REF'!$I$3,"System Name",Table4[[#This Row],[Ext Finish]])</f>
        <v>#REF!</v>
      </c>
      <c r="R152" t="e">
        <f>GETPIVOTDATA("Sum of Total Mass per m^2 (kg)",'COMPONENT PIVOT REF'!$I$3,"System Name",Table4[[#This Row],[Ext Finish]])</f>
        <v>#REF!</v>
      </c>
      <c r="T152">
        <f>_xlfn.XLOOKUP(Table4[[#This Row],[Int Finish]],Master_Table6[System Name],Master_Table6[System Name (Short)],FALSE)</f>
        <v>0</v>
      </c>
      <c r="U152" t="e">
        <f>GETPIVOTDATA("Sum of A1-A3 Fossil kg CO2e/m^2 wall area",'COMPONENT PIVOT REF'!$P$3,"System Name",Table4[[#This Row],[Int Finish]])</f>
        <v>#REF!</v>
      </c>
      <c r="V152" t="e">
        <f>GETPIVOTDATA("Sum of  R value (m^2-K/W)",'COMPONENT PIVOT REF'!$P$3,"System Name",Table4[[#This Row],[Int Finish]])</f>
        <v>#REF!</v>
      </c>
      <c r="W152" t="e">
        <f>GETPIVOTDATA("Sum of Total Mass per m^2 (kg)",'COMPONENT PIVOT REF'!$P$3,"System Name",Table4[[#This Row],[Int Finish]])</f>
        <v>#REF!</v>
      </c>
      <c r="X152" t="e">
        <f>Table4[[#This Row],[Ext Finish GWP]]+Table4[[#This Row],[Base GWP]]+Table4[[#This Row],[Int Finish GWP]]</f>
        <v>#REF!</v>
      </c>
      <c r="Y152" t="e">
        <f>Table4[[#This Row],[Ext Finish R Value]]+Table4[[#This Row],[Base R Value]]+Table4[[#This Row],[Int Finish R Value]]</f>
        <v>#REF!</v>
      </c>
      <c r="Z152" t="e">
        <f>1/Table4[[#This Row],[Total R value]]</f>
        <v>#REF!</v>
      </c>
      <c r="AA152" t="e">
        <f>Table4[[#This Row],[Int Finish Mass]]+Table4[[#This Row],[Ext Finish Mass]]+Table4[[#This Row],[Base Mass]]</f>
        <v>#REF!</v>
      </c>
    </row>
    <row r="153" spans="3:27" x14ac:dyDescent="0.35">
      <c r="C153" t="str">
        <f>_xlfn.CONCAT(Table4[[#This Row],[System Name (Short)]],"_",Table4[[#This Row],[Ext Finish Name (Short)]],"_",Table4[[#This Row],[Int Finish Name (Short)]])</f>
        <v>0_0_0</v>
      </c>
      <c r="E153">
        <f>_xlfn.XLOOKUP(Table4[[#This Row],[Base System]],BASE_SYSTEM_TABLE[System Name],BASE_SYSTEM_TABLE[System Name (Short)],FALSE)</f>
        <v>0</v>
      </c>
      <c r="F153">
        <f>_xlfn.XLOOKUP(Table4[[#This Row],[Base System]],BASE_SYSTEM_TABLE[System Name],BASE_SYSTEM_TABLE[System Type],FALSE)</f>
        <v>0</v>
      </c>
      <c r="G153">
        <f>_xlfn.XLOOKUP(Table4[[#This Row],[Base System]],BASE_SYSTEM_TABLE[System Name],BASE_SYSTEM_TABLE[System Subtype],FALSE)</f>
        <v>0</v>
      </c>
      <c r="H153">
        <f>_xlfn.XLOOKUP(Table4[[#This Row],[Base System]],BASE_SYSTEM_TABLE[System Name],BASE_SYSTEM_TABLE[Construction Type (Framed or Planar)],FALSE)</f>
        <v>0</v>
      </c>
      <c r="I153" t="e">
        <f>GETPIVOTDATA("Sum of A1-A3 Fossil kg CO2e/m^2 wall area",'COMPONENT PIVOT REF'!$A$3,"System Name",Table4[[#This Row],[Base System]])</f>
        <v>#REF!</v>
      </c>
      <c r="J153" t="e">
        <f>GETPIVOTDATA("Sum of  R value (m^2-K/W)",'COMPONENT PIVOT REF'!$A$3,"System Name",Table4[[#This Row],[Base System]])</f>
        <v>#REF!</v>
      </c>
      <c r="K153" t="e">
        <f>GETPIVOTDATA("Sum of Total Mass per m^2 (kg)",'COMPONENT PIVOT REF'!$A$3,"System Name",Table4[[#This Row],[Base System]])</f>
        <v>#REF!</v>
      </c>
      <c r="M153">
        <f>_xlfn.XLOOKUP(Table4[[#This Row],[Ext Finish]],Master_Table4[System Name],Master_Table4[System Name (Short)],FALSE)</f>
        <v>0</v>
      </c>
      <c r="N153">
        <f>_xlfn.XLOOKUP(Table4[[#This Row],[Ext Finish]],Master_Table4[System Name],Master_Table4[Compatible Systems],FALSE)</f>
        <v>0</v>
      </c>
      <c r="O153" t="str">
        <f>IF(ISNUMBER(SEARCH(Table4[[#This Row],[MMC Method]],Table4[[#This Row],[Compatible Systems]])),"YES","NO")</f>
        <v>YES</v>
      </c>
      <c r="P153" t="e">
        <f>GETPIVOTDATA("Sum of A1-A3 Fossil kg CO2e/m^2 wall area",'COMPONENT PIVOT REF'!$I$3,"System Name",Table4[[#This Row],[Ext Finish]])</f>
        <v>#REF!</v>
      </c>
      <c r="Q153" t="e">
        <f>GETPIVOTDATA("Sum of  R value (m^2-K/W)",'COMPONENT PIVOT REF'!$I$3,"System Name",Table4[[#This Row],[Ext Finish]])</f>
        <v>#REF!</v>
      </c>
      <c r="R153" t="e">
        <f>GETPIVOTDATA("Sum of Total Mass per m^2 (kg)",'COMPONENT PIVOT REF'!$I$3,"System Name",Table4[[#This Row],[Ext Finish]])</f>
        <v>#REF!</v>
      </c>
      <c r="T153">
        <f>_xlfn.XLOOKUP(Table4[[#This Row],[Int Finish]],Master_Table6[System Name],Master_Table6[System Name (Short)],FALSE)</f>
        <v>0</v>
      </c>
      <c r="U153" t="e">
        <f>GETPIVOTDATA("Sum of A1-A3 Fossil kg CO2e/m^2 wall area",'COMPONENT PIVOT REF'!$P$3,"System Name",Table4[[#This Row],[Int Finish]])</f>
        <v>#REF!</v>
      </c>
      <c r="V153" t="e">
        <f>GETPIVOTDATA("Sum of  R value (m^2-K/W)",'COMPONENT PIVOT REF'!$P$3,"System Name",Table4[[#This Row],[Int Finish]])</f>
        <v>#REF!</v>
      </c>
      <c r="W153" t="e">
        <f>GETPIVOTDATA("Sum of Total Mass per m^2 (kg)",'COMPONENT PIVOT REF'!$P$3,"System Name",Table4[[#This Row],[Int Finish]])</f>
        <v>#REF!</v>
      </c>
      <c r="X153" t="e">
        <f>Table4[[#This Row],[Ext Finish GWP]]+Table4[[#This Row],[Base GWP]]+Table4[[#This Row],[Int Finish GWP]]</f>
        <v>#REF!</v>
      </c>
      <c r="Y153" t="e">
        <f>Table4[[#This Row],[Ext Finish R Value]]+Table4[[#This Row],[Base R Value]]+Table4[[#This Row],[Int Finish R Value]]</f>
        <v>#REF!</v>
      </c>
      <c r="Z153" t="e">
        <f>1/Table4[[#This Row],[Total R value]]</f>
        <v>#REF!</v>
      </c>
      <c r="AA153" t="e">
        <f>Table4[[#This Row],[Int Finish Mass]]+Table4[[#This Row],[Ext Finish Mass]]+Table4[[#This Row],[Base Mass]]</f>
        <v>#REF!</v>
      </c>
    </row>
    <row r="154" spans="3:27" x14ac:dyDescent="0.35">
      <c r="C154" t="str">
        <f>_xlfn.CONCAT(Table4[[#This Row],[System Name (Short)]],"_",Table4[[#This Row],[Ext Finish Name (Short)]],"_",Table4[[#This Row],[Int Finish Name (Short)]])</f>
        <v>0_0_0</v>
      </c>
      <c r="E154">
        <f>_xlfn.XLOOKUP(Table4[[#This Row],[Base System]],BASE_SYSTEM_TABLE[System Name],BASE_SYSTEM_TABLE[System Name (Short)],FALSE)</f>
        <v>0</v>
      </c>
      <c r="F154">
        <f>_xlfn.XLOOKUP(Table4[[#This Row],[Base System]],BASE_SYSTEM_TABLE[System Name],BASE_SYSTEM_TABLE[System Type],FALSE)</f>
        <v>0</v>
      </c>
      <c r="G154">
        <f>_xlfn.XLOOKUP(Table4[[#This Row],[Base System]],BASE_SYSTEM_TABLE[System Name],BASE_SYSTEM_TABLE[System Subtype],FALSE)</f>
        <v>0</v>
      </c>
      <c r="H154">
        <f>_xlfn.XLOOKUP(Table4[[#This Row],[Base System]],BASE_SYSTEM_TABLE[System Name],BASE_SYSTEM_TABLE[Construction Type (Framed or Planar)],FALSE)</f>
        <v>0</v>
      </c>
      <c r="I154" t="e">
        <f>GETPIVOTDATA("Sum of A1-A3 Fossil kg CO2e/m^2 wall area",'COMPONENT PIVOT REF'!$A$3,"System Name",Table4[[#This Row],[Base System]])</f>
        <v>#REF!</v>
      </c>
      <c r="J154" t="e">
        <f>GETPIVOTDATA("Sum of  R value (m^2-K/W)",'COMPONENT PIVOT REF'!$A$3,"System Name",Table4[[#This Row],[Base System]])</f>
        <v>#REF!</v>
      </c>
      <c r="K154" t="e">
        <f>GETPIVOTDATA("Sum of Total Mass per m^2 (kg)",'COMPONENT PIVOT REF'!$A$3,"System Name",Table4[[#This Row],[Base System]])</f>
        <v>#REF!</v>
      </c>
      <c r="M154">
        <f>_xlfn.XLOOKUP(Table4[[#This Row],[Ext Finish]],Master_Table4[System Name],Master_Table4[System Name (Short)],FALSE)</f>
        <v>0</v>
      </c>
      <c r="N154">
        <f>_xlfn.XLOOKUP(Table4[[#This Row],[Ext Finish]],Master_Table4[System Name],Master_Table4[Compatible Systems],FALSE)</f>
        <v>0</v>
      </c>
      <c r="O154" t="str">
        <f>IF(ISNUMBER(SEARCH(Table4[[#This Row],[MMC Method]],Table4[[#This Row],[Compatible Systems]])),"YES","NO")</f>
        <v>YES</v>
      </c>
      <c r="P154" t="e">
        <f>GETPIVOTDATA("Sum of A1-A3 Fossil kg CO2e/m^2 wall area",'COMPONENT PIVOT REF'!$I$3,"System Name",Table4[[#This Row],[Ext Finish]])</f>
        <v>#REF!</v>
      </c>
      <c r="Q154" t="e">
        <f>GETPIVOTDATA("Sum of  R value (m^2-K/W)",'COMPONENT PIVOT REF'!$I$3,"System Name",Table4[[#This Row],[Ext Finish]])</f>
        <v>#REF!</v>
      </c>
      <c r="R154" t="e">
        <f>GETPIVOTDATA("Sum of Total Mass per m^2 (kg)",'COMPONENT PIVOT REF'!$I$3,"System Name",Table4[[#This Row],[Ext Finish]])</f>
        <v>#REF!</v>
      </c>
      <c r="T154">
        <f>_xlfn.XLOOKUP(Table4[[#This Row],[Int Finish]],Master_Table6[System Name],Master_Table6[System Name (Short)],FALSE)</f>
        <v>0</v>
      </c>
      <c r="U154" t="e">
        <f>GETPIVOTDATA("Sum of A1-A3 Fossil kg CO2e/m^2 wall area",'COMPONENT PIVOT REF'!$P$3,"System Name",Table4[[#This Row],[Int Finish]])</f>
        <v>#REF!</v>
      </c>
      <c r="V154" t="e">
        <f>GETPIVOTDATA("Sum of  R value (m^2-K/W)",'COMPONENT PIVOT REF'!$P$3,"System Name",Table4[[#This Row],[Int Finish]])</f>
        <v>#REF!</v>
      </c>
      <c r="W154" t="e">
        <f>GETPIVOTDATA("Sum of Total Mass per m^2 (kg)",'COMPONENT PIVOT REF'!$P$3,"System Name",Table4[[#This Row],[Int Finish]])</f>
        <v>#REF!</v>
      </c>
      <c r="X154" t="e">
        <f>Table4[[#This Row],[Ext Finish GWP]]+Table4[[#This Row],[Base GWP]]+Table4[[#This Row],[Int Finish GWP]]</f>
        <v>#REF!</v>
      </c>
      <c r="Y154" t="e">
        <f>Table4[[#This Row],[Ext Finish R Value]]+Table4[[#This Row],[Base R Value]]+Table4[[#This Row],[Int Finish R Value]]</f>
        <v>#REF!</v>
      </c>
      <c r="Z154" t="e">
        <f>1/Table4[[#This Row],[Total R value]]</f>
        <v>#REF!</v>
      </c>
      <c r="AA154" t="e">
        <f>Table4[[#This Row],[Int Finish Mass]]+Table4[[#This Row],[Ext Finish Mass]]+Table4[[#This Row],[Base Mass]]</f>
        <v>#REF!</v>
      </c>
    </row>
    <row r="155" spans="3:27" x14ac:dyDescent="0.35">
      <c r="C155" t="str">
        <f>_xlfn.CONCAT(Table4[[#This Row],[System Name (Short)]],"_",Table4[[#This Row],[Ext Finish Name (Short)]],"_",Table4[[#This Row],[Int Finish Name (Short)]])</f>
        <v>0_0_0</v>
      </c>
      <c r="E155">
        <f>_xlfn.XLOOKUP(Table4[[#This Row],[Base System]],BASE_SYSTEM_TABLE[System Name],BASE_SYSTEM_TABLE[System Name (Short)],FALSE)</f>
        <v>0</v>
      </c>
      <c r="F155">
        <f>_xlfn.XLOOKUP(Table4[[#This Row],[Base System]],BASE_SYSTEM_TABLE[System Name],BASE_SYSTEM_TABLE[System Type],FALSE)</f>
        <v>0</v>
      </c>
      <c r="G155">
        <f>_xlfn.XLOOKUP(Table4[[#This Row],[Base System]],BASE_SYSTEM_TABLE[System Name],BASE_SYSTEM_TABLE[System Subtype],FALSE)</f>
        <v>0</v>
      </c>
      <c r="H155">
        <f>_xlfn.XLOOKUP(Table4[[#This Row],[Base System]],BASE_SYSTEM_TABLE[System Name],BASE_SYSTEM_TABLE[Construction Type (Framed or Planar)],FALSE)</f>
        <v>0</v>
      </c>
      <c r="I155" t="e">
        <f>GETPIVOTDATA("Sum of A1-A3 Fossil kg CO2e/m^2 wall area",'COMPONENT PIVOT REF'!$A$3,"System Name",Table4[[#This Row],[Base System]])</f>
        <v>#REF!</v>
      </c>
      <c r="J155" t="e">
        <f>GETPIVOTDATA("Sum of  R value (m^2-K/W)",'COMPONENT PIVOT REF'!$A$3,"System Name",Table4[[#This Row],[Base System]])</f>
        <v>#REF!</v>
      </c>
      <c r="K155" t="e">
        <f>GETPIVOTDATA("Sum of Total Mass per m^2 (kg)",'COMPONENT PIVOT REF'!$A$3,"System Name",Table4[[#This Row],[Base System]])</f>
        <v>#REF!</v>
      </c>
      <c r="M155">
        <f>_xlfn.XLOOKUP(Table4[[#This Row],[Ext Finish]],Master_Table4[System Name],Master_Table4[System Name (Short)],FALSE)</f>
        <v>0</v>
      </c>
      <c r="N155">
        <f>_xlfn.XLOOKUP(Table4[[#This Row],[Ext Finish]],Master_Table4[System Name],Master_Table4[Compatible Systems],FALSE)</f>
        <v>0</v>
      </c>
      <c r="O155" t="str">
        <f>IF(ISNUMBER(SEARCH(Table4[[#This Row],[MMC Method]],Table4[[#This Row],[Compatible Systems]])),"YES","NO")</f>
        <v>YES</v>
      </c>
      <c r="P155" t="e">
        <f>GETPIVOTDATA("Sum of A1-A3 Fossil kg CO2e/m^2 wall area",'COMPONENT PIVOT REF'!$I$3,"System Name",Table4[[#This Row],[Ext Finish]])</f>
        <v>#REF!</v>
      </c>
      <c r="Q155" t="e">
        <f>GETPIVOTDATA("Sum of  R value (m^2-K/W)",'COMPONENT PIVOT REF'!$I$3,"System Name",Table4[[#This Row],[Ext Finish]])</f>
        <v>#REF!</v>
      </c>
      <c r="R155" t="e">
        <f>GETPIVOTDATA("Sum of Total Mass per m^2 (kg)",'COMPONENT PIVOT REF'!$I$3,"System Name",Table4[[#This Row],[Ext Finish]])</f>
        <v>#REF!</v>
      </c>
      <c r="T155">
        <f>_xlfn.XLOOKUP(Table4[[#This Row],[Int Finish]],Master_Table6[System Name],Master_Table6[System Name (Short)],FALSE)</f>
        <v>0</v>
      </c>
      <c r="U155" t="e">
        <f>GETPIVOTDATA("Sum of A1-A3 Fossil kg CO2e/m^2 wall area",'COMPONENT PIVOT REF'!$P$3,"System Name",Table4[[#This Row],[Int Finish]])</f>
        <v>#REF!</v>
      </c>
      <c r="V155" t="e">
        <f>GETPIVOTDATA("Sum of  R value (m^2-K/W)",'COMPONENT PIVOT REF'!$P$3,"System Name",Table4[[#This Row],[Int Finish]])</f>
        <v>#REF!</v>
      </c>
      <c r="W155" t="e">
        <f>GETPIVOTDATA("Sum of Total Mass per m^2 (kg)",'COMPONENT PIVOT REF'!$P$3,"System Name",Table4[[#This Row],[Int Finish]])</f>
        <v>#REF!</v>
      </c>
      <c r="X155" t="e">
        <f>Table4[[#This Row],[Ext Finish GWP]]+Table4[[#This Row],[Base GWP]]+Table4[[#This Row],[Int Finish GWP]]</f>
        <v>#REF!</v>
      </c>
      <c r="Y155" t="e">
        <f>Table4[[#This Row],[Ext Finish R Value]]+Table4[[#This Row],[Base R Value]]+Table4[[#This Row],[Int Finish R Value]]</f>
        <v>#REF!</v>
      </c>
      <c r="Z155" t="e">
        <f>1/Table4[[#This Row],[Total R value]]</f>
        <v>#REF!</v>
      </c>
      <c r="AA155" t="e">
        <f>Table4[[#This Row],[Int Finish Mass]]+Table4[[#This Row],[Ext Finish Mass]]+Table4[[#This Row],[Base Mass]]</f>
        <v>#REF!</v>
      </c>
    </row>
    <row r="156" spans="3:27" x14ac:dyDescent="0.35">
      <c r="C156" t="str">
        <f>_xlfn.CONCAT(Table4[[#This Row],[System Name (Short)]],"_",Table4[[#This Row],[Ext Finish Name (Short)]],"_",Table4[[#This Row],[Int Finish Name (Short)]])</f>
        <v>0_0_0</v>
      </c>
      <c r="E156">
        <f>_xlfn.XLOOKUP(Table4[[#This Row],[Base System]],BASE_SYSTEM_TABLE[System Name],BASE_SYSTEM_TABLE[System Name (Short)],FALSE)</f>
        <v>0</v>
      </c>
      <c r="F156">
        <f>_xlfn.XLOOKUP(Table4[[#This Row],[Base System]],BASE_SYSTEM_TABLE[System Name],BASE_SYSTEM_TABLE[System Type],FALSE)</f>
        <v>0</v>
      </c>
      <c r="G156">
        <f>_xlfn.XLOOKUP(Table4[[#This Row],[Base System]],BASE_SYSTEM_TABLE[System Name],BASE_SYSTEM_TABLE[System Subtype],FALSE)</f>
        <v>0</v>
      </c>
      <c r="H156">
        <f>_xlfn.XLOOKUP(Table4[[#This Row],[Base System]],BASE_SYSTEM_TABLE[System Name],BASE_SYSTEM_TABLE[Construction Type (Framed or Planar)],FALSE)</f>
        <v>0</v>
      </c>
      <c r="I156" t="e">
        <f>GETPIVOTDATA("Sum of A1-A3 Fossil kg CO2e/m^2 wall area",'COMPONENT PIVOT REF'!$A$3,"System Name",Table4[[#This Row],[Base System]])</f>
        <v>#REF!</v>
      </c>
      <c r="J156" t="e">
        <f>GETPIVOTDATA("Sum of  R value (m^2-K/W)",'COMPONENT PIVOT REF'!$A$3,"System Name",Table4[[#This Row],[Base System]])</f>
        <v>#REF!</v>
      </c>
      <c r="K156" t="e">
        <f>GETPIVOTDATA("Sum of Total Mass per m^2 (kg)",'COMPONENT PIVOT REF'!$A$3,"System Name",Table4[[#This Row],[Base System]])</f>
        <v>#REF!</v>
      </c>
      <c r="M156">
        <f>_xlfn.XLOOKUP(Table4[[#This Row],[Ext Finish]],Master_Table4[System Name],Master_Table4[System Name (Short)],FALSE)</f>
        <v>0</v>
      </c>
      <c r="N156">
        <f>_xlfn.XLOOKUP(Table4[[#This Row],[Ext Finish]],Master_Table4[System Name],Master_Table4[Compatible Systems],FALSE)</f>
        <v>0</v>
      </c>
      <c r="O156" t="str">
        <f>IF(ISNUMBER(SEARCH(Table4[[#This Row],[MMC Method]],Table4[[#This Row],[Compatible Systems]])),"YES","NO")</f>
        <v>YES</v>
      </c>
      <c r="P156" t="e">
        <f>GETPIVOTDATA("Sum of A1-A3 Fossil kg CO2e/m^2 wall area",'COMPONENT PIVOT REF'!$I$3,"System Name",Table4[[#This Row],[Ext Finish]])</f>
        <v>#REF!</v>
      </c>
      <c r="Q156" t="e">
        <f>GETPIVOTDATA("Sum of  R value (m^2-K/W)",'COMPONENT PIVOT REF'!$I$3,"System Name",Table4[[#This Row],[Ext Finish]])</f>
        <v>#REF!</v>
      </c>
      <c r="R156" t="e">
        <f>GETPIVOTDATA("Sum of Total Mass per m^2 (kg)",'COMPONENT PIVOT REF'!$I$3,"System Name",Table4[[#This Row],[Ext Finish]])</f>
        <v>#REF!</v>
      </c>
      <c r="T156">
        <f>_xlfn.XLOOKUP(Table4[[#This Row],[Int Finish]],Master_Table6[System Name],Master_Table6[System Name (Short)],FALSE)</f>
        <v>0</v>
      </c>
      <c r="U156" t="e">
        <f>GETPIVOTDATA("Sum of A1-A3 Fossil kg CO2e/m^2 wall area",'COMPONENT PIVOT REF'!$P$3,"System Name",Table4[[#This Row],[Int Finish]])</f>
        <v>#REF!</v>
      </c>
      <c r="V156" t="e">
        <f>GETPIVOTDATA("Sum of  R value (m^2-K/W)",'COMPONENT PIVOT REF'!$P$3,"System Name",Table4[[#This Row],[Int Finish]])</f>
        <v>#REF!</v>
      </c>
      <c r="W156" t="e">
        <f>GETPIVOTDATA("Sum of Total Mass per m^2 (kg)",'COMPONENT PIVOT REF'!$P$3,"System Name",Table4[[#This Row],[Int Finish]])</f>
        <v>#REF!</v>
      </c>
      <c r="X156" t="e">
        <f>Table4[[#This Row],[Ext Finish GWP]]+Table4[[#This Row],[Base GWP]]+Table4[[#This Row],[Int Finish GWP]]</f>
        <v>#REF!</v>
      </c>
      <c r="Y156" t="e">
        <f>Table4[[#This Row],[Ext Finish R Value]]+Table4[[#This Row],[Base R Value]]+Table4[[#This Row],[Int Finish R Value]]</f>
        <v>#REF!</v>
      </c>
      <c r="Z156" t="e">
        <f>1/Table4[[#This Row],[Total R value]]</f>
        <v>#REF!</v>
      </c>
      <c r="AA156" t="e">
        <f>Table4[[#This Row],[Int Finish Mass]]+Table4[[#This Row],[Ext Finish Mass]]+Table4[[#This Row],[Base Mass]]</f>
        <v>#REF!</v>
      </c>
    </row>
    <row r="157" spans="3:27" x14ac:dyDescent="0.35">
      <c r="C157" t="str">
        <f>_xlfn.CONCAT(Table4[[#This Row],[System Name (Short)]],"_",Table4[[#This Row],[Ext Finish Name (Short)]],"_",Table4[[#This Row],[Int Finish Name (Short)]])</f>
        <v>0_0_0</v>
      </c>
      <c r="E157">
        <f>_xlfn.XLOOKUP(Table4[[#This Row],[Base System]],BASE_SYSTEM_TABLE[System Name],BASE_SYSTEM_TABLE[System Name (Short)],FALSE)</f>
        <v>0</v>
      </c>
      <c r="F157">
        <f>_xlfn.XLOOKUP(Table4[[#This Row],[Base System]],BASE_SYSTEM_TABLE[System Name],BASE_SYSTEM_TABLE[System Type],FALSE)</f>
        <v>0</v>
      </c>
      <c r="G157">
        <f>_xlfn.XLOOKUP(Table4[[#This Row],[Base System]],BASE_SYSTEM_TABLE[System Name],BASE_SYSTEM_TABLE[System Subtype],FALSE)</f>
        <v>0</v>
      </c>
      <c r="H157">
        <f>_xlfn.XLOOKUP(Table4[[#This Row],[Base System]],BASE_SYSTEM_TABLE[System Name],BASE_SYSTEM_TABLE[Construction Type (Framed or Planar)],FALSE)</f>
        <v>0</v>
      </c>
      <c r="I157" t="e">
        <f>GETPIVOTDATA("Sum of A1-A3 Fossil kg CO2e/m^2 wall area",'COMPONENT PIVOT REF'!$A$3,"System Name",Table4[[#This Row],[Base System]])</f>
        <v>#REF!</v>
      </c>
      <c r="J157" t="e">
        <f>GETPIVOTDATA("Sum of  R value (m^2-K/W)",'COMPONENT PIVOT REF'!$A$3,"System Name",Table4[[#This Row],[Base System]])</f>
        <v>#REF!</v>
      </c>
      <c r="K157" t="e">
        <f>GETPIVOTDATA("Sum of Total Mass per m^2 (kg)",'COMPONENT PIVOT REF'!$A$3,"System Name",Table4[[#This Row],[Base System]])</f>
        <v>#REF!</v>
      </c>
      <c r="M157">
        <f>_xlfn.XLOOKUP(Table4[[#This Row],[Ext Finish]],Master_Table4[System Name],Master_Table4[System Name (Short)],FALSE)</f>
        <v>0</v>
      </c>
      <c r="N157">
        <f>_xlfn.XLOOKUP(Table4[[#This Row],[Ext Finish]],Master_Table4[System Name],Master_Table4[Compatible Systems],FALSE)</f>
        <v>0</v>
      </c>
      <c r="O157" t="str">
        <f>IF(ISNUMBER(SEARCH(Table4[[#This Row],[MMC Method]],Table4[[#This Row],[Compatible Systems]])),"YES","NO")</f>
        <v>YES</v>
      </c>
      <c r="P157" t="e">
        <f>GETPIVOTDATA("Sum of A1-A3 Fossil kg CO2e/m^2 wall area",'COMPONENT PIVOT REF'!$I$3,"System Name",Table4[[#This Row],[Ext Finish]])</f>
        <v>#REF!</v>
      </c>
      <c r="Q157" t="e">
        <f>GETPIVOTDATA("Sum of  R value (m^2-K/W)",'COMPONENT PIVOT REF'!$I$3,"System Name",Table4[[#This Row],[Ext Finish]])</f>
        <v>#REF!</v>
      </c>
      <c r="R157" t="e">
        <f>GETPIVOTDATA("Sum of Total Mass per m^2 (kg)",'COMPONENT PIVOT REF'!$I$3,"System Name",Table4[[#This Row],[Ext Finish]])</f>
        <v>#REF!</v>
      </c>
      <c r="T157">
        <f>_xlfn.XLOOKUP(Table4[[#This Row],[Int Finish]],Master_Table6[System Name],Master_Table6[System Name (Short)],FALSE)</f>
        <v>0</v>
      </c>
      <c r="U157" t="e">
        <f>GETPIVOTDATA("Sum of A1-A3 Fossil kg CO2e/m^2 wall area",'COMPONENT PIVOT REF'!$P$3,"System Name",Table4[[#This Row],[Int Finish]])</f>
        <v>#REF!</v>
      </c>
      <c r="V157" t="e">
        <f>GETPIVOTDATA("Sum of  R value (m^2-K/W)",'COMPONENT PIVOT REF'!$P$3,"System Name",Table4[[#This Row],[Int Finish]])</f>
        <v>#REF!</v>
      </c>
      <c r="W157" t="e">
        <f>GETPIVOTDATA("Sum of Total Mass per m^2 (kg)",'COMPONENT PIVOT REF'!$P$3,"System Name",Table4[[#This Row],[Int Finish]])</f>
        <v>#REF!</v>
      </c>
      <c r="X157" t="e">
        <f>Table4[[#This Row],[Ext Finish GWP]]+Table4[[#This Row],[Base GWP]]+Table4[[#This Row],[Int Finish GWP]]</f>
        <v>#REF!</v>
      </c>
      <c r="Y157" t="e">
        <f>Table4[[#This Row],[Ext Finish R Value]]+Table4[[#This Row],[Base R Value]]+Table4[[#This Row],[Int Finish R Value]]</f>
        <v>#REF!</v>
      </c>
      <c r="Z157" t="e">
        <f>1/Table4[[#This Row],[Total R value]]</f>
        <v>#REF!</v>
      </c>
      <c r="AA157" t="e">
        <f>Table4[[#This Row],[Int Finish Mass]]+Table4[[#This Row],[Ext Finish Mass]]+Table4[[#This Row],[Base Mass]]</f>
        <v>#REF!</v>
      </c>
    </row>
    <row r="158" spans="3:27" x14ac:dyDescent="0.35">
      <c r="C158" t="str">
        <f>_xlfn.CONCAT(Table4[[#This Row],[System Name (Short)]],"_",Table4[[#This Row],[Ext Finish Name (Short)]],"_",Table4[[#This Row],[Int Finish Name (Short)]])</f>
        <v>0_0_0</v>
      </c>
      <c r="E158">
        <f>_xlfn.XLOOKUP(Table4[[#This Row],[Base System]],BASE_SYSTEM_TABLE[System Name],BASE_SYSTEM_TABLE[System Name (Short)],FALSE)</f>
        <v>0</v>
      </c>
      <c r="F158">
        <f>_xlfn.XLOOKUP(Table4[[#This Row],[Base System]],BASE_SYSTEM_TABLE[System Name],BASE_SYSTEM_TABLE[System Type],FALSE)</f>
        <v>0</v>
      </c>
      <c r="G158">
        <f>_xlfn.XLOOKUP(Table4[[#This Row],[Base System]],BASE_SYSTEM_TABLE[System Name],BASE_SYSTEM_TABLE[System Subtype],FALSE)</f>
        <v>0</v>
      </c>
      <c r="H158">
        <f>_xlfn.XLOOKUP(Table4[[#This Row],[Base System]],BASE_SYSTEM_TABLE[System Name],BASE_SYSTEM_TABLE[Construction Type (Framed or Planar)],FALSE)</f>
        <v>0</v>
      </c>
      <c r="I158" t="e">
        <f>GETPIVOTDATA("Sum of A1-A3 Fossil kg CO2e/m^2 wall area",'COMPONENT PIVOT REF'!$A$3,"System Name",Table4[[#This Row],[Base System]])</f>
        <v>#REF!</v>
      </c>
      <c r="J158" t="e">
        <f>GETPIVOTDATA("Sum of  R value (m^2-K/W)",'COMPONENT PIVOT REF'!$A$3,"System Name",Table4[[#This Row],[Base System]])</f>
        <v>#REF!</v>
      </c>
      <c r="K158" t="e">
        <f>GETPIVOTDATA("Sum of Total Mass per m^2 (kg)",'COMPONENT PIVOT REF'!$A$3,"System Name",Table4[[#This Row],[Base System]])</f>
        <v>#REF!</v>
      </c>
      <c r="M158">
        <f>_xlfn.XLOOKUP(Table4[[#This Row],[Ext Finish]],Master_Table4[System Name],Master_Table4[System Name (Short)],FALSE)</f>
        <v>0</v>
      </c>
      <c r="N158">
        <f>_xlfn.XLOOKUP(Table4[[#This Row],[Ext Finish]],Master_Table4[System Name],Master_Table4[Compatible Systems],FALSE)</f>
        <v>0</v>
      </c>
      <c r="O158" t="str">
        <f>IF(ISNUMBER(SEARCH(Table4[[#This Row],[MMC Method]],Table4[[#This Row],[Compatible Systems]])),"YES","NO")</f>
        <v>YES</v>
      </c>
      <c r="P158" t="e">
        <f>GETPIVOTDATA("Sum of A1-A3 Fossil kg CO2e/m^2 wall area",'COMPONENT PIVOT REF'!$I$3,"System Name",Table4[[#This Row],[Ext Finish]])</f>
        <v>#REF!</v>
      </c>
      <c r="Q158" t="e">
        <f>GETPIVOTDATA("Sum of  R value (m^2-K/W)",'COMPONENT PIVOT REF'!$I$3,"System Name",Table4[[#This Row],[Ext Finish]])</f>
        <v>#REF!</v>
      </c>
      <c r="R158" t="e">
        <f>GETPIVOTDATA("Sum of Total Mass per m^2 (kg)",'COMPONENT PIVOT REF'!$I$3,"System Name",Table4[[#This Row],[Ext Finish]])</f>
        <v>#REF!</v>
      </c>
      <c r="T158">
        <f>_xlfn.XLOOKUP(Table4[[#This Row],[Int Finish]],Master_Table6[System Name],Master_Table6[System Name (Short)],FALSE)</f>
        <v>0</v>
      </c>
      <c r="U158" t="e">
        <f>GETPIVOTDATA("Sum of A1-A3 Fossil kg CO2e/m^2 wall area",'COMPONENT PIVOT REF'!$P$3,"System Name",Table4[[#This Row],[Int Finish]])</f>
        <v>#REF!</v>
      </c>
      <c r="V158" t="e">
        <f>GETPIVOTDATA("Sum of  R value (m^2-K/W)",'COMPONENT PIVOT REF'!$P$3,"System Name",Table4[[#This Row],[Int Finish]])</f>
        <v>#REF!</v>
      </c>
      <c r="W158" t="e">
        <f>GETPIVOTDATA("Sum of Total Mass per m^2 (kg)",'COMPONENT PIVOT REF'!$P$3,"System Name",Table4[[#This Row],[Int Finish]])</f>
        <v>#REF!</v>
      </c>
      <c r="X158" t="e">
        <f>Table4[[#This Row],[Ext Finish GWP]]+Table4[[#This Row],[Base GWP]]+Table4[[#This Row],[Int Finish GWP]]</f>
        <v>#REF!</v>
      </c>
      <c r="Y158" t="e">
        <f>Table4[[#This Row],[Ext Finish R Value]]+Table4[[#This Row],[Base R Value]]+Table4[[#This Row],[Int Finish R Value]]</f>
        <v>#REF!</v>
      </c>
      <c r="Z158" t="e">
        <f>1/Table4[[#This Row],[Total R value]]</f>
        <v>#REF!</v>
      </c>
      <c r="AA158" t="e">
        <f>Table4[[#This Row],[Int Finish Mass]]+Table4[[#This Row],[Ext Finish Mass]]+Table4[[#This Row],[Base Mass]]</f>
        <v>#REF!</v>
      </c>
    </row>
    <row r="159" spans="3:27" x14ac:dyDescent="0.35">
      <c r="C159" t="str">
        <f>_xlfn.CONCAT(Table4[[#This Row],[System Name (Short)]],"_",Table4[[#This Row],[Ext Finish Name (Short)]],"_",Table4[[#This Row],[Int Finish Name (Short)]])</f>
        <v>0_0_0</v>
      </c>
      <c r="E159">
        <f>_xlfn.XLOOKUP(Table4[[#This Row],[Base System]],BASE_SYSTEM_TABLE[System Name],BASE_SYSTEM_TABLE[System Name (Short)],FALSE)</f>
        <v>0</v>
      </c>
      <c r="F159">
        <f>_xlfn.XLOOKUP(Table4[[#This Row],[Base System]],BASE_SYSTEM_TABLE[System Name],BASE_SYSTEM_TABLE[System Type],FALSE)</f>
        <v>0</v>
      </c>
      <c r="G159">
        <f>_xlfn.XLOOKUP(Table4[[#This Row],[Base System]],BASE_SYSTEM_TABLE[System Name],BASE_SYSTEM_TABLE[System Subtype],FALSE)</f>
        <v>0</v>
      </c>
      <c r="H159">
        <f>_xlfn.XLOOKUP(Table4[[#This Row],[Base System]],BASE_SYSTEM_TABLE[System Name],BASE_SYSTEM_TABLE[Construction Type (Framed or Planar)],FALSE)</f>
        <v>0</v>
      </c>
      <c r="I159" t="e">
        <f>GETPIVOTDATA("Sum of A1-A3 Fossil kg CO2e/m^2 wall area",'COMPONENT PIVOT REF'!$A$3,"System Name",Table4[[#This Row],[Base System]])</f>
        <v>#REF!</v>
      </c>
      <c r="J159" t="e">
        <f>GETPIVOTDATA("Sum of  R value (m^2-K/W)",'COMPONENT PIVOT REF'!$A$3,"System Name",Table4[[#This Row],[Base System]])</f>
        <v>#REF!</v>
      </c>
      <c r="K159" t="e">
        <f>GETPIVOTDATA("Sum of Total Mass per m^2 (kg)",'COMPONENT PIVOT REF'!$A$3,"System Name",Table4[[#This Row],[Base System]])</f>
        <v>#REF!</v>
      </c>
      <c r="M159">
        <f>_xlfn.XLOOKUP(Table4[[#This Row],[Ext Finish]],Master_Table4[System Name],Master_Table4[System Name (Short)],FALSE)</f>
        <v>0</v>
      </c>
      <c r="N159">
        <f>_xlfn.XLOOKUP(Table4[[#This Row],[Ext Finish]],Master_Table4[System Name],Master_Table4[Compatible Systems],FALSE)</f>
        <v>0</v>
      </c>
      <c r="O159" t="str">
        <f>IF(ISNUMBER(SEARCH(Table4[[#This Row],[MMC Method]],Table4[[#This Row],[Compatible Systems]])),"YES","NO")</f>
        <v>YES</v>
      </c>
      <c r="P159" t="e">
        <f>GETPIVOTDATA("Sum of A1-A3 Fossil kg CO2e/m^2 wall area",'COMPONENT PIVOT REF'!$I$3,"System Name",Table4[[#This Row],[Ext Finish]])</f>
        <v>#REF!</v>
      </c>
      <c r="Q159" t="e">
        <f>GETPIVOTDATA("Sum of  R value (m^2-K/W)",'COMPONENT PIVOT REF'!$I$3,"System Name",Table4[[#This Row],[Ext Finish]])</f>
        <v>#REF!</v>
      </c>
      <c r="R159" t="e">
        <f>GETPIVOTDATA("Sum of Total Mass per m^2 (kg)",'COMPONENT PIVOT REF'!$I$3,"System Name",Table4[[#This Row],[Ext Finish]])</f>
        <v>#REF!</v>
      </c>
      <c r="T159">
        <f>_xlfn.XLOOKUP(Table4[[#This Row],[Int Finish]],Master_Table6[System Name],Master_Table6[System Name (Short)],FALSE)</f>
        <v>0</v>
      </c>
      <c r="U159" t="e">
        <f>GETPIVOTDATA("Sum of A1-A3 Fossil kg CO2e/m^2 wall area",'COMPONENT PIVOT REF'!$P$3,"System Name",Table4[[#This Row],[Int Finish]])</f>
        <v>#REF!</v>
      </c>
      <c r="V159" t="e">
        <f>GETPIVOTDATA("Sum of  R value (m^2-K/W)",'COMPONENT PIVOT REF'!$P$3,"System Name",Table4[[#This Row],[Int Finish]])</f>
        <v>#REF!</v>
      </c>
      <c r="W159" t="e">
        <f>GETPIVOTDATA("Sum of Total Mass per m^2 (kg)",'COMPONENT PIVOT REF'!$P$3,"System Name",Table4[[#This Row],[Int Finish]])</f>
        <v>#REF!</v>
      </c>
      <c r="X159" t="e">
        <f>Table4[[#This Row],[Ext Finish GWP]]+Table4[[#This Row],[Base GWP]]+Table4[[#This Row],[Int Finish GWP]]</f>
        <v>#REF!</v>
      </c>
      <c r="Y159" t="e">
        <f>Table4[[#This Row],[Ext Finish R Value]]+Table4[[#This Row],[Base R Value]]+Table4[[#This Row],[Int Finish R Value]]</f>
        <v>#REF!</v>
      </c>
      <c r="Z159" t="e">
        <f>1/Table4[[#This Row],[Total R value]]</f>
        <v>#REF!</v>
      </c>
      <c r="AA159" t="e">
        <f>Table4[[#This Row],[Int Finish Mass]]+Table4[[#This Row],[Ext Finish Mass]]+Table4[[#This Row],[Base Mass]]</f>
        <v>#REF!</v>
      </c>
    </row>
    <row r="160" spans="3:27" x14ac:dyDescent="0.35">
      <c r="C160" t="str">
        <f>_xlfn.CONCAT(Table4[[#This Row],[System Name (Short)]],"_",Table4[[#This Row],[Ext Finish Name (Short)]],"_",Table4[[#This Row],[Int Finish Name (Short)]])</f>
        <v>0_0_0</v>
      </c>
      <c r="E160">
        <f>_xlfn.XLOOKUP(Table4[[#This Row],[Base System]],BASE_SYSTEM_TABLE[System Name],BASE_SYSTEM_TABLE[System Name (Short)],FALSE)</f>
        <v>0</v>
      </c>
      <c r="F160">
        <f>_xlfn.XLOOKUP(Table4[[#This Row],[Base System]],BASE_SYSTEM_TABLE[System Name],BASE_SYSTEM_TABLE[System Type],FALSE)</f>
        <v>0</v>
      </c>
      <c r="G160">
        <f>_xlfn.XLOOKUP(Table4[[#This Row],[Base System]],BASE_SYSTEM_TABLE[System Name],BASE_SYSTEM_TABLE[System Subtype],FALSE)</f>
        <v>0</v>
      </c>
      <c r="H160">
        <f>_xlfn.XLOOKUP(Table4[[#This Row],[Base System]],BASE_SYSTEM_TABLE[System Name],BASE_SYSTEM_TABLE[Construction Type (Framed or Planar)],FALSE)</f>
        <v>0</v>
      </c>
      <c r="I160" t="e">
        <f>GETPIVOTDATA("Sum of A1-A3 Fossil kg CO2e/m^2 wall area",'COMPONENT PIVOT REF'!$A$3,"System Name",Table4[[#This Row],[Base System]])</f>
        <v>#REF!</v>
      </c>
      <c r="J160" t="e">
        <f>GETPIVOTDATA("Sum of  R value (m^2-K/W)",'COMPONENT PIVOT REF'!$A$3,"System Name",Table4[[#This Row],[Base System]])</f>
        <v>#REF!</v>
      </c>
      <c r="K160" t="e">
        <f>GETPIVOTDATA("Sum of Total Mass per m^2 (kg)",'COMPONENT PIVOT REF'!$A$3,"System Name",Table4[[#This Row],[Base System]])</f>
        <v>#REF!</v>
      </c>
      <c r="M160">
        <f>_xlfn.XLOOKUP(Table4[[#This Row],[Ext Finish]],Master_Table4[System Name],Master_Table4[System Name (Short)],FALSE)</f>
        <v>0</v>
      </c>
      <c r="N160">
        <f>_xlfn.XLOOKUP(Table4[[#This Row],[Ext Finish]],Master_Table4[System Name],Master_Table4[Compatible Systems],FALSE)</f>
        <v>0</v>
      </c>
      <c r="O160" t="str">
        <f>IF(ISNUMBER(SEARCH(Table4[[#This Row],[MMC Method]],Table4[[#This Row],[Compatible Systems]])),"YES","NO")</f>
        <v>YES</v>
      </c>
      <c r="P160" t="e">
        <f>GETPIVOTDATA("Sum of A1-A3 Fossil kg CO2e/m^2 wall area",'COMPONENT PIVOT REF'!$I$3,"System Name",Table4[[#This Row],[Ext Finish]])</f>
        <v>#REF!</v>
      </c>
      <c r="Q160" t="e">
        <f>GETPIVOTDATA("Sum of  R value (m^2-K/W)",'COMPONENT PIVOT REF'!$I$3,"System Name",Table4[[#This Row],[Ext Finish]])</f>
        <v>#REF!</v>
      </c>
      <c r="R160" t="e">
        <f>GETPIVOTDATA("Sum of Total Mass per m^2 (kg)",'COMPONENT PIVOT REF'!$I$3,"System Name",Table4[[#This Row],[Ext Finish]])</f>
        <v>#REF!</v>
      </c>
      <c r="T160">
        <f>_xlfn.XLOOKUP(Table4[[#This Row],[Int Finish]],Master_Table6[System Name],Master_Table6[System Name (Short)],FALSE)</f>
        <v>0</v>
      </c>
      <c r="U160" t="e">
        <f>GETPIVOTDATA("Sum of A1-A3 Fossil kg CO2e/m^2 wall area",'COMPONENT PIVOT REF'!$P$3,"System Name",Table4[[#This Row],[Int Finish]])</f>
        <v>#REF!</v>
      </c>
      <c r="V160" t="e">
        <f>GETPIVOTDATA("Sum of  R value (m^2-K/W)",'COMPONENT PIVOT REF'!$P$3,"System Name",Table4[[#This Row],[Int Finish]])</f>
        <v>#REF!</v>
      </c>
      <c r="W160" t="e">
        <f>GETPIVOTDATA("Sum of Total Mass per m^2 (kg)",'COMPONENT PIVOT REF'!$P$3,"System Name",Table4[[#This Row],[Int Finish]])</f>
        <v>#REF!</v>
      </c>
      <c r="X160" t="e">
        <f>Table4[[#This Row],[Ext Finish GWP]]+Table4[[#This Row],[Base GWP]]+Table4[[#This Row],[Int Finish GWP]]</f>
        <v>#REF!</v>
      </c>
      <c r="Y160" t="e">
        <f>Table4[[#This Row],[Ext Finish R Value]]+Table4[[#This Row],[Base R Value]]+Table4[[#This Row],[Int Finish R Value]]</f>
        <v>#REF!</v>
      </c>
      <c r="Z160" t="e">
        <f>1/Table4[[#This Row],[Total R value]]</f>
        <v>#REF!</v>
      </c>
      <c r="AA160" t="e">
        <f>Table4[[#This Row],[Int Finish Mass]]+Table4[[#This Row],[Ext Finish Mass]]+Table4[[#This Row],[Base Mass]]</f>
        <v>#REF!</v>
      </c>
    </row>
    <row r="161" spans="3:27" x14ac:dyDescent="0.35">
      <c r="C161" t="str">
        <f>_xlfn.CONCAT(Table4[[#This Row],[System Name (Short)]],"_",Table4[[#This Row],[Ext Finish Name (Short)]],"_",Table4[[#This Row],[Int Finish Name (Short)]])</f>
        <v>0_0_0</v>
      </c>
      <c r="E161">
        <f>_xlfn.XLOOKUP(Table4[[#This Row],[Base System]],BASE_SYSTEM_TABLE[System Name],BASE_SYSTEM_TABLE[System Name (Short)],FALSE)</f>
        <v>0</v>
      </c>
      <c r="F161">
        <f>_xlfn.XLOOKUP(Table4[[#This Row],[Base System]],BASE_SYSTEM_TABLE[System Name],BASE_SYSTEM_TABLE[System Type],FALSE)</f>
        <v>0</v>
      </c>
      <c r="G161">
        <f>_xlfn.XLOOKUP(Table4[[#This Row],[Base System]],BASE_SYSTEM_TABLE[System Name],BASE_SYSTEM_TABLE[System Subtype],FALSE)</f>
        <v>0</v>
      </c>
      <c r="H161">
        <f>_xlfn.XLOOKUP(Table4[[#This Row],[Base System]],BASE_SYSTEM_TABLE[System Name],BASE_SYSTEM_TABLE[Construction Type (Framed or Planar)],FALSE)</f>
        <v>0</v>
      </c>
      <c r="I161" t="e">
        <f>GETPIVOTDATA("Sum of A1-A3 Fossil kg CO2e/m^2 wall area",'COMPONENT PIVOT REF'!$A$3,"System Name",Table4[[#This Row],[Base System]])</f>
        <v>#REF!</v>
      </c>
      <c r="J161" t="e">
        <f>GETPIVOTDATA("Sum of  R value (m^2-K/W)",'COMPONENT PIVOT REF'!$A$3,"System Name",Table4[[#This Row],[Base System]])</f>
        <v>#REF!</v>
      </c>
      <c r="K161" t="e">
        <f>GETPIVOTDATA("Sum of Total Mass per m^2 (kg)",'COMPONENT PIVOT REF'!$A$3,"System Name",Table4[[#This Row],[Base System]])</f>
        <v>#REF!</v>
      </c>
      <c r="M161">
        <f>_xlfn.XLOOKUP(Table4[[#This Row],[Ext Finish]],Master_Table4[System Name],Master_Table4[System Name (Short)],FALSE)</f>
        <v>0</v>
      </c>
      <c r="N161">
        <f>_xlfn.XLOOKUP(Table4[[#This Row],[Ext Finish]],Master_Table4[System Name],Master_Table4[Compatible Systems],FALSE)</f>
        <v>0</v>
      </c>
      <c r="O161" t="str">
        <f>IF(ISNUMBER(SEARCH(Table4[[#This Row],[MMC Method]],Table4[[#This Row],[Compatible Systems]])),"YES","NO")</f>
        <v>YES</v>
      </c>
      <c r="P161" t="e">
        <f>GETPIVOTDATA("Sum of A1-A3 Fossil kg CO2e/m^2 wall area",'COMPONENT PIVOT REF'!$I$3,"System Name",Table4[[#This Row],[Ext Finish]])</f>
        <v>#REF!</v>
      </c>
      <c r="Q161" t="e">
        <f>GETPIVOTDATA("Sum of  R value (m^2-K/W)",'COMPONENT PIVOT REF'!$I$3,"System Name",Table4[[#This Row],[Ext Finish]])</f>
        <v>#REF!</v>
      </c>
      <c r="R161" t="e">
        <f>GETPIVOTDATA("Sum of Total Mass per m^2 (kg)",'COMPONENT PIVOT REF'!$I$3,"System Name",Table4[[#This Row],[Ext Finish]])</f>
        <v>#REF!</v>
      </c>
      <c r="T161">
        <f>_xlfn.XLOOKUP(Table4[[#This Row],[Int Finish]],Master_Table6[System Name],Master_Table6[System Name (Short)],FALSE)</f>
        <v>0</v>
      </c>
      <c r="U161" t="e">
        <f>GETPIVOTDATA("Sum of A1-A3 Fossil kg CO2e/m^2 wall area",'COMPONENT PIVOT REF'!$P$3,"System Name",Table4[[#This Row],[Int Finish]])</f>
        <v>#REF!</v>
      </c>
      <c r="V161" t="e">
        <f>GETPIVOTDATA("Sum of  R value (m^2-K/W)",'COMPONENT PIVOT REF'!$P$3,"System Name",Table4[[#This Row],[Int Finish]])</f>
        <v>#REF!</v>
      </c>
      <c r="W161" t="e">
        <f>GETPIVOTDATA("Sum of Total Mass per m^2 (kg)",'COMPONENT PIVOT REF'!$P$3,"System Name",Table4[[#This Row],[Int Finish]])</f>
        <v>#REF!</v>
      </c>
      <c r="X161" t="e">
        <f>Table4[[#This Row],[Ext Finish GWP]]+Table4[[#This Row],[Base GWP]]+Table4[[#This Row],[Int Finish GWP]]</f>
        <v>#REF!</v>
      </c>
      <c r="Y161" t="e">
        <f>Table4[[#This Row],[Ext Finish R Value]]+Table4[[#This Row],[Base R Value]]+Table4[[#This Row],[Int Finish R Value]]</f>
        <v>#REF!</v>
      </c>
      <c r="Z161" t="e">
        <f>1/Table4[[#This Row],[Total R value]]</f>
        <v>#REF!</v>
      </c>
      <c r="AA161" t="e">
        <f>Table4[[#This Row],[Int Finish Mass]]+Table4[[#This Row],[Ext Finish Mass]]+Table4[[#This Row],[Base Mass]]</f>
        <v>#REF!</v>
      </c>
    </row>
    <row r="162" spans="3:27" x14ac:dyDescent="0.35">
      <c r="C162" t="str">
        <f>_xlfn.CONCAT(Table4[[#This Row],[System Name (Short)]],"_",Table4[[#This Row],[Ext Finish Name (Short)]],"_",Table4[[#This Row],[Int Finish Name (Short)]])</f>
        <v>0_0_0</v>
      </c>
      <c r="E162">
        <f>_xlfn.XLOOKUP(Table4[[#This Row],[Base System]],BASE_SYSTEM_TABLE[System Name],BASE_SYSTEM_TABLE[System Name (Short)],FALSE)</f>
        <v>0</v>
      </c>
      <c r="F162">
        <f>_xlfn.XLOOKUP(Table4[[#This Row],[Base System]],BASE_SYSTEM_TABLE[System Name],BASE_SYSTEM_TABLE[System Type],FALSE)</f>
        <v>0</v>
      </c>
      <c r="G162">
        <f>_xlfn.XLOOKUP(Table4[[#This Row],[Base System]],BASE_SYSTEM_TABLE[System Name],BASE_SYSTEM_TABLE[System Subtype],FALSE)</f>
        <v>0</v>
      </c>
      <c r="H162">
        <f>_xlfn.XLOOKUP(Table4[[#This Row],[Base System]],BASE_SYSTEM_TABLE[System Name],BASE_SYSTEM_TABLE[Construction Type (Framed or Planar)],FALSE)</f>
        <v>0</v>
      </c>
      <c r="I162" t="e">
        <f>GETPIVOTDATA("Sum of A1-A3 Fossil kg CO2e/m^2 wall area",'COMPONENT PIVOT REF'!$A$3,"System Name",Table4[[#This Row],[Base System]])</f>
        <v>#REF!</v>
      </c>
      <c r="J162" t="e">
        <f>GETPIVOTDATA("Sum of  R value (m^2-K/W)",'COMPONENT PIVOT REF'!$A$3,"System Name",Table4[[#This Row],[Base System]])</f>
        <v>#REF!</v>
      </c>
      <c r="K162" t="e">
        <f>GETPIVOTDATA("Sum of Total Mass per m^2 (kg)",'COMPONENT PIVOT REF'!$A$3,"System Name",Table4[[#This Row],[Base System]])</f>
        <v>#REF!</v>
      </c>
      <c r="M162">
        <f>_xlfn.XLOOKUP(Table4[[#This Row],[Ext Finish]],Master_Table4[System Name],Master_Table4[System Name (Short)],FALSE)</f>
        <v>0</v>
      </c>
      <c r="N162">
        <f>_xlfn.XLOOKUP(Table4[[#This Row],[Ext Finish]],Master_Table4[System Name],Master_Table4[Compatible Systems],FALSE)</f>
        <v>0</v>
      </c>
      <c r="O162" t="str">
        <f>IF(ISNUMBER(SEARCH(Table4[[#This Row],[MMC Method]],Table4[[#This Row],[Compatible Systems]])),"YES","NO")</f>
        <v>YES</v>
      </c>
      <c r="P162" t="e">
        <f>GETPIVOTDATA("Sum of A1-A3 Fossil kg CO2e/m^2 wall area",'COMPONENT PIVOT REF'!$I$3,"System Name",Table4[[#This Row],[Ext Finish]])</f>
        <v>#REF!</v>
      </c>
      <c r="Q162" t="e">
        <f>GETPIVOTDATA("Sum of  R value (m^2-K/W)",'COMPONENT PIVOT REF'!$I$3,"System Name",Table4[[#This Row],[Ext Finish]])</f>
        <v>#REF!</v>
      </c>
      <c r="R162" t="e">
        <f>GETPIVOTDATA("Sum of Total Mass per m^2 (kg)",'COMPONENT PIVOT REF'!$I$3,"System Name",Table4[[#This Row],[Ext Finish]])</f>
        <v>#REF!</v>
      </c>
      <c r="T162">
        <f>_xlfn.XLOOKUP(Table4[[#This Row],[Int Finish]],Master_Table6[System Name],Master_Table6[System Name (Short)],FALSE)</f>
        <v>0</v>
      </c>
      <c r="U162" t="e">
        <f>GETPIVOTDATA("Sum of A1-A3 Fossil kg CO2e/m^2 wall area",'COMPONENT PIVOT REF'!$P$3,"System Name",Table4[[#This Row],[Int Finish]])</f>
        <v>#REF!</v>
      </c>
      <c r="V162" t="e">
        <f>GETPIVOTDATA("Sum of  R value (m^2-K/W)",'COMPONENT PIVOT REF'!$P$3,"System Name",Table4[[#This Row],[Int Finish]])</f>
        <v>#REF!</v>
      </c>
      <c r="W162" t="e">
        <f>GETPIVOTDATA("Sum of Total Mass per m^2 (kg)",'COMPONENT PIVOT REF'!$P$3,"System Name",Table4[[#This Row],[Int Finish]])</f>
        <v>#REF!</v>
      </c>
      <c r="X162" t="e">
        <f>Table4[[#This Row],[Ext Finish GWP]]+Table4[[#This Row],[Base GWP]]+Table4[[#This Row],[Int Finish GWP]]</f>
        <v>#REF!</v>
      </c>
      <c r="Y162" t="e">
        <f>Table4[[#This Row],[Ext Finish R Value]]+Table4[[#This Row],[Base R Value]]+Table4[[#This Row],[Int Finish R Value]]</f>
        <v>#REF!</v>
      </c>
      <c r="Z162" t="e">
        <f>1/Table4[[#This Row],[Total R value]]</f>
        <v>#REF!</v>
      </c>
      <c r="AA162" t="e">
        <f>Table4[[#This Row],[Int Finish Mass]]+Table4[[#This Row],[Ext Finish Mass]]+Table4[[#This Row],[Base Mass]]</f>
        <v>#REF!</v>
      </c>
    </row>
    <row r="163" spans="3:27" x14ac:dyDescent="0.35">
      <c r="C163" t="str">
        <f>_xlfn.CONCAT(Table4[[#This Row],[System Name (Short)]],"_",Table4[[#This Row],[Ext Finish Name (Short)]],"_",Table4[[#This Row],[Int Finish Name (Short)]])</f>
        <v>0_0_0</v>
      </c>
      <c r="E163">
        <f>_xlfn.XLOOKUP(Table4[[#This Row],[Base System]],BASE_SYSTEM_TABLE[System Name],BASE_SYSTEM_TABLE[System Name (Short)],FALSE)</f>
        <v>0</v>
      </c>
      <c r="F163">
        <f>_xlfn.XLOOKUP(Table4[[#This Row],[Base System]],BASE_SYSTEM_TABLE[System Name],BASE_SYSTEM_TABLE[System Type],FALSE)</f>
        <v>0</v>
      </c>
      <c r="G163">
        <f>_xlfn.XLOOKUP(Table4[[#This Row],[Base System]],BASE_SYSTEM_TABLE[System Name],BASE_SYSTEM_TABLE[System Subtype],FALSE)</f>
        <v>0</v>
      </c>
      <c r="H163">
        <f>_xlfn.XLOOKUP(Table4[[#This Row],[Base System]],BASE_SYSTEM_TABLE[System Name],BASE_SYSTEM_TABLE[Construction Type (Framed or Planar)],FALSE)</f>
        <v>0</v>
      </c>
      <c r="I163" t="e">
        <f>GETPIVOTDATA("Sum of A1-A3 Fossil kg CO2e/m^2 wall area",'COMPONENT PIVOT REF'!$A$3,"System Name",Table4[[#This Row],[Base System]])</f>
        <v>#REF!</v>
      </c>
      <c r="J163" t="e">
        <f>GETPIVOTDATA("Sum of  R value (m^2-K/W)",'COMPONENT PIVOT REF'!$A$3,"System Name",Table4[[#This Row],[Base System]])</f>
        <v>#REF!</v>
      </c>
      <c r="K163" t="e">
        <f>GETPIVOTDATA("Sum of Total Mass per m^2 (kg)",'COMPONENT PIVOT REF'!$A$3,"System Name",Table4[[#This Row],[Base System]])</f>
        <v>#REF!</v>
      </c>
      <c r="M163">
        <f>_xlfn.XLOOKUP(Table4[[#This Row],[Ext Finish]],Master_Table4[System Name],Master_Table4[System Name (Short)],FALSE)</f>
        <v>0</v>
      </c>
      <c r="N163">
        <f>_xlfn.XLOOKUP(Table4[[#This Row],[Ext Finish]],Master_Table4[System Name],Master_Table4[Compatible Systems],FALSE)</f>
        <v>0</v>
      </c>
      <c r="O163" t="str">
        <f>IF(ISNUMBER(SEARCH(Table4[[#This Row],[MMC Method]],Table4[[#This Row],[Compatible Systems]])),"YES","NO")</f>
        <v>YES</v>
      </c>
      <c r="P163" t="e">
        <f>GETPIVOTDATA("Sum of A1-A3 Fossil kg CO2e/m^2 wall area",'COMPONENT PIVOT REF'!$I$3,"System Name",Table4[[#This Row],[Ext Finish]])</f>
        <v>#REF!</v>
      </c>
      <c r="Q163" t="e">
        <f>GETPIVOTDATA("Sum of  R value (m^2-K/W)",'COMPONENT PIVOT REF'!$I$3,"System Name",Table4[[#This Row],[Ext Finish]])</f>
        <v>#REF!</v>
      </c>
      <c r="R163" t="e">
        <f>GETPIVOTDATA("Sum of Total Mass per m^2 (kg)",'COMPONENT PIVOT REF'!$I$3,"System Name",Table4[[#This Row],[Ext Finish]])</f>
        <v>#REF!</v>
      </c>
      <c r="T163">
        <f>_xlfn.XLOOKUP(Table4[[#This Row],[Int Finish]],Master_Table6[System Name],Master_Table6[System Name (Short)],FALSE)</f>
        <v>0</v>
      </c>
      <c r="U163" t="e">
        <f>GETPIVOTDATA("Sum of A1-A3 Fossil kg CO2e/m^2 wall area",'COMPONENT PIVOT REF'!$P$3,"System Name",Table4[[#This Row],[Int Finish]])</f>
        <v>#REF!</v>
      </c>
      <c r="V163" t="e">
        <f>GETPIVOTDATA("Sum of  R value (m^2-K/W)",'COMPONENT PIVOT REF'!$P$3,"System Name",Table4[[#This Row],[Int Finish]])</f>
        <v>#REF!</v>
      </c>
      <c r="W163" t="e">
        <f>GETPIVOTDATA("Sum of Total Mass per m^2 (kg)",'COMPONENT PIVOT REF'!$P$3,"System Name",Table4[[#This Row],[Int Finish]])</f>
        <v>#REF!</v>
      </c>
      <c r="X163" t="e">
        <f>Table4[[#This Row],[Ext Finish GWP]]+Table4[[#This Row],[Base GWP]]+Table4[[#This Row],[Int Finish GWP]]</f>
        <v>#REF!</v>
      </c>
      <c r="Y163" t="e">
        <f>Table4[[#This Row],[Ext Finish R Value]]+Table4[[#This Row],[Base R Value]]+Table4[[#This Row],[Int Finish R Value]]</f>
        <v>#REF!</v>
      </c>
      <c r="Z163" t="e">
        <f>1/Table4[[#This Row],[Total R value]]</f>
        <v>#REF!</v>
      </c>
      <c r="AA163" t="e">
        <f>Table4[[#This Row],[Int Finish Mass]]+Table4[[#This Row],[Ext Finish Mass]]+Table4[[#This Row],[Base Mass]]</f>
        <v>#REF!</v>
      </c>
    </row>
    <row r="164" spans="3:27" x14ac:dyDescent="0.35">
      <c r="C164" t="str">
        <f>_xlfn.CONCAT(Table4[[#This Row],[System Name (Short)]],"_",Table4[[#This Row],[Ext Finish Name (Short)]],"_",Table4[[#This Row],[Int Finish Name (Short)]])</f>
        <v>0_0_0</v>
      </c>
      <c r="E164">
        <f>_xlfn.XLOOKUP(Table4[[#This Row],[Base System]],BASE_SYSTEM_TABLE[System Name],BASE_SYSTEM_TABLE[System Name (Short)],FALSE)</f>
        <v>0</v>
      </c>
      <c r="F164">
        <f>_xlfn.XLOOKUP(Table4[[#This Row],[Base System]],BASE_SYSTEM_TABLE[System Name],BASE_SYSTEM_TABLE[System Type],FALSE)</f>
        <v>0</v>
      </c>
      <c r="G164">
        <f>_xlfn.XLOOKUP(Table4[[#This Row],[Base System]],BASE_SYSTEM_TABLE[System Name],BASE_SYSTEM_TABLE[System Subtype],FALSE)</f>
        <v>0</v>
      </c>
      <c r="H164">
        <f>_xlfn.XLOOKUP(Table4[[#This Row],[Base System]],BASE_SYSTEM_TABLE[System Name],BASE_SYSTEM_TABLE[Construction Type (Framed or Planar)],FALSE)</f>
        <v>0</v>
      </c>
      <c r="I164" t="e">
        <f>GETPIVOTDATA("Sum of A1-A3 Fossil kg CO2e/m^2 wall area",'COMPONENT PIVOT REF'!$A$3,"System Name",Table4[[#This Row],[Base System]])</f>
        <v>#REF!</v>
      </c>
      <c r="J164" t="e">
        <f>GETPIVOTDATA("Sum of  R value (m^2-K/W)",'COMPONENT PIVOT REF'!$A$3,"System Name",Table4[[#This Row],[Base System]])</f>
        <v>#REF!</v>
      </c>
      <c r="K164" t="e">
        <f>GETPIVOTDATA("Sum of Total Mass per m^2 (kg)",'COMPONENT PIVOT REF'!$A$3,"System Name",Table4[[#This Row],[Base System]])</f>
        <v>#REF!</v>
      </c>
      <c r="M164">
        <f>_xlfn.XLOOKUP(Table4[[#This Row],[Ext Finish]],Master_Table4[System Name],Master_Table4[System Name (Short)],FALSE)</f>
        <v>0</v>
      </c>
      <c r="N164">
        <f>_xlfn.XLOOKUP(Table4[[#This Row],[Ext Finish]],Master_Table4[System Name],Master_Table4[Compatible Systems],FALSE)</f>
        <v>0</v>
      </c>
      <c r="O164" t="str">
        <f>IF(ISNUMBER(SEARCH(Table4[[#This Row],[MMC Method]],Table4[[#This Row],[Compatible Systems]])),"YES","NO")</f>
        <v>YES</v>
      </c>
      <c r="P164" t="e">
        <f>GETPIVOTDATA("Sum of A1-A3 Fossil kg CO2e/m^2 wall area",'COMPONENT PIVOT REF'!$I$3,"System Name",Table4[[#This Row],[Ext Finish]])</f>
        <v>#REF!</v>
      </c>
      <c r="Q164" t="e">
        <f>GETPIVOTDATA("Sum of  R value (m^2-K/W)",'COMPONENT PIVOT REF'!$I$3,"System Name",Table4[[#This Row],[Ext Finish]])</f>
        <v>#REF!</v>
      </c>
      <c r="R164" t="e">
        <f>GETPIVOTDATA("Sum of Total Mass per m^2 (kg)",'COMPONENT PIVOT REF'!$I$3,"System Name",Table4[[#This Row],[Ext Finish]])</f>
        <v>#REF!</v>
      </c>
      <c r="T164">
        <f>_xlfn.XLOOKUP(Table4[[#This Row],[Int Finish]],Master_Table6[System Name],Master_Table6[System Name (Short)],FALSE)</f>
        <v>0</v>
      </c>
      <c r="U164" t="e">
        <f>GETPIVOTDATA("Sum of A1-A3 Fossil kg CO2e/m^2 wall area",'COMPONENT PIVOT REF'!$P$3,"System Name",Table4[[#This Row],[Int Finish]])</f>
        <v>#REF!</v>
      </c>
      <c r="V164" t="e">
        <f>GETPIVOTDATA("Sum of  R value (m^2-K/W)",'COMPONENT PIVOT REF'!$P$3,"System Name",Table4[[#This Row],[Int Finish]])</f>
        <v>#REF!</v>
      </c>
      <c r="W164" t="e">
        <f>GETPIVOTDATA("Sum of Total Mass per m^2 (kg)",'COMPONENT PIVOT REF'!$P$3,"System Name",Table4[[#This Row],[Int Finish]])</f>
        <v>#REF!</v>
      </c>
      <c r="X164" t="e">
        <f>Table4[[#This Row],[Ext Finish GWP]]+Table4[[#This Row],[Base GWP]]+Table4[[#This Row],[Int Finish GWP]]</f>
        <v>#REF!</v>
      </c>
      <c r="Y164" t="e">
        <f>Table4[[#This Row],[Ext Finish R Value]]+Table4[[#This Row],[Base R Value]]+Table4[[#This Row],[Int Finish R Value]]</f>
        <v>#REF!</v>
      </c>
      <c r="Z164" t="e">
        <f>1/Table4[[#This Row],[Total R value]]</f>
        <v>#REF!</v>
      </c>
      <c r="AA164" t="e">
        <f>Table4[[#This Row],[Int Finish Mass]]+Table4[[#This Row],[Ext Finish Mass]]+Table4[[#This Row],[Base Mass]]</f>
        <v>#REF!</v>
      </c>
    </row>
    <row r="165" spans="3:27" x14ac:dyDescent="0.35">
      <c r="C165" t="str">
        <f>_xlfn.CONCAT(Table4[[#This Row],[System Name (Short)]],"_",Table4[[#This Row],[Ext Finish Name (Short)]],"_",Table4[[#This Row],[Int Finish Name (Short)]])</f>
        <v>0_0_0</v>
      </c>
      <c r="E165">
        <f>_xlfn.XLOOKUP(Table4[[#This Row],[Base System]],BASE_SYSTEM_TABLE[System Name],BASE_SYSTEM_TABLE[System Name (Short)],FALSE)</f>
        <v>0</v>
      </c>
      <c r="F165">
        <f>_xlfn.XLOOKUP(Table4[[#This Row],[Base System]],BASE_SYSTEM_TABLE[System Name],BASE_SYSTEM_TABLE[System Type],FALSE)</f>
        <v>0</v>
      </c>
      <c r="G165">
        <f>_xlfn.XLOOKUP(Table4[[#This Row],[Base System]],BASE_SYSTEM_TABLE[System Name],BASE_SYSTEM_TABLE[System Subtype],FALSE)</f>
        <v>0</v>
      </c>
      <c r="H165">
        <f>_xlfn.XLOOKUP(Table4[[#This Row],[Base System]],BASE_SYSTEM_TABLE[System Name],BASE_SYSTEM_TABLE[Construction Type (Framed or Planar)],FALSE)</f>
        <v>0</v>
      </c>
      <c r="I165" t="e">
        <f>GETPIVOTDATA("Sum of A1-A3 Fossil kg CO2e/m^2 wall area",'COMPONENT PIVOT REF'!$A$3,"System Name",Table4[[#This Row],[Base System]])</f>
        <v>#REF!</v>
      </c>
      <c r="J165" t="e">
        <f>GETPIVOTDATA("Sum of  R value (m^2-K/W)",'COMPONENT PIVOT REF'!$A$3,"System Name",Table4[[#This Row],[Base System]])</f>
        <v>#REF!</v>
      </c>
      <c r="K165" t="e">
        <f>GETPIVOTDATA("Sum of Total Mass per m^2 (kg)",'COMPONENT PIVOT REF'!$A$3,"System Name",Table4[[#This Row],[Base System]])</f>
        <v>#REF!</v>
      </c>
      <c r="M165">
        <f>_xlfn.XLOOKUP(Table4[[#This Row],[Ext Finish]],Master_Table4[System Name],Master_Table4[System Name (Short)],FALSE)</f>
        <v>0</v>
      </c>
      <c r="N165">
        <f>_xlfn.XLOOKUP(Table4[[#This Row],[Ext Finish]],Master_Table4[System Name],Master_Table4[Compatible Systems],FALSE)</f>
        <v>0</v>
      </c>
      <c r="O165" t="str">
        <f>IF(ISNUMBER(SEARCH(Table4[[#This Row],[MMC Method]],Table4[[#This Row],[Compatible Systems]])),"YES","NO")</f>
        <v>YES</v>
      </c>
      <c r="P165" t="e">
        <f>GETPIVOTDATA("Sum of A1-A3 Fossil kg CO2e/m^2 wall area",'COMPONENT PIVOT REF'!$I$3,"System Name",Table4[[#This Row],[Ext Finish]])</f>
        <v>#REF!</v>
      </c>
      <c r="Q165" t="e">
        <f>GETPIVOTDATA("Sum of  R value (m^2-K/W)",'COMPONENT PIVOT REF'!$I$3,"System Name",Table4[[#This Row],[Ext Finish]])</f>
        <v>#REF!</v>
      </c>
      <c r="R165" t="e">
        <f>GETPIVOTDATA("Sum of Total Mass per m^2 (kg)",'COMPONENT PIVOT REF'!$I$3,"System Name",Table4[[#This Row],[Ext Finish]])</f>
        <v>#REF!</v>
      </c>
      <c r="T165">
        <f>_xlfn.XLOOKUP(Table4[[#This Row],[Int Finish]],Master_Table6[System Name],Master_Table6[System Name (Short)],FALSE)</f>
        <v>0</v>
      </c>
      <c r="U165" t="e">
        <f>GETPIVOTDATA("Sum of A1-A3 Fossil kg CO2e/m^2 wall area",'COMPONENT PIVOT REF'!$P$3,"System Name",Table4[[#This Row],[Int Finish]])</f>
        <v>#REF!</v>
      </c>
      <c r="V165" t="e">
        <f>GETPIVOTDATA("Sum of  R value (m^2-K/W)",'COMPONENT PIVOT REF'!$P$3,"System Name",Table4[[#This Row],[Int Finish]])</f>
        <v>#REF!</v>
      </c>
      <c r="W165" t="e">
        <f>GETPIVOTDATA("Sum of Total Mass per m^2 (kg)",'COMPONENT PIVOT REF'!$P$3,"System Name",Table4[[#This Row],[Int Finish]])</f>
        <v>#REF!</v>
      </c>
      <c r="X165" t="e">
        <f>Table4[[#This Row],[Ext Finish GWP]]+Table4[[#This Row],[Base GWP]]+Table4[[#This Row],[Int Finish GWP]]</f>
        <v>#REF!</v>
      </c>
      <c r="Y165" t="e">
        <f>Table4[[#This Row],[Ext Finish R Value]]+Table4[[#This Row],[Base R Value]]+Table4[[#This Row],[Int Finish R Value]]</f>
        <v>#REF!</v>
      </c>
      <c r="Z165" t="e">
        <f>1/Table4[[#This Row],[Total R value]]</f>
        <v>#REF!</v>
      </c>
      <c r="AA165" t="e">
        <f>Table4[[#This Row],[Int Finish Mass]]+Table4[[#This Row],[Ext Finish Mass]]+Table4[[#This Row],[Base Mass]]</f>
        <v>#REF!</v>
      </c>
    </row>
    <row r="166" spans="3:27" x14ac:dyDescent="0.35">
      <c r="C166" t="str">
        <f>_xlfn.CONCAT(Table4[[#This Row],[System Name (Short)]],"_",Table4[[#This Row],[Ext Finish Name (Short)]],"_",Table4[[#This Row],[Int Finish Name (Short)]])</f>
        <v>0_0_0</v>
      </c>
      <c r="E166">
        <f>_xlfn.XLOOKUP(Table4[[#This Row],[Base System]],BASE_SYSTEM_TABLE[System Name],BASE_SYSTEM_TABLE[System Name (Short)],FALSE)</f>
        <v>0</v>
      </c>
      <c r="F166">
        <f>_xlfn.XLOOKUP(Table4[[#This Row],[Base System]],BASE_SYSTEM_TABLE[System Name],BASE_SYSTEM_TABLE[System Type],FALSE)</f>
        <v>0</v>
      </c>
      <c r="G166">
        <f>_xlfn.XLOOKUP(Table4[[#This Row],[Base System]],BASE_SYSTEM_TABLE[System Name],BASE_SYSTEM_TABLE[System Subtype],FALSE)</f>
        <v>0</v>
      </c>
      <c r="H166">
        <f>_xlfn.XLOOKUP(Table4[[#This Row],[Base System]],BASE_SYSTEM_TABLE[System Name],BASE_SYSTEM_TABLE[Construction Type (Framed or Planar)],FALSE)</f>
        <v>0</v>
      </c>
      <c r="I166" t="e">
        <f>GETPIVOTDATA("Sum of A1-A3 Fossil kg CO2e/m^2 wall area",'COMPONENT PIVOT REF'!$A$3,"System Name",Table4[[#This Row],[Base System]])</f>
        <v>#REF!</v>
      </c>
      <c r="J166" t="e">
        <f>GETPIVOTDATA("Sum of  R value (m^2-K/W)",'COMPONENT PIVOT REF'!$A$3,"System Name",Table4[[#This Row],[Base System]])</f>
        <v>#REF!</v>
      </c>
      <c r="K166" t="e">
        <f>GETPIVOTDATA("Sum of Total Mass per m^2 (kg)",'COMPONENT PIVOT REF'!$A$3,"System Name",Table4[[#This Row],[Base System]])</f>
        <v>#REF!</v>
      </c>
      <c r="M166">
        <f>_xlfn.XLOOKUP(Table4[[#This Row],[Ext Finish]],Master_Table4[System Name],Master_Table4[System Name (Short)],FALSE)</f>
        <v>0</v>
      </c>
      <c r="N166">
        <f>_xlfn.XLOOKUP(Table4[[#This Row],[Ext Finish]],Master_Table4[System Name],Master_Table4[Compatible Systems],FALSE)</f>
        <v>0</v>
      </c>
      <c r="O166" t="str">
        <f>IF(ISNUMBER(SEARCH(Table4[[#This Row],[MMC Method]],Table4[[#This Row],[Compatible Systems]])),"YES","NO")</f>
        <v>YES</v>
      </c>
      <c r="P166" t="e">
        <f>GETPIVOTDATA("Sum of A1-A3 Fossil kg CO2e/m^2 wall area",'COMPONENT PIVOT REF'!$I$3,"System Name",Table4[[#This Row],[Ext Finish]])</f>
        <v>#REF!</v>
      </c>
      <c r="Q166" t="e">
        <f>GETPIVOTDATA("Sum of  R value (m^2-K/W)",'COMPONENT PIVOT REF'!$I$3,"System Name",Table4[[#This Row],[Ext Finish]])</f>
        <v>#REF!</v>
      </c>
      <c r="R166" t="e">
        <f>GETPIVOTDATA("Sum of Total Mass per m^2 (kg)",'COMPONENT PIVOT REF'!$I$3,"System Name",Table4[[#This Row],[Ext Finish]])</f>
        <v>#REF!</v>
      </c>
      <c r="T166">
        <f>_xlfn.XLOOKUP(Table4[[#This Row],[Int Finish]],Master_Table6[System Name],Master_Table6[System Name (Short)],FALSE)</f>
        <v>0</v>
      </c>
      <c r="U166" t="e">
        <f>GETPIVOTDATA("Sum of A1-A3 Fossil kg CO2e/m^2 wall area",'COMPONENT PIVOT REF'!$P$3,"System Name",Table4[[#This Row],[Int Finish]])</f>
        <v>#REF!</v>
      </c>
      <c r="V166" t="e">
        <f>GETPIVOTDATA("Sum of  R value (m^2-K/W)",'COMPONENT PIVOT REF'!$P$3,"System Name",Table4[[#This Row],[Int Finish]])</f>
        <v>#REF!</v>
      </c>
      <c r="W166" t="e">
        <f>GETPIVOTDATA("Sum of Total Mass per m^2 (kg)",'COMPONENT PIVOT REF'!$P$3,"System Name",Table4[[#This Row],[Int Finish]])</f>
        <v>#REF!</v>
      </c>
      <c r="X166" t="e">
        <f>Table4[[#This Row],[Ext Finish GWP]]+Table4[[#This Row],[Base GWP]]+Table4[[#This Row],[Int Finish GWP]]</f>
        <v>#REF!</v>
      </c>
      <c r="Y166" t="e">
        <f>Table4[[#This Row],[Ext Finish R Value]]+Table4[[#This Row],[Base R Value]]+Table4[[#This Row],[Int Finish R Value]]</f>
        <v>#REF!</v>
      </c>
      <c r="Z166" t="e">
        <f>1/Table4[[#This Row],[Total R value]]</f>
        <v>#REF!</v>
      </c>
      <c r="AA166" t="e">
        <f>Table4[[#This Row],[Int Finish Mass]]+Table4[[#This Row],[Ext Finish Mass]]+Table4[[#This Row],[Base Mass]]</f>
        <v>#REF!</v>
      </c>
    </row>
    <row r="167" spans="3:27" x14ac:dyDescent="0.35">
      <c r="C167" t="str">
        <f>_xlfn.CONCAT(Table4[[#This Row],[System Name (Short)]],"_",Table4[[#This Row],[Ext Finish Name (Short)]],"_",Table4[[#This Row],[Int Finish Name (Short)]])</f>
        <v>0_0_0</v>
      </c>
      <c r="E167">
        <f>_xlfn.XLOOKUP(Table4[[#This Row],[Base System]],BASE_SYSTEM_TABLE[System Name],BASE_SYSTEM_TABLE[System Name (Short)],FALSE)</f>
        <v>0</v>
      </c>
      <c r="F167">
        <f>_xlfn.XLOOKUP(Table4[[#This Row],[Base System]],BASE_SYSTEM_TABLE[System Name],BASE_SYSTEM_TABLE[System Type],FALSE)</f>
        <v>0</v>
      </c>
      <c r="G167">
        <f>_xlfn.XLOOKUP(Table4[[#This Row],[Base System]],BASE_SYSTEM_TABLE[System Name],BASE_SYSTEM_TABLE[System Subtype],FALSE)</f>
        <v>0</v>
      </c>
      <c r="H167">
        <f>_xlfn.XLOOKUP(Table4[[#This Row],[Base System]],BASE_SYSTEM_TABLE[System Name],BASE_SYSTEM_TABLE[Construction Type (Framed or Planar)],FALSE)</f>
        <v>0</v>
      </c>
      <c r="I167" t="e">
        <f>GETPIVOTDATA("Sum of A1-A3 Fossil kg CO2e/m^2 wall area",'COMPONENT PIVOT REF'!$A$3,"System Name",Table4[[#This Row],[Base System]])</f>
        <v>#REF!</v>
      </c>
      <c r="J167" t="e">
        <f>GETPIVOTDATA("Sum of  R value (m^2-K/W)",'COMPONENT PIVOT REF'!$A$3,"System Name",Table4[[#This Row],[Base System]])</f>
        <v>#REF!</v>
      </c>
      <c r="K167" t="e">
        <f>GETPIVOTDATA("Sum of Total Mass per m^2 (kg)",'COMPONENT PIVOT REF'!$A$3,"System Name",Table4[[#This Row],[Base System]])</f>
        <v>#REF!</v>
      </c>
      <c r="M167">
        <f>_xlfn.XLOOKUP(Table4[[#This Row],[Ext Finish]],Master_Table4[System Name],Master_Table4[System Name (Short)],FALSE)</f>
        <v>0</v>
      </c>
      <c r="N167">
        <f>_xlfn.XLOOKUP(Table4[[#This Row],[Ext Finish]],Master_Table4[System Name],Master_Table4[Compatible Systems],FALSE)</f>
        <v>0</v>
      </c>
      <c r="O167" t="str">
        <f>IF(ISNUMBER(SEARCH(Table4[[#This Row],[MMC Method]],Table4[[#This Row],[Compatible Systems]])),"YES","NO")</f>
        <v>YES</v>
      </c>
      <c r="P167" t="e">
        <f>GETPIVOTDATA("Sum of A1-A3 Fossil kg CO2e/m^2 wall area",'COMPONENT PIVOT REF'!$I$3,"System Name",Table4[[#This Row],[Ext Finish]])</f>
        <v>#REF!</v>
      </c>
      <c r="Q167" t="e">
        <f>GETPIVOTDATA("Sum of  R value (m^2-K/W)",'COMPONENT PIVOT REF'!$I$3,"System Name",Table4[[#This Row],[Ext Finish]])</f>
        <v>#REF!</v>
      </c>
      <c r="R167" t="e">
        <f>GETPIVOTDATA("Sum of Total Mass per m^2 (kg)",'COMPONENT PIVOT REF'!$I$3,"System Name",Table4[[#This Row],[Ext Finish]])</f>
        <v>#REF!</v>
      </c>
      <c r="T167">
        <f>_xlfn.XLOOKUP(Table4[[#This Row],[Int Finish]],Master_Table6[System Name],Master_Table6[System Name (Short)],FALSE)</f>
        <v>0</v>
      </c>
      <c r="U167" t="e">
        <f>GETPIVOTDATA("Sum of A1-A3 Fossil kg CO2e/m^2 wall area",'COMPONENT PIVOT REF'!$P$3,"System Name",Table4[[#This Row],[Int Finish]])</f>
        <v>#REF!</v>
      </c>
      <c r="V167" t="e">
        <f>GETPIVOTDATA("Sum of  R value (m^2-K/W)",'COMPONENT PIVOT REF'!$P$3,"System Name",Table4[[#This Row],[Int Finish]])</f>
        <v>#REF!</v>
      </c>
      <c r="W167" t="e">
        <f>GETPIVOTDATA("Sum of Total Mass per m^2 (kg)",'COMPONENT PIVOT REF'!$P$3,"System Name",Table4[[#This Row],[Int Finish]])</f>
        <v>#REF!</v>
      </c>
      <c r="X167" t="e">
        <f>Table4[[#This Row],[Ext Finish GWP]]+Table4[[#This Row],[Base GWP]]+Table4[[#This Row],[Int Finish GWP]]</f>
        <v>#REF!</v>
      </c>
      <c r="Y167" t="e">
        <f>Table4[[#This Row],[Ext Finish R Value]]+Table4[[#This Row],[Base R Value]]+Table4[[#This Row],[Int Finish R Value]]</f>
        <v>#REF!</v>
      </c>
      <c r="Z167" t="e">
        <f>1/Table4[[#This Row],[Total R value]]</f>
        <v>#REF!</v>
      </c>
      <c r="AA167" t="e">
        <f>Table4[[#This Row],[Int Finish Mass]]+Table4[[#This Row],[Ext Finish Mass]]+Table4[[#This Row],[Base Mass]]</f>
        <v>#REF!</v>
      </c>
    </row>
    <row r="168" spans="3:27" x14ac:dyDescent="0.35">
      <c r="C168" t="str">
        <f>_xlfn.CONCAT(Table4[[#This Row],[System Name (Short)]],"_",Table4[[#This Row],[Ext Finish Name (Short)]],"_",Table4[[#This Row],[Int Finish Name (Short)]])</f>
        <v>0_0_0</v>
      </c>
      <c r="E168">
        <f>_xlfn.XLOOKUP(Table4[[#This Row],[Base System]],BASE_SYSTEM_TABLE[System Name],BASE_SYSTEM_TABLE[System Name (Short)],FALSE)</f>
        <v>0</v>
      </c>
      <c r="F168">
        <f>_xlfn.XLOOKUP(Table4[[#This Row],[Base System]],BASE_SYSTEM_TABLE[System Name],BASE_SYSTEM_TABLE[System Type],FALSE)</f>
        <v>0</v>
      </c>
      <c r="G168">
        <f>_xlfn.XLOOKUP(Table4[[#This Row],[Base System]],BASE_SYSTEM_TABLE[System Name],BASE_SYSTEM_TABLE[System Subtype],FALSE)</f>
        <v>0</v>
      </c>
      <c r="H168">
        <f>_xlfn.XLOOKUP(Table4[[#This Row],[Base System]],BASE_SYSTEM_TABLE[System Name],BASE_SYSTEM_TABLE[Construction Type (Framed or Planar)],FALSE)</f>
        <v>0</v>
      </c>
      <c r="I168" t="e">
        <f>GETPIVOTDATA("Sum of A1-A3 Fossil kg CO2e/m^2 wall area",'COMPONENT PIVOT REF'!$A$3,"System Name",Table4[[#This Row],[Base System]])</f>
        <v>#REF!</v>
      </c>
      <c r="J168" t="e">
        <f>GETPIVOTDATA("Sum of  R value (m^2-K/W)",'COMPONENT PIVOT REF'!$A$3,"System Name",Table4[[#This Row],[Base System]])</f>
        <v>#REF!</v>
      </c>
      <c r="K168" t="e">
        <f>GETPIVOTDATA("Sum of Total Mass per m^2 (kg)",'COMPONENT PIVOT REF'!$A$3,"System Name",Table4[[#This Row],[Base System]])</f>
        <v>#REF!</v>
      </c>
      <c r="M168">
        <f>_xlfn.XLOOKUP(Table4[[#This Row],[Ext Finish]],Master_Table4[System Name],Master_Table4[System Name (Short)],FALSE)</f>
        <v>0</v>
      </c>
      <c r="N168">
        <f>_xlfn.XLOOKUP(Table4[[#This Row],[Ext Finish]],Master_Table4[System Name],Master_Table4[Compatible Systems],FALSE)</f>
        <v>0</v>
      </c>
      <c r="O168" t="str">
        <f>IF(ISNUMBER(SEARCH(Table4[[#This Row],[MMC Method]],Table4[[#This Row],[Compatible Systems]])),"YES","NO")</f>
        <v>YES</v>
      </c>
      <c r="P168" t="e">
        <f>GETPIVOTDATA("Sum of A1-A3 Fossil kg CO2e/m^2 wall area",'COMPONENT PIVOT REF'!$I$3,"System Name",Table4[[#This Row],[Ext Finish]])</f>
        <v>#REF!</v>
      </c>
      <c r="Q168" t="e">
        <f>GETPIVOTDATA("Sum of  R value (m^2-K/W)",'COMPONENT PIVOT REF'!$I$3,"System Name",Table4[[#This Row],[Ext Finish]])</f>
        <v>#REF!</v>
      </c>
      <c r="R168" t="e">
        <f>GETPIVOTDATA("Sum of Total Mass per m^2 (kg)",'COMPONENT PIVOT REF'!$I$3,"System Name",Table4[[#This Row],[Ext Finish]])</f>
        <v>#REF!</v>
      </c>
      <c r="T168">
        <f>_xlfn.XLOOKUP(Table4[[#This Row],[Int Finish]],Master_Table6[System Name],Master_Table6[System Name (Short)],FALSE)</f>
        <v>0</v>
      </c>
      <c r="U168" t="e">
        <f>GETPIVOTDATA("Sum of A1-A3 Fossil kg CO2e/m^2 wall area",'COMPONENT PIVOT REF'!$P$3,"System Name",Table4[[#This Row],[Int Finish]])</f>
        <v>#REF!</v>
      </c>
      <c r="V168" t="e">
        <f>GETPIVOTDATA("Sum of  R value (m^2-K/W)",'COMPONENT PIVOT REF'!$P$3,"System Name",Table4[[#This Row],[Int Finish]])</f>
        <v>#REF!</v>
      </c>
      <c r="W168" t="e">
        <f>GETPIVOTDATA("Sum of Total Mass per m^2 (kg)",'COMPONENT PIVOT REF'!$P$3,"System Name",Table4[[#This Row],[Int Finish]])</f>
        <v>#REF!</v>
      </c>
      <c r="X168" t="e">
        <f>Table4[[#This Row],[Ext Finish GWP]]+Table4[[#This Row],[Base GWP]]+Table4[[#This Row],[Int Finish GWP]]</f>
        <v>#REF!</v>
      </c>
      <c r="Y168" t="e">
        <f>Table4[[#This Row],[Ext Finish R Value]]+Table4[[#This Row],[Base R Value]]+Table4[[#This Row],[Int Finish R Value]]</f>
        <v>#REF!</v>
      </c>
      <c r="Z168" t="e">
        <f>1/Table4[[#This Row],[Total R value]]</f>
        <v>#REF!</v>
      </c>
      <c r="AA168" t="e">
        <f>Table4[[#This Row],[Int Finish Mass]]+Table4[[#This Row],[Ext Finish Mass]]+Table4[[#This Row],[Base Mass]]</f>
        <v>#REF!</v>
      </c>
    </row>
    <row r="169" spans="3:27" x14ac:dyDescent="0.35">
      <c r="C169" t="str">
        <f>_xlfn.CONCAT(Table4[[#This Row],[System Name (Short)]],"_",Table4[[#This Row],[Ext Finish Name (Short)]],"_",Table4[[#This Row],[Int Finish Name (Short)]])</f>
        <v>0_0_0</v>
      </c>
      <c r="E169">
        <f>_xlfn.XLOOKUP(Table4[[#This Row],[Base System]],BASE_SYSTEM_TABLE[System Name],BASE_SYSTEM_TABLE[System Name (Short)],FALSE)</f>
        <v>0</v>
      </c>
      <c r="F169">
        <f>_xlfn.XLOOKUP(Table4[[#This Row],[Base System]],BASE_SYSTEM_TABLE[System Name],BASE_SYSTEM_TABLE[System Type],FALSE)</f>
        <v>0</v>
      </c>
      <c r="G169">
        <f>_xlfn.XLOOKUP(Table4[[#This Row],[Base System]],BASE_SYSTEM_TABLE[System Name],BASE_SYSTEM_TABLE[System Subtype],FALSE)</f>
        <v>0</v>
      </c>
      <c r="H169">
        <f>_xlfn.XLOOKUP(Table4[[#This Row],[Base System]],BASE_SYSTEM_TABLE[System Name],BASE_SYSTEM_TABLE[Construction Type (Framed or Planar)],FALSE)</f>
        <v>0</v>
      </c>
      <c r="I169" t="e">
        <f>GETPIVOTDATA("Sum of A1-A3 Fossil kg CO2e/m^2 wall area",'COMPONENT PIVOT REF'!$A$3,"System Name",Table4[[#This Row],[Base System]])</f>
        <v>#REF!</v>
      </c>
      <c r="J169" t="e">
        <f>GETPIVOTDATA("Sum of  R value (m^2-K/W)",'COMPONENT PIVOT REF'!$A$3,"System Name",Table4[[#This Row],[Base System]])</f>
        <v>#REF!</v>
      </c>
      <c r="K169" t="e">
        <f>GETPIVOTDATA("Sum of Total Mass per m^2 (kg)",'COMPONENT PIVOT REF'!$A$3,"System Name",Table4[[#This Row],[Base System]])</f>
        <v>#REF!</v>
      </c>
      <c r="M169">
        <f>_xlfn.XLOOKUP(Table4[[#This Row],[Ext Finish]],Master_Table4[System Name],Master_Table4[System Name (Short)],FALSE)</f>
        <v>0</v>
      </c>
      <c r="N169">
        <f>_xlfn.XLOOKUP(Table4[[#This Row],[Ext Finish]],Master_Table4[System Name],Master_Table4[Compatible Systems],FALSE)</f>
        <v>0</v>
      </c>
      <c r="O169" t="str">
        <f>IF(ISNUMBER(SEARCH(Table4[[#This Row],[MMC Method]],Table4[[#This Row],[Compatible Systems]])),"YES","NO")</f>
        <v>YES</v>
      </c>
      <c r="P169" t="e">
        <f>GETPIVOTDATA("Sum of A1-A3 Fossil kg CO2e/m^2 wall area",'COMPONENT PIVOT REF'!$I$3,"System Name",Table4[[#This Row],[Ext Finish]])</f>
        <v>#REF!</v>
      </c>
      <c r="Q169" t="e">
        <f>GETPIVOTDATA("Sum of  R value (m^2-K/W)",'COMPONENT PIVOT REF'!$I$3,"System Name",Table4[[#This Row],[Ext Finish]])</f>
        <v>#REF!</v>
      </c>
      <c r="R169" t="e">
        <f>GETPIVOTDATA("Sum of Total Mass per m^2 (kg)",'COMPONENT PIVOT REF'!$I$3,"System Name",Table4[[#This Row],[Ext Finish]])</f>
        <v>#REF!</v>
      </c>
      <c r="T169">
        <f>_xlfn.XLOOKUP(Table4[[#This Row],[Int Finish]],Master_Table6[System Name],Master_Table6[System Name (Short)],FALSE)</f>
        <v>0</v>
      </c>
      <c r="U169" t="e">
        <f>GETPIVOTDATA("Sum of A1-A3 Fossil kg CO2e/m^2 wall area",'COMPONENT PIVOT REF'!$P$3,"System Name",Table4[[#This Row],[Int Finish]])</f>
        <v>#REF!</v>
      </c>
      <c r="V169" t="e">
        <f>GETPIVOTDATA("Sum of  R value (m^2-K/W)",'COMPONENT PIVOT REF'!$P$3,"System Name",Table4[[#This Row],[Int Finish]])</f>
        <v>#REF!</v>
      </c>
      <c r="W169" t="e">
        <f>GETPIVOTDATA("Sum of Total Mass per m^2 (kg)",'COMPONENT PIVOT REF'!$P$3,"System Name",Table4[[#This Row],[Int Finish]])</f>
        <v>#REF!</v>
      </c>
      <c r="X169" t="e">
        <f>Table4[[#This Row],[Ext Finish GWP]]+Table4[[#This Row],[Base GWP]]+Table4[[#This Row],[Int Finish GWP]]</f>
        <v>#REF!</v>
      </c>
      <c r="Y169" t="e">
        <f>Table4[[#This Row],[Ext Finish R Value]]+Table4[[#This Row],[Base R Value]]+Table4[[#This Row],[Int Finish R Value]]</f>
        <v>#REF!</v>
      </c>
      <c r="Z169" t="e">
        <f>1/Table4[[#This Row],[Total R value]]</f>
        <v>#REF!</v>
      </c>
      <c r="AA169" t="e">
        <f>Table4[[#This Row],[Int Finish Mass]]+Table4[[#This Row],[Ext Finish Mass]]+Table4[[#This Row],[Base Mass]]</f>
        <v>#REF!</v>
      </c>
    </row>
    <row r="170" spans="3:27" x14ac:dyDescent="0.35">
      <c r="C170" t="str">
        <f>_xlfn.CONCAT(Table4[[#This Row],[System Name (Short)]],"_",Table4[[#This Row],[Ext Finish Name (Short)]],"_",Table4[[#This Row],[Int Finish Name (Short)]])</f>
        <v>0_0_0</v>
      </c>
      <c r="E170">
        <f>_xlfn.XLOOKUP(Table4[[#This Row],[Base System]],BASE_SYSTEM_TABLE[System Name],BASE_SYSTEM_TABLE[System Name (Short)],FALSE)</f>
        <v>0</v>
      </c>
      <c r="F170">
        <f>_xlfn.XLOOKUP(Table4[[#This Row],[Base System]],BASE_SYSTEM_TABLE[System Name],BASE_SYSTEM_TABLE[System Type],FALSE)</f>
        <v>0</v>
      </c>
      <c r="G170">
        <f>_xlfn.XLOOKUP(Table4[[#This Row],[Base System]],BASE_SYSTEM_TABLE[System Name],BASE_SYSTEM_TABLE[System Subtype],FALSE)</f>
        <v>0</v>
      </c>
      <c r="H170">
        <f>_xlfn.XLOOKUP(Table4[[#This Row],[Base System]],BASE_SYSTEM_TABLE[System Name],BASE_SYSTEM_TABLE[Construction Type (Framed or Planar)],FALSE)</f>
        <v>0</v>
      </c>
      <c r="I170" t="e">
        <f>GETPIVOTDATA("Sum of A1-A3 Fossil kg CO2e/m^2 wall area",'COMPONENT PIVOT REF'!$A$3,"System Name",Table4[[#This Row],[Base System]])</f>
        <v>#REF!</v>
      </c>
      <c r="J170" t="e">
        <f>GETPIVOTDATA("Sum of  R value (m^2-K/W)",'COMPONENT PIVOT REF'!$A$3,"System Name",Table4[[#This Row],[Base System]])</f>
        <v>#REF!</v>
      </c>
      <c r="K170" t="e">
        <f>GETPIVOTDATA("Sum of Total Mass per m^2 (kg)",'COMPONENT PIVOT REF'!$A$3,"System Name",Table4[[#This Row],[Base System]])</f>
        <v>#REF!</v>
      </c>
      <c r="M170">
        <f>_xlfn.XLOOKUP(Table4[[#This Row],[Ext Finish]],Master_Table4[System Name],Master_Table4[System Name (Short)],FALSE)</f>
        <v>0</v>
      </c>
      <c r="N170">
        <f>_xlfn.XLOOKUP(Table4[[#This Row],[Ext Finish]],Master_Table4[System Name],Master_Table4[Compatible Systems],FALSE)</f>
        <v>0</v>
      </c>
      <c r="O170" t="str">
        <f>IF(ISNUMBER(SEARCH(Table4[[#This Row],[MMC Method]],Table4[[#This Row],[Compatible Systems]])),"YES","NO")</f>
        <v>YES</v>
      </c>
      <c r="P170" t="e">
        <f>GETPIVOTDATA("Sum of A1-A3 Fossil kg CO2e/m^2 wall area",'COMPONENT PIVOT REF'!$I$3,"System Name",Table4[[#This Row],[Ext Finish]])</f>
        <v>#REF!</v>
      </c>
      <c r="Q170" t="e">
        <f>GETPIVOTDATA("Sum of  R value (m^2-K/W)",'COMPONENT PIVOT REF'!$I$3,"System Name",Table4[[#This Row],[Ext Finish]])</f>
        <v>#REF!</v>
      </c>
      <c r="R170" t="e">
        <f>GETPIVOTDATA("Sum of Total Mass per m^2 (kg)",'COMPONENT PIVOT REF'!$I$3,"System Name",Table4[[#This Row],[Ext Finish]])</f>
        <v>#REF!</v>
      </c>
      <c r="T170">
        <f>_xlfn.XLOOKUP(Table4[[#This Row],[Int Finish]],Master_Table6[System Name],Master_Table6[System Name (Short)],FALSE)</f>
        <v>0</v>
      </c>
      <c r="U170" t="e">
        <f>GETPIVOTDATA("Sum of A1-A3 Fossil kg CO2e/m^2 wall area",'COMPONENT PIVOT REF'!$P$3,"System Name",Table4[[#This Row],[Int Finish]])</f>
        <v>#REF!</v>
      </c>
      <c r="V170" t="e">
        <f>GETPIVOTDATA("Sum of  R value (m^2-K/W)",'COMPONENT PIVOT REF'!$P$3,"System Name",Table4[[#This Row],[Int Finish]])</f>
        <v>#REF!</v>
      </c>
      <c r="W170" t="e">
        <f>GETPIVOTDATA("Sum of Total Mass per m^2 (kg)",'COMPONENT PIVOT REF'!$P$3,"System Name",Table4[[#This Row],[Int Finish]])</f>
        <v>#REF!</v>
      </c>
      <c r="X170" t="e">
        <f>Table4[[#This Row],[Ext Finish GWP]]+Table4[[#This Row],[Base GWP]]+Table4[[#This Row],[Int Finish GWP]]</f>
        <v>#REF!</v>
      </c>
      <c r="Y170" t="e">
        <f>Table4[[#This Row],[Ext Finish R Value]]+Table4[[#This Row],[Base R Value]]+Table4[[#This Row],[Int Finish R Value]]</f>
        <v>#REF!</v>
      </c>
      <c r="Z170" t="e">
        <f>1/Table4[[#This Row],[Total R value]]</f>
        <v>#REF!</v>
      </c>
      <c r="AA170" t="e">
        <f>Table4[[#This Row],[Int Finish Mass]]+Table4[[#This Row],[Ext Finish Mass]]+Table4[[#This Row],[Base Mass]]</f>
        <v>#REF!</v>
      </c>
    </row>
    <row r="171" spans="3:27" x14ac:dyDescent="0.35">
      <c r="C171" t="str">
        <f>_xlfn.CONCAT(Table4[[#This Row],[System Name (Short)]],"_",Table4[[#This Row],[Ext Finish Name (Short)]],"_",Table4[[#This Row],[Int Finish Name (Short)]])</f>
        <v>0_0_0</v>
      </c>
      <c r="E171">
        <f>_xlfn.XLOOKUP(Table4[[#This Row],[Base System]],BASE_SYSTEM_TABLE[System Name],BASE_SYSTEM_TABLE[System Name (Short)],FALSE)</f>
        <v>0</v>
      </c>
      <c r="F171">
        <f>_xlfn.XLOOKUP(Table4[[#This Row],[Base System]],BASE_SYSTEM_TABLE[System Name],BASE_SYSTEM_TABLE[System Type],FALSE)</f>
        <v>0</v>
      </c>
      <c r="G171">
        <f>_xlfn.XLOOKUP(Table4[[#This Row],[Base System]],BASE_SYSTEM_TABLE[System Name],BASE_SYSTEM_TABLE[System Subtype],FALSE)</f>
        <v>0</v>
      </c>
      <c r="H171">
        <f>_xlfn.XLOOKUP(Table4[[#This Row],[Base System]],BASE_SYSTEM_TABLE[System Name],BASE_SYSTEM_TABLE[Construction Type (Framed or Planar)],FALSE)</f>
        <v>0</v>
      </c>
      <c r="I171" t="e">
        <f>GETPIVOTDATA("Sum of A1-A3 Fossil kg CO2e/m^2 wall area",'COMPONENT PIVOT REF'!$A$3,"System Name",Table4[[#This Row],[Base System]])</f>
        <v>#REF!</v>
      </c>
      <c r="J171" t="e">
        <f>GETPIVOTDATA("Sum of  R value (m^2-K/W)",'COMPONENT PIVOT REF'!$A$3,"System Name",Table4[[#This Row],[Base System]])</f>
        <v>#REF!</v>
      </c>
      <c r="K171" t="e">
        <f>GETPIVOTDATA("Sum of Total Mass per m^2 (kg)",'COMPONENT PIVOT REF'!$A$3,"System Name",Table4[[#This Row],[Base System]])</f>
        <v>#REF!</v>
      </c>
      <c r="M171">
        <f>_xlfn.XLOOKUP(Table4[[#This Row],[Ext Finish]],Master_Table4[System Name],Master_Table4[System Name (Short)],FALSE)</f>
        <v>0</v>
      </c>
      <c r="N171">
        <f>_xlfn.XLOOKUP(Table4[[#This Row],[Ext Finish]],Master_Table4[System Name],Master_Table4[Compatible Systems],FALSE)</f>
        <v>0</v>
      </c>
      <c r="O171" t="str">
        <f>IF(ISNUMBER(SEARCH(Table4[[#This Row],[MMC Method]],Table4[[#This Row],[Compatible Systems]])),"YES","NO")</f>
        <v>YES</v>
      </c>
      <c r="P171" t="e">
        <f>GETPIVOTDATA("Sum of A1-A3 Fossil kg CO2e/m^2 wall area",'COMPONENT PIVOT REF'!$I$3,"System Name",Table4[[#This Row],[Ext Finish]])</f>
        <v>#REF!</v>
      </c>
      <c r="Q171" t="e">
        <f>GETPIVOTDATA("Sum of  R value (m^2-K/W)",'COMPONENT PIVOT REF'!$I$3,"System Name",Table4[[#This Row],[Ext Finish]])</f>
        <v>#REF!</v>
      </c>
      <c r="R171" t="e">
        <f>GETPIVOTDATA("Sum of Total Mass per m^2 (kg)",'COMPONENT PIVOT REF'!$I$3,"System Name",Table4[[#This Row],[Ext Finish]])</f>
        <v>#REF!</v>
      </c>
      <c r="T171">
        <f>_xlfn.XLOOKUP(Table4[[#This Row],[Int Finish]],Master_Table6[System Name],Master_Table6[System Name (Short)],FALSE)</f>
        <v>0</v>
      </c>
      <c r="U171" t="e">
        <f>GETPIVOTDATA("Sum of A1-A3 Fossil kg CO2e/m^2 wall area",'COMPONENT PIVOT REF'!$P$3,"System Name",Table4[[#This Row],[Int Finish]])</f>
        <v>#REF!</v>
      </c>
      <c r="V171" t="e">
        <f>GETPIVOTDATA("Sum of  R value (m^2-K/W)",'COMPONENT PIVOT REF'!$P$3,"System Name",Table4[[#This Row],[Int Finish]])</f>
        <v>#REF!</v>
      </c>
      <c r="W171" t="e">
        <f>GETPIVOTDATA("Sum of Total Mass per m^2 (kg)",'COMPONENT PIVOT REF'!$P$3,"System Name",Table4[[#This Row],[Int Finish]])</f>
        <v>#REF!</v>
      </c>
      <c r="X171" t="e">
        <f>Table4[[#This Row],[Ext Finish GWP]]+Table4[[#This Row],[Base GWP]]+Table4[[#This Row],[Int Finish GWP]]</f>
        <v>#REF!</v>
      </c>
      <c r="Y171" t="e">
        <f>Table4[[#This Row],[Ext Finish R Value]]+Table4[[#This Row],[Base R Value]]+Table4[[#This Row],[Int Finish R Value]]</f>
        <v>#REF!</v>
      </c>
      <c r="Z171" t="e">
        <f>1/Table4[[#This Row],[Total R value]]</f>
        <v>#REF!</v>
      </c>
      <c r="AA171" t="e">
        <f>Table4[[#This Row],[Int Finish Mass]]+Table4[[#This Row],[Ext Finish Mass]]+Table4[[#This Row],[Base Mass]]</f>
        <v>#REF!</v>
      </c>
    </row>
    <row r="172" spans="3:27" x14ac:dyDescent="0.35">
      <c r="C172" t="str">
        <f>_xlfn.CONCAT(Table4[[#This Row],[System Name (Short)]],"_",Table4[[#This Row],[Ext Finish Name (Short)]],"_",Table4[[#This Row],[Int Finish Name (Short)]])</f>
        <v>0_0_0</v>
      </c>
      <c r="E172">
        <f>_xlfn.XLOOKUP(Table4[[#This Row],[Base System]],BASE_SYSTEM_TABLE[System Name],BASE_SYSTEM_TABLE[System Name (Short)],FALSE)</f>
        <v>0</v>
      </c>
      <c r="F172">
        <f>_xlfn.XLOOKUP(Table4[[#This Row],[Base System]],BASE_SYSTEM_TABLE[System Name],BASE_SYSTEM_TABLE[System Type],FALSE)</f>
        <v>0</v>
      </c>
      <c r="G172">
        <f>_xlfn.XLOOKUP(Table4[[#This Row],[Base System]],BASE_SYSTEM_TABLE[System Name],BASE_SYSTEM_TABLE[System Subtype],FALSE)</f>
        <v>0</v>
      </c>
      <c r="H172">
        <f>_xlfn.XLOOKUP(Table4[[#This Row],[Base System]],BASE_SYSTEM_TABLE[System Name],BASE_SYSTEM_TABLE[Construction Type (Framed or Planar)],FALSE)</f>
        <v>0</v>
      </c>
      <c r="I172" t="e">
        <f>GETPIVOTDATA("Sum of A1-A3 Fossil kg CO2e/m^2 wall area",'COMPONENT PIVOT REF'!$A$3,"System Name",Table4[[#This Row],[Base System]])</f>
        <v>#REF!</v>
      </c>
      <c r="J172" t="e">
        <f>GETPIVOTDATA("Sum of  R value (m^2-K/W)",'COMPONENT PIVOT REF'!$A$3,"System Name",Table4[[#This Row],[Base System]])</f>
        <v>#REF!</v>
      </c>
      <c r="K172" t="e">
        <f>GETPIVOTDATA("Sum of Total Mass per m^2 (kg)",'COMPONENT PIVOT REF'!$A$3,"System Name",Table4[[#This Row],[Base System]])</f>
        <v>#REF!</v>
      </c>
      <c r="M172">
        <f>_xlfn.XLOOKUP(Table4[[#This Row],[Ext Finish]],Master_Table4[System Name],Master_Table4[System Name (Short)],FALSE)</f>
        <v>0</v>
      </c>
      <c r="N172">
        <f>_xlfn.XLOOKUP(Table4[[#This Row],[Ext Finish]],Master_Table4[System Name],Master_Table4[Compatible Systems],FALSE)</f>
        <v>0</v>
      </c>
      <c r="O172" t="str">
        <f>IF(ISNUMBER(SEARCH(Table4[[#This Row],[MMC Method]],Table4[[#This Row],[Compatible Systems]])),"YES","NO")</f>
        <v>YES</v>
      </c>
      <c r="P172" t="e">
        <f>GETPIVOTDATA("Sum of A1-A3 Fossil kg CO2e/m^2 wall area",'COMPONENT PIVOT REF'!$I$3,"System Name",Table4[[#This Row],[Ext Finish]])</f>
        <v>#REF!</v>
      </c>
      <c r="Q172" t="e">
        <f>GETPIVOTDATA("Sum of  R value (m^2-K/W)",'COMPONENT PIVOT REF'!$I$3,"System Name",Table4[[#This Row],[Ext Finish]])</f>
        <v>#REF!</v>
      </c>
      <c r="R172" t="e">
        <f>GETPIVOTDATA("Sum of Total Mass per m^2 (kg)",'COMPONENT PIVOT REF'!$I$3,"System Name",Table4[[#This Row],[Ext Finish]])</f>
        <v>#REF!</v>
      </c>
      <c r="T172">
        <f>_xlfn.XLOOKUP(Table4[[#This Row],[Int Finish]],Master_Table6[System Name],Master_Table6[System Name (Short)],FALSE)</f>
        <v>0</v>
      </c>
      <c r="U172" t="e">
        <f>GETPIVOTDATA("Sum of A1-A3 Fossil kg CO2e/m^2 wall area",'COMPONENT PIVOT REF'!$P$3,"System Name",Table4[[#This Row],[Int Finish]])</f>
        <v>#REF!</v>
      </c>
      <c r="V172" t="e">
        <f>GETPIVOTDATA("Sum of  R value (m^2-K/W)",'COMPONENT PIVOT REF'!$P$3,"System Name",Table4[[#This Row],[Int Finish]])</f>
        <v>#REF!</v>
      </c>
      <c r="W172" t="e">
        <f>GETPIVOTDATA("Sum of Total Mass per m^2 (kg)",'COMPONENT PIVOT REF'!$P$3,"System Name",Table4[[#This Row],[Int Finish]])</f>
        <v>#REF!</v>
      </c>
      <c r="X172" t="e">
        <f>Table4[[#This Row],[Ext Finish GWP]]+Table4[[#This Row],[Base GWP]]+Table4[[#This Row],[Int Finish GWP]]</f>
        <v>#REF!</v>
      </c>
      <c r="Y172" t="e">
        <f>Table4[[#This Row],[Ext Finish R Value]]+Table4[[#This Row],[Base R Value]]+Table4[[#This Row],[Int Finish R Value]]</f>
        <v>#REF!</v>
      </c>
      <c r="Z172" t="e">
        <f>1/Table4[[#This Row],[Total R value]]</f>
        <v>#REF!</v>
      </c>
      <c r="AA172" t="e">
        <f>Table4[[#This Row],[Int Finish Mass]]+Table4[[#This Row],[Ext Finish Mass]]+Table4[[#This Row],[Base Mass]]</f>
        <v>#REF!</v>
      </c>
    </row>
    <row r="173" spans="3:27" x14ac:dyDescent="0.35">
      <c r="C173" t="str">
        <f>_xlfn.CONCAT(Table4[[#This Row],[System Name (Short)]],"_",Table4[[#This Row],[Ext Finish Name (Short)]],"_",Table4[[#This Row],[Int Finish Name (Short)]])</f>
        <v>0_0_0</v>
      </c>
      <c r="E173">
        <f>_xlfn.XLOOKUP(Table4[[#This Row],[Base System]],BASE_SYSTEM_TABLE[System Name],BASE_SYSTEM_TABLE[System Name (Short)],FALSE)</f>
        <v>0</v>
      </c>
      <c r="F173">
        <f>_xlfn.XLOOKUP(Table4[[#This Row],[Base System]],BASE_SYSTEM_TABLE[System Name],BASE_SYSTEM_TABLE[System Type],FALSE)</f>
        <v>0</v>
      </c>
      <c r="G173">
        <f>_xlfn.XLOOKUP(Table4[[#This Row],[Base System]],BASE_SYSTEM_TABLE[System Name],BASE_SYSTEM_TABLE[System Subtype],FALSE)</f>
        <v>0</v>
      </c>
      <c r="H173">
        <f>_xlfn.XLOOKUP(Table4[[#This Row],[Base System]],BASE_SYSTEM_TABLE[System Name],BASE_SYSTEM_TABLE[Construction Type (Framed or Planar)],FALSE)</f>
        <v>0</v>
      </c>
      <c r="I173" t="e">
        <f>GETPIVOTDATA("Sum of A1-A3 Fossil kg CO2e/m^2 wall area",'COMPONENT PIVOT REF'!$A$3,"System Name",Table4[[#This Row],[Base System]])</f>
        <v>#REF!</v>
      </c>
      <c r="J173" t="e">
        <f>GETPIVOTDATA("Sum of  R value (m^2-K/W)",'COMPONENT PIVOT REF'!$A$3,"System Name",Table4[[#This Row],[Base System]])</f>
        <v>#REF!</v>
      </c>
      <c r="K173" t="e">
        <f>GETPIVOTDATA("Sum of Total Mass per m^2 (kg)",'COMPONENT PIVOT REF'!$A$3,"System Name",Table4[[#This Row],[Base System]])</f>
        <v>#REF!</v>
      </c>
      <c r="M173">
        <f>_xlfn.XLOOKUP(Table4[[#This Row],[Ext Finish]],Master_Table4[System Name],Master_Table4[System Name (Short)],FALSE)</f>
        <v>0</v>
      </c>
      <c r="N173">
        <f>_xlfn.XLOOKUP(Table4[[#This Row],[Ext Finish]],Master_Table4[System Name],Master_Table4[Compatible Systems],FALSE)</f>
        <v>0</v>
      </c>
      <c r="O173" t="str">
        <f>IF(ISNUMBER(SEARCH(Table4[[#This Row],[MMC Method]],Table4[[#This Row],[Compatible Systems]])),"YES","NO")</f>
        <v>YES</v>
      </c>
      <c r="P173" t="e">
        <f>GETPIVOTDATA("Sum of A1-A3 Fossil kg CO2e/m^2 wall area",'COMPONENT PIVOT REF'!$I$3,"System Name",Table4[[#This Row],[Ext Finish]])</f>
        <v>#REF!</v>
      </c>
      <c r="Q173" t="e">
        <f>GETPIVOTDATA("Sum of  R value (m^2-K/W)",'COMPONENT PIVOT REF'!$I$3,"System Name",Table4[[#This Row],[Ext Finish]])</f>
        <v>#REF!</v>
      </c>
      <c r="R173" t="e">
        <f>GETPIVOTDATA("Sum of Total Mass per m^2 (kg)",'COMPONENT PIVOT REF'!$I$3,"System Name",Table4[[#This Row],[Ext Finish]])</f>
        <v>#REF!</v>
      </c>
      <c r="T173">
        <f>_xlfn.XLOOKUP(Table4[[#This Row],[Int Finish]],Master_Table6[System Name],Master_Table6[System Name (Short)],FALSE)</f>
        <v>0</v>
      </c>
      <c r="U173" t="e">
        <f>GETPIVOTDATA("Sum of A1-A3 Fossil kg CO2e/m^2 wall area",'COMPONENT PIVOT REF'!$P$3,"System Name",Table4[[#This Row],[Int Finish]])</f>
        <v>#REF!</v>
      </c>
      <c r="V173" t="e">
        <f>GETPIVOTDATA("Sum of  R value (m^2-K/W)",'COMPONENT PIVOT REF'!$P$3,"System Name",Table4[[#This Row],[Int Finish]])</f>
        <v>#REF!</v>
      </c>
      <c r="W173" t="e">
        <f>GETPIVOTDATA("Sum of Total Mass per m^2 (kg)",'COMPONENT PIVOT REF'!$P$3,"System Name",Table4[[#This Row],[Int Finish]])</f>
        <v>#REF!</v>
      </c>
      <c r="X173" t="e">
        <f>Table4[[#This Row],[Ext Finish GWP]]+Table4[[#This Row],[Base GWP]]+Table4[[#This Row],[Int Finish GWP]]</f>
        <v>#REF!</v>
      </c>
      <c r="Y173" t="e">
        <f>Table4[[#This Row],[Ext Finish R Value]]+Table4[[#This Row],[Base R Value]]+Table4[[#This Row],[Int Finish R Value]]</f>
        <v>#REF!</v>
      </c>
      <c r="Z173" t="e">
        <f>1/Table4[[#This Row],[Total R value]]</f>
        <v>#REF!</v>
      </c>
      <c r="AA173" t="e">
        <f>Table4[[#This Row],[Int Finish Mass]]+Table4[[#This Row],[Ext Finish Mass]]+Table4[[#This Row],[Base Mass]]</f>
        <v>#REF!</v>
      </c>
    </row>
    <row r="174" spans="3:27" x14ac:dyDescent="0.35">
      <c r="C174" t="str">
        <f>_xlfn.CONCAT(Table4[[#This Row],[System Name (Short)]],"_",Table4[[#This Row],[Ext Finish Name (Short)]],"_",Table4[[#This Row],[Int Finish Name (Short)]])</f>
        <v>0_0_0</v>
      </c>
      <c r="E174">
        <f>_xlfn.XLOOKUP(Table4[[#This Row],[Base System]],BASE_SYSTEM_TABLE[System Name],BASE_SYSTEM_TABLE[System Name (Short)],FALSE)</f>
        <v>0</v>
      </c>
      <c r="F174">
        <f>_xlfn.XLOOKUP(Table4[[#This Row],[Base System]],BASE_SYSTEM_TABLE[System Name],BASE_SYSTEM_TABLE[System Type],FALSE)</f>
        <v>0</v>
      </c>
      <c r="G174">
        <f>_xlfn.XLOOKUP(Table4[[#This Row],[Base System]],BASE_SYSTEM_TABLE[System Name],BASE_SYSTEM_TABLE[System Subtype],FALSE)</f>
        <v>0</v>
      </c>
      <c r="H174">
        <f>_xlfn.XLOOKUP(Table4[[#This Row],[Base System]],BASE_SYSTEM_TABLE[System Name],BASE_SYSTEM_TABLE[Construction Type (Framed or Planar)],FALSE)</f>
        <v>0</v>
      </c>
      <c r="I174" t="e">
        <f>GETPIVOTDATA("Sum of A1-A3 Fossil kg CO2e/m^2 wall area",'COMPONENT PIVOT REF'!$A$3,"System Name",Table4[[#This Row],[Base System]])</f>
        <v>#REF!</v>
      </c>
      <c r="J174" t="e">
        <f>GETPIVOTDATA("Sum of  R value (m^2-K/W)",'COMPONENT PIVOT REF'!$A$3,"System Name",Table4[[#This Row],[Base System]])</f>
        <v>#REF!</v>
      </c>
      <c r="K174" t="e">
        <f>GETPIVOTDATA("Sum of Total Mass per m^2 (kg)",'COMPONENT PIVOT REF'!$A$3,"System Name",Table4[[#This Row],[Base System]])</f>
        <v>#REF!</v>
      </c>
      <c r="M174">
        <f>_xlfn.XLOOKUP(Table4[[#This Row],[Ext Finish]],Master_Table4[System Name],Master_Table4[System Name (Short)],FALSE)</f>
        <v>0</v>
      </c>
      <c r="N174">
        <f>_xlfn.XLOOKUP(Table4[[#This Row],[Ext Finish]],Master_Table4[System Name],Master_Table4[Compatible Systems],FALSE)</f>
        <v>0</v>
      </c>
      <c r="O174" t="str">
        <f>IF(ISNUMBER(SEARCH(Table4[[#This Row],[MMC Method]],Table4[[#This Row],[Compatible Systems]])),"YES","NO")</f>
        <v>YES</v>
      </c>
      <c r="P174" t="e">
        <f>GETPIVOTDATA("Sum of A1-A3 Fossil kg CO2e/m^2 wall area",'COMPONENT PIVOT REF'!$I$3,"System Name",Table4[[#This Row],[Ext Finish]])</f>
        <v>#REF!</v>
      </c>
      <c r="Q174" t="e">
        <f>GETPIVOTDATA("Sum of  R value (m^2-K/W)",'COMPONENT PIVOT REF'!$I$3,"System Name",Table4[[#This Row],[Ext Finish]])</f>
        <v>#REF!</v>
      </c>
      <c r="R174" t="e">
        <f>GETPIVOTDATA("Sum of Total Mass per m^2 (kg)",'COMPONENT PIVOT REF'!$I$3,"System Name",Table4[[#This Row],[Ext Finish]])</f>
        <v>#REF!</v>
      </c>
      <c r="T174">
        <f>_xlfn.XLOOKUP(Table4[[#This Row],[Int Finish]],Master_Table6[System Name],Master_Table6[System Name (Short)],FALSE)</f>
        <v>0</v>
      </c>
      <c r="U174" t="e">
        <f>GETPIVOTDATA("Sum of A1-A3 Fossil kg CO2e/m^2 wall area",'COMPONENT PIVOT REF'!$P$3,"System Name",Table4[[#This Row],[Int Finish]])</f>
        <v>#REF!</v>
      </c>
      <c r="V174" t="e">
        <f>GETPIVOTDATA("Sum of  R value (m^2-K/W)",'COMPONENT PIVOT REF'!$P$3,"System Name",Table4[[#This Row],[Int Finish]])</f>
        <v>#REF!</v>
      </c>
      <c r="W174" t="e">
        <f>GETPIVOTDATA("Sum of Total Mass per m^2 (kg)",'COMPONENT PIVOT REF'!$P$3,"System Name",Table4[[#This Row],[Int Finish]])</f>
        <v>#REF!</v>
      </c>
      <c r="X174" t="e">
        <f>Table4[[#This Row],[Ext Finish GWP]]+Table4[[#This Row],[Base GWP]]+Table4[[#This Row],[Int Finish GWP]]</f>
        <v>#REF!</v>
      </c>
      <c r="Y174" t="e">
        <f>Table4[[#This Row],[Ext Finish R Value]]+Table4[[#This Row],[Base R Value]]+Table4[[#This Row],[Int Finish R Value]]</f>
        <v>#REF!</v>
      </c>
      <c r="Z174" t="e">
        <f>1/Table4[[#This Row],[Total R value]]</f>
        <v>#REF!</v>
      </c>
      <c r="AA174" t="e">
        <f>Table4[[#This Row],[Int Finish Mass]]+Table4[[#This Row],[Ext Finish Mass]]+Table4[[#This Row],[Base Mass]]</f>
        <v>#REF!</v>
      </c>
    </row>
    <row r="175" spans="3:27" x14ac:dyDescent="0.35">
      <c r="C175" t="str">
        <f>_xlfn.CONCAT(Table4[[#This Row],[System Name (Short)]],"_",Table4[[#This Row],[Ext Finish Name (Short)]],"_",Table4[[#This Row],[Int Finish Name (Short)]])</f>
        <v>0_0_0</v>
      </c>
      <c r="E175">
        <f>_xlfn.XLOOKUP(Table4[[#This Row],[Base System]],BASE_SYSTEM_TABLE[System Name],BASE_SYSTEM_TABLE[System Name (Short)],FALSE)</f>
        <v>0</v>
      </c>
      <c r="F175">
        <f>_xlfn.XLOOKUP(Table4[[#This Row],[Base System]],BASE_SYSTEM_TABLE[System Name],BASE_SYSTEM_TABLE[System Type],FALSE)</f>
        <v>0</v>
      </c>
      <c r="G175">
        <f>_xlfn.XLOOKUP(Table4[[#This Row],[Base System]],BASE_SYSTEM_TABLE[System Name],BASE_SYSTEM_TABLE[System Subtype],FALSE)</f>
        <v>0</v>
      </c>
      <c r="H175">
        <f>_xlfn.XLOOKUP(Table4[[#This Row],[Base System]],BASE_SYSTEM_TABLE[System Name],BASE_SYSTEM_TABLE[Construction Type (Framed or Planar)],FALSE)</f>
        <v>0</v>
      </c>
      <c r="I175" t="e">
        <f>GETPIVOTDATA("Sum of A1-A3 Fossil kg CO2e/m^2 wall area",'COMPONENT PIVOT REF'!$A$3,"System Name",Table4[[#This Row],[Base System]])</f>
        <v>#REF!</v>
      </c>
      <c r="J175" t="e">
        <f>GETPIVOTDATA("Sum of  R value (m^2-K/W)",'COMPONENT PIVOT REF'!$A$3,"System Name",Table4[[#This Row],[Base System]])</f>
        <v>#REF!</v>
      </c>
      <c r="K175" t="e">
        <f>GETPIVOTDATA("Sum of Total Mass per m^2 (kg)",'COMPONENT PIVOT REF'!$A$3,"System Name",Table4[[#This Row],[Base System]])</f>
        <v>#REF!</v>
      </c>
      <c r="M175">
        <f>_xlfn.XLOOKUP(Table4[[#This Row],[Ext Finish]],Master_Table4[System Name],Master_Table4[System Name (Short)],FALSE)</f>
        <v>0</v>
      </c>
      <c r="N175">
        <f>_xlfn.XLOOKUP(Table4[[#This Row],[Ext Finish]],Master_Table4[System Name],Master_Table4[Compatible Systems],FALSE)</f>
        <v>0</v>
      </c>
      <c r="O175" t="str">
        <f>IF(ISNUMBER(SEARCH(Table4[[#This Row],[MMC Method]],Table4[[#This Row],[Compatible Systems]])),"YES","NO")</f>
        <v>YES</v>
      </c>
      <c r="P175" t="e">
        <f>GETPIVOTDATA("Sum of A1-A3 Fossil kg CO2e/m^2 wall area",'COMPONENT PIVOT REF'!$I$3,"System Name",Table4[[#This Row],[Ext Finish]])</f>
        <v>#REF!</v>
      </c>
      <c r="Q175" t="e">
        <f>GETPIVOTDATA("Sum of  R value (m^2-K/W)",'COMPONENT PIVOT REF'!$I$3,"System Name",Table4[[#This Row],[Ext Finish]])</f>
        <v>#REF!</v>
      </c>
      <c r="R175" t="e">
        <f>GETPIVOTDATA("Sum of Total Mass per m^2 (kg)",'COMPONENT PIVOT REF'!$I$3,"System Name",Table4[[#This Row],[Ext Finish]])</f>
        <v>#REF!</v>
      </c>
      <c r="T175">
        <f>_xlfn.XLOOKUP(Table4[[#This Row],[Int Finish]],Master_Table6[System Name],Master_Table6[System Name (Short)],FALSE)</f>
        <v>0</v>
      </c>
      <c r="U175" t="e">
        <f>GETPIVOTDATA("Sum of A1-A3 Fossil kg CO2e/m^2 wall area",'COMPONENT PIVOT REF'!$P$3,"System Name",Table4[[#This Row],[Int Finish]])</f>
        <v>#REF!</v>
      </c>
      <c r="V175" t="e">
        <f>GETPIVOTDATA("Sum of  R value (m^2-K/W)",'COMPONENT PIVOT REF'!$P$3,"System Name",Table4[[#This Row],[Int Finish]])</f>
        <v>#REF!</v>
      </c>
      <c r="W175" t="e">
        <f>GETPIVOTDATA("Sum of Total Mass per m^2 (kg)",'COMPONENT PIVOT REF'!$P$3,"System Name",Table4[[#This Row],[Int Finish]])</f>
        <v>#REF!</v>
      </c>
      <c r="X175" t="e">
        <f>Table4[[#This Row],[Ext Finish GWP]]+Table4[[#This Row],[Base GWP]]+Table4[[#This Row],[Int Finish GWP]]</f>
        <v>#REF!</v>
      </c>
      <c r="Y175" t="e">
        <f>Table4[[#This Row],[Ext Finish R Value]]+Table4[[#This Row],[Base R Value]]+Table4[[#This Row],[Int Finish R Value]]</f>
        <v>#REF!</v>
      </c>
      <c r="Z175" t="e">
        <f>1/Table4[[#This Row],[Total R value]]</f>
        <v>#REF!</v>
      </c>
      <c r="AA175" t="e">
        <f>Table4[[#This Row],[Int Finish Mass]]+Table4[[#This Row],[Ext Finish Mass]]+Table4[[#This Row],[Base Mass]]</f>
        <v>#REF!</v>
      </c>
    </row>
    <row r="176" spans="3:27" x14ac:dyDescent="0.35">
      <c r="C176" t="str">
        <f>_xlfn.CONCAT(Table4[[#This Row],[System Name (Short)]],"_",Table4[[#This Row],[Ext Finish Name (Short)]],"_",Table4[[#This Row],[Int Finish Name (Short)]])</f>
        <v>0_0_0</v>
      </c>
      <c r="E176">
        <f>_xlfn.XLOOKUP(Table4[[#This Row],[Base System]],BASE_SYSTEM_TABLE[System Name],BASE_SYSTEM_TABLE[System Name (Short)],FALSE)</f>
        <v>0</v>
      </c>
      <c r="F176">
        <f>_xlfn.XLOOKUP(Table4[[#This Row],[Base System]],BASE_SYSTEM_TABLE[System Name],BASE_SYSTEM_TABLE[System Type],FALSE)</f>
        <v>0</v>
      </c>
      <c r="G176">
        <f>_xlfn.XLOOKUP(Table4[[#This Row],[Base System]],BASE_SYSTEM_TABLE[System Name],BASE_SYSTEM_TABLE[System Subtype],FALSE)</f>
        <v>0</v>
      </c>
      <c r="H176">
        <f>_xlfn.XLOOKUP(Table4[[#This Row],[Base System]],BASE_SYSTEM_TABLE[System Name],BASE_SYSTEM_TABLE[Construction Type (Framed or Planar)],FALSE)</f>
        <v>0</v>
      </c>
      <c r="I176" t="e">
        <f>GETPIVOTDATA("Sum of A1-A3 Fossil kg CO2e/m^2 wall area",'COMPONENT PIVOT REF'!$A$3,"System Name",Table4[[#This Row],[Base System]])</f>
        <v>#REF!</v>
      </c>
      <c r="J176" t="e">
        <f>GETPIVOTDATA("Sum of  R value (m^2-K/W)",'COMPONENT PIVOT REF'!$A$3,"System Name",Table4[[#This Row],[Base System]])</f>
        <v>#REF!</v>
      </c>
      <c r="K176" t="e">
        <f>GETPIVOTDATA("Sum of Total Mass per m^2 (kg)",'COMPONENT PIVOT REF'!$A$3,"System Name",Table4[[#This Row],[Base System]])</f>
        <v>#REF!</v>
      </c>
      <c r="M176">
        <f>_xlfn.XLOOKUP(Table4[[#This Row],[Ext Finish]],Master_Table4[System Name],Master_Table4[System Name (Short)],FALSE)</f>
        <v>0</v>
      </c>
      <c r="N176">
        <f>_xlfn.XLOOKUP(Table4[[#This Row],[Ext Finish]],Master_Table4[System Name],Master_Table4[Compatible Systems],FALSE)</f>
        <v>0</v>
      </c>
      <c r="O176" t="str">
        <f>IF(ISNUMBER(SEARCH(Table4[[#This Row],[MMC Method]],Table4[[#This Row],[Compatible Systems]])),"YES","NO")</f>
        <v>YES</v>
      </c>
      <c r="P176" t="e">
        <f>GETPIVOTDATA("Sum of A1-A3 Fossil kg CO2e/m^2 wall area",'COMPONENT PIVOT REF'!$I$3,"System Name",Table4[[#This Row],[Ext Finish]])</f>
        <v>#REF!</v>
      </c>
      <c r="Q176" t="e">
        <f>GETPIVOTDATA("Sum of  R value (m^2-K/W)",'COMPONENT PIVOT REF'!$I$3,"System Name",Table4[[#This Row],[Ext Finish]])</f>
        <v>#REF!</v>
      </c>
      <c r="R176" t="e">
        <f>GETPIVOTDATA("Sum of Total Mass per m^2 (kg)",'COMPONENT PIVOT REF'!$I$3,"System Name",Table4[[#This Row],[Ext Finish]])</f>
        <v>#REF!</v>
      </c>
      <c r="T176">
        <f>_xlfn.XLOOKUP(Table4[[#This Row],[Int Finish]],Master_Table6[System Name],Master_Table6[System Name (Short)],FALSE)</f>
        <v>0</v>
      </c>
      <c r="U176" t="e">
        <f>GETPIVOTDATA("Sum of A1-A3 Fossil kg CO2e/m^2 wall area",'COMPONENT PIVOT REF'!$P$3,"System Name",Table4[[#This Row],[Int Finish]])</f>
        <v>#REF!</v>
      </c>
      <c r="V176" t="e">
        <f>GETPIVOTDATA("Sum of  R value (m^2-K/W)",'COMPONENT PIVOT REF'!$P$3,"System Name",Table4[[#This Row],[Int Finish]])</f>
        <v>#REF!</v>
      </c>
      <c r="W176" t="e">
        <f>GETPIVOTDATA("Sum of Total Mass per m^2 (kg)",'COMPONENT PIVOT REF'!$P$3,"System Name",Table4[[#This Row],[Int Finish]])</f>
        <v>#REF!</v>
      </c>
      <c r="X176" t="e">
        <f>Table4[[#This Row],[Ext Finish GWP]]+Table4[[#This Row],[Base GWP]]+Table4[[#This Row],[Int Finish GWP]]</f>
        <v>#REF!</v>
      </c>
      <c r="Y176" t="e">
        <f>Table4[[#This Row],[Ext Finish R Value]]+Table4[[#This Row],[Base R Value]]+Table4[[#This Row],[Int Finish R Value]]</f>
        <v>#REF!</v>
      </c>
      <c r="Z176" t="e">
        <f>1/Table4[[#This Row],[Total R value]]</f>
        <v>#REF!</v>
      </c>
      <c r="AA176" t="e">
        <f>Table4[[#This Row],[Int Finish Mass]]+Table4[[#This Row],[Ext Finish Mass]]+Table4[[#This Row],[Base Mass]]</f>
        <v>#REF!</v>
      </c>
    </row>
    <row r="177" spans="3:27" x14ac:dyDescent="0.35">
      <c r="C177" t="str">
        <f>_xlfn.CONCAT(Table4[[#This Row],[System Name (Short)]],"_",Table4[[#This Row],[Ext Finish Name (Short)]],"_",Table4[[#This Row],[Int Finish Name (Short)]])</f>
        <v>0_0_0</v>
      </c>
      <c r="E177">
        <f>_xlfn.XLOOKUP(Table4[[#This Row],[Base System]],BASE_SYSTEM_TABLE[System Name],BASE_SYSTEM_TABLE[System Name (Short)],FALSE)</f>
        <v>0</v>
      </c>
      <c r="F177">
        <f>_xlfn.XLOOKUP(Table4[[#This Row],[Base System]],BASE_SYSTEM_TABLE[System Name],BASE_SYSTEM_TABLE[System Type],FALSE)</f>
        <v>0</v>
      </c>
      <c r="G177">
        <f>_xlfn.XLOOKUP(Table4[[#This Row],[Base System]],BASE_SYSTEM_TABLE[System Name],BASE_SYSTEM_TABLE[System Subtype],FALSE)</f>
        <v>0</v>
      </c>
      <c r="H177">
        <f>_xlfn.XLOOKUP(Table4[[#This Row],[Base System]],BASE_SYSTEM_TABLE[System Name],BASE_SYSTEM_TABLE[Construction Type (Framed or Planar)],FALSE)</f>
        <v>0</v>
      </c>
      <c r="I177" t="e">
        <f>GETPIVOTDATA("Sum of A1-A3 Fossil kg CO2e/m^2 wall area",'COMPONENT PIVOT REF'!$A$3,"System Name",Table4[[#This Row],[Base System]])</f>
        <v>#REF!</v>
      </c>
      <c r="J177" t="e">
        <f>GETPIVOTDATA("Sum of  R value (m^2-K/W)",'COMPONENT PIVOT REF'!$A$3,"System Name",Table4[[#This Row],[Base System]])</f>
        <v>#REF!</v>
      </c>
      <c r="K177" t="e">
        <f>GETPIVOTDATA("Sum of Total Mass per m^2 (kg)",'COMPONENT PIVOT REF'!$A$3,"System Name",Table4[[#This Row],[Base System]])</f>
        <v>#REF!</v>
      </c>
      <c r="M177">
        <f>_xlfn.XLOOKUP(Table4[[#This Row],[Ext Finish]],Master_Table4[System Name],Master_Table4[System Name (Short)],FALSE)</f>
        <v>0</v>
      </c>
      <c r="N177">
        <f>_xlfn.XLOOKUP(Table4[[#This Row],[Ext Finish]],Master_Table4[System Name],Master_Table4[Compatible Systems],FALSE)</f>
        <v>0</v>
      </c>
      <c r="O177" t="str">
        <f>IF(ISNUMBER(SEARCH(Table4[[#This Row],[MMC Method]],Table4[[#This Row],[Compatible Systems]])),"YES","NO")</f>
        <v>YES</v>
      </c>
      <c r="P177" t="e">
        <f>GETPIVOTDATA("Sum of A1-A3 Fossil kg CO2e/m^2 wall area",'COMPONENT PIVOT REF'!$I$3,"System Name",Table4[[#This Row],[Ext Finish]])</f>
        <v>#REF!</v>
      </c>
      <c r="Q177" t="e">
        <f>GETPIVOTDATA("Sum of  R value (m^2-K/W)",'COMPONENT PIVOT REF'!$I$3,"System Name",Table4[[#This Row],[Ext Finish]])</f>
        <v>#REF!</v>
      </c>
      <c r="R177" t="e">
        <f>GETPIVOTDATA("Sum of Total Mass per m^2 (kg)",'COMPONENT PIVOT REF'!$I$3,"System Name",Table4[[#This Row],[Ext Finish]])</f>
        <v>#REF!</v>
      </c>
      <c r="T177">
        <f>_xlfn.XLOOKUP(Table4[[#This Row],[Int Finish]],Master_Table6[System Name],Master_Table6[System Name (Short)],FALSE)</f>
        <v>0</v>
      </c>
      <c r="U177" t="e">
        <f>GETPIVOTDATA("Sum of A1-A3 Fossil kg CO2e/m^2 wall area",'COMPONENT PIVOT REF'!$P$3,"System Name",Table4[[#This Row],[Int Finish]])</f>
        <v>#REF!</v>
      </c>
      <c r="V177" t="e">
        <f>GETPIVOTDATA("Sum of  R value (m^2-K/W)",'COMPONENT PIVOT REF'!$P$3,"System Name",Table4[[#This Row],[Int Finish]])</f>
        <v>#REF!</v>
      </c>
      <c r="W177" t="e">
        <f>GETPIVOTDATA("Sum of Total Mass per m^2 (kg)",'COMPONENT PIVOT REF'!$P$3,"System Name",Table4[[#This Row],[Int Finish]])</f>
        <v>#REF!</v>
      </c>
      <c r="X177" t="e">
        <f>Table4[[#This Row],[Ext Finish GWP]]+Table4[[#This Row],[Base GWP]]+Table4[[#This Row],[Int Finish GWP]]</f>
        <v>#REF!</v>
      </c>
      <c r="Y177" t="e">
        <f>Table4[[#This Row],[Ext Finish R Value]]+Table4[[#This Row],[Base R Value]]+Table4[[#This Row],[Int Finish R Value]]</f>
        <v>#REF!</v>
      </c>
      <c r="Z177" t="e">
        <f>1/Table4[[#This Row],[Total R value]]</f>
        <v>#REF!</v>
      </c>
      <c r="AA177" t="e">
        <f>Table4[[#This Row],[Int Finish Mass]]+Table4[[#This Row],[Ext Finish Mass]]+Table4[[#This Row],[Base Mass]]</f>
        <v>#REF!</v>
      </c>
    </row>
    <row r="178" spans="3:27" x14ac:dyDescent="0.35">
      <c r="C178" t="str">
        <f>_xlfn.CONCAT(Table4[[#This Row],[System Name (Short)]],"_",Table4[[#This Row],[Ext Finish Name (Short)]],"_",Table4[[#This Row],[Int Finish Name (Short)]])</f>
        <v>0_0_0</v>
      </c>
      <c r="E178">
        <f>_xlfn.XLOOKUP(Table4[[#This Row],[Base System]],BASE_SYSTEM_TABLE[System Name],BASE_SYSTEM_TABLE[System Name (Short)],FALSE)</f>
        <v>0</v>
      </c>
      <c r="F178">
        <f>_xlfn.XLOOKUP(Table4[[#This Row],[Base System]],BASE_SYSTEM_TABLE[System Name],BASE_SYSTEM_TABLE[System Type],FALSE)</f>
        <v>0</v>
      </c>
      <c r="G178">
        <f>_xlfn.XLOOKUP(Table4[[#This Row],[Base System]],BASE_SYSTEM_TABLE[System Name],BASE_SYSTEM_TABLE[System Subtype],FALSE)</f>
        <v>0</v>
      </c>
      <c r="H178">
        <f>_xlfn.XLOOKUP(Table4[[#This Row],[Base System]],BASE_SYSTEM_TABLE[System Name],BASE_SYSTEM_TABLE[Construction Type (Framed or Planar)],FALSE)</f>
        <v>0</v>
      </c>
      <c r="I178" t="e">
        <f>GETPIVOTDATA("Sum of A1-A3 Fossil kg CO2e/m^2 wall area",'COMPONENT PIVOT REF'!$A$3,"System Name",Table4[[#This Row],[Base System]])</f>
        <v>#REF!</v>
      </c>
      <c r="J178" t="e">
        <f>GETPIVOTDATA("Sum of  R value (m^2-K/W)",'COMPONENT PIVOT REF'!$A$3,"System Name",Table4[[#This Row],[Base System]])</f>
        <v>#REF!</v>
      </c>
      <c r="K178" t="e">
        <f>GETPIVOTDATA("Sum of Total Mass per m^2 (kg)",'COMPONENT PIVOT REF'!$A$3,"System Name",Table4[[#This Row],[Base System]])</f>
        <v>#REF!</v>
      </c>
      <c r="M178">
        <f>_xlfn.XLOOKUP(Table4[[#This Row],[Ext Finish]],Master_Table4[System Name],Master_Table4[System Name (Short)],FALSE)</f>
        <v>0</v>
      </c>
      <c r="N178">
        <f>_xlfn.XLOOKUP(Table4[[#This Row],[Ext Finish]],Master_Table4[System Name],Master_Table4[Compatible Systems],FALSE)</f>
        <v>0</v>
      </c>
      <c r="O178" t="str">
        <f>IF(ISNUMBER(SEARCH(Table4[[#This Row],[MMC Method]],Table4[[#This Row],[Compatible Systems]])),"YES","NO")</f>
        <v>YES</v>
      </c>
      <c r="P178" t="e">
        <f>GETPIVOTDATA("Sum of A1-A3 Fossil kg CO2e/m^2 wall area",'COMPONENT PIVOT REF'!$I$3,"System Name",Table4[[#This Row],[Ext Finish]])</f>
        <v>#REF!</v>
      </c>
      <c r="Q178" t="e">
        <f>GETPIVOTDATA("Sum of  R value (m^2-K/W)",'COMPONENT PIVOT REF'!$I$3,"System Name",Table4[[#This Row],[Ext Finish]])</f>
        <v>#REF!</v>
      </c>
      <c r="R178" t="e">
        <f>GETPIVOTDATA("Sum of Total Mass per m^2 (kg)",'COMPONENT PIVOT REF'!$I$3,"System Name",Table4[[#This Row],[Ext Finish]])</f>
        <v>#REF!</v>
      </c>
      <c r="T178">
        <f>_xlfn.XLOOKUP(Table4[[#This Row],[Int Finish]],Master_Table6[System Name],Master_Table6[System Name (Short)],FALSE)</f>
        <v>0</v>
      </c>
      <c r="U178" t="e">
        <f>GETPIVOTDATA("Sum of A1-A3 Fossil kg CO2e/m^2 wall area",'COMPONENT PIVOT REF'!$P$3,"System Name",Table4[[#This Row],[Int Finish]])</f>
        <v>#REF!</v>
      </c>
      <c r="V178" t="e">
        <f>GETPIVOTDATA("Sum of  R value (m^2-K/W)",'COMPONENT PIVOT REF'!$P$3,"System Name",Table4[[#This Row],[Int Finish]])</f>
        <v>#REF!</v>
      </c>
      <c r="W178" t="e">
        <f>GETPIVOTDATA("Sum of Total Mass per m^2 (kg)",'COMPONENT PIVOT REF'!$P$3,"System Name",Table4[[#This Row],[Int Finish]])</f>
        <v>#REF!</v>
      </c>
      <c r="X178" t="e">
        <f>Table4[[#This Row],[Ext Finish GWP]]+Table4[[#This Row],[Base GWP]]+Table4[[#This Row],[Int Finish GWP]]</f>
        <v>#REF!</v>
      </c>
      <c r="Y178" t="e">
        <f>Table4[[#This Row],[Ext Finish R Value]]+Table4[[#This Row],[Base R Value]]+Table4[[#This Row],[Int Finish R Value]]</f>
        <v>#REF!</v>
      </c>
      <c r="Z178" t="e">
        <f>1/Table4[[#This Row],[Total R value]]</f>
        <v>#REF!</v>
      </c>
      <c r="AA178" t="e">
        <f>Table4[[#This Row],[Int Finish Mass]]+Table4[[#This Row],[Ext Finish Mass]]+Table4[[#This Row],[Base Mass]]</f>
        <v>#REF!</v>
      </c>
    </row>
    <row r="179" spans="3:27" x14ac:dyDescent="0.35">
      <c r="C179" t="str">
        <f>_xlfn.CONCAT(Table4[[#This Row],[System Name (Short)]],"_",Table4[[#This Row],[Ext Finish Name (Short)]],"_",Table4[[#This Row],[Int Finish Name (Short)]])</f>
        <v>0_0_0</v>
      </c>
      <c r="E179">
        <f>_xlfn.XLOOKUP(Table4[[#This Row],[Base System]],BASE_SYSTEM_TABLE[System Name],BASE_SYSTEM_TABLE[System Name (Short)],FALSE)</f>
        <v>0</v>
      </c>
      <c r="F179">
        <f>_xlfn.XLOOKUP(Table4[[#This Row],[Base System]],BASE_SYSTEM_TABLE[System Name],BASE_SYSTEM_TABLE[System Type],FALSE)</f>
        <v>0</v>
      </c>
      <c r="G179">
        <f>_xlfn.XLOOKUP(Table4[[#This Row],[Base System]],BASE_SYSTEM_TABLE[System Name],BASE_SYSTEM_TABLE[System Subtype],FALSE)</f>
        <v>0</v>
      </c>
      <c r="H179">
        <f>_xlfn.XLOOKUP(Table4[[#This Row],[Base System]],BASE_SYSTEM_TABLE[System Name],BASE_SYSTEM_TABLE[Construction Type (Framed or Planar)],FALSE)</f>
        <v>0</v>
      </c>
      <c r="I179" t="e">
        <f>GETPIVOTDATA("Sum of A1-A3 Fossil kg CO2e/m^2 wall area",'COMPONENT PIVOT REF'!$A$3,"System Name",Table4[[#This Row],[Base System]])</f>
        <v>#REF!</v>
      </c>
      <c r="J179" t="e">
        <f>GETPIVOTDATA("Sum of  R value (m^2-K/W)",'COMPONENT PIVOT REF'!$A$3,"System Name",Table4[[#This Row],[Base System]])</f>
        <v>#REF!</v>
      </c>
      <c r="K179" t="e">
        <f>GETPIVOTDATA("Sum of Total Mass per m^2 (kg)",'COMPONENT PIVOT REF'!$A$3,"System Name",Table4[[#This Row],[Base System]])</f>
        <v>#REF!</v>
      </c>
      <c r="M179">
        <f>_xlfn.XLOOKUP(Table4[[#This Row],[Ext Finish]],Master_Table4[System Name],Master_Table4[System Name (Short)],FALSE)</f>
        <v>0</v>
      </c>
      <c r="N179">
        <f>_xlfn.XLOOKUP(Table4[[#This Row],[Ext Finish]],Master_Table4[System Name],Master_Table4[Compatible Systems],FALSE)</f>
        <v>0</v>
      </c>
      <c r="O179" t="str">
        <f>IF(ISNUMBER(SEARCH(Table4[[#This Row],[MMC Method]],Table4[[#This Row],[Compatible Systems]])),"YES","NO")</f>
        <v>YES</v>
      </c>
      <c r="P179" t="e">
        <f>GETPIVOTDATA("Sum of A1-A3 Fossil kg CO2e/m^2 wall area",'COMPONENT PIVOT REF'!$I$3,"System Name",Table4[[#This Row],[Ext Finish]])</f>
        <v>#REF!</v>
      </c>
      <c r="Q179" t="e">
        <f>GETPIVOTDATA("Sum of  R value (m^2-K/W)",'COMPONENT PIVOT REF'!$I$3,"System Name",Table4[[#This Row],[Ext Finish]])</f>
        <v>#REF!</v>
      </c>
      <c r="R179" t="e">
        <f>GETPIVOTDATA("Sum of Total Mass per m^2 (kg)",'COMPONENT PIVOT REF'!$I$3,"System Name",Table4[[#This Row],[Ext Finish]])</f>
        <v>#REF!</v>
      </c>
      <c r="T179">
        <f>_xlfn.XLOOKUP(Table4[[#This Row],[Int Finish]],Master_Table6[System Name],Master_Table6[System Name (Short)],FALSE)</f>
        <v>0</v>
      </c>
      <c r="U179" t="e">
        <f>GETPIVOTDATA("Sum of A1-A3 Fossil kg CO2e/m^2 wall area",'COMPONENT PIVOT REF'!$P$3,"System Name",Table4[[#This Row],[Int Finish]])</f>
        <v>#REF!</v>
      </c>
      <c r="V179" t="e">
        <f>GETPIVOTDATA("Sum of  R value (m^2-K/W)",'COMPONENT PIVOT REF'!$P$3,"System Name",Table4[[#This Row],[Int Finish]])</f>
        <v>#REF!</v>
      </c>
      <c r="W179" t="e">
        <f>GETPIVOTDATA("Sum of Total Mass per m^2 (kg)",'COMPONENT PIVOT REF'!$P$3,"System Name",Table4[[#This Row],[Int Finish]])</f>
        <v>#REF!</v>
      </c>
      <c r="X179" t="e">
        <f>Table4[[#This Row],[Ext Finish GWP]]+Table4[[#This Row],[Base GWP]]+Table4[[#This Row],[Int Finish GWP]]</f>
        <v>#REF!</v>
      </c>
      <c r="Y179" t="e">
        <f>Table4[[#This Row],[Ext Finish R Value]]+Table4[[#This Row],[Base R Value]]+Table4[[#This Row],[Int Finish R Value]]</f>
        <v>#REF!</v>
      </c>
      <c r="Z179" t="e">
        <f>1/Table4[[#This Row],[Total R value]]</f>
        <v>#REF!</v>
      </c>
      <c r="AA179" t="e">
        <f>Table4[[#This Row],[Int Finish Mass]]+Table4[[#This Row],[Ext Finish Mass]]+Table4[[#This Row],[Base Mass]]</f>
        <v>#REF!</v>
      </c>
    </row>
    <row r="180" spans="3:27" x14ac:dyDescent="0.35">
      <c r="C180" t="str">
        <f>_xlfn.CONCAT(Table4[[#This Row],[System Name (Short)]],"_",Table4[[#This Row],[Ext Finish Name (Short)]],"_",Table4[[#This Row],[Int Finish Name (Short)]])</f>
        <v>0_0_0</v>
      </c>
      <c r="E180">
        <f>_xlfn.XLOOKUP(Table4[[#This Row],[Base System]],BASE_SYSTEM_TABLE[System Name],BASE_SYSTEM_TABLE[System Name (Short)],FALSE)</f>
        <v>0</v>
      </c>
      <c r="F180">
        <f>_xlfn.XLOOKUP(Table4[[#This Row],[Base System]],BASE_SYSTEM_TABLE[System Name],BASE_SYSTEM_TABLE[System Type],FALSE)</f>
        <v>0</v>
      </c>
      <c r="G180">
        <f>_xlfn.XLOOKUP(Table4[[#This Row],[Base System]],BASE_SYSTEM_TABLE[System Name],BASE_SYSTEM_TABLE[System Subtype],FALSE)</f>
        <v>0</v>
      </c>
      <c r="H180">
        <f>_xlfn.XLOOKUP(Table4[[#This Row],[Base System]],BASE_SYSTEM_TABLE[System Name],BASE_SYSTEM_TABLE[Construction Type (Framed or Planar)],FALSE)</f>
        <v>0</v>
      </c>
      <c r="I180" t="e">
        <f>GETPIVOTDATA("Sum of A1-A3 Fossil kg CO2e/m^2 wall area",'COMPONENT PIVOT REF'!$A$3,"System Name",Table4[[#This Row],[Base System]])</f>
        <v>#REF!</v>
      </c>
      <c r="J180" t="e">
        <f>GETPIVOTDATA("Sum of  R value (m^2-K/W)",'COMPONENT PIVOT REF'!$A$3,"System Name",Table4[[#This Row],[Base System]])</f>
        <v>#REF!</v>
      </c>
      <c r="K180" t="e">
        <f>GETPIVOTDATA("Sum of Total Mass per m^2 (kg)",'COMPONENT PIVOT REF'!$A$3,"System Name",Table4[[#This Row],[Base System]])</f>
        <v>#REF!</v>
      </c>
      <c r="M180">
        <f>_xlfn.XLOOKUP(Table4[[#This Row],[Ext Finish]],Master_Table4[System Name],Master_Table4[System Name (Short)],FALSE)</f>
        <v>0</v>
      </c>
      <c r="N180">
        <f>_xlfn.XLOOKUP(Table4[[#This Row],[Ext Finish]],Master_Table4[System Name],Master_Table4[Compatible Systems],FALSE)</f>
        <v>0</v>
      </c>
      <c r="O180" t="str">
        <f>IF(ISNUMBER(SEARCH(Table4[[#This Row],[MMC Method]],Table4[[#This Row],[Compatible Systems]])),"YES","NO")</f>
        <v>YES</v>
      </c>
      <c r="P180" t="e">
        <f>GETPIVOTDATA("Sum of A1-A3 Fossil kg CO2e/m^2 wall area",'COMPONENT PIVOT REF'!$I$3,"System Name",Table4[[#This Row],[Ext Finish]])</f>
        <v>#REF!</v>
      </c>
      <c r="Q180" t="e">
        <f>GETPIVOTDATA("Sum of  R value (m^2-K/W)",'COMPONENT PIVOT REF'!$I$3,"System Name",Table4[[#This Row],[Ext Finish]])</f>
        <v>#REF!</v>
      </c>
      <c r="R180" t="e">
        <f>GETPIVOTDATA("Sum of Total Mass per m^2 (kg)",'COMPONENT PIVOT REF'!$I$3,"System Name",Table4[[#This Row],[Ext Finish]])</f>
        <v>#REF!</v>
      </c>
      <c r="T180">
        <f>_xlfn.XLOOKUP(Table4[[#This Row],[Int Finish]],Master_Table6[System Name],Master_Table6[System Name (Short)],FALSE)</f>
        <v>0</v>
      </c>
      <c r="U180" t="e">
        <f>GETPIVOTDATA("Sum of A1-A3 Fossil kg CO2e/m^2 wall area",'COMPONENT PIVOT REF'!$P$3,"System Name",Table4[[#This Row],[Int Finish]])</f>
        <v>#REF!</v>
      </c>
      <c r="V180" t="e">
        <f>GETPIVOTDATA("Sum of  R value (m^2-K/W)",'COMPONENT PIVOT REF'!$P$3,"System Name",Table4[[#This Row],[Int Finish]])</f>
        <v>#REF!</v>
      </c>
      <c r="W180" t="e">
        <f>GETPIVOTDATA("Sum of Total Mass per m^2 (kg)",'COMPONENT PIVOT REF'!$P$3,"System Name",Table4[[#This Row],[Int Finish]])</f>
        <v>#REF!</v>
      </c>
      <c r="X180" t="e">
        <f>Table4[[#This Row],[Ext Finish GWP]]+Table4[[#This Row],[Base GWP]]+Table4[[#This Row],[Int Finish GWP]]</f>
        <v>#REF!</v>
      </c>
      <c r="Y180" t="e">
        <f>Table4[[#This Row],[Ext Finish R Value]]+Table4[[#This Row],[Base R Value]]+Table4[[#This Row],[Int Finish R Value]]</f>
        <v>#REF!</v>
      </c>
      <c r="Z180" t="e">
        <f>1/Table4[[#This Row],[Total R value]]</f>
        <v>#REF!</v>
      </c>
      <c r="AA180" t="e">
        <f>Table4[[#This Row],[Int Finish Mass]]+Table4[[#This Row],[Ext Finish Mass]]+Table4[[#This Row],[Base Mass]]</f>
        <v>#REF!</v>
      </c>
    </row>
    <row r="181" spans="3:27" x14ac:dyDescent="0.35">
      <c r="C181" t="str">
        <f>_xlfn.CONCAT(Table4[[#This Row],[System Name (Short)]],"_",Table4[[#This Row],[Ext Finish Name (Short)]],"_",Table4[[#This Row],[Int Finish Name (Short)]])</f>
        <v>0_0_0</v>
      </c>
      <c r="E181">
        <f>_xlfn.XLOOKUP(Table4[[#This Row],[Base System]],BASE_SYSTEM_TABLE[System Name],BASE_SYSTEM_TABLE[System Name (Short)],FALSE)</f>
        <v>0</v>
      </c>
      <c r="F181">
        <f>_xlfn.XLOOKUP(Table4[[#This Row],[Base System]],BASE_SYSTEM_TABLE[System Name],BASE_SYSTEM_TABLE[System Type],FALSE)</f>
        <v>0</v>
      </c>
      <c r="G181">
        <f>_xlfn.XLOOKUP(Table4[[#This Row],[Base System]],BASE_SYSTEM_TABLE[System Name],BASE_SYSTEM_TABLE[System Subtype],FALSE)</f>
        <v>0</v>
      </c>
      <c r="H181">
        <f>_xlfn.XLOOKUP(Table4[[#This Row],[Base System]],BASE_SYSTEM_TABLE[System Name],BASE_SYSTEM_TABLE[Construction Type (Framed or Planar)],FALSE)</f>
        <v>0</v>
      </c>
      <c r="I181" t="e">
        <f>GETPIVOTDATA("Sum of A1-A3 Fossil kg CO2e/m^2 wall area",'COMPONENT PIVOT REF'!$A$3,"System Name",Table4[[#This Row],[Base System]])</f>
        <v>#REF!</v>
      </c>
      <c r="J181" t="e">
        <f>GETPIVOTDATA("Sum of  R value (m^2-K/W)",'COMPONENT PIVOT REF'!$A$3,"System Name",Table4[[#This Row],[Base System]])</f>
        <v>#REF!</v>
      </c>
      <c r="K181" t="e">
        <f>GETPIVOTDATA("Sum of Total Mass per m^2 (kg)",'COMPONENT PIVOT REF'!$A$3,"System Name",Table4[[#This Row],[Base System]])</f>
        <v>#REF!</v>
      </c>
      <c r="M181">
        <f>_xlfn.XLOOKUP(Table4[[#This Row],[Ext Finish]],Master_Table4[System Name],Master_Table4[System Name (Short)],FALSE)</f>
        <v>0</v>
      </c>
      <c r="N181">
        <f>_xlfn.XLOOKUP(Table4[[#This Row],[Ext Finish]],Master_Table4[System Name],Master_Table4[Compatible Systems],FALSE)</f>
        <v>0</v>
      </c>
      <c r="O181" t="str">
        <f>IF(ISNUMBER(SEARCH(Table4[[#This Row],[MMC Method]],Table4[[#This Row],[Compatible Systems]])),"YES","NO")</f>
        <v>YES</v>
      </c>
      <c r="P181" t="e">
        <f>GETPIVOTDATA("Sum of A1-A3 Fossil kg CO2e/m^2 wall area",'COMPONENT PIVOT REF'!$I$3,"System Name",Table4[[#This Row],[Ext Finish]])</f>
        <v>#REF!</v>
      </c>
      <c r="Q181" t="e">
        <f>GETPIVOTDATA("Sum of  R value (m^2-K/W)",'COMPONENT PIVOT REF'!$I$3,"System Name",Table4[[#This Row],[Ext Finish]])</f>
        <v>#REF!</v>
      </c>
      <c r="R181" t="e">
        <f>GETPIVOTDATA("Sum of Total Mass per m^2 (kg)",'COMPONENT PIVOT REF'!$I$3,"System Name",Table4[[#This Row],[Ext Finish]])</f>
        <v>#REF!</v>
      </c>
      <c r="T181">
        <f>_xlfn.XLOOKUP(Table4[[#This Row],[Int Finish]],Master_Table6[System Name],Master_Table6[System Name (Short)],FALSE)</f>
        <v>0</v>
      </c>
      <c r="U181" t="e">
        <f>GETPIVOTDATA("Sum of A1-A3 Fossil kg CO2e/m^2 wall area",'COMPONENT PIVOT REF'!$P$3,"System Name",Table4[[#This Row],[Int Finish]])</f>
        <v>#REF!</v>
      </c>
      <c r="V181" t="e">
        <f>GETPIVOTDATA("Sum of  R value (m^2-K/W)",'COMPONENT PIVOT REF'!$P$3,"System Name",Table4[[#This Row],[Int Finish]])</f>
        <v>#REF!</v>
      </c>
      <c r="W181" t="e">
        <f>GETPIVOTDATA("Sum of Total Mass per m^2 (kg)",'COMPONENT PIVOT REF'!$P$3,"System Name",Table4[[#This Row],[Int Finish]])</f>
        <v>#REF!</v>
      </c>
      <c r="X181" t="e">
        <f>Table4[[#This Row],[Ext Finish GWP]]+Table4[[#This Row],[Base GWP]]+Table4[[#This Row],[Int Finish GWP]]</f>
        <v>#REF!</v>
      </c>
      <c r="Y181" t="e">
        <f>Table4[[#This Row],[Ext Finish R Value]]+Table4[[#This Row],[Base R Value]]+Table4[[#This Row],[Int Finish R Value]]</f>
        <v>#REF!</v>
      </c>
      <c r="Z181" t="e">
        <f>1/Table4[[#This Row],[Total R value]]</f>
        <v>#REF!</v>
      </c>
      <c r="AA181" t="e">
        <f>Table4[[#This Row],[Int Finish Mass]]+Table4[[#This Row],[Ext Finish Mass]]+Table4[[#This Row],[Base Mass]]</f>
        <v>#REF!</v>
      </c>
    </row>
    <row r="182" spans="3:27" x14ac:dyDescent="0.35">
      <c r="C182" t="str">
        <f>_xlfn.CONCAT(Table4[[#This Row],[System Name (Short)]],"_",Table4[[#This Row],[Ext Finish Name (Short)]],"_",Table4[[#This Row],[Int Finish Name (Short)]])</f>
        <v>0_0_0</v>
      </c>
      <c r="E182">
        <f>_xlfn.XLOOKUP(Table4[[#This Row],[Base System]],BASE_SYSTEM_TABLE[System Name],BASE_SYSTEM_TABLE[System Name (Short)],FALSE)</f>
        <v>0</v>
      </c>
      <c r="F182">
        <f>_xlfn.XLOOKUP(Table4[[#This Row],[Base System]],BASE_SYSTEM_TABLE[System Name],BASE_SYSTEM_TABLE[System Type],FALSE)</f>
        <v>0</v>
      </c>
      <c r="G182">
        <f>_xlfn.XLOOKUP(Table4[[#This Row],[Base System]],BASE_SYSTEM_TABLE[System Name],BASE_SYSTEM_TABLE[System Subtype],FALSE)</f>
        <v>0</v>
      </c>
      <c r="H182">
        <f>_xlfn.XLOOKUP(Table4[[#This Row],[Base System]],BASE_SYSTEM_TABLE[System Name],BASE_SYSTEM_TABLE[Construction Type (Framed or Planar)],FALSE)</f>
        <v>0</v>
      </c>
      <c r="I182" t="e">
        <f>GETPIVOTDATA("Sum of A1-A3 Fossil kg CO2e/m^2 wall area",'COMPONENT PIVOT REF'!$A$3,"System Name",Table4[[#This Row],[Base System]])</f>
        <v>#REF!</v>
      </c>
      <c r="J182" t="e">
        <f>GETPIVOTDATA("Sum of  R value (m^2-K/W)",'COMPONENT PIVOT REF'!$A$3,"System Name",Table4[[#This Row],[Base System]])</f>
        <v>#REF!</v>
      </c>
      <c r="K182" t="e">
        <f>GETPIVOTDATA("Sum of Total Mass per m^2 (kg)",'COMPONENT PIVOT REF'!$A$3,"System Name",Table4[[#This Row],[Base System]])</f>
        <v>#REF!</v>
      </c>
      <c r="M182">
        <f>_xlfn.XLOOKUP(Table4[[#This Row],[Ext Finish]],Master_Table4[System Name],Master_Table4[System Name (Short)],FALSE)</f>
        <v>0</v>
      </c>
      <c r="N182">
        <f>_xlfn.XLOOKUP(Table4[[#This Row],[Ext Finish]],Master_Table4[System Name],Master_Table4[Compatible Systems],FALSE)</f>
        <v>0</v>
      </c>
      <c r="O182" t="str">
        <f>IF(ISNUMBER(SEARCH(Table4[[#This Row],[MMC Method]],Table4[[#This Row],[Compatible Systems]])),"YES","NO")</f>
        <v>YES</v>
      </c>
      <c r="P182" t="e">
        <f>GETPIVOTDATA("Sum of A1-A3 Fossil kg CO2e/m^2 wall area",'COMPONENT PIVOT REF'!$I$3,"System Name",Table4[[#This Row],[Ext Finish]])</f>
        <v>#REF!</v>
      </c>
      <c r="Q182" t="e">
        <f>GETPIVOTDATA("Sum of  R value (m^2-K/W)",'COMPONENT PIVOT REF'!$I$3,"System Name",Table4[[#This Row],[Ext Finish]])</f>
        <v>#REF!</v>
      </c>
      <c r="R182" t="e">
        <f>GETPIVOTDATA("Sum of Total Mass per m^2 (kg)",'COMPONENT PIVOT REF'!$I$3,"System Name",Table4[[#This Row],[Ext Finish]])</f>
        <v>#REF!</v>
      </c>
      <c r="T182">
        <f>_xlfn.XLOOKUP(Table4[[#This Row],[Int Finish]],Master_Table6[System Name],Master_Table6[System Name (Short)],FALSE)</f>
        <v>0</v>
      </c>
      <c r="U182" t="e">
        <f>GETPIVOTDATA("Sum of A1-A3 Fossil kg CO2e/m^2 wall area",'COMPONENT PIVOT REF'!$P$3,"System Name",Table4[[#This Row],[Int Finish]])</f>
        <v>#REF!</v>
      </c>
      <c r="V182" t="e">
        <f>GETPIVOTDATA("Sum of  R value (m^2-K/W)",'COMPONENT PIVOT REF'!$P$3,"System Name",Table4[[#This Row],[Int Finish]])</f>
        <v>#REF!</v>
      </c>
      <c r="W182" t="e">
        <f>GETPIVOTDATA("Sum of Total Mass per m^2 (kg)",'COMPONENT PIVOT REF'!$P$3,"System Name",Table4[[#This Row],[Int Finish]])</f>
        <v>#REF!</v>
      </c>
      <c r="X182" t="e">
        <f>Table4[[#This Row],[Ext Finish GWP]]+Table4[[#This Row],[Base GWP]]+Table4[[#This Row],[Int Finish GWP]]</f>
        <v>#REF!</v>
      </c>
      <c r="Y182" t="e">
        <f>Table4[[#This Row],[Ext Finish R Value]]+Table4[[#This Row],[Base R Value]]+Table4[[#This Row],[Int Finish R Value]]</f>
        <v>#REF!</v>
      </c>
      <c r="Z182" t="e">
        <f>1/Table4[[#This Row],[Total R value]]</f>
        <v>#REF!</v>
      </c>
      <c r="AA182" t="e">
        <f>Table4[[#This Row],[Int Finish Mass]]+Table4[[#This Row],[Ext Finish Mass]]+Table4[[#This Row],[Base Mass]]</f>
        <v>#REF!</v>
      </c>
    </row>
    <row r="183" spans="3:27" x14ac:dyDescent="0.35">
      <c r="C183" t="str">
        <f>_xlfn.CONCAT(Table4[[#This Row],[System Name (Short)]],"_",Table4[[#This Row],[Ext Finish Name (Short)]],"_",Table4[[#This Row],[Int Finish Name (Short)]])</f>
        <v>0_0_0</v>
      </c>
      <c r="E183">
        <f>_xlfn.XLOOKUP(Table4[[#This Row],[Base System]],BASE_SYSTEM_TABLE[System Name],BASE_SYSTEM_TABLE[System Name (Short)],FALSE)</f>
        <v>0</v>
      </c>
      <c r="F183">
        <f>_xlfn.XLOOKUP(Table4[[#This Row],[Base System]],BASE_SYSTEM_TABLE[System Name],BASE_SYSTEM_TABLE[System Type],FALSE)</f>
        <v>0</v>
      </c>
      <c r="G183">
        <f>_xlfn.XLOOKUP(Table4[[#This Row],[Base System]],BASE_SYSTEM_TABLE[System Name],BASE_SYSTEM_TABLE[System Subtype],FALSE)</f>
        <v>0</v>
      </c>
      <c r="H183">
        <f>_xlfn.XLOOKUP(Table4[[#This Row],[Base System]],BASE_SYSTEM_TABLE[System Name],BASE_SYSTEM_TABLE[Construction Type (Framed or Planar)],FALSE)</f>
        <v>0</v>
      </c>
      <c r="I183" t="e">
        <f>GETPIVOTDATA("Sum of A1-A3 Fossil kg CO2e/m^2 wall area",'COMPONENT PIVOT REF'!$A$3,"System Name",Table4[[#This Row],[Base System]])</f>
        <v>#REF!</v>
      </c>
      <c r="J183" t="e">
        <f>GETPIVOTDATA("Sum of  R value (m^2-K/W)",'COMPONENT PIVOT REF'!$A$3,"System Name",Table4[[#This Row],[Base System]])</f>
        <v>#REF!</v>
      </c>
      <c r="K183" t="e">
        <f>GETPIVOTDATA("Sum of Total Mass per m^2 (kg)",'COMPONENT PIVOT REF'!$A$3,"System Name",Table4[[#This Row],[Base System]])</f>
        <v>#REF!</v>
      </c>
      <c r="M183">
        <f>_xlfn.XLOOKUP(Table4[[#This Row],[Ext Finish]],Master_Table4[System Name],Master_Table4[System Name (Short)],FALSE)</f>
        <v>0</v>
      </c>
      <c r="N183">
        <f>_xlfn.XLOOKUP(Table4[[#This Row],[Ext Finish]],Master_Table4[System Name],Master_Table4[Compatible Systems],FALSE)</f>
        <v>0</v>
      </c>
      <c r="O183" t="str">
        <f>IF(ISNUMBER(SEARCH(Table4[[#This Row],[MMC Method]],Table4[[#This Row],[Compatible Systems]])),"YES","NO")</f>
        <v>YES</v>
      </c>
      <c r="P183" t="e">
        <f>GETPIVOTDATA("Sum of A1-A3 Fossil kg CO2e/m^2 wall area",'COMPONENT PIVOT REF'!$I$3,"System Name",Table4[[#This Row],[Ext Finish]])</f>
        <v>#REF!</v>
      </c>
      <c r="Q183" t="e">
        <f>GETPIVOTDATA("Sum of  R value (m^2-K/W)",'COMPONENT PIVOT REF'!$I$3,"System Name",Table4[[#This Row],[Ext Finish]])</f>
        <v>#REF!</v>
      </c>
      <c r="R183" t="e">
        <f>GETPIVOTDATA("Sum of Total Mass per m^2 (kg)",'COMPONENT PIVOT REF'!$I$3,"System Name",Table4[[#This Row],[Ext Finish]])</f>
        <v>#REF!</v>
      </c>
      <c r="T183">
        <f>_xlfn.XLOOKUP(Table4[[#This Row],[Int Finish]],Master_Table6[System Name],Master_Table6[System Name (Short)],FALSE)</f>
        <v>0</v>
      </c>
      <c r="U183" t="e">
        <f>GETPIVOTDATA("Sum of A1-A3 Fossil kg CO2e/m^2 wall area",'COMPONENT PIVOT REF'!$P$3,"System Name",Table4[[#This Row],[Int Finish]])</f>
        <v>#REF!</v>
      </c>
      <c r="V183" t="e">
        <f>GETPIVOTDATA("Sum of  R value (m^2-K/W)",'COMPONENT PIVOT REF'!$P$3,"System Name",Table4[[#This Row],[Int Finish]])</f>
        <v>#REF!</v>
      </c>
      <c r="W183" t="e">
        <f>GETPIVOTDATA("Sum of Total Mass per m^2 (kg)",'COMPONENT PIVOT REF'!$P$3,"System Name",Table4[[#This Row],[Int Finish]])</f>
        <v>#REF!</v>
      </c>
      <c r="X183" t="e">
        <f>Table4[[#This Row],[Ext Finish GWP]]+Table4[[#This Row],[Base GWP]]+Table4[[#This Row],[Int Finish GWP]]</f>
        <v>#REF!</v>
      </c>
      <c r="Y183" t="e">
        <f>Table4[[#This Row],[Ext Finish R Value]]+Table4[[#This Row],[Base R Value]]+Table4[[#This Row],[Int Finish R Value]]</f>
        <v>#REF!</v>
      </c>
      <c r="Z183" t="e">
        <f>1/Table4[[#This Row],[Total R value]]</f>
        <v>#REF!</v>
      </c>
      <c r="AA183" t="e">
        <f>Table4[[#This Row],[Int Finish Mass]]+Table4[[#This Row],[Ext Finish Mass]]+Table4[[#This Row],[Base Mass]]</f>
        <v>#REF!</v>
      </c>
    </row>
    <row r="184" spans="3:27" x14ac:dyDescent="0.35">
      <c r="C184" t="str">
        <f>_xlfn.CONCAT(Table4[[#This Row],[System Name (Short)]],"_",Table4[[#This Row],[Ext Finish Name (Short)]],"_",Table4[[#This Row],[Int Finish Name (Short)]])</f>
        <v>0_0_0</v>
      </c>
      <c r="E184">
        <f>_xlfn.XLOOKUP(Table4[[#This Row],[Base System]],BASE_SYSTEM_TABLE[System Name],BASE_SYSTEM_TABLE[System Name (Short)],FALSE)</f>
        <v>0</v>
      </c>
      <c r="F184">
        <f>_xlfn.XLOOKUP(Table4[[#This Row],[Base System]],BASE_SYSTEM_TABLE[System Name],BASE_SYSTEM_TABLE[System Type],FALSE)</f>
        <v>0</v>
      </c>
      <c r="G184">
        <f>_xlfn.XLOOKUP(Table4[[#This Row],[Base System]],BASE_SYSTEM_TABLE[System Name],BASE_SYSTEM_TABLE[System Subtype],FALSE)</f>
        <v>0</v>
      </c>
      <c r="H184">
        <f>_xlfn.XLOOKUP(Table4[[#This Row],[Base System]],BASE_SYSTEM_TABLE[System Name],BASE_SYSTEM_TABLE[Construction Type (Framed or Planar)],FALSE)</f>
        <v>0</v>
      </c>
      <c r="I184" t="e">
        <f>GETPIVOTDATA("Sum of A1-A3 Fossil kg CO2e/m^2 wall area",'COMPONENT PIVOT REF'!$A$3,"System Name",Table4[[#This Row],[Base System]])</f>
        <v>#REF!</v>
      </c>
      <c r="J184" t="e">
        <f>GETPIVOTDATA("Sum of  R value (m^2-K/W)",'COMPONENT PIVOT REF'!$A$3,"System Name",Table4[[#This Row],[Base System]])</f>
        <v>#REF!</v>
      </c>
      <c r="K184" t="e">
        <f>GETPIVOTDATA("Sum of Total Mass per m^2 (kg)",'COMPONENT PIVOT REF'!$A$3,"System Name",Table4[[#This Row],[Base System]])</f>
        <v>#REF!</v>
      </c>
      <c r="M184">
        <f>_xlfn.XLOOKUP(Table4[[#This Row],[Ext Finish]],Master_Table4[System Name],Master_Table4[System Name (Short)],FALSE)</f>
        <v>0</v>
      </c>
      <c r="N184">
        <f>_xlfn.XLOOKUP(Table4[[#This Row],[Ext Finish]],Master_Table4[System Name],Master_Table4[Compatible Systems],FALSE)</f>
        <v>0</v>
      </c>
      <c r="O184" t="str">
        <f>IF(ISNUMBER(SEARCH(Table4[[#This Row],[MMC Method]],Table4[[#This Row],[Compatible Systems]])),"YES","NO")</f>
        <v>YES</v>
      </c>
      <c r="P184" t="e">
        <f>GETPIVOTDATA("Sum of A1-A3 Fossil kg CO2e/m^2 wall area",'COMPONENT PIVOT REF'!$I$3,"System Name",Table4[[#This Row],[Ext Finish]])</f>
        <v>#REF!</v>
      </c>
      <c r="Q184" t="e">
        <f>GETPIVOTDATA("Sum of  R value (m^2-K/W)",'COMPONENT PIVOT REF'!$I$3,"System Name",Table4[[#This Row],[Ext Finish]])</f>
        <v>#REF!</v>
      </c>
      <c r="R184" t="e">
        <f>GETPIVOTDATA("Sum of Total Mass per m^2 (kg)",'COMPONENT PIVOT REF'!$I$3,"System Name",Table4[[#This Row],[Ext Finish]])</f>
        <v>#REF!</v>
      </c>
      <c r="T184">
        <f>_xlfn.XLOOKUP(Table4[[#This Row],[Int Finish]],Master_Table6[System Name],Master_Table6[System Name (Short)],FALSE)</f>
        <v>0</v>
      </c>
      <c r="U184" t="e">
        <f>GETPIVOTDATA("Sum of A1-A3 Fossil kg CO2e/m^2 wall area",'COMPONENT PIVOT REF'!$P$3,"System Name",Table4[[#This Row],[Int Finish]])</f>
        <v>#REF!</v>
      </c>
      <c r="V184" t="e">
        <f>GETPIVOTDATA("Sum of  R value (m^2-K/W)",'COMPONENT PIVOT REF'!$P$3,"System Name",Table4[[#This Row],[Int Finish]])</f>
        <v>#REF!</v>
      </c>
      <c r="W184" t="e">
        <f>GETPIVOTDATA("Sum of Total Mass per m^2 (kg)",'COMPONENT PIVOT REF'!$P$3,"System Name",Table4[[#This Row],[Int Finish]])</f>
        <v>#REF!</v>
      </c>
      <c r="X184" t="e">
        <f>Table4[[#This Row],[Ext Finish GWP]]+Table4[[#This Row],[Base GWP]]+Table4[[#This Row],[Int Finish GWP]]</f>
        <v>#REF!</v>
      </c>
      <c r="Y184" t="e">
        <f>Table4[[#This Row],[Ext Finish R Value]]+Table4[[#This Row],[Base R Value]]+Table4[[#This Row],[Int Finish R Value]]</f>
        <v>#REF!</v>
      </c>
      <c r="Z184" t="e">
        <f>1/Table4[[#This Row],[Total R value]]</f>
        <v>#REF!</v>
      </c>
      <c r="AA184" t="e">
        <f>Table4[[#This Row],[Int Finish Mass]]+Table4[[#This Row],[Ext Finish Mass]]+Table4[[#This Row],[Base Mass]]</f>
        <v>#REF!</v>
      </c>
    </row>
    <row r="185" spans="3:27" x14ac:dyDescent="0.35">
      <c r="C185" t="str">
        <f>_xlfn.CONCAT(Table4[[#This Row],[System Name (Short)]],"_",Table4[[#This Row],[Ext Finish Name (Short)]],"_",Table4[[#This Row],[Int Finish Name (Short)]])</f>
        <v>0_0_0</v>
      </c>
      <c r="E185">
        <f>_xlfn.XLOOKUP(Table4[[#This Row],[Base System]],BASE_SYSTEM_TABLE[System Name],BASE_SYSTEM_TABLE[System Name (Short)],FALSE)</f>
        <v>0</v>
      </c>
      <c r="F185">
        <f>_xlfn.XLOOKUP(Table4[[#This Row],[Base System]],BASE_SYSTEM_TABLE[System Name],BASE_SYSTEM_TABLE[System Type],FALSE)</f>
        <v>0</v>
      </c>
      <c r="G185">
        <f>_xlfn.XLOOKUP(Table4[[#This Row],[Base System]],BASE_SYSTEM_TABLE[System Name],BASE_SYSTEM_TABLE[System Subtype],FALSE)</f>
        <v>0</v>
      </c>
      <c r="H185">
        <f>_xlfn.XLOOKUP(Table4[[#This Row],[Base System]],BASE_SYSTEM_TABLE[System Name],BASE_SYSTEM_TABLE[Construction Type (Framed or Planar)],FALSE)</f>
        <v>0</v>
      </c>
      <c r="I185" t="e">
        <f>GETPIVOTDATA("Sum of A1-A3 Fossil kg CO2e/m^2 wall area",'COMPONENT PIVOT REF'!$A$3,"System Name",Table4[[#This Row],[Base System]])</f>
        <v>#REF!</v>
      </c>
      <c r="J185" t="e">
        <f>GETPIVOTDATA("Sum of  R value (m^2-K/W)",'COMPONENT PIVOT REF'!$A$3,"System Name",Table4[[#This Row],[Base System]])</f>
        <v>#REF!</v>
      </c>
      <c r="K185" t="e">
        <f>GETPIVOTDATA("Sum of Total Mass per m^2 (kg)",'COMPONENT PIVOT REF'!$A$3,"System Name",Table4[[#This Row],[Base System]])</f>
        <v>#REF!</v>
      </c>
      <c r="M185">
        <f>_xlfn.XLOOKUP(Table4[[#This Row],[Ext Finish]],Master_Table4[System Name],Master_Table4[System Name (Short)],FALSE)</f>
        <v>0</v>
      </c>
      <c r="N185">
        <f>_xlfn.XLOOKUP(Table4[[#This Row],[Ext Finish]],Master_Table4[System Name],Master_Table4[Compatible Systems],FALSE)</f>
        <v>0</v>
      </c>
      <c r="O185" t="str">
        <f>IF(ISNUMBER(SEARCH(Table4[[#This Row],[MMC Method]],Table4[[#This Row],[Compatible Systems]])),"YES","NO")</f>
        <v>YES</v>
      </c>
      <c r="P185" t="e">
        <f>GETPIVOTDATA("Sum of A1-A3 Fossil kg CO2e/m^2 wall area",'COMPONENT PIVOT REF'!$I$3,"System Name",Table4[[#This Row],[Ext Finish]])</f>
        <v>#REF!</v>
      </c>
      <c r="Q185" t="e">
        <f>GETPIVOTDATA("Sum of  R value (m^2-K/W)",'COMPONENT PIVOT REF'!$I$3,"System Name",Table4[[#This Row],[Ext Finish]])</f>
        <v>#REF!</v>
      </c>
      <c r="R185" t="e">
        <f>GETPIVOTDATA("Sum of Total Mass per m^2 (kg)",'COMPONENT PIVOT REF'!$I$3,"System Name",Table4[[#This Row],[Ext Finish]])</f>
        <v>#REF!</v>
      </c>
      <c r="T185">
        <f>_xlfn.XLOOKUP(Table4[[#This Row],[Int Finish]],Master_Table6[System Name],Master_Table6[System Name (Short)],FALSE)</f>
        <v>0</v>
      </c>
      <c r="U185" t="e">
        <f>GETPIVOTDATA("Sum of A1-A3 Fossil kg CO2e/m^2 wall area",'COMPONENT PIVOT REF'!$P$3,"System Name",Table4[[#This Row],[Int Finish]])</f>
        <v>#REF!</v>
      </c>
      <c r="V185" t="e">
        <f>GETPIVOTDATA("Sum of  R value (m^2-K/W)",'COMPONENT PIVOT REF'!$P$3,"System Name",Table4[[#This Row],[Int Finish]])</f>
        <v>#REF!</v>
      </c>
      <c r="W185" t="e">
        <f>GETPIVOTDATA("Sum of Total Mass per m^2 (kg)",'COMPONENT PIVOT REF'!$P$3,"System Name",Table4[[#This Row],[Int Finish]])</f>
        <v>#REF!</v>
      </c>
      <c r="X185" t="e">
        <f>Table4[[#This Row],[Ext Finish GWP]]+Table4[[#This Row],[Base GWP]]+Table4[[#This Row],[Int Finish GWP]]</f>
        <v>#REF!</v>
      </c>
      <c r="Y185" t="e">
        <f>Table4[[#This Row],[Ext Finish R Value]]+Table4[[#This Row],[Base R Value]]+Table4[[#This Row],[Int Finish R Value]]</f>
        <v>#REF!</v>
      </c>
      <c r="Z185" t="e">
        <f>1/Table4[[#This Row],[Total R value]]</f>
        <v>#REF!</v>
      </c>
      <c r="AA185" t="e">
        <f>Table4[[#This Row],[Int Finish Mass]]+Table4[[#This Row],[Ext Finish Mass]]+Table4[[#This Row],[Base Mass]]</f>
        <v>#REF!</v>
      </c>
    </row>
    <row r="186" spans="3:27" x14ac:dyDescent="0.35">
      <c r="C186" t="str">
        <f>_xlfn.CONCAT(Table4[[#This Row],[System Name (Short)]],"_",Table4[[#This Row],[Ext Finish Name (Short)]],"_",Table4[[#This Row],[Int Finish Name (Short)]])</f>
        <v>0_0_0</v>
      </c>
      <c r="E186">
        <f>_xlfn.XLOOKUP(Table4[[#This Row],[Base System]],BASE_SYSTEM_TABLE[System Name],BASE_SYSTEM_TABLE[System Name (Short)],FALSE)</f>
        <v>0</v>
      </c>
      <c r="F186">
        <f>_xlfn.XLOOKUP(Table4[[#This Row],[Base System]],BASE_SYSTEM_TABLE[System Name],BASE_SYSTEM_TABLE[System Type],FALSE)</f>
        <v>0</v>
      </c>
      <c r="G186">
        <f>_xlfn.XLOOKUP(Table4[[#This Row],[Base System]],BASE_SYSTEM_TABLE[System Name],BASE_SYSTEM_TABLE[System Subtype],FALSE)</f>
        <v>0</v>
      </c>
      <c r="H186">
        <f>_xlfn.XLOOKUP(Table4[[#This Row],[Base System]],BASE_SYSTEM_TABLE[System Name],BASE_SYSTEM_TABLE[Construction Type (Framed or Planar)],FALSE)</f>
        <v>0</v>
      </c>
      <c r="I186" t="e">
        <f>GETPIVOTDATA("Sum of A1-A3 Fossil kg CO2e/m^2 wall area",'COMPONENT PIVOT REF'!$A$3,"System Name",Table4[[#This Row],[Base System]])</f>
        <v>#REF!</v>
      </c>
      <c r="J186" t="e">
        <f>GETPIVOTDATA("Sum of  R value (m^2-K/W)",'COMPONENT PIVOT REF'!$A$3,"System Name",Table4[[#This Row],[Base System]])</f>
        <v>#REF!</v>
      </c>
      <c r="K186" t="e">
        <f>GETPIVOTDATA("Sum of Total Mass per m^2 (kg)",'COMPONENT PIVOT REF'!$A$3,"System Name",Table4[[#This Row],[Base System]])</f>
        <v>#REF!</v>
      </c>
      <c r="M186">
        <f>_xlfn.XLOOKUP(Table4[[#This Row],[Ext Finish]],Master_Table4[System Name],Master_Table4[System Name (Short)],FALSE)</f>
        <v>0</v>
      </c>
      <c r="N186">
        <f>_xlfn.XLOOKUP(Table4[[#This Row],[Ext Finish]],Master_Table4[System Name],Master_Table4[Compatible Systems],FALSE)</f>
        <v>0</v>
      </c>
      <c r="O186" t="str">
        <f>IF(ISNUMBER(SEARCH(Table4[[#This Row],[MMC Method]],Table4[[#This Row],[Compatible Systems]])),"YES","NO")</f>
        <v>YES</v>
      </c>
      <c r="P186" t="e">
        <f>GETPIVOTDATA("Sum of A1-A3 Fossil kg CO2e/m^2 wall area",'COMPONENT PIVOT REF'!$I$3,"System Name",Table4[[#This Row],[Ext Finish]])</f>
        <v>#REF!</v>
      </c>
      <c r="Q186" t="e">
        <f>GETPIVOTDATA("Sum of  R value (m^2-K/W)",'COMPONENT PIVOT REF'!$I$3,"System Name",Table4[[#This Row],[Ext Finish]])</f>
        <v>#REF!</v>
      </c>
      <c r="R186" t="e">
        <f>GETPIVOTDATA("Sum of Total Mass per m^2 (kg)",'COMPONENT PIVOT REF'!$I$3,"System Name",Table4[[#This Row],[Ext Finish]])</f>
        <v>#REF!</v>
      </c>
      <c r="T186">
        <f>_xlfn.XLOOKUP(Table4[[#This Row],[Int Finish]],Master_Table6[System Name],Master_Table6[System Name (Short)],FALSE)</f>
        <v>0</v>
      </c>
      <c r="U186" t="e">
        <f>GETPIVOTDATA("Sum of A1-A3 Fossil kg CO2e/m^2 wall area",'COMPONENT PIVOT REF'!$P$3,"System Name",Table4[[#This Row],[Int Finish]])</f>
        <v>#REF!</v>
      </c>
      <c r="V186" t="e">
        <f>GETPIVOTDATA("Sum of  R value (m^2-K/W)",'COMPONENT PIVOT REF'!$P$3,"System Name",Table4[[#This Row],[Int Finish]])</f>
        <v>#REF!</v>
      </c>
      <c r="W186" t="e">
        <f>GETPIVOTDATA("Sum of Total Mass per m^2 (kg)",'COMPONENT PIVOT REF'!$P$3,"System Name",Table4[[#This Row],[Int Finish]])</f>
        <v>#REF!</v>
      </c>
      <c r="X186" t="e">
        <f>Table4[[#This Row],[Ext Finish GWP]]+Table4[[#This Row],[Base GWP]]+Table4[[#This Row],[Int Finish GWP]]</f>
        <v>#REF!</v>
      </c>
      <c r="Y186" t="e">
        <f>Table4[[#This Row],[Ext Finish R Value]]+Table4[[#This Row],[Base R Value]]+Table4[[#This Row],[Int Finish R Value]]</f>
        <v>#REF!</v>
      </c>
      <c r="Z186" t="e">
        <f>1/Table4[[#This Row],[Total R value]]</f>
        <v>#REF!</v>
      </c>
      <c r="AA186" t="e">
        <f>Table4[[#This Row],[Int Finish Mass]]+Table4[[#This Row],[Ext Finish Mass]]+Table4[[#This Row],[Base Mass]]</f>
        <v>#REF!</v>
      </c>
    </row>
    <row r="187" spans="3:27" x14ac:dyDescent="0.35">
      <c r="C187" t="str">
        <f>_xlfn.CONCAT(Table4[[#This Row],[System Name (Short)]],"_",Table4[[#This Row],[Ext Finish Name (Short)]],"_",Table4[[#This Row],[Int Finish Name (Short)]])</f>
        <v>0_0_0</v>
      </c>
      <c r="E187">
        <f>_xlfn.XLOOKUP(Table4[[#This Row],[Base System]],BASE_SYSTEM_TABLE[System Name],BASE_SYSTEM_TABLE[System Name (Short)],FALSE)</f>
        <v>0</v>
      </c>
      <c r="F187">
        <f>_xlfn.XLOOKUP(Table4[[#This Row],[Base System]],BASE_SYSTEM_TABLE[System Name],BASE_SYSTEM_TABLE[System Type],FALSE)</f>
        <v>0</v>
      </c>
      <c r="G187">
        <f>_xlfn.XLOOKUP(Table4[[#This Row],[Base System]],BASE_SYSTEM_TABLE[System Name],BASE_SYSTEM_TABLE[System Subtype],FALSE)</f>
        <v>0</v>
      </c>
      <c r="H187">
        <f>_xlfn.XLOOKUP(Table4[[#This Row],[Base System]],BASE_SYSTEM_TABLE[System Name],BASE_SYSTEM_TABLE[Construction Type (Framed or Planar)],FALSE)</f>
        <v>0</v>
      </c>
      <c r="I187" t="e">
        <f>GETPIVOTDATA("Sum of A1-A3 Fossil kg CO2e/m^2 wall area",'COMPONENT PIVOT REF'!$A$3,"System Name",Table4[[#This Row],[Base System]])</f>
        <v>#REF!</v>
      </c>
      <c r="J187" t="e">
        <f>GETPIVOTDATA("Sum of  R value (m^2-K/W)",'COMPONENT PIVOT REF'!$A$3,"System Name",Table4[[#This Row],[Base System]])</f>
        <v>#REF!</v>
      </c>
      <c r="K187" t="e">
        <f>GETPIVOTDATA("Sum of Total Mass per m^2 (kg)",'COMPONENT PIVOT REF'!$A$3,"System Name",Table4[[#This Row],[Base System]])</f>
        <v>#REF!</v>
      </c>
      <c r="M187">
        <f>_xlfn.XLOOKUP(Table4[[#This Row],[Ext Finish]],Master_Table4[System Name],Master_Table4[System Name (Short)],FALSE)</f>
        <v>0</v>
      </c>
      <c r="N187">
        <f>_xlfn.XLOOKUP(Table4[[#This Row],[Ext Finish]],Master_Table4[System Name],Master_Table4[Compatible Systems],FALSE)</f>
        <v>0</v>
      </c>
      <c r="O187" t="str">
        <f>IF(ISNUMBER(SEARCH(Table4[[#This Row],[MMC Method]],Table4[[#This Row],[Compatible Systems]])),"YES","NO")</f>
        <v>YES</v>
      </c>
      <c r="P187" t="e">
        <f>GETPIVOTDATA("Sum of A1-A3 Fossil kg CO2e/m^2 wall area",'COMPONENT PIVOT REF'!$I$3,"System Name",Table4[[#This Row],[Ext Finish]])</f>
        <v>#REF!</v>
      </c>
      <c r="Q187" t="e">
        <f>GETPIVOTDATA("Sum of  R value (m^2-K/W)",'COMPONENT PIVOT REF'!$I$3,"System Name",Table4[[#This Row],[Ext Finish]])</f>
        <v>#REF!</v>
      </c>
      <c r="R187" t="e">
        <f>GETPIVOTDATA("Sum of Total Mass per m^2 (kg)",'COMPONENT PIVOT REF'!$I$3,"System Name",Table4[[#This Row],[Ext Finish]])</f>
        <v>#REF!</v>
      </c>
      <c r="T187">
        <f>_xlfn.XLOOKUP(Table4[[#This Row],[Int Finish]],Master_Table6[System Name],Master_Table6[System Name (Short)],FALSE)</f>
        <v>0</v>
      </c>
      <c r="U187" t="e">
        <f>GETPIVOTDATA("Sum of A1-A3 Fossil kg CO2e/m^2 wall area",'COMPONENT PIVOT REF'!$P$3,"System Name",Table4[[#This Row],[Int Finish]])</f>
        <v>#REF!</v>
      </c>
      <c r="V187" t="e">
        <f>GETPIVOTDATA("Sum of  R value (m^2-K/W)",'COMPONENT PIVOT REF'!$P$3,"System Name",Table4[[#This Row],[Int Finish]])</f>
        <v>#REF!</v>
      </c>
      <c r="W187" t="e">
        <f>GETPIVOTDATA("Sum of Total Mass per m^2 (kg)",'COMPONENT PIVOT REF'!$P$3,"System Name",Table4[[#This Row],[Int Finish]])</f>
        <v>#REF!</v>
      </c>
      <c r="X187" t="e">
        <f>Table4[[#This Row],[Ext Finish GWP]]+Table4[[#This Row],[Base GWP]]+Table4[[#This Row],[Int Finish GWP]]</f>
        <v>#REF!</v>
      </c>
      <c r="Y187" t="e">
        <f>Table4[[#This Row],[Ext Finish R Value]]+Table4[[#This Row],[Base R Value]]+Table4[[#This Row],[Int Finish R Value]]</f>
        <v>#REF!</v>
      </c>
      <c r="Z187" t="e">
        <f>1/Table4[[#This Row],[Total R value]]</f>
        <v>#REF!</v>
      </c>
      <c r="AA187" t="e">
        <f>Table4[[#This Row],[Int Finish Mass]]+Table4[[#This Row],[Ext Finish Mass]]+Table4[[#This Row],[Base Mass]]</f>
        <v>#REF!</v>
      </c>
    </row>
    <row r="188" spans="3:27" x14ac:dyDescent="0.35">
      <c r="C188" t="str">
        <f>_xlfn.CONCAT(Table4[[#This Row],[System Name (Short)]],"_",Table4[[#This Row],[Ext Finish Name (Short)]],"_",Table4[[#This Row],[Int Finish Name (Short)]])</f>
        <v>0_0_0</v>
      </c>
      <c r="E188">
        <f>_xlfn.XLOOKUP(Table4[[#This Row],[Base System]],BASE_SYSTEM_TABLE[System Name],BASE_SYSTEM_TABLE[System Name (Short)],FALSE)</f>
        <v>0</v>
      </c>
      <c r="F188">
        <f>_xlfn.XLOOKUP(Table4[[#This Row],[Base System]],BASE_SYSTEM_TABLE[System Name],BASE_SYSTEM_TABLE[System Type],FALSE)</f>
        <v>0</v>
      </c>
      <c r="G188">
        <f>_xlfn.XLOOKUP(Table4[[#This Row],[Base System]],BASE_SYSTEM_TABLE[System Name],BASE_SYSTEM_TABLE[System Subtype],FALSE)</f>
        <v>0</v>
      </c>
      <c r="H188">
        <f>_xlfn.XLOOKUP(Table4[[#This Row],[Base System]],BASE_SYSTEM_TABLE[System Name],BASE_SYSTEM_TABLE[Construction Type (Framed or Planar)],FALSE)</f>
        <v>0</v>
      </c>
      <c r="I188" t="e">
        <f>GETPIVOTDATA("Sum of A1-A3 Fossil kg CO2e/m^2 wall area",'COMPONENT PIVOT REF'!$A$3,"System Name",Table4[[#This Row],[Base System]])</f>
        <v>#REF!</v>
      </c>
      <c r="J188" t="e">
        <f>GETPIVOTDATA("Sum of  R value (m^2-K/W)",'COMPONENT PIVOT REF'!$A$3,"System Name",Table4[[#This Row],[Base System]])</f>
        <v>#REF!</v>
      </c>
      <c r="K188" t="e">
        <f>GETPIVOTDATA("Sum of Total Mass per m^2 (kg)",'COMPONENT PIVOT REF'!$A$3,"System Name",Table4[[#This Row],[Base System]])</f>
        <v>#REF!</v>
      </c>
      <c r="M188">
        <f>_xlfn.XLOOKUP(Table4[[#This Row],[Ext Finish]],Master_Table4[System Name],Master_Table4[System Name (Short)],FALSE)</f>
        <v>0</v>
      </c>
      <c r="N188">
        <f>_xlfn.XLOOKUP(Table4[[#This Row],[Ext Finish]],Master_Table4[System Name],Master_Table4[Compatible Systems],FALSE)</f>
        <v>0</v>
      </c>
      <c r="O188" t="str">
        <f>IF(ISNUMBER(SEARCH(Table4[[#This Row],[MMC Method]],Table4[[#This Row],[Compatible Systems]])),"YES","NO")</f>
        <v>YES</v>
      </c>
      <c r="P188" t="e">
        <f>GETPIVOTDATA("Sum of A1-A3 Fossil kg CO2e/m^2 wall area",'COMPONENT PIVOT REF'!$I$3,"System Name",Table4[[#This Row],[Ext Finish]])</f>
        <v>#REF!</v>
      </c>
      <c r="Q188" t="e">
        <f>GETPIVOTDATA("Sum of  R value (m^2-K/W)",'COMPONENT PIVOT REF'!$I$3,"System Name",Table4[[#This Row],[Ext Finish]])</f>
        <v>#REF!</v>
      </c>
      <c r="R188" t="e">
        <f>GETPIVOTDATA("Sum of Total Mass per m^2 (kg)",'COMPONENT PIVOT REF'!$I$3,"System Name",Table4[[#This Row],[Ext Finish]])</f>
        <v>#REF!</v>
      </c>
      <c r="T188">
        <f>_xlfn.XLOOKUP(Table4[[#This Row],[Int Finish]],Master_Table6[System Name],Master_Table6[System Name (Short)],FALSE)</f>
        <v>0</v>
      </c>
      <c r="U188" t="e">
        <f>GETPIVOTDATA("Sum of A1-A3 Fossil kg CO2e/m^2 wall area",'COMPONENT PIVOT REF'!$P$3,"System Name",Table4[[#This Row],[Int Finish]])</f>
        <v>#REF!</v>
      </c>
      <c r="V188" t="e">
        <f>GETPIVOTDATA("Sum of  R value (m^2-K/W)",'COMPONENT PIVOT REF'!$P$3,"System Name",Table4[[#This Row],[Int Finish]])</f>
        <v>#REF!</v>
      </c>
      <c r="W188" t="e">
        <f>GETPIVOTDATA("Sum of Total Mass per m^2 (kg)",'COMPONENT PIVOT REF'!$P$3,"System Name",Table4[[#This Row],[Int Finish]])</f>
        <v>#REF!</v>
      </c>
      <c r="X188" t="e">
        <f>Table4[[#This Row],[Ext Finish GWP]]+Table4[[#This Row],[Base GWP]]+Table4[[#This Row],[Int Finish GWP]]</f>
        <v>#REF!</v>
      </c>
      <c r="Y188" t="e">
        <f>Table4[[#This Row],[Ext Finish R Value]]+Table4[[#This Row],[Base R Value]]+Table4[[#This Row],[Int Finish R Value]]</f>
        <v>#REF!</v>
      </c>
      <c r="Z188" t="e">
        <f>1/Table4[[#This Row],[Total R value]]</f>
        <v>#REF!</v>
      </c>
      <c r="AA188" t="e">
        <f>Table4[[#This Row],[Int Finish Mass]]+Table4[[#This Row],[Ext Finish Mass]]+Table4[[#This Row],[Base Mass]]</f>
        <v>#REF!</v>
      </c>
    </row>
    <row r="189" spans="3:27" x14ac:dyDescent="0.35">
      <c r="C189" t="str">
        <f>_xlfn.CONCAT(Table4[[#This Row],[System Name (Short)]],"_",Table4[[#This Row],[Ext Finish Name (Short)]],"_",Table4[[#This Row],[Int Finish Name (Short)]])</f>
        <v>0_0_0</v>
      </c>
      <c r="E189">
        <f>_xlfn.XLOOKUP(Table4[[#This Row],[Base System]],BASE_SYSTEM_TABLE[System Name],BASE_SYSTEM_TABLE[System Name (Short)],FALSE)</f>
        <v>0</v>
      </c>
      <c r="F189">
        <f>_xlfn.XLOOKUP(Table4[[#This Row],[Base System]],BASE_SYSTEM_TABLE[System Name],BASE_SYSTEM_TABLE[System Type],FALSE)</f>
        <v>0</v>
      </c>
      <c r="G189">
        <f>_xlfn.XLOOKUP(Table4[[#This Row],[Base System]],BASE_SYSTEM_TABLE[System Name],BASE_SYSTEM_TABLE[System Subtype],FALSE)</f>
        <v>0</v>
      </c>
      <c r="H189">
        <f>_xlfn.XLOOKUP(Table4[[#This Row],[Base System]],BASE_SYSTEM_TABLE[System Name],BASE_SYSTEM_TABLE[Construction Type (Framed or Planar)],FALSE)</f>
        <v>0</v>
      </c>
      <c r="I189" t="e">
        <f>GETPIVOTDATA("Sum of A1-A3 Fossil kg CO2e/m^2 wall area",'COMPONENT PIVOT REF'!$A$3,"System Name",Table4[[#This Row],[Base System]])</f>
        <v>#REF!</v>
      </c>
      <c r="J189" t="e">
        <f>GETPIVOTDATA("Sum of  R value (m^2-K/W)",'COMPONENT PIVOT REF'!$A$3,"System Name",Table4[[#This Row],[Base System]])</f>
        <v>#REF!</v>
      </c>
      <c r="K189" t="e">
        <f>GETPIVOTDATA("Sum of Total Mass per m^2 (kg)",'COMPONENT PIVOT REF'!$A$3,"System Name",Table4[[#This Row],[Base System]])</f>
        <v>#REF!</v>
      </c>
      <c r="M189">
        <f>_xlfn.XLOOKUP(Table4[[#This Row],[Ext Finish]],Master_Table4[System Name],Master_Table4[System Name (Short)],FALSE)</f>
        <v>0</v>
      </c>
      <c r="N189">
        <f>_xlfn.XLOOKUP(Table4[[#This Row],[Ext Finish]],Master_Table4[System Name],Master_Table4[Compatible Systems],FALSE)</f>
        <v>0</v>
      </c>
      <c r="O189" t="str">
        <f>IF(ISNUMBER(SEARCH(Table4[[#This Row],[MMC Method]],Table4[[#This Row],[Compatible Systems]])),"YES","NO")</f>
        <v>YES</v>
      </c>
      <c r="P189" t="e">
        <f>GETPIVOTDATA("Sum of A1-A3 Fossil kg CO2e/m^2 wall area",'COMPONENT PIVOT REF'!$I$3,"System Name",Table4[[#This Row],[Ext Finish]])</f>
        <v>#REF!</v>
      </c>
      <c r="Q189" t="e">
        <f>GETPIVOTDATA("Sum of  R value (m^2-K/W)",'COMPONENT PIVOT REF'!$I$3,"System Name",Table4[[#This Row],[Ext Finish]])</f>
        <v>#REF!</v>
      </c>
      <c r="R189" t="e">
        <f>GETPIVOTDATA("Sum of Total Mass per m^2 (kg)",'COMPONENT PIVOT REF'!$I$3,"System Name",Table4[[#This Row],[Ext Finish]])</f>
        <v>#REF!</v>
      </c>
      <c r="T189">
        <f>_xlfn.XLOOKUP(Table4[[#This Row],[Int Finish]],Master_Table6[System Name],Master_Table6[System Name (Short)],FALSE)</f>
        <v>0</v>
      </c>
      <c r="U189" t="e">
        <f>GETPIVOTDATA("Sum of A1-A3 Fossil kg CO2e/m^2 wall area",'COMPONENT PIVOT REF'!$P$3,"System Name",Table4[[#This Row],[Int Finish]])</f>
        <v>#REF!</v>
      </c>
      <c r="V189" t="e">
        <f>GETPIVOTDATA("Sum of  R value (m^2-K/W)",'COMPONENT PIVOT REF'!$P$3,"System Name",Table4[[#This Row],[Int Finish]])</f>
        <v>#REF!</v>
      </c>
      <c r="W189" t="e">
        <f>GETPIVOTDATA("Sum of Total Mass per m^2 (kg)",'COMPONENT PIVOT REF'!$P$3,"System Name",Table4[[#This Row],[Int Finish]])</f>
        <v>#REF!</v>
      </c>
      <c r="X189" t="e">
        <f>Table4[[#This Row],[Ext Finish GWP]]+Table4[[#This Row],[Base GWP]]+Table4[[#This Row],[Int Finish GWP]]</f>
        <v>#REF!</v>
      </c>
      <c r="Y189" t="e">
        <f>Table4[[#This Row],[Ext Finish R Value]]+Table4[[#This Row],[Base R Value]]+Table4[[#This Row],[Int Finish R Value]]</f>
        <v>#REF!</v>
      </c>
      <c r="Z189" t="e">
        <f>1/Table4[[#This Row],[Total R value]]</f>
        <v>#REF!</v>
      </c>
      <c r="AA189" t="e">
        <f>Table4[[#This Row],[Int Finish Mass]]+Table4[[#This Row],[Ext Finish Mass]]+Table4[[#This Row],[Base Mass]]</f>
        <v>#REF!</v>
      </c>
    </row>
    <row r="190" spans="3:27" x14ac:dyDescent="0.35">
      <c r="C190" t="str">
        <f>_xlfn.CONCAT(Table4[[#This Row],[System Name (Short)]],"_",Table4[[#This Row],[Ext Finish Name (Short)]],"_",Table4[[#This Row],[Int Finish Name (Short)]])</f>
        <v>0_0_0</v>
      </c>
      <c r="E190">
        <f>_xlfn.XLOOKUP(Table4[[#This Row],[Base System]],BASE_SYSTEM_TABLE[System Name],BASE_SYSTEM_TABLE[System Name (Short)],FALSE)</f>
        <v>0</v>
      </c>
      <c r="F190">
        <f>_xlfn.XLOOKUP(Table4[[#This Row],[Base System]],BASE_SYSTEM_TABLE[System Name],BASE_SYSTEM_TABLE[System Type],FALSE)</f>
        <v>0</v>
      </c>
      <c r="G190">
        <f>_xlfn.XLOOKUP(Table4[[#This Row],[Base System]],BASE_SYSTEM_TABLE[System Name],BASE_SYSTEM_TABLE[System Subtype],FALSE)</f>
        <v>0</v>
      </c>
      <c r="H190">
        <f>_xlfn.XLOOKUP(Table4[[#This Row],[Base System]],BASE_SYSTEM_TABLE[System Name],BASE_SYSTEM_TABLE[Construction Type (Framed or Planar)],FALSE)</f>
        <v>0</v>
      </c>
      <c r="I190" t="e">
        <f>GETPIVOTDATA("Sum of A1-A3 Fossil kg CO2e/m^2 wall area",'COMPONENT PIVOT REF'!$A$3,"System Name",Table4[[#This Row],[Base System]])</f>
        <v>#REF!</v>
      </c>
      <c r="J190" t="e">
        <f>GETPIVOTDATA("Sum of  R value (m^2-K/W)",'COMPONENT PIVOT REF'!$A$3,"System Name",Table4[[#This Row],[Base System]])</f>
        <v>#REF!</v>
      </c>
      <c r="K190" t="e">
        <f>GETPIVOTDATA("Sum of Total Mass per m^2 (kg)",'COMPONENT PIVOT REF'!$A$3,"System Name",Table4[[#This Row],[Base System]])</f>
        <v>#REF!</v>
      </c>
      <c r="M190">
        <f>_xlfn.XLOOKUP(Table4[[#This Row],[Ext Finish]],Master_Table4[System Name],Master_Table4[System Name (Short)],FALSE)</f>
        <v>0</v>
      </c>
      <c r="N190">
        <f>_xlfn.XLOOKUP(Table4[[#This Row],[Ext Finish]],Master_Table4[System Name],Master_Table4[Compatible Systems],FALSE)</f>
        <v>0</v>
      </c>
      <c r="O190" t="str">
        <f>IF(ISNUMBER(SEARCH(Table4[[#This Row],[MMC Method]],Table4[[#This Row],[Compatible Systems]])),"YES","NO")</f>
        <v>YES</v>
      </c>
      <c r="P190" t="e">
        <f>GETPIVOTDATA("Sum of A1-A3 Fossil kg CO2e/m^2 wall area",'COMPONENT PIVOT REF'!$I$3,"System Name",Table4[[#This Row],[Ext Finish]])</f>
        <v>#REF!</v>
      </c>
      <c r="Q190" t="e">
        <f>GETPIVOTDATA("Sum of  R value (m^2-K/W)",'COMPONENT PIVOT REF'!$I$3,"System Name",Table4[[#This Row],[Ext Finish]])</f>
        <v>#REF!</v>
      </c>
      <c r="R190" t="e">
        <f>GETPIVOTDATA("Sum of Total Mass per m^2 (kg)",'COMPONENT PIVOT REF'!$I$3,"System Name",Table4[[#This Row],[Ext Finish]])</f>
        <v>#REF!</v>
      </c>
      <c r="T190">
        <f>_xlfn.XLOOKUP(Table4[[#This Row],[Int Finish]],Master_Table6[System Name],Master_Table6[System Name (Short)],FALSE)</f>
        <v>0</v>
      </c>
      <c r="U190" t="e">
        <f>GETPIVOTDATA("Sum of A1-A3 Fossil kg CO2e/m^2 wall area",'COMPONENT PIVOT REF'!$P$3,"System Name",Table4[[#This Row],[Int Finish]])</f>
        <v>#REF!</v>
      </c>
      <c r="V190" t="e">
        <f>GETPIVOTDATA("Sum of  R value (m^2-K/W)",'COMPONENT PIVOT REF'!$P$3,"System Name",Table4[[#This Row],[Int Finish]])</f>
        <v>#REF!</v>
      </c>
      <c r="W190" t="e">
        <f>GETPIVOTDATA("Sum of Total Mass per m^2 (kg)",'COMPONENT PIVOT REF'!$P$3,"System Name",Table4[[#This Row],[Int Finish]])</f>
        <v>#REF!</v>
      </c>
      <c r="X190" t="e">
        <f>Table4[[#This Row],[Ext Finish GWP]]+Table4[[#This Row],[Base GWP]]+Table4[[#This Row],[Int Finish GWP]]</f>
        <v>#REF!</v>
      </c>
      <c r="Y190" t="e">
        <f>Table4[[#This Row],[Ext Finish R Value]]+Table4[[#This Row],[Base R Value]]+Table4[[#This Row],[Int Finish R Value]]</f>
        <v>#REF!</v>
      </c>
      <c r="Z190" t="e">
        <f>1/Table4[[#This Row],[Total R value]]</f>
        <v>#REF!</v>
      </c>
      <c r="AA190" t="e">
        <f>Table4[[#This Row],[Int Finish Mass]]+Table4[[#This Row],[Ext Finish Mass]]+Table4[[#This Row],[Base Mass]]</f>
        <v>#REF!</v>
      </c>
    </row>
    <row r="191" spans="3:27" x14ac:dyDescent="0.35">
      <c r="C191" t="str">
        <f>_xlfn.CONCAT(Table4[[#This Row],[System Name (Short)]],"_",Table4[[#This Row],[Ext Finish Name (Short)]],"_",Table4[[#This Row],[Int Finish Name (Short)]])</f>
        <v>0_0_0</v>
      </c>
      <c r="E191">
        <f>_xlfn.XLOOKUP(Table4[[#This Row],[Base System]],BASE_SYSTEM_TABLE[System Name],BASE_SYSTEM_TABLE[System Name (Short)],FALSE)</f>
        <v>0</v>
      </c>
      <c r="F191">
        <f>_xlfn.XLOOKUP(Table4[[#This Row],[Base System]],BASE_SYSTEM_TABLE[System Name],BASE_SYSTEM_TABLE[System Type],FALSE)</f>
        <v>0</v>
      </c>
      <c r="G191">
        <f>_xlfn.XLOOKUP(Table4[[#This Row],[Base System]],BASE_SYSTEM_TABLE[System Name],BASE_SYSTEM_TABLE[System Subtype],FALSE)</f>
        <v>0</v>
      </c>
      <c r="H191">
        <f>_xlfn.XLOOKUP(Table4[[#This Row],[Base System]],BASE_SYSTEM_TABLE[System Name],BASE_SYSTEM_TABLE[Construction Type (Framed or Planar)],FALSE)</f>
        <v>0</v>
      </c>
      <c r="I191" t="e">
        <f>GETPIVOTDATA("Sum of A1-A3 Fossil kg CO2e/m^2 wall area",'COMPONENT PIVOT REF'!$A$3,"System Name",Table4[[#This Row],[Base System]])</f>
        <v>#REF!</v>
      </c>
      <c r="J191" t="e">
        <f>GETPIVOTDATA("Sum of  R value (m^2-K/W)",'COMPONENT PIVOT REF'!$A$3,"System Name",Table4[[#This Row],[Base System]])</f>
        <v>#REF!</v>
      </c>
      <c r="K191" t="e">
        <f>GETPIVOTDATA("Sum of Total Mass per m^2 (kg)",'COMPONENT PIVOT REF'!$A$3,"System Name",Table4[[#This Row],[Base System]])</f>
        <v>#REF!</v>
      </c>
      <c r="M191">
        <f>_xlfn.XLOOKUP(Table4[[#This Row],[Ext Finish]],Master_Table4[System Name],Master_Table4[System Name (Short)],FALSE)</f>
        <v>0</v>
      </c>
      <c r="N191">
        <f>_xlfn.XLOOKUP(Table4[[#This Row],[Ext Finish]],Master_Table4[System Name],Master_Table4[Compatible Systems],FALSE)</f>
        <v>0</v>
      </c>
      <c r="O191" t="str">
        <f>IF(ISNUMBER(SEARCH(Table4[[#This Row],[MMC Method]],Table4[[#This Row],[Compatible Systems]])),"YES","NO")</f>
        <v>YES</v>
      </c>
      <c r="P191" t="e">
        <f>GETPIVOTDATA("Sum of A1-A3 Fossil kg CO2e/m^2 wall area",'COMPONENT PIVOT REF'!$I$3,"System Name",Table4[[#This Row],[Ext Finish]])</f>
        <v>#REF!</v>
      </c>
      <c r="Q191" t="e">
        <f>GETPIVOTDATA("Sum of  R value (m^2-K/W)",'COMPONENT PIVOT REF'!$I$3,"System Name",Table4[[#This Row],[Ext Finish]])</f>
        <v>#REF!</v>
      </c>
      <c r="R191" t="e">
        <f>GETPIVOTDATA("Sum of Total Mass per m^2 (kg)",'COMPONENT PIVOT REF'!$I$3,"System Name",Table4[[#This Row],[Ext Finish]])</f>
        <v>#REF!</v>
      </c>
      <c r="T191">
        <f>_xlfn.XLOOKUP(Table4[[#This Row],[Int Finish]],Master_Table6[System Name],Master_Table6[System Name (Short)],FALSE)</f>
        <v>0</v>
      </c>
      <c r="U191" t="e">
        <f>GETPIVOTDATA("Sum of A1-A3 Fossil kg CO2e/m^2 wall area",'COMPONENT PIVOT REF'!$P$3,"System Name",Table4[[#This Row],[Int Finish]])</f>
        <v>#REF!</v>
      </c>
      <c r="V191" t="e">
        <f>GETPIVOTDATA("Sum of  R value (m^2-K/W)",'COMPONENT PIVOT REF'!$P$3,"System Name",Table4[[#This Row],[Int Finish]])</f>
        <v>#REF!</v>
      </c>
      <c r="W191" t="e">
        <f>GETPIVOTDATA("Sum of Total Mass per m^2 (kg)",'COMPONENT PIVOT REF'!$P$3,"System Name",Table4[[#This Row],[Int Finish]])</f>
        <v>#REF!</v>
      </c>
      <c r="X191" t="e">
        <f>Table4[[#This Row],[Ext Finish GWP]]+Table4[[#This Row],[Base GWP]]+Table4[[#This Row],[Int Finish GWP]]</f>
        <v>#REF!</v>
      </c>
      <c r="Y191" t="e">
        <f>Table4[[#This Row],[Ext Finish R Value]]+Table4[[#This Row],[Base R Value]]+Table4[[#This Row],[Int Finish R Value]]</f>
        <v>#REF!</v>
      </c>
      <c r="Z191" t="e">
        <f>1/Table4[[#This Row],[Total R value]]</f>
        <v>#REF!</v>
      </c>
      <c r="AA191" t="e">
        <f>Table4[[#This Row],[Int Finish Mass]]+Table4[[#This Row],[Ext Finish Mass]]+Table4[[#This Row],[Base Mass]]</f>
        <v>#REF!</v>
      </c>
    </row>
    <row r="192" spans="3:27" x14ac:dyDescent="0.35">
      <c r="C192" t="str">
        <f>_xlfn.CONCAT(Table4[[#This Row],[System Name (Short)]],"_",Table4[[#This Row],[Ext Finish Name (Short)]],"_",Table4[[#This Row],[Int Finish Name (Short)]])</f>
        <v>0_0_0</v>
      </c>
      <c r="E192">
        <f>_xlfn.XLOOKUP(Table4[[#This Row],[Base System]],BASE_SYSTEM_TABLE[System Name],BASE_SYSTEM_TABLE[System Name (Short)],FALSE)</f>
        <v>0</v>
      </c>
      <c r="F192">
        <f>_xlfn.XLOOKUP(Table4[[#This Row],[Base System]],BASE_SYSTEM_TABLE[System Name],BASE_SYSTEM_TABLE[System Type],FALSE)</f>
        <v>0</v>
      </c>
      <c r="G192">
        <f>_xlfn.XLOOKUP(Table4[[#This Row],[Base System]],BASE_SYSTEM_TABLE[System Name],BASE_SYSTEM_TABLE[System Subtype],FALSE)</f>
        <v>0</v>
      </c>
      <c r="H192">
        <f>_xlfn.XLOOKUP(Table4[[#This Row],[Base System]],BASE_SYSTEM_TABLE[System Name],BASE_SYSTEM_TABLE[Construction Type (Framed or Planar)],FALSE)</f>
        <v>0</v>
      </c>
      <c r="I192" t="e">
        <f>GETPIVOTDATA("Sum of A1-A3 Fossil kg CO2e/m^2 wall area",'COMPONENT PIVOT REF'!$A$3,"System Name",Table4[[#This Row],[Base System]])</f>
        <v>#REF!</v>
      </c>
      <c r="J192" t="e">
        <f>GETPIVOTDATA("Sum of  R value (m^2-K/W)",'COMPONENT PIVOT REF'!$A$3,"System Name",Table4[[#This Row],[Base System]])</f>
        <v>#REF!</v>
      </c>
      <c r="K192" t="e">
        <f>GETPIVOTDATA("Sum of Total Mass per m^2 (kg)",'COMPONENT PIVOT REF'!$A$3,"System Name",Table4[[#This Row],[Base System]])</f>
        <v>#REF!</v>
      </c>
      <c r="M192">
        <f>_xlfn.XLOOKUP(Table4[[#This Row],[Ext Finish]],Master_Table4[System Name],Master_Table4[System Name (Short)],FALSE)</f>
        <v>0</v>
      </c>
      <c r="N192">
        <f>_xlfn.XLOOKUP(Table4[[#This Row],[Ext Finish]],Master_Table4[System Name],Master_Table4[Compatible Systems],FALSE)</f>
        <v>0</v>
      </c>
      <c r="O192" t="str">
        <f>IF(ISNUMBER(SEARCH(Table4[[#This Row],[MMC Method]],Table4[[#This Row],[Compatible Systems]])),"YES","NO")</f>
        <v>YES</v>
      </c>
      <c r="P192" t="e">
        <f>GETPIVOTDATA("Sum of A1-A3 Fossil kg CO2e/m^2 wall area",'COMPONENT PIVOT REF'!$I$3,"System Name",Table4[[#This Row],[Ext Finish]])</f>
        <v>#REF!</v>
      </c>
      <c r="Q192" t="e">
        <f>GETPIVOTDATA("Sum of  R value (m^2-K/W)",'COMPONENT PIVOT REF'!$I$3,"System Name",Table4[[#This Row],[Ext Finish]])</f>
        <v>#REF!</v>
      </c>
      <c r="R192" t="e">
        <f>GETPIVOTDATA("Sum of Total Mass per m^2 (kg)",'COMPONENT PIVOT REF'!$I$3,"System Name",Table4[[#This Row],[Ext Finish]])</f>
        <v>#REF!</v>
      </c>
      <c r="T192">
        <f>_xlfn.XLOOKUP(Table4[[#This Row],[Int Finish]],Master_Table6[System Name],Master_Table6[System Name (Short)],FALSE)</f>
        <v>0</v>
      </c>
      <c r="U192" t="e">
        <f>GETPIVOTDATA("Sum of A1-A3 Fossil kg CO2e/m^2 wall area",'COMPONENT PIVOT REF'!$P$3,"System Name",Table4[[#This Row],[Int Finish]])</f>
        <v>#REF!</v>
      </c>
      <c r="V192" t="e">
        <f>GETPIVOTDATA("Sum of  R value (m^2-K/W)",'COMPONENT PIVOT REF'!$P$3,"System Name",Table4[[#This Row],[Int Finish]])</f>
        <v>#REF!</v>
      </c>
      <c r="W192" t="e">
        <f>GETPIVOTDATA("Sum of Total Mass per m^2 (kg)",'COMPONENT PIVOT REF'!$P$3,"System Name",Table4[[#This Row],[Int Finish]])</f>
        <v>#REF!</v>
      </c>
      <c r="X192" t="e">
        <f>Table4[[#This Row],[Ext Finish GWP]]+Table4[[#This Row],[Base GWP]]+Table4[[#This Row],[Int Finish GWP]]</f>
        <v>#REF!</v>
      </c>
      <c r="Y192" t="e">
        <f>Table4[[#This Row],[Ext Finish R Value]]+Table4[[#This Row],[Base R Value]]+Table4[[#This Row],[Int Finish R Value]]</f>
        <v>#REF!</v>
      </c>
      <c r="Z192" t="e">
        <f>1/Table4[[#This Row],[Total R value]]</f>
        <v>#REF!</v>
      </c>
      <c r="AA192" t="e">
        <f>Table4[[#This Row],[Int Finish Mass]]+Table4[[#This Row],[Ext Finish Mass]]+Table4[[#This Row],[Base Mass]]</f>
        <v>#REF!</v>
      </c>
    </row>
    <row r="193" spans="3:27" x14ac:dyDescent="0.35">
      <c r="C193" t="str">
        <f>_xlfn.CONCAT(Table4[[#This Row],[System Name (Short)]],"_",Table4[[#This Row],[Ext Finish Name (Short)]],"_",Table4[[#This Row],[Int Finish Name (Short)]])</f>
        <v>0_0_0</v>
      </c>
      <c r="E193">
        <f>_xlfn.XLOOKUP(Table4[[#This Row],[Base System]],BASE_SYSTEM_TABLE[System Name],BASE_SYSTEM_TABLE[System Name (Short)],FALSE)</f>
        <v>0</v>
      </c>
      <c r="F193">
        <f>_xlfn.XLOOKUP(Table4[[#This Row],[Base System]],BASE_SYSTEM_TABLE[System Name],BASE_SYSTEM_TABLE[System Type],FALSE)</f>
        <v>0</v>
      </c>
      <c r="G193">
        <f>_xlfn.XLOOKUP(Table4[[#This Row],[Base System]],BASE_SYSTEM_TABLE[System Name],BASE_SYSTEM_TABLE[System Subtype],FALSE)</f>
        <v>0</v>
      </c>
      <c r="H193">
        <f>_xlfn.XLOOKUP(Table4[[#This Row],[Base System]],BASE_SYSTEM_TABLE[System Name],BASE_SYSTEM_TABLE[Construction Type (Framed or Planar)],FALSE)</f>
        <v>0</v>
      </c>
      <c r="I193" t="e">
        <f>GETPIVOTDATA("Sum of A1-A3 Fossil kg CO2e/m^2 wall area",'COMPONENT PIVOT REF'!$A$3,"System Name",Table4[[#This Row],[Base System]])</f>
        <v>#REF!</v>
      </c>
      <c r="J193" t="e">
        <f>GETPIVOTDATA("Sum of  R value (m^2-K/W)",'COMPONENT PIVOT REF'!$A$3,"System Name",Table4[[#This Row],[Base System]])</f>
        <v>#REF!</v>
      </c>
      <c r="K193" t="e">
        <f>GETPIVOTDATA("Sum of Total Mass per m^2 (kg)",'COMPONENT PIVOT REF'!$A$3,"System Name",Table4[[#This Row],[Base System]])</f>
        <v>#REF!</v>
      </c>
      <c r="M193">
        <f>_xlfn.XLOOKUP(Table4[[#This Row],[Ext Finish]],Master_Table4[System Name],Master_Table4[System Name (Short)],FALSE)</f>
        <v>0</v>
      </c>
      <c r="N193">
        <f>_xlfn.XLOOKUP(Table4[[#This Row],[Ext Finish]],Master_Table4[System Name],Master_Table4[Compatible Systems],FALSE)</f>
        <v>0</v>
      </c>
      <c r="O193" t="str">
        <f>IF(ISNUMBER(SEARCH(Table4[[#This Row],[MMC Method]],Table4[[#This Row],[Compatible Systems]])),"YES","NO")</f>
        <v>YES</v>
      </c>
      <c r="P193" t="e">
        <f>GETPIVOTDATA("Sum of A1-A3 Fossil kg CO2e/m^2 wall area",'COMPONENT PIVOT REF'!$I$3,"System Name",Table4[[#This Row],[Ext Finish]])</f>
        <v>#REF!</v>
      </c>
      <c r="Q193" t="e">
        <f>GETPIVOTDATA("Sum of  R value (m^2-K/W)",'COMPONENT PIVOT REF'!$I$3,"System Name",Table4[[#This Row],[Ext Finish]])</f>
        <v>#REF!</v>
      </c>
      <c r="R193" t="e">
        <f>GETPIVOTDATA("Sum of Total Mass per m^2 (kg)",'COMPONENT PIVOT REF'!$I$3,"System Name",Table4[[#This Row],[Ext Finish]])</f>
        <v>#REF!</v>
      </c>
      <c r="T193">
        <f>_xlfn.XLOOKUP(Table4[[#This Row],[Int Finish]],Master_Table6[System Name],Master_Table6[System Name (Short)],FALSE)</f>
        <v>0</v>
      </c>
      <c r="U193" t="e">
        <f>GETPIVOTDATA("Sum of A1-A3 Fossil kg CO2e/m^2 wall area",'COMPONENT PIVOT REF'!$P$3,"System Name",Table4[[#This Row],[Int Finish]])</f>
        <v>#REF!</v>
      </c>
      <c r="V193" t="e">
        <f>GETPIVOTDATA("Sum of  R value (m^2-K/W)",'COMPONENT PIVOT REF'!$P$3,"System Name",Table4[[#This Row],[Int Finish]])</f>
        <v>#REF!</v>
      </c>
      <c r="W193" t="e">
        <f>GETPIVOTDATA("Sum of Total Mass per m^2 (kg)",'COMPONENT PIVOT REF'!$P$3,"System Name",Table4[[#This Row],[Int Finish]])</f>
        <v>#REF!</v>
      </c>
      <c r="X193" t="e">
        <f>Table4[[#This Row],[Ext Finish GWP]]+Table4[[#This Row],[Base GWP]]+Table4[[#This Row],[Int Finish GWP]]</f>
        <v>#REF!</v>
      </c>
      <c r="Y193" t="e">
        <f>Table4[[#This Row],[Ext Finish R Value]]+Table4[[#This Row],[Base R Value]]+Table4[[#This Row],[Int Finish R Value]]</f>
        <v>#REF!</v>
      </c>
      <c r="Z193" t="e">
        <f>1/Table4[[#This Row],[Total R value]]</f>
        <v>#REF!</v>
      </c>
      <c r="AA193" t="e">
        <f>Table4[[#This Row],[Int Finish Mass]]+Table4[[#This Row],[Ext Finish Mass]]+Table4[[#This Row],[Base Mass]]</f>
        <v>#REF!</v>
      </c>
    </row>
    <row r="194" spans="3:27" x14ac:dyDescent="0.35">
      <c r="C194" t="str">
        <f>_xlfn.CONCAT(Table4[[#This Row],[System Name (Short)]],"_",Table4[[#This Row],[Ext Finish Name (Short)]],"_",Table4[[#This Row],[Int Finish Name (Short)]])</f>
        <v>0_0_0</v>
      </c>
      <c r="E194">
        <f>_xlfn.XLOOKUP(Table4[[#This Row],[Base System]],BASE_SYSTEM_TABLE[System Name],BASE_SYSTEM_TABLE[System Name (Short)],FALSE)</f>
        <v>0</v>
      </c>
      <c r="F194">
        <f>_xlfn.XLOOKUP(Table4[[#This Row],[Base System]],BASE_SYSTEM_TABLE[System Name],BASE_SYSTEM_TABLE[System Type],FALSE)</f>
        <v>0</v>
      </c>
      <c r="G194">
        <f>_xlfn.XLOOKUP(Table4[[#This Row],[Base System]],BASE_SYSTEM_TABLE[System Name],BASE_SYSTEM_TABLE[System Subtype],FALSE)</f>
        <v>0</v>
      </c>
      <c r="H194">
        <f>_xlfn.XLOOKUP(Table4[[#This Row],[Base System]],BASE_SYSTEM_TABLE[System Name],BASE_SYSTEM_TABLE[Construction Type (Framed or Planar)],FALSE)</f>
        <v>0</v>
      </c>
      <c r="I194" t="e">
        <f>GETPIVOTDATA("Sum of A1-A3 Fossil kg CO2e/m^2 wall area",'COMPONENT PIVOT REF'!$A$3,"System Name",Table4[[#This Row],[Base System]])</f>
        <v>#REF!</v>
      </c>
      <c r="J194" t="e">
        <f>GETPIVOTDATA("Sum of  R value (m^2-K/W)",'COMPONENT PIVOT REF'!$A$3,"System Name",Table4[[#This Row],[Base System]])</f>
        <v>#REF!</v>
      </c>
      <c r="K194" t="e">
        <f>GETPIVOTDATA("Sum of Total Mass per m^2 (kg)",'COMPONENT PIVOT REF'!$A$3,"System Name",Table4[[#This Row],[Base System]])</f>
        <v>#REF!</v>
      </c>
      <c r="M194">
        <f>_xlfn.XLOOKUP(Table4[[#This Row],[Ext Finish]],Master_Table4[System Name],Master_Table4[System Name (Short)],FALSE)</f>
        <v>0</v>
      </c>
      <c r="N194">
        <f>_xlfn.XLOOKUP(Table4[[#This Row],[Ext Finish]],Master_Table4[System Name],Master_Table4[Compatible Systems],FALSE)</f>
        <v>0</v>
      </c>
      <c r="O194" t="str">
        <f>IF(ISNUMBER(SEARCH(Table4[[#This Row],[MMC Method]],Table4[[#This Row],[Compatible Systems]])),"YES","NO")</f>
        <v>YES</v>
      </c>
      <c r="P194" t="e">
        <f>GETPIVOTDATA("Sum of A1-A3 Fossil kg CO2e/m^2 wall area",'COMPONENT PIVOT REF'!$I$3,"System Name",Table4[[#This Row],[Ext Finish]])</f>
        <v>#REF!</v>
      </c>
      <c r="Q194" t="e">
        <f>GETPIVOTDATA("Sum of  R value (m^2-K/W)",'COMPONENT PIVOT REF'!$I$3,"System Name",Table4[[#This Row],[Ext Finish]])</f>
        <v>#REF!</v>
      </c>
      <c r="R194" t="e">
        <f>GETPIVOTDATA("Sum of Total Mass per m^2 (kg)",'COMPONENT PIVOT REF'!$I$3,"System Name",Table4[[#This Row],[Ext Finish]])</f>
        <v>#REF!</v>
      </c>
      <c r="T194">
        <f>_xlfn.XLOOKUP(Table4[[#This Row],[Int Finish]],Master_Table6[System Name],Master_Table6[System Name (Short)],FALSE)</f>
        <v>0</v>
      </c>
      <c r="U194" t="e">
        <f>GETPIVOTDATA("Sum of A1-A3 Fossil kg CO2e/m^2 wall area",'COMPONENT PIVOT REF'!$P$3,"System Name",Table4[[#This Row],[Int Finish]])</f>
        <v>#REF!</v>
      </c>
      <c r="V194" t="e">
        <f>GETPIVOTDATA("Sum of  R value (m^2-K/W)",'COMPONENT PIVOT REF'!$P$3,"System Name",Table4[[#This Row],[Int Finish]])</f>
        <v>#REF!</v>
      </c>
      <c r="W194" t="e">
        <f>GETPIVOTDATA("Sum of Total Mass per m^2 (kg)",'COMPONENT PIVOT REF'!$P$3,"System Name",Table4[[#This Row],[Int Finish]])</f>
        <v>#REF!</v>
      </c>
      <c r="X194" t="e">
        <f>Table4[[#This Row],[Ext Finish GWP]]+Table4[[#This Row],[Base GWP]]+Table4[[#This Row],[Int Finish GWP]]</f>
        <v>#REF!</v>
      </c>
      <c r="Y194" t="e">
        <f>Table4[[#This Row],[Ext Finish R Value]]+Table4[[#This Row],[Base R Value]]+Table4[[#This Row],[Int Finish R Value]]</f>
        <v>#REF!</v>
      </c>
      <c r="Z194" t="e">
        <f>1/Table4[[#This Row],[Total R value]]</f>
        <v>#REF!</v>
      </c>
      <c r="AA194" t="e">
        <f>Table4[[#This Row],[Int Finish Mass]]+Table4[[#This Row],[Ext Finish Mass]]+Table4[[#This Row],[Base Mass]]</f>
        <v>#REF!</v>
      </c>
    </row>
    <row r="195" spans="3:27" x14ac:dyDescent="0.35">
      <c r="C195" t="str">
        <f>_xlfn.CONCAT(Table4[[#This Row],[System Name (Short)]],"_",Table4[[#This Row],[Ext Finish Name (Short)]],"_",Table4[[#This Row],[Int Finish Name (Short)]])</f>
        <v>0_0_0</v>
      </c>
      <c r="E195">
        <f>_xlfn.XLOOKUP(Table4[[#This Row],[Base System]],BASE_SYSTEM_TABLE[System Name],BASE_SYSTEM_TABLE[System Name (Short)],FALSE)</f>
        <v>0</v>
      </c>
      <c r="F195">
        <f>_xlfn.XLOOKUP(Table4[[#This Row],[Base System]],BASE_SYSTEM_TABLE[System Name],BASE_SYSTEM_TABLE[System Type],FALSE)</f>
        <v>0</v>
      </c>
      <c r="G195">
        <f>_xlfn.XLOOKUP(Table4[[#This Row],[Base System]],BASE_SYSTEM_TABLE[System Name],BASE_SYSTEM_TABLE[System Subtype],FALSE)</f>
        <v>0</v>
      </c>
      <c r="H195">
        <f>_xlfn.XLOOKUP(Table4[[#This Row],[Base System]],BASE_SYSTEM_TABLE[System Name],BASE_SYSTEM_TABLE[Construction Type (Framed or Planar)],FALSE)</f>
        <v>0</v>
      </c>
      <c r="I195" t="e">
        <f>GETPIVOTDATA("Sum of A1-A3 Fossil kg CO2e/m^2 wall area",'COMPONENT PIVOT REF'!$A$3,"System Name",Table4[[#This Row],[Base System]])</f>
        <v>#REF!</v>
      </c>
      <c r="J195" t="e">
        <f>GETPIVOTDATA("Sum of  R value (m^2-K/W)",'COMPONENT PIVOT REF'!$A$3,"System Name",Table4[[#This Row],[Base System]])</f>
        <v>#REF!</v>
      </c>
      <c r="K195" t="e">
        <f>GETPIVOTDATA("Sum of Total Mass per m^2 (kg)",'COMPONENT PIVOT REF'!$A$3,"System Name",Table4[[#This Row],[Base System]])</f>
        <v>#REF!</v>
      </c>
      <c r="M195">
        <f>_xlfn.XLOOKUP(Table4[[#This Row],[Ext Finish]],Master_Table4[System Name],Master_Table4[System Name (Short)],FALSE)</f>
        <v>0</v>
      </c>
      <c r="N195">
        <f>_xlfn.XLOOKUP(Table4[[#This Row],[Ext Finish]],Master_Table4[System Name],Master_Table4[Compatible Systems],FALSE)</f>
        <v>0</v>
      </c>
      <c r="O195" t="str">
        <f>IF(ISNUMBER(SEARCH(Table4[[#This Row],[MMC Method]],Table4[[#This Row],[Compatible Systems]])),"YES","NO")</f>
        <v>YES</v>
      </c>
      <c r="P195" t="e">
        <f>GETPIVOTDATA("Sum of A1-A3 Fossil kg CO2e/m^2 wall area",'COMPONENT PIVOT REF'!$I$3,"System Name",Table4[[#This Row],[Ext Finish]])</f>
        <v>#REF!</v>
      </c>
      <c r="Q195" t="e">
        <f>GETPIVOTDATA("Sum of  R value (m^2-K/W)",'COMPONENT PIVOT REF'!$I$3,"System Name",Table4[[#This Row],[Ext Finish]])</f>
        <v>#REF!</v>
      </c>
      <c r="R195" t="e">
        <f>GETPIVOTDATA("Sum of Total Mass per m^2 (kg)",'COMPONENT PIVOT REF'!$I$3,"System Name",Table4[[#This Row],[Ext Finish]])</f>
        <v>#REF!</v>
      </c>
      <c r="T195">
        <f>_xlfn.XLOOKUP(Table4[[#This Row],[Int Finish]],Master_Table6[System Name],Master_Table6[System Name (Short)],FALSE)</f>
        <v>0</v>
      </c>
      <c r="U195" t="e">
        <f>GETPIVOTDATA("Sum of A1-A3 Fossil kg CO2e/m^2 wall area",'COMPONENT PIVOT REF'!$P$3,"System Name",Table4[[#This Row],[Int Finish]])</f>
        <v>#REF!</v>
      </c>
      <c r="V195" t="e">
        <f>GETPIVOTDATA("Sum of  R value (m^2-K/W)",'COMPONENT PIVOT REF'!$P$3,"System Name",Table4[[#This Row],[Int Finish]])</f>
        <v>#REF!</v>
      </c>
      <c r="W195" t="e">
        <f>GETPIVOTDATA("Sum of Total Mass per m^2 (kg)",'COMPONENT PIVOT REF'!$P$3,"System Name",Table4[[#This Row],[Int Finish]])</f>
        <v>#REF!</v>
      </c>
      <c r="X195" t="e">
        <f>Table4[[#This Row],[Ext Finish GWP]]+Table4[[#This Row],[Base GWP]]+Table4[[#This Row],[Int Finish GWP]]</f>
        <v>#REF!</v>
      </c>
      <c r="Y195" t="e">
        <f>Table4[[#This Row],[Ext Finish R Value]]+Table4[[#This Row],[Base R Value]]+Table4[[#This Row],[Int Finish R Value]]</f>
        <v>#REF!</v>
      </c>
      <c r="Z195" t="e">
        <f>1/Table4[[#This Row],[Total R value]]</f>
        <v>#REF!</v>
      </c>
      <c r="AA195" t="e">
        <f>Table4[[#This Row],[Int Finish Mass]]+Table4[[#This Row],[Ext Finish Mass]]+Table4[[#This Row],[Base Mass]]</f>
        <v>#REF!</v>
      </c>
    </row>
    <row r="196" spans="3:27" x14ac:dyDescent="0.35">
      <c r="C196" t="str">
        <f>_xlfn.CONCAT(Table4[[#This Row],[System Name (Short)]],"_",Table4[[#This Row],[Ext Finish Name (Short)]],"_",Table4[[#This Row],[Int Finish Name (Short)]])</f>
        <v>0_0_0</v>
      </c>
      <c r="E196">
        <f>_xlfn.XLOOKUP(Table4[[#This Row],[Base System]],BASE_SYSTEM_TABLE[System Name],BASE_SYSTEM_TABLE[System Name (Short)],FALSE)</f>
        <v>0</v>
      </c>
      <c r="F196">
        <f>_xlfn.XLOOKUP(Table4[[#This Row],[Base System]],BASE_SYSTEM_TABLE[System Name],BASE_SYSTEM_TABLE[System Type],FALSE)</f>
        <v>0</v>
      </c>
      <c r="G196">
        <f>_xlfn.XLOOKUP(Table4[[#This Row],[Base System]],BASE_SYSTEM_TABLE[System Name],BASE_SYSTEM_TABLE[System Subtype],FALSE)</f>
        <v>0</v>
      </c>
      <c r="H196">
        <f>_xlfn.XLOOKUP(Table4[[#This Row],[Base System]],BASE_SYSTEM_TABLE[System Name],BASE_SYSTEM_TABLE[Construction Type (Framed or Planar)],FALSE)</f>
        <v>0</v>
      </c>
      <c r="I196" t="e">
        <f>GETPIVOTDATA("Sum of A1-A3 Fossil kg CO2e/m^2 wall area",'COMPONENT PIVOT REF'!$A$3,"System Name",Table4[[#This Row],[Base System]])</f>
        <v>#REF!</v>
      </c>
      <c r="J196" t="e">
        <f>GETPIVOTDATA("Sum of  R value (m^2-K/W)",'COMPONENT PIVOT REF'!$A$3,"System Name",Table4[[#This Row],[Base System]])</f>
        <v>#REF!</v>
      </c>
      <c r="K196" t="e">
        <f>GETPIVOTDATA("Sum of Total Mass per m^2 (kg)",'COMPONENT PIVOT REF'!$A$3,"System Name",Table4[[#This Row],[Base System]])</f>
        <v>#REF!</v>
      </c>
      <c r="M196">
        <f>_xlfn.XLOOKUP(Table4[[#This Row],[Ext Finish]],Master_Table4[System Name],Master_Table4[System Name (Short)],FALSE)</f>
        <v>0</v>
      </c>
      <c r="N196">
        <f>_xlfn.XLOOKUP(Table4[[#This Row],[Ext Finish]],Master_Table4[System Name],Master_Table4[Compatible Systems],FALSE)</f>
        <v>0</v>
      </c>
      <c r="O196" t="str">
        <f>IF(ISNUMBER(SEARCH(Table4[[#This Row],[MMC Method]],Table4[[#This Row],[Compatible Systems]])),"YES","NO")</f>
        <v>YES</v>
      </c>
      <c r="P196" t="e">
        <f>GETPIVOTDATA("Sum of A1-A3 Fossil kg CO2e/m^2 wall area",'COMPONENT PIVOT REF'!$I$3,"System Name",Table4[[#This Row],[Ext Finish]])</f>
        <v>#REF!</v>
      </c>
      <c r="Q196" t="e">
        <f>GETPIVOTDATA("Sum of  R value (m^2-K/W)",'COMPONENT PIVOT REF'!$I$3,"System Name",Table4[[#This Row],[Ext Finish]])</f>
        <v>#REF!</v>
      </c>
      <c r="R196" t="e">
        <f>GETPIVOTDATA("Sum of Total Mass per m^2 (kg)",'COMPONENT PIVOT REF'!$I$3,"System Name",Table4[[#This Row],[Ext Finish]])</f>
        <v>#REF!</v>
      </c>
      <c r="T196">
        <f>_xlfn.XLOOKUP(Table4[[#This Row],[Int Finish]],Master_Table6[System Name],Master_Table6[System Name (Short)],FALSE)</f>
        <v>0</v>
      </c>
      <c r="U196" t="e">
        <f>GETPIVOTDATA("Sum of A1-A3 Fossil kg CO2e/m^2 wall area",'COMPONENT PIVOT REF'!$P$3,"System Name",Table4[[#This Row],[Int Finish]])</f>
        <v>#REF!</v>
      </c>
      <c r="V196" t="e">
        <f>GETPIVOTDATA("Sum of  R value (m^2-K/W)",'COMPONENT PIVOT REF'!$P$3,"System Name",Table4[[#This Row],[Int Finish]])</f>
        <v>#REF!</v>
      </c>
      <c r="W196" t="e">
        <f>GETPIVOTDATA("Sum of Total Mass per m^2 (kg)",'COMPONENT PIVOT REF'!$P$3,"System Name",Table4[[#This Row],[Int Finish]])</f>
        <v>#REF!</v>
      </c>
      <c r="X196" t="e">
        <f>Table4[[#This Row],[Ext Finish GWP]]+Table4[[#This Row],[Base GWP]]+Table4[[#This Row],[Int Finish GWP]]</f>
        <v>#REF!</v>
      </c>
      <c r="Y196" t="e">
        <f>Table4[[#This Row],[Ext Finish R Value]]+Table4[[#This Row],[Base R Value]]+Table4[[#This Row],[Int Finish R Value]]</f>
        <v>#REF!</v>
      </c>
      <c r="Z196" t="e">
        <f>1/Table4[[#This Row],[Total R value]]</f>
        <v>#REF!</v>
      </c>
      <c r="AA196" t="e">
        <f>Table4[[#This Row],[Int Finish Mass]]+Table4[[#This Row],[Ext Finish Mass]]+Table4[[#This Row],[Base Mass]]</f>
        <v>#REF!</v>
      </c>
    </row>
    <row r="197" spans="3:27" x14ac:dyDescent="0.35">
      <c r="C197" t="str">
        <f>_xlfn.CONCAT(Table4[[#This Row],[System Name (Short)]],"_",Table4[[#This Row],[Ext Finish Name (Short)]],"_",Table4[[#This Row],[Int Finish Name (Short)]])</f>
        <v>0_0_0</v>
      </c>
      <c r="E197">
        <f>_xlfn.XLOOKUP(Table4[[#This Row],[Base System]],BASE_SYSTEM_TABLE[System Name],BASE_SYSTEM_TABLE[System Name (Short)],FALSE)</f>
        <v>0</v>
      </c>
      <c r="F197">
        <f>_xlfn.XLOOKUP(Table4[[#This Row],[Base System]],BASE_SYSTEM_TABLE[System Name],BASE_SYSTEM_TABLE[System Type],FALSE)</f>
        <v>0</v>
      </c>
      <c r="G197">
        <f>_xlfn.XLOOKUP(Table4[[#This Row],[Base System]],BASE_SYSTEM_TABLE[System Name],BASE_SYSTEM_TABLE[System Subtype],FALSE)</f>
        <v>0</v>
      </c>
      <c r="H197">
        <f>_xlfn.XLOOKUP(Table4[[#This Row],[Base System]],BASE_SYSTEM_TABLE[System Name],BASE_SYSTEM_TABLE[Construction Type (Framed or Planar)],FALSE)</f>
        <v>0</v>
      </c>
      <c r="I197" t="e">
        <f>GETPIVOTDATA("Sum of A1-A3 Fossil kg CO2e/m^2 wall area",'COMPONENT PIVOT REF'!$A$3,"System Name",Table4[[#This Row],[Base System]])</f>
        <v>#REF!</v>
      </c>
      <c r="J197" t="e">
        <f>GETPIVOTDATA("Sum of  R value (m^2-K/W)",'COMPONENT PIVOT REF'!$A$3,"System Name",Table4[[#This Row],[Base System]])</f>
        <v>#REF!</v>
      </c>
      <c r="K197" t="e">
        <f>GETPIVOTDATA("Sum of Total Mass per m^2 (kg)",'COMPONENT PIVOT REF'!$A$3,"System Name",Table4[[#This Row],[Base System]])</f>
        <v>#REF!</v>
      </c>
      <c r="M197">
        <f>_xlfn.XLOOKUP(Table4[[#This Row],[Ext Finish]],Master_Table4[System Name],Master_Table4[System Name (Short)],FALSE)</f>
        <v>0</v>
      </c>
      <c r="N197">
        <f>_xlfn.XLOOKUP(Table4[[#This Row],[Ext Finish]],Master_Table4[System Name],Master_Table4[Compatible Systems],FALSE)</f>
        <v>0</v>
      </c>
      <c r="O197" t="str">
        <f>IF(ISNUMBER(SEARCH(Table4[[#This Row],[MMC Method]],Table4[[#This Row],[Compatible Systems]])),"YES","NO")</f>
        <v>YES</v>
      </c>
      <c r="P197" t="e">
        <f>GETPIVOTDATA("Sum of A1-A3 Fossil kg CO2e/m^2 wall area",'COMPONENT PIVOT REF'!$I$3,"System Name",Table4[[#This Row],[Ext Finish]])</f>
        <v>#REF!</v>
      </c>
      <c r="Q197" t="e">
        <f>GETPIVOTDATA("Sum of  R value (m^2-K/W)",'COMPONENT PIVOT REF'!$I$3,"System Name",Table4[[#This Row],[Ext Finish]])</f>
        <v>#REF!</v>
      </c>
      <c r="R197" t="e">
        <f>GETPIVOTDATA("Sum of Total Mass per m^2 (kg)",'COMPONENT PIVOT REF'!$I$3,"System Name",Table4[[#This Row],[Ext Finish]])</f>
        <v>#REF!</v>
      </c>
      <c r="T197">
        <f>_xlfn.XLOOKUP(Table4[[#This Row],[Int Finish]],Master_Table6[System Name],Master_Table6[System Name (Short)],FALSE)</f>
        <v>0</v>
      </c>
      <c r="U197" t="e">
        <f>GETPIVOTDATA("Sum of A1-A3 Fossil kg CO2e/m^2 wall area",'COMPONENT PIVOT REF'!$P$3,"System Name",Table4[[#This Row],[Int Finish]])</f>
        <v>#REF!</v>
      </c>
      <c r="V197" t="e">
        <f>GETPIVOTDATA("Sum of  R value (m^2-K/W)",'COMPONENT PIVOT REF'!$P$3,"System Name",Table4[[#This Row],[Int Finish]])</f>
        <v>#REF!</v>
      </c>
      <c r="W197" t="e">
        <f>GETPIVOTDATA("Sum of Total Mass per m^2 (kg)",'COMPONENT PIVOT REF'!$P$3,"System Name",Table4[[#This Row],[Int Finish]])</f>
        <v>#REF!</v>
      </c>
      <c r="X197" t="e">
        <f>Table4[[#This Row],[Ext Finish GWP]]+Table4[[#This Row],[Base GWP]]+Table4[[#This Row],[Int Finish GWP]]</f>
        <v>#REF!</v>
      </c>
      <c r="Y197" t="e">
        <f>Table4[[#This Row],[Ext Finish R Value]]+Table4[[#This Row],[Base R Value]]+Table4[[#This Row],[Int Finish R Value]]</f>
        <v>#REF!</v>
      </c>
      <c r="Z197" t="e">
        <f>1/Table4[[#This Row],[Total R value]]</f>
        <v>#REF!</v>
      </c>
      <c r="AA197" t="e">
        <f>Table4[[#This Row],[Int Finish Mass]]+Table4[[#This Row],[Ext Finish Mass]]+Table4[[#This Row],[Base Mass]]</f>
        <v>#REF!</v>
      </c>
    </row>
    <row r="198" spans="3:27" x14ac:dyDescent="0.35">
      <c r="C198" t="str">
        <f>_xlfn.CONCAT(Table4[[#This Row],[System Name (Short)]],"_",Table4[[#This Row],[Ext Finish Name (Short)]],"_",Table4[[#This Row],[Int Finish Name (Short)]])</f>
        <v>0_0_0</v>
      </c>
      <c r="E198">
        <f>_xlfn.XLOOKUP(Table4[[#This Row],[Base System]],BASE_SYSTEM_TABLE[System Name],BASE_SYSTEM_TABLE[System Name (Short)],FALSE)</f>
        <v>0</v>
      </c>
      <c r="F198">
        <f>_xlfn.XLOOKUP(Table4[[#This Row],[Base System]],BASE_SYSTEM_TABLE[System Name],BASE_SYSTEM_TABLE[System Type],FALSE)</f>
        <v>0</v>
      </c>
      <c r="G198">
        <f>_xlfn.XLOOKUP(Table4[[#This Row],[Base System]],BASE_SYSTEM_TABLE[System Name],BASE_SYSTEM_TABLE[System Subtype],FALSE)</f>
        <v>0</v>
      </c>
      <c r="H198">
        <f>_xlfn.XLOOKUP(Table4[[#This Row],[Base System]],BASE_SYSTEM_TABLE[System Name],BASE_SYSTEM_TABLE[Construction Type (Framed or Planar)],FALSE)</f>
        <v>0</v>
      </c>
      <c r="I198" t="e">
        <f>GETPIVOTDATA("Sum of A1-A3 Fossil kg CO2e/m^2 wall area",'COMPONENT PIVOT REF'!$A$3,"System Name",Table4[[#This Row],[Base System]])</f>
        <v>#REF!</v>
      </c>
      <c r="J198" t="e">
        <f>GETPIVOTDATA("Sum of  R value (m^2-K/W)",'COMPONENT PIVOT REF'!$A$3,"System Name",Table4[[#This Row],[Base System]])</f>
        <v>#REF!</v>
      </c>
      <c r="K198" t="e">
        <f>GETPIVOTDATA("Sum of Total Mass per m^2 (kg)",'COMPONENT PIVOT REF'!$A$3,"System Name",Table4[[#This Row],[Base System]])</f>
        <v>#REF!</v>
      </c>
      <c r="M198">
        <f>_xlfn.XLOOKUP(Table4[[#This Row],[Ext Finish]],Master_Table4[System Name],Master_Table4[System Name (Short)],FALSE)</f>
        <v>0</v>
      </c>
      <c r="N198">
        <f>_xlfn.XLOOKUP(Table4[[#This Row],[Ext Finish]],Master_Table4[System Name],Master_Table4[Compatible Systems],FALSE)</f>
        <v>0</v>
      </c>
      <c r="O198" t="str">
        <f>IF(ISNUMBER(SEARCH(Table4[[#This Row],[MMC Method]],Table4[[#This Row],[Compatible Systems]])),"YES","NO")</f>
        <v>YES</v>
      </c>
      <c r="P198" t="e">
        <f>GETPIVOTDATA("Sum of A1-A3 Fossil kg CO2e/m^2 wall area",'COMPONENT PIVOT REF'!$I$3,"System Name",Table4[[#This Row],[Ext Finish]])</f>
        <v>#REF!</v>
      </c>
      <c r="Q198" t="e">
        <f>GETPIVOTDATA("Sum of  R value (m^2-K/W)",'COMPONENT PIVOT REF'!$I$3,"System Name",Table4[[#This Row],[Ext Finish]])</f>
        <v>#REF!</v>
      </c>
      <c r="R198" t="e">
        <f>GETPIVOTDATA("Sum of Total Mass per m^2 (kg)",'COMPONENT PIVOT REF'!$I$3,"System Name",Table4[[#This Row],[Ext Finish]])</f>
        <v>#REF!</v>
      </c>
      <c r="T198">
        <f>_xlfn.XLOOKUP(Table4[[#This Row],[Int Finish]],Master_Table6[System Name],Master_Table6[System Name (Short)],FALSE)</f>
        <v>0</v>
      </c>
      <c r="U198" t="e">
        <f>GETPIVOTDATA("Sum of A1-A3 Fossil kg CO2e/m^2 wall area",'COMPONENT PIVOT REF'!$P$3,"System Name",Table4[[#This Row],[Int Finish]])</f>
        <v>#REF!</v>
      </c>
      <c r="V198" t="e">
        <f>GETPIVOTDATA("Sum of  R value (m^2-K/W)",'COMPONENT PIVOT REF'!$P$3,"System Name",Table4[[#This Row],[Int Finish]])</f>
        <v>#REF!</v>
      </c>
      <c r="W198" t="e">
        <f>GETPIVOTDATA("Sum of Total Mass per m^2 (kg)",'COMPONENT PIVOT REF'!$P$3,"System Name",Table4[[#This Row],[Int Finish]])</f>
        <v>#REF!</v>
      </c>
      <c r="X198" t="e">
        <f>Table4[[#This Row],[Ext Finish GWP]]+Table4[[#This Row],[Base GWP]]+Table4[[#This Row],[Int Finish GWP]]</f>
        <v>#REF!</v>
      </c>
      <c r="Y198" t="e">
        <f>Table4[[#This Row],[Ext Finish R Value]]+Table4[[#This Row],[Base R Value]]+Table4[[#This Row],[Int Finish R Value]]</f>
        <v>#REF!</v>
      </c>
      <c r="Z198" t="e">
        <f>1/Table4[[#This Row],[Total R value]]</f>
        <v>#REF!</v>
      </c>
      <c r="AA198" t="e">
        <f>Table4[[#This Row],[Int Finish Mass]]+Table4[[#This Row],[Ext Finish Mass]]+Table4[[#This Row],[Base Mass]]</f>
        <v>#REF!</v>
      </c>
    </row>
    <row r="199" spans="3:27" x14ac:dyDescent="0.35">
      <c r="C199" t="str">
        <f>_xlfn.CONCAT(Table4[[#This Row],[System Name (Short)]],"_",Table4[[#This Row],[Ext Finish Name (Short)]],"_",Table4[[#This Row],[Int Finish Name (Short)]])</f>
        <v>0_0_0</v>
      </c>
      <c r="E199">
        <f>_xlfn.XLOOKUP(Table4[[#This Row],[Base System]],BASE_SYSTEM_TABLE[System Name],BASE_SYSTEM_TABLE[System Name (Short)],FALSE)</f>
        <v>0</v>
      </c>
      <c r="F199">
        <f>_xlfn.XLOOKUP(Table4[[#This Row],[Base System]],BASE_SYSTEM_TABLE[System Name],BASE_SYSTEM_TABLE[System Type],FALSE)</f>
        <v>0</v>
      </c>
      <c r="G199">
        <f>_xlfn.XLOOKUP(Table4[[#This Row],[Base System]],BASE_SYSTEM_TABLE[System Name],BASE_SYSTEM_TABLE[System Subtype],FALSE)</f>
        <v>0</v>
      </c>
      <c r="H199">
        <f>_xlfn.XLOOKUP(Table4[[#This Row],[Base System]],BASE_SYSTEM_TABLE[System Name],BASE_SYSTEM_TABLE[Construction Type (Framed or Planar)],FALSE)</f>
        <v>0</v>
      </c>
      <c r="I199" t="e">
        <f>GETPIVOTDATA("Sum of A1-A3 Fossil kg CO2e/m^2 wall area",'COMPONENT PIVOT REF'!$A$3,"System Name",Table4[[#This Row],[Base System]])</f>
        <v>#REF!</v>
      </c>
      <c r="J199" t="e">
        <f>GETPIVOTDATA("Sum of  R value (m^2-K/W)",'COMPONENT PIVOT REF'!$A$3,"System Name",Table4[[#This Row],[Base System]])</f>
        <v>#REF!</v>
      </c>
      <c r="K199" t="e">
        <f>GETPIVOTDATA("Sum of Total Mass per m^2 (kg)",'COMPONENT PIVOT REF'!$A$3,"System Name",Table4[[#This Row],[Base System]])</f>
        <v>#REF!</v>
      </c>
      <c r="M199">
        <f>_xlfn.XLOOKUP(Table4[[#This Row],[Ext Finish]],Master_Table4[System Name],Master_Table4[System Name (Short)],FALSE)</f>
        <v>0</v>
      </c>
      <c r="N199">
        <f>_xlfn.XLOOKUP(Table4[[#This Row],[Ext Finish]],Master_Table4[System Name],Master_Table4[Compatible Systems],FALSE)</f>
        <v>0</v>
      </c>
      <c r="O199" t="str">
        <f>IF(ISNUMBER(SEARCH(Table4[[#This Row],[MMC Method]],Table4[[#This Row],[Compatible Systems]])),"YES","NO")</f>
        <v>YES</v>
      </c>
      <c r="P199" t="e">
        <f>GETPIVOTDATA("Sum of A1-A3 Fossil kg CO2e/m^2 wall area",'COMPONENT PIVOT REF'!$I$3,"System Name",Table4[[#This Row],[Ext Finish]])</f>
        <v>#REF!</v>
      </c>
      <c r="Q199" t="e">
        <f>GETPIVOTDATA("Sum of  R value (m^2-K/W)",'COMPONENT PIVOT REF'!$I$3,"System Name",Table4[[#This Row],[Ext Finish]])</f>
        <v>#REF!</v>
      </c>
      <c r="R199" t="e">
        <f>GETPIVOTDATA("Sum of Total Mass per m^2 (kg)",'COMPONENT PIVOT REF'!$I$3,"System Name",Table4[[#This Row],[Ext Finish]])</f>
        <v>#REF!</v>
      </c>
      <c r="T199">
        <f>_xlfn.XLOOKUP(Table4[[#This Row],[Int Finish]],Master_Table6[System Name],Master_Table6[System Name (Short)],FALSE)</f>
        <v>0</v>
      </c>
      <c r="U199" t="e">
        <f>GETPIVOTDATA("Sum of A1-A3 Fossil kg CO2e/m^2 wall area",'COMPONENT PIVOT REF'!$P$3,"System Name",Table4[[#This Row],[Int Finish]])</f>
        <v>#REF!</v>
      </c>
      <c r="V199" t="e">
        <f>GETPIVOTDATA("Sum of  R value (m^2-K/W)",'COMPONENT PIVOT REF'!$P$3,"System Name",Table4[[#This Row],[Int Finish]])</f>
        <v>#REF!</v>
      </c>
      <c r="W199" t="e">
        <f>GETPIVOTDATA("Sum of Total Mass per m^2 (kg)",'COMPONENT PIVOT REF'!$P$3,"System Name",Table4[[#This Row],[Int Finish]])</f>
        <v>#REF!</v>
      </c>
      <c r="X199" t="e">
        <f>Table4[[#This Row],[Ext Finish GWP]]+Table4[[#This Row],[Base GWP]]+Table4[[#This Row],[Int Finish GWP]]</f>
        <v>#REF!</v>
      </c>
      <c r="Y199" t="e">
        <f>Table4[[#This Row],[Ext Finish R Value]]+Table4[[#This Row],[Base R Value]]+Table4[[#This Row],[Int Finish R Value]]</f>
        <v>#REF!</v>
      </c>
      <c r="Z199" t="e">
        <f>1/Table4[[#This Row],[Total R value]]</f>
        <v>#REF!</v>
      </c>
      <c r="AA199" t="e">
        <f>Table4[[#This Row],[Int Finish Mass]]+Table4[[#This Row],[Ext Finish Mass]]+Table4[[#This Row],[Base Mass]]</f>
        <v>#REF!</v>
      </c>
    </row>
    <row r="200" spans="3:27" x14ac:dyDescent="0.35">
      <c r="C200" t="str">
        <f>_xlfn.CONCAT(Table4[[#This Row],[System Name (Short)]],"_",Table4[[#This Row],[Ext Finish Name (Short)]],"_",Table4[[#This Row],[Int Finish Name (Short)]])</f>
        <v>0_0_0</v>
      </c>
      <c r="E200">
        <f>_xlfn.XLOOKUP(Table4[[#This Row],[Base System]],BASE_SYSTEM_TABLE[System Name],BASE_SYSTEM_TABLE[System Name (Short)],FALSE)</f>
        <v>0</v>
      </c>
      <c r="F200">
        <f>_xlfn.XLOOKUP(Table4[[#This Row],[Base System]],BASE_SYSTEM_TABLE[System Name],BASE_SYSTEM_TABLE[System Type],FALSE)</f>
        <v>0</v>
      </c>
      <c r="G200">
        <f>_xlfn.XLOOKUP(Table4[[#This Row],[Base System]],BASE_SYSTEM_TABLE[System Name],BASE_SYSTEM_TABLE[System Subtype],FALSE)</f>
        <v>0</v>
      </c>
      <c r="H200">
        <f>_xlfn.XLOOKUP(Table4[[#This Row],[Base System]],BASE_SYSTEM_TABLE[System Name],BASE_SYSTEM_TABLE[Construction Type (Framed or Planar)],FALSE)</f>
        <v>0</v>
      </c>
      <c r="I200" t="e">
        <f>GETPIVOTDATA("Sum of A1-A3 Fossil kg CO2e/m^2 wall area",'COMPONENT PIVOT REF'!$A$3,"System Name",Table4[[#This Row],[Base System]])</f>
        <v>#REF!</v>
      </c>
      <c r="J200" t="e">
        <f>GETPIVOTDATA("Sum of  R value (m^2-K/W)",'COMPONENT PIVOT REF'!$A$3,"System Name",Table4[[#This Row],[Base System]])</f>
        <v>#REF!</v>
      </c>
      <c r="K200" t="e">
        <f>GETPIVOTDATA("Sum of Total Mass per m^2 (kg)",'COMPONENT PIVOT REF'!$A$3,"System Name",Table4[[#This Row],[Base System]])</f>
        <v>#REF!</v>
      </c>
      <c r="M200">
        <f>_xlfn.XLOOKUP(Table4[[#This Row],[Ext Finish]],Master_Table4[System Name],Master_Table4[System Name (Short)],FALSE)</f>
        <v>0</v>
      </c>
      <c r="N200">
        <f>_xlfn.XLOOKUP(Table4[[#This Row],[Ext Finish]],Master_Table4[System Name],Master_Table4[Compatible Systems],FALSE)</f>
        <v>0</v>
      </c>
      <c r="O200" t="str">
        <f>IF(ISNUMBER(SEARCH(Table4[[#This Row],[MMC Method]],Table4[[#This Row],[Compatible Systems]])),"YES","NO")</f>
        <v>YES</v>
      </c>
      <c r="P200" t="e">
        <f>GETPIVOTDATA("Sum of A1-A3 Fossil kg CO2e/m^2 wall area",'COMPONENT PIVOT REF'!$I$3,"System Name",Table4[[#This Row],[Ext Finish]])</f>
        <v>#REF!</v>
      </c>
      <c r="Q200" t="e">
        <f>GETPIVOTDATA("Sum of  R value (m^2-K/W)",'COMPONENT PIVOT REF'!$I$3,"System Name",Table4[[#This Row],[Ext Finish]])</f>
        <v>#REF!</v>
      </c>
      <c r="R200" t="e">
        <f>GETPIVOTDATA("Sum of Total Mass per m^2 (kg)",'COMPONENT PIVOT REF'!$I$3,"System Name",Table4[[#This Row],[Ext Finish]])</f>
        <v>#REF!</v>
      </c>
      <c r="T200">
        <f>_xlfn.XLOOKUP(Table4[[#This Row],[Int Finish]],Master_Table6[System Name],Master_Table6[System Name (Short)],FALSE)</f>
        <v>0</v>
      </c>
      <c r="U200" t="e">
        <f>GETPIVOTDATA("Sum of A1-A3 Fossil kg CO2e/m^2 wall area",'COMPONENT PIVOT REF'!$P$3,"System Name",Table4[[#This Row],[Int Finish]])</f>
        <v>#REF!</v>
      </c>
      <c r="V200" t="e">
        <f>GETPIVOTDATA("Sum of  R value (m^2-K/W)",'COMPONENT PIVOT REF'!$P$3,"System Name",Table4[[#This Row],[Int Finish]])</f>
        <v>#REF!</v>
      </c>
      <c r="W200" t="e">
        <f>GETPIVOTDATA("Sum of Total Mass per m^2 (kg)",'COMPONENT PIVOT REF'!$P$3,"System Name",Table4[[#This Row],[Int Finish]])</f>
        <v>#REF!</v>
      </c>
      <c r="X200" t="e">
        <f>Table4[[#This Row],[Ext Finish GWP]]+Table4[[#This Row],[Base GWP]]+Table4[[#This Row],[Int Finish GWP]]</f>
        <v>#REF!</v>
      </c>
      <c r="Y200" t="e">
        <f>Table4[[#This Row],[Ext Finish R Value]]+Table4[[#This Row],[Base R Value]]+Table4[[#This Row],[Int Finish R Value]]</f>
        <v>#REF!</v>
      </c>
      <c r="Z200" t="e">
        <f>1/Table4[[#This Row],[Total R value]]</f>
        <v>#REF!</v>
      </c>
      <c r="AA200" t="e">
        <f>Table4[[#This Row],[Int Finish Mass]]+Table4[[#This Row],[Ext Finish Mass]]+Table4[[#This Row],[Base Mass]]</f>
        <v>#REF!</v>
      </c>
    </row>
    <row r="201" spans="3:27" x14ac:dyDescent="0.35">
      <c r="C201" t="str">
        <f>_xlfn.CONCAT(Table4[[#This Row],[System Name (Short)]],"_",Table4[[#This Row],[Ext Finish Name (Short)]],"_",Table4[[#This Row],[Int Finish Name (Short)]])</f>
        <v>0_0_0</v>
      </c>
      <c r="E201">
        <f>_xlfn.XLOOKUP(Table4[[#This Row],[Base System]],BASE_SYSTEM_TABLE[System Name],BASE_SYSTEM_TABLE[System Name (Short)],FALSE)</f>
        <v>0</v>
      </c>
      <c r="F201">
        <f>_xlfn.XLOOKUP(Table4[[#This Row],[Base System]],BASE_SYSTEM_TABLE[System Name],BASE_SYSTEM_TABLE[System Type],FALSE)</f>
        <v>0</v>
      </c>
      <c r="G201">
        <f>_xlfn.XLOOKUP(Table4[[#This Row],[Base System]],BASE_SYSTEM_TABLE[System Name],BASE_SYSTEM_TABLE[System Subtype],FALSE)</f>
        <v>0</v>
      </c>
      <c r="H201">
        <f>_xlfn.XLOOKUP(Table4[[#This Row],[Base System]],BASE_SYSTEM_TABLE[System Name],BASE_SYSTEM_TABLE[Construction Type (Framed or Planar)],FALSE)</f>
        <v>0</v>
      </c>
      <c r="I201" t="e">
        <f>GETPIVOTDATA("Sum of A1-A3 Fossil kg CO2e/m^2 wall area",'COMPONENT PIVOT REF'!$A$3,"System Name",Table4[[#This Row],[Base System]])</f>
        <v>#REF!</v>
      </c>
      <c r="J201" t="e">
        <f>GETPIVOTDATA("Sum of  R value (m^2-K/W)",'COMPONENT PIVOT REF'!$A$3,"System Name",Table4[[#This Row],[Base System]])</f>
        <v>#REF!</v>
      </c>
      <c r="K201" t="e">
        <f>GETPIVOTDATA("Sum of Total Mass per m^2 (kg)",'COMPONENT PIVOT REF'!$A$3,"System Name",Table4[[#This Row],[Base System]])</f>
        <v>#REF!</v>
      </c>
      <c r="M201">
        <f>_xlfn.XLOOKUP(Table4[[#This Row],[Ext Finish]],Master_Table4[System Name],Master_Table4[System Name (Short)],FALSE)</f>
        <v>0</v>
      </c>
      <c r="N201">
        <f>_xlfn.XLOOKUP(Table4[[#This Row],[Ext Finish]],Master_Table4[System Name],Master_Table4[Compatible Systems],FALSE)</f>
        <v>0</v>
      </c>
      <c r="O201" t="str">
        <f>IF(ISNUMBER(SEARCH(Table4[[#This Row],[MMC Method]],Table4[[#This Row],[Compatible Systems]])),"YES","NO")</f>
        <v>YES</v>
      </c>
      <c r="P201" t="e">
        <f>GETPIVOTDATA("Sum of A1-A3 Fossil kg CO2e/m^2 wall area",'COMPONENT PIVOT REF'!$I$3,"System Name",Table4[[#This Row],[Ext Finish]])</f>
        <v>#REF!</v>
      </c>
      <c r="Q201" t="e">
        <f>GETPIVOTDATA("Sum of  R value (m^2-K/W)",'COMPONENT PIVOT REF'!$I$3,"System Name",Table4[[#This Row],[Ext Finish]])</f>
        <v>#REF!</v>
      </c>
      <c r="R201" t="e">
        <f>GETPIVOTDATA("Sum of Total Mass per m^2 (kg)",'COMPONENT PIVOT REF'!$I$3,"System Name",Table4[[#This Row],[Ext Finish]])</f>
        <v>#REF!</v>
      </c>
      <c r="T201">
        <f>_xlfn.XLOOKUP(Table4[[#This Row],[Int Finish]],Master_Table6[System Name],Master_Table6[System Name (Short)],FALSE)</f>
        <v>0</v>
      </c>
      <c r="U201" t="e">
        <f>GETPIVOTDATA("Sum of A1-A3 Fossil kg CO2e/m^2 wall area",'COMPONENT PIVOT REF'!$P$3,"System Name",Table4[[#This Row],[Int Finish]])</f>
        <v>#REF!</v>
      </c>
      <c r="V201" t="e">
        <f>GETPIVOTDATA("Sum of  R value (m^2-K/W)",'COMPONENT PIVOT REF'!$P$3,"System Name",Table4[[#This Row],[Int Finish]])</f>
        <v>#REF!</v>
      </c>
      <c r="W201" t="e">
        <f>GETPIVOTDATA("Sum of Total Mass per m^2 (kg)",'COMPONENT PIVOT REF'!$P$3,"System Name",Table4[[#This Row],[Int Finish]])</f>
        <v>#REF!</v>
      </c>
      <c r="X201" t="e">
        <f>Table4[[#This Row],[Ext Finish GWP]]+Table4[[#This Row],[Base GWP]]+Table4[[#This Row],[Int Finish GWP]]</f>
        <v>#REF!</v>
      </c>
      <c r="Y201" t="e">
        <f>Table4[[#This Row],[Ext Finish R Value]]+Table4[[#This Row],[Base R Value]]+Table4[[#This Row],[Int Finish R Value]]</f>
        <v>#REF!</v>
      </c>
      <c r="Z201" t="e">
        <f>1/Table4[[#This Row],[Total R value]]</f>
        <v>#REF!</v>
      </c>
      <c r="AA201" t="e">
        <f>Table4[[#This Row],[Int Finish Mass]]+Table4[[#This Row],[Ext Finish Mass]]+Table4[[#This Row],[Base Mass]]</f>
        <v>#REF!</v>
      </c>
    </row>
    <row r="202" spans="3:27" x14ac:dyDescent="0.35">
      <c r="C202" t="str">
        <f>_xlfn.CONCAT(Table4[[#This Row],[System Name (Short)]],"_",Table4[[#This Row],[Ext Finish Name (Short)]],"_",Table4[[#This Row],[Int Finish Name (Short)]])</f>
        <v>0_0_0</v>
      </c>
      <c r="E202">
        <f>_xlfn.XLOOKUP(Table4[[#This Row],[Base System]],BASE_SYSTEM_TABLE[System Name],BASE_SYSTEM_TABLE[System Name (Short)],FALSE)</f>
        <v>0</v>
      </c>
      <c r="F202">
        <f>_xlfn.XLOOKUP(Table4[[#This Row],[Base System]],BASE_SYSTEM_TABLE[System Name],BASE_SYSTEM_TABLE[System Type],FALSE)</f>
        <v>0</v>
      </c>
      <c r="G202">
        <f>_xlfn.XLOOKUP(Table4[[#This Row],[Base System]],BASE_SYSTEM_TABLE[System Name],BASE_SYSTEM_TABLE[System Subtype],FALSE)</f>
        <v>0</v>
      </c>
      <c r="H202">
        <f>_xlfn.XLOOKUP(Table4[[#This Row],[Base System]],BASE_SYSTEM_TABLE[System Name],BASE_SYSTEM_TABLE[Construction Type (Framed or Planar)],FALSE)</f>
        <v>0</v>
      </c>
      <c r="I202" t="e">
        <f>GETPIVOTDATA("Sum of A1-A3 Fossil kg CO2e/m^2 wall area",'COMPONENT PIVOT REF'!$A$3,"System Name",Table4[[#This Row],[Base System]])</f>
        <v>#REF!</v>
      </c>
      <c r="J202" t="e">
        <f>GETPIVOTDATA("Sum of  R value (m^2-K/W)",'COMPONENT PIVOT REF'!$A$3,"System Name",Table4[[#This Row],[Base System]])</f>
        <v>#REF!</v>
      </c>
      <c r="K202" t="e">
        <f>GETPIVOTDATA("Sum of Total Mass per m^2 (kg)",'COMPONENT PIVOT REF'!$A$3,"System Name",Table4[[#This Row],[Base System]])</f>
        <v>#REF!</v>
      </c>
      <c r="M202">
        <f>_xlfn.XLOOKUP(Table4[[#This Row],[Ext Finish]],Master_Table4[System Name],Master_Table4[System Name (Short)],FALSE)</f>
        <v>0</v>
      </c>
      <c r="N202">
        <f>_xlfn.XLOOKUP(Table4[[#This Row],[Ext Finish]],Master_Table4[System Name],Master_Table4[Compatible Systems],FALSE)</f>
        <v>0</v>
      </c>
      <c r="O202" t="str">
        <f>IF(ISNUMBER(SEARCH(Table4[[#This Row],[MMC Method]],Table4[[#This Row],[Compatible Systems]])),"YES","NO")</f>
        <v>YES</v>
      </c>
      <c r="P202" t="e">
        <f>GETPIVOTDATA("Sum of A1-A3 Fossil kg CO2e/m^2 wall area",'COMPONENT PIVOT REF'!$I$3,"System Name",Table4[[#This Row],[Ext Finish]])</f>
        <v>#REF!</v>
      </c>
      <c r="Q202" t="e">
        <f>GETPIVOTDATA("Sum of  R value (m^2-K/W)",'COMPONENT PIVOT REF'!$I$3,"System Name",Table4[[#This Row],[Ext Finish]])</f>
        <v>#REF!</v>
      </c>
      <c r="R202" t="e">
        <f>GETPIVOTDATA("Sum of Total Mass per m^2 (kg)",'COMPONENT PIVOT REF'!$I$3,"System Name",Table4[[#This Row],[Ext Finish]])</f>
        <v>#REF!</v>
      </c>
      <c r="T202">
        <f>_xlfn.XLOOKUP(Table4[[#This Row],[Int Finish]],Master_Table6[System Name],Master_Table6[System Name (Short)],FALSE)</f>
        <v>0</v>
      </c>
      <c r="U202" t="e">
        <f>GETPIVOTDATA("Sum of A1-A3 Fossil kg CO2e/m^2 wall area",'COMPONENT PIVOT REF'!$P$3,"System Name",Table4[[#This Row],[Int Finish]])</f>
        <v>#REF!</v>
      </c>
      <c r="V202" t="e">
        <f>GETPIVOTDATA("Sum of  R value (m^2-K/W)",'COMPONENT PIVOT REF'!$P$3,"System Name",Table4[[#This Row],[Int Finish]])</f>
        <v>#REF!</v>
      </c>
      <c r="W202" t="e">
        <f>GETPIVOTDATA("Sum of Total Mass per m^2 (kg)",'COMPONENT PIVOT REF'!$P$3,"System Name",Table4[[#This Row],[Int Finish]])</f>
        <v>#REF!</v>
      </c>
      <c r="X202" t="e">
        <f>Table4[[#This Row],[Ext Finish GWP]]+Table4[[#This Row],[Base GWP]]+Table4[[#This Row],[Int Finish GWP]]</f>
        <v>#REF!</v>
      </c>
      <c r="Y202" t="e">
        <f>Table4[[#This Row],[Ext Finish R Value]]+Table4[[#This Row],[Base R Value]]+Table4[[#This Row],[Int Finish R Value]]</f>
        <v>#REF!</v>
      </c>
      <c r="Z202" t="e">
        <f>1/Table4[[#This Row],[Total R value]]</f>
        <v>#REF!</v>
      </c>
      <c r="AA202" t="e">
        <f>Table4[[#This Row],[Int Finish Mass]]+Table4[[#This Row],[Ext Finish Mass]]+Table4[[#This Row],[Base Mass]]</f>
        <v>#REF!</v>
      </c>
    </row>
    <row r="203" spans="3:27" x14ac:dyDescent="0.35">
      <c r="C203" t="str">
        <f>_xlfn.CONCAT(Table4[[#This Row],[System Name (Short)]],"_",Table4[[#This Row],[Ext Finish Name (Short)]],"_",Table4[[#This Row],[Int Finish Name (Short)]])</f>
        <v>0_0_0</v>
      </c>
      <c r="E203">
        <f>_xlfn.XLOOKUP(Table4[[#This Row],[Base System]],BASE_SYSTEM_TABLE[System Name],BASE_SYSTEM_TABLE[System Name (Short)],FALSE)</f>
        <v>0</v>
      </c>
      <c r="F203">
        <f>_xlfn.XLOOKUP(Table4[[#This Row],[Base System]],BASE_SYSTEM_TABLE[System Name],BASE_SYSTEM_TABLE[System Type],FALSE)</f>
        <v>0</v>
      </c>
      <c r="G203">
        <f>_xlfn.XLOOKUP(Table4[[#This Row],[Base System]],BASE_SYSTEM_TABLE[System Name],BASE_SYSTEM_TABLE[System Subtype],FALSE)</f>
        <v>0</v>
      </c>
      <c r="H203">
        <f>_xlfn.XLOOKUP(Table4[[#This Row],[Base System]],BASE_SYSTEM_TABLE[System Name],BASE_SYSTEM_TABLE[Construction Type (Framed or Planar)],FALSE)</f>
        <v>0</v>
      </c>
      <c r="I203" t="e">
        <f>GETPIVOTDATA("Sum of A1-A3 Fossil kg CO2e/m^2 wall area",'COMPONENT PIVOT REF'!$A$3,"System Name",Table4[[#This Row],[Base System]])</f>
        <v>#REF!</v>
      </c>
      <c r="J203" t="e">
        <f>GETPIVOTDATA("Sum of  R value (m^2-K/W)",'COMPONENT PIVOT REF'!$A$3,"System Name",Table4[[#This Row],[Base System]])</f>
        <v>#REF!</v>
      </c>
      <c r="K203" t="e">
        <f>GETPIVOTDATA("Sum of Total Mass per m^2 (kg)",'COMPONENT PIVOT REF'!$A$3,"System Name",Table4[[#This Row],[Base System]])</f>
        <v>#REF!</v>
      </c>
      <c r="M203">
        <f>_xlfn.XLOOKUP(Table4[[#This Row],[Ext Finish]],Master_Table4[System Name],Master_Table4[System Name (Short)],FALSE)</f>
        <v>0</v>
      </c>
      <c r="N203">
        <f>_xlfn.XLOOKUP(Table4[[#This Row],[Ext Finish]],Master_Table4[System Name],Master_Table4[Compatible Systems],FALSE)</f>
        <v>0</v>
      </c>
      <c r="O203" t="str">
        <f>IF(ISNUMBER(SEARCH(Table4[[#This Row],[MMC Method]],Table4[[#This Row],[Compatible Systems]])),"YES","NO")</f>
        <v>YES</v>
      </c>
      <c r="P203" t="e">
        <f>GETPIVOTDATA("Sum of A1-A3 Fossil kg CO2e/m^2 wall area",'COMPONENT PIVOT REF'!$I$3,"System Name",Table4[[#This Row],[Ext Finish]])</f>
        <v>#REF!</v>
      </c>
      <c r="Q203" t="e">
        <f>GETPIVOTDATA("Sum of  R value (m^2-K/W)",'COMPONENT PIVOT REF'!$I$3,"System Name",Table4[[#This Row],[Ext Finish]])</f>
        <v>#REF!</v>
      </c>
      <c r="R203" t="e">
        <f>GETPIVOTDATA("Sum of Total Mass per m^2 (kg)",'COMPONENT PIVOT REF'!$I$3,"System Name",Table4[[#This Row],[Ext Finish]])</f>
        <v>#REF!</v>
      </c>
      <c r="T203">
        <f>_xlfn.XLOOKUP(Table4[[#This Row],[Int Finish]],Master_Table6[System Name],Master_Table6[System Name (Short)],FALSE)</f>
        <v>0</v>
      </c>
      <c r="U203" t="e">
        <f>GETPIVOTDATA("Sum of A1-A3 Fossil kg CO2e/m^2 wall area",'COMPONENT PIVOT REF'!$P$3,"System Name",Table4[[#This Row],[Int Finish]])</f>
        <v>#REF!</v>
      </c>
      <c r="V203" t="e">
        <f>GETPIVOTDATA("Sum of  R value (m^2-K/W)",'COMPONENT PIVOT REF'!$P$3,"System Name",Table4[[#This Row],[Int Finish]])</f>
        <v>#REF!</v>
      </c>
      <c r="W203" t="e">
        <f>GETPIVOTDATA("Sum of Total Mass per m^2 (kg)",'COMPONENT PIVOT REF'!$P$3,"System Name",Table4[[#This Row],[Int Finish]])</f>
        <v>#REF!</v>
      </c>
      <c r="X203" t="e">
        <f>Table4[[#This Row],[Ext Finish GWP]]+Table4[[#This Row],[Base GWP]]+Table4[[#This Row],[Int Finish GWP]]</f>
        <v>#REF!</v>
      </c>
      <c r="Y203" t="e">
        <f>Table4[[#This Row],[Ext Finish R Value]]+Table4[[#This Row],[Base R Value]]+Table4[[#This Row],[Int Finish R Value]]</f>
        <v>#REF!</v>
      </c>
      <c r="Z203" t="e">
        <f>1/Table4[[#This Row],[Total R value]]</f>
        <v>#REF!</v>
      </c>
      <c r="AA203" t="e">
        <f>Table4[[#This Row],[Int Finish Mass]]+Table4[[#This Row],[Ext Finish Mass]]+Table4[[#This Row],[Base Mass]]</f>
        <v>#REF!</v>
      </c>
    </row>
    <row r="204" spans="3:27" x14ac:dyDescent="0.35">
      <c r="C204" t="str">
        <f>_xlfn.CONCAT(Table4[[#This Row],[System Name (Short)]],"_",Table4[[#This Row],[Ext Finish Name (Short)]],"_",Table4[[#This Row],[Int Finish Name (Short)]])</f>
        <v>0_0_0</v>
      </c>
      <c r="E204">
        <f>_xlfn.XLOOKUP(Table4[[#This Row],[Base System]],BASE_SYSTEM_TABLE[System Name],BASE_SYSTEM_TABLE[System Name (Short)],FALSE)</f>
        <v>0</v>
      </c>
      <c r="F204">
        <f>_xlfn.XLOOKUP(Table4[[#This Row],[Base System]],BASE_SYSTEM_TABLE[System Name],BASE_SYSTEM_TABLE[System Type],FALSE)</f>
        <v>0</v>
      </c>
      <c r="G204">
        <f>_xlfn.XLOOKUP(Table4[[#This Row],[Base System]],BASE_SYSTEM_TABLE[System Name],BASE_SYSTEM_TABLE[System Subtype],FALSE)</f>
        <v>0</v>
      </c>
      <c r="H204">
        <f>_xlfn.XLOOKUP(Table4[[#This Row],[Base System]],BASE_SYSTEM_TABLE[System Name],BASE_SYSTEM_TABLE[Construction Type (Framed or Planar)],FALSE)</f>
        <v>0</v>
      </c>
      <c r="I204" t="e">
        <f>GETPIVOTDATA("Sum of A1-A3 Fossil kg CO2e/m^2 wall area",'COMPONENT PIVOT REF'!$A$3,"System Name",Table4[[#This Row],[Base System]])</f>
        <v>#REF!</v>
      </c>
      <c r="J204" t="e">
        <f>GETPIVOTDATA("Sum of  R value (m^2-K/W)",'COMPONENT PIVOT REF'!$A$3,"System Name",Table4[[#This Row],[Base System]])</f>
        <v>#REF!</v>
      </c>
      <c r="K204" t="e">
        <f>GETPIVOTDATA("Sum of Total Mass per m^2 (kg)",'COMPONENT PIVOT REF'!$A$3,"System Name",Table4[[#This Row],[Base System]])</f>
        <v>#REF!</v>
      </c>
      <c r="M204">
        <f>_xlfn.XLOOKUP(Table4[[#This Row],[Ext Finish]],Master_Table4[System Name],Master_Table4[System Name (Short)],FALSE)</f>
        <v>0</v>
      </c>
      <c r="N204">
        <f>_xlfn.XLOOKUP(Table4[[#This Row],[Ext Finish]],Master_Table4[System Name],Master_Table4[Compatible Systems],FALSE)</f>
        <v>0</v>
      </c>
      <c r="O204" t="str">
        <f>IF(ISNUMBER(SEARCH(Table4[[#This Row],[MMC Method]],Table4[[#This Row],[Compatible Systems]])),"YES","NO")</f>
        <v>YES</v>
      </c>
      <c r="P204" t="e">
        <f>GETPIVOTDATA("Sum of A1-A3 Fossil kg CO2e/m^2 wall area",'COMPONENT PIVOT REF'!$I$3,"System Name",Table4[[#This Row],[Ext Finish]])</f>
        <v>#REF!</v>
      </c>
      <c r="Q204" t="e">
        <f>GETPIVOTDATA("Sum of  R value (m^2-K/W)",'COMPONENT PIVOT REF'!$I$3,"System Name",Table4[[#This Row],[Ext Finish]])</f>
        <v>#REF!</v>
      </c>
      <c r="R204" t="e">
        <f>GETPIVOTDATA("Sum of Total Mass per m^2 (kg)",'COMPONENT PIVOT REF'!$I$3,"System Name",Table4[[#This Row],[Ext Finish]])</f>
        <v>#REF!</v>
      </c>
      <c r="T204">
        <f>_xlfn.XLOOKUP(Table4[[#This Row],[Int Finish]],Master_Table6[System Name],Master_Table6[System Name (Short)],FALSE)</f>
        <v>0</v>
      </c>
      <c r="U204" t="e">
        <f>GETPIVOTDATA("Sum of A1-A3 Fossil kg CO2e/m^2 wall area",'COMPONENT PIVOT REF'!$P$3,"System Name",Table4[[#This Row],[Int Finish]])</f>
        <v>#REF!</v>
      </c>
      <c r="V204" t="e">
        <f>GETPIVOTDATA("Sum of  R value (m^2-K/W)",'COMPONENT PIVOT REF'!$P$3,"System Name",Table4[[#This Row],[Int Finish]])</f>
        <v>#REF!</v>
      </c>
      <c r="W204" t="e">
        <f>GETPIVOTDATA("Sum of Total Mass per m^2 (kg)",'COMPONENT PIVOT REF'!$P$3,"System Name",Table4[[#This Row],[Int Finish]])</f>
        <v>#REF!</v>
      </c>
      <c r="X204" t="e">
        <f>Table4[[#This Row],[Ext Finish GWP]]+Table4[[#This Row],[Base GWP]]+Table4[[#This Row],[Int Finish GWP]]</f>
        <v>#REF!</v>
      </c>
      <c r="Y204" t="e">
        <f>Table4[[#This Row],[Ext Finish R Value]]+Table4[[#This Row],[Base R Value]]+Table4[[#This Row],[Int Finish R Value]]</f>
        <v>#REF!</v>
      </c>
      <c r="Z204" t="e">
        <f>1/Table4[[#This Row],[Total R value]]</f>
        <v>#REF!</v>
      </c>
      <c r="AA204" t="e">
        <f>Table4[[#This Row],[Int Finish Mass]]+Table4[[#This Row],[Ext Finish Mass]]+Table4[[#This Row],[Base Mass]]</f>
        <v>#REF!</v>
      </c>
    </row>
    <row r="205" spans="3:27" x14ac:dyDescent="0.35">
      <c r="C205" t="str">
        <f>_xlfn.CONCAT(Table4[[#This Row],[System Name (Short)]],"_",Table4[[#This Row],[Ext Finish Name (Short)]],"_",Table4[[#This Row],[Int Finish Name (Short)]])</f>
        <v>0_0_0</v>
      </c>
      <c r="E205">
        <f>_xlfn.XLOOKUP(Table4[[#This Row],[Base System]],BASE_SYSTEM_TABLE[System Name],BASE_SYSTEM_TABLE[System Name (Short)],FALSE)</f>
        <v>0</v>
      </c>
      <c r="F205">
        <f>_xlfn.XLOOKUP(Table4[[#This Row],[Base System]],BASE_SYSTEM_TABLE[System Name],BASE_SYSTEM_TABLE[System Type],FALSE)</f>
        <v>0</v>
      </c>
      <c r="G205">
        <f>_xlfn.XLOOKUP(Table4[[#This Row],[Base System]],BASE_SYSTEM_TABLE[System Name],BASE_SYSTEM_TABLE[System Subtype],FALSE)</f>
        <v>0</v>
      </c>
      <c r="H205">
        <f>_xlfn.XLOOKUP(Table4[[#This Row],[Base System]],BASE_SYSTEM_TABLE[System Name],BASE_SYSTEM_TABLE[Construction Type (Framed or Planar)],FALSE)</f>
        <v>0</v>
      </c>
      <c r="I205" t="e">
        <f>GETPIVOTDATA("Sum of A1-A3 Fossil kg CO2e/m^2 wall area",'COMPONENT PIVOT REF'!$A$3,"System Name",Table4[[#This Row],[Base System]])</f>
        <v>#REF!</v>
      </c>
      <c r="J205" t="e">
        <f>GETPIVOTDATA("Sum of  R value (m^2-K/W)",'COMPONENT PIVOT REF'!$A$3,"System Name",Table4[[#This Row],[Base System]])</f>
        <v>#REF!</v>
      </c>
      <c r="K205" t="e">
        <f>GETPIVOTDATA("Sum of Total Mass per m^2 (kg)",'COMPONENT PIVOT REF'!$A$3,"System Name",Table4[[#This Row],[Base System]])</f>
        <v>#REF!</v>
      </c>
      <c r="M205">
        <f>_xlfn.XLOOKUP(Table4[[#This Row],[Ext Finish]],Master_Table4[System Name],Master_Table4[System Name (Short)],FALSE)</f>
        <v>0</v>
      </c>
      <c r="N205">
        <f>_xlfn.XLOOKUP(Table4[[#This Row],[Ext Finish]],Master_Table4[System Name],Master_Table4[Compatible Systems],FALSE)</f>
        <v>0</v>
      </c>
      <c r="O205" t="str">
        <f>IF(ISNUMBER(SEARCH(Table4[[#This Row],[MMC Method]],Table4[[#This Row],[Compatible Systems]])),"YES","NO")</f>
        <v>YES</v>
      </c>
      <c r="P205" t="e">
        <f>GETPIVOTDATA("Sum of A1-A3 Fossil kg CO2e/m^2 wall area",'COMPONENT PIVOT REF'!$I$3,"System Name",Table4[[#This Row],[Ext Finish]])</f>
        <v>#REF!</v>
      </c>
      <c r="Q205" t="e">
        <f>GETPIVOTDATA("Sum of  R value (m^2-K/W)",'COMPONENT PIVOT REF'!$I$3,"System Name",Table4[[#This Row],[Ext Finish]])</f>
        <v>#REF!</v>
      </c>
      <c r="R205" t="e">
        <f>GETPIVOTDATA("Sum of Total Mass per m^2 (kg)",'COMPONENT PIVOT REF'!$I$3,"System Name",Table4[[#This Row],[Ext Finish]])</f>
        <v>#REF!</v>
      </c>
      <c r="T205">
        <f>_xlfn.XLOOKUP(Table4[[#This Row],[Int Finish]],Master_Table6[System Name],Master_Table6[System Name (Short)],FALSE)</f>
        <v>0</v>
      </c>
      <c r="U205" t="e">
        <f>GETPIVOTDATA("Sum of A1-A3 Fossil kg CO2e/m^2 wall area",'COMPONENT PIVOT REF'!$P$3,"System Name",Table4[[#This Row],[Int Finish]])</f>
        <v>#REF!</v>
      </c>
      <c r="V205" t="e">
        <f>GETPIVOTDATA("Sum of  R value (m^2-K/W)",'COMPONENT PIVOT REF'!$P$3,"System Name",Table4[[#This Row],[Int Finish]])</f>
        <v>#REF!</v>
      </c>
      <c r="W205" t="e">
        <f>GETPIVOTDATA("Sum of Total Mass per m^2 (kg)",'COMPONENT PIVOT REF'!$P$3,"System Name",Table4[[#This Row],[Int Finish]])</f>
        <v>#REF!</v>
      </c>
      <c r="X205" t="e">
        <f>Table4[[#This Row],[Ext Finish GWP]]+Table4[[#This Row],[Base GWP]]+Table4[[#This Row],[Int Finish GWP]]</f>
        <v>#REF!</v>
      </c>
      <c r="Y205" t="e">
        <f>Table4[[#This Row],[Ext Finish R Value]]+Table4[[#This Row],[Base R Value]]+Table4[[#This Row],[Int Finish R Value]]</f>
        <v>#REF!</v>
      </c>
      <c r="Z205" t="e">
        <f>1/Table4[[#This Row],[Total R value]]</f>
        <v>#REF!</v>
      </c>
      <c r="AA205" t="e">
        <f>Table4[[#This Row],[Int Finish Mass]]+Table4[[#This Row],[Ext Finish Mass]]+Table4[[#This Row],[Base Mass]]</f>
        <v>#REF!</v>
      </c>
    </row>
    <row r="206" spans="3:27" x14ac:dyDescent="0.35">
      <c r="C206" t="str">
        <f>_xlfn.CONCAT(Table4[[#This Row],[System Name (Short)]],"_",Table4[[#This Row],[Ext Finish Name (Short)]],"_",Table4[[#This Row],[Int Finish Name (Short)]])</f>
        <v>0_0_0</v>
      </c>
      <c r="E206">
        <f>_xlfn.XLOOKUP(Table4[[#This Row],[Base System]],BASE_SYSTEM_TABLE[System Name],BASE_SYSTEM_TABLE[System Name (Short)],FALSE)</f>
        <v>0</v>
      </c>
      <c r="F206">
        <f>_xlfn.XLOOKUP(Table4[[#This Row],[Base System]],BASE_SYSTEM_TABLE[System Name],BASE_SYSTEM_TABLE[System Type],FALSE)</f>
        <v>0</v>
      </c>
      <c r="G206">
        <f>_xlfn.XLOOKUP(Table4[[#This Row],[Base System]],BASE_SYSTEM_TABLE[System Name],BASE_SYSTEM_TABLE[System Subtype],FALSE)</f>
        <v>0</v>
      </c>
      <c r="H206">
        <f>_xlfn.XLOOKUP(Table4[[#This Row],[Base System]],BASE_SYSTEM_TABLE[System Name],BASE_SYSTEM_TABLE[Construction Type (Framed or Planar)],FALSE)</f>
        <v>0</v>
      </c>
      <c r="I206" t="e">
        <f>GETPIVOTDATA("Sum of A1-A3 Fossil kg CO2e/m^2 wall area",'COMPONENT PIVOT REF'!$A$3,"System Name",Table4[[#This Row],[Base System]])</f>
        <v>#REF!</v>
      </c>
      <c r="J206" t="e">
        <f>GETPIVOTDATA("Sum of  R value (m^2-K/W)",'COMPONENT PIVOT REF'!$A$3,"System Name",Table4[[#This Row],[Base System]])</f>
        <v>#REF!</v>
      </c>
      <c r="K206" t="e">
        <f>GETPIVOTDATA("Sum of Total Mass per m^2 (kg)",'COMPONENT PIVOT REF'!$A$3,"System Name",Table4[[#This Row],[Base System]])</f>
        <v>#REF!</v>
      </c>
      <c r="M206">
        <f>_xlfn.XLOOKUP(Table4[[#This Row],[Ext Finish]],Master_Table4[System Name],Master_Table4[System Name (Short)],FALSE)</f>
        <v>0</v>
      </c>
      <c r="N206">
        <f>_xlfn.XLOOKUP(Table4[[#This Row],[Ext Finish]],Master_Table4[System Name],Master_Table4[Compatible Systems],FALSE)</f>
        <v>0</v>
      </c>
      <c r="O206" t="str">
        <f>IF(ISNUMBER(SEARCH(Table4[[#This Row],[MMC Method]],Table4[[#This Row],[Compatible Systems]])),"YES","NO")</f>
        <v>YES</v>
      </c>
      <c r="P206" t="e">
        <f>GETPIVOTDATA("Sum of A1-A3 Fossil kg CO2e/m^2 wall area",'COMPONENT PIVOT REF'!$I$3,"System Name",Table4[[#This Row],[Ext Finish]])</f>
        <v>#REF!</v>
      </c>
      <c r="Q206" t="e">
        <f>GETPIVOTDATA("Sum of  R value (m^2-K/W)",'COMPONENT PIVOT REF'!$I$3,"System Name",Table4[[#This Row],[Ext Finish]])</f>
        <v>#REF!</v>
      </c>
      <c r="R206" t="e">
        <f>GETPIVOTDATA("Sum of Total Mass per m^2 (kg)",'COMPONENT PIVOT REF'!$I$3,"System Name",Table4[[#This Row],[Ext Finish]])</f>
        <v>#REF!</v>
      </c>
      <c r="T206">
        <f>_xlfn.XLOOKUP(Table4[[#This Row],[Int Finish]],Master_Table6[System Name],Master_Table6[System Name (Short)],FALSE)</f>
        <v>0</v>
      </c>
      <c r="U206" t="e">
        <f>GETPIVOTDATA("Sum of A1-A3 Fossil kg CO2e/m^2 wall area",'COMPONENT PIVOT REF'!$P$3,"System Name",Table4[[#This Row],[Int Finish]])</f>
        <v>#REF!</v>
      </c>
      <c r="V206" t="e">
        <f>GETPIVOTDATA("Sum of  R value (m^2-K/W)",'COMPONENT PIVOT REF'!$P$3,"System Name",Table4[[#This Row],[Int Finish]])</f>
        <v>#REF!</v>
      </c>
      <c r="W206" t="e">
        <f>GETPIVOTDATA("Sum of Total Mass per m^2 (kg)",'COMPONENT PIVOT REF'!$P$3,"System Name",Table4[[#This Row],[Int Finish]])</f>
        <v>#REF!</v>
      </c>
      <c r="X206" t="e">
        <f>Table4[[#This Row],[Ext Finish GWP]]+Table4[[#This Row],[Base GWP]]+Table4[[#This Row],[Int Finish GWP]]</f>
        <v>#REF!</v>
      </c>
      <c r="Y206" t="e">
        <f>Table4[[#This Row],[Ext Finish R Value]]+Table4[[#This Row],[Base R Value]]+Table4[[#This Row],[Int Finish R Value]]</f>
        <v>#REF!</v>
      </c>
      <c r="Z206" t="e">
        <f>1/Table4[[#This Row],[Total R value]]</f>
        <v>#REF!</v>
      </c>
      <c r="AA206" t="e">
        <f>Table4[[#This Row],[Int Finish Mass]]+Table4[[#This Row],[Ext Finish Mass]]+Table4[[#This Row],[Base Mass]]</f>
        <v>#REF!</v>
      </c>
    </row>
    <row r="207" spans="3:27" x14ac:dyDescent="0.35">
      <c r="C207" t="str">
        <f>_xlfn.CONCAT(Table4[[#This Row],[System Name (Short)]],"_",Table4[[#This Row],[Ext Finish Name (Short)]],"_",Table4[[#This Row],[Int Finish Name (Short)]])</f>
        <v>0_0_0</v>
      </c>
      <c r="E207">
        <f>_xlfn.XLOOKUP(Table4[[#This Row],[Base System]],BASE_SYSTEM_TABLE[System Name],BASE_SYSTEM_TABLE[System Name (Short)],FALSE)</f>
        <v>0</v>
      </c>
      <c r="F207">
        <f>_xlfn.XLOOKUP(Table4[[#This Row],[Base System]],BASE_SYSTEM_TABLE[System Name],BASE_SYSTEM_TABLE[System Type],FALSE)</f>
        <v>0</v>
      </c>
      <c r="G207">
        <f>_xlfn.XLOOKUP(Table4[[#This Row],[Base System]],BASE_SYSTEM_TABLE[System Name],BASE_SYSTEM_TABLE[System Subtype],FALSE)</f>
        <v>0</v>
      </c>
      <c r="H207">
        <f>_xlfn.XLOOKUP(Table4[[#This Row],[Base System]],BASE_SYSTEM_TABLE[System Name],BASE_SYSTEM_TABLE[Construction Type (Framed or Planar)],FALSE)</f>
        <v>0</v>
      </c>
      <c r="I207" t="e">
        <f>GETPIVOTDATA("Sum of A1-A3 Fossil kg CO2e/m^2 wall area",'COMPONENT PIVOT REF'!$A$3,"System Name",Table4[[#This Row],[Base System]])</f>
        <v>#REF!</v>
      </c>
      <c r="J207" t="e">
        <f>GETPIVOTDATA("Sum of  R value (m^2-K/W)",'COMPONENT PIVOT REF'!$A$3,"System Name",Table4[[#This Row],[Base System]])</f>
        <v>#REF!</v>
      </c>
      <c r="K207" t="e">
        <f>GETPIVOTDATA("Sum of Total Mass per m^2 (kg)",'COMPONENT PIVOT REF'!$A$3,"System Name",Table4[[#This Row],[Base System]])</f>
        <v>#REF!</v>
      </c>
      <c r="M207">
        <f>_xlfn.XLOOKUP(Table4[[#This Row],[Ext Finish]],Master_Table4[System Name],Master_Table4[System Name (Short)],FALSE)</f>
        <v>0</v>
      </c>
      <c r="N207">
        <f>_xlfn.XLOOKUP(Table4[[#This Row],[Ext Finish]],Master_Table4[System Name],Master_Table4[Compatible Systems],FALSE)</f>
        <v>0</v>
      </c>
      <c r="O207" t="str">
        <f>IF(ISNUMBER(SEARCH(Table4[[#This Row],[MMC Method]],Table4[[#This Row],[Compatible Systems]])),"YES","NO")</f>
        <v>YES</v>
      </c>
      <c r="P207" t="e">
        <f>GETPIVOTDATA("Sum of A1-A3 Fossil kg CO2e/m^2 wall area",'COMPONENT PIVOT REF'!$I$3,"System Name",Table4[[#This Row],[Ext Finish]])</f>
        <v>#REF!</v>
      </c>
      <c r="Q207" t="e">
        <f>GETPIVOTDATA("Sum of  R value (m^2-K/W)",'COMPONENT PIVOT REF'!$I$3,"System Name",Table4[[#This Row],[Ext Finish]])</f>
        <v>#REF!</v>
      </c>
      <c r="R207" t="e">
        <f>GETPIVOTDATA("Sum of Total Mass per m^2 (kg)",'COMPONENT PIVOT REF'!$I$3,"System Name",Table4[[#This Row],[Ext Finish]])</f>
        <v>#REF!</v>
      </c>
      <c r="T207">
        <f>_xlfn.XLOOKUP(Table4[[#This Row],[Int Finish]],Master_Table6[System Name],Master_Table6[System Name (Short)],FALSE)</f>
        <v>0</v>
      </c>
      <c r="U207" t="e">
        <f>GETPIVOTDATA("Sum of A1-A3 Fossil kg CO2e/m^2 wall area",'COMPONENT PIVOT REF'!$P$3,"System Name",Table4[[#This Row],[Int Finish]])</f>
        <v>#REF!</v>
      </c>
      <c r="V207" t="e">
        <f>GETPIVOTDATA("Sum of  R value (m^2-K/W)",'COMPONENT PIVOT REF'!$P$3,"System Name",Table4[[#This Row],[Int Finish]])</f>
        <v>#REF!</v>
      </c>
      <c r="W207" t="e">
        <f>GETPIVOTDATA("Sum of Total Mass per m^2 (kg)",'COMPONENT PIVOT REF'!$P$3,"System Name",Table4[[#This Row],[Int Finish]])</f>
        <v>#REF!</v>
      </c>
      <c r="X207" t="e">
        <f>Table4[[#This Row],[Ext Finish GWP]]+Table4[[#This Row],[Base GWP]]+Table4[[#This Row],[Int Finish GWP]]</f>
        <v>#REF!</v>
      </c>
      <c r="Y207" t="e">
        <f>Table4[[#This Row],[Ext Finish R Value]]+Table4[[#This Row],[Base R Value]]+Table4[[#This Row],[Int Finish R Value]]</f>
        <v>#REF!</v>
      </c>
      <c r="Z207" t="e">
        <f>1/Table4[[#This Row],[Total R value]]</f>
        <v>#REF!</v>
      </c>
      <c r="AA207" t="e">
        <f>Table4[[#This Row],[Int Finish Mass]]+Table4[[#This Row],[Ext Finish Mass]]+Table4[[#This Row],[Base Mass]]</f>
        <v>#REF!</v>
      </c>
    </row>
    <row r="208" spans="3:27" x14ac:dyDescent="0.35">
      <c r="C208" t="str">
        <f>_xlfn.CONCAT(Table4[[#This Row],[System Name (Short)]],"_",Table4[[#This Row],[Ext Finish Name (Short)]],"_",Table4[[#This Row],[Int Finish Name (Short)]])</f>
        <v>0_0_0</v>
      </c>
      <c r="E208">
        <f>_xlfn.XLOOKUP(Table4[[#This Row],[Base System]],BASE_SYSTEM_TABLE[System Name],BASE_SYSTEM_TABLE[System Name (Short)],FALSE)</f>
        <v>0</v>
      </c>
      <c r="F208">
        <f>_xlfn.XLOOKUP(Table4[[#This Row],[Base System]],BASE_SYSTEM_TABLE[System Name],BASE_SYSTEM_TABLE[System Type],FALSE)</f>
        <v>0</v>
      </c>
      <c r="G208">
        <f>_xlfn.XLOOKUP(Table4[[#This Row],[Base System]],BASE_SYSTEM_TABLE[System Name],BASE_SYSTEM_TABLE[System Subtype],FALSE)</f>
        <v>0</v>
      </c>
      <c r="H208">
        <f>_xlfn.XLOOKUP(Table4[[#This Row],[Base System]],BASE_SYSTEM_TABLE[System Name],BASE_SYSTEM_TABLE[Construction Type (Framed or Planar)],FALSE)</f>
        <v>0</v>
      </c>
      <c r="I208" t="e">
        <f>GETPIVOTDATA("Sum of A1-A3 Fossil kg CO2e/m^2 wall area",'COMPONENT PIVOT REF'!$A$3,"System Name",Table4[[#This Row],[Base System]])</f>
        <v>#REF!</v>
      </c>
      <c r="J208" t="e">
        <f>GETPIVOTDATA("Sum of  R value (m^2-K/W)",'COMPONENT PIVOT REF'!$A$3,"System Name",Table4[[#This Row],[Base System]])</f>
        <v>#REF!</v>
      </c>
      <c r="K208" t="e">
        <f>GETPIVOTDATA("Sum of Total Mass per m^2 (kg)",'COMPONENT PIVOT REF'!$A$3,"System Name",Table4[[#This Row],[Base System]])</f>
        <v>#REF!</v>
      </c>
      <c r="M208">
        <f>_xlfn.XLOOKUP(Table4[[#This Row],[Ext Finish]],Master_Table4[System Name],Master_Table4[System Name (Short)],FALSE)</f>
        <v>0</v>
      </c>
      <c r="N208">
        <f>_xlfn.XLOOKUP(Table4[[#This Row],[Ext Finish]],Master_Table4[System Name],Master_Table4[Compatible Systems],FALSE)</f>
        <v>0</v>
      </c>
      <c r="O208" t="str">
        <f>IF(ISNUMBER(SEARCH(Table4[[#This Row],[MMC Method]],Table4[[#This Row],[Compatible Systems]])),"YES","NO")</f>
        <v>YES</v>
      </c>
      <c r="P208" t="e">
        <f>GETPIVOTDATA("Sum of A1-A3 Fossil kg CO2e/m^2 wall area",'COMPONENT PIVOT REF'!$I$3,"System Name",Table4[[#This Row],[Ext Finish]])</f>
        <v>#REF!</v>
      </c>
      <c r="Q208" t="e">
        <f>GETPIVOTDATA("Sum of  R value (m^2-K/W)",'COMPONENT PIVOT REF'!$I$3,"System Name",Table4[[#This Row],[Ext Finish]])</f>
        <v>#REF!</v>
      </c>
      <c r="R208" t="e">
        <f>GETPIVOTDATA("Sum of Total Mass per m^2 (kg)",'COMPONENT PIVOT REF'!$I$3,"System Name",Table4[[#This Row],[Ext Finish]])</f>
        <v>#REF!</v>
      </c>
      <c r="T208">
        <f>_xlfn.XLOOKUP(Table4[[#This Row],[Int Finish]],Master_Table6[System Name],Master_Table6[System Name (Short)],FALSE)</f>
        <v>0</v>
      </c>
      <c r="U208" t="e">
        <f>GETPIVOTDATA("Sum of A1-A3 Fossil kg CO2e/m^2 wall area",'COMPONENT PIVOT REF'!$P$3,"System Name",Table4[[#This Row],[Int Finish]])</f>
        <v>#REF!</v>
      </c>
      <c r="V208" t="e">
        <f>GETPIVOTDATA("Sum of  R value (m^2-K/W)",'COMPONENT PIVOT REF'!$P$3,"System Name",Table4[[#This Row],[Int Finish]])</f>
        <v>#REF!</v>
      </c>
      <c r="W208" t="e">
        <f>GETPIVOTDATA("Sum of Total Mass per m^2 (kg)",'COMPONENT PIVOT REF'!$P$3,"System Name",Table4[[#This Row],[Int Finish]])</f>
        <v>#REF!</v>
      </c>
      <c r="X208" t="e">
        <f>Table4[[#This Row],[Ext Finish GWP]]+Table4[[#This Row],[Base GWP]]+Table4[[#This Row],[Int Finish GWP]]</f>
        <v>#REF!</v>
      </c>
      <c r="Y208" t="e">
        <f>Table4[[#This Row],[Ext Finish R Value]]+Table4[[#This Row],[Base R Value]]+Table4[[#This Row],[Int Finish R Value]]</f>
        <v>#REF!</v>
      </c>
      <c r="Z208" t="e">
        <f>1/Table4[[#This Row],[Total R value]]</f>
        <v>#REF!</v>
      </c>
      <c r="AA208" t="e">
        <f>Table4[[#This Row],[Int Finish Mass]]+Table4[[#This Row],[Ext Finish Mass]]+Table4[[#This Row],[Base Mass]]</f>
        <v>#REF!</v>
      </c>
    </row>
    <row r="209" spans="3:27" x14ac:dyDescent="0.35">
      <c r="C209" t="str">
        <f>_xlfn.CONCAT(Table4[[#This Row],[System Name (Short)]],"_",Table4[[#This Row],[Ext Finish Name (Short)]],"_",Table4[[#This Row],[Int Finish Name (Short)]])</f>
        <v>0_0_0</v>
      </c>
      <c r="E209">
        <f>_xlfn.XLOOKUP(Table4[[#This Row],[Base System]],BASE_SYSTEM_TABLE[System Name],BASE_SYSTEM_TABLE[System Name (Short)],FALSE)</f>
        <v>0</v>
      </c>
      <c r="F209">
        <f>_xlfn.XLOOKUP(Table4[[#This Row],[Base System]],BASE_SYSTEM_TABLE[System Name],BASE_SYSTEM_TABLE[System Type],FALSE)</f>
        <v>0</v>
      </c>
      <c r="G209">
        <f>_xlfn.XLOOKUP(Table4[[#This Row],[Base System]],BASE_SYSTEM_TABLE[System Name],BASE_SYSTEM_TABLE[System Subtype],FALSE)</f>
        <v>0</v>
      </c>
      <c r="H209">
        <f>_xlfn.XLOOKUP(Table4[[#This Row],[Base System]],BASE_SYSTEM_TABLE[System Name],BASE_SYSTEM_TABLE[Construction Type (Framed or Planar)],FALSE)</f>
        <v>0</v>
      </c>
      <c r="I209" t="e">
        <f>GETPIVOTDATA("Sum of A1-A3 Fossil kg CO2e/m^2 wall area",'COMPONENT PIVOT REF'!$A$3,"System Name",Table4[[#This Row],[Base System]])</f>
        <v>#REF!</v>
      </c>
      <c r="J209" t="e">
        <f>GETPIVOTDATA("Sum of  R value (m^2-K/W)",'COMPONENT PIVOT REF'!$A$3,"System Name",Table4[[#This Row],[Base System]])</f>
        <v>#REF!</v>
      </c>
      <c r="K209" t="e">
        <f>GETPIVOTDATA("Sum of Total Mass per m^2 (kg)",'COMPONENT PIVOT REF'!$A$3,"System Name",Table4[[#This Row],[Base System]])</f>
        <v>#REF!</v>
      </c>
      <c r="M209">
        <f>_xlfn.XLOOKUP(Table4[[#This Row],[Ext Finish]],Master_Table4[System Name],Master_Table4[System Name (Short)],FALSE)</f>
        <v>0</v>
      </c>
      <c r="N209">
        <f>_xlfn.XLOOKUP(Table4[[#This Row],[Ext Finish]],Master_Table4[System Name],Master_Table4[Compatible Systems],FALSE)</f>
        <v>0</v>
      </c>
      <c r="O209" t="str">
        <f>IF(ISNUMBER(SEARCH(Table4[[#This Row],[MMC Method]],Table4[[#This Row],[Compatible Systems]])),"YES","NO")</f>
        <v>YES</v>
      </c>
      <c r="P209" t="e">
        <f>GETPIVOTDATA("Sum of A1-A3 Fossil kg CO2e/m^2 wall area",'COMPONENT PIVOT REF'!$I$3,"System Name",Table4[[#This Row],[Ext Finish]])</f>
        <v>#REF!</v>
      </c>
      <c r="Q209" t="e">
        <f>GETPIVOTDATA("Sum of  R value (m^2-K/W)",'COMPONENT PIVOT REF'!$I$3,"System Name",Table4[[#This Row],[Ext Finish]])</f>
        <v>#REF!</v>
      </c>
      <c r="R209" t="e">
        <f>GETPIVOTDATA("Sum of Total Mass per m^2 (kg)",'COMPONENT PIVOT REF'!$I$3,"System Name",Table4[[#This Row],[Ext Finish]])</f>
        <v>#REF!</v>
      </c>
      <c r="T209">
        <f>_xlfn.XLOOKUP(Table4[[#This Row],[Int Finish]],Master_Table6[System Name],Master_Table6[System Name (Short)],FALSE)</f>
        <v>0</v>
      </c>
      <c r="U209" t="e">
        <f>GETPIVOTDATA("Sum of A1-A3 Fossil kg CO2e/m^2 wall area",'COMPONENT PIVOT REF'!$P$3,"System Name",Table4[[#This Row],[Int Finish]])</f>
        <v>#REF!</v>
      </c>
      <c r="V209" t="e">
        <f>GETPIVOTDATA("Sum of  R value (m^2-K/W)",'COMPONENT PIVOT REF'!$P$3,"System Name",Table4[[#This Row],[Int Finish]])</f>
        <v>#REF!</v>
      </c>
      <c r="W209" t="e">
        <f>GETPIVOTDATA("Sum of Total Mass per m^2 (kg)",'COMPONENT PIVOT REF'!$P$3,"System Name",Table4[[#This Row],[Int Finish]])</f>
        <v>#REF!</v>
      </c>
      <c r="X209" t="e">
        <f>Table4[[#This Row],[Ext Finish GWP]]+Table4[[#This Row],[Base GWP]]+Table4[[#This Row],[Int Finish GWP]]</f>
        <v>#REF!</v>
      </c>
      <c r="Y209" t="e">
        <f>Table4[[#This Row],[Ext Finish R Value]]+Table4[[#This Row],[Base R Value]]+Table4[[#This Row],[Int Finish R Value]]</f>
        <v>#REF!</v>
      </c>
      <c r="Z209" t="e">
        <f>1/Table4[[#This Row],[Total R value]]</f>
        <v>#REF!</v>
      </c>
      <c r="AA209" t="e">
        <f>Table4[[#This Row],[Int Finish Mass]]+Table4[[#This Row],[Ext Finish Mass]]+Table4[[#This Row],[Base Mass]]</f>
        <v>#REF!</v>
      </c>
    </row>
    <row r="210" spans="3:27" x14ac:dyDescent="0.35">
      <c r="C210" t="str">
        <f>_xlfn.CONCAT(Table4[[#This Row],[System Name (Short)]],"_",Table4[[#This Row],[Ext Finish Name (Short)]],"_",Table4[[#This Row],[Int Finish Name (Short)]])</f>
        <v>0_0_0</v>
      </c>
      <c r="E210">
        <f>_xlfn.XLOOKUP(Table4[[#This Row],[Base System]],BASE_SYSTEM_TABLE[System Name],BASE_SYSTEM_TABLE[System Name (Short)],FALSE)</f>
        <v>0</v>
      </c>
      <c r="F210">
        <f>_xlfn.XLOOKUP(Table4[[#This Row],[Base System]],BASE_SYSTEM_TABLE[System Name],BASE_SYSTEM_TABLE[System Type],FALSE)</f>
        <v>0</v>
      </c>
      <c r="G210">
        <f>_xlfn.XLOOKUP(Table4[[#This Row],[Base System]],BASE_SYSTEM_TABLE[System Name],BASE_SYSTEM_TABLE[System Subtype],FALSE)</f>
        <v>0</v>
      </c>
      <c r="H210">
        <f>_xlfn.XLOOKUP(Table4[[#This Row],[Base System]],BASE_SYSTEM_TABLE[System Name],BASE_SYSTEM_TABLE[Construction Type (Framed or Planar)],FALSE)</f>
        <v>0</v>
      </c>
      <c r="I210" t="e">
        <f>GETPIVOTDATA("Sum of A1-A3 Fossil kg CO2e/m^2 wall area",'COMPONENT PIVOT REF'!$A$3,"System Name",Table4[[#This Row],[Base System]])</f>
        <v>#REF!</v>
      </c>
      <c r="J210" t="e">
        <f>GETPIVOTDATA("Sum of  R value (m^2-K/W)",'COMPONENT PIVOT REF'!$A$3,"System Name",Table4[[#This Row],[Base System]])</f>
        <v>#REF!</v>
      </c>
      <c r="K210" t="e">
        <f>GETPIVOTDATA("Sum of Total Mass per m^2 (kg)",'COMPONENT PIVOT REF'!$A$3,"System Name",Table4[[#This Row],[Base System]])</f>
        <v>#REF!</v>
      </c>
      <c r="M210">
        <f>_xlfn.XLOOKUP(Table4[[#This Row],[Ext Finish]],Master_Table4[System Name],Master_Table4[System Name (Short)],FALSE)</f>
        <v>0</v>
      </c>
      <c r="N210">
        <f>_xlfn.XLOOKUP(Table4[[#This Row],[Ext Finish]],Master_Table4[System Name],Master_Table4[Compatible Systems],FALSE)</f>
        <v>0</v>
      </c>
      <c r="O210" t="str">
        <f>IF(ISNUMBER(SEARCH(Table4[[#This Row],[MMC Method]],Table4[[#This Row],[Compatible Systems]])),"YES","NO")</f>
        <v>YES</v>
      </c>
      <c r="P210" t="e">
        <f>GETPIVOTDATA("Sum of A1-A3 Fossil kg CO2e/m^2 wall area",'COMPONENT PIVOT REF'!$I$3,"System Name",Table4[[#This Row],[Ext Finish]])</f>
        <v>#REF!</v>
      </c>
      <c r="Q210" t="e">
        <f>GETPIVOTDATA("Sum of  R value (m^2-K/W)",'COMPONENT PIVOT REF'!$I$3,"System Name",Table4[[#This Row],[Ext Finish]])</f>
        <v>#REF!</v>
      </c>
      <c r="R210" t="e">
        <f>GETPIVOTDATA("Sum of Total Mass per m^2 (kg)",'COMPONENT PIVOT REF'!$I$3,"System Name",Table4[[#This Row],[Ext Finish]])</f>
        <v>#REF!</v>
      </c>
      <c r="T210">
        <f>_xlfn.XLOOKUP(Table4[[#This Row],[Int Finish]],Master_Table6[System Name],Master_Table6[System Name (Short)],FALSE)</f>
        <v>0</v>
      </c>
      <c r="U210" t="e">
        <f>GETPIVOTDATA("Sum of A1-A3 Fossil kg CO2e/m^2 wall area",'COMPONENT PIVOT REF'!$P$3,"System Name",Table4[[#This Row],[Int Finish]])</f>
        <v>#REF!</v>
      </c>
      <c r="V210" t="e">
        <f>GETPIVOTDATA("Sum of  R value (m^2-K/W)",'COMPONENT PIVOT REF'!$P$3,"System Name",Table4[[#This Row],[Int Finish]])</f>
        <v>#REF!</v>
      </c>
      <c r="W210" t="e">
        <f>GETPIVOTDATA("Sum of Total Mass per m^2 (kg)",'COMPONENT PIVOT REF'!$P$3,"System Name",Table4[[#This Row],[Int Finish]])</f>
        <v>#REF!</v>
      </c>
      <c r="X210" t="e">
        <f>Table4[[#This Row],[Ext Finish GWP]]+Table4[[#This Row],[Base GWP]]+Table4[[#This Row],[Int Finish GWP]]</f>
        <v>#REF!</v>
      </c>
      <c r="Y210" t="e">
        <f>Table4[[#This Row],[Ext Finish R Value]]+Table4[[#This Row],[Base R Value]]+Table4[[#This Row],[Int Finish R Value]]</f>
        <v>#REF!</v>
      </c>
      <c r="Z210" t="e">
        <f>1/Table4[[#This Row],[Total R value]]</f>
        <v>#REF!</v>
      </c>
      <c r="AA210" t="e">
        <f>Table4[[#This Row],[Int Finish Mass]]+Table4[[#This Row],[Ext Finish Mass]]+Table4[[#This Row],[Base Mass]]</f>
        <v>#REF!</v>
      </c>
    </row>
    <row r="211" spans="3:27" x14ac:dyDescent="0.35">
      <c r="C211" t="str">
        <f>_xlfn.CONCAT(Table4[[#This Row],[System Name (Short)]],"_",Table4[[#This Row],[Ext Finish Name (Short)]],"_",Table4[[#This Row],[Int Finish Name (Short)]])</f>
        <v>0_0_0</v>
      </c>
      <c r="E211">
        <f>_xlfn.XLOOKUP(Table4[[#This Row],[Base System]],BASE_SYSTEM_TABLE[System Name],BASE_SYSTEM_TABLE[System Name (Short)],FALSE)</f>
        <v>0</v>
      </c>
      <c r="F211">
        <f>_xlfn.XLOOKUP(Table4[[#This Row],[Base System]],BASE_SYSTEM_TABLE[System Name],BASE_SYSTEM_TABLE[System Type],FALSE)</f>
        <v>0</v>
      </c>
      <c r="G211">
        <f>_xlfn.XLOOKUP(Table4[[#This Row],[Base System]],BASE_SYSTEM_TABLE[System Name],BASE_SYSTEM_TABLE[System Subtype],FALSE)</f>
        <v>0</v>
      </c>
      <c r="H211">
        <f>_xlfn.XLOOKUP(Table4[[#This Row],[Base System]],BASE_SYSTEM_TABLE[System Name],BASE_SYSTEM_TABLE[Construction Type (Framed or Planar)],FALSE)</f>
        <v>0</v>
      </c>
      <c r="I211" t="e">
        <f>GETPIVOTDATA("Sum of A1-A3 Fossil kg CO2e/m^2 wall area",'COMPONENT PIVOT REF'!$A$3,"System Name",Table4[[#This Row],[Base System]])</f>
        <v>#REF!</v>
      </c>
      <c r="J211" t="e">
        <f>GETPIVOTDATA("Sum of  R value (m^2-K/W)",'COMPONENT PIVOT REF'!$A$3,"System Name",Table4[[#This Row],[Base System]])</f>
        <v>#REF!</v>
      </c>
      <c r="K211" t="e">
        <f>GETPIVOTDATA("Sum of Total Mass per m^2 (kg)",'COMPONENT PIVOT REF'!$A$3,"System Name",Table4[[#This Row],[Base System]])</f>
        <v>#REF!</v>
      </c>
      <c r="M211">
        <f>_xlfn.XLOOKUP(Table4[[#This Row],[Ext Finish]],Master_Table4[System Name],Master_Table4[System Name (Short)],FALSE)</f>
        <v>0</v>
      </c>
      <c r="N211">
        <f>_xlfn.XLOOKUP(Table4[[#This Row],[Ext Finish]],Master_Table4[System Name],Master_Table4[Compatible Systems],FALSE)</f>
        <v>0</v>
      </c>
      <c r="O211" t="str">
        <f>IF(ISNUMBER(SEARCH(Table4[[#This Row],[MMC Method]],Table4[[#This Row],[Compatible Systems]])),"YES","NO")</f>
        <v>YES</v>
      </c>
      <c r="P211" t="e">
        <f>GETPIVOTDATA("Sum of A1-A3 Fossil kg CO2e/m^2 wall area",'COMPONENT PIVOT REF'!$I$3,"System Name",Table4[[#This Row],[Ext Finish]])</f>
        <v>#REF!</v>
      </c>
      <c r="Q211" t="e">
        <f>GETPIVOTDATA("Sum of  R value (m^2-K/W)",'COMPONENT PIVOT REF'!$I$3,"System Name",Table4[[#This Row],[Ext Finish]])</f>
        <v>#REF!</v>
      </c>
      <c r="R211" t="e">
        <f>GETPIVOTDATA("Sum of Total Mass per m^2 (kg)",'COMPONENT PIVOT REF'!$I$3,"System Name",Table4[[#This Row],[Ext Finish]])</f>
        <v>#REF!</v>
      </c>
      <c r="T211">
        <f>_xlfn.XLOOKUP(Table4[[#This Row],[Int Finish]],Master_Table6[System Name],Master_Table6[System Name (Short)],FALSE)</f>
        <v>0</v>
      </c>
      <c r="U211" t="e">
        <f>GETPIVOTDATA("Sum of A1-A3 Fossil kg CO2e/m^2 wall area",'COMPONENT PIVOT REF'!$P$3,"System Name",Table4[[#This Row],[Int Finish]])</f>
        <v>#REF!</v>
      </c>
      <c r="V211" t="e">
        <f>GETPIVOTDATA("Sum of  R value (m^2-K/W)",'COMPONENT PIVOT REF'!$P$3,"System Name",Table4[[#This Row],[Int Finish]])</f>
        <v>#REF!</v>
      </c>
      <c r="W211" t="e">
        <f>GETPIVOTDATA("Sum of Total Mass per m^2 (kg)",'COMPONENT PIVOT REF'!$P$3,"System Name",Table4[[#This Row],[Int Finish]])</f>
        <v>#REF!</v>
      </c>
      <c r="X211" t="e">
        <f>Table4[[#This Row],[Ext Finish GWP]]+Table4[[#This Row],[Base GWP]]+Table4[[#This Row],[Int Finish GWP]]</f>
        <v>#REF!</v>
      </c>
      <c r="Y211" t="e">
        <f>Table4[[#This Row],[Ext Finish R Value]]+Table4[[#This Row],[Base R Value]]+Table4[[#This Row],[Int Finish R Value]]</f>
        <v>#REF!</v>
      </c>
      <c r="Z211" t="e">
        <f>1/Table4[[#This Row],[Total R value]]</f>
        <v>#REF!</v>
      </c>
      <c r="AA211" t="e">
        <f>Table4[[#This Row],[Int Finish Mass]]+Table4[[#This Row],[Ext Finish Mass]]+Table4[[#This Row],[Base Mass]]</f>
        <v>#REF!</v>
      </c>
    </row>
    <row r="212" spans="3:27" x14ac:dyDescent="0.35">
      <c r="C212" t="str">
        <f>_xlfn.CONCAT(Table4[[#This Row],[System Name (Short)]],"_",Table4[[#This Row],[Ext Finish Name (Short)]],"_",Table4[[#This Row],[Int Finish Name (Short)]])</f>
        <v>0_0_0</v>
      </c>
      <c r="E212">
        <f>_xlfn.XLOOKUP(Table4[[#This Row],[Base System]],BASE_SYSTEM_TABLE[System Name],BASE_SYSTEM_TABLE[System Name (Short)],FALSE)</f>
        <v>0</v>
      </c>
      <c r="F212">
        <f>_xlfn.XLOOKUP(Table4[[#This Row],[Base System]],BASE_SYSTEM_TABLE[System Name],BASE_SYSTEM_TABLE[System Type],FALSE)</f>
        <v>0</v>
      </c>
      <c r="G212">
        <f>_xlfn.XLOOKUP(Table4[[#This Row],[Base System]],BASE_SYSTEM_TABLE[System Name],BASE_SYSTEM_TABLE[System Subtype],FALSE)</f>
        <v>0</v>
      </c>
      <c r="H212">
        <f>_xlfn.XLOOKUP(Table4[[#This Row],[Base System]],BASE_SYSTEM_TABLE[System Name],BASE_SYSTEM_TABLE[Construction Type (Framed or Planar)],FALSE)</f>
        <v>0</v>
      </c>
      <c r="I212" t="e">
        <f>GETPIVOTDATA("Sum of A1-A3 Fossil kg CO2e/m^2 wall area",'COMPONENT PIVOT REF'!$A$3,"System Name",Table4[[#This Row],[Base System]])</f>
        <v>#REF!</v>
      </c>
      <c r="J212" t="e">
        <f>GETPIVOTDATA("Sum of  R value (m^2-K/W)",'COMPONENT PIVOT REF'!$A$3,"System Name",Table4[[#This Row],[Base System]])</f>
        <v>#REF!</v>
      </c>
      <c r="K212" t="e">
        <f>GETPIVOTDATA("Sum of Total Mass per m^2 (kg)",'COMPONENT PIVOT REF'!$A$3,"System Name",Table4[[#This Row],[Base System]])</f>
        <v>#REF!</v>
      </c>
      <c r="M212">
        <f>_xlfn.XLOOKUP(Table4[[#This Row],[Ext Finish]],Master_Table4[System Name],Master_Table4[System Name (Short)],FALSE)</f>
        <v>0</v>
      </c>
      <c r="N212">
        <f>_xlfn.XLOOKUP(Table4[[#This Row],[Ext Finish]],Master_Table4[System Name],Master_Table4[Compatible Systems],FALSE)</f>
        <v>0</v>
      </c>
      <c r="O212" t="str">
        <f>IF(ISNUMBER(SEARCH(Table4[[#This Row],[MMC Method]],Table4[[#This Row],[Compatible Systems]])),"YES","NO")</f>
        <v>YES</v>
      </c>
      <c r="P212" t="e">
        <f>GETPIVOTDATA("Sum of A1-A3 Fossil kg CO2e/m^2 wall area",'COMPONENT PIVOT REF'!$I$3,"System Name",Table4[[#This Row],[Ext Finish]])</f>
        <v>#REF!</v>
      </c>
      <c r="Q212" t="e">
        <f>GETPIVOTDATA("Sum of  R value (m^2-K/W)",'COMPONENT PIVOT REF'!$I$3,"System Name",Table4[[#This Row],[Ext Finish]])</f>
        <v>#REF!</v>
      </c>
      <c r="R212" t="e">
        <f>GETPIVOTDATA("Sum of Total Mass per m^2 (kg)",'COMPONENT PIVOT REF'!$I$3,"System Name",Table4[[#This Row],[Ext Finish]])</f>
        <v>#REF!</v>
      </c>
      <c r="T212">
        <f>_xlfn.XLOOKUP(Table4[[#This Row],[Int Finish]],Master_Table6[System Name],Master_Table6[System Name (Short)],FALSE)</f>
        <v>0</v>
      </c>
      <c r="U212" t="e">
        <f>GETPIVOTDATA("Sum of A1-A3 Fossil kg CO2e/m^2 wall area",'COMPONENT PIVOT REF'!$P$3,"System Name",Table4[[#This Row],[Int Finish]])</f>
        <v>#REF!</v>
      </c>
      <c r="V212" t="e">
        <f>GETPIVOTDATA("Sum of  R value (m^2-K/W)",'COMPONENT PIVOT REF'!$P$3,"System Name",Table4[[#This Row],[Int Finish]])</f>
        <v>#REF!</v>
      </c>
      <c r="W212" t="e">
        <f>GETPIVOTDATA("Sum of Total Mass per m^2 (kg)",'COMPONENT PIVOT REF'!$P$3,"System Name",Table4[[#This Row],[Int Finish]])</f>
        <v>#REF!</v>
      </c>
      <c r="X212" t="e">
        <f>Table4[[#This Row],[Ext Finish GWP]]+Table4[[#This Row],[Base GWP]]+Table4[[#This Row],[Int Finish GWP]]</f>
        <v>#REF!</v>
      </c>
      <c r="Y212" t="e">
        <f>Table4[[#This Row],[Ext Finish R Value]]+Table4[[#This Row],[Base R Value]]+Table4[[#This Row],[Int Finish R Value]]</f>
        <v>#REF!</v>
      </c>
      <c r="Z212" t="e">
        <f>1/Table4[[#This Row],[Total R value]]</f>
        <v>#REF!</v>
      </c>
      <c r="AA212" t="e">
        <f>Table4[[#This Row],[Int Finish Mass]]+Table4[[#This Row],[Ext Finish Mass]]+Table4[[#This Row],[Base Mass]]</f>
        <v>#REF!</v>
      </c>
    </row>
    <row r="213" spans="3:27" x14ac:dyDescent="0.35">
      <c r="C213" t="str">
        <f>_xlfn.CONCAT(Table4[[#This Row],[System Name (Short)]],"_",Table4[[#This Row],[Ext Finish Name (Short)]],"_",Table4[[#This Row],[Int Finish Name (Short)]])</f>
        <v>0_0_0</v>
      </c>
      <c r="E213">
        <f>_xlfn.XLOOKUP(Table4[[#This Row],[Base System]],BASE_SYSTEM_TABLE[System Name],BASE_SYSTEM_TABLE[System Name (Short)],FALSE)</f>
        <v>0</v>
      </c>
      <c r="F213">
        <f>_xlfn.XLOOKUP(Table4[[#This Row],[Base System]],BASE_SYSTEM_TABLE[System Name],BASE_SYSTEM_TABLE[System Type],FALSE)</f>
        <v>0</v>
      </c>
      <c r="G213">
        <f>_xlfn.XLOOKUP(Table4[[#This Row],[Base System]],BASE_SYSTEM_TABLE[System Name],BASE_SYSTEM_TABLE[System Subtype],FALSE)</f>
        <v>0</v>
      </c>
      <c r="H213">
        <f>_xlfn.XLOOKUP(Table4[[#This Row],[Base System]],BASE_SYSTEM_TABLE[System Name],BASE_SYSTEM_TABLE[Construction Type (Framed or Planar)],FALSE)</f>
        <v>0</v>
      </c>
      <c r="I213" t="e">
        <f>GETPIVOTDATA("Sum of A1-A3 Fossil kg CO2e/m^2 wall area",'COMPONENT PIVOT REF'!$A$3,"System Name",Table4[[#This Row],[Base System]])</f>
        <v>#REF!</v>
      </c>
      <c r="J213" t="e">
        <f>GETPIVOTDATA("Sum of  R value (m^2-K/W)",'COMPONENT PIVOT REF'!$A$3,"System Name",Table4[[#This Row],[Base System]])</f>
        <v>#REF!</v>
      </c>
      <c r="K213" t="e">
        <f>GETPIVOTDATA("Sum of Total Mass per m^2 (kg)",'COMPONENT PIVOT REF'!$A$3,"System Name",Table4[[#This Row],[Base System]])</f>
        <v>#REF!</v>
      </c>
      <c r="M213">
        <f>_xlfn.XLOOKUP(Table4[[#This Row],[Ext Finish]],Master_Table4[System Name],Master_Table4[System Name (Short)],FALSE)</f>
        <v>0</v>
      </c>
      <c r="N213">
        <f>_xlfn.XLOOKUP(Table4[[#This Row],[Ext Finish]],Master_Table4[System Name],Master_Table4[Compatible Systems],FALSE)</f>
        <v>0</v>
      </c>
      <c r="O213" t="str">
        <f>IF(ISNUMBER(SEARCH(Table4[[#This Row],[MMC Method]],Table4[[#This Row],[Compatible Systems]])),"YES","NO")</f>
        <v>YES</v>
      </c>
      <c r="P213" t="e">
        <f>GETPIVOTDATA("Sum of A1-A3 Fossil kg CO2e/m^2 wall area",'COMPONENT PIVOT REF'!$I$3,"System Name",Table4[[#This Row],[Ext Finish]])</f>
        <v>#REF!</v>
      </c>
      <c r="Q213" t="e">
        <f>GETPIVOTDATA("Sum of  R value (m^2-K/W)",'COMPONENT PIVOT REF'!$I$3,"System Name",Table4[[#This Row],[Ext Finish]])</f>
        <v>#REF!</v>
      </c>
      <c r="R213" t="e">
        <f>GETPIVOTDATA("Sum of Total Mass per m^2 (kg)",'COMPONENT PIVOT REF'!$I$3,"System Name",Table4[[#This Row],[Ext Finish]])</f>
        <v>#REF!</v>
      </c>
      <c r="T213">
        <f>_xlfn.XLOOKUP(Table4[[#This Row],[Int Finish]],Master_Table6[System Name],Master_Table6[System Name (Short)],FALSE)</f>
        <v>0</v>
      </c>
      <c r="U213" t="e">
        <f>GETPIVOTDATA("Sum of A1-A3 Fossil kg CO2e/m^2 wall area",'COMPONENT PIVOT REF'!$P$3,"System Name",Table4[[#This Row],[Int Finish]])</f>
        <v>#REF!</v>
      </c>
      <c r="V213" t="e">
        <f>GETPIVOTDATA("Sum of  R value (m^2-K/W)",'COMPONENT PIVOT REF'!$P$3,"System Name",Table4[[#This Row],[Int Finish]])</f>
        <v>#REF!</v>
      </c>
      <c r="W213" t="e">
        <f>GETPIVOTDATA("Sum of Total Mass per m^2 (kg)",'COMPONENT PIVOT REF'!$P$3,"System Name",Table4[[#This Row],[Int Finish]])</f>
        <v>#REF!</v>
      </c>
      <c r="X213" t="e">
        <f>Table4[[#This Row],[Ext Finish GWP]]+Table4[[#This Row],[Base GWP]]+Table4[[#This Row],[Int Finish GWP]]</f>
        <v>#REF!</v>
      </c>
      <c r="Y213" t="e">
        <f>Table4[[#This Row],[Ext Finish R Value]]+Table4[[#This Row],[Base R Value]]+Table4[[#This Row],[Int Finish R Value]]</f>
        <v>#REF!</v>
      </c>
      <c r="Z213" t="e">
        <f>1/Table4[[#This Row],[Total R value]]</f>
        <v>#REF!</v>
      </c>
      <c r="AA213" t="e">
        <f>Table4[[#This Row],[Int Finish Mass]]+Table4[[#This Row],[Ext Finish Mass]]+Table4[[#This Row],[Base Mass]]</f>
        <v>#REF!</v>
      </c>
    </row>
    <row r="214" spans="3:27" x14ac:dyDescent="0.35">
      <c r="C214" t="str">
        <f>_xlfn.CONCAT(Table4[[#This Row],[System Name (Short)]],"_",Table4[[#This Row],[Ext Finish Name (Short)]],"_",Table4[[#This Row],[Int Finish Name (Short)]])</f>
        <v>0_0_0</v>
      </c>
      <c r="E214">
        <f>_xlfn.XLOOKUP(Table4[[#This Row],[Base System]],BASE_SYSTEM_TABLE[System Name],BASE_SYSTEM_TABLE[System Name (Short)],FALSE)</f>
        <v>0</v>
      </c>
      <c r="F214">
        <f>_xlfn.XLOOKUP(Table4[[#This Row],[Base System]],BASE_SYSTEM_TABLE[System Name],BASE_SYSTEM_TABLE[System Type],FALSE)</f>
        <v>0</v>
      </c>
      <c r="G214">
        <f>_xlfn.XLOOKUP(Table4[[#This Row],[Base System]],BASE_SYSTEM_TABLE[System Name],BASE_SYSTEM_TABLE[System Subtype],FALSE)</f>
        <v>0</v>
      </c>
      <c r="H214">
        <f>_xlfn.XLOOKUP(Table4[[#This Row],[Base System]],BASE_SYSTEM_TABLE[System Name],BASE_SYSTEM_TABLE[Construction Type (Framed or Planar)],FALSE)</f>
        <v>0</v>
      </c>
      <c r="I214" t="e">
        <f>GETPIVOTDATA("Sum of A1-A3 Fossil kg CO2e/m^2 wall area",'COMPONENT PIVOT REF'!$A$3,"System Name",Table4[[#This Row],[Base System]])</f>
        <v>#REF!</v>
      </c>
      <c r="J214" t="e">
        <f>GETPIVOTDATA("Sum of  R value (m^2-K/W)",'COMPONENT PIVOT REF'!$A$3,"System Name",Table4[[#This Row],[Base System]])</f>
        <v>#REF!</v>
      </c>
      <c r="K214" t="e">
        <f>GETPIVOTDATA("Sum of Total Mass per m^2 (kg)",'COMPONENT PIVOT REF'!$A$3,"System Name",Table4[[#This Row],[Base System]])</f>
        <v>#REF!</v>
      </c>
      <c r="M214">
        <f>_xlfn.XLOOKUP(Table4[[#This Row],[Ext Finish]],Master_Table4[System Name],Master_Table4[System Name (Short)],FALSE)</f>
        <v>0</v>
      </c>
      <c r="N214">
        <f>_xlfn.XLOOKUP(Table4[[#This Row],[Ext Finish]],Master_Table4[System Name],Master_Table4[Compatible Systems],FALSE)</f>
        <v>0</v>
      </c>
      <c r="O214" t="str">
        <f>IF(ISNUMBER(SEARCH(Table4[[#This Row],[MMC Method]],Table4[[#This Row],[Compatible Systems]])),"YES","NO")</f>
        <v>YES</v>
      </c>
      <c r="P214" t="e">
        <f>GETPIVOTDATA("Sum of A1-A3 Fossil kg CO2e/m^2 wall area",'COMPONENT PIVOT REF'!$I$3,"System Name",Table4[[#This Row],[Ext Finish]])</f>
        <v>#REF!</v>
      </c>
      <c r="Q214" t="e">
        <f>GETPIVOTDATA("Sum of  R value (m^2-K/W)",'COMPONENT PIVOT REF'!$I$3,"System Name",Table4[[#This Row],[Ext Finish]])</f>
        <v>#REF!</v>
      </c>
      <c r="R214" t="e">
        <f>GETPIVOTDATA("Sum of Total Mass per m^2 (kg)",'COMPONENT PIVOT REF'!$I$3,"System Name",Table4[[#This Row],[Ext Finish]])</f>
        <v>#REF!</v>
      </c>
      <c r="T214">
        <f>_xlfn.XLOOKUP(Table4[[#This Row],[Int Finish]],Master_Table6[System Name],Master_Table6[System Name (Short)],FALSE)</f>
        <v>0</v>
      </c>
      <c r="U214" t="e">
        <f>GETPIVOTDATA("Sum of A1-A3 Fossil kg CO2e/m^2 wall area",'COMPONENT PIVOT REF'!$P$3,"System Name",Table4[[#This Row],[Int Finish]])</f>
        <v>#REF!</v>
      </c>
      <c r="V214" t="e">
        <f>GETPIVOTDATA("Sum of  R value (m^2-K/W)",'COMPONENT PIVOT REF'!$P$3,"System Name",Table4[[#This Row],[Int Finish]])</f>
        <v>#REF!</v>
      </c>
      <c r="W214" t="e">
        <f>GETPIVOTDATA("Sum of Total Mass per m^2 (kg)",'COMPONENT PIVOT REF'!$P$3,"System Name",Table4[[#This Row],[Int Finish]])</f>
        <v>#REF!</v>
      </c>
      <c r="X214" t="e">
        <f>Table4[[#This Row],[Ext Finish GWP]]+Table4[[#This Row],[Base GWP]]+Table4[[#This Row],[Int Finish GWP]]</f>
        <v>#REF!</v>
      </c>
      <c r="Y214" t="e">
        <f>Table4[[#This Row],[Ext Finish R Value]]+Table4[[#This Row],[Base R Value]]+Table4[[#This Row],[Int Finish R Value]]</f>
        <v>#REF!</v>
      </c>
      <c r="Z214" t="e">
        <f>1/Table4[[#This Row],[Total R value]]</f>
        <v>#REF!</v>
      </c>
      <c r="AA214" t="e">
        <f>Table4[[#This Row],[Int Finish Mass]]+Table4[[#This Row],[Ext Finish Mass]]+Table4[[#This Row],[Base Mass]]</f>
        <v>#REF!</v>
      </c>
    </row>
    <row r="215" spans="3:27" x14ac:dyDescent="0.35">
      <c r="C215" t="str">
        <f>_xlfn.CONCAT(Table4[[#This Row],[System Name (Short)]],"_",Table4[[#This Row],[Ext Finish Name (Short)]],"_",Table4[[#This Row],[Int Finish Name (Short)]])</f>
        <v>0_0_0</v>
      </c>
      <c r="E215">
        <f>_xlfn.XLOOKUP(Table4[[#This Row],[Base System]],BASE_SYSTEM_TABLE[System Name],BASE_SYSTEM_TABLE[System Name (Short)],FALSE)</f>
        <v>0</v>
      </c>
      <c r="F215">
        <f>_xlfn.XLOOKUP(Table4[[#This Row],[Base System]],BASE_SYSTEM_TABLE[System Name],BASE_SYSTEM_TABLE[System Type],FALSE)</f>
        <v>0</v>
      </c>
      <c r="G215">
        <f>_xlfn.XLOOKUP(Table4[[#This Row],[Base System]],BASE_SYSTEM_TABLE[System Name],BASE_SYSTEM_TABLE[System Subtype],FALSE)</f>
        <v>0</v>
      </c>
      <c r="H215">
        <f>_xlfn.XLOOKUP(Table4[[#This Row],[Base System]],BASE_SYSTEM_TABLE[System Name],BASE_SYSTEM_TABLE[Construction Type (Framed or Planar)],FALSE)</f>
        <v>0</v>
      </c>
      <c r="I215" t="e">
        <f>GETPIVOTDATA("Sum of A1-A3 Fossil kg CO2e/m^2 wall area",'COMPONENT PIVOT REF'!$A$3,"System Name",Table4[[#This Row],[Base System]])</f>
        <v>#REF!</v>
      </c>
      <c r="J215" t="e">
        <f>GETPIVOTDATA("Sum of  R value (m^2-K/W)",'COMPONENT PIVOT REF'!$A$3,"System Name",Table4[[#This Row],[Base System]])</f>
        <v>#REF!</v>
      </c>
      <c r="K215" t="e">
        <f>GETPIVOTDATA("Sum of Total Mass per m^2 (kg)",'COMPONENT PIVOT REF'!$A$3,"System Name",Table4[[#This Row],[Base System]])</f>
        <v>#REF!</v>
      </c>
      <c r="M215">
        <f>_xlfn.XLOOKUP(Table4[[#This Row],[Ext Finish]],Master_Table4[System Name],Master_Table4[System Name (Short)],FALSE)</f>
        <v>0</v>
      </c>
      <c r="N215">
        <f>_xlfn.XLOOKUP(Table4[[#This Row],[Ext Finish]],Master_Table4[System Name],Master_Table4[Compatible Systems],FALSE)</f>
        <v>0</v>
      </c>
      <c r="O215" t="str">
        <f>IF(ISNUMBER(SEARCH(Table4[[#This Row],[MMC Method]],Table4[[#This Row],[Compatible Systems]])),"YES","NO")</f>
        <v>YES</v>
      </c>
      <c r="P215" t="e">
        <f>GETPIVOTDATA("Sum of A1-A3 Fossil kg CO2e/m^2 wall area",'COMPONENT PIVOT REF'!$I$3,"System Name",Table4[[#This Row],[Ext Finish]])</f>
        <v>#REF!</v>
      </c>
      <c r="Q215" t="e">
        <f>GETPIVOTDATA("Sum of  R value (m^2-K/W)",'COMPONENT PIVOT REF'!$I$3,"System Name",Table4[[#This Row],[Ext Finish]])</f>
        <v>#REF!</v>
      </c>
      <c r="R215" t="e">
        <f>GETPIVOTDATA("Sum of Total Mass per m^2 (kg)",'COMPONENT PIVOT REF'!$I$3,"System Name",Table4[[#This Row],[Ext Finish]])</f>
        <v>#REF!</v>
      </c>
      <c r="T215">
        <f>_xlfn.XLOOKUP(Table4[[#This Row],[Int Finish]],Master_Table6[System Name],Master_Table6[System Name (Short)],FALSE)</f>
        <v>0</v>
      </c>
      <c r="U215" t="e">
        <f>GETPIVOTDATA("Sum of A1-A3 Fossil kg CO2e/m^2 wall area",'COMPONENT PIVOT REF'!$P$3,"System Name",Table4[[#This Row],[Int Finish]])</f>
        <v>#REF!</v>
      </c>
      <c r="V215" t="e">
        <f>GETPIVOTDATA("Sum of  R value (m^2-K/W)",'COMPONENT PIVOT REF'!$P$3,"System Name",Table4[[#This Row],[Int Finish]])</f>
        <v>#REF!</v>
      </c>
      <c r="W215" t="e">
        <f>GETPIVOTDATA("Sum of Total Mass per m^2 (kg)",'COMPONENT PIVOT REF'!$P$3,"System Name",Table4[[#This Row],[Int Finish]])</f>
        <v>#REF!</v>
      </c>
      <c r="X215" t="e">
        <f>Table4[[#This Row],[Ext Finish GWP]]+Table4[[#This Row],[Base GWP]]+Table4[[#This Row],[Int Finish GWP]]</f>
        <v>#REF!</v>
      </c>
      <c r="Y215" t="e">
        <f>Table4[[#This Row],[Ext Finish R Value]]+Table4[[#This Row],[Base R Value]]+Table4[[#This Row],[Int Finish R Value]]</f>
        <v>#REF!</v>
      </c>
      <c r="Z215" t="e">
        <f>1/Table4[[#This Row],[Total R value]]</f>
        <v>#REF!</v>
      </c>
      <c r="AA215" t="e">
        <f>Table4[[#This Row],[Int Finish Mass]]+Table4[[#This Row],[Ext Finish Mass]]+Table4[[#This Row],[Base Mass]]</f>
        <v>#REF!</v>
      </c>
    </row>
    <row r="216" spans="3:27" x14ac:dyDescent="0.35">
      <c r="C216" t="str">
        <f>_xlfn.CONCAT(Table4[[#This Row],[System Name (Short)]],"_",Table4[[#This Row],[Ext Finish Name (Short)]],"_",Table4[[#This Row],[Int Finish Name (Short)]])</f>
        <v>0_0_0</v>
      </c>
      <c r="E216">
        <f>_xlfn.XLOOKUP(Table4[[#This Row],[Base System]],BASE_SYSTEM_TABLE[System Name],BASE_SYSTEM_TABLE[System Name (Short)],FALSE)</f>
        <v>0</v>
      </c>
      <c r="F216">
        <f>_xlfn.XLOOKUP(Table4[[#This Row],[Base System]],BASE_SYSTEM_TABLE[System Name],BASE_SYSTEM_TABLE[System Type],FALSE)</f>
        <v>0</v>
      </c>
      <c r="G216">
        <f>_xlfn.XLOOKUP(Table4[[#This Row],[Base System]],BASE_SYSTEM_TABLE[System Name],BASE_SYSTEM_TABLE[System Subtype],FALSE)</f>
        <v>0</v>
      </c>
      <c r="H216">
        <f>_xlfn.XLOOKUP(Table4[[#This Row],[Base System]],BASE_SYSTEM_TABLE[System Name],BASE_SYSTEM_TABLE[Construction Type (Framed or Planar)],FALSE)</f>
        <v>0</v>
      </c>
      <c r="I216" t="e">
        <f>GETPIVOTDATA("Sum of A1-A3 Fossil kg CO2e/m^2 wall area",'COMPONENT PIVOT REF'!$A$3,"System Name",Table4[[#This Row],[Base System]])</f>
        <v>#REF!</v>
      </c>
      <c r="J216" t="e">
        <f>GETPIVOTDATA("Sum of  R value (m^2-K/W)",'COMPONENT PIVOT REF'!$A$3,"System Name",Table4[[#This Row],[Base System]])</f>
        <v>#REF!</v>
      </c>
      <c r="K216" t="e">
        <f>GETPIVOTDATA("Sum of Total Mass per m^2 (kg)",'COMPONENT PIVOT REF'!$A$3,"System Name",Table4[[#This Row],[Base System]])</f>
        <v>#REF!</v>
      </c>
      <c r="M216">
        <f>_xlfn.XLOOKUP(Table4[[#This Row],[Ext Finish]],Master_Table4[System Name],Master_Table4[System Name (Short)],FALSE)</f>
        <v>0</v>
      </c>
      <c r="N216">
        <f>_xlfn.XLOOKUP(Table4[[#This Row],[Ext Finish]],Master_Table4[System Name],Master_Table4[Compatible Systems],FALSE)</f>
        <v>0</v>
      </c>
      <c r="O216" t="str">
        <f>IF(ISNUMBER(SEARCH(Table4[[#This Row],[MMC Method]],Table4[[#This Row],[Compatible Systems]])),"YES","NO")</f>
        <v>YES</v>
      </c>
      <c r="P216" t="e">
        <f>GETPIVOTDATA("Sum of A1-A3 Fossil kg CO2e/m^2 wall area",'COMPONENT PIVOT REF'!$I$3,"System Name",Table4[[#This Row],[Ext Finish]])</f>
        <v>#REF!</v>
      </c>
      <c r="Q216" t="e">
        <f>GETPIVOTDATA("Sum of  R value (m^2-K/W)",'COMPONENT PIVOT REF'!$I$3,"System Name",Table4[[#This Row],[Ext Finish]])</f>
        <v>#REF!</v>
      </c>
      <c r="R216" t="e">
        <f>GETPIVOTDATA("Sum of Total Mass per m^2 (kg)",'COMPONENT PIVOT REF'!$I$3,"System Name",Table4[[#This Row],[Ext Finish]])</f>
        <v>#REF!</v>
      </c>
      <c r="T216">
        <f>_xlfn.XLOOKUP(Table4[[#This Row],[Int Finish]],Master_Table6[System Name],Master_Table6[System Name (Short)],FALSE)</f>
        <v>0</v>
      </c>
      <c r="U216" t="e">
        <f>GETPIVOTDATA("Sum of A1-A3 Fossil kg CO2e/m^2 wall area",'COMPONENT PIVOT REF'!$P$3,"System Name",Table4[[#This Row],[Int Finish]])</f>
        <v>#REF!</v>
      </c>
      <c r="V216" t="e">
        <f>GETPIVOTDATA("Sum of  R value (m^2-K/W)",'COMPONENT PIVOT REF'!$P$3,"System Name",Table4[[#This Row],[Int Finish]])</f>
        <v>#REF!</v>
      </c>
      <c r="W216" t="e">
        <f>GETPIVOTDATA("Sum of Total Mass per m^2 (kg)",'COMPONENT PIVOT REF'!$P$3,"System Name",Table4[[#This Row],[Int Finish]])</f>
        <v>#REF!</v>
      </c>
      <c r="X216" t="e">
        <f>Table4[[#This Row],[Ext Finish GWP]]+Table4[[#This Row],[Base GWP]]+Table4[[#This Row],[Int Finish GWP]]</f>
        <v>#REF!</v>
      </c>
      <c r="Y216" t="e">
        <f>Table4[[#This Row],[Ext Finish R Value]]+Table4[[#This Row],[Base R Value]]+Table4[[#This Row],[Int Finish R Value]]</f>
        <v>#REF!</v>
      </c>
      <c r="Z216" t="e">
        <f>1/Table4[[#This Row],[Total R value]]</f>
        <v>#REF!</v>
      </c>
      <c r="AA216" t="e">
        <f>Table4[[#This Row],[Int Finish Mass]]+Table4[[#This Row],[Ext Finish Mass]]+Table4[[#This Row],[Base Mass]]</f>
        <v>#REF!</v>
      </c>
    </row>
    <row r="217" spans="3:27" x14ac:dyDescent="0.35">
      <c r="C217" t="str">
        <f>_xlfn.CONCAT(Table4[[#This Row],[System Name (Short)]],"_",Table4[[#This Row],[Ext Finish Name (Short)]],"_",Table4[[#This Row],[Int Finish Name (Short)]])</f>
        <v>0_0_0</v>
      </c>
      <c r="E217">
        <f>_xlfn.XLOOKUP(Table4[[#This Row],[Base System]],BASE_SYSTEM_TABLE[System Name],BASE_SYSTEM_TABLE[System Name (Short)],FALSE)</f>
        <v>0</v>
      </c>
      <c r="F217">
        <f>_xlfn.XLOOKUP(Table4[[#This Row],[Base System]],BASE_SYSTEM_TABLE[System Name],BASE_SYSTEM_TABLE[System Type],FALSE)</f>
        <v>0</v>
      </c>
      <c r="G217">
        <f>_xlfn.XLOOKUP(Table4[[#This Row],[Base System]],BASE_SYSTEM_TABLE[System Name],BASE_SYSTEM_TABLE[System Subtype],FALSE)</f>
        <v>0</v>
      </c>
      <c r="H217">
        <f>_xlfn.XLOOKUP(Table4[[#This Row],[Base System]],BASE_SYSTEM_TABLE[System Name],BASE_SYSTEM_TABLE[Construction Type (Framed or Planar)],FALSE)</f>
        <v>0</v>
      </c>
      <c r="I217" t="e">
        <f>GETPIVOTDATA("Sum of A1-A3 Fossil kg CO2e/m^2 wall area",'COMPONENT PIVOT REF'!$A$3,"System Name",Table4[[#This Row],[Base System]])</f>
        <v>#REF!</v>
      </c>
      <c r="J217" t="e">
        <f>GETPIVOTDATA("Sum of  R value (m^2-K/W)",'COMPONENT PIVOT REF'!$A$3,"System Name",Table4[[#This Row],[Base System]])</f>
        <v>#REF!</v>
      </c>
      <c r="K217" t="e">
        <f>GETPIVOTDATA("Sum of Total Mass per m^2 (kg)",'COMPONENT PIVOT REF'!$A$3,"System Name",Table4[[#This Row],[Base System]])</f>
        <v>#REF!</v>
      </c>
      <c r="M217">
        <f>_xlfn.XLOOKUP(Table4[[#This Row],[Ext Finish]],Master_Table4[System Name],Master_Table4[System Name (Short)],FALSE)</f>
        <v>0</v>
      </c>
      <c r="N217">
        <f>_xlfn.XLOOKUP(Table4[[#This Row],[Ext Finish]],Master_Table4[System Name],Master_Table4[Compatible Systems],FALSE)</f>
        <v>0</v>
      </c>
      <c r="O217" t="str">
        <f>IF(ISNUMBER(SEARCH(Table4[[#This Row],[MMC Method]],Table4[[#This Row],[Compatible Systems]])),"YES","NO")</f>
        <v>YES</v>
      </c>
      <c r="P217" t="e">
        <f>GETPIVOTDATA("Sum of A1-A3 Fossil kg CO2e/m^2 wall area",'COMPONENT PIVOT REF'!$I$3,"System Name",Table4[[#This Row],[Ext Finish]])</f>
        <v>#REF!</v>
      </c>
      <c r="Q217" t="e">
        <f>GETPIVOTDATA("Sum of  R value (m^2-K/W)",'COMPONENT PIVOT REF'!$I$3,"System Name",Table4[[#This Row],[Ext Finish]])</f>
        <v>#REF!</v>
      </c>
      <c r="R217" t="e">
        <f>GETPIVOTDATA("Sum of Total Mass per m^2 (kg)",'COMPONENT PIVOT REF'!$I$3,"System Name",Table4[[#This Row],[Ext Finish]])</f>
        <v>#REF!</v>
      </c>
      <c r="T217">
        <f>_xlfn.XLOOKUP(Table4[[#This Row],[Int Finish]],Master_Table6[System Name],Master_Table6[System Name (Short)],FALSE)</f>
        <v>0</v>
      </c>
      <c r="U217" t="e">
        <f>GETPIVOTDATA("Sum of A1-A3 Fossil kg CO2e/m^2 wall area",'COMPONENT PIVOT REF'!$P$3,"System Name",Table4[[#This Row],[Int Finish]])</f>
        <v>#REF!</v>
      </c>
      <c r="V217" t="e">
        <f>GETPIVOTDATA("Sum of  R value (m^2-K/W)",'COMPONENT PIVOT REF'!$P$3,"System Name",Table4[[#This Row],[Int Finish]])</f>
        <v>#REF!</v>
      </c>
      <c r="W217" t="e">
        <f>GETPIVOTDATA("Sum of Total Mass per m^2 (kg)",'COMPONENT PIVOT REF'!$P$3,"System Name",Table4[[#This Row],[Int Finish]])</f>
        <v>#REF!</v>
      </c>
      <c r="X217" t="e">
        <f>Table4[[#This Row],[Ext Finish GWP]]+Table4[[#This Row],[Base GWP]]+Table4[[#This Row],[Int Finish GWP]]</f>
        <v>#REF!</v>
      </c>
      <c r="Y217" t="e">
        <f>Table4[[#This Row],[Ext Finish R Value]]+Table4[[#This Row],[Base R Value]]+Table4[[#This Row],[Int Finish R Value]]</f>
        <v>#REF!</v>
      </c>
      <c r="Z217" t="e">
        <f>1/Table4[[#This Row],[Total R value]]</f>
        <v>#REF!</v>
      </c>
      <c r="AA217" t="e">
        <f>Table4[[#This Row],[Int Finish Mass]]+Table4[[#This Row],[Ext Finish Mass]]+Table4[[#This Row],[Base Mass]]</f>
        <v>#REF!</v>
      </c>
    </row>
    <row r="218" spans="3:27" x14ac:dyDescent="0.35">
      <c r="C218" t="str">
        <f>_xlfn.CONCAT(Table4[[#This Row],[System Name (Short)]],"_",Table4[[#This Row],[Ext Finish Name (Short)]],"_",Table4[[#This Row],[Int Finish Name (Short)]])</f>
        <v>0_0_0</v>
      </c>
      <c r="E218">
        <f>_xlfn.XLOOKUP(Table4[[#This Row],[Base System]],BASE_SYSTEM_TABLE[System Name],BASE_SYSTEM_TABLE[System Name (Short)],FALSE)</f>
        <v>0</v>
      </c>
      <c r="F218">
        <f>_xlfn.XLOOKUP(Table4[[#This Row],[Base System]],BASE_SYSTEM_TABLE[System Name],BASE_SYSTEM_TABLE[System Type],FALSE)</f>
        <v>0</v>
      </c>
      <c r="G218">
        <f>_xlfn.XLOOKUP(Table4[[#This Row],[Base System]],BASE_SYSTEM_TABLE[System Name],BASE_SYSTEM_TABLE[System Subtype],FALSE)</f>
        <v>0</v>
      </c>
      <c r="H218">
        <f>_xlfn.XLOOKUP(Table4[[#This Row],[Base System]],BASE_SYSTEM_TABLE[System Name],BASE_SYSTEM_TABLE[Construction Type (Framed or Planar)],FALSE)</f>
        <v>0</v>
      </c>
      <c r="I218" t="e">
        <f>GETPIVOTDATA("Sum of A1-A3 Fossil kg CO2e/m^2 wall area",'COMPONENT PIVOT REF'!$A$3,"System Name",Table4[[#This Row],[Base System]])</f>
        <v>#REF!</v>
      </c>
      <c r="J218" t="e">
        <f>GETPIVOTDATA("Sum of  R value (m^2-K/W)",'COMPONENT PIVOT REF'!$A$3,"System Name",Table4[[#This Row],[Base System]])</f>
        <v>#REF!</v>
      </c>
      <c r="K218" t="e">
        <f>GETPIVOTDATA("Sum of Total Mass per m^2 (kg)",'COMPONENT PIVOT REF'!$A$3,"System Name",Table4[[#This Row],[Base System]])</f>
        <v>#REF!</v>
      </c>
      <c r="M218">
        <f>_xlfn.XLOOKUP(Table4[[#This Row],[Ext Finish]],Master_Table4[System Name],Master_Table4[System Name (Short)],FALSE)</f>
        <v>0</v>
      </c>
      <c r="N218">
        <f>_xlfn.XLOOKUP(Table4[[#This Row],[Ext Finish]],Master_Table4[System Name],Master_Table4[Compatible Systems],FALSE)</f>
        <v>0</v>
      </c>
      <c r="O218" t="str">
        <f>IF(ISNUMBER(SEARCH(Table4[[#This Row],[MMC Method]],Table4[[#This Row],[Compatible Systems]])),"YES","NO")</f>
        <v>YES</v>
      </c>
      <c r="P218" t="e">
        <f>GETPIVOTDATA("Sum of A1-A3 Fossil kg CO2e/m^2 wall area",'COMPONENT PIVOT REF'!$I$3,"System Name",Table4[[#This Row],[Ext Finish]])</f>
        <v>#REF!</v>
      </c>
      <c r="Q218" t="e">
        <f>GETPIVOTDATA("Sum of  R value (m^2-K/W)",'COMPONENT PIVOT REF'!$I$3,"System Name",Table4[[#This Row],[Ext Finish]])</f>
        <v>#REF!</v>
      </c>
      <c r="R218" t="e">
        <f>GETPIVOTDATA("Sum of Total Mass per m^2 (kg)",'COMPONENT PIVOT REF'!$I$3,"System Name",Table4[[#This Row],[Ext Finish]])</f>
        <v>#REF!</v>
      </c>
      <c r="T218">
        <f>_xlfn.XLOOKUP(Table4[[#This Row],[Int Finish]],Master_Table6[System Name],Master_Table6[System Name (Short)],FALSE)</f>
        <v>0</v>
      </c>
      <c r="U218" t="e">
        <f>GETPIVOTDATA("Sum of A1-A3 Fossil kg CO2e/m^2 wall area",'COMPONENT PIVOT REF'!$P$3,"System Name",Table4[[#This Row],[Int Finish]])</f>
        <v>#REF!</v>
      </c>
      <c r="V218" t="e">
        <f>GETPIVOTDATA("Sum of  R value (m^2-K/W)",'COMPONENT PIVOT REF'!$P$3,"System Name",Table4[[#This Row],[Int Finish]])</f>
        <v>#REF!</v>
      </c>
      <c r="W218" t="e">
        <f>GETPIVOTDATA("Sum of Total Mass per m^2 (kg)",'COMPONENT PIVOT REF'!$P$3,"System Name",Table4[[#This Row],[Int Finish]])</f>
        <v>#REF!</v>
      </c>
      <c r="X218" t="e">
        <f>Table4[[#This Row],[Ext Finish GWP]]+Table4[[#This Row],[Base GWP]]+Table4[[#This Row],[Int Finish GWP]]</f>
        <v>#REF!</v>
      </c>
      <c r="Y218" t="e">
        <f>Table4[[#This Row],[Ext Finish R Value]]+Table4[[#This Row],[Base R Value]]+Table4[[#This Row],[Int Finish R Value]]</f>
        <v>#REF!</v>
      </c>
      <c r="Z218" t="e">
        <f>1/Table4[[#This Row],[Total R value]]</f>
        <v>#REF!</v>
      </c>
      <c r="AA218" t="e">
        <f>Table4[[#This Row],[Int Finish Mass]]+Table4[[#This Row],[Ext Finish Mass]]+Table4[[#This Row],[Base Mass]]</f>
        <v>#REF!</v>
      </c>
    </row>
    <row r="219" spans="3:27" x14ac:dyDescent="0.35">
      <c r="C219" t="str">
        <f>_xlfn.CONCAT(Table4[[#This Row],[System Name (Short)]],"_",Table4[[#This Row],[Ext Finish Name (Short)]],"_",Table4[[#This Row],[Int Finish Name (Short)]])</f>
        <v>0_0_0</v>
      </c>
      <c r="E219">
        <f>_xlfn.XLOOKUP(Table4[[#This Row],[Base System]],BASE_SYSTEM_TABLE[System Name],BASE_SYSTEM_TABLE[System Name (Short)],FALSE)</f>
        <v>0</v>
      </c>
      <c r="F219">
        <f>_xlfn.XLOOKUP(Table4[[#This Row],[Base System]],BASE_SYSTEM_TABLE[System Name],BASE_SYSTEM_TABLE[System Type],FALSE)</f>
        <v>0</v>
      </c>
      <c r="G219">
        <f>_xlfn.XLOOKUP(Table4[[#This Row],[Base System]],BASE_SYSTEM_TABLE[System Name],BASE_SYSTEM_TABLE[System Subtype],FALSE)</f>
        <v>0</v>
      </c>
      <c r="H219">
        <f>_xlfn.XLOOKUP(Table4[[#This Row],[Base System]],BASE_SYSTEM_TABLE[System Name],BASE_SYSTEM_TABLE[Construction Type (Framed or Planar)],FALSE)</f>
        <v>0</v>
      </c>
      <c r="I219" t="e">
        <f>GETPIVOTDATA("Sum of A1-A3 Fossil kg CO2e/m^2 wall area",'COMPONENT PIVOT REF'!$A$3,"System Name",Table4[[#This Row],[Base System]])</f>
        <v>#REF!</v>
      </c>
      <c r="J219" t="e">
        <f>GETPIVOTDATA("Sum of  R value (m^2-K/W)",'COMPONENT PIVOT REF'!$A$3,"System Name",Table4[[#This Row],[Base System]])</f>
        <v>#REF!</v>
      </c>
      <c r="K219" t="e">
        <f>GETPIVOTDATA("Sum of Total Mass per m^2 (kg)",'COMPONENT PIVOT REF'!$A$3,"System Name",Table4[[#This Row],[Base System]])</f>
        <v>#REF!</v>
      </c>
      <c r="M219">
        <f>_xlfn.XLOOKUP(Table4[[#This Row],[Ext Finish]],Master_Table4[System Name],Master_Table4[System Name (Short)],FALSE)</f>
        <v>0</v>
      </c>
      <c r="N219">
        <f>_xlfn.XLOOKUP(Table4[[#This Row],[Ext Finish]],Master_Table4[System Name],Master_Table4[Compatible Systems],FALSE)</f>
        <v>0</v>
      </c>
      <c r="O219" t="str">
        <f>IF(ISNUMBER(SEARCH(Table4[[#This Row],[MMC Method]],Table4[[#This Row],[Compatible Systems]])),"YES","NO")</f>
        <v>YES</v>
      </c>
      <c r="P219" t="e">
        <f>GETPIVOTDATA("Sum of A1-A3 Fossil kg CO2e/m^2 wall area",'COMPONENT PIVOT REF'!$I$3,"System Name",Table4[[#This Row],[Ext Finish]])</f>
        <v>#REF!</v>
      </c>
      <c r="Q219" t="e">
        <f>GETPIVOTDATA("Sum of  R value (m^2-K/W)",'COMPONENT PIVOT REF'!$I$3,"System Name",Table4[[#This Row],[Ext Finish]])</f>
        <v>#REF!</v>
      </c>
      <c r="R219" t="e">
        <f>GETPIVOTDATA("Sum of Total Mass per m^2 (kg)",'COMPONENT PIVOT REF'!$I$3,"System Name",Table4[[#This Row],[Ext Finish]])</f>
        <v>#REF!</v>
      </c>
      <c r="T219">
        <f>_xlfn.XLOOKUP(Table4[[#This Row],[Int Finish]],Master_Table6[System Name],Master_Table6[System Name (Short)],FALSE)</f>
        <v>0</v>
      </c>
      <c r="U219" t="e">
        <f>GETPIVOTDATA("Sum of A1-A3 Fossil kg CO2e/m^2 wall area",'COMPONENT PIVOT REF'!$P$3,"System Name",Table4[[#This Row],[Int Finish]])</f>
        <v>#REF!</v>
      </c>
      <c r="V219" t="e">
        <f>GETPIVOTDATA("Sum of  R value (m^2-K/W)",'COMPONENT PIVOT REF'!$P$3,"System Name",Table4[[#This Row],[Int Finish]])</f>
        <v>#REF!</v>
      </c>
      <c r="W219" t="e">
        <f>GETPIVOTDATA("Sum of Total Mass per m^2 (kg)",'COMPONENT PIVOT REF'!$P$3,"System Name",Table4[[#This Row],[Int Finish]])</f>
        <v>#REF!</v>
      </c>
      <c r="X219" t="e">
        <f>Table4[[#This Row],[Ext Finish GWP]]+Table4[[#This Row],[Base GWP]]+Table4[[#This Row],[Int Finish GWP]]</f>
        <v>#REF!</v>
      </c>
      <c r="Y219" t="e">
        <f>Table4[[#This Row],[Ext Finish R Value]]+Table4[[#This Row],[Base R Value]]+Table4[[#This Row],[Int Finish R Value]]</f>
        <v>#REF!</v>
      </c>
      <c r="Z219" t="e">
        <f>1/Table4[[#This Row],[Total R value]]</f>
        <v>#REF!</v>
      </c>
      <c r="AA219" t="e">
        <f>Table4[[#This Row],[Int Finish Mass]]+Table4[[#This Row],[Ext Finish Mass]]+Table4[[#This Row],[Base Mass]]</f>
        <v>#REF!</v>
      </c>
    </row>
    <row r="220" spans="3:27" x14ac:dyDescent="0.35">
      <c r="C220" t="str">
        <f>_xlfn.CONCAT(Table4[[#This Row],[System Name (Short)]],"_",Table4[[#This Row],[Ext Finish Name (Short)]],"_",Table4[[#This Row],[Int Finish Name (Short)]])</f>
        <v>0_0_0</v>
      </c>
      <c r="E220">
        <f>_xlfn.XLOOKUP(Table4[[#This Row],[Base System]],BASE_SYSTEM_TABLE[System Name],BASE_SYSTEM_TABLE[System Name (Short)],FALSE)</f>
        <v>0</v>
      </c>
      <c r="F220">
        <f>_xlfn.XLOOKUP(Table4[[#This Row],[Base System]],BASE_SYSTEM_TABLE[System Name],BASE_SYSTEM_TABLE[System Type],FALSE)</f>
        <v>0</v>
      </c>
      <c r="G220">
        <f>_xlfn.XLOOKUP(Table4[[#This Row],[Base System]],BASE_SYSTEM_TABLE[System Name],BASE_SYSTEM_TABLE[System Subtype],FALSE)</f>
        <v>0</v>
      </c>
      <c r="H220">
        <f>_xlfn.XLOOKUP(Table4[[#This Row],[Base System]],BASE_SYSTEM_TABLE[System Name],BASE_SYSTEM_TABLE[Construction Type (Framed or Planar)],FALSE)</f>
        <v>0</v>
      </c>
      <c r="I220" t="e">
        <f>GETPIVOTDATA("Sum of A1-A3 Fossil kg CO2e/m^2 wall area",'COMPONENT PIVOT REF'!$A$3,"System Name",Table4[[#This Row],[Base System]])</f>
        <v>#REF!</v>
      </c>
      <c r="J220" t="e">
        <f>GETPIVOTDATA("Sum of  R value (m^2-K/W)",'COMPONENT PIVOT REF'!$A$3,"System Name",Table4[[#This Row],[Base System]])</f>
        <v>#REF!</v>
      </c>
      <c r="K220" t="e">
        <f>GETPIVOTDATA("Sum of Total Mass per m^2 (kg)",'COMPONENT PIVOT REF'!$A$3,"System Name",Table4[[#This Row],[Base System]])</f>
        <v>#REF!</v>
      </c>
      <c r="M220">
        <f>_xlfn.XLOOKUP(Table4[[#This Row],[Ext Finish]],Master_Table4[System Name],Master_Table4[System Name (Short)],FALSE)</f>
        <v>0</v>
      </c>
      <c r="N220">
        <f>_xlfn.XLOOKUP(Table4[[#This Row],[Ext Finish]],Master_Table4[System Name],Master_Table4[Compatible Systems],FALSE)</f>
        <v>0</v>
      </c>
      <c r="O220" t="str">
        <f>IF(ISNUMBER(SEARCH(Table4[[#This Row],[MMC Method]],Table4[[#This Row],[Compatible Systems]])),"YES","NO")</f>
        <v>YES</v>
      </c>
      <c r="P220" t="e">
        <f>GETPIVOTDATA("Sum of A1-A3 Fossil kg CO2e/m^2 wall area",'COMPONENT PIVOT REF'!$I$3,"System Name",Table4[[#This Row],[Ext Finish]])</f>
        <v>#REF!</v>
      </c>
      <c r="Q220" t="e">
        <f>GETPIVOTDATA("Sum of  R value (m^2-K/W)",'COMPONENT PIVOT REF'!$I$3,"System Name",Table4[[#This Row],[Ext Finish]])</f>
        <v>#REF!</v>
      </c>
      <c r="R220" t="e">
        <f>GETPIVOTDATA("Sum of Total Mass per m^2 (kg)",'COMPONENT PIVOT REF'!$I$3,"System Name",Table4[[#This Row],[Ext Finish]])</f>
        <v>#REF!</v>
      </c>
      <c r="T220">
        <f>_xlfn.XLOOKUP(Table4[[#This Row],[Int Finish]],Master_Table6[System Name],Master_Table6[System Name (Short)],FALSE)</f>
        <v>0</v>
      </c>
      <c r="U220" t="e">
        <f>GETPIVOTDATA("Sum of A1-A3 Fossil kg CO2e/m^2 wall area",'COMPONENT PIVOT REF'!$P$3,"System Name",Table4[[#This Row],[Int Finish]])</f>
        <v>#REF!</v>
      </c>
      <c r="V220" t="e">
        <f>GETPIVOTDATA("Sum of  R value (m^2-K/W)",'COMPONENT PIVOT REF'!$P$3,"System Name",Table4[[#This Row],[Int Finish]])</f>
        <v>#REF!</v>
      </c>
      <c r="W220" t="e">
        <f>GETPIVOTDATA("Sum of Total Mass per m^2 (kg)",'COMPONENT PIVOT REF'!$P$3,"System Name",Table4[[#This Row],[Int Finish]])</f>
        <v>#REF!</v>
      </c>
      <c r="X220" t="e">
        <f>Table4[[#This Row],[Ext Finish GWP]]+Table4[[#This Row],[Base GWP]]+Table4[[#This Row],[Int Finish GWP]]</f>
        <v>#REF!</v>
      </c>
      <c r="Y220" t="e">
        <f>Table4[[#This Row],[Ext Finish R Value]]+Table4[[#This Row],[Base R Value]]+Table4[[#This Row],[Int Finish R Value]]</f>
        <v>#REF!</v>
      </c>
      <c r="Z220" t="e">
        <f>1/Table4[[#This Row],[Total R value]]</f>
        <v>#REF!</v>
      </c>
      <c r="AA220" t="e">
        <f>Table4[[#This Row],[Int Finish Mass]]+Table4[[#This Row],[Ext Finish Mass]]+Table4[[#This Row],[Base Mass]]</f>
        <v>#REF!</v>
      </c>
    </row>
    <row r="221" spans="3:27" x14ac:dyDescent="0.35">
      <c r="C221" t="str">
        <f>_xlfn.CONCAT(Table4[[#This Row],[System Name (Short)]],"_",Table4[[#This Row],[Ext Finish Name (Short)]],"_",Table4[[#This Row],[Int Finish Name (Short)]])</f>
        <v>0_0_0</v>
      </c>
      <c r="E221">
        <f>_xlfn.XLOOKUP(Table4[[#This Row],[Base System]],BASE_SYSTEM_TABLE[System Name],BASE_SYSTEM_TABLE[System Name (Short)],FALSE)</f>
        <v>0</v>
      </c>
      <c r="F221">
        <f>_xlfn.XLOOKUP(Table4[[#This Row],[Base System]],BASE_SYSTEM_TABLE[System Name],BASE_SYSTEM_TABLE[System Type],FALSE)</f>
        <v>0</v>
      </c>
      <c r="G221">
        <f>_xlfn.XLOOKUP(Table4[[#This Row],[Base System]],BASE_SYSTEM_TABLE[System Name],BASE_SYSTEM_TABLE[System Subtype],FALSE)</f>
        <v>0</v>
      </c>
      <c r="H221">
        <f>_xlfn.XLOOKUP(Table4[[#This Row],[Base System]],BASE_SYSTEM_TABLE[System Name],BASE_SYSTEM_TABLE[Construction Type (Framed or Planar)],FALSE)</f>
        <v>0</v>
      </c>
      <c r="I221" t="e">
        <f>GETPIVOTDATA("Sum of A1-A3 Fossil kg CO2e/m^2 wall area",'COMPONENT PIVOT REF'!$A$3,"System Name",Table4[[#This Row],[Base System]])</f>
        <v>#REF!</v>
      </c>
      <c r="J221" t="e">
        <f>GETPIVOTDATA("Sum of  R value (m^2-K/W)",'COMPONENT PIVOT REF'!$A$3,"System Name",Table4[[#This Row],[Base System]])</f>
        <v>#REF!</v>
      </c>
      <c r="K221" t="e">
        <f>GETPIVOTDATA("Sum of Total Mass per m^2 (kg)",'COMPONENT PIVOT REF'!$A$3,"System Name",Table4[[#This Row],[Base System]])</f>
        <v>#REF!</v>
      </c>
      <c r="M221">
        <f>_xlfn.XLOOKUP(Table4[[#This Row],[Ext Finish]],Master_Table4[System Name],Master_Table4[System Name (Short)],FALSE)</f>
        <v>0</v>
      </c>
      <c r="N221">
        <f>_xlfn.XLOOKUP(Table4[[#This Row],[Ext Finish]],Master_Table4[System Name],Master_Table4[Compatible Systems],FALSE)</f>
        <v>0</v>
      </c>
      <c r="O221" t="str">
        <f>IF(ISNUMBER(SEARCH(Table4[[#This Row],[MMC Method]],Table4[[#This Row],[Compatible Systems]])),"YES","NO")</f>
        <v>YES</v>
      </c>
      <c r="P221" t="e">
        <f>GETPIVOTDATA("Sum of A1-A3 Fossil kg CO2e/m^2 wall area",'COMPONENT PIVOT REF'!$I$3,"System Name",Table4[[#This Row],[Ext Finish]])</f>
        <v>#REF!</v>
      </c>
      <c r="Q221" t="e">
        <f>GETPIVOTDATA("Sum of  R value (m^2-K/W)",'COMPONENT PIVOT REF'!$I$3,"System Name",Table4[[#This Row],[Ext Finish]])</f>
        <v>#REF!</v>
      </c>
      <c r="R221" t="e">
        <f>GETPIVOTDATA("Sum of Total Mass per m^2 (kg)",'COMPONENT PIVOT REF'!$I$3,"System Name",Table4[[#This Row],[Ext Finish]])</f>
        <v>#REF!</v>
      </c>
      <c r="T221">
        <f>_xlfn.XLOOKUP(Table4[[#This Row],[Int Finish]],Master_Table6[System Name],Master_Table6[System Name (Short)],FALSE)</f>
        <v>0</v>
      </c>
      <c r="U221" t="e">
        <f>GETPIVOTDATA("Sum of A1-A3 Fossil kg CO2e/m^2 wall area",'COMPONENT PIVOT REF'!$P$3,"System Name",Table4[[#This Row],[Int Finish]])</f>
        <v>#REF!</v>
      </c>
      <c r="V221" t="e">
        <f>GETPIVOTDATA("Sum of  R value (m^2-K/W)",'COMPONENT PIVOT REF'!$P$3,"System Name",Table4[[#This Row],[Int Finish]])</f>
        <v>#REF!</v>
      </c>
      <c r="W221" t="e">
        <f>GETPIVOTDATA("Sum of Total Mass per m^2 (kg)",'COMPONENT PIVOT REF'!$P$3,"System Name",Table4[[#This Row],[Int Finish]])</f>
        <v>#REF!</v>
      </c>
      <c r="X221" t="e">
        <f>Table4[[#This Row],[Ext Finish GWP]]+Table4[[#This Row],[Base GWP]]+Table4[[#This Row],[Int Finish GWP]]</f>
        <v>#REF!</v>
      </c>
      <c r="Y221" t="e">
        <f>Table4[[#This Row],[Ext Finish R Value]]+Table4[[#This Row],[Base R Value]]+Table4[[#This Row],[Int Finish R Value]]</f>
        <v>#REF!</v>
      </c>
      <c r="Z221" t="e">
        <f>1/Table4[[#This Row],[Total R value]]</f>
        <v>#REF!</v>
      </c>
      <c r="AA221" t="e">
        <f>Table4[[#This Row],[Int Finish Mass]]+Table4[[#This Row],[Ext Finish Mass]]+Table4[[#This Row],[Base Mass]]</f>
        <v>#REF!</v>
      </c>
    </row>
    <row r="222" spans="3:27" x14ac:dyDescent="0.35">
      <c r="C222" t="str">
        <f>_xlfn.CONCAT(Table4[[#This Row],[System Name (Short)]],"_",Table4[[#This Row],[Ext Finish Name (Short)]],"_",Table4[[#This Row],[Int Finish Name (Short)]])</f>
        <v>0_0_0</v>
      </c>
      <c r="E222">
        <f>_xlfn.XLOOKUP(Table4[[#This Row],[Base System]],BASE_SYSTEM_TABLE[System Name],BASE_SYSTEM_TABLE[System Name (Short)],FALSE)</f>
        <v>0</v>
      </c>
      <c r="F222">
        <f>_xlfn.XLOOKUP(Table4[[#This Row],[Base System]],BASE_SYSTEM_TABLE[System Name],BASE_SYSTEM_TABLE[System Type],FALSE)</f>
        <v>0</v>
      </c>
      <c r="G222">
        <f>_xlfn.XLOOKUP(Table4[[#This Row],[Base System]],BASE_SYSTEM_TABLE[System Name],BASE_SYSTEM_TABLE[System Subtype],FALSE)</f>
        <v>0</v>
      </c>
      <c r="H222">
        <f>_xlfn.XLOOKUP(Table4[[#This Row],[Base System]],BASE_SYSTEM_TABLE[System Name],BASE_SYSTEM_TABLE[Construction Type (Framed or Planar)],FALSE)</f>
        <v>0</v>
      </c>
      <c r="I222" t="e">
        <f>GETPIVOTDATA("Sum of A1-A3 Fossil kg CO2e/m^2 wall area",'COMPONENT PIVOT REF'!$A$3,"System Name",Table4[[#This Row],[Base System]])</f>
        <v>#REF!</v>
      </c>
      <c r="J222" t="e">
        <f>GETPIVOTDATA("Sum of  R value (m^2-K/W)",'COMPONENT PIVOT REF'!$A$3,"System Name",Table4[[#This Row],[Base System]])</f>
        <v>#REF!</v>
      </c>
      <c r="K222" t="e">
        <f>GETPIVOTDATA("Sum of Total Mass per m^2 (kg)",'COMPONENT PIVOT REF'!$A$3,"System Name",Table4[[#This Row],[Base System]])</f>
        <v>#REF!</v>
      </c>
      <c r="M222">
        <f>_xlfn.XLOOKUP(Table4[[#This Row],[Ext Finish]],Master_Table4[System Name],Master_Table4[System Name (Short)],FALSE)</f>
        <v>0</v>
      </c>
      <c r="N222">
        <f>_xlfn.XLOOKUP(Table4[[#This Row],[Ext Finish]],Master_Table4[System Name],Master_Table4[Compatible Systems],FALSE)</f>
        <v>0</v>
      </c>
      <c r="O222" t="str">
        <f>IF(ISNUMBER(SEARCH(Table4[[#This Row],[MMC Method]],Table4[[#This Row],[Compatible Systems]])),"YES","NO")</f>
        <v>YES</v>
      </c>
      <c r="P222" t="e">
        <f>GETPIVOTDATA("Sum of A1-A3 Fossil kg CO2e/m^2 wall area",'COMPONENT PIVOT REF'!$I$3,"System Name",Table4[[#This Row],[Ext Finish]])</f>
        <v>#REF!</v>
      </c>
      <c r="Q222" t="e">
        <f>GETPIVOTDATA("Sum of  R value (m^2-K/W)",'COMPONENT PIVOT REF'!$I$3,"System Name",Table4[[#This Row],[Ext Finish]])</f>
        <v>#REF!</v>
      </c>
      <c r="R222" t="e">
        <f>GETPIVOTDATA("Sum of Total Mass per m^2 (kg)",'COMPONENT PIVOT REF'!$I$3,"System Name",Table4[[#This Row],[Ext Finish]])</f>
        <v>#REF!</v>
      </c>
      <c r="T222">
        <f>_xlfn.XLOOKUP(Table4[[#This Row],[Int Finish]],Master_Table6[System Name],Master_Table6[System Name (Short)],FALSE)</f>
        <v>0</v>
      </c>
      <c r="U222" t="e">
        <f>GETPIVOTDATA("Sum of A1-A3 Fossil kg CO2e/m^2 wall area",'COMPONENT PIVOT REF'!$P$3,"System Name",Table4[[#This Row],[Int Finish]])</f>
        <v>#REF!</v>
      </c>
      <c r="V222" t="e">
        <f>GETPIVOTDATA("Sum of  R value (m^2-K/W)",'COMPONENT PIVOT REF'!$P$3,"System Name",Table4[[#This Row],[Int Finish]])</f>
        <v>#REF!</v>
      </c>
      <c r="W222" t="e">
        <f>GETPIVOTDATA("Sum of Total Mass per m^2 (kg)",'COMPONENT PIVOT REF'!$P$3,"System Name",Table4[[#This Row],[Int Finish]])</f>
        <v>#REF!</v>
      </c>
      <c r="X222" t="e">
        <f>Table4[[#This Row],[Ext Finish GWP]]+Table4[[#This Row],[Base GWP]]+Table4[[#This Row],[Int Finish GWP]]</f>
        <v>#REF!</v>
      </c>
      <c r="Y222" t="e">
        <f>Table4[[#This Row],[Ext Finish R Value]]+Table4[[#This Row],[Base R Value]]+Table4[[#This Row],[Int Finish R Value]]</f>
        <v>#REF!</v>
      </c>
      <c r="Z222" t="e">
        <f>1/Table4[[#This Row],[Total R value]]</f>
        <v>#REF!</v>
      </c>
      <c r="AA222" t="e">
        <f>Table4[[#This Row],[Int Finish Mass]]+Table4[[#This Row],[Ext Finish Mass]]+Table4[[#This Row],[Base Mass]]</f>
        <v>#REF!</v>
      </c>
    </row>
    <row r="223" spans="3:27" x14ac:dyDescent="0.35">
      <c r="C223" t="str">
        <f>_xlfn.CONCAT(Table4[[#This Row],[System Name (Short)]],"_",Table4[[#This Row],[Ext Finish Name (Short)]],"_",Table4[[#This Row],[Int Finish Name (Short)]])</f>
        <v>0_0_0</v>
      </c>
      <c r="E223">
        <f>_xlfn.XLOOKUP(Table4[[#This Row],[Base System]],BASE_SYSTEM_TABLE[System Name],BASE_SYSTEM_TABLE[System Name (Short)],FALSE)</f>
        <v>0</v>
      </c>
      <c r="F223">
        <f>_xlfn.XLOOKUP(Table4[[#This Row],[Base System]],BASE_SYSTEM_TABLE[System Name],BASE_SYSTEM_TABLE[System Type],FALSE)</f>
        <v>0</v>
      </c>
      <c r="G223">
        <f>_xlfn.XLOOKUP(Table4[[#This Row],[Base System]],BASE_SYSTEM_TABLE[System Name],BASE_SYSTEM_TABLE[System Subtype],FALSE)</f>
        <v>0</v>
      </c>
      <c r="H223">
        <f>_xlfn.XLOOKUP(Table4[[#This Row],[Base System]],BASE_SYSTEM_TABLE[System Name],BASE_SYSTEM_TABLE[Construction Type (Framed or Planar)],FALSE)</f>
        <v>0</v>
      </c>
      <c r="I223" t="e">
        <f>GETPIVOTDATA("Sum of A1-A3 Fossil kg CO2e/m^2 wall area",'COMPONENT PIVOT REF'!$A$3,"System Name",Table4[[#This Row],[Base System]])</f>
        <v>#REF!</v>
      </c>
      <c r="J223" t="e">
        <f>GETPIVOTDATA("Sum of  R value (m^2-K/W)",'COMPONENT PIVOT REF'!$A$3,"System Name",Table4[[#This Row],[Base System]])</f>
        <v>#REF!</v>
      </c>
      <c r="K223" t="e">
        <f>GETPIVOTDATA("Sum of Total Mass per m^2 (kg)",'COMPONENT PIVOT REF'!$A$3,"System Name",Table4[[#This Row],[Base System]])</f>
        <v>#REF!</v>
      </c>
      <c r="M223">
        <f>_xlfn.XLOOKUP(Table4[[#This Row],[Ext Finish]],Master_Table4[System Name],Master_Table4[System Name (Short)],FALSE)</f>
        <v>0</v>
      </c>
      <c r="N223">
        <f>_xlfn.XLOOKUP(Table4[[#This Row],[Ext Finish]],Master_Table4[System Name],Master_Table4[Compatible Systems],FALSE)</f>
        <v>0</v>
      </c>
      <c r="O223" t="str">
        <f>IF(ISNUMBER(SEARCH(Table4[[#This Row],[MMC Method]],Table4[[#This Row],[Compatible Systems]])),"YES","NO")</f>
        <v>YES</v>
      </c>
      <c r="P223" t="e">
        <f>GETPIVOTDATA("Sum of A1-A3 Fossil kg CO2e/m^2 wall area",'COMPONENT PIVOT REF'!$I$3,"System Name",Table4[[#This Row],[Ext Finish]])</f>
        <v>#REF!</v>
      </c>
      <c r="Q223" t="e">
        <f>GETPIVOTDATA("Sum of  R value (m^2-K/W)",'COMPONENT PIVOT REF'!$I$3,"System Name",Table4[[#This Row],[Ext Finish]])</f>
        <v>#REF!</v>
      </c>
      <c r="R223" t="e">
        <f>GETPIVOTDATA("Sum of Total Mass per m^2 (kg)",'COMPONENT PIVOT REF'!$I$3,"System Name",Table4[[#This Row],[Ext Finish]])</f>
        <v>#REF!</v>
      </c>
      <c r="T223">
        <f>_xlfn.XLOOKUP(Table4[[#This Row],[Int Finish]],Master_Table6[System Name],Master_Table6[System Name (Short)],FALSE)</f>
        <v>0</v>
      </c>
      <c r="U223" t="e">
        <f>GETPIVOTDATA("Sum of A1-A3 Fossil kg CO2e/m^2 wall area",'COMPONENT PIVOT REF'!$P$3,"System Name",Table4[[#This Row],[Int Finish]])</f>
        <v>#REF!</v>
      </c>
      <c r="V223" t="e">
        <f>GETPIVOTDATA("Sum of  R value (m^2-K/W)",'COMPONENT PIVOT REF'!$P$3,"System Name",Table4[[#This Row],[Int Finish]])</f>
        <v>#REF!</v>
      </c>
      <c r="W223" t="e">
        <f>GETPIVOTDATA("Sum of Total Mass per m^2 (kg)",'COMPONENT PIVOT REF'!$P$3,"System Name",Table4[[#This Row],[Int Finish]])</f>
        <v>#REF!</v>
      </c>
      <c r="X223" t="e">
        <f>Table4[[#This Row],[Ext Finish GWP]]+Table4[[#This Row],[Base GWP]]+Table4[[#This Row],[Int Finish GWP]]</f>
        <v>#REF!</v>
      </c>
      <c r="Y223" t="e">
        <f>Table4[[#This Row],[Ext Finish R Value]]+Table4[[#This Row],[Base R Value]]+Table4[[#This Row],[Int Finish R Value]]</f>
        <v>#REF!</v>
      </c>
      <c r="Z223" t="e">
        <f>1/Table4[[#This Row],[Total R value]]</f>
        <v>#REF!</v>
      </c>
      <c r="AA223" t="e">
        <f>Table4[[#This Row],[Int Finish Mass]]+Table4[[#This Row],[Ext Finish Mass]]+Table4[[#This Row],[Base Mass]]</f>
        <v>#REF!</v>
      </c>
    </row>
    <row r="224" spans="3:27" x14ac:dyDescent="0.35">
      <c r="C224" t="str">
        <f>_xlfn.CONCAT(Table4[[#This Row],[System Name (Short)]],"_",Table4[[#This Row],[Ext Finish Name (Short)]],"_",Table4[[#This Row],[Int Finish Name (Short)]])</f>
        <v>0_0_0</v>
      </c>
      <c r="E224">
        <f>_xlfn.XLOOKUP(Table4[[#This Row],[Base System]],BASE_SYSTEM_TABLE[System Name],BASE_SYSTEM_TABLE[System Name (Short)],FALSE)</f>
        <v>0</v>
      </c>
      <c r="F224">
        <f>_xlfn.XLOOKUP(Table4[[#This Row],[Base System]],BASE_SYSTEM_TABLE[System Name],BASE_SYSTEM_TABLE[System Type],FALSE)</f>
        <v>0</v>
      </c>
      <c r="G224">
        <f>_xlfn.XLOOKUP(Table4[[#This Row],[Base System]],BASE_SYSTEM_TABLE[System Name],BASE_SYSTEM_TABLE[System Subtype],FALSE)</f>
        <v>0</v>
      </c>
      <c r="H224">
        <f>_xlfn.XLOOKUP(Table4[[#This Row],[Base System]],BASE_SYSTEM_TABLE[System Name],BASE_SYSTEM_TABLE[Construction Type (Framed or Planar)],FALSE)</f>
        <v>0</v>
      </c>
      <c r="I224" t="e">
        <f>GETPIVOTDATA("Sum of A1-A3 Fossil kg CO2e/m^2 wall area",'COMPONENT PIVOT REF'!$A$3,"System Name",Table4[[#This Row],[Base System]])</f>
        <v>#REF!</v>
      </c>
      <c r="J224" t="e">
        <f>GETPIVOTDATA("Sum of  R value (m^2-K/W)",'COMPONENT PIVOT REF'!$A$3,"System Name",Table4[[#This Row],[Base System]])</f>
        <v>#REF!</v>
      </c>
      <c r="K224" t="e">
        <f>GETPIVOTDATA("Sum of Total Mass per m^2 (kg)",'COMPONENT PIVOT REF'!$A$3,"System Name",Table4[[#This Row],[Base System]])</f>
        <v>#REF!</v>
      </c>
      <c r="M224">
        <f>_xlfn.XLOOKUP(Table4[[#This Row],[Ext Finish]],Master_Table4[System Name],Master_Table4[System Name (Short)],FALSE)</f>
        <v>0</v>
      </c>
      <c r="N224">
        <f>_xlfn.XLOOKUP(Table4[[#This Row],[Ext Finish]],Master_Table4[System Name],Master_Table4[Compatible Systems],FALSE)</f>
        <v>0</v>
      </c>
      <c r="O224" t="str">
        <f>IF(ISNUMBER(SEARCH(Table4[[#This Row],[MMC Method]],Table4[[#This Row],[Compatible Systems]])),"YES","NO")</f>
        <v>YES</v>
      </c>
      <c r="P224" t="e">
        <f>GETPIVOTDATA("Sum of A1-A3 Fossil kg CO2e/m^2 wall area",'COMPONENT PIVOT REF'!$I$3,"System Name",Table4[[#This Row],[Ext Finish]])</f>
        <v>#REF!</v>
      </c>
      <c r="Q224" t="e">
        <f>GETPIVOTDATA("Sum of  R value (m^2-K/W)",'COMPONENT PIVOT REF'!$I$3,"System Name",Table4[[#This Row],[Ext Finish]])</f>
        <v>#REF!</v>
      </c>
      <c r="R224" t="e">
        <f>GETPIVOTDATA("Sum of Total Mass per m^2 (kg)",'COMPONENT PIVOT REF'!$I$3,"System Name",Table4[[#This Row],[Ext Finish]])</f>
        <v>#REF!</v>
      </c>
      <c r="T224">
        <f>_xlfn.XLOOKUP(Table4[[#This Row],[Int Finish]],Master_Table6[System Name],Master_Table6[System Name (Short)],FALSE)</f>
        <v>0</v>
      </c>
      <c r="U224" t="e">
        <f>GETPIVOTDATA("Sum of A1-A3 Fossil kg CO2e/m^2 wall area",'COMPONENT PIVOT REF'!$P$3,"System Name",Table4[[#This Row],[Int Finish]])</f>
        <v>#REF!</v>
      </c>
      <c r="V224" t="e">
        <f>GETPIVOTDATA("Sum of  R value (m^2-K/W)",'COMPONENT PIVOT REF'!$P$3,"System Name",Table4[[#This Row],[Int Finish]])</f>
        <v>#REF!</v>
      </c>
      <c r="W224" t="e">
        <f>GETPIVOTDATA("Sum of Total Mass per m^2 (kg)",'COMPONENT PIVOT REF'!$P$3,"System Name",Table4[[#This Row],[Int Finish]])</f>
        <v>#REF!</v>
      </c>
      <c r="X224" t="e">
        <f>Table4[[#This Row],[Ext Finish GWP]]+Table4[[#This Row],[Base GWP]]+Table4[[#This Row],[Int Finish GWP]]</f>
        <v>#REF!</v>
      </c>
      <c r="Y224" t="e">
        <f>Table4[[#This Row],[Ext Finish R Value]]+Table4[[#This Row],[Base R Value]]+Table4[[#This Row],[Int Finish R Value]]</f>
        <v>#REF!</v>
      </c>
      <c r="Z224" t="e">
        <f>1/Table4[[#This Row],[Total R value]]</f>
        <v>#REF!</v>
      </c>
      <c r="AA224" t="e">
        <f>Table4[[#This Row],[Int Finish Mass]]+Table4[[#This Row],[Ext Finish Mass]]+Table4[[#This Row],[Base Mass]]</f>
        <v>#REF!</v>
      </c>
    </row>
    <row r="225" spans="3:27" x14ac:dyDescent="0.35">
      <c r="C225" t="str">
        <f>_xlfn.CONCAT(Table4[[#This Row],[System Name (Short)]],"_",Table4[[#This Row],[Ext Finish Name (Short)]],"_",Table4[[#This Row],[Int Finish Name (Short)]])</f>
        <v>0_0_0</v>
      </c>
      <c r="E225">
        <f>_xlfn.XLOOKUP(Table4[[#This Row],[Base System]],BASE_SYSTEM_TABLE[System Name],BASE_SYSTEM_TABLE[System Name (Short)],FALSE)</f>
        <v>0</v>
      </c>
      <c r="F225">
        <f>_xlfn.XLOOKUP(Table4[[#This Row],[Base System]],BASE_SYSTEM_TABLE[System Name],BASE_SYSTEM_TABLE[System Type],FALSE)</f>
        <v>0</v>
      </c>
      <c r="G225">
        <f>_xlfn.XLOOKUP(Table4[[#This Row],[Base System]],BASE_SYSTEM_TABLE[System Name],BASE_SYSTEM_TABLE[System Subtype],FALSE)</f>
        <v>0</v>
      </c>
      <c r="H225">
        <f>_xlfn.XLOOKUP(Table4[[#This Row],[Base System]],BASE_SYSTEM_TABLE[System Name],BASE_SYSTEM_TABLE[Construction Type (Framed or Planar)],FALSE)</f>
        <v>0</v>
      </c>
      <c r="I225" t="e">
        <f>GETPIVOTDATA("Sum of A1-A3 Fossil kg CO2e/m^2 wall area",'COMPONENT PIVOT REF'!$A$3,"System Name",Table4[[#This Row],[Base System]])</f>
        <v>#REF!</v>
      </c>
      <c r="J225" t="e">
        <f>GETPIVOTDATA("Sum of  R value (m^2-K/W)",'COMPONENT PIVOT REF'!$A$3,"System Name",Table4[[#This Row],[Base System]])</f>
        <v>#REF!</v>
      </c>
      <c r="K225" t="e">
        <f>GETPIVOTDATA("Sum of Total Mass per m^2 (kg)",'COMPONENT PIVOT REF'!$A$3,"System Name",Table4[[#This Row],[Base System]])</f>
        <v>#REF!</v>
      </c>
      <c r="M225">
        <f>_xlfn.XLOOKUP(Table4[[#This Row],[Ext Finish]],Master_Table4[System Name],Master_Table4[System Name (Short)],FALSE)</f>
        <v>0</v>
      </c>
      <c r="N225">
        <f>_xlfn.XLOOKUP(Table4[[#This Row],[Ext Finish]],Master_Table4[System Name],Master_Table4[Compatible Systems],FALSE)</f>
        <v>0</v>
      </c>
      <c r="O225" t="str">
        <f>IF(ISNUMBER(SEARCH(Table4[[#This Row],[MMC Method]],Table4[[#This Row],[Compatible Systems]])),"YES","NO")</f>
        <v>YES</v>
      </c>
      <c r="P225" t="e">
        <f>GETPIVOTDATA("Sum of A1-A3 Fossil kg CO2e/m^2 wall area",'COMPONENT PIVOT REF'!$I$3,"System Name",Table4[[#This Row],[Ext Finish]])</f>
        <v>#REF!</v>
      </c>
      <c r="Q225" t="e">
        <f>GETPIVOTDATA("Sum of  R value (m^2-K/W)",'COMPONENT PIVOT REF'!$I$3,"System Name",Table4[[#This Row],[Ext Finish]])</f>
        <v>#REF!</v>
      </c>
      <c r="R225" t="e">
        <f>GETPIVOTDATA("Sum of Total Mass per m^2 (kg)",'COMPONENT PIVOT REF'!$I$3,"System Name",Table4[[#This Row],[Ext Finish]])</f>
        <v>#REF!</v>
      </c>
      <c r="T225">
        <f>_xlfn.XLOOKUP(Table4[[#This Row],[Int Finish]],Master_Table6[System Name],Master_Table6[System Name (Short)],FALSE)</f>
        <v>0</v>
      </c>
      <c r="U225" t="e">
        <f>GETPIVOTDATA("Sum of A1-A3 Fossil kg CO2e/m^2 wall area",'COMPONENT PIVOT REF'!$P$3,"System Name",Table4[[#This Row],[Int Finish]])</f>
        <v>#REF!</v>
      </c>
      <c r="V225" t="e">
        <f>GETPIVOTDATA("Sum of  R value (m^2-K/W)",'COMPONENT PIVOT REF'!$P$3,"System Name",Table4[[#This Row],[Int Finish]])</f>
        <v>#REF!</v>
      </c>
      <c r="W225" t="e">
        <f>GETPIVOTDATA("Sum of Total Mass per m^2 (kg)",'COMPONENT PIVOT REF'!$P$3,"System Name",Table4[[#This Row],[Int Finish]])</f>
        <v>#REF!</v>
      </c>
      <c r="X225" t="e">
        <f>Table4[[#This Row],[Ext Finish GWP]]+Table4[[#This Row],[Base GWP]]+Table4[[#This Row],[Int Finish GWP]]</f>
        <v>#REF!</v>
      </c>
      <c r="Y225" t="e">
        <f>Table4[[#This Row],[Ext Finish R Value]]+Table4[[#This Row],[Base R Value]]+Table4[[#This Row],[Int Finish R Value]]</f>
        <v>#REF!</v>
      </c>
      <c r="Z225" t="e">
        <f>1/Table4[[#This Row],[Total R value]]</f>
        <v>#REF!</v>
      </c>
      <c r="AA225" t="e">
        <f>Table4[[#This Row],[Int Finish Mass]]+Table4[[#This Row],[Ext Finish Mass]]+Table4[[#This Row],[Base Mass]]</f>
        <v>#REF!</v>
      </c>
    </row>
    <row r="226" spans="3:27" x14ac:dyDescent="0.35">
      <c r="C226" t="str">
        <f>_xlfn.CONCAT(Table4[[#This Row],[System Name (Short)]],"_",Table4[[#This Row],[Ext Finish Name (Short)]],"_",Table4[[#This Row],[Int Finish Name (Short)]])</f>
        <v>0_0_0</v>
      </c>
      <c r="E226">
        <f>_xlfn.XLOOKUP(Table4[[#This Row],[Base System]],BASE_SYSTEM_TABLE[System Name],BASE_SYSTEM_TABLE[System Name (Short)],FALSE)</f>
        <v>0</v>
      </c>
      <c r="F226">
        <f>_xlfn.XLOOKUP(Table4[[#This Row],[Base System]],BASE_SYSTEM_TABLE[System Name],BASE_SYSTEM_TABLE[System Type],FALSE)</f>
        <v>0</v>
      </c>
      <c r="G226">
        <f>_xlfn.XLOOKUP(Table4[[#This Row],[Base System]],BASE_SYSTEM_TABLE[System Name],BASE_SYSTEM_TABLE[System Subtype],FALSE)</f>
        <v>0</v>
      </c>
      <c r="H226">
        <f>_xlfn.XLOOKUP(Table4[[#This Row],[Base System]],BASE_SYSTEM_TABLE[System Name],BASE_SYSTEM_TABLE[Construction Type (Framed or Planar)],FALSE)</f>
        <v>0</v>
      </c>
      <c r="I226" t="e">
        <f>GETPIVOTDATA("Sum of A1-A3 Fossil kg CO2e/m^2 wall area",'COMPONENT PIVOT REF'!$A$3,"System Name",Table4[[#This Row],[Base System]])</f>
        <v>#REF!</v>
      </c>
      <c r="J226" t="e">
        <f>GETPIVOTDATA("Sum of  R value (m^2-K/W)",'COMPONENT PIVOT REF'!$A$3,"System Name",Table4[[#This Row],[Base System]])</f>
        <v>#REF!</v>
      </c>
      <c r="K226" t="e">
        <f>GETPIVOTDATA("Sum of Total Mass per m^2 (kg)",'COMPONENT PIVOT REF'!$A$3,"System Name",Table4[[#This Row],[Base System]])</f>
        <v>#REF!</v>
      </c>
      <c r="M226">
        <f>_xlfn.XLOOKUP(Table4[[#This Row],[Ext Finish]],Master_Table4[System Name],Master_Table4[System Name (Short)],FALSE)</f>
        <v>0</v>
      </c>
      <c r="N226">
        <f>_xlfn.XLOOKUP(Table4[[#This Row],[Ext Finish]],Master_Table4[System Name],Master_Table4[Compatible Systems],FALSE)</f>
        <v>0</v>
      </c>
      <c r="O226" t="str">
        <f>IF(ISNUMBER(SEARCH(Table4[[#This Row],[MMC Method]],Table4[[#This Row],[Compatible Systems]])),"YES","NO")</f>
        <v>YES</v>
      </c>
      <c r="P226" t="e">
        <f>GETPIVOTDATA("Sum of A1-A3 Fossil kg CO2e/m^2 wall area",'COMPONENT PIVOT REF'!$I$3,"System Name",Table4[[#This Row],[Ext Finish]])</f>
        <v>#REF!</v>
      </c>
      <c r="Q226" t="e">
        <f>GETPIVOTDATA("Sum of  R value (m^2-K/W)",'COMPONENT PIVOT REF'!$I$3,"System Name",Table4[[#This Row],[Ext Finish]])</f>
        <v>#REF!</v>
      </c>
      <c r="R226" t="e">
        <f>GETPIVOTDATA("Sum of Total Mass per m^2 (kg)",'COMPONENT PIVOT REF'!$I$3,"System Name",Table4[[#This Row],[Ext Finish]])</f>
        <v>#REF!</v>
      </c>
      <c r="T226">
        <f>_xlfn.XLOOKUP(Table4[[#This Row],[Int Finish]],Master_Table6[System Name],Master_Table6[System Name (Short)],FALSE)</f>
        <v>0</v>
      </c>
      <c r="U226" t="e">
        <f>GETPIVOTDATA("Sum of A1-A3 Fossil kg CO2e/m^2 wall area",'COMPONENT PIVOT REF'!$P$3,"System Name",Table4[[#This Row],[Int Finish]])</f>
        <v>#REF!</v>
      </c>
      <c r="V226" t="e">
        <f>GETPIVOTDATA("Sum of  R value (m^2-K/W)",'COMPONENT PIVOT REF'!$P$3,"System Name",Table4[[#This Row],[Int Finish]])</f>
        <v>#REF!</v>
      </c>
      <c r="W226" t="e">
        <f>GETPIVOTDATA("Sum of Total Mass per m^2 (kg)",'COMPONENT PIVOT REF'!$P$3,"System Name",Table4[[#This Row],[Int Finish]])</f>
        <v>#REF!</v>
      </c>
      <c r="X226" t="e">
        <f>Table4[[#This Row],[Ext Finish GWP]]+Table4[[#This Row],[Base GWP]]+Table4[[#This Row],[Int Finish GWP]]</f>
        <v>#REF!</v>
      </c>
      <c r="Y226" t="e">
        <f>Table4[[#This Row],[Ext Finish R Value]]+Table4[[#This Row],[Base R Value]]+Table4[[#This Row],[Int Finish R Value]]</f>
        <v>#REF!</v>
      </c>
      <c r="Z226" t="e">
        <f>1/Table4[[#This Row],[Total R value]]</f>
        <v>#REF!</v>
      </c>
      <c r="AA226" t="e">
        <f>Table4[[#This Row],[Int Finish Mass]]+Table4[[#This Row],[Ext Finish Mass]]+Table4[[#This Row],[Base Mass]]</f>
        <v>#REF!</v>
      </c>
    </row>
    <row r="227" spans="3:27" x14ac:dyDescent="0.35">
      <c r="C227" t="str">
        <f>_xlfn.CONCAT(Table4[[#This Row],[System Name (Short)]],"_",Table4[[#This Row],[Ext Finish Name (Short)]],"_",Table4[[#This Row],[Int Finish Name (Short)]])</f>
        <v>0_0_0</v>
      </c>
      <c r="E227">
        <f>_xlfn.XLOOKUP(Table4[[#This Row],[Base System]],BASE_SYSTEM_TABLE[System Name],BASE_SYSTEM_TABLE[System Name (Short)],FALSE)</f>
        <v>0</v>
      </c>
      <c r="F227">
        <f>_xlfn.XLOOKUP(Table4[[#This Row],[Base System]],BASE_SYSTEM_TABLE[System Name],BASE_SYSTEM_TABLE[System Type],FALSE)</f>
        <v>0</v>
      </c>
      <c r="G227">
        <f>_xlfn.XLOOKUP(Table4[[#This Row],[Base System]],BASE_SYSTEM_TABLE[System Name],BASE_SYSTEM_TABLE[System Subtype],FALSE)</f>
        <v>0</v>
      </c>
      <c r="H227">
        <f>_xlfn.XLOOKUP(Table4[[#This Row],[Base System]],BASE_SYSTEM_TABLE[System Name],BASE_SYSTEM_TABLE[Construction Type (Framed or Planar)],FALSE)</f>
        <v>0</v>
      </c>
      <c r="I227" t="e">
        <f>GETPIVOTDATA("Sum of A1-A3 Fossil kg CO2e/m^2 wall area",'COMPONENT PIVOT REF'!$A$3,"System Name",Table4[[#This Row],[Base System]])</f>
        <v>#REF!</v>
      </c>
      <c r="J227" t="e">
        <f>GETPIVOTDATA("Sum of  R value (m^2-K/W)",'COMPONENT PIVOT REF'!$A$3,"System Name",Table4[[#This Row],[Base System]])</f>
        <v>#REF!</v>
      </c>
      <c r="K227" t="e">
        <f>GETPIVOTDATA("Sum of Total Mass per m^2 (kg)",'COMPONENT PIVOT REF'!$A$3,"System Name",Table4[[#This Row],[Base System]])</f>
        <v>#REF!</v>
      </c>
      <c r="M227">
        <f>_xlfn.XLOOKUP(Table4[[#This Row],[Ext Finish]],Master_Table4[System Name],Master_Table4[System Name (Short)],FALSE)</f>
        <v>0</v>
      </c>
      <c r="N227">
        <f>_xlfn.XLOOKUP(Table4[[#This Row],[Ext Finish]],Master_Table4[System Name],Master_Table4[Compatible Systems],FALSE)</f>
        <v>0</v>
      </c>
      <c r="O227" t="str">
        <f>IF(ISNUMBER(SEARCH(Table4[[#This Row],[MMC Method]],Table4[[#This Row],[Compatible Systems]])),"YES","NO")</f>
        <v>YES</v>
      </c>
      <c r="P227" t="e">
        <f>GETPIVOTDATA("Sum of A1-A3 Fossil kg CO2e/m^2 wall area",'COMPONENT PIVOT REF'!$I$3,"System Name",Table4[[#This Row],[Ext Finish]])</f>
        <v>#REF!</v>
      </c>
      <c r="Q227" t="e">
        <f>GETPIVOTDATA("Sum of  R value (m^2-K/W)",'COMPONENT PIVOT REF'!$I$3,"System Name",Table4[[#This Row],[Ext Finish]])</f>
        <v>#REF!</v>
      </c>
      <c r="R227" t="e">
        <f>GETPIVOTDATA("Sum of Total Mass per m^2 (kg)",'COMPONENT PIVOT REF'!$I$3,"System Name",Table4[[#This Row],[Ext Finish]])</f>
        <v>#REF!</v>
      </c>
      <c r="T227">
        <f>_xlfn.XLOOKUP(Table4[[#This Row],[Int Finish]],Master_Table6[System Name],Master_Table6[System Name (Short)],FALSE)</f>
        <v>0</v>
      </c>
      <c r="U227" t="e">
        <f>GETPIVOTDATA("Sum of A1-A3 Fossil kg CO2e/m^2 wall area",'COMPONENT PIVOT REF'!$P$3,"System Name",Table4[[#This Row],[Int Finish]])</f>
        <v>#REF!</v>
      </c>
      <c r="V227" t="e">
        <f>GETPIVOTDATA("Sum of  R value (m^2-K/W)",'COMPONENT PIVOT REF'!$P$3,"System Name",Table4[[#This Row],[Int Finish]])</f>
        <v>#REF!</v>
      </c>
      <c r="W227" t="e">
        <f>GETPIVOTDATA("Sum of Total Mass per m^2 (kg)",'COMPONENT PIVOT REF'!$P$3,"System Name",Table4[[#This Row],[Int Finish]])</f>
        <v>#REF!</v>
      </c>
      <c r="X227" t="e">
        <f>Table4[[#This Row],[Ext Finish GWP]]+Table4[[#This Row],[Base GWP]]+Table4[[#This Row],[Int Finish GWP]]</f>
        <v>#REF!</v>
      </c>
      <c r="Y227" t="e">
        <f>Table4[[#This Row],[Ext Finish R Value]]+Table4[[#This Row],[Base R Value]]+Table4[[#This Row],[Int Finish R Value]]</f>
        <v>#REF!</v>
      </c>
      <c r="Z227" t="e">
        <f>1/Table4[[#This Row],[Total R value]]</f>
        <v>#REF!</v>
      </c>
      <c r="AA227" t="e">
        <f>Table4[[#This Row],[Int Finish Mass]]+Table4[[#This Row],[Ext Finish Mass]]+Table4[[#This Row],[Base Mass]]</f>
        <v>#REF!</v>
      </c>
    </row>
    <row r="228" spans="3:27" x14ac:dyDescent="0.35">
      <c r="C228" t="str">
        <f>_xlfn.CONCAT(Table4[[#This Row],[System Name (Short)]],"_",Table4[[#This Row],[Ext Finish Name (Short)]],"_",Table4[[#This Row],[Int Finish Name (Short)]])</f>
        <v>0_0_0</v>
      </c>
      <c r="E228">
        <f>_xlfn.XLOOKUP(Table4[[#This Row],[Base System]],BASE_SYSTEM_TABLE[System Name],BASE_SYSTEM_TABLE[System Name (Short)],FALSE)</f>
        <v>0</v>
      </c>
      <c r="F228">
        <f>_xlfn.XLOOKUP(Table4[[#This Row],[Base System]],BASE_SYSTEM_TABLE[System Name],BASE_SYSTEM_TABLE[System Type],FALSE)</f>
        <v>0</v>
      </c>
      <c r="G228">
        <f>_xlfn.XLOOKUP(Table4[[#This Row],[Base System]],BASE_SYSTEM_TABLE[System Name],BASE_SYSTEM_TABLE[System Subtype],FALSE)</f>
        <v>0</v>
      </c>
      <c r="H228">
        <f>_xlfn.XLOOKUP(Table4[[#This Row],[Base System]],BASE_SYSTEM_TABLE[System Name],BASE_SYSTEM_TABLE[Construction Type (Framed or Planar)],FALSE)</f>
        <v>0</v>
      </c>
      <c r="I228" t="e">
        <f>GETPIVOTDATA("Sum of A1-A3 Fossil kg CO2e/m^2 wall area",'COMPONENT PIVOT REF'!$A$3,"System Name",Table4[[#This Row],[Base System]])</f>
        <v>#REF!</v>
      </c>
      <c r="J228" t="e">
        <f>GETPIVOTDATA("Sum of  R value (m^2-K/W)",'COMPONENT PIVOT REF'!$A$3,"System Name",Table4[[#This Row],[Base System]])</f>
        <v>#REF!</v>
      </c>
      <c r="K228" t="e">
        <f>GETPIVOTDATA("Sum of Total Mass per m^2 (kg)",'COMPONENT PIVOT REF'!$A$3,"System Name",Table4[[#This Row],[Base System]])</f>
        <v>#REF!</v>
      </c>
      <c r="M228">
        <f>_xlfn.XLOOKUP(Table4[[#This Row],[Ext Finish]],Master_Table4[System Name],Master_Table4[System Name (Short)],FALSE)</f>
        <v>0</v>
      </c>
      <c r="N228">
        <f>_xlfn.XLOOKUP(Table4[[#This Row],[Ext Finish]],Master_Table4[System Name],Master_Table4[Compatible Systems],FALSE)</f>
        <v>0</v>
      </c>
      <c r="O228" t="str">
        <f>IF(ISNUMBER(SEARCH(Table4[[#This Row],[MMC Method]],Table4[[#This Row],[Compatible Systems]])),"YES","NO")</f>
        <v>YES</v>
      </c>
      <c r="P228" t="e">
        <f>GETPIVOTDATA("Sum of A1-A3 Fossil kg CO2e/m^2 wall area",'COMPONENT PIVOT REF'!$I$3,"System Name",Table4[[#This Row],[Ext Finish]])</f>
        <v>#REF!</v>
      </c>
      <c r="Q228" t="e">
        <f>GETPIVOTDATA("Sum of  R value (m^2-K/W)",'COMPONENT PIVOT REF'!$I$3,"System Name",Table4[[#This Row],[Ext Finish]])</f>
        <v>#REF!</v>
      </c>
      <c r="R228" t="e">
        <f>GETPIVOTDATA("Sum of Total Mass per m^2 (kg)",'COMPONENT PIVOT REF'!$I$3,"System Name",Table4[[#This Row],[Ext Finish]])</f>
        <v>#REF!</v>
      </c>
      <c r="T228">
        <f>_xlfn.XLOOKUP(Table4[[#This Row],[Int Finish]],Master_Table6[System Name],Master_Table6[System Name (Short)],FALSE)</f>
        <v>0</v>
      </c>
      <c r="U228" t="e">
        <f>GETPIVOTDATA("Sum of A1-A3 Fossil kg CO2e/m^2 wall area",'COMPONENT PIVOT REF'!$P$3,"System Name",Table4[[#This Row],[Int Finish]])</f>
        <v>#REF!</v>
      </c>
      <c r="V228" t="e">
        <f>GETPIVOTDATA("Sum of  R value (m^2-K/W)",'COMPONENT PIVOT REF'!$P$3,"System Name",Table4[[#This Row],[Int Finish]])</f>
        <v>#REF!</v>
      </c>
      <c r="W228" t="e">
        <f>GETPIVOTDATA("Sum of Total Mass per m^2 (kg)",'COMPONENT PIVOT REF'!$P$3,"System Name",Table4[[#This Row],[Int Finish]])</f>
        <v>#REF!</v>
      </c>
      <c r="X228" t="e">
        <f>Table4[[#This Row],[Ext Finish GWP]]+Table4[[#This Row],[Base GWP]]+Table4[[#This Row],[Int Finish GWP]]</f>
        <v>#REF!</v>
      </c>
      <c r="Y228" t="e">
        <f>Table4[[#This Row],[Ext Finish R Value]]+Table4[[#This Row],[Base R Value]]+Table4[[#This Row],[Int Finish R Value]]</f>
        <v>#REF!</v>
      </c>
      <c r="Z228" t="e">
        <f>1/Table4[[#This Row],[Total R value]]</f>
        <v>#REF!</v>
      </c>
      <c r="AA228" t="e">
        <f>Table4[[#This Row],[Int Finish Mass]]+Table4[[#This Row],[Ext Finish Mass]]+Table4[[#This Row],[Base Mass]]</f>
        <v>#REF!</v>
      </c>
    </row>
    <row r="229" spans="3:27" x14ac:dyDescent="0.35">
      <c r="C229" t="str">
        <f>_xlfn.CONCAT(Table4[[#This Row],[System Name (Short)]],"_",Table4[[#This Row],[Ext Finish Name (Short)]],"_",Table4[[#This Row],[Int Finish Name (Short)]])</f>
        <v>0_0_0</v>
      </c>
      <c r="E229">
        <f>_xlfn.XLOOKUP(Table4[[#This Row],[Base System]],BASE_SYSTEM_TABLE[System Name],BASE_SYSTEM_TABLE[System Name (Short)],FALSE)</f>
        <v>0</v>
      </c>
      <c r="F229">
        <f>_xlfn.XLOOKUP(Table4[[#This Row],[Base System]],BASE_SYSTEM_TABLE[System Name],BASE_SYSTEM_TABLE[System Type],FALSE)</f>
        <v>0</v>
      </c>
      <c r="G229">
        <f>_xlfn.XLOOKUP(Table4[[#This Row],[Base System]],BASE_SYSTEM_TABLE[System Name],BASE_SYSTEM_TABLE[System Subtype],FALSE)</f>
        <v>0</v>
      </c>
      <c r="H229">
        <f>_xlfn.XLOOKUP(Table4[[#This Row],[Base System]],BASE_SYSTEM_TABLE[System Name],BASE_SYSTEM_TABLE[Construction Type (Framed or Planar)],FALSE)</f>
        <v>0</v>
      </c>
      <c r="I229" t="e">
        <f>GETPIVOTDATA("Sum of A1-A3 Fossil kg CO2e/m^2 wall area",'COMPONENT PIVOT REF'!$A$3,"System Name",Table4[[#This Row],[Base System]])</f>
        <v>#REF!</v>
      </c>
      <c r="J229" t="e">
        <f>GETPIVOTDATA("Sum of  R value (m^2-K/W)",'COMPONENT PIVOT REF'!$A$3,"System Name",Table4[[#This Row],[Base System]])</f>
        <v>#REF!</v>
      </c>
      <c r="K229" t="e">
        <f>GETPIVOTDATA("Sum of Total Mass per m^2 (kg)",'COMPONENT PIVOT REF'!$A$3,"System Name",Table4[[#This Row],[Base System]])</f>
        <v>#REF!</v>
      </c>
      <c r="M229">
        <f>_xlfn.XLOOKUP(Table4[[#This Row],[Ext Finish]],Master_Table4[System Name],Master_Table4[System Name (Short)],FALSE)</f>
        <v>0</v>
      </c>
      <c r="N229">
        <f>_xlfn.XLOOKUP(Table4[[#This Row],[Ext Finish]],Master_Table4[System Name],Master_Table4[Compatible Systems],FALSE)</f>
        <v>0</v>
      </c>
      <c r="O229" t="str">
        <f>IF(ISNUMBER(SEARCH(Table4[[#This Row],[MMC Method]],Table4[[#This Row],[Compatible Systems]])),"YES","NO")</f>
        <v>YES</v>
      </c>
      <c r="P229" t="e">
        <f>GETPIVOTDATA("Sum of A1-A3 Fossil kg CO2e/m^2 wall area",'COMPONENT PIVOT REF'!$I$3,"System Name",Table4[[#This Row],[Ext Finish]])</f>
        <v>#REF!</v>
      </c>
      <c r="Q229" t="e">
        <f>GETPIVOTDATA("Sum of  R value (m^2-K/W)",'COMPONENT PIVOT REF'!$I$3,"System Name",Table4[[#This Row],[Ext Finish]])</f>
        <v>#REF!</v>
      </c>
      <c r="R229" t="e">
        <f>GETPIVOTDATA("Sum of Total Mass per m^2 (kg)",'COMPONENT PIVOT REF'!$I$3,"System Name",Table4[[#This Row],[Ext Finish]])</f>
        <v>#REF!</v>
      </c>
      <c r="T229">
        <f>_xlfn.XLOOKUP(Table4[[#This Row],[Int Finish]],Master_Table6[System Name],Master_Table6[System Name (Short)],FALSE)</f>
        <v>0</v>
      </c>
      <c r="U229" t="e">
        <f>GETPIVOTDATA("Sum of A1-A3 Fossil kg CO2e/m^2 wall area",'COMPONENT PIVOT REF'!$P$3,"System Name",Table4[[#This Row],[Int Finish]])</f>
        <v>#REF!</v>
      </c>
      <c r="V229" t="e">
        <f>GETPIVOTDATA("Sum of  R value (m^2-K/W)",'COMPONENT PIVOT REF'!$P$3,"System Name",Table4[[#This Row],[Int Finish]])</f>
        <v>#REF!</v>
      </c>
      <c r="W229" t="e">
        <f>GETPIVOTDATA("Sum of Total Mass per m^2 (kg)",'COMPONENT PIVOT REF'!$P$3,"System Name",Table4[[#This Row],[Int Finish]])</f>
        <v>#REF!</v>
      </c>
      <c r="X229" t="e">
        <f>Table4[[#This Row],[Ext Finish GWP]]+Table4[[#This Row],[Base GWP]]+Table4[[#This Row],[Int Finish GWP]]</f>
        <v>#REF!</v>
      </c>
      <c r="Y229" t="e">
        <f>Table4[[#This Row],[Ext Finish R Value]]+Table4[[#This Row],[Base R Value]]+Table4[[#This Row],[Int Finish R Value]]</f>
        <v>#REF!</v>
      </c>
      <c r="Z229" t="e">
        <f>1/Table4[[#This Row],[Total R value]]</f>
        <v>#REF!</v>
      </c>
      <c r="AA229" t="e">
        <f>Table4[[#This Row],[Int Finish Mass]]+Table4[[#This Row],[Ext Finish Mass]]+Table4[[#This Row],[Base Mass]]</f>
        <v>#REF!</v>
      </c>
    </row>
    <row r="230" spans="3:27" x14ac:dyDescent="0.35">
      <c r="C230" t="str">
        <f>_xlfn.CONCAT(Table4[[#This Row],[System Name (Short)]],"_",Table4[[#This Row],[Ext Finish Name (Short)]],"_",Table4[[#This Row],[Int Finish Name (Short)]])</f>
        <v>0_0_0</v>
      </c>
      <c r="E230">
        <f>_xlfn.XLOOKUP(Table4[[#This Row],[Base System]],BASE_SYSTEM_TABLE[System Name],BASE_SYSTEM_TABLE[System Name (Short)],FALSE)</f>
        <v>0</v>
      </c>
      <c r="F230">
        <f>_xlfn.XLOOKUP(Table4[[#This Row],[Base System]],BASE_SYSTEM_TABLE[System Name],BASE_SYSTEM_TABLE[System Type],FALSE)</f>
        <v>0</v>
      </c>
      <c r="G230">
        <f>_xlfn.XLOOKUP(Table4[[#This Row],[Base System]],BASE_SYSTEM_TABLE[System Name],BASE_SYSTEM_TABLE[System Subtype],FALSE)</f>
        <v>0</v>
      </c>
      <c r="H230">
        <f>_xlfn.XLOOKUP(Table4[[#This Row],[Base System]],BASE_SYSTEM_TABLE[System Name],BASE_SYSTEM_TABLE[Construction Type (Framed or Planar)],FALSE)</f>
        <v>0</v>
      </c>
      <c r="I230" t="e">
        <f>GETPIVOTDATA("Sum of A1-A3 Fossil kg CO2e/m^2 wall area",'COMPONENT PIVOT REF'!$A$3,"System Name",Table4[[#This Row],[Base System]])</f>
        <v>#REF!</v>
      </c>
      <c r="J230" t="e">
        <f>GETPIVOTDATA("Sum of  R value (m^2-K/W)",'COMPONENT PIVOT REF'!$A$3,"System Name",Table4[[#This Row],[Base System]])</f>
        <v>#REF!</v>
      </c>
      <c r="K230" t="e">
        <f>GETPIVOTDATA("Sum of Total Mass per m^2 (kg)",'COMPONENT PIVOT REF'!$A$3,"System Name",Table4[[#This Row],[Base System]])</f>
        <v>#REF!</v>
      </c>
      <c r="M230">
        <f>_xlfn.XLOOKUP(Table4[[#This Row],[Ext Finish]],Master_Table4[System Name],Master_Table4[System Name (Short)],FALSE)</f>
        <v>0</v>
      </c>
      <c r="N230">
        <f>_xlfn.XLOOKUP(Table4[[#This Row],[Ext Finish]],Master_Table4[System Name],Master_Table4[Compatible Systems],FALSE)</f>
        <v>0</v>
      </c>
      <c r="O230" t="str">
        <f>IF(ISNUMBER(SEARCH(Table4[[#This Row],[MMC Method]],Table4[[#This Row],[Compatible Systems]])),"YES","NO")</f>
        <v>YES</v>
      </c>
      <c r="P230" t="e">
        <f>GETPIVOTDATA("Sum of A1-A3 Fossil kg CO2e/m^2 wall area",'COMPONENT PIVOT REF'!$I$3,"System Name",Table4[[#This Row],[Ext Finish]])</f>
        <v>#REF!</v>
      </c>
      <c r="Q230" t="e">
        <f>GETPIVOTDATA("Sum of  R value (m^2-K/W)",'COMPONENT PIVOT REF'!$I$3,"System Name",Table4[[#This Row],[Ext Finish]])</f>
        <v>#REF!</v>
      </c>
      <c r="R230" t="e">
        <f>GETPIVOTDATA("Sum of Total Mass per m^2 (kg)",'COMPONENT PIVOT REF'!$I$3,"System Name",Table4[[#This Row],[Ext Finish]])</f>
        <v>#REF!</v>
      </c>
      <c r="T230">
        <f>_xlfn.XLOOKUP(Table4[[#This Row],[Int Finish]],Master_Table6[System Name],Master_Table6[System Name (Short)],FALSE)</f>
        <v>0</v>
      </c>
      <c r="U230" t="e">
        <f>GETPIVOTDATA("Sum of A1-A3 Fossil kg CO2e/m^2 wall area",'COMPONENT PIVOT REF'!$P$3,"System Name",Table4[[#This Row],[Int Finish]])</f>
        <v>#REF!</v>
      </c>
      <c r="V230" t="e">
        <f>GETPIVOTDATA("Sum of  R value (m^2-K/W)",'COMPONENT PIVOT REF'!$P$3,"System Name",Table4[[#This Row],[Int Finish]])</f>
        <v>#REF!</v>
      </c>
      <c r="W230" t="e">
        <f>GETPIVOTDATA("Sum of Total Mass per m^2 (kg)",'COMPONENT PIVOT REF'!$P$3,"System Name",Table4[[#This Row],[Int Finish]])</f>
        <v>#REF!</v>
      </c>
      <c r="X230" t="e">
        <f>Table4[[#This Row],[Ext Finish GWP]]+Table4[[#This Row],[Base GWP]]+Table4[[#This Row],[Int Finish GWP]]</f>
        <v>#REF!</v>
      </c>
      <c r="Y230" t="e">
        <f>Table4[[#This Row],[Ext Finish R Value]]+Table4[[#This Row],[Base R Value]]+Table4[[#This Row],[Int Finish R Value]]</f>
        <v>#REF!</v>
      </c>
      <c r="Z230" t="e">
        <f>1/Table4[[#This Row],[Total R value]]</f>
        <v>#REF!</v>
      </c>
      <c r="AA230" t="e">
        <f>Table4[[#This Row],[Int Finish Mass]]+Table4[[#This Row],[Ext Finish Mass]]+Table4[[#This Row],[Base Mass]]</f>
        <v>#REF!</v>
      </c>
    </row>
    <row r="231" spans="3:27" x14ac:dyDescent="0.35">
      <c r="C231" t="str">
        <f>_xlfn.CONCAT(Table4[[#This Row],[System Name (Short)]],"_",Table4[[#This Row],[Ext Finish Name (Short)]],"_",Table4[[#This Row],[Int Finish Name (Short)]])</f>
        <v>0_0_0</v>
      </c>
      <c r="E231">
        <f>_xlfn.XLOOKUP(Table4[[#This Row],[Base System]],BASE_SYSTEM_TABLE[System Name],BASE_SYSTEM_TABLE[System Name (Short)],FALSE)</f>
        <v>0</v>
      </c>
      <c r="F231">
        <f>_xlfn.XLOOKUP(Table4[[#This Row],[Base System]],BASE_SYSTEM_TABLE[System Name],BASE_SYSTEM_TABLE[System Type],FALSE)</f>
        <v>0</v>
      </c>
      <c r="G231">
        <f>_xlfn.XLOOKUP(Table4[[#This Row],[Base System]],BASE_SYSTEM_TABLE[System Name],BASE_SYSTEM_TABLE[System Subtype],FALSE)</f>
        <v>0</v>
      </c>
      <c r="H231">
        <f>_xlfn.XLOOKUP(Table4[[#This Row],[Base System]],BASE_SYSTEM_TABLE[System Name],BASE_SYSTEM_TABLE[Construction Type (Framed or Planar)],FALSE)</f>
        <v>0</v>
      </c>
      <c r="I231" t="e">
        <f>GETPIVOTDATA("Sum of A1-A3 Fossil kg CO2e/m^2 wall area",'COMPONENT PIVOT REF'!$A$3,"System Name",Table4[[#This Row],[Base System]])</f>
        <v>#REF!</v>
      </c>
      <c r="J231" t="e">
        <f>GETPIVOTDATA("Sum of  R value (m^2-K/W)",'COMPONENT PIVOT REF'!$A$3,"System Name",Table4[[#This Row],[Base System]])</f>
        <v>#REF!</v>
      </c>
      <c r="K231" t="e">
        <f>GETPIVOTDATA("Sum of Total Mass per m^2 (kg)",'COMPONENT PIVOT REF'!$A$3,"System Name",Table4[[#This Row],[Base System]])</f>
        <v>#REF!</v>
      </c>
      <c r="M231">
        <f>_xlfn.XLOOKUP(Table4[[#This Row],[Ext Finish]],Master_Table4[System Name],Master_Table4[System Name (Short)],FALSE)</f>
        <v>0</v>
      </c>
      <c r="N231">
        <f>_xlfn.XLOOKUP(Table4[[#This Row],[Ext Finish]],Master_Table4[System Name],Master_Table4[Compatible Systems],FALSE)</f>
        <v>0</v>
      </c>
      <c r="O231" t="str">
        <f>IF(ISNUMBER(SEARCH(Table4[[#This Row],[MMC Method]],Table4[[#This Row],[Compatible Systems]])),"YES","NO")</f>
        <v>YES</v>
      </c>
      <c r="P231" t="e">
        <f>GETPIVOTDATA("Sum of A1-A3 Fossil kg CO2e/m^2 wall area",'COMPONENT PIVOT REF'!$I$3,"System Name",Table4[[#This Row],[Ext Finish]])</f>
        <v>#REF!</v>
      </c>
      <c r="Q231" t="e">
        <f>GETPIVOTDATA("Sum of  R value (m^2-K/W)",'COMPONENT PIVOT REF'!$I$3,"System Name",Table4[[#This Row],[Ext Finish]])</f>
        <v>#REF!</v>
      </c>
      <c r="R231" t="e">
        <f>GETPIVOTDATA("Sum of Total Mass per m^2 (kg)",'COMPONENT PIVOT REF'!$I$3,"System Name",Table4[[#This Row],[Ext Finish]])</f>
        <v>#REF!</v>
      </c>
      <c r="T231">
        <f>_xlfn.XLOOKUP(Table4[[#This Row],[Int Finish]],Master_Table6[System Name],Master_Table6[System Name (Short)],FALSE)</f>
        <v>0</v>
      </c>
      <c r="U231" t="e">
        <f>GETPIVOTDATA("Sum of A1-A3 Fossil kg CO2e/m^2 wall area",'COMPONENT PIVOT REF'!$P$3,"System Name",Table4[[#This Row],[Int Finish]])</f>
        <v>#REF!</v>
      </c>
      <c r="V231" t="e">
        <f>GETPIVOTDATA("Sum of  R value (m^2-K/W)",'COMPONENT PIVOT REF'!$P$3,"System Name",Table4[[#This Row],[Int Finish]])</f>
        <v>#REF!</v>
      </c>
      <c r="W231" t="e">
        <f>GETPIVOTDATA("Sum of Total Mass per m^2 (kg)",'COMPONENT PIVOT REF'!$P$3,"System Name",Table4[[#This Row],[Int Finish]])</f>
        <v>#REF!</v>
      </c>
      <c r="X231" t="e">
        <f>Table4[[#This Row],[Ext Finish GWP]]+Table4[[#This Row],[Base GWP]]+Table4[[#This Row],[Int Finish GWP]]</f>
        <v>#REF!</v>
      </c>
      <c r="Y231" t="e">
        <f>Table4[[#This Row],[Ext Finish R Value]]+Table4[[#This Row],[Base R Value]]+Table4[[#This Row],[Int Finish R Value]]</f>
        <v>#REF!</v>
      </c>
      <c r="Z231" t="e">
        <f>1/Table4[[#This Row],[Total R value]]</f>
        <v>#REF!</v>
      </c>
      <c r="AA231" t="e">
        <f>Table4[[#This Row],[Int Finish Mass]]+Table4[[#This Row],[Ext Finish Mass]]+Table4[[#This Row],[Base Mass]]</f>
        <v>#REF!</v>
      </c>
    </row>
    <row r="232" spans="3:27" x14ac:dyDescent="0.35">
      <c r="C232" t="str">
        <f>_xlfn.CONCAT(Table4[[#This Row],[System Name (Short)]],"_",Table4[[#This Row],[Ext Finish Name (Short)]],"_",Table4[[#This Row],[Int Finish Name (Short)]])</f>
        <v>0_0_0</v>
      </c>
      <c r="E232">
        <f>_xlfn.XLOOKUP(Table4[[#This Row],[Base System]],BASE_SYSTEM_TABLE[System Name],BASE_SYSTEM_TABLE[System Name (Short)],FALSE)</f>
        <v>0</v>
      </c>
      <c r="F232">
        <f>_xlfn.XLOOKUP(Table4[[#This Row],[Base System]],BASE_SYSTEM_TABLE[System Name],BASE_SYSTEM_TABLE[System Type],FALSE)</f>
        <v>0</v>
      </c>
      <c r="G232">
        <f>_xlfn.XLOOKUP(Table4[[#This Row],[Base System]],BASE_SYSTEM_TABLE[System Name],BASE_SYSTEM_TABLE[System Subtype],FALSE)</f>
        <v>0</v>
      </c>
      <c r="H232">
        <f>_xlfn.XLOOKUP(Table4[[#This Row],[Base System]],BASE_SYSTEM_TABLE[System Name],BASE_SYSTEM_TABLE[Construction Type (Framed or Planar)],FALSE)</f>
        <v>0</v>
      </c>
      <c r="I232" t="e">
        <f>GETPIVOTDATA("Sum of A1-A3 Fossil kg CO2e/m^2 wall area",'COMPONENT PIVOT REF'!$A$3,"System Name",Table4[[#This Row],[Base System]])</f>
        <v>#REF!</v>
      </c>
      <c r="J232" t="e">
        <f>GETPIVOTDATA("Sum of  R value (m^2-K/W)",'COMPONENT PIVOT REF'!$A$3,"System Name",Table4[[#This Row],[Base System]])</f>
        <v>#REF!</v>
      </c>
      <c r="K232" t="e">
        <f>GETPIVOTDATA("Sum of Total Mass per m^2 (kg)",'COMPONENT PIVOT REF'!$A$3,"System Name",Table4[[#This Row],[Base System]])</f>
        <v>#REF!</v>
      </c>
      <c r="M232">
        <f>_xlfn.XLOOKUP(Table4[[#This Row],[Ext Finish]],Master_Table4[System Name],Master_Table4[System Name (Short)],FALSE)</f>
        <v>0</v>
      </c>
      <c r="N232">
        <f>_xlfn.XLOOKUP(Table4[[#This Row],[Ext Finish]],Master_Table4[System Name],Master_Table4[Compatible Systems],FALSE)</f>
        <v>0</v>
      </c>
      <c r="O232" t="str">
        <f>IF(ISNUMBER(SEARCH(Table4[[#This Row],[MMC Method]],Table4[[#This Row],[Compatible Systems]])),"YES","NO")</f>
        <v>YES</v>
      </c>
      <c r="P232" t="e">
        <f>GETPIVOTDATA("Sum of A1-A3 Fossil kg CO2e/m^2 wall area",'COMPONENT PIVOT REF'!$I$3,"System Name",Table4[[#This Row],[Ext Finish]])</f>
        <v>#REF!</v>
      </c>
      <c r="Q232" t="e">
        <f>GETPIVOTDATA("Sum of  R value (m^2-K/W)",'COMPONENT PIVOT REF'!$I$3,"System Name",Table4[[#This Row],[Ext Finish]])</f>
        <v>#REF!</v>
      </c>
      <c r="R232" t="e">
        <f>GETPIVOTDATA("Sum of Total Mass per m^2 (kg)",'COMPONENT PIVOT REF'!$I$3,"System Name",Table4[[#This Row],[Ext Finish]])</f>
        <v>#REF!</v>
      </c>
      <c r="T232">
        <f>_xlfn.XLOOKUP(Table4[[#This Row],[Int Finish]],Master_Table6[System Name],Master_Table6[System Name (Short)],FALSE)</f>
        <v>0</v>
      </c>
      <c r="U232" t="e">
        <f>GETPIVOTDATA("Sum of A1-A3 Fossil kg CO2e/m^2 wall area",'COMPONENT PIVOT REF'!$P$3,"System Name",Table4[[#This Row],[Int Finish]])</f>
        <v>#REF!</v>
      </c>
      <c r="V232" t="e">
        <f>GETPIVOTDATA("Sum of  R value (m^2-K/W)",'COMPONENT PIVOT REF'!$P$3,"System Name",Table4[[#This Row],[Int Finish]])</f>
        <v>#REF!</v>
      </c>
      <c r="W232" t="e">
        <f>GETPIVOTDATA("Sum of Total Mass per m^2 (kg)",'COMPONENT PIVOT REF'!$P$3,"System Name",Table4[[#This Row],[Int Finish]])</f>
        <v>#REF!</v>
      </c>
      <c r="X232" t="e">
        <f>Table4[[#This Row],[Ext Finish GWP]]+Table4[[#This Row],[Base GWP]]+Table4[[#This Row],[Int Finish GWP]]</f>
        <v>#REF!</v>
      </c>
      <c r="Y232" t="e">
        <f>Table4[[#This Row],[Ext Finish R Value]]+Table4[[#This Row],[Base R Value]]+Table4[[#This Row],[Int Finish R Value]]</f>
        <v>#REF!</v>
      </c>
      <c r="Z232" t="e">
        <f>1/Table4[[#This Row],[Total R value]]</f>
        <v>#REF!</v>
      </c>
      <c r="AA232" t="e">
        <f>Table4[[#This Row],[Int Finish Mass]]+Table4[[#This Row],[Ext Finish Mass]]+Table4[[#This Row],[Base Mass]]</f>
        <v>#REF!</v>
      </c>
    </row>
    <row r="233" spans="3:27" x14ac:dyDescent="0.35">
      <c r="C233" t="str">
        <f>_xlfn.CONCAT(Table4[[#This Row],[System Name (Short)]],"_",Table4[[#This Row],[Ext Finish Name (Short)]],"_",Table4[[#This Row],[Int Finish Name (Short)]])</f>
        <v>0_0_0</v>
      </c>
      <c r="E233">
        <f>_xlfn.XLOOKUP(Table4[[#This Row],[Base System]],BASE_SYSTEM_TABLE[System Name],BASE_SYSTEM_TABLE[System Name (Short)],FALSE)</f>
        <v>0</v>
      </c>
      <c r="F233">
        <f>_xlfn.XLOOKUP(Table4[[#This Row],[Base System]],BASE_SYSTEM_TABLE[System Name],BASE_SYSTEM_TABLE[System Type],FALSE)</f>
        <v>0</v>
      </c>
      <c r="G233">
        <f>_xlfn.XLOOKUP(Table4[[#This Row],[Base System]],BASE_SYSTEM_TABLE[System Name],BASE_SYSTEM_TABLE[System Subtype],FALSE)</f>
        <v>0</v>
      </c>
      <c r="H233">
        <f>_xlfn.XLOOKUP(Table4[[#This Row],[Base System]],BASE_SYSTEM_TABLE[System Name],BASE_SYSTEM_TABLE[Construction Type (Framed or Planar)],FALSE)</f>
        <v>0</v>
      </c>
      <c r="I233" t="e">
        <f>GETPIVOTDATA("Sum of A1-A3 Fossil kg CO2e/m^2 wall area",'COMPONENT PIVOT REF'!$A$3,"System Name",Table4[[#This Row],[Base System]])</f>
        <v>#REF!</v>
      </c>
      <c r="J233" t="e">
        <f>GETPIVOTDATA("Sum of  R value (m^2-K/W)",'COMPONENT PIVOT REF'!$A$3,"System Name",Table4[[#This Row],[Base System]])</f>
        <v>#REF!</v>
      </c>
      <c r="K233" t="e">
        <f>GETPIVOTDATA("Sum of Total Mass per m^2 (kg)",'COMPONENT PIVOT REF'!$A$3,"System Name",Table4[[#This Row],[Base System]])</f>
        <v>#REF!</v>
      </c>
      <c r="M233">
        <f>_xlfn.XLOOKUP(Table4[[#This Row],[Ext Finish]],Master_Table4[System Name],Master_Table4[System Name (Short)],FALSE)</f>
        <v>0</v>
      </c>
      <c r="N233">
        <f>_xlfn.XLOOKUP(Table4[[#This Row],[Ext Finish]],Master_Table4[System Name],Master_Table4[Compatible Systems],FALSE)</f>
        <v>0</v>
      </c>
      <c r="O233" t="str">
        <f>IF(ISNUMBER(SEARCH(Table4[[#This Row],[MMC Method]],Table4[[#This Row],[Compatible Systems]])),"YES","NO")</f>
        <v>YES</v>
      </c>
      <c r="P233" t="e">
        <f>GETPIVOTDATA("Sum of A1-A3 Fossil kg CO2e/m^2 wall area",'COMPONENT PIVOT REF'!$I$3,"System Name",Table4[[#This Row],[Ext Finish]])</f>
        <v>#REF!</v>
      </c>
      <c r="Q233" t="e">
        <f>GETPIVOTDATA("Sum of  R value (m^2-K/W)",'COMPONENT PIVOT REF'!$I$3,"System Name",Table4[[#This Row],[Ext Finish]])</f>
        <v>#REF!</v>
      </c>
      <c r="R233" t="e">
        <f>GETPIVOTDATA("Sum of Total Mass per m^2 (kg)",'COMPONENT PIVOT REF'!$I$3,"System Name",Table4[[#This Row],[Ext Finish]])</f>
        <v>#REF!</v>
      </c>
      <c r="T233">
        <f>_xlfn.XLOOKUP(Table4[[#This Row],[Int Finish]],Master_Table6[System Name],Master_Table6[System Name (Short)],FALSE)</f>
        <v>0</v>
      </c>
      <c r="U233" t="e">
        <f>GETPIVOTDATA("Sum of A1-A3 Fossil kg CO2e/m^2 wall area",'COMPONENT PIVOT REF'!$P$3,"System Name",Table4[[#This Row],[Int Finish]])</f>
        <v>#REF!</v>
      </c>
      <c r="V233" t="e">
        <f>GETPIVOTDATA("Sum of  R value (m^2-K/W)",'COMPONENT PIVOT REF'!$P$3,"System Name",Table4[[#This Row],[Int Finish]])</f>
        <v>#REF!</v>
      </c>
      <c r="W233" t="e">
        <f>GETPIVOTDATA("Sum of Total Mass per m^2 (kg)",'COMPONENT PIVOT REF'!$P$3,"System Name",Table4[[#This Row],[Int Finish]])</f>
        <v>#REF!</v>
      </c>
      <c r="X233" t="e">
        <f>Table4[[#This Row],[Ext Finish GWP]]+Table4[[#This Row],[Base GWP]]+Table4[[#This Row],[Int Finish GWP]]</f>
        <v>#REF!</v>
      </c>
      <c r="Y233" t="e">
        <f>Table4[[#This Row],[Ext Finish R Value]]+Table4[[#This Row],[Base R Value]]+Table4[[#This Row],[Int Finish R Value]]</f>
        <v>#REF!</v>
      </c>
      <c r="Z233" t="e">
        <f>1/Table4[[#This Row],[Total R value]]</f>
        <v>#REF!</v>
      </c>
      <c r="AA233" t="e">
        <f>Table4[[#This Row],[Int Finish Mass]]+Table4[[#This Row],[Ext Finish Mass]]+Table4[[#This Row],[Base Mass]]</f>
        <v>#REF!</v>
      </c>
    </row>
    <row r="234" spans="3:27" x14ac:dyDescent="0.35">
      <c r="C234" t="str">
        <f>_xlfn.CONCAT(Table4[[#This Row],[System Name (Short)]],"_",Table4[[#This Row],[Ext Finish Name (Short)]],"_",Table4[[#This Row],[Int Finish Name (Short)]])</f>
        <v>0_0_0</v>
      </c>
      <c r="E234">
        <f>_xlfn.XLOOKUP(Table4[[#This Row],[Base System]],BASE_SYSTEM_TABLE[System Name],BASE_SYSTEM_TABLE[System Name (Short)],FALSE)</f>
        <v>0</v>
      </c>
      <c r="F234">
        <f>_xlfn.XLOOKUP(Table4[[#This Row],[Base System]],BASE_SYSTEM_TABLE[System Name],BASE_SYSTEM_TABLE[System Type],FALSE)</f>
        <v>0</v>
      </c>
      <c r="G234">
        <f>_xlfn.XLOOKUP(Table4[[#This Row],[Base System]],BASE_SYSTEM_TABLE[System Name],BASE_SYSTEM_TABLE[System Subtype],FALSE)</f>
        <v>0</v>
      </c>
      <c r="H234">
        <f>_xlfn.XLOOKUP(Table4[[#This Row],[Base System]],BASE_SYSTEM_TABLE[System Name],BASE_SYSTEM_TABLE[Construction Type (Framed or Planar)],FALSE)</f>
        <v>0</v>
      </c>
      <c r="I234" t="e">
        <f>GETPIVOTDATA("Sum of A1-A3 Fossil kg CO2e/m^2 wall area",'COMPONENT PIVOT REF'!$A$3,"System Name",Table4[[#This Row],[Base System]])</f>
        <v>#REF!</v>
      </c>
      <c r="J234" t="e">
        <f>GETPIVOTDATA("Sum of  R value (m^2-K/W)",'COMPONENT PIVOT REF'!$A$3,"System Name",Table4[[#This Row],[Base System]])</f>
        <v>#REF!</v>
      </c>
      <c r="K234" t="e">
        <f>GETPIVOTDATA("Sum of Total Mass per m^2 (kg)",'COMPONENT PIVOT REF'!$A$3,"System Name",Table4[[#This Row],[Base System]])</f>
        <v>#REF!</v>
      </c>
      <c r="M234">
        <f>_xlfn.XLOOKUP(Table4[[#This Row],[Ext Finish]],Master_Table4[System Name],Master_Table4[System Name (Short)],FALSE)</f>
        <v>0</v>
      </c>
      <c r="N234">
        <f>_xlfn.XLOOKUP(Table4[[#This Row],[Ext Finish]],Master_Table4[System Name],Master_Table4[Compatible Systems],FALSE)</f>
        <v>0</v>
      </c>
      <c r="O234" t="str">
        <f>IF(ISNUMBER(SEARCH(Table4[[#This Row],[MMC Method]],Table4[[#This Row],[Compatible Systems]])),"YES","NO")</f>
        <v>YES</v>
      </c>
      <c r="P234" t="e">
        <f>GETPIVOTDATA("Sum of A1-A3 Fossil kg CO2e/m^2 wall area",'COMPONENT PIVOT REF'!$I$3,"System Name",Table4[[#This Row],[Ext Finish]])</f>
        <v>#REF!</v>
      </c>
      <c r="Q234" t="e">
        <f>GETPIVOTDATA("Sum of  R value (m^2-K/W)",'COMPONENT PIVOT REF'!$I$3,"System Name",Table4[[#This Row],[Ext Finish]])</f>
        <v>#REF!</v>
      </c>
      <c r="R234" t="e">
        <f>GETPIVOTDATA("Sum of Total Mass per m^2 (kg)",'COMPONENT PIVOT REF'!$I$3,"System Name",Table4[[#This Row],[Ext Finish]])</f>
        <v>#REF!</v>
      </c>
      <c r="T234">
        <f>_xlfn.XLOOKUP(Table4[[#This Row],[Int Finish]],Master_Table6[System Name],Master_Table6[System Name (Short)],FALSE)</f>
        <v>0</v>
      </c>
      <c r="U234" t="e">
        <f>GETPIVOTDATA("Sum of A1-A3 Fossil kg CO2e/m^2 wall area",'COMPONENT PIVOT REF'!$P$3,"System Name",Table4[[#This Row],[Int Finish]])</f>
        <v>#REF!</v>
      </c>
      <c r="V234" t="e">
        <f>GETPIVOTDATA("Sum of  R value (m^2-K/W)",'COMPONENT PIVOT REF'!$P$3,"System Name",Table4[[#This Row],[Int Finish]])</f>
        <v>#REF!</v>
      </c>
      <c r="W234" t="e">
        <f>GETPIVOTDATA("Sum of Total Mass per m^2 (kg)",'COMPONENT PIVOT REF'!$P$3,"System Name",Table4[[#This Row],[Int Finish]])</f>
        <v>#REF!</v>
      </c>
      <c r="X234" t="e">
        <f>Table4[[#This Row],[Ext Finish GWP]]+Table4[[#This Row],[Base GWP]]+Table4[[#This Row],[Int Finish GWP]]</f>
        <v>#REF!</v>
      </c>
      <c r="Y234" t="e">
        <f>Table4[[#This Row],[Ext Finish R Value]]+Table4[[#This Row],[Base R Value]]+Table4[[#This Row],[Int Finish R Value]]</f>
        <v>#REF!</v>
      </c>
      <c r="Z234" t="e">
        <f>1/Table4[[#This Row],[Total R value]]</f>
        <v>#REF!</v>
      </c>
      <c r="AA234" t="e">
        <f>Table4[[#This Row],[Int Finish Mass]]+Table4[[#This Row],[Ext Finish Mass]]+Table4[[#This Row],[Base Mass]]</f>
        <v>#REF!</v>
      </c>
    </row>
    <row r="235" spans="3:27" x14ac:dyDescent="0.35">
      <c r="C235" t="str">
        <f>_xlfn.CONCAT(Table4[[#This Row],[System Name (Short)]],"_",Table4[[#This Row],[Ext Finish Name (Short)]],"_",Table4[[#This Row],[Int Finish Name (Short)]])</f>
        <v>0_0_0</v>
      </c>
      <c r="E235">
        <f>_xlfn.XLOOKUP(Table4[[#This Row],[Base System]],BASE_SYSTEM_TABLE[System Name],BASE_SYSTEM_TABLE[System Name (Short)],FALSE)</f>
        <v>0</v>
      </c>
      <c r="F235">
        <f>_xlfn.XLOOKUP(Table4[[#This Row],[Base System]],BASE_SYSTEM_TABLE[System Name],BASE_SYSTEM_TABLE[System Type],FALSE)</f>
        <v>0</v>
      </c>
      <c r="G235">
        <f>_xlfn.XLOOKUP(Table4[[#This Row],[Base System]],BASE_SYSTEM_TABLE[System Name],BASE_SYSTEM_TABLE[System Subtype],FALSE)</f>
        <v>0</v>
      </c>
      <c r="H235">
        <f>_xlfn.XLOOKUP(Table4[[#This Row],[Base System]],BASE_SYSTEM_TABLE[System Name],BASE_SYSTEM_TABLE[Construction Type (Framed or Planar)],FALSE)</f>
        <v>0</v>
      </c>
      <c r="I235" t="e">
        <f>GETPIVOTDATA("Sum of A1-A3 Fossil kg CO2e/m^2 wall area",'COMPONENT PIVOT REF'!$A$3,"System Name",Table4[[#This Row],[Base System]])</f>
        <v>#REF!</v>
      </c>
      <c r="J235" t="e">
        <f>GETPIVOTDATA("Sum of  R value (m^2-K/W)",'COMPONENT PIVOT REF'!$A$3,"System Name",Table4[[#This Row],[Base System]])</f>
        <v>#REF!</v>
      </c>
      <c r="K235" t="e">
        <f>GETPIVOTDATA("Sum of Total Mass per m^2 (kg)",'COMPONENT PIVOT REF'!$A$3,"System Name",Table4[[#This Row],[Base System]])</f>
        <v>#REF!</v>
      </c>
      <c r="M235">
        <f>_xlfn.XLOOKUP(Table4[[#This Row],[Ext Finish]],Master_Table4[System Name],Master_Table4[System Name (Short)],FALSE)</f>
        <v>0</v>
      </c>
      <c r="N235">
        <f>_xlfn.XLOOKUP(Table4[[#This Row],[Ext Finish]],Master_Table4[System Name],Master_Table4[Compatible Systems],FALSE)</f>
        <v>0</v>
      </c>
      <c r="O235" t="str">
        <f>IF(ISNUMBER(SEARCH(Table4[[#This Row],[MMC Method]],Table4[[#This Row],[Compatible Systems]])),"YES","NO")</f>
        <v>YES</v>
      </c>
      <c r="P235" t="e">
        <f>GETPIVOTDATA("Sum of A1-A3 Fossil kg CO2e/m^2 wall area",'COMPONENT PIVOT REF'!$I$3,"System Name",Table4[[#This Row],[Ext Finish]])</f>
        <v>#REF!</v>
      </c>
      <c r="Q235" t="e">
        <f>GETPIVOTDATA("Sum of  R value (m^2-K/W)",'COMPONENT PIVOT REF'!$I$3,"System Name",Table4[[#This Row],[Ext Finish]])</f>
        <v>#REF!</v>
      </c>
      <c r="R235" t="e">
        <f>GETPIVOTDATA("Sum of Total Mass per m^2 (kg)",'COMPONENT PIVOT REF'!$I$3,"System Name",Table4[[#This Row],[Ext Finish]])</f>
        <v>#REF!</v>
      </c>
      <c r="T235">
        <f>_xlfn.XLOOKUP(Table4[[#This Row],[Int Finish]],Master_Table6[System Name],Master_Table6[System Name (Short)],FALSE)</f>
        <v>0</v>
      </c>
      <c r="U235" t="e">
        <f>GETPIVOTDATA("Sum of A1-A3 Fossil kg CO2e/m^2 wall area",'COMPONENT PIVOT REF'!$P$3,"System Name",Table4[[#This Row],[Int Finish]])</f>
        <v>#REF!</v>
      </c>
      <c r="V235" t="e">
        <f>GETPIVOTDATA("Sum of  R value (m^2-K/W)",'COMPONENT PIVOT REF'!$P$3,"System Name",Table4[[#This Row],[Int Finish]])</f>
        <v>#REF!</v>
      </c>
      <c r="W235" t="e">
        <f>GETPIVOTDATA("Sum of Total Mass per m^2 (kg)",'COMPONENT PIVOT REF'!$P$3,"System Name",Table4[[#This Row],[Int Finish]])</f>
        <v>#REF!</v>
      </c>
      <c r="X235" t="e">
        <f>Table4[[#This Row],[Ext Finish GWP]]+Table4[[#This Row],[Base GWP]]+Table4[[#This Row],[Int Finish GWP]]</f>
        <v>#REF!</v>
      </c>
      <c r="Y235" t="e">
        <f>Table4[[#This Row],[Ext Finish R Value]]+Table4[[#This Row],[Base R Value]]+Table4[[#This Row],[Int Finish R Value]]</f>
        <v>#REF!</v>
      </c>
      <c r="Z235" t="e">
        <f>1/Table4[[#This Row],[Total R value]]</f>
        <v>#REF!</v>
      </c>
      <c r="AA235" t="e">
        <f>Table4[[#This Row],[Int Finish Mass]]+Table4[[#This Row],[Ext Finish Mass]]+Table4[[#This Row],[Base Mass]]</f>
        <v>#REF!</v>
      </c>
    </row>
    <row r="236" spans="3:27" x14ac:dyDescent="0.35">
      <c r="C236" t="str">
        <f>_xlfn.CONCAT(Table4[[#This Row],[System Name (Short)]],"_",Table4[[#This Row],[Ext Finish Name (Short)]],"_",Table4[[#This Row],[Int Finish Name (Short)]])</f>
        <v>0_0_0</v>
      </c>
      <c r="E236">
        <f>_xlfn.XLOOKUP(Table4[[#This Row],[Base System]],BASE_SYSTEM_TABLE[System Name],BASE_SYSTEM_TABLE[System Name (Short)],FALSE)</f>
        <v>0</v>
      </c>
      <c r="F236">
        <f>_xlfn.XLOOKUP(Table4[[#This Row],[Base System]],BASE_SYSTEM_TABLE[System Name],BASE_SYSTEM_TABLE[System Type],FALSE)</f>
        <v>0</v>
      </c>
      <c r="G236">
        <f>_xlfn.XLOOKUP(Table4[[#This Row],[Base System]],BASE_SYSTEM_TABLE[System Name],BASE_SYSTEM_TABLE[System Subtype],FALSE)</f>
        <v>0</v>
      </c>
      <c r="H236">
        <f>_xlfn.XLOOKUP(Table4[[#This Row],[Base System]],BASE_SYSTEM_TABLE[System Name],BASE_SYSTEM_TABLE[Construction Type (Framed or Planar)],FALSE)</f>
        <v>0</v>
      </c>
      <c r="I236" t="e">
        <f>GETPIVOTDATA("Sum of A1-A3 Fossil kg CO2e/m^2 wall area",'COMPONENT PIVOT REF'!$A$3,"System Name",Table4[[#This Row],[Base System]])</f>
        <v>#REF!</v>
      </c>
      <c r="J236" t="e">
        <f>GETPIVOTDATA("Sum of  R value (m^2-K/W)",'COMPONENT PIVOT REF'!$A$3,"System Name",Table4[[#This Row],[Base System]])</f>
        <v>#REF!</v>
      </c>
      <c r="K236" t="e">
        <f>GETPIVOTDATA("Sum of Total Mass per m^2 (kg)",'COMPONENT PIVOT REF'!$A$3,"System Name",Table4[[#This Row],[Base System]])</f>
        <v>#REF!</v>
      </c>
      <c r="M236">
        <f>_xlfn.XLOOKUP(Table4[[#This Row],[Ext Finish]],Master_Table4[System Name],Master_Table4[System Name (Short)],FALSE)</f>
        <v>0</v>
      </c>
      <c r="N236">
        <f>_xlfn.XLOOKUP(Table4[[#This Row],[Ext Finish]],Master_Table4[System Name],Master_Table4[Compatible Systems],FALSE)</f>
        <v>0</v>
      </c>
      <c r="O236" t="str">
        <f>IF(ISNUMBER(SEARCH(Table4[[#This Row],[MMC Method]],Table4[[#This Row],[Compatible Systems]])),"YES","NO")</f>
        <v>YES</v>
      </c>
      <c r="P236" t="e">
        <f>GETPIVOTDATA("Sum of A1-A3 Fossil kg CO2e/m^2 wall area",'COMPONENT PIVOT REF'!$I$3,"System Name",Table4[[#This Row],[Ext Finish]])</f>
        <v>#REF!</v>
      </c>
      <c r="Q236" t="e">
        <f>GETPIVOTDATA("Sum of  R value (m^2-K/W)",'COMPONENT PIVOT REF'!$I$3,"System Name",Table4[[#This Row],[Ext Finish]])</f>
        <v>#REF!</v>
      </c>
      <c r="R236" t="e">
        <f>GETPIVOTDATA("Sum of Total Mass per m^2 (kg)",'COMPONENT PIVOT REF'!$I$3,"System Name",Table4[[#This Row],[Ext Finish]])</f>
        <v>#REF!</v>
      </c>
      <c r="T236">
        <f>_xlfn.XLOOKUP(Table4[[#This Row],[Int Finish]],Master_Table6[System Name],Master_Table6[System Name (Short)],FALSE)</f>
        <v>0</v>
      </c>
      <c r="U236" t="e">
        <f>GETPIVOTDATA("Sum of A1-A3 Fossil kg CO2e/m^2 wall area",'COMPONENT PIVOT REF'!$P$3,"System Name",Table4[[#This Row],[Int Finish]])</f>
        <v>#REF!</v>
      </c>
      <c r="V236" t="e">
        <f>GETPIVOTDATA("Sum of  R value (m^2-K/W)",'COMPONENT PIVOT REF'!$P$3,"System Name",Table4[[#This Row],[Int Finish]])</f>
        <v>#REF!</v>
      </c>
      <c r="W236" t="e">
        <f>GETPIVOTDATA("Sum of Total Mass per m^2 (kg)",'COMPONENT PIVOT REF'!$P$3,"System Name",Table4[[#This Row],[Int Finish]])</f>
        <v>#REF!</v>
      </c>
      <c r="X236" t="e">
        <f>Table4[[#This Row],[Ext Finish GWP]]+Table4[[#This Row],[Base GWP]]+Table4[[#This Row],[Int Finish GWP]]</f>
        <v>#REF!</v>
      </c>
      <c r="Y236" t="e">
        <f>Table4[[#This Row],[Ext Finish R Value]]+Table4[[#This Row],[Base R Value]]+Table4[[#This Row],[Int Finish R Value]]</f>
        <v>#REF!</v>
      </c>
      <c r="Z236" t="e">
        <f>1/Table4[[#This Row],[Total R value]]</f>
        <v>#REF!</v>
      </c>
      <c r="AA236" t="e">
        <f>Table4[[#This Row],[Int Finish Mass]]+Table4[[#This Row],[Ext Finish Mass]]+Table4[[#This Row],[Base Mass]]</f>
        <v>#REF!</v>
      </c>
    </row>
    <row r="237" spans="3:27" x14ac:dyDescent="0.35">
      <c r="C237" t="str">
        <f>_xlfn.CONCAT(Table4[[#This Row],[System Name (Short)]],"_",Table4[[#This Row],[Ext Finish Name (Short)]],"_",Table4[[#This Row],[Int Finish Name (Short)]])</f>
        <v>0_0_0</v>
      </c>
      <c r="E237">
        <f>_xlfn.XLOOKUP(Table4[[#This Row],[Base System]],BASE_SYSTEM_TABLE[System Name],BASE_SYSTEM_TABLE[System Name (Short)],FALSE)</f>
        <v>0</v>
      </c>
      <c r="F237">
        <f>_xlfn.XLOOKUP(Table4[[#This Row],[Base System]],BASE_SYSTEM_TABLE[System Name],BASE_SYSTEM_TABLE[System Type],FALSE)</f>
        <v>0</v>
      </c>
      <c r="G237">
        <f>_xlfn.XLOOKUP(Table4[[#This Row],[Base System]],BASE_SYSTEM_TABLE[System Name],BASE_SYSTEM_TABLE[System Subtype],FALSE)</f>
        <v>0</v>
      </c>
      <c r="H237">
        <f>_xlfn.XLOOKUP(Table4[[#This Row],[Base System]],BASE_SYSTEM_TABLE[System Name],BASE_SYSTEM_TABLE[Construction Type (Framed or Planar)],FALSE)</f>
        <v>0</v>
      </c>
      <c r="I237" t="e">
        <f>GETPIVOTDATA("Sum of A1-A3 Fossil kg CO2e/m^2 wall area",'COMPONENT PIVOT REF'!$A$3,"System Name",Table4[[#This Row],[Base System]])</f>
        <v>#REF!</v>
      </c>
      <c r="J237" t="e">
        <f>GETPIVOTDATA("Sum of  R value (m^2-K/W)",'COMPONENT PIVOT REF'!$A$3,"System Name",Table4[[#This Row],[Base System]])</f>
        <v>#REF!</v>
      </c>
      <c r="K237" t="e">
        <f>GETPIVOTDATA("Sum of Total Mass per m^2 (kg)",'COMPONENT PIVOT REF'!$A$3,"System Name",Table4[[#This Row],[Base System]])</f>
        <v>#REF!</v>
      </c>
      <c r="M237">
        <f>_xlfn.XLOOKUP(Table4[[#This Row],[Ext Finish]],Master_Table4[System Name],Master_Table4[System Name (Short)],FALSE)</f>
        <v>0</v>
      </c>
      <c r="N237">
        <f>_xlfn.XLOOKUP(Table4[[#This Row],[Ext Finish]],Master_Table4[System Name],Master_Table4[Compatible Systems],FALSE)</f>
        <v>0</v>
      </c>
      <c r="O237" t="str">
        <f>IF(ISNUMBER(SEARCH(Table4[[#This Row],[MMC Method]],Table4[[#This Row],[Compatible Systems]])),"YES","NO")</f>
        <v>YES</v>
      </c>
      <c r="P237" t="e">
        <f>GETPIVOTDATA("Sum of A1-A3 Fossil kg CO2e/m^2 wall area",'COMPONENT PIVOT REF'!$I$3,"System Name",Table4[[#This Row],[Ext Finish]])</f>
        <v>#REF!</v>
      </c>
      <c r="Q237" t="e">
        <f>GETPIVOTDATA("Sum of  R value (m^2-K/W)",'COMPONENT PIVOT REF'!$I$3,"System Name",Table4[[#This Row],[Ext Finish]])</f>
        <v>#REF!</v>
      </c>
      <c r="R237" t="e">
        <f>GETPIVOTDATA("Sum of Total Mass per m^2 (kg)",'COMPONENT PIVOT REF'!$I$3,"System Name",Table4[[#This Row],[Ext Finish]])</f>
        <v>#REF!</v>
      </c>
      <c r="T237">
        <f>_xlfn.XLOOKUP(Table4[[#This Row],[Int Finish]],Master_Table6[System Name],Master_Table6[System Name (Short)],FALSE)</f>
        <v>0</v>
      </c>
      <c r="U237" t="e">
        <f>GETPIVOTDATA("Sum of A1-A3 Fossil kg CO2e/m^2 wall area",'COMPONENT PIVOT REF'!$P$3,"System Name",Table4[[#This Row],[Int Finish]])</f>
        <v>#REF!</v>
      </c>
      <c r="V237" t="e">
        <f>GETPIVOTDATA("Sum of  R value (m^2-K/W)",'COMPONENT PIVOT REF'!$P$3,"System Name",Table4[[#This Row],[Int Finish]])</f>
        <v>#REF!</v>
      </c>
      <c r="W237" t="e">
        <f>GETPIVOTDATA("Sum of Total Mass per m^2 (kg)",'COMPONENT PIVOT REF'!$P$3,"System Name",Table4[[#This Row],[Int Finish]])</f>
        <v>#REF!</v>
      </c>
      <c r="X237" t="e">
        <f>Table4[[#This Row],[Ext Finish GWP]]+Table4[[#This Row],[Base GWP]]+Table4[[#This Row],[Int Finish GWP]]</f>
        <v>#REF!</v>
      </c>
      <c r="Y237" t="e">
        <f>Table4[[#This Row],[Ext Finish R Value]]+Table4[[#This Row],[Base R Value]]+Table4[[#This Row],[Int Finish R Value]]</f>
        <v>#REF!</v>
      </c>
      <c r="Z237" t="e">
        <f>1/Table4[[#This Row],[Total R value]]</f>
        <v>#REF!</v>
      </c>
      <c r="AA237" t="e">
        <f>Table4[[#This Row],[Int Finish Mass]]+Table4[[#This Row],[Ext Finish Mass]]+Table4[[#This Row],[Base Mass]]</f>
        <v>#REF!</v>
      </c>
    </row>
    <row r="238" spans="3:27" x14ac:dyDescent="0.35">
      <c r="C238" t="str">
        <f>_xlfn.CONCAT(Table4[[#This Row],[System Name (Short)]],"_",Table4[[#This Row],[Ext Finish Name (Short)]],"_",Table4[[#This Row],[Int Finish Name (Short)]])</f>
        <v>0_0_0</v>
      </c>
      <c r="E238">
        <f>_xlfn.XLOOKUP(Table4[[#This Row],[Base System]],BASE_SYSTEM_TABLE[System Name],BASE_SYSTEM_TABLE[System Name (Short)],FALSE)</f>
        <v>0</v>
      </c>
      <c r="F238">
        <f>_xlfn.XLOOKUP(Table4[[#This Row],[Base System]],BASE_SYSTEM_TABLE[System Name],BASE_SYSTEM_TABLE[System Type],FALSE)</f>
        <v>0</v>
      </c>
      <c r="G238">
        <f>_xlfn.XLOOKUP(Table4[[#This Row],[Base System]],BASE_SYSTEM_TABLE[System Name],BASE_SYSTEM_TABLE[System Subtype],FALSE)</f>
        <v>0</v>
      </c>
      <c r="H238">
        <f>_xlfn.XLOOKUP(Table4[[#This Row],[Base System]],BASE_SYSTEM_TABLE[System Name],BASE_SYSTEM_TABLE[Construction Type (Framed or Planar)],FALSE)</f>
        <v>0</v>
      </c>
      <c r="I238" t="e">
        <f>GETPIVOTDATA("Sum of A1-A3 Fossil kg CO2e/m^2 wall area",'COMPONENT PIVOT REF'!$A$3,"System Name",Table4[[#This Row],[Base System]])</f>
        <v>#REF!</v>
      </c>
      <c r="J238" t="e">
        <f>GETPIVOTDATA("Sum of  R value (m^2-K/W)",'COMPONENT PIVOT REF'!$A$3,"System Name",Table4[[#This Row],[Base System]])</f>
        <v>#REF!</v>
      </c>
      <c r="K238" t="e">
        <f>GETPIVOTDATA("Sum of Total Mass per m^2 (kg)",'COMPONENT PIVOT REF'!$A$3,"System Name",Table4[[#This Row],[Base System]])</f>
        <v>#REF!</v>
      </c>
      <c r="M238">
        <f>_xlfn.XLOOKUP(Table4[[#This Row],[Ext Finish]],Master_Table4[System Name],Master_Table4[System Name (Short)],FALSE)</f>
        <v>0</v>
      </c>
      <c r="N238">
        <f>_xlfn.XLOOKUP(Table4[[#This Row],[Ext Finish]],Master_Table4[System Name],Master_Table4[Compatible Systems],FALSE)</f>
        <v>0</v>
      </c>
      <c r="O238" t="str">
        <f>IF(ISNUMBER(SEARCH(Table4[[#This Row],[MMC Method]],Table4[[#This Row],[Compatible Systems]])),"YES","NO")</f>
        <v>YES</v>
      </c>
      <c r="P238" t="e">
        <f>GETPIVOTDATA("Sum of A1-A3 Fossil kg CO2e/m^2 wall area",'COMPONENT PIVOT REF'!$I$3,"System Name",Table4[[#This Row],[Ext Finish]])</f>
        <v>#REF!</v>
      </c>
      <c r="Q238" t="e">
        <f>GETPIVOTDATA("Sum of  R value (m^2-K/W)",'COMPONENT PIVOT REF'!$I$3,"System Name",Table4[[#This Row],[Ext Finish]])</f>
        <v>#REF!</v>
      </c>
      <c r="R238" t="e">
        <f>GETPIVOTDATA("Sum of Total Mass per m^2 (kg)",'COMPONENT PIVOT REF'!$I$3,"System Name",Table4[[#This Row],[Ext Finish]])</f>
        <v>#REF!</v>
      </c>
      <c r="T238">
        <f>_xlfn.XLOOKUP(Table4[[#This Row],[Int Finish]],Master_Table6[System Name],Master_Table6[System Name (Short)],FALSE)</f>
        <v>0</v>
      </c>
      <c r="U238" t="e">
        <f>GETPIVOTDATA("Sum of A1-A3 Fossil kg CO2e/m^2 wall area",'COMPONENT PIVOT REF'!$P$3,"System Name",Table4[[#This Row],[Int Finish]])</f>
        <v>#REF!</v>
      </c>
      <c r="V238" t="e">
        <f>GETPIVOTDATA("Sum of  R value (m^2-K/W)",'COMPONENT PIVOT REF'!$P$3,"System Name",Table4[[#This Row],[Int Finish]])</f>
        <v>#REF!</v>
      </c>
      <c r="W238" t="e">
        <f>GETPIVOTDATA("Sum of Total Mass per m^2 (kg)",'COMPONENT PIVOT REF'!$P$3,"System Name",Table4[[#This Row],[Int Finish]])</f>
        <v>#REF!</v>
      </c>
      <c r="X238" t="e">
        <f>Table4[[#This Row],[Ext Finish GWP]]+Table4[[#This Row],[Base GWP]]+Table4[[#This Row],[Int Finish GWP]]</f>
        <v>#REF!</v>
      </c>
      <c r="Y238" t="e">
        <f>Table4[[#This Row],[Ext Finish R Value]]+Table4[[#This Row],[Base R Value]]+Table4[[#This Row],[Int Finish R Value]]</f>
        <v>#REF!</v>
      </c>
      <c r="Z238" t="e">
        <f>1/Table4[[#This Row],[Total R value]]</f>
        <v>#REF!</v>
      </c>
      <c r="AA238" t="e">
        <f>Table4[[#This Row],[Int Finish Mass]]+Table4[[#This Row],[Ext Finish Mass]]+Table4[[#This Row],[Base Mass]]</f>
        <v>#REF!</v>
      </c>
    </row>
    <row r="239" spans="3:27" x14ac:dyDescent="0.35">
      <c r="C239" t="str">
        <f>_xlfn.CONCAT(Table4[[#This Row],[System Name (Short)]],"_",Table4[[#This Row],[Ext Finish Name (Short)]],"_",Table4[[#This Row],[Int Finish Name (Short)]])</f>
        <v>0_0_0</v>
      </c>
      <c r="E239">
        <f>_xlfn.XLOOKUP(Table4[[#This Row],[Base System]],BASE_SYSTEM_TABLE[System Name],BASE_SYSTEM_TABLE[System Name (Short)],FALSE)</f>
        <v>0</v>
      </c>
      <c r="F239">
        <f>_xlfn.XLOOKUP(Table4[[#This Row],[Base System]],BASE_SYSTEM_TABLE[System Name],BASE_SYSTEM_TABLE[System Type],FALSE)</f>
        <v>0</v>
      </c>
      <c r="G239">
        <f>_xlfn.XLOOKUP(Table4[[#This Row],[Base System]],BASE_SYSTEM_TABLE[System Name],BASE_SYSTEM_TABLE[System Subtype],FALSE)</f>
        <v>0</v>
      </c>
      <c r="H239">
        <f>_xlfn.XLOOKUP(Table4[[#This Row],[Base System]],BASE_SYSTEM_TABLE[System Name],BASE_SYSTEM_TABLE[Construction Type (Framed or Planar)],FALSE)</f>
        <v>0</v>
      </c>
      <c r="I239" t="e">
        <f>GETPIVOTDATA("Sum of A1-A3 Fossil kg CO2e/m^2 wall area",'COMPONENT PIVOT REF'!$A$3,"System Name",Table4[[#This Row],[Base System]])</f>
        <v>#REF!</v>
      </c>
      <c r="J239" t="e">
        <f>GETPIVOTDATA("Sum of  R value (m^2-K/W)",'COMPONENT PIVOT REF'!$A$3,"System Name",Table4[[#This Row],[Base System]])</f>
        <v>#REF!</v>
      </c>
      <c r="K239" t="e">
        <f>GETPIVOTDATA("Sum of Total Mass per m^2 (kg)",'COMPONENT PIVOT REF'!$A$3,"System Name",Table4[[#This Row],[Base System]])</f>
        <v>#REF!</v>
      </c>
      <c r="M239">
        <f>_xlfn.XLOOKUP(Table4[[#This Row],[Ext Finish]],Master_Table4[System Name],Master_Table4[System Name (Short)],FALSE)</f>
        <v>0</v>
      </c>
      <c r="N239">
        <f>_xlfn.XLOOKUP(Table4[[#This Row],[Ext Finish]],Master_Table4[System Name],Master_Table4[Compatible Systems],FALSE)</f>
        <v>0</v>
      </c>
      <c r="O239" t="str">
        <f>IF(ISNUMBER(SEARCH(Table4[[#This Row],[MMC Method]],Table4[[#This Row],[Compatible Systems]])),"YES","NO")</f>
        <v>YES</v>
      </c>
      <c r="P239" t="e">
        <f>GETPIVOTDATA("Sum of A1-A3 Fossil kg CO2e/m^2 wall area",'COMPONENT PIVOT REF'!$I$3,"System Name",Table4[[#This Row],[Ext Finish]])</f>
        <v>#REF!</v>
      </c>
      <c r="Q239" t="e">
        <f>GETPIVOTDATA("Sum of  R value (m^2-K/W)",'COMPONENT PIVOT REF'!$I$3,"System Name",Table4[[#This Row],[Ext Finish]])</f>
        <v>#REF!</v>
      </c>
      <c r="R239" t="e">
        <f>GETPIVOTDATA("Sum of Total Mass per m^2 (kg)",'COMPONENT PIVOT REF'!$I$3,"System Name",Table4[[#This Row],[Ext Finish]])</f>
        <v>#REF!</v>
      </c>
      <c r="T239">
        <f>_xlfn.XLOOKUP(Table4[[#This Row],[Int Finish]],Master_Table6[System Name],Master_Table6[System Name (Short)],FALSE)</f>
        <v>0</v>
      </c>
      <c r="U239" t="e">
        <f>GETPIVOTDATA("Sum of A1-A3 Fossil kg CO2e/m^2 wall area",'COMPONENT PIVOT REF'!$P$3,"System Name",Table4[[#This Row],[Int Finish]])</f>
        <v>#REF!</v>
      </c>
      <c r="V239" t="e">
        <f>GETPIVOTDATA("Sum of  R value (m^2-K/W)",'COMPONENT PIVOT REF'!$P$3,"System Name",Table4[[#This Row],[Int Finish]])</f>
        <v>#REF!</v>
      </c>
      <c r="W239" t="e">
        <f>GETPIVOTDATA("Sum of Total Mass per m^2 (kg)",'COMPONENT PIVOT REF'!$P$3,"System Name",Table4[[#This Row],[Int Finish]])</f>
        <v>#REF!</v>
      </c>
      <c r="X239" t="e">
        <f>Table4[[#This Row],[Ext Finish GWP]]+Table4[[#This Row],[Base GWP]]+Table4[[#This Row],[Int Finish GWP]]</f>
        <v>#REF!</v>
      </c>
      <c r="Y239" t="e">
        <f>Table4[[#This Row],[Ext Finish R Value]]+Table4[[#This Row],[Base R Value]]+Table4[[#This Row],[Int Finish R Value]]</f>
        <v>#REF!</v>
      </c>
      <c r="Z239" t="e">
        <f>1/Table4[[#This Row],[Total R value]]</f>
        <v>#REF!</v>
      </c>
      <c r="AA239" t="e">
        <f>Table4[[#This Row],[Int Finish Mass]]+Table4[[#This Row],[Ext Finish Mass]]+Table4[[#This Row],[Base Mass]]</f>
        <v>#REF!</v>
      </c>
    </row>
    <row r="240" spans="3:27" x14ac:dyDescent="0.35">
      <c r="C240" t="str">
        <f>_xlfn.CONCAT(Table4[[#This Row],[System Name (Short)]],"_",Table4[[#This Row],[Ext Finish Name (Short)]],"_",Table4[[#This Row],[Int Finish Name (Short)]])</f>
        <v>0_0_0</v>
      </c>
      <c r="E240">
        <f>_xlfn.XLOOKUP(Table4[[#This Row],[Base System]],BASE_SYSTEM_TABLE[System Name],BASE_SYSTEM_TABLE[System Name (Short)],FALSE)</f>
        <v>0</v>
      </c>
      <c r="F240">
        <f>_xlfn.XLOOKUP(Table4[[#This Row],[Base System]],BASE_SYSTEM_TABLE[System Name],BASE_SYSTEM_TABLE[System Type],FALSE)</f>
        <v>0</v>
      </c>
      <c r="G240">
        <f>_xlfn.XLOOKUP(Table4[[#This Row],[Base System]],BASE_SYSTEM_TABLE[System Name],BASE_SYSTEM_TABLE[System Subtype],FALSE)</f>
        <v>0</v>
      </c>
      <c r="H240">
        <f>_xlfn.XLOOKUP(Table4[[#This Row],[Base System]],BASE_SYSTEM_TABLE[System Name],BASE_SYSTEM_TABLE[Construction Type (Framed or Planar)],FALSE)</f>
        <v>0</v>
      </c>
      <c r="I240" t="e">
        <f>GETPIVOTDATA("Sum of A1-A3 Fossil kg CO2e/m^2 wall area",'COMPONENT PIVOT REF'!$A$3,"System Name",Table4[[#This Row],[Base System]])</f>
        <v>#REF!</v>
      </c>
      <c r="J240" t="e">
        <f>GETPIVOTDATA("Sum of  R value (m^2-K/W)",'COMPONENT PIVOT REF'!$A$3,"System Name",Table4[[#This Row],[Base System]])</f>
        <v>#REF!</v>
      </c>
      <c r="K240" t="e">
        <f>GETPIVOTDATA("Sum of Total Mass per m^2 (kg)",'COMPONENT PIVOT REF'!$A$3,"System Name",Table4[[#This Row],[Base System]])</f>
        <v>#REF!</v>
      </c>
      <c r="M240">
        <f>_xlfn.XLOOKUP(Table4[[#This Row],[Ext Finish]],Master_Table4[System Name],Master_Table4[System Name (Short)],FALSE)</f>
        <v>0</v>
      </c>
      <c r="N240">
        <f>_xlfn.XLOOKUP(Table4[[#This Row],[Ext Finish]],Master_Table4[System Name],Master_Table4[Compatible Systems],FALSE)</f>
        <v>0</v>
      </c>
      <c r="O240" t="str">
        <f>IF(ISNUMBER(SEARCH(Table4[[#This Row],[MMC Method]],Table4[[#This Row],[Compatible Systems]])),"YES","NO")</f>
        <v>YES</v>
      </c>
      <c r="P240" t="e">
        <f>GETPIVOTDATA("Sum of A1-A3 Fossil kg CO2e/m^2 wall area",'COMPONENT PIVOT REF'!$I$3,"System Name",Table4[[#This Row],[Ext Finish]])</f>
        <v>#REF!</v>
      </c>
      <c r="Q240" t="e">
        <f>GETPIVOTDATA("Sum of  R value (m^2-K/W)",'COMPONENT PIVOT REF'!$I$3,"System Name",Table4[[#This Row],[Ext Finish]])</f>
        <v>#REF!</v>
      </c>
      <c r="R240" t="e">
        <f>GETPIVOTDATA("Sum of Total Mass per m^2 (kg)",'COMPONENT PIVOT REF'!$I$3,"System Name",Table4[[#This Row],[Ext Finish]])</f>
        <v>#REF!</v>
      </c>
      <c r="T240">
        <f>_xlfn.XLOOKUP(Table4[[#This Row],[Int Finish]],Master_Table6[System Name],Master_Table6[System Name (Short)],FALSE)</f>
        <v>0</v>
      </c>
      <c r="U240" t="e">
        <f>GETPIVOTDATA("Sum of A1-A3 Fossil kg CO2e/m^2 wall area",'COMPONENT PIVOT REF'!$P$3,"System Name",Table4[[#This Row],[Int Finish]])</f>
        <v>#REF!</v>
      </c>
      <c r="V240" t="e">
        <f>GETPIVOTDATA("Sum of  R value (m^2-K/W)",'COMPONENT PIVOT REF'!$P$3,"System Name",Table4[[#This Row],[Int Finish]])</f>
        <v>#REF!</v>
      </c>
      <c r="W240" t="e">
        <f>GETPIVOTDATA("Sum of Total Mass per m^2 (kg)",'COMPONENT PIVOT REF'!$P$3,"System Name",Table4[[#This Row],[Int Finish]])</f>
        <v>#REF!</v>
      </c>
      <c r="X240" t="e">
        <f>Table4[[#This Row],[Ext Finish GWP]]+Table4[[#This Row],[Base GWP]]+Table4[[#This Row],[Int Finish GWP]]</f>
        <v>#REF!</v>
      </c>
      <c r="Y240" t="e">
        <f>Table4[[#This Row],[Ext Finish R Value]]+Table4[[#This Row],[Base R Value]]+Table4[[#This Row],[Int Finish R Value]]</f>
        <v>#REF!</v>
      </c>
      <c r="Z240" t="e">
        <f>1/Table4[[#This Row],[Total R value]]</f>
        <v>#REF!</v>
      </c>
      <c r="AA240" t="e">
        <f>Table4[[#This Row],[Int Finish Mass]]+Table4[[#This Row],[Ext Finish Mass]]+Table4[[#This Row],[Base Mass]]</f>
        <v>#REF!</v>
      </c>
    </row>
    <row r="241" spans="3:27" x14ac:dyDescent="0.35">
      <c r="C241" t="str">
        <f>_xlfn.CONCAT(Table4[[#This Row],[System Name (Short)]],"_",Table4[[#This Row],[Ext Finish Name (Short)]],"_",Table4[[#This Row],[Int Finish Name (Short)]])</f>
        <v>0_0_0</v>
      </c>
      <c r="E241">
        <f>_xlfn.XLOOKUP(Table4[[#This Row],[Base System]],BASE_SYSTEM_TABLE[System Name],BASE_SYSTEM_TABLE[System Name (Short)],FALSE)</f>
        <v>0</v>
      </c>
      <c r="F241">
        <f>_xlfn.XLOOKUP(Table4[[#This Row],[Base System]],BASE_SYSTEM_TABLE[System Name],BASE_SYSTEM_TABLE[System Type],FALSE)</f>
        <v>0</v>
      </c>
      <c r="G241">
        <f>_xlfn.XLOOKUP(Table4[[#This Row],[Base System]],BASE_SYSTEM_TABLE[System Name],BASE_SYSTEM_TABLE[System Subtype],FALSE)</f>
        <v>0</v>
      </c>
      <c r="H241">
        <f>_xlfn.XLOOKUP(Table4[[#This Row],[Base System]],BASE_SYSTEM_TABLE[System Name],BASE_SYSTEM_TABLE[Construction Type (Framed or Planar)],FALSE)</f>
        <v>0</v>
      </c>
      <c r="I241" t="e">
        <f>GETPIVOTDATA("Sum of A1-A3 Fossil kg CO2e/m^2 wall area",'COMPONENT PIVOT REF'!$A$3,"System Name",Table4[[#This Row],[Base System]])</f>
        <v>#REF!</v>
      </c>
      <c r="J241" t="e">
        <f>GETPIVOTDATA("Sum of  R value (m^2-K/W)",'COMPONENT PIVOT REF'!$A$3,"System Name",Table4[[#This Row],[Base System]])</f>
        <v>#REF!</v>
      </c>
      <c r="K241" t="e">
        <f>GETPIVOTDATA("Sum of Total Mass per m^2 (kg)",'COMPONENT PIVOT REF'!$A$3,"System Name",Table4[[#This Row],[Base System]])</f>
        <v>#REF!</v>
      </c>
      <c r="M241">
        <f>_xlfn.XLOOKUP(Table4[[#This Row],[Ext Finish]],Master_Table4[System Name],Master_Table4[System Name (Short)],FALSE)</f>
        <v>0</v>
      </c>
      <c r="N241">
        <f>_xlfn.XLOOKUP(Table4[[#This Row],[Ext Finish]],Master_Table4[System Name],Master_Table4[Compatible Systems],FALSE)</f>
        <v>0</v>
      </c>
      <c r="O241" t="str">
        <f>IF(ISNUMBER(SEARCH(Table4[[#This Row],[MMC Method]],Table4[[#This Row],[Compatible Systems]])),"YES","NO")</f>
        <v>YES</v>
      </c>
      <c r="P241" t="e">
        <f>GETPIVOTDATA("Sum of A1-A3 Fossil kg CO2e/m^2 wall area",'COMPONENT PIVOT REF'!$I$3,"System Name",Table4[[#This Row],[Ext Finish]])</f>
        <v>#REF!</v>
      </c>
      <c r="Q241" t="e">
        <f>GETPIVOTDATA("Sum of  R value (m^2-K/W)",'COMPONENT PIVOT REF'!$I$3,"System Name",Table4[[#This Row],[Ext Finish]])</f>
        <v>#REF!</v>
      </c>
      <c r="R241" t="e">
        <f>GETPIVOTDATA("Sum of Total Mass per m^2 (kg)",'COMPONENT PIVOT REF'!$I$3,"System Name",Table4[[#This Row],[Ext Finish]])</f>
        <v>#REF!</v>
      </c>
      <c r="T241">
        <f>_xlfn.XLOOKUP(Table4[[#This Row],[Int Finish]],Master_Table6[System Name],Master_Table6[System Name (Short)],FALSE)</f>
        <v>0</v>
      </c>
      <c r="U241" t="e">
        <f>GETPIVOTDATA("Sum of A1-A3 Fossil kg CO2e/m^2 wall area",'COMPONENT PIVOT REF'!$P$3,"System Name",Table4[[#This Row],[Int Finish]])</f>
        <v>#REF!</v>
      </c>
      <c r="V241" t="e">
        <f>GETPIVOTDATA("Sum of  R value (m^2-K/W)",'COMPONENT PIVOT REF'!$P$3,"System Name",Table4[[#This Row],[Int Finish]])</f>
        <v>#REF!</v>
      </c>
      <c r="W241" t="e">
        <f>GETPIVOTDATA("Sum of Total Mass per m^2 (kg)",'COMPONENT PIVOT REF'!$P$3,"System Name",Table4[[#This Row],[Int Finish]])</f>
        <v>#REF!</v>
      </c>
      <c r="X241" t="e">
        <f>Table4[[#This Row],[Ext Finish GWP]]+Table4[[#This Row],[Base GWP]]+Table4[[#This Row],[Int Finish GWP]]</f>
        <v>#REF!</v>
      </c>
      <c r="Y241" t="e">
        <f>Table4[[#This Row],[Ext Finish R Value]]+Table4[[#This Row],[Base R Value]]+Table4[[#This Row],[Int Finish R Value]]</f>
        <v>#REF!</v>
      </c>
      <c r="Z241" t="e">
        <f>1/Table4[[#This Row],[Total R value]]</f>
        <v>#REF!</v>
      </c>
      <c r="AA241" t="e">
        <f>Table4[[#This Row],[Int Finish Mass]]+Table4[[#This Row],[Ext Finish Mass]]+Table4[[#This Row],[Base Mass]]</f>
        <v>#REF!</v>
      </c>
    </row>
    <row r="242" spans="3:27" x14ac:dyDescent="0.35">
      <c r="C242" t="str">
        <f>_xlfn.CONCAT(Table4[[#This Row],[System Name (Short)]],"_",Table4[[#This Row],[Ext Finish Name (Short)]],"_",Table4[[#This Row],[Int Finish Name (Short)]])</f>
        <v>0_0_0</v>
      </c>
      <c r="E242">
        <f>_xlfn.XLOOKUP(Table4[[#This Row],[Base System]],BASE_SYSTEM_TABLE[System Name],BASE_SYSTEM_TABLE[System Name (Short)],FALSE)</f>
        <v>0</v>
      </c>
      <c r="F242">
        <f>_xlfn.XLOOKUP(Table4[[#This Row],[Base System]],BASE_SYSTEM_TABLE[System Name],BASE_SYSTEM_TABLE[System Type],FALSE)</f>
        <v>0</v>
      </c>
      <c r="G242">
        <f>_xlfn.XLOOKUP(Table4[[#This Row],[Base System]],BASE_SYSTEM_TABLE[System Name],BASE_SYSTEM_TABLE[System Subtype],FALSE)</f>
        <v>0</v>
      </c>
      <c r="H242">
        <f>_xlfn.XLOOKUP(Table4[[#This Row],[Base System]],BASE_SYSTEM_TABLE[System Name],BASE_SYSTEM_TABLE[Construction Type (Framed or Planar)],FALSE)</f>
        <v>0</v>
      </c>
      <c r="I242" t="e">
        <f>GETPIVOTDATA("Sum of A1-A3 Fossil kg CO2e/m^2 wall area",'COMPONENT PIVOT REF'!$A$3,"System Name",Table4[[#This Row],[Base System]])</f>
        <v>#REF!</v>
      </c>
      <c r="J242" t="e">
        <f>GETPIVOTDATA("Sum of  R value (m^2-K/W)",'COMPONENT PIVOT REF'!$A$3,"System Name",Table4[[#This Row],[Base System]])</f>
        <v>#REF!</v>
      </c>
      <c r="K242" t="e">
        <f>GETPIVOTDATA("Sum of Total Mass per m^2 (kg)",'COMPONENT PIVOT REF'!$A$3,"System Name",Table4[[#This Row],[Base System]])</f>
        <v>#REF!</v>
      </c>
      <c r="M242">
        <f>_xlfn.XLOOKUP(Table4[[#This Row],[Ext Finish]],Master_Table4[System Name],Master_Table4[System Name (Short)],FALSE)</f>
        <v>0</v>
      </c>
      <c r="N242">
        <f>_xlfn.XLOOKUP(Table4[[#This Row],[Ext Finish]],Master_Table4[System Name],Master_Table4[Compatible Systems],FALSE)</f>
        <v>0</v>
      </c>
      <c r="O242" t="str">
        <f>IF(ISNUMBER(SEARCH(Table4[[#This Row],[MMC Method]],Table4[[#This Row],[Compatible Systems]])),"YES","NO")</f>
        <v>YES</v>
      </c>
      <c r="P242" t="e">
        <f>GETPIVOTDATA("Sum of A1-A3 Fossil kg CO2e/m^2 wall area",'COMPONENT PIVOT REF'!$I$3,"System Name",Table4[[#This Row],[Ext Finish]])</f>
        <v>#REF!</v>
      </c>
      <c r="Q242" t="e">
        <f>GETPIVOTDATA("Sum of  R value (m^2-K/W)",'COMPONENT PIVOT REF'!$I$3,"System Name",Table4[[#This Row],[Ext Finish]])</f>
        <v>#REF!</v>
      </c>
      <c r="R242" t="e">
        <f>GETPIVOTDATA("Sum of Total Mass per m^2 (kg)",'COMPONENT PIVOT REF'!$I$3,"System Name",Table4[[#This Row],[Ext Finish]])</f>
        <v>#REF!</v>
      </c>
      <c r="T242">
        <f>_xlfn.XLOOKUP(Table4[[#This Row],[Int Finish]],Master_Table6[System Name],Master_Table6[System Name (Short)],FALSE)</f>
        <v>0</v>
      </c>
      <c r="U242" t="e">
        <f>GETPIVOTDATA("Sum of A1-A3 Fossil kg CO2e/m^2 wall area",'COMPONENT PIVOT REF'!$P$3,"System Name",Table4[[#This Row],[Int Finish]])</f>
        <v>#REF!</v>
      </c>
      <c r="V242" t="e">
        <f>GETPIVOTDATA("Sum of  R value (m^2-K/W)",'COMPONENT PIVOT REF'!$P$3,"System Name",Table4[[#This Row],[Int Finish]])</f>
        <v>#REF!</v>
      </c>
      <c r="W242" t="e">
        <f>GETPIVOTDATA("Sum of Total Mass per m^2 (kg)",'COMPONENT PIVOT REF'!$P$3,"System Name",Table4[[#This Row],[Int Finish]])</f>
        <v>#REF!</v>
      </c>
      <c r="X242" t="e">
        <f>Table4[[#This Row],[Ext Finish GWP]]+Table4[[#This Row],[Base GWP]]+Table4[[#This Row],[Int Finish GWP]]</f>
        <v>#REF!</v>
      </c>
      <c r="Y242" t="e">
        <f>Table4[[#This Row],[Ext Finish R Value]]+Table4[[#This Row],[Base R Value]]+Table4[[#This Row],[Int Finish R Value]]</f>
        <v>#REF!</v>
      </c>
      <c r="Z242" t="e">
        <f>1/Table4[[#This Row],[Total R value]]</f>
        <v>#REF!</v>
      </c>
      <c r="AA242" t="e">
        <f>Table4[[#This Row],[Int Finish Mass]]+Table4[[#This Row],[Ext Finish Mass]]+Table4[[#This Row],[Base Mass]]</f>
        <v>#REF!</v>
      </c>
    </row>
    <row r="243" spans="3:27" x14ac:dyDescent="0.35">
      <c r="C243" t="str">
        <f>_xlfn.CONCAT(Table4[[#This Row],[System Name (Short)]],"_",Table4[[#This Row],[Ext Finish Name (Short)]],"_",Table4[[#This Row],[Int Finish Name (Short)]])</f>
        <v>0_0_0</v>
      </c>
      <c r="E243">
        <f>_xlfn.XLOOKUP(Table4[[#This Row],[Base System]],BASE_SYSTEM_TABLE[System Name],BASE_SYSTEM_TABLE[System Name (Short)],FALSE)</f>
        <v>0</v>
      </c>
      <c r="F243">
        <f>_xlfn.XLOOKUP(Table4[[#This Row],[Base System]],BASE_SYSTEM_TABLE[System Name],BASE_SYSTEM_TABLE[System Type],FALSE)</f>
        <v>0</v>
      </c>
      <c r="G243">
        <f>_xlfn.XLOOKUP(Table4[[#This Row],[Base System]],BASE_SYSTEM_TABLE[System Name],BASE_SYSTEM_TABLE[System Subtype],FALSE)</f>
        <v>0</v>
      </c>
      <c r="H243">
        <f>_xlfn.XLOOKUP(Table4[[#This Row],[Base System]],BASE_SYSTEM_TABLE[System Name],BASE_SYSTEM_TABLE[Construction Type (Framed or Planar)],FALSE)</f>
        <v>0</v>
      </c>
      <c r="I243" t="e">
        <f>GETPIVOTDATA("Sum of A1-A3 Fossil kg CO2e/m^2 wall area",'COMPONENT PIVOT REF'!$A$3,"System Name",Table4[[#This Row],[Base System]])</f>
        <v>#REF!</v>
      </c>
      <c r="J243" t="e">
        <f>GETPIVOTDATA("Sum of  R value (m^2-K/W)",'COMPONENT PIVOT REF'!$A$3,"System Name",Table4[[#This Row],[Base System]])</f>
        <v>#REF!</v>
      </c>
      <c r="K243" t="e">
        <f>GETPIVOTDATA("Sum of Total Mass per m^2 (kg)",'COMPONENT PIVOT REF'!$A$3,"System Name",Table4[[#This Row],[Base System]])</f>
        <v>#REF!</v>
      </c>
      <c r="M243">
        <f>_xlfn.XLOOKUP(Table4[[#This Row],[Ext Finish]],Master_Table4[System Name],Master_Table4[System Name (Short)],FALSE)</f>
        <v>0</v>
      </c>
      <c r="N243">
        <f>_xlfn.XLOOKUP(Table4[[#This Row],[Ext Finish]],Master_Table4[System Name],Master_Table4[Compatible Systems],FALSE)</f>
        <v>0</v>
      </c>
      <c r="O243" t="str">
        <f>IF(ISNUMBER(SEARCH(Table4[[#This Row],[MMC Method]],Table4[[#This Row],[Compatible Systems]])),"YES","NO")</f>
        <v>YES</v>
      </c>
      <c r="P243" t="e">
        <f>GETPIVOTDATA("Sum of A1-A3 Fossil kg CO2e/m^2 wall area",'COMPONENT PIVOT REF'!$I$3,"System Name",Table4[[#This Row],[Ext Finish]])</f>
        <v>#REF!</v>
      </c>
      <c r="Q243" t="e">
        <f>GETPIVOTDATA("Sum of  R value (m^2-K/W)",'COMPONENT PIVOT REF'!$I$3,"System Name",Table4[[#This Row],[Ext Finish]])</f>
        <v>#REF!</v>
      </c>
      <c r="R243" t="e">
        <f>GETPIVOTDATA("Sum of Total Mass per m^2 (kg)",'COMPONENT PIVOT REF'!$I$3,"System Name",Table4[[#This Row],[Ext Finish]])</f>
        <v>#REF!</v>
      </c>
      <c r="T243">
        <f>_xlfn.XLOOKUP(Table4[[#This Row],[Int Finish]],Master_Table6[System Name],Master_Table6[System Name (Short)],FALSE)</f>
        <v>0</v>
      </c>
      <c r="U243" t="e">
        <f>GETPIVOTDATA("Sum of A1-A3 Fossil kg CO2e/m^2 wall area",'COMPONENT PIVOT REF'!$P$3,"System Name",Table4[[#This Row],[Int Finish]])</f>
        <v>#REF!</v>
      </c>
      <c r="V243" t="e">
        <f>GETPIVOTDATA("Sum of  R value (m^2-K/W)",'COMPONENT PIVOT REF'!$P$3,"System Name",Table4[[#This Row],[Int Finish]])</f>
        <v>#REF!</v>
      </c>
      <c r="W243" t="e">
        <f>GETPIVOTDATA("Sum of Total Mass per m^2 (kg)",'COMPONENT PIVOT REF'!$P$3,"System Name",Table4[[#This Row],[Int Finish]])</f>
        <v>#REF!</v>
      </c>
      <c r="X243" t="e">
        <f>Table4[[#This Row],[Ext Finish GWP]]+Table4[[#This Row],[Base GWP]]+Table4[[#This Row],[Int Finish GWP]]</f>
        <v>#REF!</v>
      </c>
      <c r="Y243" t="e">
        <f>Table4[[#This Row],[Ext Finish R Value]]+Table4[[#This Row],[Base R Value]]+Table4[[#This Row],[Int Finish R Value]]</f>
        <v>#REF!</v>
      </c>
      <c r="Z243" t="e">
        <f>1/Table4[[#This Row],[Total R value]]</f>
        <v>#REF!</v>
      </c>
      <c r="AA243" t="e">
        <f>Table4[[#This Row],[Int Finish Mass]]+Table4[[#This Row],[Ext Finish Mass]]+Table4[[#This Row],[Base Mass]]</f>
        <v>#REF!</v>
      </c>
    </row>
    <row r="244" spans="3:27" x14ac:dyDescent="0.35">
      <c r="C244" t="str">
        <f>_xlfn.CONCAT(Table4[[#This Row],[System Name (Short)]],"_",Table4[[#This Row],[Ext Finish Name (Short)]],"_",Table4[[#This Row],[Int Finish Name (Short)]])</f>
        <v>0_0_0</v>
      </c>
      <c r="E244">
        <f>_xlfn.XLOOKUP(Table4[[#This Row],[Base System]],BASE_SYSTEM_TABLE[System Name],BASE_SYSTEM_TABLE[System Name (Short)],FALSE)</f>
        <v>0</v>
      </c>
      <c r="F244">
        <f>_xlfn.XLOOKUP(Table4[[#This Row],[Base System]],BASE_SYSTEM_TABLE[System Name],BASE_SYSTEM_TABLE[System Type],FALSE)</f>
        <v>0</v>
      </c>
      <c r="G244">
        <f>_xlfn.XLOOKUP(Table4[[#This Row],[Base System]],BASE_SYSTEM_TABLE[System Name],BASE_SYSTEM_TABLE[System Subtype],FALSE)</f>
        <v>0</v>
      </c>
      <c r="H244">
        <f>_xlfn.XLOOKUP(Table4[[#This Row],[Base System]],BASE_SYSTEM_TABLE[System Name],BASE_SYSTEM_TABLE[Construction Type (Framed or Planar)],FALSE)</f>
        <v>0</v>
      </c>
      <c r="I244" t="e">
        <f>GETPIVOTDATA("Sum of A1-A3 Fossil kg CO2e/m^2 wall area",'COMPONENT PIVOT REF'!$A$3,"System Name",Table4[[#This Row],[Base System]])</f>
        <v>#REF!</v>
      </c>
      <c r="J244" t="e">
        <f>GETPIVOTDATA("Sum of  R value (m^2-K/W)",'COMPONENT PIVOT REF'!$A$3,"System Name",Table4[[#This Row],[Base System]])</f>
        <v>#REF!</v>
      </c>
      <c r="K244" t="e">
        <f>GETPIVOTDATA("Sum of Total Mass per m^2 (kg)",'COMPONENT PIVOT REF'!$A$3,"System Name",Table4[[#This Row],[Base System]])</f>
        <v>#REF!</v>
      </c>
      <c r="M244">
        <f>_xlfn.XLOOKUP(Table4[[#This Row],[Ext Finish]],Master_Table4[System Name],Master_Table4[System Name (Short)],FALSE)</f>
        <v>0</v>
      </c>
      <c r="N244">
        <f>_xlfn.XLOOKUP(Table4[[#This Row],[Ext Finish]],Master_Table4[System Name],Master_Table4[Compatible Systems],FALSE)</f>
        <v>0</v>
      </c>
      <c r="O244" t="str">
        <f>IF(ISNUMBER(SEARCH(Table4[[#This Row],[MMC Method]],Table4[[#This Row],[Compatible Systems]])),"YES","NO")</f>
        <v>YES</v>
      </c>
      <c r="P244" t="e">
        <f>GETPIVOTDATA("Sum of A1-A3 Fossil kg CO2e/m^2 wall area",'COMPONENT PIVOT REF'!$I$3,"System Name",Table4[[#This Row],[Ext Finish]])</f>
        <v>#REF!</v>
      </c>
      <c r="Q244" t="e">
        <f>GETPIVOTDATA("Sum of  R value (m^2-K/W)",'COMPONENT PIVOT REF'!$I$3,"System Name",Table4[[#This Row],[Ext Finish]])</f>
        <v>#REF!</v>
      </c>
      <c r="R244" t="e">
        <f>GETPIVOTDATA("Sum of Total Mass per m^2 (kg)",'COMPONENT PIVOT REF'!$I$3,"System Name",Table4[[#This Row],[Ext Finish]])</f>
        <v>#REF!</v>
      </c>
      <c r="T244">
        <f>_xlfn.XLOOKUP(Table4[[#This Row],[Int Finish]],Master_Table6[System Name],Master_Table6[System Name (Short)],FALSE)</f>
        <v>0</v>
      </c>
      <c r="U244" t="e">
        <f>GETPIVOTDATA("Sum of A1-A3 Fossil kg CO2e/m^2 wall area",'COMPONENT PIVOT REF'!$P$3,"System Name",Table4[[#This Row],[Int Finish]])</f>
        <v>#REF!</v>
      </c>
      <c r="V244" t="e">
        <f>GETPIVOTDATA("Sum of  R value (m^2-K/W)",'COMPONENT PIVOT REF'!$P$3,"System Name",Table4[[#This Row],[Int Finish]])</f>
        <v>#REF!</v>
      </c>
      <c r="W244" t="e">
        <f>GETPIVOTDATA("Sum of Total Mass per m^2 (kg)",'COMPONENT PIVOT REF'!$P$3,"System Name",Table4[[#This Row],[Int Finish]])</f>
        <v>#REF!</v>
      </c>
      <c r="X244" t="e">
        <f>Table4[[#This Row],[Ext Finish GWP]]+Table4[[#This Row],[Base GWP]]+Table4[[#This Row],[Int Finish GWP]]</f>
        <v>#REF!</v>
      </c>
      <c r="Y244" t="e">
        <f>Table4[[#This Row],[Ext Finish R Value]]+Table4[[#This Row],[Base R Value]]+Table4[[#This Row],[Int Finish R Value]]</f>
        <v>#REF!</v>
      </c>
      <c r="Z244" t="e">
        <f>1/Table4[[#This Row],[Total R value]]</f>
        <v>#REF!</v>
      </c>
      <c r="AA244" t="e">
        <f>Table4[[#This Row],[Int Finish Mass]]+Table4[[#This Row],[Ext Finish Mass]]+Table4[[#This Row],[Base Mass]]</f>
        <v>#REF!</v>
      </c>
    </row>
    <row r="245" spans="3:27" x14ac:dyDescent="0.35">
      <c r="C245" t="str">
        <f>_xlfn.CONCAT(Table4[[#This Row],[System Name (Short)]],"_",Table4[[#This Row],[Ext Finish Name (Short)]],"_",Table4[[#This Row],[Int Finish Name (Short)]])</f>
        <v>0_0_0</v>
      </c>
      <c r="E245">
        <f>_xlfn.XLOOKUP(Table4[[#This Row],[Base System]],BASE_SYSTEM_TABLE[System Name],BASE_SYSTEM_TABLE[System Name (Short)],FALSE)</f>
        <v>0</v>
      </c>
      <c r="F245">
        <f>_xlfn.XLOOKUP(Table4[[#This Row],[Base System]],BASE_SYSTEM_TABLE[System Name],BASE_SYSTEM_TABLE[System Type],FALSE)</f>
        <v>0</v>
      </c>
      <c r="G245">
        <f>_xlfn.XLOOKUP(Table4[[#This Row],[Base System]],BASE_SYSTEM_TABLE[System Name],BASE_SYSTEM_TABLE[System Subtype],FALSE)</f>
        <v>0</v>
      </c>
      <c r="H245">
        <f>_xlfn.XLOOKUP(Table4[[#This Row],[Base System]],BASE_SYSTEM_TABLE[System Name],BASE_SYSTEM_TABLE[Construction Type (Framed or Planar)],FALSE)</f>
        <v>0</v>
      </c>
      <c r="I245" t="e">
        <f>GETPIVOTDATA("Sum of A1-A3 Fossil kg CO2e/m^2 wall area",'COMPONENT PIVOT REF'!$A$3,"System Name",Table4[[#This Row],[Base System]])</f>
        <v>#REF!</v>
      </c>
      <c r="J245" t="e">
        <f>GETPIVOTDATA("Sum of  R value (m^2-K/W)",'COMPONENT PIVOT REF'!$A$3,"System Name",Table4[[#This Row],[Base System]])</f>
        <v>#REF!</v>
      </c>
      <c r="K245" t="e">
        <f>GETPIVOTDATA("Sum of Total Mass per m^2 (kg)",'COMPONENT PIVOT REF'!$A$3,"System Name",Table4[[#This Row],[Base System]])</f>
        <v>#REF!</v>
      </c>
      <c r="M245">
        <f>_xlfn.XLOOKUP(Table4[[#This Row],[Ext Finish]],Master_Table4[System Name],Master_Table4[System Name (Short)],FALSE)</f>
        <v>0</v>
      </c>
      <c r="N245">
        <f>_xlfn.XLOOKUP(Table4[[#This Row],[Ext Finish]],Master_Table4[System Name],Master_Table4[Compatible Systems],FALSE)</f>
        <v>0</v>
      </c>
      <c r="O245" t="str">
        <f>IF(ISNUMBER(SEARCH(Table4[[#This Row],[MMC Method]],Table4[[#This Row],[Compatible Systems]])),"YES","NO")</f>
        <v>YES</v>
      </c>
      <c r="P245" t="e">
        <f>GETPIVOTDATA("Sum of A1-A3 Fossil kg CO2e/m^2 wall area",'COMPONENT PIVOT REF'!$I$3,"System Name",Table4[[#This Row],[Ext Finish]])</f>
        <v>#REF!</v>
      </c>
      <c r="Q245" t="e">
        <f>GETPIVOTDATA("Sum of  R value (m^2-K/W)",'COMPONENT PIVOT REF'!$I$3,"System Name",Table4[[#This Row],[Ext Finish]])</f>
        <v>#REF!</v>
      </c>
      <c r="R245" t="e">
        <f>GETPIVOTDATA("Sum of Total Mass per m^2 (kg)",'COMPONENT PIVOT REF'!$I$3,"System Name",Table4[[#This Row],[Ext Finish]])</f>
        <v>#REF!</v>
      </c>
      <c r="T245">
        <f>_xlfn.XLOOKUP(Table4[[#This Row],[Int Finish]],Master_Table6[System Name],Master_Table6[System Name (Short)],FALSE)</f>
        <v>0</v>
      </c>
      <c r="U245" t="e">
        <f>GETPIVOTDATA("Sum of A1-A3 Fossil kg CO2e/m^2 wall area",'COMPONENT PIVOT REF'!$P$3,"System Name",Table4[[#This Row],[Int Finish]])</f>
        <v>#REF!</v>
      </c>
      <c r="V245" t="e">
        <f>GETPIVOTDATA("Sum of  R value (m^2-K/W)",'COMPONENT PIVOT REF'!$P$3,"System Name",Table4[[#This Row],[Int Finish]])</f>
        <v>#REF!</v>
      </c>
      <c r="W245" t="e">
        <f>GETPIVOTDATA("Sum of Total Mass per m^2 (kg)",'COMPONENT PIVOT REF'!$P$3,"System Name",Table4[[#This Row],[Int Finish]])</f>
        <v>#REF!</v>
      </c>
      <c r="X245" t="e">
        <f>Table4[[#This Row],[Ext Finish GWP]]+Table4[[#This Row],[Base GWP]]+Table4[[#This Row],[Int Finish GWP]]</f>
        <v>#REF!</v>
      </c>
      <c r="Y245" t="e">
        <f>Table4[[#This Row],[Ext Finish R Value]]+Table4[[#This Row],[Base R Value]]+Table4[[#This Row],[Int Finish R Value]]</f>
        <v>#REF!</v>
      </c>
      <c r="Z245" t="e">
        <f>1/Table4[[#This Row],[Total R value]]</f>
        <v>#REF!</v>
      </c>
      <c r="AA245" t="e">
        <f>Table4[[#This Row],[Int Finish Mass]]+Table4[[#This Row],[Ext Finish Mass]]+Table4[[#This Row],[Base Mass]]</f>
        <v>#REF!</v>
      </c>
    </row>
    <row r="246" spans="3:27" x14ac:dyDescent="0.35">
      <c r="C246" t="str">
        <f>_xlfn.CONCAT(Table4[[#This Row],[System Name (Short)]],"_",Table4[[#This Row],[Ext Finish Name (Short)]],"_",Table4[[#This Row],[Int Finish Name (Short)]])</f>
        <v>0_0_0</v>
      </c>
      <c r="E246">
        <f>_xlfn.XLOOKUP(Table4[[#This Row],[Base System]],BASE_SYSTEM_TABLE[System Name],BASE_SYSTEM_TABLE[System Name (Short)],FALSE)</f>
        <v>0</v>
      </c>
      <c r="F246">
        <f>_xlfn.XLOOKUP(Table4[[#This Row],[Base System]],BASE_SYSTEM_TABLE[System Name],BASE_SYSTEM_TABLE[System Type],FALSE)</f>
        <v>0</v>
      </c>
      <c r="G246">
        <f>_xlfn.XLOOKUP(Table4[[#This Row],[Base System]],BASE_SYSTEM_TABLE[System Name],BASE_SYSTEM_TABLE[System Subtype],FALSE)</f>
        <v>0</v>
      </c>
      <c r="H246">
        <f>_xlfn.XLOOKUP(Table4[[#This Row],[Base System]],BASE_SYSTEM_TABLE[System Name],BASE_SYSTEM_TABLE[Construction Type (Framed or Planar)],FALSE)</f>
        <v>0</v>
      </c>
      <c r="I246" t="e">
        <f>GETPIVOTDATA("Sum of A1-A3 Fossil kg CO2e/m^2 wall area",'COMPONENT PIVOT REF'!$A$3,"System Name",Table4[[#This Row],[Base System]])</f>
        <v>#REF!</v>
      </c>
      <c r="J246" t="e">
        <f>GETPIVOTDATA("Sum of  R value (m^2-K/W)",'COMPONENT PIVOT REF'!$A$3,"System Name",Table4[[#This Row],[Base System]])</f>
        <v>#REF!</v>
      </c>
      <c r="K246" t="e">
        <f>GETPIVOTDATA("Sum of Total Mass per m^2 (kg)",'COMPONENT PIVOT REF'!$A$3,"System Name",Table4[[#This Row],[Base System]])</f>
        <v>#REF!</v>
      </c>
      <c r="M246">
        <f>_xlfn.XLOOKUP(Table4[[#This Row],[Ext Finish]],Master_Table4[System Name],Master_Table4[System Name (Short)],FALSE)</f>
        <v>0</v>
      </c>
      <c r="N246">
        <f>_xlfn.XLOOKUP(Table4[[#This Row],[Ext Finish]],Master_Table4[System Name],Master_Table4[Compatible Systems],FALSE)</f>
        <v>0</v>
      </c>
      <c r="O246" t="str">
        <f>IF(ISNUMBER(SEARCH(Table4[[#This Row],[MMC Method]],Table4[[#This Row],[Compatible Systems]])),"YES","NO")</f>
        <v>YES</v>
      </c>
      <c r="P246" t="e">
        <f>GETPIVOTDATA("Sum of A1-A3 Fossil kg CO2e/m^2 wall area",'COMPONENT PIVOT REF'!$I$3,"System Name",Table4[[#This Row],[Ext Finish]])</f>
        <v>#REF!</v>
      </c>
      <c r="Q246" t="e">
        <f>GETPIVOTDATA("Sum of  R value (m^2-K/W)",'COMPONENT PIVOT REF'!$I$3,"System Name",Table4[[#This Row],[Ext Finish]])</f>
        <v>#REF!</v>
      </c>
      <c r="R246" t="e">
        <f>GETPIVOTDATA("Sum of Total Mass per m^2 (kg)",'COMPONENT PIVOT REF'!$I$3,"System Name",Table4[[#This Row],[Ext Finish]])</f>
        <v>#REF!</v>
      </c>
      <c r="T246">
        <f>_xlfn.XLOOKUP(Table4[[#This Row],[Int Finish]],Master_Table6[System Name],Master_Table6[System Name (Short)],FALSE)</f>
        <v>0</v>
      </c>
      <c r="U246" t="e">
        <f>GETPIVOTDATA("Sum of A1-A3 Fossil kg CO2e/m^2 wall area",'COMPONENT PIVOT REF'!$P$3,"System Name",Table4[[#This Row],[Int Finish]])</f>
        <v>#REF!</v>
      </c>
      <c r="V246" t="e">
        <f>GETPIVOTDATA("Sum of  R value (m^2-K/W)",'COMPONENT PIVOT REF'!$P$3,"System Name",Table4[[#This Row],[Int Finish]])</f>
        <v>#REF!</v>
      </c>
      <c r="W246" t="e">
        <f>GETPIVOTDATA("Sum of Total Mass per m^2 (kg)",'COMPONENT PIVOT REF'!$P$3,"System Name",Table4[[#This Row],[Int Finish]])</f>
        <v>#REF!</v>
      </c>
      <c r="X246" t="e">
        <f>Table4[[#This Row],[Ext Finish GWP]]+Table4[[#This Row],[Base GWP]]+Table4[[#This Row],[Int Finish GWP]]</f>
        <v>#REF!</v>
      </c>
      <c r="Y246" t="e">
        <f>Table4[[#This Row],[Ext Finish R Value]]+Table4[[#This Row],[Base R Value]]+Table4[[#This Row],[Int Finish R Value]]</f>
        <v>#REF!</v>
      </c>
      <c r="Z246" t="e">
        <f>1/Table4[[#This Row],[Total R value]]</f>
        <v>#REF!</v>
      </c>
      <c r="AA246" t="e">
        <f>Table4[[#This Row],[Int Finish Mass]]+Table4[[#This Row],[Ext Finish Mass]]+Table4[[#This Row],[Base Mass]]</f>
        <v>#REF!</v>
      </c>
    </row>
    <row r="247" spans="3:27" x14ac:dyDescent="0.35">
      <c r="C247" t="str">
        <f>_xlfn.CONCAT(Table4[[#This Row],[System Name (Short)]],"_",Table4[[#This Row],[Ext Finish Name (Short)]],"_",Table4[[#This Row],[Int Finish Name (Short)]])</f>
        <v>0_0_0</v>
      </c>
      <c r="E247">
        <f>_xlfn.XLOOKUP(Table4[[#This Row],[Base System]],BASE_SYSTEM_TABLE[System Name],BASE_SYSTEM_TABLE[System Name (Short)],FALSE)</f>
        <v>0</v>
      </c>
      <c r="F247">
        <f>_xlfn.XLOOKUP(Table4[[#This Row],[Base System]],BASE_SYSTEM_TABLE[System Name],BASE_SYSTEM_TABLE[System Type],FALSE)</f>
        <v>0</v>
      </c>
      <c r="G247">
        <f>_xlfn.XLOOKUP(Table4[[#This Row],[Base System]],BASE_SYSTEM_TABLE[System Name],BASE_SYSTEM_TABLE[System Subtype],FALSE)</f>
        <v>0</v>
      </c>
      <c r="H247">
        <f>_xlfn.XLOOKUP(Table4[[#This Row],[Base System]],BASE_SYSTEM_TABLE[System Name],BASE_SYSTEM_TABLE[Construction Type (Framed or Planar)],FALSE)</f>
        <v>0</v>
      </c>
      <c r="I247" t="e">
        <f>GETPIVOTDATA("Sum of A1-A3 Fossil kg CO2e/m^2 wall area",'COMPONENT PIVOT REF'!$A$3,"System Name",Table4[[#This Row],[Base System]])</f>
        <v>#REF!</v>
      </c>
      <c r="J247" t="e">
        <f>GETPIVOTDATA("Sum of  R value (m^2-K/W)",'COMPONENT PIVOT REF'!$A$3,"System Name",Table4[[#This Row],[Base System]])</f>
        <v>#REF!</v>
      </c>
      <c r="K247" t="e">
        <f>GETPIVOTDATA("Sum of Total Mass per m^2 (kg)",'COMPONENT PIVOT REF'!$A$3,"System Name",Table4[[#This Row],[Base System]])</f>
        <v>#REF!</v>
      </c>
      <c r="M247">
        <f>_xlfn.XLOOKUP(Table4[[#This Row],[Ext Finish]],Master_Table4[System Name],Master_Table4[System Name (Short)],FALSE)</f>
        <v>0</v>
      </c>
      <c r="N247">
        <f>_xlfn.XLOOKUP(Table4[[#This Row],[Ext Finish]],Master_Table4[System Name],Master_Table4[Compatible Systems],FALSE)</f>
        <v>0</v>
      </c>
      <c r="O247" t="str">
        <f>IF(ISNUMBER(SEARCH(Table4[[#This Row],[MMC Method]],Table4[[#This Row],[Compatible Systems]])),"YES","NO")</f>
        <v>YES</v>
      </c>
      <c r="P247" t="e">
        <f>GETPIVOTDATA("Sum of A1-A3 Fossil kg CO2e/m^2 wall area",'COMPONENT PIVOT REF'!$I$3,"System Name",Table4[[#This Row],[Ext Finish]])</f>
        <v>#REF!</v>
      </c>
      <c r="Q247" t="e">
        <f>GETPIVOTDATA("Sum of  R value (m^2-K/W)",'COMPONENT PIVOT REF'!$I$3,"System Name",Table4[[#This Row],[Ext Finish]])</f>
        <v>#REF!</v>
      </c>
      <c r="R247" t="e">
        <f>GETPIVOTDATA("Sum of Total Mass per m^2 (kg)",'COMPONENT PIVOT REF'!$I$3,"System Name",Table4[[#This Row],[Ext Finish]])</f>
        <v>#REF!</v>
      </c>
      <c r="T247">
        <f>_xlfn.XLOOKUP(Table4[[#This Row],[Int Finish]],Master_Table6[System Name],Master_Table6[System Name (Short)],FALSE)</f>
        <v>0</v>
      </c>
      <c r="U247" t="e">
        <f>GETPIVOTDATA("Sum of A1-A3 Fossil kg CO2e/m^2 wall area",'COMPONENT PIVOT REF'!$P$3,"System Name",Table4[[#This Row],[Int Finish]])</f>
        <v>#REF!</v>
      </c>
      <c r="V247" t="e">
        <f>GETPIVOTDATA("Sum of  R value (m^2-K/W)",'COMPONENT PIVOT REF'!$P$3,"System Name",Table4[[#This Row],[Int Finish]])</f>
        <v>#REF!</v>
      </c>
      <c r="W247" t="e">
        <f>GETPIVOTDATA("Sum of Total Mass per m^2 (kg)",'COMPONENT PIVOT REF'!$P$3,"System Name",Table4[[#This Row],[Int Finish]])</f>
        <v>#REF!</v>
      </c>
      <c r="X247" t="e">
        <f>Table4[[#This Row],[Ext Finish GWP]]+Table4[[#This Row],[Base GWP]]+Table4[[#This Row],[Int Finish GWP]]</f>
        <v>#REF!</v>
      </c>
      <c r="Y247" t="e">
        <f>Table4[[#This Row],[Ext Finish R Value]]+Table4[[#This Row],[Base R Value]]+Table4[[#This Row],[Int Finish R Value]]</f>
        <v>#REF!</v>
      </c>
      <c r="Z247" t="e">
        <f>1/Table4[[#This Row],[Total R value]]</f>
        <v>#REF!</v>
      </c>
      <c r="AA247" t="e">
        <f>Table4[[#This Row],[Int Finish Mass]]+Table4[[#This Row],[Ext Finish Mass]]+Table4[[#This Row],[Base Mass]]</f>
        <v>#REF!</v>
      </c>
    </row>
    <row r="248" spans="3:27" x14ac:dyDescent="0.35">
      <c r="C248" t="str">
        <f>_xlfn.CONCAT(Table4[[#This Row],[System Name (Short)]],"_",Table4[[#This Row],[Ext Finish Name (Short)]],"_",Table4[[#This Row],[Int Finish Name (Short)]])</f>
        <v>0_0_0</v>
      </c>
      <c r="E248">
        <f>_xlfn.XLOOKUP(Table4[[#This Row],[Base System]],BASE_SYSTEM_TABLE[System Name],BASE_SYSTEM_TABLE[System Name (Short)],FALSE)</f>
        <v>0</v>
      </c>
      <c r="F248">
        <f>_xlfn.XLOOKUP(Table4[[#This Row],[Base System]],BASE_SYSTEM_TABLE[System Name],BASE_SYSTEM_TABLE[System Type],FALSE)</f>
        <v>0</v>
      </c>
      <c r="G248">
        <f>_xlfn.XLOOKUP(Table4[[#This Row],[Base System]],BASE_SYSTEM_TABLE[System Name],BASE_SYSTEM_TABLE[System Subtype],FALSE)</f>
        <v>0</v>
      </c>
      <c r="H248">
        <f>_xlfn.XLOOKUP(Table4[[#This Row],[Base System]],BASE_SYSTEM_TABLE[System Name],BASE_SYSTEM_TABLE[Construction Type (Framed or Planar)],FALSE)</f>
        <v>0</v>
      </c>
      <c r="I248" t="e">
        <f>GETPIVOTDATA("Sum of A1-A3 Fossil kg CO2e/m^2 wall area",'COMPONENT PIVOT REF'!$A$3,"System Name",Table4[[#This Row],[Base System]])</f>
        <v>#REF!</v>
      </c>
      <c r="J248" t="e">
        <f>GETPIVOTDATA("Sum of  R value (m^2-K/W)",'COMPONENT PIVOT REF'!$A$3,"System Name",Table4[[#This Row],[Base System]])</f>
        <v>#REF!</v>
      </c>
      <c r="K248" t="e">
        <f>GETPIVOTDATA("Sum of Total Mass per m^2 (kg)",'COMPONENT PIVOT REF'!$A$3,"System Name",Table4[[#This Row],[Base System]])</f>
        <v>#REF!</v>
      </c>
      <c r="M248">
        <f>_xlfn.XLOOKUP(Table4[[#This Row],[Ext Finish]],Master_Table4[System Name],Master_Table4[System Name (Short)],FALSE)</f>
        <v>0</v>
      </c>
      <c r="N248">
        <f>_xlfn.XLOOKUP(Table4[[#This Row],[Ext Finish]],Master_Table4[System Name],Master_Table4[Compatible Systems],FALSE)</f>
        <v>0</v>
      </c>
      <c r="O248" t="str">
        <f>IF(ISNUMBER(SEARCH(Table4[[#This Row],[MMC Method]],Table4[[#This Row],[Compatible Systems]])),"YES","NO")</f>
        <v>YES</v>
      </c>
      <c r="P248" t="e">
        <f>GETPIVOTDATA("Sum of A1-A3 Fossil kg CO2e/m^2 wall area",'COMPONENT PIVOT REF'!$I$3,"System Name",Table4[[#This Row],[Ext Finish]])</f>
        <v>#REF!</v>
      </c>
      <c r="Q248" t="e">
        <f>GETPIVOTDATA("Sum of  R value (m^2-K/W)",'COMPONENT PIVOT REF'!$I$3,"System Name",Table4[[#This Row],[Ext Finish]])</f>
        <v>#REF!</v>
      </c>
      <c r="R248" t="e">
        <f>GETPIVOTDATA("Sum of Total Mass per m^2 (kg)",'COMPONENT PIVOT REF'!$I$3,"System Name",Table4[[#This Row],[Ext Finish]])</f>
        <v>#REF!</v>
      </c>
      <c r="T248">
        <f>_xlfn.XLOOKUP(Table4[[#This Row],[Int Finish]],Master_Table6[System Name],Master_Table6[System Name (Short)],FALSE)</f>
        <v>0</v>
      </c>
      <c r="U248" t="e">
        <f>GETPIVOTDATA("Sum of A1-A3 Fossil kg CO2e/m^2 wall area",'COMPONENT PIVOT REF'!$P$3,"System Name",Table4[[#This Row],[Int Finish]])</f>
        <v>#REF!</v>
      </c>
      <c r="V248" t="e">
        <f>GETPIVOTDATA("Sum of  R value (m^2-K/W)",'COMPONENT PIVOT REF'!$P$3,"System Name",Table4[[#This Row],[Int Finish]])</f>
        <v>#REF!</v>
      </c>
      <c r="W248" t="e">
        <f>GETPIVOTDATA("Sum of Total Mass per m^2 (kg)",'COMPONENT PIVOT REF'!$P$3,"System Name",Table4[[#This Row],[Int Finish]])</f>
        <v>#REF!</v>
      </c>
      <c r="X248" t="e">
        <f>Table4[[#This Row],[Ext Finish GWP]]+Table4[[#This Row],[Base GWP]]+Table4[[#This Row],[Int Finish GWP]]</f>
        <v>#REF!</v>
      </c>
      <c r="Y248" t="e">
        <f>Table4[[#This Row],[Ext Finish R Value]]+Table4[[#This Row],[Base R Value]]+Table4[[#This Row],[Int Finish R Value]]</f>
        <v>#REF!</v>
      </c>
      <c r="Z248" t="e">
        <f>1/Table4[[#This Row],[Total R value]]</f>
        <v>#REF!</v>
      </c>
      <c r="AA248" t="e">
        <f>Table4[[#This Row],[Int Finish Mass]]+Table4[[#This Row],[Ext Finish Mass]]+Table4[[#This Row],[Base Mass]]</f>
        <v>#REF!</v>
      </c>
    </row>
    <row r="249" spans="3:27" x14ac:dyDescent="0.35">
      <c r="C249" t="str">
        <f>_xlfn.CONCAT(Table4[[#This Row],[System Name (Short)]],"_",Table4[[#This Row],[Ext Finish Name (Short)]],"_",Table4[[#This Row],[Int Finish Name (Short)]])</f>
        <v>0_0_0</v>
      </c>
      <c r="E249">
        <f>_xlfn.XLOOKUP(Table4[[#This Row],[Base System]],BASE_SYSTEM_TABLE[System Name],BASE_SYSTEM_TABLE[System Name (Short)],FALSE)</f>
        <v>0</v>
      </c>
      <c r="F249">
        <f>_xlfn.XLOOKUP(Table4[[#This Row],[Base System]],BASE_SYSTEM_TABLE[System Name],BASE_SYSTEM_TABLE[System Type],FALSE)</f>
        <v>0</v>
      </c>
      <c r="G249">
        <f>_xlfn.XLOOKUP(Table4[[#This Row],[Base System]],BASE_SYSTEM_TABLE[System Name],BASE_SYSTEM_TABLE[System Subtype],FALSE)</f>
        <v>0</v>
      </c>
      <c r="H249">
        <f>_xlfn.XLOOKUP(Table4[[#This Row],[Base System]],BASE_SYSTEM_TABLE[System Name],BASE_SYSTEM_TABLE[Construction Type (Framed or Planar)],FALSE)</f>
        <v>0</v>
      </c>
      <c r="I249" t="e">
        <f>GETPIVOTDATA("Sum of A1-A3 Fossil kg CO2e/m^2 wall area",'COMPONENT PIVOT REF'!$A$3,"System Name",Table4[[#This Row],[Base System]])</f>
        <v>#REF!</v>
      </c>
      <c r="J249" t="e">
        <f>GETPIVOTDATA("Sum of  R value (m^2-K/W)",'COMPONENT PIVOT REF'!$A$3,"System Name",Table4[[#This Row],[Base System]])</f>
        <v>#REF!</v>
      </c>
      <c r="K249" t="e">
        <f>GETPIVOTDATA("Sum of Total Mass per m^2 (kg)",'COMPONENT PIVOT REF'!$A$3,"System Name",Table4[[#This Row],[Base System]])</f>
        <v>#REF!</v>
      </c>
      <c r="M249">
        <f>_xlfn.XLOOKUP(Table4[[#This Row],[Ext Finish]],Master_Table4[System Name],Master_Table4[System Name (Short)],FALSE)</f>
        <v>0</v>
      </c>
      <c r="N249">
        <f>_xlfn.XLOOKUP(Table4[[#This Row],[Ext Finish]],Master_Table4[System Name],Master_Table4[Compatible Systems],FALSE)</f>
        <v>0</v>
      </c>
      <c r="O249" t="str">
        <f>IF(ISNUMBER(SEARCH(Table4[[#This Row],[MMC Method]],Table4[[#This Row],[Compatible Systems]])),"YES","NO")</f>
        <v>YES</v>
      </c>
      <c r="P249" t="e">
        <f>GETPIVOTDATA("Sum of A1-A3 Fossil kg CO2e/m^2 wall area",'COMPONENT PIVOT REF'!$I$3,"System Name",Table4[[#This Row],[Ext Finish]])</f>
        <v>#REF!</v>
      </c>
      <c r="Q249" t="e">
        <f>GETPIVOTDATA("Sum of  R value (m^2-K/W)",'COMPONENT PIVOT REF'!$I$3,"System Name",Table4[[#This Row],[Ext Finish]])</f>
        <v>#REF!</v>
      </c>
      <c r="R249" t="e">
        <f>GETPIVOTDATA("Sum of Total Mass per m^2 (kg)",'COMPONENT PIVOT REF'!$I$3,"System Name",Table4[[#This Row],[Ext Finish]])</f>
        <v>#REF!</v>
      </c>
      <c r="T249">
        <f>_xlfn.XLOOKUP(Table4[[#This Row],[Int Finish]],Master_Table6[System Name],Master_Table6[System Name (Short)],FALSE)</f>
        <v>0</v>
      </c>
      <c r="U249" t="e">
        <f>GETPIVOTDATA("Sum of A1-A3 Fossil kg CO2e/m^2 wall area",'COMPONENT PIVOT REF'!$P$3,"System Name",Table4[[#This Row],[Int Finish]])</f>
        <v>#REF!</v>
      </c>
      <c r="V249" t="e">
        <f>GETPIVOTDATA("Sum of  R value (m^2-K/W)",'COMPONENT PIVOT REF'!$P$3,"System Name",Table4[[#This Row],[Int Finish]])</f>
        <v>#REF!</v>
      </c>
      <c r="W249" t="e">
        <f>GETPIVOTDATA("Sum of Total Mass per m^2 (kg)",'COMPONENT PIVOT REF'!$P$3,"System Name",Table4[[#This Row],[Int Finish]])</f>
        <v>#REF!</v>
      </c>
      <c r="X249" t="e">
        <f>Table4[[#This Row],[Ext Finish GWP]]+Table4[[#This Row],[Base GWP]]+Table4[[#This Row],[Int Finish GWP]]</f>
        <v>#REF!</v>
      </c>
      <c r="Y249" t="e">
        <f>Table4[[#This Row],[Ext Finish R Value]]+Table4[[#This Row],[Base R Value]]+Table4[[#This Row],[Int Finish R Value]]</f>
        <v>#REF!</v>
      </c>
      <c r="Z249" t="e">
        <f>1/Table4[[#This Row],[Total R value]]</f>
        <v>#REF!</v>
      </c>
      <c r="AA249" t="e">
        <f>Table4[[#This Row],[Int Finish Mass]]+Table4[[#This Row],[Ext Finish Mass]]+Table4[[#This Row],[Base Mass]]</f>
        <v>#REF!</v>
      </c>
    </row>
    <row r="250" spans="3:27" x14ac:dyDescent="0.35">
      <c r="C250" t="str">
        <f>_xlfn.CONCAT(Table4[[#This Row],[System Name (Short)]],"_",Table4[[#This Row],[Ext Finish Name (Short)]],"_",Table4[[#This Row],[Int Finish Name (Short)]])</f>
        <v>0_0_0</v>
      </c>
      <c r="E250">
        <f>_xlfn.XLOOKUP(Table4[[#This Row],[Base System]],BASE_SYSTEM_TABLE[System Name],BASE_SYSTEM_TABLE[System Name (Short)],FALSE)</f>
        <v>0</v>
      </c>
      <c r="F250">
        <f>_xlfn.XLOOKUP(Table4[[#This Row],[Base System]],BASE_SYSTEM_TABLE[System Name],BASE_SYSTEM_TABLE[System Type],FALSE)</f>
        <v>0</v>
      </c>
      <c r="G250">
        <f>_xlfn.XLOOKUP(Table4[[#This Row],[Base System]],BASE_SYSTEM_TABLE[System Name],BASE_SYSTEM_TABLE[System Subtype],FALSE)</f>
        <v>0</v>
      </c>
      <c r="H250">
        <f>_xlfn.XLOOKUP(Table4[[#This Row],[Base System]],BASE_SYSTEM_TABLE[System Name],BASE_SYSTEM_TABLE[Construction Type (Framed or Planar)],FALSE)</f>
        <v>0</v>
      </c>
      <c r="I250" t="e">
        <f>GETPIVOTDATA("Sum of A1-A3 Fossil kg CO2e/m^2 wall area",'COMPONENT PIVOT REF'!$A$3,"System Name",Table4[[#This Row],[Base System]])</f>
        <v>#REF!</v>
      </c>
      <c r="J250" t="e">
        <f>GETPIVOTDATA("Sum of  R value (m^2-K/W)",'COMPONENT PIVOT REF'!$A$3,"System Name",Table4[[#This Row],[Base System]])</f>
        <v>#REF!</v>
      </c>
      <c r="K250" t="e">
        <f>GETPIVOTDATA("Sum of Total Mass per m^2 (kg)",'COMPONENT PIVOT REF'!$A$3,"System Name",Table4[[#This Row],[Base System]])</f>
        <v>#REF!</v>
      </c>
      <c r="M250">
        <f>_xlfn.XLOOKUP(Table4[[#This Row],[Ext Finish]],Master_Table4[System Name],Master_Table4[System Name (Short)],FALSE)</f>
        <v>0</v>
      </c>
      <c r="N250">
        <f>_xlfn.XLOOKUP(Table4[[#This Row],[Ext Finish]],Master_Table4[System Name],Master_Table4[Compatible Systems],FALSE)</f>
        <v>0</v>
      </c>
      <c r="O250" t="str">
        <f>IF(ISNUMBER(SEARCH(Table4[[#This Row],[MMC Method]],Table4[[#This Row],[Compatible Systems]])),"YES","NO")</f>
        <v>YES</v>
      </c>
      <c r="P250" t="e">
        <f>GETPIVOTDATA("Sum of A1-A3 Fossil kg CO2e/m^2 wall area",'COMPONENT PIVOT REF'!$I$3,"System Name",Table4[[#This Row],[Ext Finish]])</f>
        <v>#REF!</v>
      </c>
      <c r="Q250" t="e">
        <f>GETPIVOTDATA("Sum of  R value (m^2-K/W)",'COMPONENT PIVOT REF'!$I$3,"System Name",Table4[[#This Row],[Ext Finish]])</f>
        <v>#REF!</v>
      </c>
      <c r="R250" t="e">
        <f>GETPIVOTDATA("Sum of Total Mass per m^2 (kg)",'COMPONENT PIVOT REF'!$I$3,"System Name",Table4[[#This Row],[Ext Finish]])</f>
        <v>#REF!</v>
      </c>
      <c r="T250">
        <f>_xlfn.XLOOKUP(Table4[[#This Row],[Int Finish]],Master_Table6[System Name],Master_Table6[System Name (Short)],FALSE)</f>
        <v>0</v>
      </c>
      <c r="U250" t="e">
        <f>GETPIVOTDATA("Sum of A1-A3 Fossil kg CO2e/m^2 wall area",'COMPONENT PIVOT REF'!$P$3,"System Name",Table4[[#This Row],[Int Finish]])</f>
        <v>#REF!</v>
      </c>
      <c r="V250" t="e">
        <f>GETPIVOTDATA("Sum of  R value (m^2-K/W)",'COMPONENT PIVOT REF'!$P$3,"System Name",Table4[[#This Row],[Int Finish]])</f>
        <v>#REF!</v>
      </c>
      <c r="W250" t="e">
        <f>GETPIVOTDATA("Sum of Total Mass per m^2 (kg)",'COMPONENT PIVOT REF'!$P$3,"System Name",Table4[[#This Row],[Int Finish]])</f>
        <v>#REF!</v>
      </c>
      <c r="X250" t="e">
        <f>Table4[[#This Row],[Ext Finish GWP]]+Table4[[#This Row],[Base GWP]]+Table4[[#This Row],[Int Finish GWP]]</f>
        <v>#REF!</v>
      </c>
      <c r="Y250" t="e">
        <f>Table4[[#This Row],[Ext Finish R Value]]+Table4[[#This Row],[Base R Value]]+Table4[[#This Row],[Int Finish R Value]]</f>
        <v>#REF!</v>
      </c>
      <c r="Z250" t="e">
        <f>1/Table4[[#This Row],[Total R value]]</f>
        <v>#REF!</v>
      </c>
      <c r="AA250" t="e">
        <f>Table4[[#This Row],[Int Finish Mass]]+Table4[[#This Row],[Ext Finish Mass]]+Table4[[#This Row],[Base Mass]]</f>
        <v>#REF!</v>
      </c>
    </row>
    <row r="251" spans="3:27" x14ac:dyDescent="0.35">
      <c r="C251" t="str">
        <f>_xlfn.CONCAT(Table4[[#This Row],[System Name (Short)]],"_",Table4[[#This Row],[Ext Finish Name (Short)]],"_",Table4[[#This Row],[Int Finish Name (Short)]])</f>
        <v>0_0_0</v>
      </c>
      <c r="E251">
        <f>_xlfn.XLOOKUP(Table4[[#This Row],[Base System]],BASE_SYSTEM_TABLE[System Name],BASE_SYSTEM_TABLE[System Name (Short)],FALSE)</f>
        <v>0</v>
      </c>
      <c r="F251">
        <f>_xlfn.XLOOKUP(Table4[[#This Row],[Base System]],BASE_SYSTEM_TABLE[System Name],BASE_SYSTEM_TABLE[System Type],FALSE)</f>
        <v>0</v>
      </c>
      <c r="G251">
        <f>_xlfn.XLOOKUP(Table4[[#This Row],[Base System]],BASE_SYSTEM_TABLE[System Name],BASE_SYSTEM_TABLE[System Subtype],FALSE)</f>
        <v>0</v>
      </c>
      <c r="H251">
        <f>_xlfn.XLOOKUP(Table4[[#This Row],[Base System]],BASE_SYSTEM_TABLE[System Name],BASE_SYSTEM_TABLE[Construction Type (Framed or Planar)],FALSE)</f>
        <v>0</v>
      </c>
      <c r="I251" t="e">
        <f>GETPIVOTDATA("Sum of A1-A3 Fossil kg CO2e/m^2 wall area",'COMPONENT PIVOT REF'!$A$3,"System Name",Table4[[#This Row],[Base System]])</f>
        <v>#REF!</v>
      </c>
      <c r="J251" t="e">
        <f>GETPIVOTDATA("Sum of  R value (m^2-K/W)",'COMPONENT PIVOT REF'!$A$3,"System Name",Table4[[#This Row],[Base System]])</f>
        <v>#REF!</v>
      </c>
      <c r="K251" t="e">
        <f>GETPIVOTDATA("Sum of Total Mass per m^2 (kg)",'COMPONENT PIVOT REF'!$A$3,"System Name",Table4[[#This Row],[Base System]])</f>
        <v>#REF!</v>
      </c>
      <c r="M251">
        <f>_xlfn.XLOOKUP(Table4[[#This Row],[Ext Finish]],Master_Table4[System Name],Master_Table4[System Name (Short)],FALSE)</f>
        <v>0</v>
      </c>
      <c r="N251">
        <f>_xlfn.XLOOKUP(Table4[[#This Row],[Ext Finish]],Master_Table4[System Name],Master_Table4[Compatible Systems],FALSE)</f>
        <v>0</v>
      </c>
      <c r="O251" t="str">
        <f>IF(ISNUMBER(SEARCH(Table4[[#This Row],[MMC Method]],Table4[[#This Row],[Compatible Systems]])),"YES","NO")</f>
        <v>YES</v>
      </c>
      <c r="P251" t="e">
        <f>GETPIVOTDATA("Sum of A1-A3 Fossil kg CO2e/m^2 wall area",'COMPONENT PIVOT REF'!$I$3,"System Name",Table4[[#This Row],[Ext Finish]])</f>
        <v>#REF!</v>
      </c>
      <c r="Q251" t="e">
        <f>GETPIVOTDATA("Sum of  R value (m^2-K/W)",'COMPONENT PIVOT REF'!$I$3,"System Name",Table4[[#This Row],[Ext Finish]])</f>
        <v>#REF!</v>
      </c>
      <c r="R251" t="e">
        <f>GETPIVOTDATA("Sum of Total Mass per m^2 (kg)",'COMPONENT PIVOT REF'!$I$3,"System Name",Table4[[#This Row],[Ext Finish]])</f>
        <v>#REF!</v>
      </c>
      <c r="T251">
        <f>_xlfn.XLOOKUP(Table4[[#This Row],[Int Finish]],Master_Table6[System Name],Master_Table6[System Name (Short)],FALSE)</f>
        <v>0</v>
      </c>
      <c r="U251" t="e">
        <f>GETPIVOTDATA("Sum of A1-A3 Fossil kg CO2e/m^2 wall area",'COMPONENT PIVOT REF'!$P$3,"System Name",Table4[[#This Row],[Int Finish]])</f>
        <v>#REF!</v>
      </c>
      <c r="V251" t="e">
        <f>GETPIVOTDATA("Sum of  R value (m^2-K/W)",'COMPONENT PIVOT REF'!$P$3,"System Name",Table4[[#This Row],[Int Finish]])</f>
        <v>#REF!</v>
      </c>
      <c r="W251" t="e">
        <f>GETPIVOTDATA("Sum of Total Mass per m^2 (kg)",'COMPONENT PIVOT REF'!$P$3,"System Name",Table4[[#This Row],[Int Finish]])</f>
        <v>#REF!</v>
      </c>
      <c r="X251" t="e">
        <f>Table4[[#This Row],[Ext Finish GWP]]+Table4[[#This Row],[Base GWP]]+Table4[[#This Row],[Int Finish GWP]]</f>
        <v>#REF!</v>
      </c>
      <c r="Y251" t="e">
        <f>Table4[[#This Row],[Ext Finish R Value]]+Table4[[#This Row],[Base R Value]]+Table4[[#This Row],[Int Finish R Value]]</f>
        <v>#REF!</v>
      </c>
      <c r="Z251" t="e">
        <f>1/Table4[[#This Row],[Total R value]]</f>
        <v>#REF!</v>
      </c>
      <c r="AA251" t="e">
        <f>Table4[[#This Row],[Int Finish Mass]]+Table4[[#This Row],[Ext Finish Mass]]+Table4[[#This Row],[Base Mass]]</f>
        <v>#REF!</v>
      </c>
    </row>
    <row r="252" spans="3:27" x14ac:dyDescent="0.35">
      <c r="C252" t="str">
        <f>_xlfn.CONCAT(Table4[[#This Row],[System Name (Short)]],"_",Table4[[#This Row],[Ext Finish Name (Short)]],"_",Table4[[#This Row],[Int Finish Name (Short)]])</f>
        <v>0_0_0</v>
      </c>
      <c r="E252">
        <f>_xlfn.XLOOKUP(Table4[[#This Row],[Base System]],BASE_SYSTEM_TABLE[System Name],BASE_SYSTEM_TABLE[System Name (Short)],FALSE)</f>
        <v>0</v>
      </c>
      <c r="F252">
        <f>_xlfn.XLOOKUP(Table4[[#This Row],[Base System]],BASE_SYSTEM_TABLE[System Name],BASE_SYSTEM_TABLE[System Type],FALSE)</f>
        <v>0</v>
      </c>
      <c r="G252">
        <f>_xlfn.XLOOKUP(Table4[[#This Row],[Base System]],BASE_SYSTEM_TABLE[System Name],BASE_SYSTEM_TABLE[System Subtype],FALSE)</f>
        <v>0</v>
      </c>
      <c r="H252">
        <f>_xlfn.XLOOKUP(Table4[[#This Row],[Base System]],BASE_SYSTEM_TABLE[System Name],BASE_SYSTEM_TABLE[Construction Type (Framed or Planar)],FALSE)</f>
        <v>0</v>
      </c>
      <c r="I252" t="e">
        <f>GETPIVOTDATA("Sum of A1-A3 Fossil kg CO2e/m^2 wall area",'COMPONENT PIVOT REF'!$A$3,"System Name",Table4[[#This Row],[Base System]])</f>
        <v>#REF!</v>
      </c>
      <c r="J252" t="e">
        <f>GETPIVOTDATA("Sum of  R value (m^2-K/W)",'COMPONENT PIVOT REF'!$A$3,"System Name",Table4[[#This Row],[Base System]])</f>
        <v>#REF!</v>
      </c>
      <c r="K252" t="e">
        <f>GETPIVOTDATA("Sum of Total Mass per m^2 (kg)",'COMPONENT PIVOT REF'!$A$3,"System Name",Table4[[#This Row],[Base System]])</f>
        <v>#REF!</v>
      </c>
      <c r="M252">
        <f>_xlfn.XLOOKUP(Table4[[#This Row],[Ext Finish]],Master_Table4[System Name],Master_Table4[System Name (Short)],FALSE)</f>
        <v>0</v>
      </c>
      <c r="N252">
        <f>_xlfn.XLOOKUP(Table4[[#This Row],[Ext Finish]],Master_Table4[System Name],Master_Table4[Compatible Systems],FALSE)</f>
        <v>0</v>
      </c>
      <c r="O252" t="str">
        <f>IF(ISNUMBER(SEARCH(Table4[[#This Row],[MMC Method]],Table4[[#This Row],[Compatible Systems]])),"YES","NO")</f>
        <v>YES</v>
      </c>
      <c r="P252" t="e">
        <f>GETPIVOTDATA("Sum of A1-A3 Fossil kg CO2e/m^2 wall area",'COMPONENT PIVOT REF'!$I$3,"System Name",Table4[[#This Row],[Ext Finish]])</f>
        <v>#REF!</v>
      </c>
      <c r="Q252" t="e">
        <f>GETPIVOTDATA("Sum of  R value (m^2-K/W)",'COMPONENT PIVOT REF'!$I$3,"System Name",Table4[[#This Row],[Ext Finish]])</f>
        <v>#REF!</v>
      </c>
      <c r="R252" t="e">
        <f>GETPIVOTDATA("Sum of Total Mass per m^2 (kg)",'COMPONENT PIVOT REF'!$I$3,"System Name",Table4[[#This Row],[Ext Finish]])</f>
        <v>#REF!</v>
      </c>
      <c r="T252">
        <f>_xlfn.XLOOKUP(Table4[[#This Row],[Int Finish]],Master_Table6[System Name],Master_Table6[System Name (Short)],FALSE)</f>
        <v>0</v>
      </c>
      <c r="U252" t="e">
        <f>GETPIVOTDATA("Sum of A1-A3 Fossil kg CO2e/m^2 wall area",'COMPONENT PIVOT REF'!$P$3,"System Name",Table4[[#This Row],[Int Finish]])</f>
        <v>#REF!</v>
      </c>
      <c r="V252" t="e">
        <f>GETPIVOTDATA("Sum of  R value (m^2-K/W)",'COMPONENT PIVOT REF'!$P$3,"System Name",Table4[[#This Row],[Int Finish]])</f>
        <v>#REF!</v>
      </c>
      <c r="W252" t="e">
        <f>GETPIVOTDATA("Sum of Total Mass per m^2 (kg)",'COMPONENT PIVOT REF'!$P$3,"System Name",Table4[[#This Row],[Int Finish]])</f>
        <v>#REF!</v>
      </c>
      <c r="X252" t="e">
        <f>Table4[[#This Row],[Ext Finish GWP]]+Table4[[#This Row],[Base GWP]]+Table4[[#This Row],[Int Finish GWP]]</f>
        <v>#REF!</v>
      </c>
      <c r="Y252" t="e">
        <f>Table4[[#This Row],[Ext Finish R Value]]+Table4[[#This Row],[Base R Value]]+Table4[[#This Row],[Int Finish R Value]]</f>
        <v>#REF!</v>
      </c>
      <c r="Z252" t="e">
        <f>1/Table4[[#This Row],[Total R value]]</f>
        <v>#REF!</v>
      </c>
      <c r="AA252" t="e">
        <f>Table4[[#This Row],[Int Finish Mass]]+Table4[[#This Row],[Ext Finish Mass]]+Table4[[#This Row],[Base Mass]]</f>
        <v>#REF!</v>
      </c>
    </row>
    <row r="253" spans="3:27" x14ac:dyDescent="0.35">
      <c r="C253" t="str">
        <f>_xlfn.CONCAT(Table4[[#This Row],[System Name (Short)]],"_",Table4[[#This Row],[Ext Finish Name (Short)]],"_",Table4[[#This Row],[Int Finish Name (Short)]])</f>
        <v>0_0_0</v>
      </c>
      <c r="E253">
        <f>_xlfn.XLOOKUP(Table4[[#This Row],[Base System]],BASE_SYSTEM_TABLE[System Name],BASE_SYSTEM_TABLE[System Name (Short)],FALSE)</f>
        <v>0</v>
      </c>
      <c r="F253">
        <f>_xlfn.XLOOKUP(Table4[[#This Row],[Base System]],BASE_SYSTEM_TABLE[System Name],BASE_SYSTEM_TABLE[System Type],FALSE)</f>
        <v>0</v>
      </c>
      <c r="G253">
        <f>_xlfn.XLOOKUP(Table4[[#This Row],[Base System]],BASE_SYSTEM_TABLE[System Name],BASE_SYSTEM_TABLE[System Subtype],FALSE)</f>
        <v>0</v>
      </c>
      <c r="H253">
        <f>_xlfn.XLOOKUP(Table4[[#This Row],[Base System]],BASE_SYSTEM_TABLE[System Name],BASE_SYSTEM_TABLE[Construction Type (Framed or Planar)],FALSE)</f>
        <v>0</v>
      </c>
      <c r="I253" t="e">
        <f>GETPIVOTDATA("Sum of A1-A3 Fossil kg CO2e/m^2 wall area",'COMPONENT PIVOT REF'!$A$3,"System Name",Table4[[#This Row],[Base System]])</f>
        <v>#REF!</v>
      </c>
      <c r="J253" t="e">
        <f>GETPIVOTDATA("Sum of  R value (m^2-K/W)",'COMPONENT PIVOT REF'!$A$3,"System Name",Table4[[#This Row],[Base System]])</f>
        <v>#REF!</v>
      </c>
      <c r="K253" t="e">
        <f>GETPIVOTDATA("Sum of Total Mass per m^2 (kg)",'COMPONENT PIVOT REF'!$A$3,"System Name",Table4[[#This Row],[Base System]])</f>
        <v>#REF!</v>
      </c>
      <c r="M253">
        <f>_xlfn.XLOOKUP(Table4[[#This Row],[Ext Finish]],Master_Table4[System Name],Master_Table4[System Name (Short)],FALSE)</f>
        <v>0</v>
      </c>
      <c r="N253">
        <f>_xlfn.XLOOKUP(Table4[[#This Row],[Ext Finish]],Master_Table4[System Name],Master_Table4[Compatible Systems],FALSE)</f>
        <v>0</v>
      </c>
      <c r="O253" t="str">
        <f>IF(ISNUMBER(SEARCH(Table4[[#This Row],[MMC Method]],Table4[[#This Row],[Compatible Systems]])),"YES","NO")</f>
        <v>YES</v>
      </c>
      <c r="P253" t="e">
        <f>GETPIVOTDATA("Sum of A1-A3 Fossil kg CO2e/m^2 wall area",'COMPONENT PIVOT REF'!$I$3,"System Name",Table4[[#This Row],[Ext Finish]])</f>
        <v>#REF!</v>
      </c>
      <c r="Q253" t="e">
        <f>GETPIVOTDATA("Sum of  R value (m^2-K/W)",'COMPONENT PIVOT REF'!$I$3,"System Name",Table4[[#This Row],[Ext Finish]])</f>
        <v>#REF!</v>
      </c>
      <c r="R253" t="e">
        <f>GETPIVOTDATA("Sum of Total Mass per m^2 (kg)",'COMPONENT PIVOT REF'!$I$3,"System Name",Table4[[#This Row],[Ext Finish]])</f>
        <v>#REF!</v>
      </c>
      <c r="T253">
        <f>_xlfn.XLOOKUP(Table4[[#This Row],[Int Finish]],Master_Table6[System Name],Master_Table6[System Name (Short)],FALSE)</f>
        <v>0</v>
      </c>
      <c r="U253" t="e">
        <f>GETPIVOTDATA("Sum of A1-A3 Fossil kg CO2e/m^2 wall area",'COMPONENT PIVOT REF'!$P$3,"System Name",Table4[[#This Row],[Int Finish]])</f>
        <v>#REF!</v>
      </c>
      <c r="V253" t="e">
        <f>GETPIVOTDATA("Sum of  R value (m^2-K/W)",'COMPONENT PIVOT REF'!$P$3,"System Name",Table4[[#This Row],[Int Finish]])</f>
        <v>#REF!</v>
      </c>
      <c r="W253" t="e">
        <f>GETPIVOTDATA("Sum of Total Mass per m^2 (kg)",'COMPONENT PIVOT REF'!$P$3,"System Name",Table4[[#This Row],[Int Finish]])</f>
        <v>#REF!</v>
      </c>
      <c r="X253" t="e">
        <f>Table4[[#This Row],[Ext Finish GWP]]+Table4[[#This Row],[Base GWP]]+Table4[[#This Row],[Int Finish GWP]]</f>
        <v>#REF!</v>
      </c>
      <c r="Y253" t="e">
        <f>Table4[[#This Row],[Ext Finish R Value]]+Table4[[#This Row],[Base R Value]]+Table4[[#This Row],[Int Finish R Value]]</f>
        <v>#REF!</v>
      </c>
      <c r="Z253" t="e">
        <f>1/Table4[[#This Row],[Total R value]]</f>
        <v>#REF!</v>
      </c>
      <c r="AA253" t="e">
        <f>Table4[[#This Row],[Int Finish Mass]]+Table4[[#This Row],[Ext Finish Mass]]+Table4[[#This Row],[Base Mass]]</f>
        <v>#REF!</v>
      </c>
    </row>
    <row r="254" spans="3:27" x14ac:dyDescent="0.35">
      <c r="C254" t="str">
        <f>_xlfn.CONCAT(Table4[[#This Row],[System Name (Short)]],"_",Table4[[#This Row],[Ext Finish Name (Short)]],"_",Table4[[#This Row],[Int Finish Name (Short)]])</f>
        <v>0_0_0</v>
      </c>
      <c r="E254">
        <f>_xlfn.XLOOKUP(Table4[[#This Row],[Base System]],BASE_SYSTEM_TABLE[System Name],BASE_SYSTEM_TABLE[System Name (Short)],FALSE)</f>
        <v>0</v>
      </c>
      <c r="F254">
        <f>_xlfn.XLOOKUP(Table4[[#This Row],[Base System]],BASE_SYSTEM_TABLE[System Name],BASE_SYSTEM_TABLE[System Type],FALSE)</f>
        <v>0</v>
      </c>
      <c r="G254">
        <f>_xlfn.XLOOKUP(Table4[[#This Row],[Base System]],BASE_SYSTEM_TABLE[System Name],BASE_SYSTEM_TABLE[System Subtype],FALSE)</f>
        <v>0</v>
      </c>
      <c r="H254">
        <f>_xlfn.XLOOKUP(Table4[[#This Row],[Base System]],BASE_SYSTEM_TABLE[System Name],BASE_SYSTEM_TABLE[Construction Type (Framed or Planar)],FALSE)</f>
        <v>0</v>
      </c>
      <c r="I254" t="e">
        <f>GETPIVOTDATA("Sum of A1-A3 Fossil kg CO2e/m^2 wall area",'COMPONENT PIVOT REF'!$A$3,"System Name",Table4[[#This Row],[Base System]])</f>
        <v>#REF!</v>
      </c>
      <c r="J254" t="e">
        <f>GETPIVOTDATA("Sum of  R value (m^2-K/W)",'COMPONENT PIVOT REF'!$A$3,"System Name",Table4[[#This Row],[Base System]])</f>
        <v>#REF!</v>
      </c>
      <c r="K254" t="e">
        <f>GETPIVOTDATA("Sum of Total Mass per m^2 (kg)",'COMPONENT PIVOT REF'!$A$3,"System Name",Table4[[#This Row],[Base System]])</f>
        <v>#REF!</v>
      </c>
      <c r="M254">
        <f>_xlfn.XLOOKUP(Table4[[#This Row],[Ext Finish]],Master_Table4[System Name],Master_Table4[System Name (Short)],FALSE)</f>
        <v>0</v>
      </c>
      <c r="N254">
        <f>_xlfn.XLOOKUP(Table4[[#This Row],[Ext Finish]],Master_Table4[System Name],Master_Table4[Compatible Systems],FALSE)</f>
        <v>0</v>
      </c>
      <c r="O254" t="str">
        <f>IF(ISNUMBER(SEARCH(Table4[[#This Row],[MMC Method]],Table4[[#This Row],[Compatible Systems]])),"YES","NO")</f>
        <v>YES</v>
      </c>
      <c r="P254" t="e">
        <f>GETPIVOTDATA("Sum of A1-A3 Fossil kg CO2e/m^2 wall area",'COMPONENT PIVOT REF'!$I$3,"System Name",Table4[[#This Row],[Ext Finish]])</f>
        <v>#REF!</v>
      </c>
      <c r="Q254" t="e">
        <f>GETPIVOTDATA("Sum of  R value (m^2-K/W)",'COMPONENT PIVOT REF'!$I$3,"System Name",Table4[[#This Row],[Ext Finish]])</f>
        <v>#REF!</v>
      </c>
      <c r="R254" t="e">
        <f>GETPIVOTDATA("Sum of Total Mass per m^2 (kg)",'COMPONENT PIVOT REF'!$I$3,"System Name",Table4[[#This Row],[Ext Finish]])</f>
        <v>#REF!</v>
      </c>
      <c r="T254">
        <f>_xlfn.XLOOKUP(Table4[[#This Row],[Int Finish]],Master_Table6[System Name],Master_Table6[System Name (Short)],FALSE)</f>
        <v>0</v>
      </c>
      <c r="U254" t="e">
        <f>GETPIVOTDATA("Sum of A1-A3 Fossil kg CO2e/m^2 wall area",'COMPONENT PIVOT REF'!$P$3,"System Name",Table4[[#This Row],[Int Finish]])</f>
        <v>#REF!</v>
      </c>
      <c r="V254" t="e">
        <f>GETPIVOTDATA("Sum of  R value (m^2-K/W)",'COMPONENT PIVOT REF'!$P$3,"System Name",Table4[[#This Row],[Int Finish]])</f>
        <v>#REF!</v>
      </c>
      <c r="W254" t="e">
        <f>GETPIVOTDATA("Sum of Total Mass per m^2 (kg)",'COMPONENT PIVOT REF'!$P$3,"System Name",Table4[[#This Row],[Int Finish]])</f>
        <v>#REF!</v>
      </c>
      <c r="X254" t="e">
        <f>Table4[[#This Row],[Ext Finish GWP]]+Table4[[#This Row],[Base GWP]]+Table4[[#This Row],[Int Finish GWP]]</f>
        <v>#REF!</v>
      </c>
      <c r="Y254" t="e">
        <f>Table4[[#This Row],[Ext Finish R Value]]+Table4[[#This Row],[Base R Value]]+Table4[[#This Row],[Int Finish R Value]]</f>
        <v>#REF!</v>
      </c>
      <c r="Z254" t="e">
        <f>1/Table4[[#This Row],[Total R value]]</f>
        <v>#REF!</v>
      </c>
      <c r="AA254" t="e">
        <f>Table4[[#This Row],[Int Finish Mass]]+Table4[[#This Row],[Ext Finish Mass]]+Table4[[#This Row],[Base Mass]]</f>
        <v>#REF!</v>
      </c>
    </row>
    <row r="255" spans="3:27" x14ac:dyDescent="0.35">
      <c r="C255" t="str">
        <f>_xlfn.CONCAT(Table4[[#This Row],[System Name (Short)]],"_",Table4[[#This Row],[Ext Finish Name (Short)]],"_",Table4[[#This Row],[Int Finish Name (Short)]])</f>
        <v>0_0_0</v>
      </c>
      <c r="E255">
        <f>_xlfn.XLOOKUP(Table4[[#This Row],[Base System]],BASE_SYSTEM_TABLE[System Name],BASE_SYSTEM_TABLE[System Name (Short)],FALSE)</f>
        <v>0</v>
      </c>
      <c r="F255">
        <f>_xlfn.XLOOKUP(Table4[[#This Row],[Base System]],BASE_SYSTEM_TABLE[System Name],BASE_SYSTEM_TABLE[System Type],FALSE)</f>
        <v>0</v>
      </c>
      <c r="G255">
        <f>_xlfn.XLOOKUP(Table4[[#This Row],[Base System]],BASE_SYSTEM_TABLE[System Name],BASE_SYSTEM_TABLE[System Subtype],FALSE)</f>
        <v>0</v>
      </c>
      <c r="H255">
        <f>_xlfn.XLOOKUP(Table4[[#This Row],[Base System]],BASE_SYSTEM_TABLE[System Name],BASE_SYSTEM_TABLE[Construction Type (Framed or Planar)],FALSE)</f>
        <v>0</v>
      </c>
      <c r="I255" t="e">
        <f>GETPIVOTDATA("Sum of A1-A3 Fossil kg CO2e/m^2 wall area",'COMPONENT PIVOT REF'!$A$3,"System Name",Table4[[#This Row],[Base System]])</f>
        <v>#REF!</v>
      </c>
      <c r="J255" t="e">
        <f>GETPIVOTDATA("Sum of  R value (m^2-K/W)",'COMPONENT PIVOT REF'!$A$3,"System Name",Table4[[#This Row],[Base System]])</f>
        <v>#REF!</v>
      </c>
      <c r="K255" t="e">
        <f>GETPIVOTDATA("Sum of Total Mass per m^2 (kg)",'COMPONENT PIVOT REF'!$A$3,"System Name",Table4[[#This Row],[Base System]])</f>
        <v>#REF!</v>
      </c>
      <c r="M255">
        <f>_xlfn.XLOOKUP(Table4[[#This Row],[Ext Finish]],Master_Table4[System Name],Master_Table4[System Name (Short)],FALSE)</f>
        <v>0</v>
      </c>
      <c r="N255">
        <f>_xlfn.XLOOKUP(Table4[[#This Row],[Ext Finish]],Master_Table4[System Name],Master_Table4[Compatible Systems],FALSE)</f>
        <v>0</v>
      </c>
      <c r="O255" t="str">
        <f>IF(ISNUMBER(SEARCH(Table4[[#This Row],[MMC Method]],Table4[[#This Row],[Compatible Systems]])),"YES","NO")</f>
        <v>YES</v>
      </c>
      <c r="P255" t="e">
        <f>GETPIVOTDATA("Sum of A1-A3 Fossil kg CO2e/m^2 wall area",'COMPONENT PIVOT REF'!$I$3,"System Name",Table4[[#This Row],[Ext Finish]])</f>
        <v>#REF!</v>
      </c>
      <c r="Q255" t="e">
        <f>GETPIVOTDATA("Sum of  R value (m^2-K/W)",'COMPONENT PIVOT REF'!$I$3,"System Name",Table4[[#This Row],[Ext Finish]])</f>
        <v>#REF!</v>
      </c>
      <c r="R255" t="e">
        <f>GETPIVOTDATA("Sum of Total Mass per m^2 (kg)",'COMPONENT PIVOT REF'!$I$3,"System Name",Table4[[#This Row],[Ext Finish]])</f>
        <v>#REF!</v>
      </c>
      <c r="T255">
        <f>_xlfn.XLOOKUP(Table4[[#This Row],[Int Finish]],Master_Table6[System Name],Master_Table6[System Name (Short)],FALSE)</f>
        <v>0</v>
      </c>
      <c r="U255" t="e">
        <f>GETPIVOTDATA("Sum of A1-A3 Fossil kg CO2e/m^2 wall area",'COMPONENT PIVOT REF'!$P$3,"System Name",Table4[[#This Row],[Int Finish]])</f>
        <v>#REF!</v>
      </c>
      <c r="V255" t="e">
        <f>GETPIVOTDATA("Sum of  R value (m^2-K/W)",'COMPONENT PIVOT REF'!$P$3,"System Name",Table4[[#This Row],[Int Finish]])</f>
        <v>#REF!</v>
      </c>
      <c r="W255" t="e">
        <f>GETPIVOTDATA("Sum of Total Mass per m^2 (kg)",'COMPONENT PIVOT REF'!$P$3,"System Name",Table4[[#This Row],[Int Finish]])</f>
        <v>#REF!</v>
      </c>
      <c r="X255" t="e">
        <f>Table4[[#This Row],[Ext Finish GWP]]+Table4[[#This Row],[Base GWP]]+Table4[[#This Row],[Int Finish GWP]]</f>
        <v>#REF!</v>
      </c>
      <c r="Y255" t="e">
        <f>Table4[[#This Row],[Ext Finish R Value]]+Table4[[#This Row],[Base R Value]]+Table4[[#This Row],[Int Finish R Value]]</f>
        <v>#REF!</v>
      </c>
      <c r="Z255" t="e">
        <f>1/Table4[[#This Row],[Total R value]]</f>
        <v>#REF!</v>
      </c>
      <c r="AA255" t="e">
        <f>Table4[[#This Row],[Int Finish Mass]]+Table4[[#This Row],[Ext Finish Mass]]+Table4[[#This Row],[Base Mass]]</f>
        <v>#REF!</v>
      </c>
    </row>
    <row r="256" spans="3:27" x14ac:dyDescent="0.35">
      <c r="C256" t="str">
        <f>_xlfn.CONCAT(Table4[[#This Row],[System Name (Short)]],"_",Table4[[#This Row],[Ext Finish Name (Short)]],"_",Table4[[#This Row],[Int Finish Name (Short)]])</f>
        <v>0_0_0</v>
      </c>
      <c r="E256">
        <f>_xlfn.XLOOKUP(Table4[[#This Row],[Base System]],BASE_SYSTEM_TABLE[System Name],BASE_SYSTEM_TABLE[System Name (Short)],FALSE)</f>
        <v>0</v>
      </c>
      <c r="F256">
        <f>_xlfn.XLOOKUP(Table4[[#This Row],[Base System]],BASE_SYSTEM_TABLE[System Name],BASE_SYSTEM_TABLE[System Type],FALSE)</f>
        <v>0</v>
      </c>
      <c r="G256">
        <f>_xlfn.XLOOKUP(Table4[[#This Row],[Base System]],BASE_SYSTEM_TABLE[System Name],BASE_SYSTEM_TABLE[System Subtype],FALSE)</f>
        <v>0</v>
      </c>
      <c r="H256">
        <f>_xlfn.XLOOKUP(Table4[[#This Row],[Base System]],BASE_SYSTEM_TABLE[System Name],BASE_SYSTEM_TABLE[Construction Type (Framed or Planar)],FALSE)</f>
        <v>0</v>
      </c>
      <c r="I256" t="e">
        <f>GETPIVOTDATA("Sum of A1-A3 Fossil kg CO2e/m^2 wall area",'COMPONENT PIVOT REF'!$A$3,"System Name",Table4[[#This Row],[Base System]])</f>
        <v>#REF!</v>
      </c>
      <c r="J256" t="e">
        <f>GETPIVOTDATA("Sum of  R value (m^2-K/W)",'COMPONENT PIVOT REF'!$A$3,"System Name",Table4[[#This Row],[Base System]])</f>
        <v>#REF!</v>
      </c>
      <c r="K256" t="e">
        <f>GETPIVOTDATA("Sum of Total Mass per m^2 (kg)",'COMPONENT PIVOT REF'!$A$3,"System Name",Table4[[#This Row],[Base System]])</f>
        <v>#REF!</v>
      </c>
      <c r="M256">
        <f>_xlfn.XLOOKUP(Table4[[#This Row],[Ext Finish]],Master_Table4[System Name],Master_Table4[System Name (Short)],FALSE)</f>
        <v>0</v>
      </c>
      <c r="N256">
        <f>_xlfn.XLOOKUP(Table4[[#This Row],[Ext Finish]],Master_Table4[System Name],Master_Table4[Compatible Systems],FALSE)</f>
        <v>0</v>
      </c>
      <c r="O256" t="str">
        <f>IF(ISNUMBER(SEARCH(Table4[[#This Row],[MMC Method]],Table4[[#This Row],[Compatible Systems]])),"YES","NO")</f>
        <v>YES</v>
      </c>
      <c r="P256" t="e">
        <f>GETPIVOTDATA("Sum of A1-A3 Fossil kg CO2e/m^2 wall area",'COMPONENT PIVOT REF'!$I$3,"System Name",Table4[[#This Row],[Ext Finish]])</f>
        <v>#REF!</v>
      </c>
      <c r="Q256" t="e">
        <f>GETPIVOTDATA("Sum of  R value (m^2-K/W)",'COMPONENT PIVOT REF'!$I$3,"System Name",Table4[[#This Row],[Ext Finish]])</f>
        <v>#REF!</v>
      </c>
      <c r="R256" t="e">
        <f>GETPIVOTDATA("Sum of Total Mass per m^2 (kg)",'COMPONENT PIVOT REF'!$I$3,"System Name",Table4[[#This Row],[Ext Finish]])</f>
        <v>#REF!</v>
      </c>
      <c r="T256">
        <f>_xlfn.XLOOKUP(Table4[[#This Row],[Int Finish]],Master_Table6[System Name],Master_Table6[System Name (Short)],FALSE)</f>
        <v>0</v>
      </c>
      <c r="U256" t="e">
        <f>GETPIVOTDATA("Sum of A1-A3 Fossil kg CO2e/m^2 wall area",'COMPONENT PIVOT REF'!$P$3,"System Name",Table4[[#This Row],[Int Finish]])</f>
        <v>#REF!</v>
      </c>
      <c r="V256" t="e">
        <f>GETPIVOTDATA("Sum of  R value (m^2-K/W)",'COMPONENT PIVOT REF'!$P$3,"System Name",Table4[[#This Row],[Int Finish]])</f>
        <v>#REF!</v>
      </c>
      <c r="W256" t="e">
        <f>GETPIVOTDATA("Sum of Total Mass per m^2 (kg)",'COMPONENT PIVOT REF'!$P$3,"System Name",Table4[[#This Row],[Int Finish]])</f>
        <v>#REF!</v>
      </c>
      <c r="X256" t="e">
        <f>Table4[[#This Row],[Ext Finish GWP]]+Table4[[#This Row],[Base GWP]]+Table4[[#This Row],[Int Finish GWP]]</f>
        <v>#REF!</v>
      </c>
      <c r="Y256" t="e">
        <f>Table4[[#This Row],[Ext Finish R Value]]+Table4[[#This Row],[Base R Value]]+Table4[[#This Row],[Int Finish R Value]]</f>
        <v>#REF!</v>
      </c>
      <c r="Z256" t="e">
        <f>1/Table4[[#This Row],[Total R value]]</f>
        <v>#REF!</v>
      </c>
      <c r="AA256" t="e">
        <f>Table4[[#This Row],[Int Finish Mass]]+Table4[[#This Row],[Ext Finish Mass]]+Table4[[#This Row],[Base Mass]]</f>
        <v>#REF!</v>
      </c>
    </row>
    <row r="257" spans="3:27" x14ac:dyDescent="0.35">
      <c r="C257" t="str">
        <f>_xlfn.CONCAT(Table4[[#This Row],[System Name (Short)]],"_",Table4[[#This Row],[Ext Finish Name (Short)]],"_",Table4[[#This Row],[Int Finish Name (Short)]])</f>
        <v>0_0_0</v>
      </c>
      <c r="E257">
        <f>_xlfn.XLOOKUP(Table4[[#This Row],[Base System]],BASE_SYSTEM_TABLE[System Name],BASE_SYSTEM_TABLE[System Name (Short)],FALSE)</f>
        <v>0</v>
      </c>
      <c r="F257">
        <f>_xlfn.XLOOKUP(Table4[[#This Row],[Base System]],BASE_SYSTEM_TABLE[System Name],BASE_SYSTEM_TABLE[System Type],FALSE)</f>
        <v>0</v>
      </c>
      <c r="G257">
        <f>_xlfn.XLOOKUP(Table4[[#This Row],[Base System]],BASE_SYSTEM_TABLE[System Name],BASE_SYSTEM_TABLE[System Subtype],FALSE)</f>
        <v>0</v>
      </c>
      <c r="H257">
        <f>_xlfn.XLOOKUP(Table4[[#This Row],[Base System]],BASE_SYSTEM_TABLE[System Name],BASE_SYSTEM_TABLE[Construction Type (Framed or Planar)],FALSE)</f>
        <v>0</v>
      </c>
      <c r="I257" t="e">
        <f>GETPIVOTDATA("Sum of A1-A3 Fossil kg CO2e/m^2 wall area",'COMPONENT PIVOT REF'!$A$3,"System Name",Table4[[#This Row],[Base System]])</f>
        <v>#REF!</v>
      </c>
      <c r="J257" t="e">
        <f>GETPIVOTDATA("Sum of  R value (m^2-K/W)",'COMPONENT PIVOT REF'!$A$3,"System Name",Table4[[#This Row],[Base System]])</f>
        <v>#REF!</v>
      </c>
      <c r="K257" t="e">
        <f>GETPIVOTDATA("Sum of Total Mass per m^2 (kg)",'COMPONENT PIVOT REF'!$A$3,"System Name",Table4[[#This Row],[Base System]])</f>
        <v>#REF!</v>
      </c>
      <c r="M257">
        <f>_xlfn.XLOOKUP(Table4[[#This Row],[Ext Finish]],Master_Table4[System Name],Master_Table4[System Name (Short)],FALSE)</f>
        <v>0</v>
      </c>
      <c r="N257">
        <f>_xlfn.XLOOKUP(Table4[[#This Row],[Ext Finish]],Master_Table4[System Name],Master_Table4[Compatible Systems],FALSE)</f>
        <v>0</v>
      </c>
      <c r="O257" t="str">
        <f>IF(ISNUMBER(SEARCH(Table4[[#This Row],[MMC Method]],Table4[[#This Row],[Compatible Systems]])),"YES","NO")</f>
        <v>YES</v>
      </c>
      <c r="P257" t="e">
        <f>GETPIVOTDATA("Sum of A1-A3 Fossil kg CO2e/m^2 wall area",'COMPONENT PIVOT REF'!$I$3,"System Name",Table4[[#This Row],[Ext Finish]])</f>
        <v>#REF!</v>
      </c>
      <c r="Q257" t="e">
        <f>GETPIVOTDATA("Sum of  R value (m^2-K/W)",'COMPONENT PIVOT REF'!$I$3,"System Name",Table4[[#This Row],[Ext Finish]])</f>
        <v>#REF!</v>
      </c>
      <c r="R257" t="e">
        <f>GETPIVOTDATA("Sum of Total Mass per m^2 (kg)",'COMPONENT PIVOT REF'!$I$3,"System Name",Table4[[#This Row],[Ext Finish]])</f>
        <v>#REF!</v>
      </c>
      <c r="T257">
        <f>_xlfn.XLOOKUP(Table4[[#This Row],[Int Finish]],Master_Table6[System Name],Master_Table6[System Name (Short)],FALSE)</f>
        <v>0</v>
      </c>
      <c r="U257" t="e">
        <f>GETPIVOTDATA("Sum of A1-A3 Fossil kg CO2e/m^2 wall area",'COMPONENT PIVOT REF'!$P$3,"System Name",Table4[[#This Row],[Int Finish]])</f>
        <v>#REF!</v>
      </c>
      <c r="V257" t="e">
        <f>GETPIVOTDATA("Sum of  R value (m^2-K/W)",'COMPONENT PIVOT REF'!$P$3,"System Name",Table4[[#This Row],[Int Finish]])</f>
        <v>#REF!</v>
      </c>
      <c r="W257" t="e">
        <f>GETPIVOTDATA("Sum of Total Mass per m^2 (kg)",'COMPONENT PIVOT REF'!$P$3,"System Name",Table4[[#This Row],[Int Finish]])</f>
        <v>#REF!</v>
      </c>
      <c r="X257" t="e">
        <f>Table4[[#This Row],[Ext Finish GWP]]+Table4[[#This Row],[Base GWP]]+Table4[[#This Row],[Int Finish GWP]]</f>
        <v>#REF!</v>
      </c>
      <c r="Y257" t="e">
        <f>Table4[[#This Row],[Ext Finish R Value]]+Table4[[#This Row],[Base R Value]]+Table4[[#This Row],[Int Finish R Value]]</f>
        <v>#REF!</v>
      </c>
      <c r="Z257" t="e">
        <f>1/Table4[[#This Row],[Total R value]]</f>
        <v>#REF!</v>
      </c>
      <c r="AA257" t="e">
        <f>Table4[[#This Row],[Int Finish Mass]]+Table4[[#This Row],[Ext Finish Mass]]+Table4[[#This Row],[Base Mass]]</f>
        <v>#REF!</v>
      </c>
    </row>
    <row r="258" spans="3:27" x14ac:dyDescent="0.35">
      <c r="C258" t="str">
        <f>_xlfn.CONCAT(Table4[[#This Row],[System Name (Short)]],"_",Table4[[#This Row],[Ext Finish Name (Short)]],"_",Table4[[#This Row],[Int Finish Name (Short)]])</f>
        <v>0_0_0</v>
      </c>
      <c r="E258">
        <f>_xlfn.XLOOKUP(Table4[[#This Row],[Base System]],BASE_SYSTEM_TABLE[System Name],BASE_SYSTEM_TABLE[System Name (Short)],FALSE)</f>
        <v>0</v>
      </c>
      <c r="F258">
        <f>_xlfn.XLOOKUP(Table4[[#This Row],[Base System]],BASE_SYSTEM_TABLE[System Name],BASE_SYSTEM_TABLE[System Type],FALSE)</f>
        <v>0</v>
      </c>
      <c r="G258">
        <f>_xlfn.XLOOKUP(Table4[[#This Row],[Base System]],BASE_SYSTEM_TABLE[System Name],BASE_SYSTEM_TABLE[System Subtype],FALSE)</f>
        <v>0</v>
      </c>
      <c r="H258">
        <f>_xlfn.XLOOKUP(Table4[[#This Row],[Base System]],BASE_SYSTEM_TABLE[System Name],BASE_SYSTEM_TABLE[Construction Type (Framed or Planar)],FALSE)</f>
        <v>0</v>
      </c>
      <c r="I258" t="e">
        <f>GETPIVOTDATA("Sum of A1-A3 Fossil kg CO2e/m^2 wall area",'COMPONENT PIVOT REF'!$A$3,"System Name",Table4[[#This Row],[Base System]])</f>
        <v>#REF!</v>
      </c>
      <c r="J258" t="e">
        <f>GETPIVOTDATA("Sum of  R value (m^2-K/W)",'COMPONENT PIVOT REF'!$A$3,"System Name",Table4[[#This Row],[Base System]])</f>
        <v>#REF!</v>
      </c>
      <c r="K258" t="e">
        <f>GETPIVOTDATA("Sum of Total Mass per m^2 (kg)",'COMPONENT PIVOT REF'!$A$3,"System Name",Table4[[#This Row],[Base System]])</f>
        <v>#REF!</v>
      </c>
      <c r="M258">
        <f>_xlfn.XLOOKUP(Table4[[#This Row],[Ext Finish]],Master_Table4[System Name],Master_Table4[System Name (Short)],FALSE)</f>
        <v>0</v>
      </c>
      <c r="N258">
        <f>_xlfn.XLOOKUP(Table4[[#This Row],[Ext Finish]],Master_Table4[System Name],Master_Table4[Compatible Systems],FALSE)</f>
        <v>0</v>
      </c>
      <c r="O258" t="str">
        <f>IF(ISNUMBER(SEARCH(Table4[[#This Row],[MMC Method]],Table4[[#This Row],[Compatible Systems]])),"YES","NO")</f>
        <v>YES</v>
      </c>
      <c r="P258" t="e">
        <f>GETPIVOTDATA("Sum of A1-A3 Fossil kg CO2e/m^2 wall area",'COMPONENT PIVOT REF'!$I$3,"System Name",Table4[[#This Row],[Ext Finish]])</f>
        <v>#REF!</v>
      </c>
      <c r="Q258" t="e">
        <f>GETPIVOTDATA("Sum of  R value (m^2-K/W)",'COMPONENT PIVOT REF'!$I$3,"System Name",Table4[[#This Row],[Ext Finish]])</f>
        <v>#REF!</v>
      </c>
      <c r="R258" t="e">
        <f>GETPIVOTDATA("Sum of Total Mass per m^2 (kg)",'COMPONENT PIVOT REF'!$I$3,"System Name",Table4[[#This Row],[Ext Finish]])</f>
        <v>#REF!</v>
      </c>
      <c r="T258">
        <f>_xlfn.XLOOKUP(Table4[[#This Row],[Int Finish]],Master_Table6[System Name],Master_Table6[System Name (Short)],FALSE)</f>
        <v>0</v>
      </c>
      <c r="U258" t="e">
        <f>GETPIVOTDATA("Sum of A1-A3 Fossil kg CO2e/m^2 wall area",'COMPONENT PIVOT REF'!$P$3,"System Name",Table4[[#This Row],[Int Finish]])</f>
        <v>#REF!</v>
      </c>
      <c r="V258" t="e">
        <f>GETPIVOTDATA("Sum of  R value (m^2-K/W)",'COMPONENT PIVOT REF'!$P$3,"System Name",Table4[[#This Row],[Int Finish]])</f>
        <v>#REF!</v>
      </c>
      <c r="W258" t="e">
        <f>GETPIVOTDATA("Sum of Total Mass per m^2 (kg)",'COMPONENT PIVOT REF'!$P$3,"System Name",Table4[[#This Row],[Int Finish]])</f>
        <v>#REF!</v>
      </c>
      <c r="X258" t="e">
        <f>Table4[[#This Row],[Ext Finish GWP]]+Table4[[#This Row],[Base GWP]]+Table4[[#This Row],[Int Finish GWP]]</f>
        <v>#REF!</v>
      </c>
      <c r="Y258" t="e">
        <f>Table4[[#This Row],[Ext Finish R Value]]+Table4[[#This Row],[Base R Value]]+Table4[[#This Row],[Int Finish R Value]]</f>
        <v>#REF!</v>
      </c>
      <c r="Z258" t="e">
        <f>1/Table4[[#This Row],[Total R value]]</f>
        <v>#REF!</v>
      </c>
      <c r="AA258" t="e">
        <f>Table4[[#This Row],[Int Finish Mass]]+Table4[[#This Row],[Ext Finish Mass]]+Table4[[#This Row],[Base Mass]]</f>
        <v>#REF!</v>
      </c>
    </row>
    <row r="259" spans="3:27" x14ac:dyDescent="0.35">
      <c r="C259" t="str">
        <f>_xlfn.CONCAT(Table4[[#This Row],[System Name (Short)]],"_",Table4[[#This Row],[Ext Finish Name (Short)]],"_",Table4[[#This Row],[Int Finish Name (Short)]])</f>
        <v>0_0_0</v>
      </c>
      <c r="E259">
        <f>_xlfn.XLOOKUP(Table4[[#This Row],[Base System]],BASE_SYSTEM_TABLE[System Name],BASE_SYSTEM_TABLE[System Name (Short)],FALSE)</f>
        <v>0</v>
      </c>
      <c r="F259">
        <f>_xlfn.XLOOKUP(Table4[[#This Row],[Base System]],BASE_SYSTEM_TABLE[System Name],BASE_SYSTEM_TABLE[System Type],FALSE)</f>
        <v>0</v>
      </c>
      <c r="G259">
        <f>_xlfn.XLOOKUP(Table4[[#This Row],[Base System]],BASE_SYSTEM_TABLE[System Name],BASE_SYSTEM_TABLE[System Subtype],FALSE)</f>
        <v>0</v>
      </c>
      <c r="H259">
        <f>_xlfn.XLOOKUP(Table4[[#This Row],[Base System]],BASE_SYSTEM_TABLE[System Name],BASE_SYSTEM_TABLE[Construction Type (Framed or Planar)],FALSE)</f>
        <v>0</v>
      </c>
      <c r="I259" t="e">
        <f>GETPIVOTDATA("Sum of A1-A3 Fossil kg CO2e/m^2 wall area",'COMPONENT PIVOT REF'!$A$3,"System Name",Table4[[#This Row],[Base System]])</f>
        <v>#REF!</v>
      </c>
      <c r="J259" t="e">
        <f>GETPIVOTDATA("Sum of  R value (m^2-K/W)",'COMPONENT PIVOT REF'!$A$3,"System Name",Table4[[#This Row],[Base System]])</f>
        <v>#REF!</v>
      </c>
      <c r="K259" t="e">
        <f>GETPIVOTDATA("Sum of Total Mass per m^2 (kg)",'COMPONENT PIVOT REF'!$A$3,"System Name",Table4[[#This Row],[Base System]])</f>
        <v>#REF!</v>
      </c>
      <c r="M259">
        <f>_xlfn.XLOOKUP(Table4[[#This Row],[Ext Finish]],Master_Table4[System Name],Master_Table4[System Name (Short)],FALSE)</f>
        <v>0</v>
      </c>
      <c r="N259">
        <f>_xlfn.XLOOKUP(Table4[[#This Row],[Ext Finish]],Master_Table4[System Name],Master_Table4[Compatible Systems],FALSE)</f>
        <v>0</v>
      </c>
      <c r="O259" t="str">
        <f>IF(ISNUMBER(SEARCH(Table4[[#This Row],[MMC Method]],Table4[[#This Row],[Compatible Systems]])),"YES","NO")</f>
        <v>YES</v>
      </c>
      <c r="P259" t="e">
        <f>GETPIVOTDATA("Sum of A1-A3 Fossil kg CO2e/m^2 wall area",'COMPONENT PIVOT REF'!$I$3,"System Name",Table4[[#This Row],[Ext Finish]])</f>
        <v>#REF!</v>
      </c>
      <c r="Q259" t="e">
        <f>GETPIVOTDATA("Sum of  R value (m^2-K/W)",'COMPONENT PIVOT REF'!$I$3,"System Name",Table4[[#This Row],[Ext Finish]])</f>
        <v>#REF!</v>
      </c>
      <c r="R259" t="e">
        <f>GETPIVOTDATA("Sum of Total Mass per m^2 (kg)",'COMPONENT PIVOT REF'!$I$3,"System Name",Table4[[#This Row],[Ext Finish]])</f>
        <v>#REF!</v>
      </c>
      <c r="T259">
        <f>_xlfn.XLOOKUP(Table4[[#This Row],[Int Finish]],Master_Table6[System Name],Master_Table6[System Name (Short)],FALSE)</f>
        <v>0</v>
      </c>
      <c r="U259" t="e">
        <f>GETPIVOTDATA("Sum of A1-A3 Fossil kg CO2e/m^2 wall area",'COMPONENT PIVOT REF'!$P$3,"System Name",Table4[[#This Row],[Int Finish]])</f>
        <v>#REF!</v>
      </c>
      <c r="V259" t="e">
        <f>GETPIVOTDATA("Sum of  R value (m^2-K/W)",'COMPONENT PIVOT REF'!$P$3,"System Name",Table4[[#This Row],[Int Finish]])</f>
        <v>#REF!</v>
      </c>
      <c r="W259" t="e">
        <f>GETPIVOTDATA("Sum of Total Mass per m^2 (kg)",'COMPONENT PIVOT REF'!$P$3,"System Name",Table4[[#This Row],[Int Finish]])</f>
        <v>#REF!</v>
      </c>
      <c r="X259" t="e">
        <f>Table4[[#This Row],[Ext Finish GWP]]+Table4[[#This Row],[Base GWP]]+Table4[[#This Row],[Int Finish GWP]]</f>
        <v>#REF!</v>
      </c>
      <c r="Y259" t="e">
        <f>Table4[[#This Row],[Ext Finish R Value]]+Table4[[#This Row],[Base R Value]]+Table4[[#This Row],[Int Finish R Value]]</f>
        <v>#REF!</v>
      </c>
      <c r="Z259" t="e">
        <f>1/Table4[[#This Row],[Total R value]]</f>
        <v>#REF!</v>
      </c>
      <c r="AA259" t="e">
        <f>Table4[[#This Row],[Int Finish Mass]]+Table4[[#This Row],[Ext Finish Mass]]+Table4[[#This Row],[Base Mass]]</f>
        <v>#REF!</v>
      </c>
    </row>
    <row r="260" spans="3:27" x14ac:dyDescent="0.35">
      <c r="C260" t="str">
        <f>_xlfn.CONCAT(Table4[[#This Row],[System Name (Short)]],"_",Table4[[#This Row],[Ext Finish Name (Short)]],"_",Table4[[#This Row],[Int Finish Name (Short)]])</f>
        <v>0_0_0</v>
      </c>
      <c r="E260">
        <f>_xlfn.XLOOKUP(Table4[[#This Row],[Base System]],BASE_SYSTEM_TABLE[System Name],BASE_SYSTEM_TABLE[System Name (Short)],FALSE)</f>
        <v>0</v>
      </c>
      <c r="F260">
        <f>_xlfn.XLOOKUP(Table4[[#This Row],[Base System]],BASE_SYSTEM_TABLE[System Name],BASE_SYSTEM_TABLE[System Type],FALSE)</f>
        <v>0</v>
      </c>
      <c r="G260">
        <f>_xlfn.XLOOKUP(Table4[[#This Row],[Base System]],BASE_SYSTEM_TABLE[System Name],BASE_SYSTEM_TABLE[System Subtype],FALSE)</f>
        <v>0</v>
      </c>
      <c r="H260">
        <f>_xlfn.XLOOKUP(Table4[[#This Row],[Base System]],BASE_SYSTEM_TABLE[System Name],BASE_SYSTEM_TABLE[Construction Type (Framed or Planar)],FALSE)</f>
        <v>0</v>
      </c>
      <c r="I260" t="e">
        <f>GETPIVOTDATA("Sum of A1-A3 Fossil kg CO2e/m^2 wall area",'COMPONENT PIVOT REF'!$A$3,"System Name",Table4[[#This Row],[Base System]])</f>
        <v>#REF!</v>
      </c>
      <c r="J260" t="e">
        <f>GETPIVOTDATA("Sum of  R value (m^2-K/W)",'COMPONENT PIVOT REF'!$A$3,"System Name",Table4[[#This Row],[Base System]])</f>
        <v>#REF!</v>
      </c>
      <c r="K260" t="e">
        <f>GETPIVOTDATA("Sum of Total Mass per m^2 (kg)",'COMPONENT PIVOT REF'!$A$3,"System Name",Table4[[#This Row],[Base System]])</f>
        <v>#REF!</v>
      </c>
      <c r="M260">
        <f>_xlfn.XLOOKUP(Table4[[#This Row],[Ext Finish]],Master_Table4[System Name],Master_Table4[System Name (Short)],FALSE)</f>
        <v>0</v>
      </c>
      <c r="N260">
        <f>_xlfn.XLOOKUP(Table4[[#This Row],[Ext Finish]],Master_Table4[System Name],Master_Table4[Compatible Systems],FALSE)</f>
        <v>0</v>
      </c>
      <c r="O260" t="str">
        <f>IF(ISNUMBER(SEARCH(Table4[[#This Row],[MMC Method]],Table4[[#This Row],[Compatible Systems]])),"YES","NO")</f>
        <v>YES</v>
      </c>
      <c r="P260" t="e">
        <f>GETPIVOTDATA("Sum of A1-A3 Fossil kg CO2e/m^2 wall area",'COMPONENT PIVOT REF'!$I$3,"System Name",Table4[[#This Row],[Ext Finish]])</f>
        <v>#REF!</v>
      </c>
      <c r="Q260" t="e">
        <f>GETPIVOTDATA("Sum of  R value (m^2-K/W)",'COMPONENT PIVOT REF'!$I$3,"System Name",Table4[[#This Row],[Ext Finish]])</f>
        <v>#REF!</v>
      </c>
      <c r="R260" t="e">
        <f>GETPIVOTDATA("Sum of Total Mass per m^2 (kg)",'COMPONENT PIVOT REF'!$I$3,"System Name",Table4[[#This Row],[Ext Finish]])</f>
        <v>#REF!</v>
      </c>
      <c r="T260">
        <f>_xlfn.XLOOKUP(Table4[[#This Row],[Int Finish]],Master_Table6[System Name],Master_Table6[System Name (Short)],FALSE)</f>
        <v>0</v>
      </c>
      <c r="U260" t="e">
        <f>GETPIVOTDATA("Sum of A1-A3 Fossil kg CO2e/m^2 wall area",'COMPONENT PIVOT REF'!$P$3,"System Name",Table4[[#This Row],[Int Finish]])</f>
        <v>#REF!</v>
      </c>
      <c r="V260" t="e">
        <f>GETPIVOTDATA("Sum of  R value (m^2-K/W)",'COMPONENT PIVOT REF'!$P$3,"System Name",Table4[[#This Row],[Int Finish]])</f>
        <v>#REF!</v>
      </c>
      <c r="W260" t="e">
        <f>GETPIVOTDATA("Sum of Total Mass per m^2 (kg)",'COMPONENT PIVOT REF'!$P$3,"System Name",Table4[[#This Row],[Int Finish]])</f>
        <v>#REF!</v>
      </c>
      <c r="X260" t="e">
        <f>Table4[[#This Row],[Ext Finish GWP]]+Table4[[#This Row],[Base GWP]]+Table4[[#This Row],[Int Finish GWP]]</f>
        <v>#REF!</v>
      </c>
      <c r="Y260" t="e">
        <f>Table4[[#This Row],[Ext Finish R Value]]+Table4[[#This Row],[Base R Value]]+Table4[[#This Row],[Int Finish R Value]]</f>
        <v>#REF!</v>
      </c>
      <c r="Z260" t="e">
        <f>1/Table4[[#This Row],[Total R value]]</f>
        <v>#REF!</v>
      </c>
      <c r="AA260" t="e">
        <f>Table4[[#This Row],[Int Finish Mass]]+Table4[[#This Row],[Ext Finish Mass]]+Table4[[#This Row],[Base Mass]]</f>
        <v>#REF!</v>
      </c>
    </row>
    <row r="261" spans="3:27" x14ac:dyDescent="0.35">
      <c r="C261" t="str">
        <f>_xlfn.CONCAT(Table4[[#This Row],[System Name (Short)]],"_",Table4[[#This Row],[Ext Finish Name (Short)]],"_",Table4[[#This Row],[Int Finish Name (Short)]])</f>
        <v>0_0_0</v>
      </c>
      <c r="E261">
        <f>_xlfn.XLOOKUP(Table4[[#This Row],[Base System]],BASE_SYSTEM_TABLE[System Name],BASE_SYSTEM_TABLE[System Name (Short)],FALSE)</f>
        <v>0</v>
      </c>
      <c r="F261">
        <f>_xlfn.XLOOKUP(Table4[[#This Row],[Base System]],BASE_SYSTEM_TABLE[System Name],BASE_SYSTEM_TABLE[System Type],FALSE)</f>
        <v>0</v>
      </c>
      <c r="G261">
        <f>_xlfn.XLOOKUP(Table4[[#This Row],[Base System]],BASE_SYSTEM_TABLE[System Name],BASE_SYSTEM_TABLE[System Subtype],FALSE)</f>
        <v>0</v>
      </c>
      <c r="H261">
        <f>_xlfn.XLOOKUP(Table4[[#This Row],[Base System]],BASE_SYSTEM_TABLE[System Name],BASE_SYSTEM_TABLE[Construction Type (Framed or Planar)],FALSE)</f>
        <v>0</v>
      </c>
      <c r="I261" t="e">
        <f>GETPIVOTDATA("Sum of A1-A3 Fossil kg CO2e/m^2 wall area",'COMPONENT PIVOT REF'!$A$3,"System Name",Table4[[#This Row],[Base System]])</f>
        <v>#REF!</v>
      </c>
      <c r="J261" t="e">
        <f>GETPIVOTDATA("Sum of  R value (m^2-K/W)",'COMPONENT PIVOT REF'!$A$3,"System Name",Table4[[#This Row],[Base System]])</f>
        <v>#REF!</v>
      </c>
      <c r="K261" t="e">
        <f>GETPIVOTDATA("Sum of Total Mass per m^2 (kg)",'COMPONENT PIVOT REF'!$A$3,"System Name",Table4[[#This Row],[Base System]])</f>
        <v>#REF!</v>
      </c>
      <c r="M261">
        <f>_xlfn.XLOOKUP(Table4[[#This Row],[Ext Finish]],Master_Table4[System Name],Master_Table4[System Name (Short)],FALSE)</f>
        <v>0</v>
      </c>
      <c r="N261">
        <f>_xlfn.XLOOKUP(Table4[[#This Row],[Ext Finish]],Master_Table4[System Name],Master_Table4[Compatible Systems],FALSE)</f>
        <v>0</v>
      </c>
      <c r="O261" t="str">
        <f>IF(ISNUMBER(SEARCH(Table4[[#This Row],[MMC Method]],Table4[[#This Row],[Compatible Systems]])),"YES","NO")</f>
        <v>YES</v>
      </c>
      <c r="P261" t="e">
        <f>GETPIVOTDATA("Sum of A1-A3 Fossil kg CO2e/m^2 wall area",'COMPONENT PIVOT REF'!$I$3,"System Name",Table4[[#This Row],[Ext Finish]])</f>
        <v>#REF!</v>
      </c>
      <c r="Q261" t="e">
        <f>GETPIVOTDATA("Sum of  R value (m^2-K/W)",'COMPONENT PIVOT REF'!$I$3,"System Name",Table4[[#This Row],[Ext Finish]])</f>
        <v>#REF!</v>
      </c>
      <c r="R261" t="e">
        <f>GETPIVOTDATA("Sum of Total Mass per m^2 (kg)",'COMPONENT PIVOT REF'!$I$3,"System Name",Table4[[#This Row],[Ext Finish]])</f>
        <v>#REF!</v>
      </c>
      <c r="T261">
        <f>_xlfn.XLOOKUP(Table4[[#This Row],[Int Finish]],Master_Table6[System Name],Master_Table6[System Name (Short)],FALSE)</f>
        <v>0</v>
      </c>
      <c r="U261" t="e">
        <f>GETPIVOTDATA("Sum of A1-A3 Fossil kg CO2e/m^2 wall area",'COMPONENT PIVOT REF'!$P$3,"System Name",Table4[[#This Row],[Int Finish]])</f>
        <v>#REF!</v>
      </c>
      <c r="V261" t="e">
        <f>GETPIVOTDATA("Sum of  R value (m^2-K/W)",'COMPONENT PIVOT REF'!$P$3,"System Name",Table4[[#This Row],[Int Finish]])</f>
        <v>#REF!</v>
      </c>
      <c r="W261" t="e">
        <f>GETPIVOTDATA("Sum of Total Mass per m^2 (kg)",'COMPONENT PIVOT REF'!$P$3,"System Name",Table4[[#This Row],[Int Finish]])</f>
        <v>#REF!</v>
      </c>
      <c r="X261" t="e">
        <f>Table4[[#This Row],[Ext Finish GWP]]+Table4[[#This Row],[Base GWP]]+Table4[[#This Row],[Int Finish GWP]]</f>
        <v>#REF!</v>
      </c>
      <c r="Y261" t="e">
        <f>Table4[[#This Row],[Ext Finish R Value]]+Table4[[#This Row],[Base R Value]]+Table4[[#This Row],[Int Finish R Value]]</f>
        <v>#REF!</v>
      </c>
      <c r="Z261" t="e">
        <f>1/Table4[[#This Row],[Total R value]]</f>
        <v>#REF!</v>
      </c>
      <c r="AA261" t="e">
        <f>Table4[[#This Row],[Int Finish Mass]]+Table4[[#This Row],[Ext Finish Mass]]+Table4[[#This Row],[Base Mass]]</f>
        <v>#REF!</v>
      </c>
    </row>
    <row r="262" spans="3:27" x14ac:dyDescent="0.35">
      <c r="C262" t="str">
        <f>_xlfn.CONCAT(Table4[[#This Row],[System Name (Short)]],"_",Table4[[#This Row],[Ext Finish Name (Short)]],"_",Table4[[#This Row],[Int Finish Name (Short)]])</f>
        <v>0_0_0</v>
      </c>
      <c r="E262">
        <f>_xlfn.XLOOKUP(Table4[[#This Row],[Base System]],BASE_SYSTEM_TABLE[System Name],BASE_SYSTEM_TABLE[System Name (Short)],FALSE)</f>
        <v>0</v>
      </c>
      <c r="F262">
        <f>_xlfn.XLOOKUP(Table4[[#This Row],[Base System]],BASE_SYSTEM_TABLE[System Name],BASE_SYSTEM_TABLE[System Type],FALSE)</f>
        <v>0</v>
      </c>
      <c r="G262">
        <f>_xlfn.XLOOKUP(Table4[[#This Row],[Base System]],BASE_SYSTEM_TABLE[System Name],BASE_SYSTEM_TABLE[System Subtype],FALSE)</f>
        <v>0</v>
      </c>
      <c r="H262">
        <f>_xlfn.XLOOKUP(Table4[[#This Row],[Base System]],BASE_SYSTEM_TABLE[System Name],BASE_SYSTEM_TABLE[Construction Type (Framed or Planar)],FALSE)</f>
        <v>0</v>
      </c>
      <c r="I262" t="e">
        <f>GETPIVOTDATA("Sum of A1-A3 Fossil kg CO2e/m^2 wall area",'COMPONENT PIVOT REF'!$A$3,"System Name",Table4[[#This Row],[Base System]])</f>
        <v>#REF!</v>
      </c>
      <c r="J262" t="e">
        <f>GETPIVOTDATA("Sum of  R value (m^2-K/W)",'COMPONENT PIVOT REF'!$A$3,"System Name",Table4[[#This Row],[Base System]])</f>
        <v>#REF!</v>
      </c>
      <c r="K262" t="e">
        <f>GETPIVOTDATA("Sum of Total Mass per m^2 (kg)",'COMPONENT PIVOT REF'!$A$3,"System Name",Table4[[#This Row],[Base System]])</f>
        <v>#REF!</v>
      </c>
      <c r="M262">
        <f>_xlfn.XLOOKUP(Table4[[#This Row],[Ext Finish]],Master_Table4[System Name],Master_Table4[System Name (Short)],FALSE)</f>
        <v>0</v>
      </c>
      <c r="N262">
        <f>_xlfn.XLOOKUP(Table4[[#This Row],[Ext Finish]],Master_Table4[System Name],Master_Table4[Compatible Systems],FALSE)</f>
        <v>0</v>
      </c>
      <c r="O262" t="str">
        <f>IF(ISNUMBER(SEARCH(Table4[[#This Row],[MMC Method]],Table4[[#This Row],[Compatible Systems]])),"YES","NO")</f>
        <v>YES</v>
      </c>
      <c r="P262" t="e">
        <f>GETPIVOTDATA("Sum of A1-A3 Fossil kg CO2e/m^2 wall area",'COMPONENT PIVOT REF'!$I$3,"System Name",Table4[[#This Row],[Ext Finish]])</f>
        <v>#REF!</v>
      </c>
      <c r="Q262" t="e">
        <f>GETPIVOTDATA("Sum of  R value (m^2-K/W)",'COMPONENT PIVOT REF'!$I$3,"System Name",Table4[[#This Row],[Ext Finish]])</f>
        <v>#REF!</v>
      </c>
      <c r="R262" t="e">
        <f>GETPIVOTDATA("Sum of Total Mass per m^2 (kg)",'COMPONENT PIVOT REF'!$I$3,"System Name",Table4[[#This Row],[Ext Finish]])</f>
        <v>#REF!</v>
      </c>
      <c r="T262">
        <f>_xlfn.XLOOKUP(Table4[[#This Row],[Int Finish]],Master_Table6[System Name],Master_Table6[System Name (Short)],FALSE)</f>
        <v>0</v>
      </c>
      <c r="U262" t="e">
        <f>GETPIVOTDATA("Sum of A1-A3 Fossil kg CO2e/m^2 wall area",'COMPONENT PIVOT REF'!$P$3,"System Name",Table4[[#This Row],[Int Finish]])</f>
        <v>#REF!</v>
      </c>
      <c r="V262" t="e">
        <f>GETPIVOTDATA("Sum of  R value (m^2-K/W)",'COMPONENT PIVOT REF'!$P$3,"System Name",Table4[[#This Row],[Int Finish]])</f>
        <v>#REF!</v>
      </c>
      <c r="W262" t="e">
        <f>GETPIVOTDATA("Sum of Total Mass per m^2 (kg)",'COMPONENT PIVOT REF'!$P$3,"System Name",Table4[[#This Row],[Int Finish]])</f>
        <v>#REF!</v>
      </c>
      <c r="X262" t="e">
        <f>Table4[[#This Row],[Ext Finish GWP]]+Table4[[#This Row],[Base GWP]]+Table4[[#This Row],[Int Finish GWP]]</f>
        <v>#REF!</v>
      </c>
      <c r="Y262" t="e">
        <f>Table4[[#This Row],[Ext Finish R Value]]+Table4[[#This Row],[Base R Value]]+Table4[[#This Row],[Int Finish R Value]]</f>
        <v>#REF!</v>
      </c>
      <c r="Z262" t="e">
        <f>1/Table4[[#This Row],[Total R value]]</f>
        <v>#REF!</v>
      </c>
      <c r="AA262" t="e">
        <f>Table4[[#This Row],[Int Finish Mass]]+Table4[[#This Row],[Ext Finish Mass]]+Table4[[#This Row],[Base Mass]]</f>
        <v>#REF!</v>
      </c>
    </row>
    <row r="263" spans="3:27" x14ac:dyDescent="0.35">
      <c r="C263" t="str">
        <f>_xlfn.CONCAT(Table4[[#This Row],[System Name (Short)]],"_",Table4[[#This Row],[Ext Finish Name (Short)]],"_",Table4[[#This Row],[Int Finish Name (Short)]])</f>
        <v>0_0_0</v>
      </c>
      <c r="E263">
        <f>_xlfn.XLOOKUP(Table4[[#This Row],[Base System]],BASE_SYSTEM_TABLE[System Name],BASE_SYSTEM_TABLE[System Name (Short)],FALSE)</f>
        <v>0</v>
      </c>
      <c r="F263">
        <f>_xlfn.XLOOKUP(Table4[[#This Row],[Base System]],BASE_SYSTEM_TABLE[System Name],BASE_SYSTEM_TABLE[System Type],FALSE)</f>
        <v>0</v>
      </c>
      <c r="G263">
        <f>_xlfn.XLOOKUP(Table4[[#This Row],[Base System]],BASE_SYSTEM_TABLE[System Name],BASE_SYSTEM_TABLE[System Subtype],FALSE)</f>
        <v>0</v>
      </c>
      <c r="H263">
        <f>_xlfn.XLOOKUP(Table4[[#This Row],[Base System]],BASE_SYSTEM_TABLE[System Name],BASE_SYSTEM_TABLE[Construction Type (Framed or Planar)],FALSE)</f>
        <v>0</v>
      </c>
      <c r="I263" t="e">
        <f>GETPIVOTDATA("Sum of A1-A3 Fossil kg CO2e/m^2 wall area",'COMPONENT PIVOT REF'!$A$3,"System Name",Table4[[#This Row],[Base System]])</f>
        <v>#REF!</v>
      </c>
      <c r="J263" t="e">
        <f>GETPIVOTDATA("Sum of  R value (m^2-K/W)",'COMPONENT PIVOT REF'!$A$3,"System Name",Table4[[#This Row],[Base System]])</f>
        <v>#REF!</v>
      </c>
      <c r="K263" t="e">
        <f>GETPIVOTDATA("Sum of Total Mass per m^2 (kg)",'COMPONENT PIVOT REF'!$A$3,"System Name",Table4[[#This Row],[Base System]])</f>
        <v>#REF!</v>
      </c>
      <c r="M263">
        <f>_xlfn.XLOOKUP(Table4[[#This Row],[Ext Finish]],Master_Table4[System Name],Master_Table4[System Name (Short)],FALSE)</f>
        <v>0</v>
      </c>
      <c r="N263">
        <f>_xlfn.XLOOKUP(Table4[[#This Row],[Ext Finish]],Master_Table4[System Name],Master_Table4[Compatible Systems],FALSE)</f>
        <v>0</v>
      </c>
      <c r="O263" t="str">
        <f>IF(ISNUMBER(SEARCH(Table4[[#This Row],[MMC Method]],Table4[[#This Row],[Compatible Systems]])),"YES","NO")</f>
        <v>YES</v>
      </c>
      <c r="P263" t="e">
        <f>GETPIVOTDATA("Sum of A1-A3 Fossil kg CO2e/m^2 wall area",'COMPONENT PIVOT REF'!$I$3,"System Name",Table4[[#This Row],[Ext Finish]])</f>
        <v>#REF!</v>
      </c>
      <c r="Q263" t="e">
        <f>GETPIVOTDATA("Sum of  R value (m^2-K/W)",'COMPONENT PIVOT REF'!$I$3,"System Name",Table4[[#This Row],[Ext Finish]])</f>
        <v>#REF!</v>
      </c>
      <c r="R263" t="e">
        <f>GETPIVOTDATA("Sum of Total Mass per m^2 (kg)",'COMPONENT PIVOT REF'!$I$3,"System Name",Table4[[#This Row],[Ext Finish]])</f>
        <v>#REF!</v>
      </c>
      <c r="T263">
        <f>_xlfn.XLOOKUP(Table4[[#This Row],[Int Finish]],Master_Table6[System Name],Master_Table6[System Name (Short)],FALSE)</f>
        <v>0</v>
      </c>
      <c r="U263" t="e">
        <f>GETPIVOTDATA("Sum of A1-A3 Fossil kg CO2e/m^2 wall area",'COMPONENT PIVOT REF'!$P$3,"System Name",Table4[[#This Row],[Int Finish]])</f>
        <v>#REF!</v>
      </c>
      <c r="V263" t="e">
        <f>GETPIVOTDATA("Sum of  R value (m^2-K/W)",'COMPONENT PIVOT REF'!$P$3,"System Name",Table4[[#This Row],[Int Finish]])</f>
        <v>#REF!</v>
      </c>
      <c r="W263" t="e">
        <f>GETPIVOTDATA("Sum of Total Mass per m^2 (kg)",'COMPONENT PIVOT REF'!$P$3,"System Name",Table4[[#This Row],[Int Finish]])</f>
        <v>#REF!</v>
      </c>
      <c r="X263" t="e">
        <f>Table4[[#This Row],[Ext Finish GWP]]+Table4[[#This Row],[Base GWP]]+Table4[[#This Row],[Int Finish GWP]]</f>
        <v>#REF!</v>
      </c>
      <c r="Y263" t="e">
        <f>Table4[[#This Row],[Ext Finish R Value]]+Table4[[#This Row],[Base R Value]]+Table4[[#This Row],[Int Finish R Value]]</f>
        <v>#REF!</v>
      </c>
      <c r="Z263" t="e">
        <f>1/Table4[[#This Row],[Total R value]]</f>
        <v>#REF!</v>
      </c>
      <c r="AA263" t="e">
        <f>Table4[[#This Row],[Int Finish Mass]]+Table4[[#This Row],[Ext Finish Mass]]+Table4[[#This Row],[Base Mass]]</f>
        <v>#REF!</v>
      </c>
    </row>
    <row r="264" spans="3:27" x14ac:dyDescent="0.35">
      <c r="C264" t="str">
        <f>_xlfn.CONCAT(Table4[[#This Row],[System Name (Short)]],"_",Table4[[#This Row],[Ext Finish Name (Short)]],"_",Table4[[#This Row],[Int Finish Name (Short)]])</f>
        <v>0_0_0</v>
      </c>
      <c r="E264">
        <f>_xlfn.XLOOKUP(Table4[[#This Row],[Base System]],BASE_SYSTEM_TABLE[System Name],BASE_SYSTEM_TABLE[System Name (Short)],FALSE)</f>
        <v>0</v>
      </c>
      <c r="F264">
        <f>_xlfn.XLOOKUP(Table4[[#This Row],[Base System]],BASE_SYSTEM_TABLE[System Name],BASE_SYSTEM_TABLE[System Type],FALSE)</f>
        <v>0</v>
      </c>
      <c r="G264">
        <f>_xlfn.XLOOKUP(Table4[[#This Row],[Base System]],BASE_SYSTEM_TABLE[System Name],BASE_SYSTEM_TABLE[System Subtype],FALSE)</f>
        <v>0</v>
      </c>
      <c r="H264">
        <f>_xlfn.XLOOKUP(Table4[[#This Row],[Base System]],BASE_SYSTEM_TABLE[System Name],BASE_SYSTEM_TABLE[Construction Type (Framed or Planar)],FALSE)</f>
        <v>0</v>
      </c>
      <c r="I264" t="e">
        <f>GETPIVOTDATA("Sum of A1-A3 Fossil kg CO2e/m^2 wall area",'COMPONENT PIVOT REF'!$A$3,"System Name",Table4[[#This Row],[Base System]])</f>
        <v>#REF!</v>
      </c>
      <c r="J264" t="e">
        <f>GETPIVOTDATA("Sum of  R value (m^2-K/W)",'COMPONENT PIVOT REF'!$A$3,"System Name",Table4[[#This Row],[Base System]])</f>
        <v>#REF!</v>
      </c>
      <c r="K264" t="e">
        <f>GETPIVOTDATA("Sum of Total Mass per m^2 (kg)",'COMPONENT PIVOT REF'!$A$3,"System Name",Table4[[#This Row],[Base System]])</f>
        <v>#REF!</v>
      </c>
      <c r="M264">
        <f>_xlfn.XLOOKUP(Table4[[#This Row],[Ext Finish]],Master_Table4[System Name],Master_Table4[System Name (Short)],FALSE)</f>
        <v>0</v>
      </c>
      <c r="N264">
        <f>_xlfn.XLOOKUP(Table4[[#This Row],[Ext Finish]],Master_Table4[System Name],Master_Table4[Compatible Systems],FALSE)</f>
        <v>0</v>
      </c>
      <c r="O264" t="str">
        <f>IF(ISNUMBER(SEARCH(Table4[[#This Row],[MMC Method]],Table4[[#This Row],[Compatible Systems]])),"YES","NO")</f>
        <v>YES</v>
      </c>
      <c r="P264" t="e">
        <f>GETPIVOTDATA("Sum of A1-A3 Fossil kg CO2e/m^2 wall area",'COMPONENT PIVOT REF'!$I$3,"System Name",Table4[[#This Row],[Ext Finish]])</f>
        <v>#REF!</v>
      </c>
      <c r="Q264" t="e">
        <f>GETPIVOTDATA("Sum of  R value (m^2-K/W)",'COMPONENT PIVOT REF'!$I$3,"System Name",Table4[[#This Row],[Ext Finish]])</f>
        <v>#REF!</v>
      </c>
      <c r="R264" t="e">
        <f>GETPIVOTDATA("Sum of Total Mass per m^2 (kg)",'COMPONENT PIVOT REF'!$I$3,"System Name",Table4[[#This Row],[Ext Finish]])</f>
        <v>#REF!</v>
      </c>
      <c r="T264">
        <f>_xlfn.XLOOKUP(Table4[[#This Row],[Int Finish]],Master_Table6[System Name],Master_Table6[System Name (Short)],FALSE)</f>
        <v>0</v>
      </c>
      <c r="U264" t="e">
        <f>GETPIVOTDATA("Sum of A1-A3 Fossil kg CO2e/m^2 wall area",'COMPONENT PIVOT REF'!$P$3,"System Name",Table4[[#This Row],[Int Finish]])</f>
        <v>#REF!</v>
      </c>
      <c r="V264" t="e">
        <f>GETPIVOTDATA("Sum of  R value (m^2-K/W)",'COMPONENT PIVOT REF'!$P$3,"System Name",Table4[[#This Row],[Int Finish]])</f>
        <v>#REF!</v>
      </c>
      <c r="W264" t="e">
        <f>GETPIVOTDATA("Sum of Total Mass per m^2 (kg)",'COMPONENT PIVOT REF'!$P$3,"System Name",Table4[[#This Row],[Int Finish]])</f>
        <v>#REF!</v>
      </c>
      <c r="X264" t="e">
        <f>Table4[[#This Row],[Ext Finish GWP]]+Table4[[#This Row],[Base GWP]]+Table4[[#This Row],[Int Finish GWP]]</f>
        <v>#REF!</v>
      </c>
      <c r="Y264" t="e">
        <f>Table4[[#This Row],[Ext Finish R Value]]+Table4[[#This Row],[Base R Value]]+Table4[[#This Row],[Int Finish R Value]]</f>
        <v>#REF!</v>
      </c>
      <c r="Z264" t="e">
        <f>1/Table4[[#This Row],[Total R value]]</f>
        <v>#REF!</v>
      </c>
      <c r="AA264" t="e">
        <f>Table4[[#This Row],[Int Finish Mass]]+Table4[[#This Row],[Ext Finish Mass]]+Table4[[#This Row],[Base Mass]]</f>
        <v>#REF!</v>
      </c>
    </row>
    <row r="265" spans="3:27" x14ac:dyDescent="0.35">
      <c r="C265" t="str">
        <f>_xlfn.CONCAT(Table4[[#This Row],[System Name (Short)]],"_",Table4[[#This Row],[Ext Finish Name (Short)]],"_",Table4[[#This Row],[Int Finish Name (Short)]])</f>
        <v>0_0_0</v>
      </c>
      <c r="E265">
        <f>_xlfn.XLOOKUP(Table4[[#This Row],[Base System]],BASE_SYSTEM_TABLE[System Name],BASE_SYSTEM_TABLE[System Name (Short)],FALSE)</f>
        <v>0</v>
      </c>
      <c r="F265">
        <f>_xlfn.XLOOKUP(Table4[[#This Row],[Base System]],BASE_SYSTEM_TABLE[System Name],BASE_SYSTEM_TABLE[System Type],FALSE)</f>
        <v>0</v>
      </c>
      <c r="G265">
        <f>_xlfn.XLOOKUP(Table4[[#This Row],[Base System]],BASE_SYSTEM_TABLE[System Name],BASE_SYSTEM_TABLE[System Subtype],FALSE)</f>
        <v>0</v>
      </c>
      <c r="H265">
        <f>_xlfn.XLOOKUP(Table4[[#This Row],[Base System]],BASE_SYSTEM_TABLE[System Name],BASE_SYSTEM_TABLE[Construction Type (Framed or Planar)],FALSE)</f>
        <v>0</v>
      </c>
      <c r="I265" t="e">
        <f>GETPIVOTDATA("Sum of A1-A3 Fossil kg CO2e/m^2 wall area",'COMPONENT PIVOT REF'!$A$3,"System Name",Table4[[#This Row],[Base System]])</f>
        <v>#REF!</v>
      </c>
      <c r="J265" t="e">
        <f>GETPIVOTDATA("Sum of  R value (m^2-K/W)",'COMPONENT PIVOT REF'!$A$3,"System Name",Table4[[#This Row],[Base System]])</f>
        <v>#REF!</v>
      </c>
      <c r="K265" t="e">
        <f>GETPIVOTDATA("Sum of Total Mass per m^2 (kg)",'COMPONENT PIVOT REF'!$A$3,"System Name",Table4[[#This Row],[Base System]])</f>
        <v>#REF!</v>
      </c>
      <c r="M265">
        <f>_xlfn.XLOOKUP(Table4[[#This Row],[Ext Finish]],Master_Table4[System Name],Master_Table4[System Name (Short)],FALSE)</f>
        <v>0</v>
      </c>
      <c r="N265">
        <f>_xlfn.XLOOKUP(Table4[[#This Row],[Ext Finish]],Master_Table4[System Name],Master_Table4[Compatible Systems],FALSE)</f>
        <v>0</v>
      </c>
      <c r="O265" t="str">
        <f>IF(ISNUMBER(SEARCH(Table4[[#This Row],[MMC Method]],Table4[[#This Row],[Compatible Systems]])),"YES","NO")</f>
        <v>YES</v>
      </c>
      <c r="P265" t="e">
        <f>GETPIVOTDATA("Sum of A1-A3 Fossil kg CO2e/m^2 wall area",'COMPONENT PIVOT REF'!$I$3,"System Name",Table4[[#This Row],[Ext Finish]])</f>
        <v>#REF!</v>
      </c>
      <c r="Q265" t="e">
        <f>GETPIVOTDATA("Sum of  R value (m^2-K/W)",'COMPONENT PIVOT REF'!$I$3,"System Name",Table4[[#This Row],[Ext Finish]])</f>
        <v>#REF!</v>
      </c>
      <c r="R265" t="e">
        <f>GETPIVOTDATA("Sum of Total Mass per m^2 (kg)",'COMPONENT PIVOT REF'!$I$3,"System Name",Table4[[#This Row],[Ext Finish]])</f>
        <v>#REF!</v>
      </c>
      <c r="T265">
        <f>_xlfn.XLOOKUP(Table4[[#This Row],[Int Finish]],Master_Table6[System Name],Master_Table6[System Name (Short)],FALSE)</f>
        <v>0</v>
      </c>
      <c r="U265" t="e">
        <f>GETPIVOTDATA("Sum of A1-A3 Fossil kg CO2e/m^2 wall area",'COMPONENT PIVOT REF'!$P$3,"System Name",Table4[[#This Row],[Int Finish]])</f>
        <v>#REF!</v>
      </c>
      <c r="V265" t="e">
        <f>GETPIVOTDATA("Sum of  R value (m^2-K/W)",'COMPONENT PIVOT REF'!$P$3,"System Name",Table4[[#This Row],[Int Finish]])</f>
        <v>#REF!</v>
      </c>
      <c r="W265" t="e">
        <f>GETPIVOTDATA("Sum of Total Mass per m^2 (kg)",'COMPONENT PIVOT REF'!$P$3,"System Name",Table4[[#This Row],[Int Finish]])</f>
        <v>#REF!</v>
      </c>
      <c r="X265" t="e">
        <f>Table4[[#This Row],[Ext Finish GWP]]+Table4[[#This Row],[Base GWP]]+Table4[[#This Row],[Int Finish GWP]]</f>
        <v>#REF!</v>
      </c>
      <c r="Y265" t="e">
        <f>Table4[[#This Row],[Ext Finish R Value]]+Table4[[#This Row],[Base R Value]]+Table4[[#This Row],[Int Finish R Value]]</f>
        <v>#REF!</v>
      </c>
      <c r="Z265" t="e">
        <f>1/Table4[[#This Row],[Total R value]]</f>
        <v>#REF!</v>
      </c>
      <c r="AA265" t="e">
        <f>Table4[[#This Row],[Int Finish Mass]]+Table4[[#This Row],[Ext Finish Mass]]+Table4[[#This Row],[Base Mass]]</f>
        <v>#REF!</v>
      </c>
    </row>
    <row r="266" spans="3:27" x14ac:dyDescent="0.35">
      <c r="C266" t="str">
        <f>_xlfn.CONCAT(Table4[[#This Row],[System Name (Short)]],"_",Table4[[#This Row],[Ext Finish Name (Short)]],"_",Table4[[#This Row],[Int Finish Name (Short)]])</f>
        <v>0_0_0</v>
      </c>
      <c r="E266">
        <f>_xlfn.XLOOKUP(Table4[[#This Row],[Base System]],BASE_SYSTEM_TABLE[System Name],BASE_SYSTEM_TABLE[System Name (Short)],FALSE)</f>
        <v>0</v>
      </c>
      <c r="F266">
        <f>_xlfn.XLOOKUP(Table4[[#This Row],[Base System]],BASE_SYSTEM_TABLE[System Name],BASE_SYSTEM_TABLE[System Type],FALSE)</f>
        <v>0</v>
      </c>
      <c r="G266">
        <f>_xlfn.XLOOKUP(Table4[[#This Row],[Base System]],BASE_SYSTEM_TABLE[System Name],BASE_SYSTEM_TABLE[System Subtype],FALSE)</f>
        <v>0</v>
      </c>
      <c r="H266">
        <f>_xlfn.XLOOKUP(Table4[[#This Row],[Base System]],BASE_SYSTEM_TABLE[System Name],BASE_SYSTEM_TABLE[Construction Type (Framed or Planar)],FALSE)</f>
        <v>0</v>
      </c>
      <c r="I266" t="e">
        <f>GETPIVOTDATA("Sum of A1-A3 Fossil kg CO2e/m^2 wall area",'COMPONENT PIVOT REF'!$A$3,"System Name",Table4[[#This Row],[Base System]])</f>
        <v>#REF!</v>
      </c>
      <c r="J266" t="e">
        <f>GETPIVOTDATA("Sum of  R value (m^2-K/W)",'COMPONENT PIVOT REF'!$A$3,"System Name",Table4[[#This Row],[Base System]])</f>
        <v>#REF!</v>
      </c>
      <c r="K266" t="e">
        <f>GETPIVOTDATA("Sum of Total Mass per m^2 (kg)",'COMPONENT PIVOT REF'!$A$3,"System Name",Table4[[#This Row],[Base System]])</f>
        <v>#REF!</v>
      </c>
      <c r="M266">
        <f>_xlfn.XLOOKUP(Table4[[#This Row],[Ext Finish]],Master_Table4[System Name],Master_Table4[System Name (Short)],FALSE)</f>
        <v>0</v>
      </c>
      <c r="N266">
        <f>_xlfn.XLOOKUP(Table4[[#This Row],[Ext Finish]],Master_Table4[System Name],Master_Table4[Compatible Systems],FALSE)</f>
        <v>0</v>
      </c>
      <c r="O266" t="str">
        <f>IF(ISNUMBER(SEARCH(Table4[[#This Row],[MMC Method]],Table4[[#This Row],[Compatible Systems]])),"YES","NO")</f>
        <v>YES</v>
      </c>
      <c r="P266" t="e">
        <f>GETPIVOTDATA("Sum of A1-A3 Fossil kg CO2e/m^2 wall area",'COMPONENT PIVOT REF'!$I$3,"System Name",Table4[[#This Row],[Ext Finish]])</f>
        <v>#REF!</v>
      </c>
      <c r="Q266" t="e">
        <f>GETPIVOTDATA("Sum of  R value (m^2-K/W)",'COMPONENT PIVOT REF'!$I$3,"System Name",Table4[[#This Row],[Ext Finish]])</f>
        <v>#REF!</v>
      </c>
      <c r="R266" t="e">
        <f>GETPIVOTDATA("Sum of Total Mass per m^2 (kg)",'COMPONENT PIVOT REF'!$I$3,"System Name",Table4[[#This Row],[Ext Finish]])</f>
        <v>#REF!</v>
      </c>
      <c r="T266">
        <f>_xlfn.XLOOKUP(Table4[[#This Row],[Int Finish]],Master_Table6[System Name],Master_Table6[System Name (Short)],FALSE)</f>
        <v>0</v>
      </c>
      <c r="U266" t="e">
        <f>GETPIVOTDATA("Sum of A1-A3 Fossil kg CO2e/m^2 wall area",'COMPONENT PIVOT REF'!$P$3,"System Name",Table4[[#This Row],[Int Finish]])</f>
        <v>#REF!</v>
      </c>
      <c r="V266" t="e">
        <f>GETPIVOTDATA("Sum of  R value (m^2-K/W)",'COMPONENT PIVOT REF'!$P$3,"System Name",Table4[[#This Row],[Int Finish]])</f>
        <v>#REF!</v>
      </c>
      <c r="W266" t="e">
        <f>GETPIVOTDATA("Sum of Total Mass per m^2 (kg)",'COMPONENT PIVOT REF'!$P$3,"System Name",Table4[[#This Row],[Int Finish]])</f>
        <v>#REF!</v>
      </c>
      <c r="X266" t="e">
        <f>Table4[[#This Row],[Ext Finish GWP]]+Table4[[#This Row],[Base GWP]]+Table4[[#This Row],[Int Finish GWP]]</f>
        <v>#REF!</v>
      </c>
      <c r="Y266" t="e">
        <f>Table4[[#This Row],[Ext Finish R Value]]+Table4[[#This Row],[Base R Value]]+Table4[[#This Row],[Int Finish R Value]]</f>
        <v>#REF!</v>
      </c>
      <c r="Z266" t="e">
        <f>1/Table4[[#This Row],[Total R value]]</f>
        <v>#REF!</v>
      </c>
      <c r="AA266" t="e">
        <f>Table4[[#This Row],[Int Finish Mass]]+Table4[[#This Row],[Ext Finish Mass]]+Table4[[#This Row],[Base Mass]]</f>
        <v>#REF!</v>
      </c>
    </row>
    <row r="267" spans="3:27" x14ac:dyDescent="0.35">
      <c r="C267" t="str">
        <f>_xlfn.CONCAT(Table4[[#This Row],[System Name (Short)]],"_",Table4[[#This Row],[Ext Finish Name (Short)]],"_",Table4[[#This Row],[Int Finish Name (Short)]])</f>
        <v>0_0_0</v>
      </c>
      <c r="E267">
        <f>_xlfn.XLOOKUP(Table4[[#This Row],[Base System]],BASE_SYSTEM_TABLE[System Name],BASE_SYSTEM_TABLE[System Name (Short)],FALSE)</f>
        <v>0</v>
      </c>
      <c r="F267">
        <f>_xlfn.XLOOKUP(Table4[[#This Row],[Base System]],BASE_SYSTEM_TABLE[System Name],BASE_SYSTEM_TABLE[System Type],FALSE)</f>
        <v>0</v>
      </c>
      <c r="G267">
        <f>_xlfn.XLOOKUP(Table4[[#This Row],[Base System]],BASE_SYSTEM_TABLE[System Name],BASE_SYSTEM_TABLE[System Subtype],FALSE)</f>
        <v>0</v>
      </c>
      <c r="H267">
        <f>_xlfn.XLOOKUP(Table4[[#This Row],[Base System]],BASE_SYSTEM_TABLE[System Name],BASE_SYSTEM_TABLE[Construction Type (Framed or Planar)],FALSE)</f>
        <v>0</v>
      </c>
      <c r="I267" t="e">
        <f>GETPIVOTDATA("Sum of A1-A3 Fossil kg CO2e/m^2 wall area",'COMPONENT PIVOT REF'!$A$3,"System Name",Table4[[#This Row],[Base System]])</f>
        <v>#REF!</v>
      </c>
      <c r="J267" t="e">
        <f>GETPIVOTDATA("Sum of  R value (m^2-K/W)",'COMPONENT PIVOT REF'!$A$3,"System Name",Table4[[#This Row],[Base System]])</f>
        <v>#REF!</v>
      </c>
      <c r="K267" t="e">
        <f>GETPIVOTDATA("Sum of Total Mass per m^2 (kg)",'COMPONENT PIVOT REF'!$A$3,"System Name",Table4[[#This Row],[Base System]])</f>
        <v>#REF!</v>
      </c>
      <c r="M267">
        <f>_xlfn.XLOOKUP(Table4[[#This Row],[Ext Finish]],Master_Table4[System Name],Master_Table4[System Name (Short)],FALSE)</f>
        <v>0</v>
      </c>
      <c r="N267">
        <f>_xlfn.XLOOKUP(Table4[[#This Row],[Ext Finish]],Master_Table4[System Name],Master_Table4[Compatible Systems],FALSE)</f>
        <v>0</v>
      </c>
      <c r="O267" t="str">
        <f>IF(ISNUMBER(SEARCH(Table4[[#This Row],[MMC Method]],Table4[[#This Row],[Compatible Systems]])),"YES","NO")</f>
        <v>YES</v>
      </c>
      <c r="P267" t="e">
        <f>GETPIVOTDATA("Sum of A1-A3 Fossil kg CO2e/m^2 wall area",'COMPONENT PIVOT REF'!$I$3,"System Name",Table4[[#This Row],[Ext Finish]])</f>
        <v>#REF!</v>
      </c>
      <c r="Q267" t="e">
        <f>GETPIVOTDATA("Sum of  R value (m^2-K/W)",'COMPONENT PIVOT REF'!$I$3,"System Name",Table4[[#This Row],[Ext Finish]])</f>
        <v>#REF!</v>
      </c>
      <c r="R267" t="e">
        <f>GETPIVOTDATA("Sum of Total Mass per m^2 (kg)",'COMPONENT PIVOT REF'!$I$3,"System Name",Table4[[#This Row],[Ext Finish]])</f>
        <v>#REF!</v>
      </c>
      <c r="T267">
        <f>_xlfn.XLOOKUP(Table4[[#This Row],[Int Finish]],Master_Table6[System Name],Master_Table6[System Name (Short)],FALSE)</f>
        <v>0</v>
      </c>
      <c r="U267" t="e">
        <f>GETPIVOTDATA("Sum of A1-A3 Fossil kg CO2e/m^2 wall area",'COMPONENT PIVOT REF'!$P$3,"System Name",Table4[[#This Row],[Int Finish]])</f>
        <v>#REF!</v>
      </c>
      <c r="V267" t="e">
        <f>GETPIVOTDATA("Sum of  R value (m^2-K/W)",'COMPONENT PIVOT REF'!$P$3,"System Name",Table4[[#This Row],[Int Finish]])</f>
        <v>#REF!</v>
      </c>
      <c r="W267" t="e">
        <f>GETPIVOTDATA("Sum of Total Mass per m^2 (kg)",'COMPONENT PIVOT REF'!$P$3,"System Name",Table4[[#This Row],[Int Finish]])</f>
        <v>#REF!</v>
      </c>
      <c r="X267" t="e">
        <f>Table4[[#This Row],[Ext Finish GWP]]+Table4[[#This Row],[Base GWP]]+Table4[[#This Row],[Int Finish GWP]]</f>
        <v>#REF!</v>
      </c>
      <c r="Y267" t="e">
        <f>Table4[[#This Row],[Ext Finish R Value]]+Table4[[#This Row],[Base R Value]]+Table4[[#This Row],[Int Finish R Value]]</f>
        <v>#REF!</v>
      </c>
      <c r="Z267" t="e">
        <f>1/Table4[[#This Row],[Total R value]]</f>
        <v>#REF!</v>
      </c>
      <c r="AA267" t="e">
        <f>Table4[[#This Row],[Int Finish Mass]]+Table4[[#This Row],[Ext Finish Mass]]+Table4[[#This Row],[Base Mass]]</f>
        <v>#REF!</v>
      </c>
    </row>
    <row r="268" spans="3:27" x14ac:dyDescent="0.35">
      <c r="C268" t="str">
        <f>_xlfn.CONCAT(Table4[[#This Row],[System Name (Short)]],"_",Table4[[#This Row],[Ext Finish Name (Short)]],"_",Table4[[#This Row],[Int Finish Name (Short)]])</f>
        <v>0_0_0</v>
      </c>
      <c r="E268">
        <f>_xlfn.XLOOKUP(Table4[[#This Row],[Base System]],BASE_SYSTEM_TABLE[System Name],BASE_SYSTEM_TABLE[System Name (Short)],FALSE)</f>
        <v>0</v>
      </c>
      <c r="F268">
        <f>_xlfn.XLOOKUP(Table4[[#This Row],[Base System]],BASE_SYSTEM_TABLE[System Name],BASE_SYSTEM_TABLE[System Type],FALSE)</f>
        <v>0</v>
      </c>
      <c r="G268">
        <f>_xlfn.XLOOKUP(Table4[[#This Row],[Base System]],BASE_SYSTEM_TABLE[System Name],BASE_SYSTEM_TABLE[System Subtype],FALSE)</f>
        <v>0</v>
      </c>
      <c r="H268">
        <f>_xlfn.XLOOKUP(Table4[[#This Row],[Base System]],BASE_SYSTEM_TABLE[System Name],BASE_SYSTEM_TABLE[Construction Type (Framed or Planar)],FALSE)</f>
        <v>0</v>
      </c>
      <c r="I268" t="e">
        <f>GETPIVOTDATA("Sum of A1-A3 Fossil kg CO2e/m^2 wall area",'COMPONENT PIVOT REF'!$A$3,"System Name",Table4[[#This Row],[Base System]])</f>
        <v>#REF!</v>
      </c>
      <c r="J268" t="e">
        <f>GETPIVOTDATA("Sum of  R value (m^2-K/W)",'COMPONENT PIVOT REF'!$A$3,"System Name",Table4[[#This Row],[Base System]])</f>
        <v>#REF!</v>
      </c>
      <c r="K268" t="e">
        <f>GETPIVOTDATA("Sum of Total Mass per m^2 (kg)",'COMPONENT PIVOT REF'!$A$3,"System Name",Table4[[#This Row],[Base System]])</f>
        <v>#REF!</v>
      </c>
      <c r="M268">
        <f>_xlfn.XLOOKUP(Table4[[#This Row],[Ext Finish]],Master_Table4[System Name],Master_Table4[System Name (Short)],FALSE)</f>
        <v>0</v>
      </c>
      <c r="N268">
        <f>_xlfn.XLOOKUP(Table4[[#This Row],[Ext Finish]],Master_Table4[System Name],Master_Table4[Compatible Systems],FALSE)</f>
        <v>0</v>
      </c>
      <c r="O268" t="str">
        <f>IF(ISNUMBER(SEARCH(Table4[[#This Row],[MMC Method]],Table4[[#This Row],[Compatible Systems]])),"YES","NO")</f>
        <v>YES</v>
      </c>
      <c r="P268" t="e">
        <f>GETPIVOTDATA("Sum of A1-A3 Fossil kg CO2e/m^2 wall area",'COMPONENT PIVOT REF'!$I$3,"System Name",Table4[[#This Row],[Ext Finish]])</f>
        <v>#REF!</v>
      </c>
      <c r="Q268" t="e">
        <f>GETPIVOTDATA("Sum of  R value (m^2-K/W)",'COMPONENT PIVOT REF'!$I$3,"System Name",Table4[[#This Row],[Ext Finish]])</f>
        <v>#REF!</v>
      </c>
      <c r="R268" t="e">
        <f>GETPIVOTDATA("Sum of Total Mass per m^2 (kg)",'COMPONENT PIVOT REF'!$I$3,"System Name",Table4[[#This Row],[Ext Finish]])</f>
        <v>#REF!</v>
      </c>
      <c r="T268">
        <f>_xlfn.XLOOKUP(Table4[[#This Row],[Int Finish]],Master_Table6[System Name],Master_Table6[System Name (Short)],FALSE)</f>
        <v>0</v>
      </c>
      <c r="U268" t="e">
        <f>GETPIVOTDATA("Sum of A1-A3 Fossil kg CO2e/m^2 wall area",'COMPONENT PIVOT REF'!$P$3,"System Name",Table4[[#This Row],[Int Finish]])</f>
        <v>#REF!</v>
      </c>
      <c r="V268" t="e">
        <f>GETPIVOTDATA("Sum of  R value (m^2-K/W)",'COMPONENT PIVOT REF'!$P$3,"System Name",Table4[[#This Row],[Int Finish]])</f>
        <v>#REF!</v>
      </c>
      <c r="W268" t="e">
        <f>GETPIVOTDATA("Sum of Total Mass per m^2 (kg)",'COMPONENT PIVOT REF'!$P$3,"System Name",Table4[[#This Row],[Int Finish]])</f>
        <v>#REF!</v>
      </c>
      <c r="X268" t="e">
        <f>Table4[[#This Row],[Ext Finish GWP]]+Table4[[#This Row],[Base GWP]]+Table4[[#This Row],[Int Finish GWP]]</f>
        <v>#REF!</v>
      </c>
      <c r="Y268" t="e">
        <f>Table4[[#This Row],[Ext Finish R Value]]+Table4[[#This Row],[Base R Value]]+Table4[[#This Row],[Int Finish R Value]]</f>
        <v>#REF!</v>
      </c>
      <c r="Z268" t="e">
        <f>1/Table4[[#This Row],[Total R value]]</f>
        <v>#REF!</v>
      </c>
      <c r="AA268" t="e">
        <f>Table4[[#This Row],[Int Finish Mass]]+Table4[[#This Row],[Ext Finish Mass]]+Table4[[#This Row],[Base Mass]]</f>
        <v>#REF!</v>
      </c>
    </row>
    <row r="269" spans="3:27" x14ac:dyDescent="0.35">
      <c r="C269" t="str">
        <f>_xlfn.CONCAT(Table4[[#This Row],[System Name (Short)]],"_",Table4[[#This Row],[Ext Finish Name (Short)]],"_",Table4[[#This Row],[Int Finish Name (Short)]])</f>
        <v>0_0_0</v>
      </c>
      <c r="E269">
        <f>_xlfn.XLOOKUP(Table4[[#This Row],[Base System]],BASE_SYSTEM_TABLE[System Name],BASE_SYSTEM_TABLE[System Name (Short)],FALSE)</f>
        <v>0</v>
      </c>
      <c r="F269">
        <f>_xlfn.XLOOKUP(Table4[[#This Row],[Base System]],BASE_SYSTEM_TABLE[System Name],BASE_SYSTEM_TABLE[System Type],FALSE)</f>
        <v>0</v>
      </c>
      <c r="G269">
        <f>_xlfn.XLOOKUP(Table4[[#This Row],[Base System]],BASE_SYSTEM_TABLE[System Name],BASE_SYSTEM_TABLE[System Subtype],FALSE)</f>
        <v>0</v>
      </c>
      <c r="H269">
        <f>_xlfn.XLOOKUP(Table4[[#This Row],[Base System]],BASE_SYSTEM_TABLE[System Name],BASE_SYSTEM_TABLE[Construction Type (Framed or Planar)],FALSE)</f>
        <v>0</v>
      </c>
      <c r="I269" t="e">
        <f>GETPIVOTDATA("Sum of A1-A3 Fossil kg CO2e/m^2 wall area",'COMPONENT PIVOT REF'!$A$3,"System Name",Table4[[#This Row],[Base System]])</f>
        <v>#REF!</v>
      </c>
      <c r="J269" t="e">
        <f>GETPIVOTDATA("Sum of  R value (m^2-K/W)",'COMPONENT PIVOT REF'!$A$3,"System Name",Table4[[#This Row],[Base System]])</f>
        <v>#REF!</v>
      </c>
      <c r="K269" t="e">
        <f>GETPIVOTDATA("Sum of Total Mass per m^2 (kg)",'COMPONENT PIVOT REF'!$A$3,"System Name",Table4[[#This Row],[Base System]])</f>
        <v>#REF!</v>
      </c>
      <c r="M269">
        <f>_xlfn.XLOOKUP(Table4[[#This Row],[Ext Finish]],Master_Table4[System Name],Master_Table4[System Name (Short)],FALSE)</f>
        <v>0</v>
      </c>
      <c r="N269">
        <f>_xlfn.XLOOKUP(Table4[[#This Row],[Ext Finish]],Master_Table4[System Name],Master_Table4[Compatible Systems],FALSE)</f>
        <v>0</v>
      </c>
      <c r="O269" t="str">
        <f>IF(ISNUMBER(SEARCH(Table4[[#This Row],[MMC Method]],Table4[[#This Row],[Compatible Systems]])),"YES","NO")</f>
        <v>YES</v>
      </c>
      <c r="P269" t="e">
        <f>GETPIVOTDATA("Sum of A1-A3 Fossil kg CO2e/m^2 wall area",'COMPONENT PIVOT REF'!$I$3,"System Name",Table4[[#This Row],[Ext Finish]])</f>
        <v>#REF!</v>
      </c>
      <c r="Q269" t="e">
        <f>GETPIVOTDATA("Sum of  R value (m^2-K/W)",'COMPONENT PIVOT REF'!$I$3,"System Name",Table4[[#This Row],[Ext Finish]])</f>
        <v>#REF!</v>
      </c>
      <c r="R269" t="e">
        <f>GETPIVOTDATA("Sum of Total Mass per m^2 (kg)",'COMPONENT PIVOT REF'!$I$3,"System Name",Table4[[#This Row],[Ext Finish]])</f>
        <v>#REF!</v>
      </c>
      <c r="T269">
        <f>_xlfn.XLOOKUP(Table4[[#This Row],[Int Finish]],Master_Table6[System Name],Master_Table6[System Name (Short)],FALSE)</f>
        <v>0</v>
      </c>
      <c r="U269" t="e">
        <f>GETPIVOTDATA("Sum of A1-A3 Fossil kg CO2e/m^2 wall area",'COMPONENT PIVOT REF'!$P$3,"System Name",Table4[[#This Row],[Int Finish]])</f>
        <v>#REF!</v>
      </c>
      <c r="V269" t="e">
        <f>GETPIVOTDATA("Sum of  R value (m^2-K/W)",'COMPONENT PIVOT REF'!$P$3,"System Name",Table4[[#This Row],[Int Finish]])</f>
        <v>#REF!</v>
      </c>
      <c r="W269" t="e">
        <f>GETPIVOTDATA("Sum of Total Mass per m^2 (kg)",'COMPONENT PIVOT REF'!$P$3,"System Name",Table4[[#This Row],[Int Finish]])</f>
        <v>#REF!</v>
      </c>
      <c r="X269" t="e">
        <f>Table4[[#This Row],[Ext Finish GWP]]+Table4[[#This Row],[Base GWP]]+Table4[[#This Row],[Int Finish GWP]]</f>
        <v>#REF!</v>
      </c>
      <c r="Y269" t="e">
        <f>Table4[[#This Row],[Ext Finish R Value]]+Table4[[#This Row],[Base R Value]]+Table4[[#This Row],[Int Finish R Value]]</f>
        <v>#REF!</v>
      </c>
      <c r="Z269" t="e">
        <f>1/Table4[[#This Row],[Total R value]]</f>
        <v>#REF!</v>
      </c>
      <c r="AA269" t="e">
        <f>Table4[[#This Row],[Int Finish Mass]]+Table4[[#This Row],[Ext Finish Mass]]+Table4[[#This Row],[Base Mass]]</f>
        <v>#REF!</v>
      </c>
    </row>
    <row r="270" spans="3:27" x14ac:dyDescent="0.35">
      <c r="C270" t="str">
        <f>_xlfn.CONCAT(Table4[[#This Row],[System Name (Short)]],"_",Table4[[#This Row],[Ext Finish Name (Short)]],"_",Table4[[#This Row],[Int Finish Name (Short)]])</f>
        <v>0_0_0</v>
      </c>
      <c r="E270">
        <f>_xlfn.XLOOKUP(Table4[[#This Row],[Base System]],BASE_SYSTEM_TABLE[System Name],BASE_SYSTEM_TABLE[System Name (Short)],FALSE)</f>
        <v>0</v>
      </c>
      <c r="F270">
        <f>_xlfn.XLOOKUP(Table4[[#This Row],[Base System]],BASE_SYSTEM_TABLE[System Name],BASE_SYSTEM_TABLE[System Type],FALSE)</f>
        <v>0</v>
      </c>
      <c r="G270">
        <f>_xlfn.XLOOKUP(Table4[[#This Row],[Base System]],BASE_SYSTEM_TABLE[System Name],BASE_SYSTEM_TABLE[System Subtype],FALSE)</f>
        <v>0</v>
      </c>
      <c r="H270">
        <f>_xlfn.XLOOKUP(Table4[[#This Row],[Base System]],BASE_SYSTEM_TABLE[System Name],BASE_SYSTEM_TABLE[Construction Type (Framed or Planar)],FALSE)</f>
        <v>0</v>
      </c>
      <c r="I270" t="e">
        <f>GETPIVOTDATA("Sum of A1-A3 Fossil kg CO2e/m^2 wall area",'COMPONENT PIVOT REF'!$A$3,"System Name",Table4[[#This Row],[Base System]])</f>
        <v>#REF!</v>
      </c>
      <c r="J270" t="e">
        <f>GETPIVOTDATA("Sum of  R value (m^2-K/W)",'COMPONENT PIVOT REF'!$A$3,"System Name",Table4[[#This Row],[Base System]])</f>
        <v>#REF!</v>
      </c>
      <c r="K270" t="e">
        <f>GETPIVOTDATA("Sum of Total Mass per m^2 (kg)",'COMPONENT PIVOT REF'!$A$3,"System Name",Table4[[#This Row],[Base System]])</f>
        <v>#REF!</v>
      </c>
      <c r="M270">
        <f>_xlfn.XLOOKUP(Table4[[#This Row],[Ext Finish]],Master_Table4[System Name],Master_Table4[System Name (Short)],FALSE)</f>
        <v>0</v>
      </c>
      <c r="N270">
        <f>_xlfn.XLOOKUP(Table4[[#This Row],[Ext Finish]],Master_Table4[System Name],Master_Table4[Compatible Systems],FALSE)</f>
        <v>0</v>
      </c>
      <c r="O270" t="str">
        <f>IF(ISNUMBER(SEARCH(Table4[[#This Row],[MMC Method]],Table4[[#This Row],[Compatible Systems]])),"YES","NO")</f>
        <v>YES</v>
      </c>
      <c r="P270" t="e">
        <f>GETPIVOTDATA("Sum of A1-A3 Fossil kg CO2e/m^2 wall area",'COMPONENT PIVOT REF'!$I$3,"System Name",Table4[[#This Row],[Ext Finish]])</f>
        <v>#REF!</v>
      </c>
      <c r="Q270" t="e">
        <f>GETPIVOTDATA("Sum of  R value (m^2-K/W)",'COMPONENT PIVOT REF'!$I$3,"System Name",Table4[[#This Row],[Ext Finish]])</f>
        <v>#REF!</v>
      </c>
      <c r="R270" t="e">
        <f>GETPIVOTDATA("Sum of Total Mass per m^2 (kg)",'COMPONENT PIVOT REF'!$I$3,"System Name",Table4[[#This Row],[Ext Finish]])</f>
        <v>#REF!</v>
      </c>
      <c r="T270">
        <f>_xlfn.XLOOKUP(Table4[[#This Row],[Int Finish]],Master_Table6[System Name],Master_Table6[System Name (Short)],FALSE)</f>
        <v>0</v>
      </c>
      <c r="U270" t="e">
        <f>GETPIVOTDATA("Sum of A1-A3 Fossil kg CO2e/m^2 wall area",'COMPONENT PIVOT REF'!$P$3,"System Name",Table4[[#This Row],[Int Finish]])</f>
        <v>#REF!</v>
      </c>
      <c r="V270" t="e">
        <f>GETPIVOTDATA("Sum of  R value (m^2-K/W)",'COMPONENT PIVOT REF'!$P$3,"System Name",Table4[[#This Row],[Int Finish]])</f>
        <v>#REF!</v>
      </c>
      <c r="W270" t="e">
        <f>GETPIVOTDATA("Sum of Total Mass per m^2 (kg)",'COMPONENT PIVOT REF'!$P$3,"System Name",Table4[[#This Row],[Int Finish]])</f>
        <v>#REF!</v>
      </c>
      <c r="X270" t="e">
        <f>Table4[[#This Row],[Ext Finish GWP]]+Table4[[#This Row],[Base GWP]]+Table4[[#This Row],[Int Finish GWP]]</f>
        <v>#REF!</v>
      </c>
      <c r="Y270" t="e">
        <f>Table4[[#This Row],[Ext Finish R Value]]+Table4[[#This Row],[Base R Value]]+Table4[[#This Row],[Int Finish R Value]]</f>
        <v>#REF!</v>
      </c>
      <c r="Z270" t="e">
        <f>1/Table4[[#This Row],[Total R value]]</f>
        <v>#REF!</v>
      </c>
      <c r="AA270" t="e">
        <f>Table4[[#This Row],[Int Finish Mass]]+Table4[[#This Row],[Ext Finish Mass]]+Table4[[#This Row],[Base Mass]]</f>
        <v>#REF!</v>
      </c>
    </row>
    <row r="271" spans="3:27" x14ac:dyDescent="0.35">
      <c r="C271" t="str">
        <f>_xlfn.CONCAT(Table4[[#This Row],[System Name (Short)]],"_",Table4[[#This Row],[Ext Finish Name (Short)]],"_",Table4[[#This Row],[Int Finish Name (Short)]])</f>
        <v>0_0_0</v>
      </c>
      <c r="E271">
        <f>_xlfn.XLOOKUP(Table4[[#This Row],[Base System]],BASE_SYSTEM_TABLE[System Name],BASE_SYSTEM_TABLE[System Name (Short)],FALSE)</f>
        <v>0</v>
      </c>
      <c r="F271">
        <f>_xlfn.XLOOKUP(Table4[[#This Row],[Base System]],BASE_SYSTEM_TABLE[System Name],BASE_SYSTEM_TABLE[System Type],FALSE)</f>
        <v>0</v>
      </c>
      <c r="G271">
        <f>_xlfn.XLOOKUP(Table4[[#This Row],[Base System]],BASE_SYSTEM_TABLE[System Name],BASE_SYSTEM_TABLE[System Subtype],FALSE)</f>
        <v>0</v>
      </c>
      <c r="H271">
        <f>_xlfn.XLOOKUP(Table4[[#This Row],[Base System]],BASE_SYSTEM_TABLE[System Name],BASE_SYSTEM_TABLE[Construction Type (Framed or Planar)],FALSE)</f>
        <v>0</v>
      </c>
      <c r="I271" t="e">
        <f>GETPIVOTDATA("Sum of A1-A3 Fossil kg CO2e/m^2 wall area",'COMPONENT PIVOT REF'!$A$3,"System Name",Table4[[#This Row],[Base System]])</f>
        <v>#REF!</v>
      </c>
      <c r="J271" t="e">
        <f>GETPIVOTDATA("Sum of  R value (m^2-K/W)",'COMPONENT PIVOT REF'!$A$3,"System Name",Table4[[#This Row],[Base System]])</f>
        <v>#REF!</v>
      </c>
      <c r="K271" t="e">
        <f>GETPIVOTDATA("Sum of Total Mass per m^2 (kg)",'COMPONENT PIVOT REF'!$A$3,"System Name",Table4[[#This Row],[Base System]])</f>
        <v>#REF!</v>
      </c>
      <c r="M271">
        <f>_xlfn.XLOOKUP(Table4[[#This Row],[Ext Finish]],Master_Table4[System Name],Master_Table4[System Name (Short)],FALSE)</f>
        <v>0</v>
      </c>
      <c r="N271">
        <f>_xlfn.XLOOKUP(Table4[[#This Row],[Ext Finish]],Master_Table4[System Name],Master_Table4[Compatible Systems],FALSE)</f>
        <v>0</v>
      </c>
      <c r="O271" t="str">
        <f>IF(ISNUMBER(SEARCH(Table4[[#This Row],[MMC Method]],Table4[[#This Row],[Compatible Systems]])),"YES","NO")</f>
        <v>YES</v>
      </c>
      <c r="P271" t="e">
        <f>GETPIVOTDATA("Sum of A1-A3 Fossil kg CO2e/m^2 wall area",'COMPONENT PIVOT REF'!$I$3,"System Name",Table4[[#This Row],[Ext Finish]])</f>
        <v>#REF!</v>
      </c>
      <c r="Q271" t="e">
        <f>GETPIVOTDATA("Sum of  R value (m^2-K/W)",'COMPONENT PIVOT REF'!$I$3,"System Name",Table4[[#This Row],[Ext Finish]])</f>
        <v>#REF!</v>
      </c>
      <c r="R271" t="e">
        <f>GETPIVOTDATA("Sum of Total Mass per m^2 (kg)",'COMPONENT PIVOT REF'!$I$3,"System Name",Table4[[#This Row],[Ext Finish]])</f>
        <v>#REF!</v>
      </c>
      <c r="T271">
        <f>_xlfn.XLOOKUP(Table4[[#This Row],[Int Finish]],Master_Table6[System Name],Master_Table6[System Name (Short)],FALSE)</f>
        <v>0</v>
      </c>
      <c r="U271" t="e">
        <f>GETPIVOTDATA("Sum of A1-A3 Fossil kg CO2e/m^2 wall area",'COMPONENT PIVOT REF'!$P$3,"System Name",Table4[[#This Row],[Int Finish]])</f>
        <v>#REF!</v>
      </c>
      <c r="V271" t="e">
        <f>GETPIVOTDATA("Sum of  R value (m^2-K/W)",'COMPONENT PIVOT REF'!$P$3,"System Name",Table4[[#This Row],[Int Finish]])</f>
        <v>#REF!</v>
      </c>
      <c r="W271" t="e">
        <f>GETPIVOTDATA("Sum of Total Mass per m^2 (kg)",'COMPONENT PIVOT REF'!$P$3,"System Name",Table4[[#This Row],[Int Finish]])</f>
        <v>#REF!</v>
      </c>
      <c r="X271" t="e">
        <f>Table4[[#This Row],[Ext Finish GWP]]+Table4[[#This Row],[Base GWP]]+Table4[[#This Row],[Int Finish GWP]]</f>
        <v>#REF!</v>
      </c>
      <c r="Y271" t="e">
        <f>Table4[[#This Row],[Ext Finish R Value]]+Table4[[#This Row],[Base R Value]]+Table4[[#This Row],[Int Finish R Value]]</f>
        <v>#REF!</v>
      </c>
      <c r="Z271" t="e">
        <f>1/Table4[[#This Row],[Total R value]]</f>
        <v>#REF!</v>
      </c>
      <c r="AA271" t="e">
        <f>Table4[[#This Row],[Int Finish Mass]]+Table4[[#This Row],[Ext Finish Mass]]+Table4[[#This Row],[Base Mass]]</f>
        <v>#REF!</v>
      </c>
    </row>
    <row r="272" spans="3:27" x14ac:dyDescent="0.35">
      <c r="C272" t="str">
        <f>_xlfn.CONCAT(Table4[[#This Row],[System Name (Short)]],"_",Table4[[#This Row],[Ext Finish Name (Short)]],"_",Table4[[#This Row],[Int Finish Name (Short)]])</f>
        <v>0_0_0</v>
      </c>
      <c r="E272">
        <f>_xlfn.XLOOKUP(Table4[[#This Row],[Base System]],BASE_SYSTEM_TABLE[System Name],BASE_SYSTEM_TABLE[System Name (Short)],FALSE)</f>
        <v>0</v>
      </c>
      <c r="F272">
        <f>_xlfn.XLOOKUP(Table4[[#This Row],[Base System]],BASE_SYSTEM_TABLE[System Name],BASE_SYSTEM_TABLE[System Type],FALSE)</f>
        <v>0</v>
      </c>
      <c r="G272">
        <f>_xlfn.XLOOKUP(Table4[[#This Row],[Base System]],BASE_SYSTEM_TABLE[System Name],BASE_SYSTEM_TABLE[System Subtype],FALSE)</f>
        <v>0</v>
      </c>
      <c r="H272">
        <f>_xlfn.XLOOKUP(Table4[[#This Row],[Base System]],BASE_SYSTEM_TABLE[System Name],BASE_SYSTEM_TABLE[Construction Type (Framed or Planar)],FALSE)</f>
        <v>0</v>
      </c>
      <c r="I272" t="e">
        <f>GETPIVOTDATA("Sum of A1-A3 Fossil kg CO2e/m^2 wall area",'COMPONENT PIVOT REF'!$A$3,"System Name",Table4[[#This Row],[Base System]])</f>
        <v>#REF!</v>
      </c>
      <c r="J272" t="e">
        <f>GETPIVOTDATA("Sum of  R value (m^2-K/W)",'COMPONENT PIVOT REF'!$A$3,"System Name",Table4[[#This Row],[Base System]])</f>
        <v>#REF!</v>
      </c>
      <c r="K272" t="e">
        <f>GETPIVOTDATA("Sum of Total Mass per m^2 (kg)",'COMPONENT PIVOT REF'!$A$3,"System Name",Table4[[#This Row],[Base System]])</f>
        <v>#REF!</v>
      </c>
      <c r="M272">
        <f>_xlfn.XLOOKUP(Table4[[#This Row],[Ext Finish]],Master_Table4[System Name],Master_Table4[System Name (Short)],FALSE)</f>
        <v>0</v>
      </c>
      <c r="N272">
        <f>_xlfn.XLOOKUP(Table4[[#This Row],[Ext Finish]],Master_Table4[System Name],Master_Table4[Compatible Systems],FALSE)</f>
        <v>0</v>
      </c>
      <c r="O272" t="str">
        <f>IF(ISNUMBER(SEARCH(Table4[[#This Row],[MMC Method]],Table4[[#This Row],[Compatible Systems]])),"YES","NO")</f>
        <v>YES</v>
      </c>
      <c r="P272" t="e">
        <f>GETPIVOTDATA("Sum of A1-A3 Fossil kg CO2e/m^2 wall area",'COMPONENT PIVOT REF'!$I$3,"System Name",Table4[[#This Row],[Ext Finish]])</f>
        <v>#REF!</v>
      </c>
      <c r="Q272" t="e">
        <f>GETPIVOTDATA("Sum of  R value (m^2-K/W)",'COMPONENT PIVOT REF'!$I$3,"System Name",Table4[[#This Row],[Ext Finish]])</f>
        <v>#REF!</v>
      </c>
      <c r="R272" t="e">
        <f>GETPIVOTDATA("Sum of Total Mass per m^2 (kg)",'COMPONENT PIVOT REF'!$I$3,"System Name",Table4[[#This Row],[Ext Finish]])</f>
        <v>#REF!</v>
      </c>
      <c r="T272">
        <f>_xlfn.XLOOKUP(Table4[[#This Row],[Int Finish]],Master_Table6[System Name],Master_Table6[System Name (Short)],FALSE)</f>
        <v>0</v>
      </c>
      <c r="U272" t="e">
        <f>GETPIVOTDATA("Sum of A1-A3 Fossil kg CO2e/m^2 wall area",'COMPONENT PIVOT REF'!$P$3,"System Name",Table4[[#This Row],[Int Finish]])</f>
        <v>#REF!</v>
      </c>
      <c r="V272" t="e">
        <f>GETPIVOTDATA("Sum of  R value (m^2-K/W)",'COMPONENT PIVOT REF'!$P$3,"System Name",Table4[[#This Row],[Int Finish]])</f>
        <v>#REF!</v>
      </c>
      <c r="W272" t="e">
        <f>GETPIVOTDATA("Sum of Total Mass per m^2 (kg)",'COMPONENT PIVOT REF'!$P$3,"System Name",Table4[[#This Row],[Int Finish]])</f>
        <v>#REF!</v>
      </c>
      <c r="X272" t="e">
        <f>Table4[[#This Row],[Ext Finish GWP]]+Table4[[#This Row],[Base GWP]]+Table4[[#This Row],[Int Finish GWP]]</f>
        <v>#REF!</v>
      </c>
      <c r="Y272" t="e">
        <f>Table4[[#This Row],[Ext Finish R Value]]+Table4[[#This Row],[Base R Value]]+Table4[[#This Row],[Int Finish R Value]]</f>
        <v>#REF!</v>
      </c>
      <c r="Z272" t="e">
        <f>1/Table4[[#This Row],[Total R value]]</f>
        <v>#REF!</v>
      </c>
      <c r="AA272" t="e">
        <f>Table4[[#This Row],[Int Finish Mass]]+Table4[[#This Row],[Ext Finish Mass]]+Table4[[#This Row],[Base Mass]]</f>
        <v>#REF!</v>
      </c>
    </row>
    <row r="273" spans="3:27" x14ac:dyDescent="0.35">
      <c r="C273" t="str">
        <f>_xlfn.CONCAT(Table4[[#This Row],[System Name (Short)]],"_",Table4[[#This Row],[Ext Finish Name (Short)]],"_",Table4[[#This Row],[Int Finish Name (Short)]])</f>
        <v>0_0_0</v>
      </c>
      <c r="E273">
        <f>_xlfn.XLOOKUP(Table4[[#This Row],[Base System]],BASE_SYSTEM_TABLE[System Name],BASE_SYSTEM_TABLE[System Name (Short)],FALSE)</f>
        <v>0</v>
      </c>
      <c r="F273">
        <f>_xlfn.XLOOKUP(Table4[[#This Row],[Base System]],BASE_SYSTEM_TABLE[System Name],BASE_SYSTEM_TABLE[System Type],FALSE)</f>
        <v>0</v>
      </c>
      <c r="G273">
        <f>_xlfn.XLOOKUP(Table4[[#This Row],[Base System]],BASE_SYSTEM_TABLE[System Name],BASE_SYSTEM_TABLE[System Subtype],FALSE)</f>
        <v>0</v>
      </c>
      <c r="H273">
        <f>_xlfn.XLOOKUP(Table4[[#This Row],[Base System]],BASE_SYSTEM_TABLE[System Name],BASE_SYSTEM_TABLE[Construction Type (Framed or Planar)],FALSE)</f>
        <v>0</v>
      </c>
      <c r="I273" t="e">
        <f>GETPIVOTDATA("Sum of A1-A3 Fossil kg CO2e/m^2 wall area",'COMPONENT PIVOT REF'!$A$3,"System Name",Table4[[#This Row],[Base System]])</f>
        <v>#REF!</v>
      </c>
      <c r="J273" t="e">
        <f>GETPIVOTDATA("Sum of  R value (m^2-K/W)",'COMPONENT PIVOT REF'!$A$3,"System Name",Table4[[#This Row],[Base System]])</f>
        <v>#REF!</v>
      </c>
      <c r="K273" t="e">
        <f>GETPIVOTDATA("Sum of Total Mass per m^2 (kg)",'COMPONENT PIVOT REF'!$A$3,"System Name",Table4[[#This Row],[Base System]])</f>
        <v>#REF!</v>
      </c>
      <c r="M273">
        <f>_xlfn.XLOOKUP(Table4[[#This Row],[Ext Finish]],Master_Table4[System Name],Master_Table4[System Name (Short)],FALSE)</f>
        <v>0</v>
      </c>
      <c r="N273">
        <f>_xlfn.XLOOKUP(Table4[[#This Row],[Ext Finish]],Master_Table4[System Name],Master_Table4[Compatible Systems],FALSE)</f>
        <v>0</v>
      </c>
      <c r="O273" t="str">
        <f>IF(ISNUMBER(SEARCH(Table4[[#This Row],[MMC Method]],Table4[[#This Row],[Compatible Systems]])),"YES","NO")</f>
        <v>YES</v>
      </c>
      <c r="P273" t="e">
        <f>GETPIVOTDATA("Sum of A1-A3 Fossil kg CO2e/m^2 wall area",'COMPONENT PIVOT REF'!$I$3,"System Name",Table4[[#This Row],[Ext Finish]])</f>
        <v>#REF!</v>
      </c>
      <c r="Q273" t="e">
        <f>GETPIVOTDATA("Sum of  R value (m^2-K/W)",'COMPONENT PIVOT REF'!$I$3,"System Name",Table4[[#This Row],[Ext Finish]])</f>
        <v>#REF!</v>
      </c>
      <c r="R273" t="e">
        <f>GETPIVOTDATA("Sum of Total Mass per m^2 (kg)",'COMPONENT PIVOT REF'!$I$3,"System Name",Table4[[#This Row],[Ext Finish]])</f>
        <v>#REF!</v>
      </c>
      <c r="T273">
        <f>_xlfn.XLOOKUP(Table4[[#This Row],[Int Finish]],Master_Table6[System Name],Master_Table6[System Name (Short)],FALSE)</f>
        <v>0</v>
      </c>
      <c r="U273" t="e">
        <f>GETPIVOTDATA("Sum of A1-A3 Fossil kg CO2e/m^2 wall area",'COMPONENT PIVOT REF'!$P$3,"System Name",Table4[[#This Row],[Int Finish]])</f>
        <v>#REF!</v>
      </c>
      <c r="V273" t="e">
        <f>GETPIVOTDATA("Sum of  R value (m^2-K/W)",'COMPONENT PIVOT REF'!$P$3,"System Name",Table4[[#This Row],[Int Finish]])</f>
        <v>#REF!</v>
      </c>
      <c r="W273" t="e">
        <f>GETPIVOTDATA("Sum of Total Mass per m^2 (kg)",'COMPONENT PIVOT REF'!$P$3,"System Name",Table4[[#This Row],[Int Finish]])</f>
        <v>#REF!</v>
      </c>
      <c r="X273" t="e">
        <f>Table4[[#This Row],[Ext Finish GWP]]+Table4[[#This Row],[Base GWP]]+Table4[[#This Row],[Int Finish GWP]]</f>
        <v>#REF!</v>
      </c>
      <c r="Y273" t="e">
        <f>Table4[[#This Row],[Ext Finish R Value]]+Table4[[#This Row],[Base R Value]]+Table4[[#This Row],[Int Finish R Value]]</f>
        <v>#REF!</v>
      </c>
      <c r="Z273" t="e">
        <f>1/Table4[[#This Row],[Total R value]]</f>
        <v>#REF!</v>
      </c>
      <c r="AA273" t="e">
        <f>Table4[[#This Row],[Int Finish Mass]]+Table4[[#This Row],[Ext Finish Mass]]+Table4[[#This Row],[Base Mass]]</f>
        <v>#REF!</v>
      </c>
    </row>
    <row r="274" spans="3:27" x14ac:dyDescent="0.35">
      <c r="C274" t="str">
        <f>_xlfn.CONCAT(Table4[[#This Row],[System Name (Short)]],"_",Table4[[#This Row],[Ext Finish Name (Short)]],"_",Table4[[#This Row],[Int Finish Name (Short)]])</f>
        <v>0_0_0</v>
      </c>
      <c r="E274">
        <f>_xlfn.XLOOKUP(Table4[[#This Row],[Base System]],BASE_SYSTEM_TABLE[System Name],BASE_SYSTEM_TABLE[System Name (Short)],FALSE)</f>
        <v>0</v>
      </c>
      <c r="F274">
        <f>_xlfn.XLOOKUP(Table4[[#This Row],[Base System]],BASE_SYSTEM_TABLE[System Name],BASE_SYSTEM_TABLE[System Type],FALSE)</f>
        <v>0</v>
      </c>
      <c r="G274">
        <f>_xlfn.XLOOKUP(Table4[[#This Row],[Base System]],BASE_SYSTEM_TABLE[System Name],BASE_SYSTEM_TABLE[System Subtype],FALSE)</f>
        <v>0</v>
      </c>
      <c r="H274">
        <f>_xlfn.XLOOKUP(Table4[[#This Row],[Base System]],BASE_SYSTEM_TABLE[System Name],BASE_SYSTEM_TABLE[Construction Type (Framed or Planar)],FALSE)</f>
        <v>0</v>
      </c>
      <c r="I274" t="e">
        <f>GETPIVOTDATA("Sum of A1-A3 Fossil kg CO2e/m^2 wall area",'COMPONENT PIVOT REF'!$A$3,"System Name",Table4[[#This Row],[Base System]])</f>
        <v>#REF!</v>
      </c>
      <c r="J274" t="e">
        <f>GETPIVOTDATA("Sum of  R value (m^2-K/W)",'COMPONENT PIVOT REF'!$A$3,"System Name",Table4[[#This Row],[Base System]])</f>
        <v>#REF!</v>
      </c>
      <c r="K274" t="e">
        <f>GETPIVOTDATA("Sum of Total Mass per m^2 (kg)",'COMPONENT PIVOT REF'!$A$3,"System Name",Table4[[#This Row],[Base System]])</f>
        <v>#REF!</v>
      </c>
      <c r="M274">
        <f>_xlfn.XLOOKUP(Table4[[#This Row],[Ext Finish]],Master_Table4[System Name],Master_Table4[System Name (Short)],FALSE)</f>
        <v>0</v>
      </c>
      <c r="N274">
        <f>_xlfn.XLOOKUP(Table4[[#This Row],[Ext Finish]],Master_Table4[System Name],Master_Table4[Compatible Systems],FALSE)</f>
        <v>0</v>
      </c>
      <c r="O274" t="str">
        <f>IF(ISNUMBER(SEARCH(Table4[[#This Row],[MMC Method]],Table4[[#This Row],[Compatible Systems]])),"YES","NO")</f>
        <v>YES</v>
      </c>
      <c r="P274" t="e">
        <f>GETPIVOTDATA("Sum of A1-A3 Fossil kg CO2e/m^2 wall area",'COMPONENT PIVOT REF'!$I$3,"System Name",Table4[[#This Row],[Ext Finish]])</f>
        <v>#REF!</v>
      </c>
      <c r="Q274" t="e">
        <f>GETPIVOTDATA("Sum of  R value (m^2-K/W)",'COMPONENT PIVOT REF'!$I$3,"System Name",Table4[[#This Row],[Ext Finish]])</f>
        <v>#REF!</v>
      </c>
      <c r="R274" t="e">
        <f>GETPIVOTDATA("Sum of Total Mass per m^2 (kg)",'COMPONENT PIVOT REF'!$I$3,"System Name",Table4[[#This Row],[Ext Finish]])</f>
        <v>#REF!</v>
      </c>
      <c r="T274">
        <f>_xlfn.XLOOKUP(Table4[[#This Row],[Int Finish]],Master_Table6[System Name],Master_Table6[System Name (Short)],FALSE)</f>
        <v>0</v>
      </c>
      <c r="U274" t="e">
        <f>GETPIVOTDATA("Sum of A1-A3 Fossil kg CO2e/m^2 wall area",'COMPONENT PIVOT REF'!$P$3,"System Name",Table4[[#This Row],[Int Finish]])</f>
        <v>#REF!</v>
      </c>
      <c r="V274" t="e">
        <f>GETPIVOTDATA("Sum of  R value (m^2-K/W)",'COMPONENT PIVOT REF'!$P$3,"System Name",Table4[[#This Row],[Int Finish]])</f>
        <v>#REF!</v>
      </c>
      <c r="W274" t="e">
        <f>GETPIVOTDATA("Sum of Total Mass per m^2 (kg)",'COMPONENT PIVOT REF'!$P$3,"System Name",Table4[[#This Row],[Int Finish]])</f>
        <v>#REF!</v>
      </c>
      <c r="X274" t="e">
        <f>Table4[[#This Row],[Ext Finish GWP]]+Table4[[#This Row],[Base GWP]]+Table4[[#This Row],[Int Finish GWP]]</f>
        <v>#REF!</v>
      </c>
      <c r="Y274" t="e">
        <f>Table4[[#This Row],[Ext Finish R Value]]+Table4[[#This Row],[Base R Value]]+Table4[[#This Row],[Int Finish R Value]]</f>
        <v>#REF!</v>
      </c>
      <c r="Z274" t="e">
        <f>1/Table4[[#This Row],[Total R value]]</f>
        <v>#REF!</v>
      </c>
      <c r="AA274" t="e">
        <f>Table4[[#This Row],[Int Finish Mass]]+Table4[[#This Row],[Ext Finish Mass]]+Table4[[#This Row],[Base Mass]]</f>
        <v>#REF!</v>
      </c>
    </row>
    <row r="275" spans="3:27" x14ac:dyDescent="0.35">
      <c r="C275" t="str">
        <f>_xlfn.CONCAT(Table4[[#This Row],[System Name (Short)]],"_",Table4[[#This Row],[Ext Finish Name (Short)]],"_",Table4[[#This Row],[Int Finish Name (Short)]])</f>
        <v>0_0_0</v>
      </c>
      <c r="E275">
        <f>_xlfn.XLOOKUP(Table4[[#This Row],[Base System]],BASE_SYSTEM_TABLE[System Name],BASE_SYSTEM_TABLE[System Name (Short)],FALSE)</f>
        <v>0</v>
      </c>
      <c r="F275">
        <f>_xlfn.XLOOKUP(Table4[[#This Row],[Base System]],BASE_SYSTEM_TABLE[System Name],BASE_SYSTEM_TABLE[System Type],FALSE)</f>
        <v>0</v>
      </c>
      <c r="G275">
        <f>_xlfn.XLOOKUP(Table4[[#This Row],[Base System]],BASE_SYSTEM_TABLE[System Name],BASE_SYSTEM_TABLE[System Subtype],FALSE)</f>
        <v>0</v>
      </c>
      <c r="H275">
        <f>_xlfn.XLOOKUP(Table4[[#This Row],[Base System]],BASE_SYSTEM_TABLE[System Name],BASE_SYSTEM_TABLE[Construction Type (Framed or Planar)],FALSE)</f>
        <v>0</v>
      </c>
      <c r="I275" t="e">
        <f>GETPIVOTDATA("Sum of A1-A3 Fossil kg CO2e/m^2 wall area",'COMPONENT PIVOT REF'!$A$3,"System Name",Table4[[#This Row],[Base System]])</f>
        <v>#REF!</v>
      </c>
      <c r="J275" t="e">
        <f>GETPIVOTDATA("Sum of  R value (m^2-K/W)",'COMPONENT PIVOT REF'!$A$3,"System Name",Table4[[#This Row],[Base System]])</f>
        <v>#REF!</v>
      </c>
      <c r="K275" t="e">
        <f>GETPIVOTDATA("Sum of Total Mass per m^2 (kg)",'COMPONENT PIVOT REF'!$A$3,"System Name",Table4[[#This Row],[Base System]])</f>
        <v>#REF!</v>
      </c>
      <c r="M275">
        <f>_xlfn.XLOOKUP(Table4[[#This Row],[Ext Finish]],Master_Table4[System Name],Master_Table4[System Name (Short)],FALSE)</f>
        <v>0</v>
      </c>
      <c r="N275">
        <f>_xlfn.XLOOKUP(Table4[[#This Row],[Ext Finish]],Master_Table4[System Name],Master_Table4[Compatible Systems],FALSE)</f>
        <v>0</v>
      </c>
      <c r="O275" t="str">
        <f>IF(ISNUMBER(SEARCH(Table4[[#This Row],[MMC Method]],Table4[[#This Row],[Compatible Systems]])),"YES","NO")</f>
        <v>YES</v>
      </c>
      <c r="P275" t="e">
        <f>GETPIVOTDATA("Sum of A1-A3 Fossil kg CO2e/m^2 wall area",'COMPONENT PIVOT REF'!$I$3,"System Name",Table4[[#This Row],[Ext Finish]])</f>
        <v>#REF!</v>
      </c>
      <c r="Q275" t="e">
        <f>GETPIVOTDATA("Sum of  R value (m^2-K/W)",'COMPONENT PIVOT REF'!$I$3,"System Name",Table4[[#This Row],[Ext Finish]])</f>
        <v>#REF!</v>
      </c>
      <c r="R275" t="e">
        <f>GETPIVOTDATA("Sum of Total Mass per m^2 (kg)",'COMPONENT PIVOT REF'!$I$3,"System Name",Table4[[#This Row],[Ext Finish]])</f>
        <v>#REF!</v>
      </c>
      <c r="T275">
        <f>_xlfn.XLOOKUP(Table4[[#This Row],[Int Finish]],Master_Table6[System Name],Master_Table6[System Name (Short)],FALSE)</f>
        <v>0</v>
      </c>
      <c r="U275" t="e">
        <f>GETPIVOTDATA("Sum of A1-A3 Fossil kg CO2e/m^2 wall area",'COMPONENT PIVOT REF'!$P$3,"System Name",Table4[[#This Row],[Int Finish]])</f>
        <v>#REF!</v>
      </c>
      <c r="V275" t="e">
        <f>GETPIVOTDATA("Sum of  R value (m^2-K/W)",'COMPONENT PIVOT REF'!$P$3,"System Name",Table4[[#This Row],[Int Finish]])</f>
        <v>#REF!</v>
      </c>
      <c r="W275" t="e">
        <f>GETPIVOTDATA("Sum of Total Mass per m^2 (kg)",'COMPONENT PIVOT REF'!$P$3,"System Name",Table4[[#This Row],[Int Finish]])</f>
        <v>#REF!</v>
      </c>
      <c r="X275" t="e">
        <f>Table4[[#This Row],[Ext Finish GWP]]+Table4[[#This Row],[Base GWP]]+Table4[[#This Row],[Int Finish GWP]]</f>
        <v>#REF!</v>
      </c>
      <c r="Y275" t="e">
        <f>Table4[[#This Row],[Ext Finish R Value]]+Table4[[#This Row],[Base R Value]]+Table4[[#This Row],[Int Finish R Value]]</f>
        <v>#REF!</v>
      </c>
      <c r="Z275" t="e">
        <f>1/Table4[[#This Row],[Total R value]]</f>
        <v>#REF!</v>
      </c>
      <c r="AA275" t="e">
        <f>Table4[[#This Row],[Int Finish Mass]]+Table4[[#This Row],[Ext Finish Mass]]+Table4[[#This Row],[Base Mass]]</f>
        <v>#REF!</v>
      </c>
    </row>
    <row r="276" spans="3:27" x14ac:dyDescent="0.35">
      <c r="C276" t="str">
        <f>_xlfn.CONCAT(Table4[[#This Row],[System Name (Short)]],"_",Table4[[#This Row],[Ext Finish Name (Short)]],"_",Table4[[#This Row],[Int Finish Name (Short)]])</f>
        <v>0_0_0</v>
      </c>
      <c r="E276">
        <f>_xlfn.XLOOKUP(Table4[[#This Row],[Base System]],BASE_SYSTEM_TABLE[System Name],BASE_SYSTEM_TABLE[System Name (Short)],FALSE)</f>
        <v>0</v>
      </c>
      <c r="F276">
        <f>_xlfn.XLOOKUP(Table4[[#This Row],[Base System]],BASE_SYSTEM_TABLE[System Name],BASE_SYSTEM_TABLE[System Type],FALSE)</f>
        <v>0</v>
      </c>
      <c r="G276">
        <f>_xlfn.XLOOKUP(Table4[[#This Row],[Base System]],BASE_SYSTEM_TABLE[System Name],BASE_SYSTEM_TABLE[System Subtype],FALSE)</f>
        <v>0</v>
      </c>
      <c r="H276">
        <f>_xlfn.XLOOKUP(Table4[[#This Row],[Base System]],BASE_SYSTEM_TABLE[System Name],BASE_SYSTEM_TABLE[Construction Type (Framed or Planar)],FALSE)</f>
        <v>0</v>
      </c>
      <c r="I276" t="e">
        <f>GETPIVOTDATA("Sum of A1-A3 Fossil kg CO2e/m^2 wall area",'COMPONENT PIVOT REF'!$A$3,"System Name",Table4[[#This Row],[Base System]])</f>
        <v>#REF!</v>
      </c>
      <c r="J276" t="e">
        <f>GETPIVOTDATA("Sum of  R value (m^2-K/W)",'COMPONENT PIVOT REF'!$A$3,"System Name",Table4[[#This Row],[Base System]])</f>
        <v>#REF!</v>
      </c>
      <c r="K276" t="e">
        <f>GETPIVOTDATA("Sum of Total Mass per m^2 (kg)",'COMPONENT PIVOT REF'!$A$3,"System Name",Table4[[#This Row],[Base System]])</f>
        <v>#REF!</v>
      </c>
      <c r="M276">
        <f>_xlfn.XLOOKUP(Table4[[#This Row],[Ext Finish]],Master_Table4[System Name],Master_Table4[System Name (Short)],FALSE)</f>
        <v>0</v>
      </c>
      <c r="N276">
        <f>_xlfn.XLOOKUP(Table4[[#This Row],[Ext Finish]],Master_Table4[System Name],Master_Table4[Compatible Systems],FALSE)</f>
        <v>0</v>
      </c>
      <c r="O276" t="str">
        <f>IF(ISNUMBER(SEARCH(Table4[[#This Row],[MMC Method]],Table4[[#This Row],[Compatible Systems]])),"YES","NO")</f>
        <v>YES</v>
      </c>
      <c r="P276" t="e">
        <f>GETPIVOTDATA("Sum of A1-A3 Fossil kg CO2e/m^2 wall area",'COMPONENT PIVOT REF'!$I$3,"System Name",Table4[[#This Row],[Ext Finish]])</f>
        <v>#REF!</v>
      </c>
      <c r="Q276" t="e">
        <f>GETPIVOTDATA("Sum of  R value (m^2-K/W)",'COMPONENT PIVOT REF'!$I$3,"System Name",Table4[[#This Row],[Ext Finish]])</f>
        <v>#REF!</v>
      </c>
      <c r="R276" t="e">
        <f>GETPIVOTDATA("Sum of Total Mass per m^2 (kg)",'COMPONENT PIVOT REF'!$I$3,"System Name",Table4[[#This Row],[Ext Finish]])</f>
        <v>#REF!</v>
      </c>
      <c r="T276">
        <f>_xlfn.XLOOKUP(Table4[[#This Row],[Int Finish]],Master_Table6[System Name],Master_Table6[System Name (Short)],FALSE)</f>
        <v>0</v>
      </c>
      <c r="U276" t="e">
        <f>GETPIVOTDATA("Sum of A1-A3 Fossil kg CO2e/m^2 wall area",'COMPONENT PIVOT REF'!$P$3,"System Name",Table4[[#This Row],[Int Finish]])</f>
        <v>#REF!</v>
      </c>
      <c r="V276" t="e">
        <f>GETPIVOTDATA("Sum of  R value (m^2-K/W)",'COMPONENT PIVOT REF'!$P$3,"System Name",Table4[[#This Row],[Int Finish]])</f>
        <v>#REF!</v>
      </c>
      <c r="W276" t="e">
        <f>GETPIVOTDATA("Sum of Total Mass per m^2 (kg)",'COMPONENT PIVOT REF'!$P$3,"System Name",Table4[[#This Row],[Int Finish]])</f>
        <v>#REF!</v>
      </c>
      <c r="X276" t="e">
        <f>Table4[[#This Row],[Ext Finish GWP]]+Table4[[#This Row],[Base GWP]]+Table4[[#This Row],[Int Finish GWP]]</f>
        <v>#REF!</v>
      </c>
      <c r="Y276" t="e">
        <f>Table4[[#This Row],[Ext Finish R Value]]+Table4[[#This Row],[Base R Value]]+Table4[[#This Row],[Int Finish R Value]]</f>
        <v>#REF!</v>
      </c>
      <c r="Z276" t="e">
        <f>1/Table4[[#This Row],[Total R value]]</f>
        <v>#REF!</v>
      </c>
      <c r="AA276" t="e">
        <f>Table4[[#This Row],[Int Finish Mass]]+Table4[[#This Row],[Ext Finish Mass]]+Table4[[#This Row],[Base Mass]]</f>
        <v>#REF!</v>
      </c>
    </row>
    <row r="277" spans="3:27" x14ac:dyDescent="0.35">
      <c r="C277" t="str">
        <f>_xlfn.CONCAT(Table4[[#This Row],[System Name (Short)]],"_",Table4[[#This Row],[Ext Finish Name (Short)]],"_",Table4[[#This Row],[Int Finish Name (Short)]])</f>
        <v>0_0_0</v>
      </c>
      <c r="E277">
        <f>_xlfn.XLOOKUP(Table4[[#This Row],[Base System]],BASE_SYSTEM_TABLE[System Name],BASE_SYSTEM_TABLE[System Name (Short)],FALSE)</f>
        <v>0</v>
      </c>
      <c r="F277">
        <f>_xlfn.XLOOKUP(Table4[[#This Row],[Base System]],BASE_SYSTEM_TABLE[System Name],BASE_SYSTEM_TABLE[System Type],FALSE)</f>
        <v>0</v>
      </c>
      <c r="G277">
        <f>_xlfn.XLOOKUP(Table4[[#This Row],[Base System]],BASE_SYSTEM_TABLE[System Name],BASE_SYSTEM_TABLE[System Subtype],FALSE)</f>
        <v>0</v>
      </c>
      <c r="H277">
        <f>_xlfn.XLOOKUP(Table4[[#This Row],[Base System]],BASE_SYSTEM_TABLE[System Name],BASE_SYSTEM_TABLE[Construction Type (Framed or Planar)],FALSE)</f>
        <v>0</v>
      </c>
      <c r="I277" t="e">
        <f>GETPIVOTDATA("Sum of A1-A3 Fossil kg CO2e/m^2 wall area",'COMPONENT PIVOT REF'!$A$3,"System Name",Table4[[#This Row],[Base System]])</f>
        <v>#REF!</v>
      </c>
      <c r="J277" t="e">
        <f>GETPIVOTDATA("Sum of  R value (m^2-K/W)",'COMPONENT PIVOT REF'!$A$3,"System Name",Table4[[#This Row],[Base System]])</f>
        <v>#REF!</v>
      </c>
      <c r="K277" t="e">
        <f>GETPIVOTDATA("Sum of Total Mass per m^2 (kg)",'COMPONENT PIVOT REF'!$A$3,"System Name",Table4[[#This Row],[Base System]])</f>
        <v>#REF!</v>
      </c>
      <c r="M277">
        <f>_xlfn.XLOOKUP(Table4[[#This Row],[Ext Finish]],Master_Table4[System Name],Master_Table4[System Name (Short)],FALSE)</f>
        <v>0</v>
      </c>
      <c r="N277">
        <f>_xlfn.XLOOKUP(Table4[[#This Row],[Ext Finish]],Master_Table4[System Name],Master_Table4[Compatible Systems],FALSE)</f>
        <v>0</v>
      </c>
      <c r="O277" t="str">
        <f>IF(ISNUMBER(SEARCH(Table4[[#This Row],[MMC Method]],Table4[[#This Row],[Compatible Systems]])),"YES","NO")</f>
        <v>YES</v>
      </c>
      <c r="P277" t="e">
        <f>GETPIVOTDATA("Sum of A1-A3 Fossil kg CO2e/m^2 wall area",'COMPONENT PIVOT REF'!$I$3,"System Name",Table4[[#This Row],[Ext Finish]])</f>
        <v>#REF!</v>
      </c>
      <c r="Q277" t="e">
        <f>GETPIVOTDATA("Sum of  R value (m^2-K/W)",'COMPONENT PIVOT REF'!$I$3,"System Name",Table4[[#This Row],[Ext Finish]])</f>
        <v>#REF!</v>
      </c>
      <c r="R277" t="e">
        <f>GETPIVOTDATA("Sum of Total Mass per m^2 (kg)",'COMPONENT PIVOT REF'!$I$3,"System Name",Table4[[#This Row],[Ext Finish]])</f>
        <v>#REF!</v>
      </c>
      <c r="T277">
        <f>_xlfn.XLOOKUP(Table4[[#This Row],[Int Finish]],Master_Table6[System Name],Master_Table6[System Name (Short)],FALSE)</f>
        <v>0</v>
      </c>
      <c r="U277" t="e">
        <f>GETPIVOTDATA("Sum of A1-A3 Fossil kg CO2e/m^2 wall area",'COMPONENT PIVOT REF'!$P$3,"System Name",Table4[[#This Row],[Int Finish]])</f>
        <v>#REF!</v>
      </c>
      <c r="V277" t="e">
        <f>GETPIVOTDATA("Sum of  R value (m^2-K/W)",'COMPONENT PIVOT REF'!$P$3,"System Name",Table4[[#This Row],[Int Finish]])</f>
        <v>#REF!</v>
      </c>
      <c r="W277" t="e">
        <f>GETPIVOTDATA("Sum of Total Mass per m^2 (kg)",'COMPONENT PIVOT REF'!$P$3,"System Name",Table4[[#This Row],[Int Finish]])</f>
        <v>#REF!</v>
      </c>
      <c r="X277" t="e">
        <f>Table4[[#This Row],[Ext Finish GWP]]+Table4[[#This Row],[Base GWP]]+Table4[[#This Row],[Int Finish GWP]]</f>
        <v>#REF!</v>
      </c>
      <c r="Y277" t="e">
        <f>Table4[[#This Row],[Ext Finish R Value]]+Table4[[#This Row],[Base R Value]]+Table4[[#This Row],[Int Finish R Value]]</f>
        <v>#REF!</v>
      </c>
      <c r="Z277" t="e">
        <f>1/Table4[[#This Row],[Total R value]]</f>
        <v>#REF!</v>
      </c>
      <c r="AA277" t="e">
        <f>Table4[[#This Row],[Int Finish Mass]]+Table4[[#This Row],[Ext Finish Mass]]+Table4[[#This Row],[Base Mass]]</f>
        <v>#REF!</v>
      </c>
    </row>
    <row r="278" spans="3:27" x14ac:dyDescent="0.35">
      <c r="C278" t="str">
        <f>_xlfn.CONCAT(Table4[[#This Row],[System Name (Short)]],"_",Table4[[#This Row],[Ext Finish Name (Short)]],"_",Table4[[#This Row],[Int Finish Name (Short)]])</f>
        <v>0_0_0</v>
      </c>
      <c r="E278">
        <f>_xlfn.XLOOKUP(Table4[[#This Row],[Base System]],BASE_SYSTEM_TABLE[System Name],BASE_SYSTEM_TABLE[System Name (Short)],FALSE)</f>
        <v>0</v>
      </c>
      <c r="F278">
        <f>_xlfn.XLOOKUP(Table4[[#This Row],[Base System]],BASE_SYSTEM_TABLE[System Name],BASE_SYSTEM_TABLE[System Type],FALSE)</f>
        <v>0</v>
      </c>
      <c r="G278">
        <f>_xlfn.XLOOKUP(Table4[[#This Row],[Base System]],BASE_SYSTEM_TABLE[System Name],BASE_SYSTEM_TABLE[System Subtype],FALSE)</f>
        <v>0</v>
      </c>
      <c r="H278">
        <f>_xlfn.XLOOKUP(Table4[[#This Row],[Base System]],BASE_SYSTEM_TABLE[System Name],BASE_SYSTEM_TABLE[Construction Type (Framed or Planar)],FALSE)</f>
        <v>0</v>
      </c>
      <c r="I278" t="e">
        <f>GETPIVOTDATA("Sum of A1-A3 Fossil kg CO2e/m^2 wall area",'COMPONENT PIVOT REF'!$A$3,"System Name",Table4[[#This Row],[Base System]])</f>
        <v>#REF!</v>
      </c>
      <c r="J278" t="e">
        <f>GETPIVOTDATA("Sum of  R value (m^2-K/W)",'COMPONENT PIVOT REF'!$A$3,"System Name",Table4[[#This Row],[Base System]])</f>
        <v>#REF!</v>
      </c>
      <c r="K278" t="e">
        <f>GETPIVOTDATA("Sum of Total Mass per m^2 (kg)",'COMPONENT PIVOT REF'!$A$3,"System Name",Table4[[#This Row],[Base System]])</f>
        <v>#REF!</v>
      </c>
      <c r="M278">
        <f>_xlfn.XLOOKUP(Table4[[#This Row],[Ext Finish]],Master_Table4[System Name],Master_Table4[System Name (Short)],FALSE)</f>
        <v>0</v>
      </c>
      <c r="N278">
        <f>_xlfn.XLOOKUP(Table4[[#This Row],[Ext Finish]],Master_Table4[System Name],Master_Table4[Compatible Systems],FALSE)</f>
        <v>0</v>
      </c>
      <c r="O278" t="str">
        <f>IF(ISNUMBER(SEARCH(Table4[[#This Row],[MMC Method]],Table4[[#This Row],[Compatible Systems]])),"YES","NO")</f>
        <v>YES</v>
      </c>
      <c r="P278" t="e">
        <f>GETPIVOTDATA("Sum of A1-A3 Fossil kg CO2e/m^2 wall area",'COMPONENT PIVOT REF'!$I$3,"System Name",Table4[[#This Row],[Ext Finish]])</f>
        <v>#REF!</v>
      </c>
      <c r="Q278" t="e">
        <f>GETPIVOTDATA("Sum of  R value (m^2-K/W)",'COMPONENT PIVOT REF'!$I$3,"System Name",Table4[[#This Row],[Ext Finish]])</f>
        <v>#REF!</v>
      </c>
      <c r="R278" t="e">
        <f>GETPIVOTDATA("Sum of Total Mass per m^2 (kg)",'COMPONENT PIVOT REF'!$I$3,"System Name",Table4[[#This Row],[Ext Finish]])</f>
        <v>#REF!</v>
      </c>
      <c r="T278">
        <f>_xlfn.XLOOKUP(Table4[[#This Row],[Int Finish]],Master_Table6[System Name],Master_Table6[System Name (Short)],FALSE)</f>
        <v>0</v>
      </c>
      <c r="U278" t="e">
        <f>GETPIVOTDATA("Sum of A1-A3 Fossil kg CO2e/m^2 wall area",'COMPONENT PIVOT REF'!$P$3,"System Name",Table4[[#This Row],[Int Finish]])</f>
        <v>#REF!</v>
      </c>
      <c r="V278" t="e">
        <f>GETPIVOTDATA("Sum of  R value (m^2-K/W)",'COMPONENT PIVOT REF'!$P$3,"System Name",Table4[[#This Row],[Int Finish]])</f>
        <v>#REF!</v>
      </c>
      <c r="W278" t="e">
        <f>GETPIVOTDATA("Sum of Total Mass per m^2 (kg)",'COMPONENT PIVOT REF'!$P$3,"System Name",Table4[[#This Row],[Int Finish]])</f>
        <v>#REF!</v>
      </c>
      <c r="X278" t="e">
        <f>Table4[[#This Row],[Ext Finish GWP]]+Table4[[#This Row],[Base GWP]]+Table4[[#This Row],[Int Finish GWP]]</f>
        <v>#REF!</v>
      </c>
      <c r="Y278" t="e">
        <f>Table4[[#This Row],[Ext Finish R Value]]+Table4[[#This Row],[Base R Value]]+Table4[[#This Row],[Int Finish R Value]]</f>
        <v>#REF!</v>
      </c>
      <c r="Z278" t="e">
        <f>1/Table4[[#This Row],[Total R value]]</f>
        <v>#REF!</v>
      </c>
      <c r="AA278" t="e">
        <f>Table4[[#This Row],[Int Finish Mass]]+Table4[[#This Row],[Ext Finish Mass]]+Table4[[#This Row],[Base Mass]]</f>
        <v>#REF!</v>
      </c>
    </row>
    <row r="279" spans="3:27" x14ac:dyDescent="0.35">
      <c r="C279" t="str">
        <f>_xlfn.CONCAT(Table4[[#This Row],[System Name (Short)]],"_",Table4[[#This Row],[Ext Finish Name (Short)]],"_",Table4[[#This Row],[Int Finish Name (Short)]])</f>
        <v>0_0_0</v>
      </c>
      <c r="E279">
        <f>_xlfn.XLOOKUP(Table4[[#This Row],[Base System]],BASE_SYSTEM_TABLE[System Name],BASE_SYSTEM_TABLE[System Name (Short)],FALSE)</f>
        <v>0</v>
      </c>
      <c r="F279">
        <f>_xlfn.XLOOKUP(Table4[[#This Row],[Base System]],BASE_SYSTEM_TABLE[System Name],BASE_SYSTEM_TABLE[System Type],FALSE)</f>
        <v>0</v>
      </c>
      <c r="G279">
        <f>_xlfn.XLOOKUP(Table4[[#This Row],[Base System]],BASE_SYSTEM_TABLE[System Name],BASE_SYSTEM_TABLE[System Subtype],FALSE)</f>
        <v>0</v>
      </c>
      <c r="H279">
        <f>_xlfn.XLOOKUP(Table4[[#This Row],[Base System]],BASE_SYSTEM_TABLE[System Name],BASE_SYSTEM_TABLE[Construction Type (Framed or Planar)],FALSE)</f>
        <v>0</v>
      </c>
      <c r="I279" t="e">
        <f>GETPIVOTDATA("Sum of A1-A3 Fossil kg CO2e/m^2 wall area",'COMPONENT PIVOT REF'!$A$3,"System Name",Table4[[#This Row],[Base System]])</f>
        <v>#REF!</v>
      </c>
      <c r="J279" t="e">
        <f>GETPIVOTDATA("Sum of  R value (m^2-K/W)",'COMPONENT PIVOT REF'!$A$3,"System Name",Table4[[#This Row],[Base System]])</f>
        <v>#REF!</v>
      </c>
      <c r="K279" t="e">
        <f>GETPIVOTDATA("Sum of Total Mass per m^2 (kg)",'COMPONENT PIVOT REF'!$A$3,"System Name",Table4[[#This Row],[Base System]])</f>
        <v>#REF!</v>
      </c>
      <c r="M279">
        <f>_xlfn.XLOOKUP(Table4[[#This Row],[Ext Finish]],Master_Table4[System Name],Master_Table4[System Name (Short)],FALSE)</f>
        <v>0</v>
      </c>
      <c r="N279">
        <f>_xlfn.XLOOKUP(Table4[[#This Row],[Ext Finish]],Master_Table4[System Name],Master_Table4[Compatible Systems],FALSE)</f>
        <v>0</v>
      </c>
      <c r="O279" t="str">
        <f>IF(ISNUMBER(SEARCH(Table4[[#This Row],[MMC Method]],Table4[[#This Row],[Compatible Systems]])),"YES","NO")</f>
        <v>YES</v>
      </c>
      <c r="P279" t="e">
        <f>GETPIVOTDATA("Sum of A1-A3 Fossil kg CO2e/m^2 wall area",'COMPONENT PIVOT REF'!$I$3,"System Name",Table4[[#This Row],[Ext Finish]])</f>
        <v>#REF!</v>
      </c>
      <c r="Q279" t="e">
        <f>GETPIVOTDATA("Sum of  R value (m^2-K/W)",'COMPONENT PIVOT REF'!$I$3,"System Name",Table4[[#This Row],[Ext Finish]])</f>
        <v>#REF!</v>
      </c>
      <c r="R279" t="e">
        <f>GETPIVOTDATA("Sum of Total Mass per m^2 (kg)",'COMPONENT PIVOT REF'!$I$3,"System Name",Table4[[#This Row],[Ext Finish]])</f>
        <v>#REF!</v>
      </c>
      <c r="T279">
        <f>_xlfn.XLOOKUP(Table4[[#This Row],[Int Finish]],Master_Table6[System Name],Master_Table6[System Name (Short)],FALSE)</f>
        <v>0</v>
      </c>
      <c r="U279" t="e">
        <f>GETPIVOTDATA("Sum of A1-A3 Fossil kg CO2e/m^2 wall area",'COMPONENT PIVOT REF'!$P$3,"System Name",Table4[[#This Row],[Int Finish]])</f>
        <v>#REF!</v>
      </c>
      <c r="V279" t="e">
        <f>GETPIVOTDATA("Sum of  R value (m^2-K/W)",'COMPONENT PIVOT REF'!$P$3,"System Name",Table4[[#This Row],[Int Finish]])</f>
        <v>#REF!</v>
      </c>
      <c r="W279" t="e">
        <f>GETPIVOTDATA("Sum of Total Mass per m^2 (kg)",'COMPONENT PIVOT REF'!$P$3,"System Name",Table4[[#This Row],[Int Finish]])</f>
        <v>#REF!</v>
      </c>
      <c r="X279" t="e">
        <f>Table4[[#This Row],[Ext Finish GWP]]+Table4[[#This Row],[Base GWP]]+Table4[[#This Row],[Int Finish GWP]]</f>
        <v>#REF!</v>
      </c>
      <c r="Y279" t="e">
        <f>Table4[[#This Row],[Ext Finish R Value]]+Table4[[#This Row],[Base R Value]]+Table4[[#This Row],[Int Finish R Value]]</f>
        <v>#REF!</v>
      </c>
      <c r="Z279" t="e">
        <f>1/Table4[[#This Row],[Total R value]]</f>
        <v>#REF!</v>
      </c>
      <c r="AA279" t="e">
        <f>Table4[[#This Row],[Int Finish Mass]]+Table4[[#This Row],[Ext Finish Mass]]+Table4[[#This Row],[Base Mass]]</f>
        <v>#REF!</v>
      </c>
    </row>
    <row r="280" spans="3:27" x14ac:dyDescent="0.35">
      <c r="C280" t="str">
        <f>_xlfn.CONCAT(Table4[[#This Row],[System Name (Short)]],"_",Table4[[#This Row],[Ext Finish Name (Short)]],"_",Table4[[#This Row],[Int Finish Name (Short)]])</f>
        <v>0_0_0</v>
      </c>
      <c r="E280">
        <f>_xlfn.XLOOKUP(Table4[[#This Row],[Base System]],BASE_SYSTEM_TABLE[System Name],BASE_SYSTEM_TABLE[System Name (Short)],FALSE)</f>
        <v>0</v>
      </c>
      <c r="F280">
        <f>_xlfn.XLOOKUP(Table4[[#This Row],[Base System]],BASE_SYSTEM_TABLE[System Name],BASE_SYSTEM_TABLE[System Type],FALSE)</f>
        <v>0</v>
      </c>
      <c r="G280">
        <f>_xlfn.XLOOKUP(Table4[[#This Row],[Base System]],BASE_SYSTEM_TABLE[System Name],BASE_SYSTEM_TABLE[System Subtype],FALSE)</f>
        <v>0</v>
      </c>
      <c r="H280">
        <f>_xlfn.XLOOKUP(Table4[[#This Row],[Base System]],BASE_SYSTEM_TABLE[System Name],BASE_SYSTEM_TABLE[Construction Type (Framed or Planar)],FALSE)</f>
        <v>0</v>
      </c>
      <c r="I280" t="e">
        <f>GETPIVOTDATA("Sum of A1-A3 Fossil kg CO2e/m^2 wall area",'COMPONENT PIVOT REF'!$A$3,"System Name",Table4[[#This Row],[Base System]])</f>
        <v>#REF!</v>
      </c>
      <c r="J280" t="e">
        <f>GETPIVOTDATA("Sum of  R value (m^2-K/W)",'COMPONENT PIVOT REF'!$A$3,"System Name",Table4[[#This Row],[Base System]])</f>
        <v>#REF!</v>
      </c>
      <c r="K280" t="e">
        <f>GETPIVOTDATA("Sum of Total Mass per m^2 (kg)",'COMPONENT PIVOT REF'!$A$3,"System Name",Table4[[#This Row],[Base System]])</f>
        <v>#REF!</v>
      </c>
      <c r="M280">
        <f>_xlfn.XLOOKUP(Table4[[#This Row],[Ext Finish]],Master_Table4[System Name],Master_Table4[System Name (Short)],FALSE)</f>
        <v>0</v>
      </c>
      <c r="N280">
        <f>_xlfn.XLOOKUP(Table4[[#This Row],[Ext Finish]],Master_Table4[System Name],Master_Table4[Compatible Systems],FALSE)</f>
        <v>0</v>
      </c>
      <c r="O280" t="str">
        <f>IF(ISNUMBER(SEARCH(Table4[[#This Row],[MMC Method]],Table4[[#This Row],[Compatible Systems]])),"YES","NO")</f>
        <v>YES</v>
      </c>
      <c r="P280" t="e">
        <f>GETPIVOTDATA("Sum of A1-A3 Fossil kg CO2e/m^2 wall area",'COMPONENT PIVOT REF'!$I$3,"System Name",Table4[[#This Row],[Ext Finish]])</f>
        <v>#REF!</v>
      </c>
      <c r="Q280" t="e">
        <f>GETPIVOTDATA("Sum of  R value (m^2-K/W)",'COMPONENT PIVOT REF'!$I$3,"System Name",Table4[[#This Row],[Ext Finish]])</f>
        <v>#REF!</v>
      </c>
      <c r="R280" t="e">
        <f>GETPIVOTDATA("Sum of Total Mass per m^2 (kg)",'COMPONENT PIVOT REF'!$I$3,"System Name",Table4[[#This Row],[Ext Finish]])</f>
        <v>#REF!</v>
      </c>
      <c r="T280">
        <f>_xlfn.XLOOKUP(Table4[[#This Row],[Int Finish]],Master_Table6[System Name],Master_Table6[System Name (Short)],FALSE)</f>
        <v>0</v>
      </c>
      <c r="U280" t="e">
        <f>GETPIVOTDATA("Sum of A1-A3 Fossil kg CO2e/m^2 wall area",'COMPONENT PIVOT REF'!$P$3,"System Name",Table4[[#This Row],[Int Finish]])</f>
        <v>#REF!</v>
      </c>
      <c r="V280" t="e">
        <f>GETPIVOTDATA("Sum of  R value (m^2-K/W)",'COMPONENT PIVOT REF'!$P$3,"System Name",Table4[[#This Row],[Int Finish]])</f>
        <v>#REF!</v>
      </c>
      <c r="W280" t="e">
        <f>GETPIVOTDATA("Sum of Total Mass per m^2 (kg)",'COMPONENT PIVOT REF'!$P$3,"System Name",Table4[[#This Row],[Int Finish]])</f>
        <v>#REF!</v>
      </c>
      <c r="X280" t="e">
        <f>Table4[[#This Row],[Ext Finish GWP]]+Table4[[#This Row],[Base GWP]]+Table4[[#This Row],[Int Finish GWP]]</f>
        <v>#REF!</v>
      </c>
      <c r="Y280" t="e">
        <f>Table4[[#This Row],[Ext Finish R Value]]+Table4[[#This Row],[Base R Value]]+Table4[[#This Row],[Int Finish R Value]]</f>
        <v>#REF!</v>
      </c>
      <c r="Z280" t="e">
        <f>1/Table4[[#This Row],[Total R value]]</f>
        <v>#REF!</v>
      </c>
      <c r="AA280" t="e">
        <f>Table4[[#This Row],[Int Finish Mass]]+Table4[[#This Row],[Ext Finish Mass]]+Table4[[#This Row],[Base Mass]]</f>
        <v>#REF!</v>
      </c>
    </row>
    <row r="281" spans="3:27" x14ac:dyDescent="0.35">
      <c r="C281" t="str">
        <f>_xlfn.CONCAT(Table4[[#This Row],[System Name (Short)]],"_",Table4[[#This Row],[Ext Finish Name (Short)]],"_",Table4[[#This Row],[Int Finish Name (Short)]])</f>
        <v>0_0_0</v>
      </c>
      <c r="E281">
        <f>_xlfn.XLOOKUP(Table4[[#This Row],[Base System]],BASE_SYSTEM_TABLE[System Name],BASE_SYSTEM_TABLE[System Name (Short)],FALSE)</f>
        <v>0</v>
      </c>
      <c r="F281">
        <f>_xlfn.XLOOKUP(Table4[[#This Row],[Base System]],BASE_SYSTEM_TABLE[System Name],BASE_SYSTEM_TABLE[System Type],FALSE)</f>
        <v>0</v>
      </c>
      <c r="G281">
        <f>_xlfn.XLOOKUP(Table4[[#This Row],[Base System]],BASE_SYSTEM_TABLE[System Name],BASE_SYSTEM_TABLE[System Subtype],FALSE)</f>
        <v>0</v>
      </c>
      <c r="H281">
        <f>_xlfn.XLOOKUP(Table4[[#This Row],[Base System]],BASE_SYSTEM_TABLE[System Name],BASE_SYSTEM_TABLE[Construction Type (Framed or Planar)],FALSE)</f>
        <v>0</v>
      </c>
      <c r="I281" t="e">
        <f>GETPIVOTDATA("Sum of A1-A3 Fossil kg CO2e/m^2 wall area",'COMPONENT PIVOT REF'!$A$3,"System Name",Table4[[#This Row],[Base System]])</f>
        <v>#REF!</v>
      </c>
      <c r="J281" t="e">
        <f>GETPIVOTDATA("Sum of  R value (m^2-K/W)",'COMPONENT PIVOT REF'!$A$3,"System Name",Table4[[#This Row],[Base System]])</f>
        <v>#REF!</v>
      </c>
      <c r="K281" t="e">
        <f>GETPIVOTDATA("Sum of Total Mass per m^2 (kg)",'COMPONENT PIVOT REF'!$A$3,"System Name",Table4[[#This Row],[Base System]])</f>
        <v>#REF!</v>
      </c>
      <c r="M281">
        <f>_xlfn.XLOOKUP(Table4[[#This Row],[Ext Finish]],Master_Table4[System Name],Master_Table4[System Name (Short)],FALSE)</f>
        <v>0</v>
      </c>
      <c r="N281">
        <f>_xlfn.XLOOKUP(Table4[[#This Row],[Ext Finish]],Master_Table4[System Name],Master_Table4[Compatible Systems],FALSE)</f>
        <v>0</v>
      </c>
      <c r="O281" t="str">
        <f>IF(ISNUMBER(SEARCH(Table4[[#This Row],[MMC Method]],Table4[[#This Row],[Compatible Systems]])),"YES","NO")</f>
        <v>YES</v>
      </c>
      <c r="P281" t="e">
        <f>GETPIVOTDATA("Sum of A1-A3 Fossil kg CO2e/m^2 wall area",'COMPONENT PIVOT REF'!$I$3,"System Name",Table4[[#This Row],[Ext Finish]])</f>
        <v>#REF!</v>
      </c>
      <c r="Q281" t="e">
        <f>GETPIVOTDATA("Sum of  R value (m^2-K/W)",'COMPONENT PIVOT REF'!$I$3,"System Name",Table4[[#This Row],[Ext Finish]])</f>
        <v>#REF!</v>
      </c>
      <c r="R281" t="e">
        <f>GETPIVOTDATA("Sum of Total Mass per m^2 (kg)",'COMPONENT PIVOT REF'!$I$3,"System Name",Table4[[#This Row],[Ext Finish]])</f>
        <v>#REF!</v>
      </c>
      <c r="T281">
        <f>_xlfn.XLOOKUP(Table4[[#This Row],[Int Finish]],Master_Table6[System Name],Master_Table6[System Name (Short)],FALSE)</f>
        <v>0</v>
      </c>
      <c r="U281" t="e">
        <f>GETPIVOTDATA("Sum of A1-A3 Fossil kg CO2e/m^2 wall area",'COMPONENT PIVOT REF'!$P$3,"System Name",Table4[[#This Row],[Int Finish]])</f>
        <v>#REF!</v>
      </c>
      <c r="V281" t="e">
        <f>GETPIVOTDATA("Sum of  R value (m^2-K/W)",'COMPONENT PIVOT REF'!$P$3,"System Name",Table4[[#This Row],[Int Finish]])</f>
        <v>#REF!</v>
      </c>
      <c r="W281" t="e">
        <f>GETPIVOTDATA("Sum of Total Mass per m^2 (kg)",'COMPONENT PIVOT REF'!$P$3,"System Name",Table4[[#This Row],[Int Finish]])</f>
        <v>#REF!</v>
      </c>
      <c r="X281" t="e">
        <f>Table4[[#This Row],[Ext Finish GWP]]+Table4[[#This Row],[Base GWP]]+Table4[[#This Row],[Int Finish GWP]]</f>
        <v>#REF!</v>
      </c>
      <c r="Y281" t="e">
        <f>Table4[[#This Row],[Ext Finish R Value]]+Table4[[#This Row],[Base R Value]]+Table4[[#This Row],[Int Finish R Value]]</f>
        <v>#REF!</v>
      </c>
      <c r="Z281" t="e">
        <f>1/Table4[[#This Row],[Total R value]]</f>
        <v>#REF!</v>
      </c>
      <c r="AA281" t="e">
        <f>Table4[[#This Row],[Int Finish Mass]]+Table4[[#This Row],[Ext Finish Mass]]+Table4[[#This Row],[Base Mass]]</f>
        <v>#REF!</v>
      </c>
    </row>
    <row r="282" spans="3:27" x14ac:dyDescent="0.35">
      <c r="C282" t="str">
        <f>_xlfn.CONCAT(Table4[[#This Row],[System Name (Short)]],"_",Table4[[#This Row],[Ext Finish Name (Short)]],"_",Table4[[#This Row],[Int Finish Name (Short)]])</f>
        <v>0_0_0</v>
      </c>
      <c r="E282">
        <f>_xlfn.XLOOKUP(Table4[[#This Row],[Base System]],BASE_SYSTEM_TABLE[System Name],BASE_SYSTEM_TABLE[System Name (Short)],FALSE)</f>
        <v>0</v>
      </c>
      <c r="F282">
        <f>_xlfn.XLOOKUP(Table4[[#This Row],[Base System]],BASE_SYSTEM_TABLE[System Name],BASE_SYSTEM_TABLE[System Type],FALSE)</f>
        <v>0</v>
      </c>
      <c r="G282">
        <f>_xlfn.XLOOKUP(Table4[[#This Row],[Base System]],BASE_SYSTEM_TABLE[System Name],BASE_SYSTEM_TABLE[System Subtype],FALSE)</f>
        <v>0</v>
      </c>
      <c r="H282">
        <f>_xlfn.XLOOKUP(Table4[[#This Row],[Base System]],BASE_SYSTEM_TABLE[System Name],BASE_SYSTEM_TABLE[Construction Type (Framed or Planar)],FALSE)</f>
        <v>0</v>
      </c>
      <c r="I282" t="e">
        <f>GETPIVOTDATA("Sum of A1-A3 Fossil kg CO2e/m^2 wall area",'COMPONENT PIVOT REF'!$A$3,"System Name",Table4[[#This Row],[Base System]])</f>
        <v>#REF!</v>
      </c>
      <c r="J282" t="e">
        <f>GETPIVOTDATA("Sum of  R value (m^2-K/W)",'COMPONENT PIVOT REF'!$A$3,"System Name",Table4[[#This Row],[Base System]])</f>
        <v>#REF!</v>
      </c>
      <c r="K282" t="e">
        <f>GETPIVOTDATA("Sum of Total Mass per m^2 (kg)",'COMPONENT PIVOT REF'!$A$3,"System Name",Table4[[#This Row],[Base System]])</f>
        <v>#REF!</v>
      </c>
      <c r="M282">
        <f>_xlfn.XLOOKUP(Table4[[#This Row],[Ext Finish]],Master_Table4[System Name],Master_Table4[System Name (Short)],FALSE)</f>
        <v>0</v>
      </c>
      <c r="N282">
        <f>_xlfn.XLOOKUP(Table4[[#This Row],[Ext Finish]],Master_Table4[System Name],Master_Table4[Compatible Systems],FALSE)</f>
        <v>0</v>
      </c>
      <c r="O282" t="str">
        <f>IF(ISNUMBER(SEARCH(Table4[[#This Row],[MMC Method]],Table4[[#This Row],[Compatible Systems]])),"YES","NO")</f>
        <v>YES</v>
      </c>
      <c r="P282" t="e">
        <f>GETPIVOTDATA("Sum of A1-A3 Fossil kg CO2e/m^2 wall area",'COMPONENT PIVOT REF'!$I$3,"System Name",Table4[[#This Row],[Ext Finish]])</f>
        <v>#REF!</v>
      </c>
      <c r="Q282" t="e">
        <f>GETPIVOTDATA("Sum of  R value (m^2-K/W)",'COMPONENT PIVOT REF'!$I$3,"System Name",Table4[[#This Row],[Ext Finish]])</f>
        <v>#REF!</v>
      </c>
      <c r="R282" t="e">
        <f>GETPIVOTDATA("Sum of Total Mass per m^2 (kg)",'COMPONENT PIVOT REF'!$I$3,"System Name",Table4[[#This Row],[Ext Finish]])</f>
        <v>#REF!</v>
      </c>
      <c r="T282">
        <f>_xlfn.XLOOKUP(Table4[[#This Row],[Int Finish]],Master_Table6[System Name],Master_Table6[System Name (Short)],FALSE)</f>
        <v>0</v>
      </c>
      <c r="U282" t="e">
        <f>GETPIVOTDATA("Sum of A1-A3 Fossil kg CO2e/m^2 wall area",'COMPONENT PIVOT REF'!$P$3,"System Name",Table4[[#This Row],[Int Finish]])</f>
        <v>#REF!</v>
      </c>
      <c r="V282" t="e">
        <f>GETPIVOTDATA("Sum of  R value (m^2-K/W)",'COMPONENT PIVOT REF'!$P$3,"System Name",Table4[[#This Row],[Int Finish]])</f>
        <v>#REF!</v>
      </c>
      <c r="W282" t="e">
        <f>GETPIVOTDATA("Sum of Total Mass per m^2 (kg)",'COMPONENT PIVOT REF'!$P$3,"System Name",Table4[[#This Row],[Int Finish]])</f>
        <v>#REF!</v>
      </c>
      <c r="X282" t="e">
        <f>Table4[[#This Row],[Ext Finish GWP]]+Table4[[#This Row],[Base GWP]]+Table4[[#This Row],[Int Finish GWP]]</f>
        <v>#REF!</v>
      </c>
      <c r="Y282" t="e">
        <f>Table4[[#This Row],[Ext Finish R Value]]+Table4[[#This Row],[Base R Value]]+Table4[[#This Row],[Int Finish R Value]]</f>
        <v>#REF!</v>
      </c>
      <c r="Z282" t="e">
        <f>1/Table4[[#This Row],[Total R value]]</f>
        <v>#REF!</v>
      </c>
      <c r="AA282" t="e">
        <f>Table4[[#This Row],[Int Finish Mass]]+Table4[[#This Row],[Ext Finish Mass]]+Table4[[#This Row],[Base Mass]]</f>
        <v>#REF!</v>
      </c>
    </row>
    <row r="283" spans="3:27" x14ac:dyDescent="0.35">
      <c r="C283" t="str">
        <f>_xlfn.CONCAT(Table4[[#This Row],[System Name (Short)]],"_",Table4[[#This Row],[Ext Finish Name (Short)]],"_",Table4[[#This Row],[Int Finish Name (Short)]])</f>
        <v>0_0_0</v>
      </c>
      <c r="E283">
        <f>_xlfn.XLOOKUP(Table4[[#This Row],[Base System]],BASE_SYSTEM_TABLE[System Name],BASE_SYSTEM_TABLE[System Name (Short)],FALSE)</f>
        <v>0</v>
      </c>
      <c r="F283">
        <f>_xlfn.XLOOKUP(Table4[[#This Row],[Base System]],BASE_SYSTEM_TABLE[System Name],BASE_SYSTEM_TABLE[System Type],FALSE)</f>
        <v>0</v>
      </c>
      <c r="G283">
        <f>_xlfn.XLOOKUP(Table4[[#This Row],[Base System]],BASE_SYSTEM_TABLE[System Name],BASE_SYSTEM_TABLE[System Subtype],FALSE)</f>
        <v>0</v>
      </c>
      <c r="H283">
        <f>_xlfn.XLOOKUP(Table4[[#This Row],[Base System]],BASE_SYSTEM_TABLE[System Name],BASE_SYSTEM_TABLE[Construction Type (Framed or Planar)],FALSE)</f>
        <v>0</v>
      </c>
      <c r="I283" t="e">
        <f>GETPIVOTDATA("Sum of A1-A3 Fossil kg CO2e/m^2 wall area",'COMPONENT PIVOT REF'!$A$3,"System Name",Table4[[#This Row],[Base System]])</f>
        <v>#REF!</v>
      </c>
      <c r="J283" t="e">
        <f>GETPIVOTDATA("Sum of  R value (m^2-K/W)",'COMPONENT PIVOT REF'!$A$3,"System Name",Table4[[#This Row],[Base System]])</f>
        <v>#REF!</v>
      </c>
      <c r="K283" t="e">
        <f>GETPIVOTDATA("Sum of Total Mass per m^2 (kg)",'COMPONENT PIVOT REF'!$A$3,"System Name",Table4[[#This Row],[Base System]])</f>
        <v>#REF!</v>
      </c>
      <c r="M283">
        <f>_xlfn.XLOOKUP(Table4[[#This Row],[Ext Finish]],Master_Table4[System Name],Master_Table4[System Name (Short)],FALSE)</f>
        <v>0</v>
      </c>
      <c r="N283">
        <f>_xlfn.XLOOKUP(Table4[[#This Row],[Ext Finish]],Master_Table4[System Name],Master_Table4[Compatible Systems],FALSE)</f>
        <v>0</v>
      </c>
      <c r="O283" t="str">
        <f>IF(ISNUMBER(SEARCH(Table4[[#This Row],[MMC Method]],Table4[[#This Row],[Compatible Systems]])),"YES","NO")</f>
        <v>YES</v>
      </c>
      <c r="P283" t="e">
        <f>GETPIVOTDATA("Sum of A1-A3 Fossil kg CO2e/m^2 wall area",'COMPONENT PIVOT REF'!$I$3,"System Name",Table4[[#This Row],[Ext Finish]])</f>
        <v>#REF!</v>
      </c>
      <c r="Q283" t="e">
        <f>GETPIVOTDATA("Sum of  R value (m^2-K/W)",'COMPONENT PIVOT REF'!$I$3,"System Name",Table4[[#This Row],[Ext Finish]])</f>
        <v>#REF!</v>
      </c>
      <c r="R283" t="e">
        <f>GETPIVOTDATA("Sum of Total Mass per m^2 (kg)",'COMPONENT PIVOT REF'!$I$3,"System Name",Table4[[#This Row],[Ext Finish]])</f>
        <v>#REF!</v>
      </c>
      <c r="T283">
        <f>_xlfn.XLOOKUP(Table4[[#This Row],[Int Finish]],Master_Table6[System Name],Master_Table6[System Name (Short)],FALSE)</f>
        <v>0</v>
      </c>
      <c r="U283" t="e">
        <f>GETPIVOTDATA("Sum of A1-A3 Fossil kg CO2e/m^2 wall area",'COMPONENT PIVOT REF'!$P$3,"System Name",Table4[[#This Row],[Int Finish]])</f>
        <v>#REF!</v>
      </c>
      <c r="V283" t="e">
        <f>GETPIVOTDATA("Sum of  R value (m^2-K/W)",'COMPONENT PIVOT REF'!$P$3,"System Name",Table4[[#This Row],[Int Finish]])</f>
        <v>#REF!</v>
      </c>
      <c r="W283" t="e">
        <f>GETPIVOTDATA("Sum of Total Mass per m^2 (kg)",'COMPONENT PIVOT REF'!$P$3,"System Name",Table4[[#This Row],[Int Finish]])</f>
        <v>#REF!</v>
      </c>
      <c r="X283" t="e">
        <f>Table4[[#This Row],[Ext Finish GWP]]+Table4[[#This Row],[Base GWP]]+Table4[[#This Row],[Int Finish GWP]]</f>
        <v>#REF!</v>
      </c>
      <c r="Y283" t="e">
        <f>Table4[[#This Row],[Ext Finish R Value]]+Table4[[#This Row],[Base R Value]]+Table4[[#This Row],[Int Finish R Value]]</f>
        <v>#REF!</v>
      </c>
      <c r="Z283" t="e">
        <f>1/Table4[[#This Row],[Total R value]]</f>
        <v>#REF!</v>
      </c>
      <c r="AA283" t="e">
        <f>Table4[[#This Row],[Int Finish Mass]]+Table4[[#This Row],[Ext Finish Mass]]+Table4[[#This Row],[Base Mass]]</f>
        <v>#REF!</v>
      </c>
    </row>
    <row r="284" spans="3:27" x14ac:dyDescent="0.35">
      <c r="C284" t="str">
        <f>_xlfn.CONCAT(Table4[[#This Row],[System Name (Short)]],"_",Table4[[#This Row],[Ext Finish Name (Short)]],"_",Table4[[#This Row],[Int Finish Name (Short)]])</f>
        <v>0_0_0</v>
      </c>
      <c r="E284">
        <f>_xlfn.XLOOKUP(Table4[[#This Row],[Base System]],BASE_SYSTEM_TABLE[System Name],BASE_SYSTEM_TABLE[System Name (Short)],FALSE)</f>
        <v>0</v>
      </c>
      <c r="F284">
        <f>_xlfn.XLOOKUP(Table4[[#This Row],[Base System]],BASE_SYSTEM_TABLE[System Name],BASE_SYSTEM_TABLE[System Type],FALSE)</f>
        <v>0</v>
      </c>
      <c r="G284">
        <f>_xlfn.XLOOKUP(Table4[[#This Row],[Base System]],BASE_SYSTEM_TABLE[System Name],BASE_SYSTEM_TABLE[System Subtype],FALSE)</f>
        <v>0</v>
      </c>
      <c r="H284">
        <f>_xlfn.XLOOKUP(Table4[[#This Row],[Base System]],BASE_SYSTEM_TABLE[System Name],BASE_SYSTEM_TABLE[Construction Type (Framed or Planar)],FALSE)</f>
        <v>0</v>
      </c>
      <c r="I284" t="e">
        <f>GETPIVOTDATA("Sum of A1-A3 Fossil kg CO2e/m^2 wall area",'COMPONENT PIVOT REF'!$A$3,"System Name",Table4[[#This Row],[Base System]])</f>
        <v>#REF!</v>
      </c>
      <c r="J284" t="e">
        <f>GETPIVOTDATA("Sum of  R value (m^2-K/W)",'COMPONENT PIVOT REF'!$A$3,"System Name",Table4[[#This Row],[Base System]])</f>
        <v>#REF!</v>
      </c>
      <c r="K284" t="e">
        <f>GETPIVOTDATA("Sum of Total Mass per m^2 (kg)",'COMPONENT PIVOT REF'!$A$3,"System Name",Table4[[#This Row],[Base System]])</f>
        <v>#REF!</v>
      </c>
      <c r="M284">
        <f>_xlfn.XLOOKUP(Table4[[#This Row],[Ext Finish]],Master_Table4[System Name],Master_Table4[System Name (Short)],FALSE)</f>
        <v>0</v>
      </c>
      <c r="N284">
        <f>_xlfn.XLOOKUP(Table4[[#This Row],[Ext Finish]],Master_Table4[System Name],Master_Table4[Compatible Systems],FALSE)</f>
        <v>0</v>
      </c>
      <c r="O284" t="str">
        <f>IF(ISNUMBER(SEARCH(Table4[[#This Row],[MMC Method]],Table4[[#This Row],[Compatible Systems]])),"YES","NO")</f>
        <v>YES</v>
      </c>
      <c r="P284" t="e">
        <f>GETPIVOTDATA("Sum of A1-A3 Fossil kg CO2e/m^2 wall area",'COMPONENT PIVOT REF'!$I$3,"System Name",Table4[[#This Row],[Ext Finish]])</f>
        <v>#REF!</v>
      </c>
      <c r="Q284" t="e">
        <f>GETPIVOTDATA("Sum of  R value (m^2-K/W)",'COMPONENT PIVOT REF'!$I$3,"System Name",Table4[[#This Row],[Ext Finish]])</f>
        <v>#REF!</v>
      </c>
      <c r="R284" t="e">
        <f>GETPIVOTDATA("Sum of Total Mass per m^2 (kg)",'COMPONENT PIVOT REF'!$I$3,"System Name",Table4[[#This Row],[Ext Finish]])</f>
        <v>#REF!</v>
      </c>
      <c r="T284">
        <f>_xlfn.XLOOKUP(Table4[[#This Row],[Int Finish]],Master_Table6[System Name],Master_Table6[System Name (Short)],FALSE)</f>
        <v>0</v>
      </c>
      <c r="U284" t="e">
        <f>GETPIVOTDATA("Sum of A1-A3 Fossil kg CO2e/m^2 wall area",'COMPONENT PIVOT REF'!$P$3,"System Name",Table4[[#This Row],[Int Finish]])</f>
        <v>#REF!</v>
      </c>
      <c r="V284" t="e">
        <f>GETPIVOTDATA("Sum of  R value (m^2-K/W)",'COMPONENT PIVOT REF'!$P$3,"System Name",Table4[[#This Row],[Int Finish]])</f>
        <v>#REF!</v>
      </c>
      <c r="W284" t="e">
        <f>GETPIVOTDATA("Sum of Total Mass per m^2 (kg)",'COMPONENT PIVOT REF'!$P$3,"System Name",Table4[[#This Row],[Int Finish]])</f>
        <v>#REF!</v>
      </c>
      <c r="X284" t="e">
        <f>Table4[[#This Row],[Ext Finish GWP]]+Table4[[#This Row],[Base GWP]]+Table4[[#This Row],[Int Finish GWP]]</f>
        <v>#REF!</v>
      </c>
      <c r="Y284" t="e">
        <f>Table4[[#This Row],[Ext Finish R Value]]+Table4[[#This Row],[Base R Value]]+Table4[[#This Row],[Int Finish R Value]]</f>
        <v>#REF!</v>
      </c>
      <c r="Z284" t="e">
        <f>1/Table4[[#This Row],[Total R value]]</f>
        <v>#REF!</v>
      </c>
      <c r="AA284" t="e">
        <f>Table4[[#This Row],[Int Finish Mass]]+Table4[[#This Row],[Ext Finish Mass]]+Table4[[#This Row],[Base Mass]]</f>
        <v>#REF!</v>
      </c>
    </row>
    <row r="285" spans="3:27" x14ac:dyDescent="0.35">
      <c r="C285" t="str">
        <f>_xlfn.CONCAT(Table4[[#This Row],[System Name (Short)]],"_",Table4[[#This Row],[Ext Finish Name (Short)]],"_",Table4[[#This Row],[Int Finish Name (Short)]])</f>
        <v>0_0_0</v>
      </c>
      <c r="E285">
        <f>_xlfn.XLOOKUP(Table4[[#This Row],[Base System]],BASE_SYSTEM_TABLE[System Name],BASE_SYSTEM_TABLE[System Name (Short)],FALSE)</f>
        <v>0</v>
      </c>
      <c r="F285">
        <f>_xlfn.XLOOKUP(Table4[[#This Row],[Base System]],BASE_SYSTEM_TABLE[System Name],BASE_SYSTEM_TABLE[System Type],FALSE)</f>
        <v>0</v>
      </c>
      <c r="G285">
        <f>_xlfn.XLOOKUP(Table4[[#This Row],[Base System]],BASE_SYSTEM_TABLE[System Name],BASE_SYSTEM_TABLE[System Subtype],FALSE)</f>
        <v>0</v>
      </c>
      <c r="H285">
        <f>_xlfn.XLOOKUP(Table4[[#This Row],[Base System]],BASE_SYSTEM_TABLE[System Name],BASE_SYSTEM_TABLE[Construction Type (Framed or Planar)],FALSE)</f>
        <v>0</v>
      </c>
      <c r="I285" t="e">
        <f>GETPIVOTDATA("Sum of A1-A3 Fossil kg CO2e/m^2 wall area",'COMPONENT PIVOT REF'!$A$3,"System Name",Table4[[#This Row],[Base System]])</f>
        <v>#REF!</v>
      </c>
      <c r="J285" t="e">
        <f>GETPIVOTDATA("Sum of  R value (m^2-K/W)",'COMPONENT PIVOT REF'!$A$3,"System Name",Table4[[#This Row],[Base System]])</f>
        <v>#REF!</v>
      </c>
      <c r="K285" t="e">
        <f>GETPIVOTDATA("Sum of Total Mass per m^2 (kg)",'COMPONENT PIVOT REF'!$A$3,"System Name",Table4[[#This Row],[Base System]])</f>
        <v>#REF!</v>
      </c>
      <c r="M285">
        <f>_xlfn.XLOOKUP(Table4[[#This Row],[Ext Finish]],Master_Table4[System Name],Master_Table4[System Name (Short)],FALSE)</f>
        <v>0</v>
      </c>
      <c r="N285">
        <f>_xlfn.XLOOKUP(Table4[[#This Row],[Ext Finish]],Master_Table4[System Name],Master_Table4[Compatible Systems],FALSE)</f>
        <v>0</v>
      </c>
      <c r="O285" t="str">
        <f>IF(ISNUMBER(SEARCH(Table4[[#This Row],[MMC Method]],Table4[[#This Row],[Compatible Systems]])),"YES","NO")</f>
        <v>YES</v>
      </c>
      <c r="P285" t="e">
        <f>GETPIVOTDATA("Sum of A1-A3 Fossil kg CO2e/m^2 wall area",'COMPONENT PIVOT REF'!$I$3,"System Name",Table4[[#This Row],[Ext Finish]])</f>
        <v>#REF!</v>
      </c>
      <c r="Q285" t="e">
        <f>GETPIVOTDATA("Sum of  R value (m^2-K/W)",'COMPONENT PIVOT REF'!$I$3,"System Name",Table4[[#This Row],[Ext Finish]])</f>
        <v>#REF!</v>
      </c>
      <c r="R285" t="e">
        <f>GETPIVOTDATA("Sum of Total Mass per m^2 (kg)",'COMPONENT PIVOT REF'!$I$3,"System Name",Table4[[#This Row],[Ext Finish]])</f>
        <v>#REF!</v>
      </c>
      <c r="T285">
        <f>_xlfn.XLOOKUP(Table4[[#This Row],[Int Finish]],Master_Table6[System Name],Master_Table6[System Name (Short)],FALSE)</f>
        <v>0</v>
      </c>
      <c r="U285" t="e">
        <f>GETPIVOTDATA("Sum of A1-A3 Fossil kg CO2e/m^2 wall area",'COMPONENT PIVOT REF'!$P$3,"System Name",Table4[[#This Row],[Int Finish]])</f>
        <v>#REF!</v>
      </c>
      <c r="V285" t="e">
        <f>GETPIVOTDATA("Sum of  R value (m^2-K/W)",'COMPONENT PIVOT REF'!$P$3,"System Name",Table4[[#This Row],[Int Finish]])</f>
        <v>#REF!</v>
      </c>
      <c r="W285" t="e">
        <f>GETPIVOTDATA("Sum of Total Mass per m^2 (kg)",'COMPONENT PIVOT REF'!$P$3,"System Name",Table4[[#This Row],[Int Finish]])</f>
        <v>#REF!</v>
      </c>
      <c r="X285" t="e">
        <f>Table4[[#This Row],[Ext Finish GWP]]+Table4[[#This Row],[Base GWP]]+Table4[[#This Row],[Int Finish GWP]]</f>
        <v>#REF!</v>
      </c>
      <c r="Y285" t="e">
        <f>Table4[[#This Row],[Ext Finish R Value]]+Table4[[#This Row],[Base R Value]]+Table4[[#This Row],[Int Finish R Value]]</f>
        <v>#REF!</v>
      </c>
      <c r="Z285" t="e">
        <f>1/Table4[[#This Row],[Total R value]]</f>
        <v>#REF!</v>
      </c>
      <c r="AA285" t="e">
        <f>Table4[[#This Row],[Int Finish Mass]]+Table4[[#This Row],[Ext Finish Mass]]+Table4[[#This Row],[Base Mass]]</f>
        <v>#REF!</v>
      </c>
    </row>
    <row r="286" spans="3:27" x14ac:dyDescent="0.35">
      <c r="C286" t="str">
        <f>_xlfn.CONCAT(Table4[[#This Row],[System Name (Short)]],"_",Table4[[#This Row],[Ext Finish Name (Short)]],"_",Table4[[#This Row],[Int Finish Name (Short)]])</f>
        <v>0_0_0</v>
      </c>
      <c r="E286">
        <f>_xlfn.XLOOKUP(Table4[[#This Row],[Base System]],BASE_SYSTEM_TABLE[System Name],BASE_SYSTEM_TABLE[System Name (Short)],FALSE)</f>
        <v>0</v>
      </c>
      <c r="F286">
        <f>_xlfn.XLOOKUP(Table4[[#This Row],[Base System]],BASE_SYSTEM_TABLE[System Name],BASE_SYSTEM_TABLE[System Type],FALSE)</f>
        <v>0</v>
      </c>
      <c r="G286">
        <f>_xlfn.XLOOKUP(Table4[[#This Row],[Base System]],BASE_SYSTEM_TABLE[System Name],BASE_SYSTEM_TABLE[System Subtype],FALSE)</f>
        <v>0</v>
      </c>
      <c r="H286">
        <f>_xlfn.XLOOKUP(Table4[[#This Row],[Base System]],BASE_SYSTEM_TABLE[System Name],BASE_SYSTEM_TABLE[Construction Type (Framed or Planar)],FALSE)</f>
        <v>0</v>
      </c>
      <c r="I286" t="e">
        <f>GETPIVOTDATA("Sum of A1-A3 Fossil kg CO2e/m^2 wall area",'COMPONENT PIVOT REF'!$A$3,"System Name",Table4[[#This Row],[Base System]])</f>
        <v>#REF!</v>
      </c>
      <c r="J286" t="e">
        <f>GETPIVOTDATA("Sum of  R value (m^2-K/W)",'COMPONENT PIVOT REF'!$A$3,"System Name",Table4[[#This Row],[Base System]])</f>
        <v>#REF!</v>
      </c>
      <c r="K286" t="e">
        <f>GETPIVOTDATA("Sum of Total Mass per m^2 (kg)",'COMPONENT PIVOT REF'!$A$3,"System Name",Table4[[#This Row],[Base System]])</f>
        <v>#REF!</v>
      </c>
      <c r="M286">
        <f>_xlfn.XLOOKUP(Table4[[#This Row],[Ext Finish]],Master_Table4[System Name],Master_Table4[System Name (Short)],FALSE)</f>
        <v>0</v>
      </c>
      <c r="N286">
        <f>_xlfn.XLOOKUP(Table4[[#This Row],[Ext Finish]],Master_Table4[System Name],Master_Table4[Compatible Systems],FALSE)</f>
        <v>0</v>
      </c>
      <c r="O286" t="str">
        <f>IF(ISNUMBER(SEARCH(Table4[[#This Row],[MMC Method]],Table4[[#This Row],[Compatible Systems]])),"YES","NO")</f>
        <v>YES</v>
      </c>
      <c r="P286" t="e">
        <f>GETPIVOTDATA("Sum of A1-A3 Fossil kg CO2e/m^2 wall area",'COMPONENT PIVOT REF'!$I$3,"System Name",Table4[[#This Row],[Ext Finish]])</f>
        <v>#REF!</v>
      </c>
      <c r="Q286" t="e">
        <f>GETPIVOTDATA("Sum of  R value (m^2-K/W)",'COMPONENT PIVOT REF'!$I$3,"System Name",Table4[[#This Row],[Ext Finish]])</f>
        <v>#REF!</v>
      </c>
      <c r="R286" t="e">
        <f>GETPIVOTDATA("Sum of Total Mass per m^2 (kg)",'COMPONENT PIVOT REF'!$I$3,"System Name",Table4[[#This Row],[Ext Finish]])</f>
        <v>#REF!</v>
      </c>
      <c r="T286">
        <f>_xlfn.XLOOKUP(Table4[[#This Row],[Int Finish]],Master_Table6[System Name],Master_Table6[System Name (Short)],FALSE)</f>
        <v>0</v>
      </c>
      <c r="U286" t="e">
        <f>GETPIVOTDATA("Sum of A1-A3 Fossil kg CO2e/m^2 wall area",'COMPONENT PIVOT REF'!$P$3,"System Name",Table4[[#This Row],[Int Finish]])</f>
        <v>#REF!</v>
      </c>
      <c r="V286" t="e">
        <f>GETPIVOTDATA("Sum of  R value (m^2-K/W)",'COMPONENT PIVOT REF'!$P$3,"System Name",Table4[[#This Row],[Int Finish]])</f>
        <v>#REF!</v>
      </c>
      <c r="W286" t="e">
        <f>GETPIVOTDATA("Sum of Total Mass per m^2 (kg)",'COMPONENT PIVOT REF'!$P$3,"System Name",Table4[[#This Row],[Int Finish]])</f>
        <v>#REF!</v>
      </c>
      <c r="X286" t="e">
        <f>Table4[[#This Row],[Ext Finish GWP]]+Table4[[#This Row],[Base GWP]]+Table4[[#This Row],[Int Finish GWP]]</f>
        <v>#REF!</v>
      </c>
      <c r="Y286" t="e">
        <f>Table4[[#This Row],[Ext Finish R Value]]+Table4[[#This Row],[Base R Value]]+Table4[[#This Row],[Int Finish R Value]]</f>
        <v>#REF!</v>
      </c>
      <c r="Z286" t="e">
        <f>1/Table4[[#This Row],[Total R value]]</f>
        <v>#REF!</v>
      </c>
      <c r="AA286" t="e">
        <f>Table4[[#This Row],[Int Finish Mass]]+Table4[[#This Row],[Ext Finish Mass]]+Table4[[#This Row],[Base Mass]]</f>
        <v>#REF!</v>
      </c>
    </row>
    <row r="287" spans="3:27" x14ac:dyDescent="0.35">
      <c r="C287" t="str">
        <f>_xlfn.CONCAT(Table4[[#This Row],[System Name (Short)]],"_",Table4[[#This Row],[Ext Finish Name (Short)]],"_",Table4[[#This Row],[Int Finish Name (Short)]])</f>
        <v>0_0_0</v>
      </c>
      <c r="E287">
        <f>_xlfn.XLOOKUP(Table4[[#This Row],[Base System]],BASE_SYSTEM_TABLE[System Name],BASE_SYSTEM_TABLE[System Name (Short)],FALSE)</f>
        <v>0</v>
      </c>
      <c r="F287">
        <f>_xlfn.XLOOKUP(Table4[[#This Row],[Base System]],BASE_SYSTEM_TABLE[System Name],BASE_SYSTEM_TABLE[System Type],FALSE)</f>
        <v>0</v>
      </c>
      <c r="G287">
        <f>_xlfn.XLOOKUP(Table4[[#This Row],[Base System]],BASE_SYSTEM_TABLE[System Name],BASE_SYSTEM_TABLE[System Subtype],FALSE)</f>
        <v>0</v>
      </c>
      <c r="H287">
        <f>_xlfn.XLOOKUP(Table4[[#This Row],[Base System]],BASE_SYSTEM_TABLE[System Name],BASE_SYSTEM_TABLE[Construction Type (Framed or Planar)],FALSE)</f>
        <v>0</v>
      </c>
      <c r="I287" t="e">
        <f>GETPIVOTDATA("Sum of A1-A3 Fossil kg CO2e/m^2 wall area",'COMPONENT PIVOT REF'!$A$3,"System Name",Table4[[#This Row],[Base System]])</f>
        <v>#REF!</v>
      </c>
      <c r="J287" t="e">
        <f>GETPIVOTDATA("Sum of  R value (m^2-K/W)",'COMPONENT PIVOT REF'!$A$3,"System Name",Table4[[#This Row],[Base System]])</f>
        <v>#REF!</v>
      </c>
      <c r="K287" t="e">
        <f>GETPIVOTDATA("Sum of Total Mass per m^2 (kg)",'COMPONENT PIVOT REF'!$A$3,"System Name",Table4[[#This Row],[Base System]])</f>
        <v>#REF!</v>
      </c>
      <c r="M287">
        <f>_xlfn.XLOOKUP(Table4[[#This Row],[Ext Finish]],Master_Table4[System Name],Master_Table4[System Name (Short)],FALSE)</f>
        <v>0</v>
      </c>
      <c r="N287">
        <f>_xlfn.XLOOKUP(Table4[[#This Row],[Ext Finish]],Master_Table4[System Name],Master_Table4[Compatible Systems],FALSE)</f>
        <v>0</v>
      </c>
      <c r="O287" t="str">
        <f>IF(ISNUMBER(SEARCH(Table4[[#This Row],[MMC Method]],Table4[[#This Row],[Compatible Systems]])),"YES","NO")</f>
        <v>YES</v>
      </c>
      <c r="P287" t="e">
        <f>GETPIVOTDATA("Sum of A1-A3 Fossil kg CO2e/m^2 wall area",'COMPONENT PIVOT REF'!$I$3,"System Name",Table4[[#This Row],[Ext Finish]])</f>
        <v>#REF!</v>
      </c>
      <c r="Q287" t="e">
        <f>GETPIVOTDATA("Sum of  R value (m^2-K/W)",'COMPONENT PIVOT REF'!$I$3,"System Name",Table4[[#This Row],[Ext Finish]])</f>
        <v>#REF!</v>
      </c>
      <c r="R287" t="e">
        <f>GETPIVOTDATA("Sum of Total Mass per m^2 (kg)",'COMPONENT PIVOT REF'!$I$3,"System Name",Table4[[#This Row],[Ext Finish]])</f>
        <v>#REF!</v>
      </c>
      <c r="T287">
        <f>_xlfn.XLOOKUP(Table4[[#This Row],[Int Finish]],Master_Table6[System Name],Master_Table6[System Name (Short)],FALSE)</f>
        <v>0</v>
      </c>
      <c r="U287" t="e">
        <f>GETPIVOTDATA("Sum of A1-A3 Fossil kg CO2e/m^2 wall area",'COMPONENT PIVOT REF'!$P$3,"System Name",Table4[[#This Row],[Int Finish]])</f>
        <v>#REF!</v>
      </c>
      <c r="V287" t="e">
        <f>GETPIVOTDATA("Sum of  R value (m^2-K/W)",'COMPONENT PIVOT REF'!$P$3,"System Name",Table4[[#This Row],[Int Finish]])</f>
        <v>#REF!</v>
      </c>
      <c r="W287" t="e">
        <f>GETPIVOTDATA("Sum of Total Mass per m^2 (kg)",'COMPONENT PIVOT REF'!$P$3,"System Name",Table4[[#This Row],[Int Finish]])</f>
        <v>#REF!</v>
      </c>
      <c r="X287" t="e">
        <f>Table4[[#This Row],[Ext Finish GWP]]+Table4[[#This Row],[Base GWP]]+Table4[[#This Row],[Int Finish GWP]]</f>
        <v>#REF!</v>
      </c>
      <c r="Y287" t="e">
        <f>Table4[[#This Row],[Ext Finish R Value]]+Table4[[#This Row],[Base R Value]]+Table4[[#This Row],[Int Finish R Value]]</f>
        <v>#REF!</v>
      </c>
      <c r="Z287" t="e">
        <f>1/Table4[[#This Row],[Total R value]]</f>
        <v>#REF!</v>
      </c>
      <c r="AA287" t="e">
        <f>Table4[[#This Row],[Int Finish Mass]]+Table4[[#This Row],[Ext Finish Mass]]+Table4[[#This Row],[Base Mass]]</f>
        <v>#REF!</v>
      </c>
    </row>
    <row r="288" spans="3:27" x14ac:dyDescent="0.35">
      <c r="C288" t="str">
        <f>_xlfn.CONCAT(Table4[[#This Row],[System Name (Short)]],"_",Table4[[#This Row],[Ext Finish Name (Short)]],"_",Table4[[#This Row],[Int Finish Name (Short)]])</f>
        <v>0_0_0</v>
      </c>
      <c r="E288">
        <f>_xlfn.XLOOKUP(Table4[[#This Row],[Base System]],BASE_SYSTEM_TABLE[System Name],BASE_SYSTEM_TABLE[System Name (Short)],FALSE)</f>
        <v>0</v>
      </c>
      <c r="F288">
        <f>_xlfn.XLOOKUP(Table4[[#This Row],[Base System]],BASE_SYSTEM_TABLE[System Name],BASE_SYSTEM_TABLE[System Type],FALSE)</f>
        <v>0</v>
      </c>
      <c r="G288">
        <f>_xlfn.XLOOKUP(Table4[[#This Row],[Base System]],BASE_SYSTEM_TABLE[System Name],BASE_SYSTEM_TABLE[System Subtype],FALSE)</f>
        <v>0</v>
      </c>
      <c r="H288">
        <f>_xlfn.XLOOKUP(Table4[[#This Row],[Base System]],BASE_SYSTEM_TABLE[System Name],BASE_SYSTEM_TABLE[Construction Type (Framed or Planar)],FALSE)</f>
        <v>0</v>
      </c>
      <c r="I288" t="e">
        <f>GETPIVOTDATA("Sum of A1-A3 Fossil kg CO2e/m^2 wall area",'COMPONENT PIVOT REF'!$A$3,"System Name",Table4[[#This Row],[Base System]])</f>
        <v>#REF!</v>
      </c>
      <c r="J288" t="e">
        <f>GETPIVOTDATA("Sum of  R value (m^2-K/W)",'COMPONENT PIVOT REF'!$A$3,"System Name",Table4[[#This Row],[Base System]])</f>
        <v>#REF!</v>
      </c>
      <c r="K288" t="e">
        <f>GETPIVOTDATA("Sum of Total Mass per m^2 (kg)",'COMPONENT PIVOT REF'!$A$3,"System Name",Table4[[#This Row],[Base System]])</f>
        <v>#REF!</v>
      </c>
      <c r="M288">
        <f>_xlfn.XLOOKUP(Table4[[#This Row],[Ext Finish]],Master_Table4[System Name],Master_Table4[System Name (Short)],FALSE)</f>
        <v>0</v>
      </c>
      <c r="N288">
        <f>_xlfn.XLOOKUP(Table4[[#This Row],[Ext Finish]],Master_Table4[System Name],Master_Table4[Compatible Systems],FALSE)</f>
        <v>0</v>
      </c>
      <c r="O288" t="str">
        <f>IF(ISNUMBER(SEARCH(Table4[[#This Row],[MMC Method]],Table4[[#This Row],[Compatible Systems]])),"YES","NO")</f>
        <v>YES</v>
      </c>
      <c r="P288" t="e">
        <f>GETPIVOTDATA("Sum of A1-A3 Fossil kg CO2e/m^2 wall area",'COMPONENT PIVOT REF'!$I$3,"System Name",Table4[[#This Row],[Ext Finish]])</f>
        <v>#REF!</v>
      </c>
      <c r="Q288" t="e">
        <f>GETPIVOTDATA("Sum of  R value (m^2-K/W)",'COMPONENT PIVOT REF'!$I$3,"System Name",Table4[[#This Row],[Ext Finish]])</f>
        <v>#REF!</v>
      </c>
      <c r="R288" t="e">
        <f>GETPIVOTDATA("Sum of Total Mass per m^2 (kg)",'COMPONENT PIVOT REF'!$I$3,"System Name",Table4[[#This Row],[Ext Finish]])</f>
        <v>#REF!</v>
      </c>
      <c r="T288">
        <f>_xlfn.XLOOKUP(Table4[[#This Row],[Int Finish]],Master_Table6[System Name],Master_Table6[System Name (Short)],FALSE)</f>
        <v>0</v>
      </c>
      <c r="U288" t="e">
        <f>GETPIVOTDATA("Sum of A1-A3 Fossil kg CO2e/m^2 wall area",'COMPONENT PIVOT REF'!$P$3,"System Name",Table4[[#This Row],[Int Finish]])</f>
        <v>#REF!</v>
      </c>
      <c r="V288" t="e">
        <f>GETPIVOTDATA("Sum of  R value (m^2-K/W)",'COMPONENT PIVOT REF'!$P$3,"System Name",Table4[[#This Row],[Int Finish]])</f>
        <v>#REF!</v>
      </c>
      <c r="W288" t="e">
        <f>GETPIVOTDATA("Sum of Total Mass per m^2 (kg)",'COMPONENT PIVOT REF'!$P$3,"System Name",Table4[[#This Row],[Int Finish]])</f>
        <v>#REF!</v>
      </c>
      <c r="X288" t="e">
        <f>Table4[[#This Row],[Ext Finish GWP]]+Table4[[#This Row],[Base GWP]]+Table4[[#This Row],[Int Finish GWP]]</f>
        <v>#REF!</v>
      </c>
      <c r="Y288" t="e">
        <f>Table4[[#This Row],[Ext Finish R Value]]+Table4[[#This Row],[Base R Value]]+Table4[[#This Row],[Int Finish R Value]]</f>
        <v>#REF!</v>
      </c>
      <c r="Z288" t="e">
        <f>1/Table4[[#This Row],[Total R value]]</f>
        <v>#REF!</v>
      </c>
      <c r="AA288" t="e">
        <f>Table4[[#This Row],[Int Finish Mass]]+Table4[[#This Row],[Ext Finish Mass]]+Table4[[#This Row],[Base Mass]]</f>
        <v>#REF!</v>
      </c>
    </row>
    <row r="289" spans="3:27" x14ac:dyDescent="0.35">
      <c r="C289" t="str">
        <f>_xlfn.CONCAT(Table4[[#This Row],[System Name (Short)]],"_",Table4[[#This Row],[Ext Finish Name (Short)]],"_",Table4[[#This Row],[Int Finish Name (Short)]])</f>
        <v>0_0_0</v>
      </c>
      <c r="E289">
        <f>_xlfn.XLOOKUP(Table4[[#This Row],[Base System]],BASE_SYSTEM_TABLE[System Name],BASE_SYSTEM_TABLE[System Name (Short)],FALSE)</f>
        <v>0</v>
      </c>
      <c r="F289">
        <f>_xlfn.XLOOKUP(Table4[[#This Row],[Base System]],BASE_SYSTEM_TABLE[System Name],BASE_SYSTEM_TABLE[System Type],FALSE)</f>
        <v>0</v>
      </c>
      <c r="G289">
        <f>_xlfn.XLOOKUP(Table4[[#This Row],[Base System]],BASE_SYSTEM_TABLE[System Name],BASE_SYSTEM_TABLE[System Subtype],FALSE)</f>
        <v>0</v>
      </c>
      <c r="H289">
        <f>_xlfn.XLOOKUP(Table4[[#This Row],[Base System]],BASE_SYSTEM_TABLE[System Name],BASE_SYSTEM_TABLE[Construction Type (Framed or Planar)],FALSE)</f>
        <v>0</v>
      </c>
      <c r="I289" t="e">
        <f>GETPIVOTDATA("Sum of A1-A3 Fossil kg CO2e/m^2 wall area",'COMPONENT PIVOT REF'!$A$3,"System Name",Table4[[#This Row],[Base System]])</f>
        <v>#REF!</v>
      </c>
      <c r="J289" t="e">
        <f>GETPIVOTDATA("Sum of  R value (m^2-K/W)",'COMPONENT PIVOT REF'!$A$3,"System Name",Table4[[#This Row],[Base System]])</f>
        <v>#REF!</v>
      </c>
      <c r="K289" t="e">
        <f>GETPIVOTDATA("Sum of Total Mass per m^2 (kg)",'COMPONENT PIVOT REF'!$A$3,"System Name",Table4[[#This Row],[Base System]])</f>
        <v>#REF!</v>
      </c>
      <c r="M289">
        <f>_xlfn.XLOOKUP(Table4[[#This Row],[Ext Finish]],Master_Table4[System Name],Master_Table4[System Name (Short)],FALSE)</f>
        <v>0</v>
      </c>
      <c r="N289">
        <f>_xlfn.XLOOKUP(Table4[[#This Row],[Ext Finish]],Master_Table4[System Name],Master_Table4[Compatible Systems],FALSE)</f>
        <v>0</v>
      </c>
      <c r="O289" t="str">
        <f>IF(ISNUMBER(SEARCH(Table4[[#This Row],[MMC Method]],Table4[[#This Row],[Compatible Systems]])),"YES","NO")</f>
        <v>YES</v>
      </c>
      <c r="P289" t="e">
        <f>GETPIVOTDATA("Sum of A1-A3 Fossil kg CO2e/m^2 wall area",'COMPONENT PIVOT REF'!$I$3,"System Name",Table4[[#This Row],[Ext Finish]])</f>
        <v>#REF!</v>
      </c>
      <c r="Q289" t="e">
        <f>GETPIVOTDATA("Sum of  R value (m^2-K/W)",'COMPONENT PIVOT REF'!$I$3,"System Name",Table4[[#This Row],[Ext Finish]])</f>
        <v>#REF!</v>
      </c>
      <c r="R289" t="e">
        <f>GETPIVOTDATA("Sum of Total Mass per m^2 (kg)",'COMPONENT PIVOT REF'!$I$3,"System Name",Table4[[#This Row],[Ext Finish]])</f>
        <v>#REF!</v>
      </c>
      <c r="T289">
        <f>_xlfn.XLOOKUP(Table4[[#This Row],[Int Finish]],Master_Table6[System Name],Master_Table6[System Name (Short)],FALSE)</f>
        <v>0</v>
      </c>
      <c r="U289" t="e">
        <f>GETPIVOTDATA("Sum of A1-A3 Fossil kg CO2e/m^2 wall area",'COMPONENT PIVOT REF'!$P$3,"System Name",Table4[[#This Row],[Int Finish]])</f>
        <v>#REF!</v>
      </c>
      <c r="V289" t="e">
        <f>GETPIVOTDATA("Sum of  R value (m^2-K/W)",'COMPONENT PIVOT REF'!$P$3,"System Name",Table4[[#This Row],[Int Finish]])</f>
        <v>#REF!</v>
      </c>
      <c r="W289" t="e">
        <f>GETPIVOTDATA("Sum of Total Mass per m^2 (kg)",'COMPONENT PIVOT REF'!$P$3,"System Name",Table4[[#This Row],[Int Finish]])</f>
        <v>#REF!</v>
      </c>
      <c r="X289" t="e">
        <f>Table4[[#This Row],[Ext Finish GWP]]+Table4[[#This Row],[Base GWP]]+Table4[[#This Row],[Int Finish GWP]]</f>
        <v>#REF!</v>
      </c>
      <c r="Y289" t="e">
        <f>Table4[[#This Row],[Ext Finish R Value]]+Table4[[#This Row],[Base R Value]]+Table4[[#This Row],[Int Finish R Value]]</f>
        <v>#REF!</v>
      </c>
      <c r="Z289" t="e">
        <f>1/Table4[[#This Row],[Total R value]]</f>
        <v>#REF!</v>
      </c>
      <c r="AA289" t="e">
        <f>Table4[[#This Row],[Int Finish Mass]]+Table4[[#This Row],[Ext Finish Mass]]+Table4[[#This Row],[Base Mass]]</f>
        <v>#REF!</v>
      </c>
    </row>
    <row r="290" spans="3:27" x14ac:dyDescent="0.35">
      <c r="C290" t="str">
        <f>_xlfn.CONCAT(Table4[[#This Row],[System Name (Short)]],"_",Table4[[#This Row],[Ext Finish Name (Short)]],"_",Table4[[#This Row],[Int Finish Name (Short)]])</f>
        <v>0_0_0</v>
      </c>
      <c r="E290">
        <f>_xlfn.XLOOKUP(Table4[[#This Row],[Base System]],BASE_SYSTEM_TABLE[System Name],BASE_SYSTEM_TABLE[System Name (Short)],FALSE)</f>
        <v>0</v>
      </c>
      <c r="F290">
        <f>_xlfn.XLOOKUP(Table4[[#This Row],[Base System]],BASE_SYSTEM_TABLE[System Name],BASE_SYSTEM_TABLE[System Type],FALSE)</f>
        <v>0</v>
      </c>
      <c r="G290">
        <f>_xlfn.XLOOKUP(Table4[[#This Row],[Base System]],BASE_SYSTEM_TABLE[System Name],BASE_SYSTEM_TABLE[System Subtype],FALSE)</f>
        <v>0</v>
      </c>
      <c r="H290">
        <f>_xlfn.XLOOKUP(Table4[[#This Row],[Base System]],BASE_SYSTEM_TABLE[System Name],BASE_SYSTEM_TABLE[Construction Type (Framed or Planar)],FALSE)</f>
        <v>0</v>
      </c>
      <c r="I290" t="e">
        <f>GETPIVOTDATA("Sum of A1-A3 Fossil kg CO2e/m^2 wall area",'COMPONENT PIVOT REF'!$A$3,"System Name",Table4[[#This Row],[Base System]])</f>
        <v>#REF!</v>
      </c>
      <c r="J290" t="e">
        <f>GETPIVOTDATA("Sum of  R value (m^2-K/W)",'COMPONENT PIVOT REF'!$A$3,"System Name",Table4[[#This Row],[Base System]])</f>
        <v>#REF!</v>
      </c>
      <c r="K290" t="e">
        <f>GETPIVOTDATA("Sum of Total Mass per m^2 (kg)",'COMPONENT PIVOT REF'!$A$3,"System Name",Table4[[#This Row],[Base System]])</f>
        <v>#REF!</v>
      </c>
      <c r="M290">
        <f>_xlfn.XLOOKUP(Table4[[#This Row],[Ext Finish]],Master_Table4[System Name],Master_Table4[System Name (Short)],FALSE)</f>
        <v>0</v>
      </c>
      <c r="N290">
        <f>_xlfn.XLOOKUP(Table4[[#This Row],[Ext Finish]],Master_Table4[System Name],Master_Table4[Compatible Systems],FALSE)</f>
        <v>0</v>
      </c>
      <c r="O290" t="str">
        <f>IF(ISNUMBER(SEARCH(Table4[[#This Row],[MMC Method]],Table4[[#This Row],[Compatible Systems]])),"YES","NO")</f>
        <v>YES</v>
      </c>
      <c r="P290" t="e">
        <f>GETPIVOTDATA("Sum of A1-A3 Fossil kg CO2e/m^2 wall area",'COMPONENT PIVOT REF'!$I$3,"System Name",Table4[[#This Row],[Ext Finish]])</f>
        <v>#REF!</v>
      </c>
      <c r="Q290" t="e">
        <f>GETPIVOTDATA("Sum of  R value (m^2-K/W)",'COMPONENT PIVOT REF'!$I$3,"System Name",Table4[[#This Row],[Ext Finish]])</f>
        <v>#REF!</v>
      </c>
      <c r="R290" t="e">
        <f>GETPIVOTDATA("Sum of Total Mass per m^2 (kg)",'COMPONENT PIVOT REF'!$I$3,"System Name",Table4[[#This Row],[Ext Finish]])</f>
        <v>#REF!</v>
      </c>
      <c r="T290">
        <f>_xlfn.XLOOKUP(Table4[[#This Row],[Int Finish]],Master_Table6[System Name],Master_Table6[System Name (Short)],FALSE)</f>
        <v>0</v>
      </c>
      <c r="U290" t="e">
        <f>GETPIVOTDATA("Sum of A1-A3 Fossil kg CO2e/m^2 wall area",'COMPONENT PIVOT REF'!$P$3,"System Name",Table4[[#This Row],[Int Finish]])</f>
        <v>#REF!</v>
      </c>
      <c r="V290" t="e">
        <f>GETPIVOTDATA("Sum of  R value (m^2-K/W)",'COMPONENT PIVOT REF'!$P$3,"System Name",Table4[[#This Row],[Int Finish]])</f>
        <v>#REF!</v>
      </c>
      <c r="W290" t="e">
        <f>GETPIVOTDATA("Sum of Total Mass per m^2 (kg)",'COMPONENT PIVOT REF'!$P$3,"System Name",Table4[[#This Row],[Int Finish]])</f>
        <v>#REF!</v>
      </c>
      <c r="X290" t="e">
        <f>Table4[[#This Row],[Ext Finish GWP]]+Table4[[#This Row],[Base GWP]]+Table4[[#This Row],[Int Finish GWP]]</f>
        <v>#REF!</v>
      </c>
      <c r="Y290" t="e">
        <f>Table4[[#This Row],[Ext Finish R Value]]+Table4[[#This Row],[Base R Value]]+Table4[[#This Row],[Int Finish R Value]]</f>
        <v>#REF!</v>
      </c>
      <c r="Z290" t="e">
        <f>1/Table4[[#This Row],[Total R value]]</f>
        <v>#REF!</v>
      </c>
      <c r="AA290" t="e">
        <f>Table4[[#This Row],[Int Finish Mass]]+Table4[[#This Row],[Ext Finish Mass]]+Table4[[#This Row],[Base Mass]]</f>
        <v>#REF!</v>
      </c>
    </row>
    <row r="291" spans="3:27" x14ac:dyDescent="0.35">
      <c r="C291" t="str">
        <f>_xlfn.CONCAT(Table4[[#This Row],[System Name (Short)]],"_",Table4[[#This Row],[Ext Finish Name (Short)]],"_",Table4[[#This Row],[Int Finish Name (Short)]])</f>
        <v>0_0_0</v>
      </c>
      <c r="E291">
        <f>_xlfn.XLOOKUP(Table4[[#This Row],[Base System]],BASE_SYSTEM_TABLE[System Name],BASE_SYSTEM_TABLE[System Name (Short)],FALSE)</f>
        <v>0</v>
      </c>
      <c r="F291">
        <f>_xlfn.XLOOKUP(Table4[[#This Row],[Base System]],BASE_SYSTEM_TABLE[System Name],BASE_SYSTEM_TABLE[System Type],FALSE)</f>
        <v>0</v>
      </c>
      <c r="G291">
        <f>_xlfn.XLOOKUP(Table4[[#This Row],[Base System]],BASE_SYSTEM_TABLE[System Name],BASE_SYSTEM_TABLE[System Subtype],FALSE)</f>
        <v>0</v>
      </c>
      <c r="H291">
        <f>_xlfn.XLOOKUP(Table4[[#This Row],[Base System]],BASE_SYSTEM_TABLE[System Name],BASE_SYSTEM_TABLE[Construction Type (Framed or Planar)],FALSE)</f>
        <v>0</v>
      </c>
      <c r="I291" t="e">
        <f>GETPIVOTDATA("Sum of A1-A3 Fossil kg CO2e/m^2 wall area",'COMPONENT PIVOT REF'!$A$3,"System Name",Table4[[#This Row],[Base System]])</f>
        <v>#REF!</v>
      </c>
      <c r="J291" t="e">
        <f>GETPIVOTDATA("Sum of  R value (m^2-K/W)",'COMPONENT PIVOT REF'!$A$3,"System Name",Table4[[#This Row],[Base System]])</f>
        <v>#REF!</v>
      </c>
      <c r="K291" t="e">
        <f>GETPIVOTDATA("Sum of Total Mass per m^2 (kg)",'COMPONENT PIVOT REF'!$A$3,"System Name",Table4[[#This Row],[Base System]])</f>
        <v>#REF!</v>
      </c>
      <c r="M291">
        <f>_xlfn.XLOOKUP(Table4[[#This Row],[Ext Finish]],Master_Table4[System Name],Master_Table4[System Name (Short)],FALSE)</f>
        <v>0</v>
      </c>
      <c r="N291">
        <f>_xlfn.XLOOKUP(Table4[[#This Row],[Ext Finish]],Master_Table4[System Name],Master_Table4[Compatible Systems],FALSE)</f>
        <v>0</v>
      </c>
      <c r="O291" t="str">
        <f>IF(ISNUMBER(SEARCH(Table4[[#This Row],[MMC Method]],Table4[[#This Row],[Compatible Systems]])),"YES","NO")</f>
        <v>YES</v>
      </c>
      <c r="P291" t="e">
        <f>GETPIVOTDATA("Sum of A1-A3 Fossil kg CO2e/m^2 wall area",'COMPONENT PIVOT REF'!$I$3,"System Name",Table4[[#This Row],[Ext Finish]])</f>
        <v>#REF!</v>
      </c>
      <c r="Q291" t="e">
        <f>GETPIVOTDATA("Sum of  R value (m^2-K/W)",'COMPONENT PIVOT REF'!$I$3,"System Name",Table4[[#This Row],[Ext Finish]])</f>
        <v>#REF!</v>
      </c>
      <c r="R291" t="e">
        <f>GETPIVOTDATA("Sum of Total Mass per m^2 (kg)",'COMPONENT PIVOT REF'!$I$3,"System Name",Table4[[#This Row],[Ext Finish]])</f>
        <v>#REF!</v>
      </c>
      <c r="T291">
        <f>_xlfn.XLOOKUP(Table4[[#This Row],[Int Finish]],Master_Table6[System Name],Master_Table6[System Name (Short)],FALSE)</f>
        <v>0</v>
      </c>
      <c r="U291" t="e">
        <f>GETPIVOTDATA("Sum of A1-A3 Fossil kg CO2e/m^2 wall area",'COMPONENT PIVOT REF'!$P$3,"System Name",Table4[[#This Row],[Int Finish]])</f>
        <v>#REF!</v>
      </c>
      <c r="V291" t="e">
        <f>GETPIVOTDATA("Sum of  R value (m^2-K/W)",'COMPONENT PIVOT REF'!$P$3,"System Name",Table4[[#This Row],[Int Finish]])</f>
        <v>#REF!</v>
      </c>
      <c r="W291" t="e">
        <f>GETPIVOTDATA("Sum of Total Mass per m^2 (kg)",'COMPONENT PIVOT REF'!$P$3,"System Name",Table4[[#This Row],[Int Finish]])</f>
        <v>#REF!</v>
      </c>
      <c r="X291" t="e">
        <f>Table4[[#This Row],[Ext Finish GWP]]+Table4[[#This Row],[Base GWP]]+Table4[[#This Row],[Int Finish GWP]]</f>
        <v>#REF!</v>
      </c>
      <c r="Y291" t="e">
        <f>Table4[[#This Row],[Ext Finish R Value]]+Table4[[#This Row],[Base R Value]]+Table4[[#This Row],[Int Finish R Value]]</f>
        <v>#REF!</v>
      </c>
      <c r="Z291" t="e">
        <f>1/Table4[[#This Row],[Total R value]]</f>
        <v>#REF!</v>
      </c>
      <c r="AA291" t="e">
        <f>Table4[[#This Row],[Int Finish Mass]]+Table4[[#This Row],[Ext Finish Mass]]+Table4[[#This Row],[Base Mass]]</f>
        <v>#REF!</v>
      </c>
    </row>
    <row r="292" spans="3:27" x14ac:dyDescent="0.35">
      <c r="C292" t="str">
        <f>_xlfn.CONCAT(Table4[[#This Row],[System Name (Short)]],"_",Table4[[#This Row],[Ext Finish Name (Short)]],"_",Table4[[#This Row],[Int Finish Name (Short)]])</f>
        <v>0_0_0</v>
      </c>
      <c r="E292">
        <f>_xlfn.XLOOKUP(Table4[[#This Row],[Base System]],BASE_SYSTEM_TABLE[System Name],BASE_SYSTEM_TABLE[System Name (Short)],FALSE)</f>
        <v>0</v>
      </c>
      <c r="F292">
        <f>_xlfn.XLOOKUP(Table4[[#This Row],[Base System]],BASE_SYSTEM_TABLE[System Name],BASE_SYSTEM_TABLE[System Type],FALSE)</f>
        <v>0</v>
      </c>
      <c r="G292">
        <f>_xlfn.XLOOKUP(Table4[[#This Row],[Base System]],BASE_SYSTEM_TABLE[System Name],BASE_SYSTEM_TABLE[System Subtype],FALSE)</f>
        <v>0</v>
      </c>
      <c r="H292">
        <f>_xlfn.XLOOKUP(Table4[[#This Row],[Base System]],BASE_SYSTEM_TABLE[System Name],BASE_SYSTEM_TABLE[Construction Type (Framed or Planar)],FALSE)</f>
        <v>0</v>
      </c>
      <c r="I292" t="e">
        <f>GETPIVOTDATA("Sum of A1-A3 Fossil kg CO2e/m^2 wall area",'COMPONENT PIVOT REF'!$A$3,"System Name",Table4[[#This Row],[Base System]])</f>
        <v>#REF!</v>
      </c>
      <c r="J292" t="e">
        <f>GETPIVOTDATA("Sum of  R value (m^2-K/W)",'COMPONENT PIVOT REF'!$A$3,"System Name",Table4[[#This Row],[Base System]])</f>
        <v>#REF!</v>
      </c>
      <c r="K292" t="e">
        <f>GETPIVOTDATA("Sum of Total Mass per m^2 (kg)",'COMPONENT PIVOT REF'!$A$3,"System Name",Table4[[#This Row],[Base System]])</f>
        <v>#REF!</v>
      </c>
      <c r="M292">
        <f>_xlfn.XLOOKUP(Table4[[#This Row],[Ext Finish]],Master_Table4[System Name],Master_Table4[System Name (Short)],FALSE)</f>
        <v>0</v>
      </c>
      <c r="N292">
        <f>_xlfn.XLOOKUP(Table4[[#This Row],[Ext Finish]],Master_Table4[System Name],Master_Table4[Compatible Systems],FALSE)</f>
        <v>0</v>
      </c>
      <c r="O292" t="str">
        <f>IF(ISNUMBER(SEARCH(Table4[[#This Row],[MMC Method]],Table4[[#This Row],[Compatible Systems]])),"YES","NO")</f>
        <v>YES</v>
      </c>
      <c r="P292" t="e">
        <f>GETPIVOTDATA("Sum of A1-A3 Fossil kg CO2e/m^2 wall area",'COMPONENT PIVOT REF'!$I$3,"System Name",Table4[[#This Row],[Ext Finish]])</f>
        <v>#REF!</v>
      </c>
      <c r="Q292" t="e">
        <f>GETPIVOTDATA("Sum of  R value (m^2-K/W)",'COMPONENT PIVOT REF'!$I$3,"System Name",Table4[[#This Row],[Ext Finish]])</f>
        <v>#REF!</v>
      </c>
      <c r="R292" t="e">
        <f>GETPIVOTDATA("Sum of Total Mass per m^2 (kg)",'COMPONENT PIVOT REF'!$I$3,"System Name",Table4[[#This Row],[Ext Finish]])</f>
        <v>#REF!</v>
      </c>
      <c r="T292">
        <f>_xlfn.XLOOKUP(Table4[[#This Row],[Int Finish]],Master_Table6[System Name],Master_Table6[System Name (Short)],FALSE)</f>
        <v>0</v>
      </c>
      <c r="U292" t="e">
        <f>GETPIVOTDATA("Sum of A1-A3 Fossil kg CO2e/m^2 wall area",'COMPONENT PIVOT REF'!$P$3,"System Name",Table4[[#This Row],[Int Finish]])</f>
        <v>#REF!</v>
      </c>
      <c r="V292" t="e">
        <f>GETPIVOTDATA("Sum of  R value (m^2-K/W)",'COMPONENT PIVOT REF'!$P$3,"System Name",Table4[[#This Row],[Int Finish]])</f>
        <v>#REF!</v>
      </c>
      <c r="W292" t="e">
        <f>GETPIVOTDATA("Sum of Total Mass per m^2 (kg)",'COMPONENT PIVOT REF'!$P$3,"System Name",Table4[[#This Row],[Int Finish]])</f>
        <v>#REF!</v>
      </c>
      <c r="X292" t="e">
        <f>Table4[[#This Row],[Ext Finish GWP]]+Table4[[#This Row],[Base GWP]]+Table4[[#This Row],[Int Finish GWP]]</f>
        <v>#REF!</v>
      </c>
      <c r="Y292" t="e">
        <f>Table4[[#This Row],[Ext Finish R Value]]+Table4[[#This Row],[Base R Value]]+Table4[[#This Row],[Int Finish R Value]]</f>
        <v>#REF!</v>
      </c>
      <c r="Z292" t="e">
        <f>1/Table4[[#This Row],[Total R value]]</f>
        <v>#REF!</v>
      </c>
      <c r="AA292" t="e">
        <f>Table4[[#This Row],[Int Finish Mass]]+Table4[[#This Row],[Ext Finish Mass]]+Table4[[#This Row],[Base Mass]]</f>
        <v>#REF!</v>
      </c>
    </row>
    <row r="293" spans="3:27" x14ac:dyDescent="0.35">
      <c r="C293" t="str">
        <f>_xlfn.CONCAT(Table4[[#This Row],[System Name (Short)]],"_",Table4[[#This Row],[Ext Finish Name (Short)]],"_",Table4[[#This Row],[Int Finish Name (Short)]])</f>
        <v>0_0_0</v>
      </c>
      <c r="E293">
        <f>_xlfn.XLOOKUP(Table4[[#This Row],[Base System]],BASE_SYSTEM_TABLE[System Name],BASE_SYSTEM_TABLE[System Name (Short)],FALSE)</f>
        <v>0</v>
      </c>
      <c r="F293">
        <f>_xlfn.XLOOKUP(Table4[[#This Row],[Base System]],BASE_SYSTEM_TABLE[System Name],BASE_SYSTEM_TABLE[System Type],FALSE)</f>
        <v>0</v>
      </c>
      <c r="G293">
        <f>_xlfn.XLOOKUP(Table4[[#This Row],[Base System]],BASE_SYSTEM_TABLE[System Name],BASE_SYSTEM_TABLE[System Subtype],FALSE)</f>
        <v>0</v>
      </c>
      <c r="H293">
        <f>_xlfn.XLOOKUP(Table4[[#This Row],[Base System]],BASE_SYSTEM_TABLE[System Name],BASE_SYSTEM_TABLE[Construction Type (Framed or Planar)],FALSE)</f>
        <v>0</v>
      </c>
      <c r="I293" t="e">
        <f>GETPIVOTDATA("Sum of A1-A3 Fossil kg CO2e/m^2 wall area",'COMPONENT PIVOT REF'!$A$3,"System Name",Table4[[#This Row],[Base System]])</f>
        <v>#REF!</v>
      </c>
      <c r="J293" t="e">
        <f>GETPIVOTDATA("Sum of  R value (m^2-K/W)",'COMPONENT PIVOT REF'!$A$3,"System Name",Table4[[#This Row],[Base System]])</f>
        <v>#REF!</v>
      </c>
      <c r="K293" t="e">
        <f>GETPIVOTDATA("Sum of Total Mass per m^2 (kg)",'COMPONENT PIVOT REF'!$A$3,"System Name",Table4[[#This Row],[Base System]])</f>
        <v>#REF!</v>
      </c>
      <c r="M293">
        <f>_xlfn.XLOOKUP(Table4[[#This Row],[Ext Finish]],Master_Table4[System Name],Master_Table4[System Name (Short)],FALSE)</f>
        <v>0</v>
      </c>
      <c r="N293">
        <f>_xlfn.XLOOKUP(Table4[[#This Row],[Ext Finish]],Master_Table4[System Name],Master_Table4[Compatible Systems],FALSE)</f>
        <v>0</v>
      </c>
      <c r="O293" t="str">
        <f>IF(ISNUMBER(SEARCH(Table4[[#This Row],[MMC Method]],Table4[[#This Row],[Compatible Systems]])),"YES","NO")</f>
        <v>YES</v>
      </c>
      <c r="P293" t="e">
        <f>GETPIVOTDATA("Sum of A1-A3 Fossil kg CO2e/m^2 wall area",'COMPONENT PIVOT REF'!$I$3,"System Name",Table4[[#This Row],[Ext Finish]])</f>
        <v>#REF!</v>
      </c>
      <c r="Q293" t="e">
        <f>GETPIVOTDATA("Sum of  R value (m^2-K/W)",'COMPONENT PIVOT REF'!$I$3,"System Name",Table4[[#This Row],[Ext Finish]])</f>
        <v>#REF!</v>
      </c>
      <c r="R293" t="e">
        <f>GETPIVOTDATA("Sum of Total Mass per m^2 (kg)",'COMPONENT PIVOT REF'!$I$3,"System Name",Table4[[#This Row],[Ext Finish]])</f>
        <v>#REF!</v>
      </c>
      <c r="T293">
        <f>_xlfn.XLOOKUP(Table4[[#This Row],[Int Finish]],Master_Table6[System Name],Master_Table6[System Name (Short)],FALSE)</f>
        <v>0</v>
      </c>
      <c r="U293" t="e">
        <f>GETPIVOTDATA("Sum of A1-A3 Fossil kg CO2e/m^2 wall area",'COMPONENT PIVOT REF'!$P$3,"System Name",Table4[[#This Row],[Int Finish]])</f>
        <v>#REF!</v>
      </c>
      <c r="V293" t="e">
        <f>GETPIVOTDATA("Sum of  R value (m^2-K/W)",'COMPONENT PIVOT REF'!$P$3,"System Name",Table4[[#This Row],[Int Finish]])</f>
        <v>#REF!</v>
      </c>
      <c r="W293" t="e">
        <f>GETPIVOTDATA("Sum of Total Mass per m^2 (kg)",'COMPONENT PIVOT REF'!$P$3,"System Name",Table4[[#This Row],[Int Finish]])</f>
        <v>#REF!</v>
      </c>
      <c r="X293" t="e">
        <f>Table4[[#This Row],[Ext Finish GWP]]+Table4[[#This Row],[Base GWP]]+Table4[[#This Row],[Int Finish GWP]]</f>
        <v>#REF!</v>
      </c>
      <c r="Y293" t="e">
        <f>Table4[[#This Row],[Ext Finish R Value]]+Table4[[#This Row],[Base R Value]]+Table4[[#This Row],[Int Finish R Value]]</f>
        <v>#REF!</v>
      </c>
      <c r="Z293" t="e">
        <f>1/Table4[[#This Row],[Total R value]]</f>
        <v>#REF!</v>
      </c>
      <c r="AA293" t="e">
        <f>Table4[[#This Row],[Int Finish Mass]]+Table4[[#This Row],[Ext Finish Mass]]+Table4[[#This Row],[Base Mass]]</f>
        <v>#REF!</v>
      </c>
    </row>
    <row r="294" spans="3:27" x14ac:dyDescent="0.35">
      <c r="C294" t="str">
        <f>_xlfn.CONCAT(Table4[[#This Row],[System Name (Short)]],"_",Table4[[#This Row],[Ext Finish Name (Short)]],"_",Table4[[#This Row],[Int Finish Name (Short)]])</f>
        <v>0_0_0</v>
      </c>
      <c r="E294">
        <f>_xlfn.XLOOKUP(Table4[[#This Row],[Base System]],BASE_SYSTEM_TABLE[System Name],BASE_SYSTEM_TABLE[System Name (Short)],FALSE)</f>
        <v>0</v>
      </c>
      <c r="F294">
        <f>_xlfn.XLOOKUP(Table4[[#This Row],[Base System]],BASE_SYSTEM_TABLE[System Name],BASE_SYSTEM_TABLE[System Type],FALSE)</f>
        <v>0</v>
      </c>
      <c r="G294">
        <f>_xlfn.XLOOKUP(Table4[[#This Row],[Base System]],BASE_SYSTEM_TABLE[System Name],BASE_SYSTEM_TABLE[System Subtype],FALSE)</f>
        <v>0</v>
      </c>
      <c r="H294">
        <f>_xlfn.XLOOKUP(Table4[[#This Row],[Base System]],BASE_SYSTEM_TABLE[System Name],BASE_SYSTEM_TABLE[Construction Type (Framed or Planar)],FALSE)</f>
        <v>0</v>
      </c>
      <c r="I294" t="e">
        <f>GETPIVOTDATA("Sum of A1-A3 Fossil kg CO2e/m^2 wall area",'COMPONENT PIVOT REF'!$A$3,"System Name",Table4[[#This Row],[Base System]])</f>
        <v>#REF!</v>
      </c>
      <c r="J294" t="e">
        <f>GETPIVOTDATA("Sum of  R value (m^2-K/W)",'COMPONENT PIVOT REF'!$A$3,"System Name",Table4[[#This Row],[Base System]])</f>
        <v>#REF!</v>
      </c>
      <c r="K294" t="e">
        <f>GETPIVOTDATA("Sum of Total Mass per m^2 (kg)",'COMPONENT PIVOT REF'!$A$3,"System Name",Table4[[#This Row],[Base System]])</f>
        <v>#REF!</v>
      </c>
      <c r="M294">
        <f>_xlfn.XLOOKUP(Table4[[#This Row],[Ext Finish]],Master_Table4[System Name],Master_Table4[System Name (Short)],FALSE)</f>
        <v>0</v>
      </c>
      <c r="N294">
        <f>_xlfn.XLOOKUP(Table4[[#This Row],[Ext Finish]],Master_Table4[System Name],Master_Table4[Compatible Systems],FALSE)</f>
        <v>0</v>
      </c>
      <c r="O294" t="str">
        <f>IF(ISNUMBER(SEARCH(Table4[[#This Row],[MMC Method]],Table4[[#This Row],[Compatible Systems]])),"YES","NO")</f>
        <v>YES</v>
      </c>
      <c r="P294" t="e">
        <f>GETPIVOTDATA("Sum of A1-A3 Fossil kg CO2e/m^2 wall area",'COMPONENT PIVOT REF'!$I$3,"System Name",Table4[[#This Row],[Ext Finish]])</f>
        <v>#REF!</v>
      </c>
      <c r="Q294" t="e">
        <f>GETPIVOTDATA("Sum of  R value (m^2-K/W)",'COMPONENT PIVOT REF'!$I$3,"System Name",Table4[[#This Row],[Ext Finish]])</f>
        <v>#REF!</v>
      </c>
      <c r="R294" t="e">
        <f>GETPIVOTDATA("Sum of Total Mass per m^2 (kg)",'COMPONENT PIVOT REF'!$I$3,"System Name",Table4[[#This Row],[Ext Finish]])</f>
        <v>#REF!</v>
      </c>
      <c r="T294">
        <f>_xlfn.XLOOKUP(Table4[[#This Row],[Int Finish]],Master_Table6[System Name],Master_Table6[System Name (Short)],FALSE)</f>
        <v>0</v>
      </c>
      <c r="U294" t="e">
        <f>GETPIVOTDATA("Sum of A1-A3 Fossil kg CO2e/m^2 wall area",'COMPONENT PIVOT REF'!$P$3,"System Name",Table4[[#This Row],[Int Finish]])</f>
        <v>#REF!</v>
      </c>
      <c r="V294" t="e">
        <f>GETPIVOTDATA("Sum of  R value (m^2-K/W)",'COMPONENT PIVOT REF'!$P$3,"System Name",Table4[[#This Row],[Int Finish]])</f>
        <v>#REF!</v>
      </c>
      <c r="W294" t="e">
        <f>GETPIVOTDATA("Sum of Total Mass per m^2 (kg)",'COMPONENT PIVOT REF'!$P$3,"System Name",Table4[[#This Row],[Int Finish]])</f>
        <v>#REF!</v>
      </c>
      <c r="X294" t="e">
        <f>Table4[[#This Row],[Ext Finish GWP]]+Table4[[#This Row],[Base GWP]]+Table4[[#This Row],[Int Finish GWP]]</f>
        <v>#REF!</v>
      </c>
      <c r="Y294" t="e">
        <f>Table4[[#This Row],[Ext Finish R Value]]+Table4[[#This Row],[Base R Value]]+Table4[[#This Row],[Int Finish R Value]]</f>
        <v>#REF!</v>
      </c>
      <c r="Z294" t="e">
        <f>1/Table4[[#This Row],[Total R value]]</f>
        <v>#REF!</v>
      </c>
      <c r="AA294" t="e">
        <f>Table4[[#This Row],[Int Finish Mass]]+Table4[[#This Row],[Ext Finish Mass]]+Table4[[#This Row],[Base Mass]]</f>
        <v>#REF!</v>
      </c>
    </row>
    <row r="295" spans="3:27" x14ac:dyDescent="0.35">
      <c r="C295" t="str">
        <f>_xlfn.CONCAT(Table4[[#This Row],[System Name (Short)]],"_",Table4[[#This Row],[Ext Finish Name (Short)]],"_",Table4[[#This Row],[Int Finish Name (Short)]])</f>
        <v>0_0_0</v>
      </c>
      <c r="E295">
        <f>_xlfn.XLOOKUP(Table4[[#This Row],[Base System]],BASE_SYSTEM_TABLE[System Name],BASE_SYSTEM_TABLE[System Name (Short)],FALSE)</f>
        <v>0</v>
      </c>
      <c r="F295">
        <f>_xlfn.XLOOKUP(Table4[[#This Row],[Base System]],BASE_SYSTEM_TABLE[System Name],BASE_SYSTEM_TABLE[System Type],FALSE)</f>
        <v>0</v>
      </c>
      <c r="G295">
        <f>_xlfn.XLOOKUP(Table4[[#This Row],[Base System]],BASE_SYSTEM_TABLE[System Name],BASE_SYSTEM_TABLE[System Subtype],FALSE)</f>
        <v>0</v>
      </c>
      <c r="H295">
        <f>_xlfn.XLOOKUP(Table4[[#This Row],[Base System]],BASE_SYSTEM_TABLE[System Name],BASE_SYSTEM_TABLE[Construction Type (Framed or Planar)],FALSE)</f>
        <v>0</v>
      </c>
      <c r="I295" t="e">
        <f>GETPIVOTDATA("Sum of A1-A3 Fossil kg CO2e/m^2 wall area",'COMPONENT PIVOT REF'!$A$3,"System Name",Table4[[#This Row],[Base System]])</f>
        <v>#REF!</v>
      </c>
      <c r="J295" t="e">
        <f>GETPIVOTDATA("Sum of  R value (m^2-K/W)",'COMPONENT PIVOT REF'!$A$3,"System Name",Table4[[#This Row],[Base System]])</f>
        <v>#REF!</v>
      </c>
      <c r="K295" t="e">
        <f>GETPIVOTDATA("Sum of Total Mass per m^2 (kg)",'COMPONENT PIVOT REF'!$A$3,"System Name",Table4[[#This Row],[Base System]])</f>
        <v>#REF!</v>
      </c>
      <c r="M295">
        <f>_xlfn.XLOOKUP(Table4[[#This Row],[Ext Finish]],Master_Table4[System Name],Master_Table4[System Name (Short)],FALSE)</f>
        <v>0</v>
      </c>
      <c r="N295">
        <f>_xlfn.XLOOKUP(Table4[[#This Row],[Ext Finish]],Master_Table4[System Name],Master_Table4[Compatible Systems],FALSE)</f>
        <v>0</v>
      </c>
      <c r="O295" t="str">
        <f>IF(ISNUMBER(SEARCH(Table4[[#This Row],[MMC Method]],Table4[[#This Row],[Compatible Systems]])),"YES","NO")</f>
        <v>YES</v>
      </c>
      <c r="P295" t="e">
        <f>GETPIVOTDATA("Sum of A1-A3 Fossil kg CO2e/m^2 wall area",'COMPONENT PIVOT REF'!$I$3,"System Name",Table4[[#This Row],[Ext Finish]])</f>
        <v>#REF!</v>
      </c>
      <c r="Q295" t="e">
        <f>GETPIVOTDATA("Sum of  R value (m^2-K/W)",'COMPONENT PIVOT REF'!$I$3,"System Name",Table4[[#This Row],[Ext Finish]])</f>
        <v>#REF!</v>
      </c>
      <c r="R295" t="e">
        <f>GETPIVOTDATA("Sum of Total Mass per m^2 (kg)",'COMPONENT PIVOT REF'!$I$3,"System Name",Table4[[#This Row],[Ext Finish]])</f>
        <v>#REF!</v>
      </c>
      <c r="T295">
        <f>_xlfn.XLOOKUP(Table4[[#This Row],[Int Finish]],Master_Table6[System Name],Master_Table6[System Name (Short)],FALSE)</f>
        <v>0</v>
      </c>
      <c r="U295" t="e">
        <f>GETPIVOTDATA("Sum of A1-A3 Fossil kg CO2e/m^2 wall area",'COMPONENT PIVOT REF'!$P$3,"System Name",Table4[[#This Row],[Int Finish]])</f>
        <v>#REF!</v>
      </c>
      <c r="V295" t="e">
        <f>GETPIVOTDATA("Sum of  R value (m^2-K/W)",'COMPONENT PIVOT REF'!$P$3,"System Name",Table4[[#This Row],[Int Finish]])</f>
        <v>#REF!</v>
      </c>
      <c r="W295" t="e">
        <f>GETPIVOTDATA("Sum of Total Mass per m^2 (kg)",'COMPONENT PIVOT REF'!$P$3,"System Name",Table4[[#This Row],[Int Finish]])</f>
        <v>#REF!</v>
      </c>
      <c r="X295" t="e">
        <f>Table4[[#This Row],[Ext Finish GWP]]+Table4[[#This Row],[Base GWP]]+Table4[[#This Row],[Int Finish GWP]]</f>
        <v>#REF!</v>
      </c>
      <c r="Y295" t="e">
        <f>Table4[[#This Row],[Ext Finish R Value]]+Table4[[#This Row],[Base R Value]]+Table4[[#This Row],[Int Finish R Value]]</f>
        <v>#REF!</v>
      </c>
      <c r="Z295" t="e">
        <f>1/Table4[[#This Row],[Total R value]]</f>
        <v>#REF!</v>
      </c>
      <c r="AA295" t="e">
        <f>Table4[[#This Row],[Int Finish Mass]]+Table4[[#This Row],[Ext Finish Mass]]+Table4[[#This Row],[Base Mass]]</f>
        <v>#REF!</v>
      </c>
    </row>
    <row r="296" spans="3:27" x14ac:dyDescent="0.35">
      <c r="C296" t="str">
        <f>_xlfn.CONCAT(Table4[[#This Row],[System Name (Short)]],"_",Table4[[#This Row],[Ext Finish Name (Short)]],"_",Table4[[#This Row],[Int Finish Name (Short)]])</f>
        <v>0_0_0</v>
      </c>
      <c r="E296">
        <f>_xlfn.XLOOKUP(Table4[[#This Row],[Base System]],BASE_SYSTEM_TABLE[System Name],BASE_SYSTEM_TABLE[System Name (Short)],FALSE)</f>
        <v>0</v>
      </c>
      <c r="F296">
        <f>_xlfn.XLOOKUP(Table4[[#This Row],[Base System]],BASE_SYSTEM_TABLE[System Name],BASE_SYSTEM_TABLE[System Type],FALSE)</f>
        <v>0</v>
      </c>
      <c r="G296">
        <f>_xlfn.XLOOKUP(Table4[[#This Row],[Base System]],BASE_SYSTEM_TABLE[System Name],BASE_SYSTEM_TABLE[System Subtype],FALSE)</f>
        <v>0</v>
      </c>
      <c r="H296">
        <f>_xlfn.XLOOKUP(Table4[[#This Row],[Base System]],BASE_SYSTEM_TABLE[System Name],BASE_SYSTEM_TABLE[Construction Type (Framed or Planar)],FALSE)</f>
        <v>0</v>
      </c>
      <c r="I296" t="e">
        <f>GETPIVOTDATA("Sum of A1-A3 Fossil kg CO2e/m^2 wall area",'COMPONENT PIVOT REF'!$A$3,"System Name",Table4[[#This Row],[Base System]])</f>
        <v>#REF!</v>
      </c>
      <c r="J296" t="e">
        <f>GETPIVOTDATA("Sum of  R value (m^2-K/W)",'COMPONENT PIVOT REF'!$A$3,"System Name",Table4[[#This Row],[Base System]])</f>
        <v>#REF!</v>
      </c>
      <c r="K296" t="e">
        <f>GETPIVOTDATA("Sum of Total Mass per m^2 (kg)",'COMPONENT PIVOT REF'!$A$3,"System Name",Table4[[#This Row],[Base System]])</f>
        <v>#REF!</v>
      </c>
      <c r="M296">
        <f>_xlfn.XLOOKUP(Table4[[#This Row],[Ext Finish]],Master_Table4[System Name],Master_Table4[System Name (Short)],FALSE)</f>
        <v>0</v>
      </c>
      <c r="N296">
        <f>_xlfn.XLOOKUP(Table4[[#This Row],[Ext Finish]],Master_Table4[System Name],Master_Table4[Compatible Systems],FALSE)</f>
        <v>0</v>
      </c>
      <c r="O296" t="str">
        <f>IF(ISNUMBER(SEARCH(Table4[[#This Row],[MMC Method]],Table4[[#This Row],[Compatible Systems]])),"YES","NO")</f>
        <v>YES</v>
      </c>
      <c r="P296" t="e">
        <f>GETPIVOTDATA("Sum of A1-A3 Fossil kg CO2e/m^2 wall area",'COMPONENT PIVOT REF'!$I$3,"System Name",Table4[[#This Row],[Ext Finish]])</f>
        <v>#REF!</v>
      </c>
      <c r="Q296" t="e">
        <f>GETPIVOTDATA("Sum of  R value (m^2-K/W)",'COMPONENT PIVOT REF'!$I$3,"System Name",Table4[[#This Row],[Ext Finish]])</f>
        <v>#REF!</v>
      </c>
      <c r="R296" t="e">
        <f>GETPIVOTDATA("Sum of Total Mass per m^2 (kg)",'COMPONENT PIVOT REF'!$I$3,"System Name",Table4[[#This Row],[Ext Finish]])</f>
        <v>#REF!</v>
      </c>
      <c r="T296">
        <f>_xlfn.XLOOKUP(Table4[[#This Row],[Int Finish]],Master_Table6[System Name],Master_Table6[System Name (Short)],FALSE)</f>
        <v>0</v>
      </c>
      <c r="U296" t="e">
        <f>GETPIVOTDATA("Sum of A1-A3 Fossil kg CO2e/m^2 wall area",'COMPONENT PIVOT REF'!$P$3,"System Name",Table4[[#This Row],[Int Finish]])</f>
        <v>#REF!</v>
      </c>
      <c r="V296" t="e">
        <f>GETPIVOTDATA("Sum of  R value (m^2-K/W)",'COMPONENT PIVOT REF'!$P$3,"System Name",Table4[[#This Row],[Int Finish]])</f>
        <v>#REF!</v>
      </c>
      <c r="W296" t="e">
        <f>GETPIVOTDATA("Sum of Total Mass per m^2 (kg)",'COMPONENT PIVOT REF'!$P$3,"System Name",Table4[[#This Row],[Int Finish]])</f>
        <v>#REF!</v>
      </c>
      <c r="X296" t="e">
        <f>Table4[[#This Row],[Ext Finish GWP]]+Table4[[#This Row],[Base GWP]]+Table4[[#This Row],[Int Finish GWP]]</f>
        <v>#REF!</v>
      </c>
      <c r="Y296" t="e">
        <f>Table4[[#This Row],[Ext Finish R Value]]+Table4[[#This Row],[Base R Value]]+Table4[[#This Row],[Int Finish R Value]]</f>
        <v>#REF!</v>
      </c>
      <c r="Z296" t="e">
        <f>1/Table4[[#This Row],[Total R value]]</f>
        <v>#REF!</v>
      </c>
      <c r="AA296" t="e">
        <f>Table4[[#This Row],[Int Finish Mass]]+Table4[[#This Row],[Ext Finish Mass]]+Table4[[#This Row],[Base Mass]]</f>
        <v>#REF!</v>
      </c>
    </row>
    <row r="297" spans="3:27" x14ac:dyDescent="0.35">
      <c r="C297" t="str">
        <f>_xlfn.CONCAT(Table4[[#This Row],[System Name (Short)]],"_",Table4[[#This Row],[Ext Finish Name (Short)]],"_",Table4[[#This Row],[Int Finish Name (Short)]])</f>
        <v>0_0_0</v>
      </c>
      <c r="E297">
        <f>_xlfn.XLOOKUP(Table4[[#This Row],[Base System]],BASE_SYSTEM_TABLE[System Name],BASE_SYSTEM_TABLE[System Name (Short)],FALSE)</f>
        <v>0</v>
      </c>
      <c r="F297">
        <f>_xlfn.XLOOKUP(Table4[[#This Row],[Base System]],BASE_SYSTEM_TABLE[System Name],BASE_SYSTEM_TABLE[System Type],FALSE)</f>
        <v>0</v>
      </c>
      <c r="G297">
        <f>_xlfn.XLOOKUP(Table4[[#This Row],[Base System]],BASE_SYSTEM_TABLE[System Name],BASE_SYSTEM_TABLE[System Subtype],FALSE)</f>
        <v>0</v>
      </c>
      <c r="H297">
        <f>_xlfn.XLOOKUP(Table4[[#This Row],[Base System]],BASE_SYSTEM_TABLE[System Name],BASE_SYSTEM_TABLE[Construction Type (Framed or Planar)],FALSE)</f>
        <v>0</v>
      </c>
      <c r="I297" t="e">
        <f>GETPIVOTDATA("Sum of A1-A3 Fossil kg CO2e/m^2 wall area",'COMPONENT PIVOT REF'!$A$3,"System Name",Table4[[#This Row],[Base System]])</f>
        <v>#REF!</v>
      </c>
      <c r="J297" t="e">
        <f>GETPIVOTDATA("Sum of  R value (m^2-K/W)",'COMPONENT PIVOT REF'!$A$3,"System Name",Table4[[#This Row],[Base System]])</f>
        <v>#REF!</v>
      </c>
      <c r="K297" t="e">
        <f>GETPIVOTDATA("Sum of Total Mass per m^2 (kg)",'COMPONENT PIVOT REF'!$A$3,"System Name",Table4[[#This Row],[Base System]])</f>
        <v>#REF!</v>
      </c>
      <c r="M297">
        <f>_xlfn.XLOOKUP(Table4[[#This Row],[Ext Finish]],Master_Table4[System Name],Master_Table4[System Name (Short)],FALSE)</f>
        <v>0</v>
      </c>
      <c r="N297">
        <f>_xlfn.XLOOKUP(Table4[[#This Row],[Ext Finish]],Master_Table4[System Name],Master_Table4[Compatible Systems],FALSE)</f>
        <v>0</v>
      </c>
      <c r="O297" t="str">
        <f>IF(ISNUMBER(SEARCH(Table4[[#This Row],[MMC Method]],Table4[[#This Row],[Compatible Systems]])),"YES","NO")</f>
        <v>YES</v>
      </c>
      <c r="P297" t="e">
        <f>GETPIVOTDATA("Sum of A1-A3 Fossil kg CO2e/m^2 wall area",'COMPONENT PIVOT REF'!$I$3,"System Name",Table4[[#This Row],[Ext Finish]])</f>
        <v>#REF!</v>
      </c>
      <c r="Q297" t="e">
        <f>GETPIVOTDATA("Sum of  R value (m^2-K/W)",'COMPONENT PIVOT REF'!$I$3,"System Name",Table4[[#This Row],[Ext Finish]])</f>
        <v>#REF!</v>
      </c>
      <c r="R297" t="e">
        <f>GETPIVOTDATA("Sum of Total Mass per m^2 (kg)",'COMPONENT PIVOT REF'!$I$3,"System Name",Table4[[#This Row],[Ext Finish]])</f>
        <v>#REF!</v>
      </c>
      <c r="T297">
        <f>_xlfn.XLOOKUP(Table4[[#This Row],[Int Finish]],Master_Table6[System Name],Master_Table6[System Name (Short)],FALSE)</f>
        <v>0</v>
      </c>
      <c r="U297" t="e">
        <f>GETPIVOTDATA("Sum of A1-A3 Fossil kg CO2e/m^2 wall area",'COMPONENT PIVOT REF'!$P$3,"System Name",Table4[[#This Row],[Int Finish]])</f>
        <v>#REF!</v>
      </c>
      <c r="V297" t="e">
        <f>GETPIVOTDATA("Sum of  R value (m^2-K/W)",'COMPONENT PIVOT REF'!$P$3,"System Name",Table4[[#This Row],[Int Finish]])</f>
        <v>#REF!</v>
      </c>
      <c r="W297" t="e">
        <f>GETPIVOTDATA("Sum of Total Mass per m^2 (kg)",'COMPONENT PIVOT REF'!$P$3,"System Name",Table4[[#This Row],[Int Finish]])</f>
        <v>#REF!</v>
      </c>
      <c r="X297" t="e">
        <f>Table4[[#This Row],[Ext Finish GWP]]+Table4[[#This Row],[Base GWP]]+Table4[[#This Row],[Int Finish GWP]]</f>
        <v>#REF!</v>
      </c>
      <c r="Y297" t="e">
        <f>Table4[[#This Row],[Ext Finish R Value]]+Table4[[#This Row],[Base R Value]]+Table4[[#This Row],[Int Finish R Value]]</f>
        <v>#REF!</v>
      </c>
      <c r="Z297" t="e">
        <f>1/Table4[[#This Row],[Total R value]]</f>
        <v>#REF!</v>
      </c>
      <c r="AA297" t="e">
        <f>Table4[[#This Row],[Int Finish Mass]]+Table4[[#This Row],[Ext Finish Mass]]+Table4[[#This Row],[Base Mass]]</f>
        <v>#REF!</v>
      </c>
    </row>
    <row r="298" spans="3:27" x14ac:dyDescent="0.35">
      <c r="C298" t="str">
        <f>_xlfn.CONCAT(Table4[[#This Row],[System Name (Short)]],"_",Table4[[#This Row],[Ext Finish Name (Short)]],"_",Table4[[#This Row],[Int Finish Name (Short)]])</f>
        <v>0_0_0</v>
      </c>
      <c r="E298">
        <f>_xlfn.XLOOKUP(Table4[[#This Row],[Base System]],BASE_SYSTEM_TABLE[System Name],BASE_SYSTEM_TABLE[System Name (Short)],FALSE)</f>
        <v>0</v>
      </c>
      <c r="F298">
        <f>_xlfn.XLOOKUP(Table4[[#This Row],[Base System]],BASE_SYSTEM_TABLE[System Name],BASE_SYSTEM_TABLE[System Type],FALSE)</f>
        <v>0</v>
      </c>
      <c r="G298">
        <f>_xlfn.XLOOKUP(Table4[[#This Row],[Base System]],BASE_SYSTEM_TABLE[System Name],BASE_SYSTEM_TABLE[System Subtype],FALSE)</f>
        <v>0</v>
      </c>
      <c r="H298">
        <f>_xlfn.XLOOKUP(Table4[[#This Row],[Base System]],BASE_SYSTEM_TABLE[System Name],BASE_SYSTEM_TABLE[Construction Type (Framed or Planar)],FALSE)</f>
        <v>0</v>
      </c>
      <c r="I298" t="e">
        <f>GETPIVOTDATA("Sum of A1-A3 Fossil kg CO2e/m^2 wall area",'COMPONENT PIVOT REF'!$A$3,"System Name",Table4[[#This Row],[Base System]])</f>
        <v>#REF!</v>
      </c>
      <c r="J298" t="e">
        <f>GETPIVOTDATA("Sum of  R value (m^2-K/W)",'COMPONENT PIVOT REF'!$A$3,"System Name",Table4[[#This Row],[Base System]])</f>
        <v>#REF!</v>
      </c>
      <c r="K298" t="e">
        <f>GETPIVOTDATA("Sum of Total Mass per m^2 (kg)",'COMPONENT PIVOT REF'!$A$3,"System Name",Table4[[#This Row],[Base System]])</f>
        <v>#REF!</v>
      </c>
      <c r="M298">
        <f>_xlfn.XLOOKUP(Table4[[#This Row],[Ext Finish]],Master_Table4[System Name],Master_Table4[System Name (Short)],FALSE)</f>
        <v>0</v>
      </c>
      <c r="N298">
        <f>_xlfn.XLOOKUP(Table4[[#This Row],[Ext Finish]],Master_Table4[System Name],Master_Table4[Compatible Systems],FALSE)</f>
        <v>0</v>
      </c>
      <c r="O298" t="str">
        <f>IF(ISNUMBER(SEARCH(Table4[[#This Row],[MMC Method]],Table4[[#This Row],[Compatible Systems]])),"YES","NO")</f>
        <v>YES</v>
      </c>
      <c r="P298" t="e">
        <f>GETPIVOTDATA("Sum of A1-A3 Fossil kg CO2e/m^2 wall area",'COMPONENT PIVOT REF'!$I$3,"System Name",Table4[[#This Row],[Ext Finish]])</f>
        <v>#REF!</v>
      </c>
      <c r="Q298" t="e">
        <f>GETPIVOTDATA("Sum of  R value (m^2-K/W)",'COMPONENT PIVOT REF'!$I$3,"System Name",Table4[[#This Row],[Ext Finish]])</f>
        <v>#REF!</v>
      </c>
      <c r="R298" t="e">
        <f>GETPIVOTDATA("Sum of Total Mass per m^2 (kg)",'COMPONENT PIVOT REF'!$I$3,"System Name",Table4[[#This Row],[Ext Finish]])</f>
        <v>#REF!</v>
      </c>
      <c r="T298">
        <f>_xlfn.XLOOKUP(Table4[[#This Row],[Int Finish]],Master_Table6[System Name],Master_Table6[System Name (Short)],FALSE)</f>
        <v>0</v>
      </c>
      <c r="U298" t="e">
        <f>GETPIVOTDATA("Sum of A1-A3 Fossil kg CO2e/m^2 wall area",'COMPONENT PIVOT REF'!$P$3,"System Name",Table4[[#This Row],[Int Finish]])</f>
        <v>#REF!</v>
      </c>
      <c r="V298" t="e">
        <f>GETPIVOTDATA("Sum of  R value (m^2-K/W)",'COMPONENT PIVOT REF'!$P$3,"System Name",Table4[[#This Row],[Int Finish]])</f>
        <v>#REF!</v>
      </c>
      <c r="W298" t="e">
        <f>GETPIVOTDATA("Sum of Total Mass per m^2 (kg)",'COMPONENT PIVOT REF'!$P$3,"System Name",Table4[[#This Row],[Int Finish]])</f>
        <v>#REF!</v>
      </c>
      <c r="X298" t="e">
        <f>Table4[[#This Row],[Ext Finish GWP]]+Table4[[#This Row],[Base GWP]]+Table4[[#This Row],[Int Finish GWP]]</f>
        <v>#REF!</v>
      </c>
      <c r="Y298" t="e">
        <f>Table4[[#This Row],[Ext Finish R Value]]+Table4[[#This Row],[Base R Value]]+Table4[[#This Row],[Int Finish R Value]]</f>
        <v>#REF!</v>
      </c>
      <c r="Z298" t="e">
        <f>1/Table4[[#This Row],[Total R value]]</f>
        <v>#REF!</v>
      </c>
      <c r="AA298" t="e">
        <f>Table4[[#This Row],[Int Finish Mass]]+Table4[[#This Row],[Ext Finish Mass]]+Table4[[#This Row],[Base Mass]]</f>
        <v>#REF!</v>
      </c>
    </row>
    <row r="299" spans="3:27" x14ac:dyDescent="0.35">
      <c r="C299" t="str">
        <f>_xlfn.CONCAT(Table4[[#This Row],[System Name (Short)]],"_",Table4[[#This Row],[Ext Finish Name (Short)]],"_",Table4[[#This Row],[Int Finish Name (Short)]])</f>
        <v>0_0_0</v>
      </c>
      <c r="E299">
        <f>_xlfn.XLOOKUP(Table4[[#This Row],[Base System]],BASE_SYSTEM_TABLE[System Name],BASE_SYSTEM_TABLE[System Name (Short)],FALSE)</f>
        <v>0</v>
      </c>
      <c r="F299">
        <f>_xlfn.XLOOKUP(Table4[[#This Row],[Base System]],BASE_SYSTEM_TABLE[System Name],BASE_SYSTEM_TABLE[System Type],FALSE)</f>
        <v>0</v>
      </c>
      <c r="G299">
        <f>_xlfn.XLOOKUP(Table4[[#This Row],[Base System]],BASE_SYSTEM_TABLE[System Name],BASE_SYSTEM_TABLE[System Subtype],FALSE)</f>
        <v>0</v>
      </c>
      <c r="H299">
        <f>_xlfn.XLOOKUP(Table4[[#This Row],[Base System]],BASE_SYSTEM_TABLE[System Name],BASE_SYSTEM_TABLE[Construction Type (Framed or Planar)],FALSE)</f>
        <v>0</v>
      </c>
      <c r="I299" t="e">
        <f>GETPIVOTDATA("Sum of A1-A3 Fossil kg CO2e/m^2 wall area",'COMPONENT PIVOT REF'!$A$3,"System Name",Table4[[#This Row],[Base System]])</f>
        <v>#REF!</v>
      </c>
      <c r="J299" t="e">
        <f>GETPIVOTDATA("Sum of  R value (m^2-K/W)",'COMPONENT PIVOT REF'!$A$3,"System Name",Table4[[#This Row],[Base System]])</f>
        <v>#REF!</v>
      </c>
      <c r="K299" t="e">
        <f>GETPIVOTDATA("Sum of Total Mass per m^2 (kg)",'COMPONENT PIVOT REF'!$A$3,"System Name",Table4[[#This Row],[Base System]])</f>
        <v>#REF!</v>
      </c>
      <c r="M299">
        <f>_xlfn.XLOOKUP(Table4[[#This Row],[Ext Finish]],Master_Table4[System Name],Master_Table4[System Name (Short)],FALSE)</f>
        <v>0</v>
      </c>
      <c r="N299">
        <f>_xlfn.XLOOKUP(Table4[[#This Row],[Ext Finish]],Master_Table4[System Name],Master_Table4[Compatible Systems],FALSE)</f>
        <v>0</v>
      </c>
      <c r="O299" t="str">
        <f>IF(ISNUMBER(SEARCH(Table4[[#This Row],[MMC Method]],Table4[[#This Row],[Compatible Systems]])),"YES","NO")</f>
        <v>YES</v>
      </c>
      <c r="P299" t="e">
        <f>GETPIVOTDATA("Sum of A1-A3 Fossil kg CO2e/m^2 wall area",'COMPONENT PIVOT REF'!$I$3,"System Name",Table4[[#This Row],[Ext Finish]])</f>
        <v>#REF!</v>
      </c>
      <c r="Q299" t="e">
        <f>GETPIVOTDATA("Sum of  R value (m^2-K/W)",'COMPONENT PIVOT REF'!$I$3,"System Name",Table4[[#This Row],[Ext Finish]])</f>
        <v>#REF!</v>
      </c>
      <c r="R299" t="e">
        <f>GETPIVOTDATA("Sum of Total Mass per m^2 (kg)",'COMPONENT PIVOT REF'!$I$3,"System Name",Table4[[#This Row],[Ext Finish]])</f>
        <v>#REF!</v>
      </c>
      <c r="T299">
        <f>_xlfn.XLOOKUP(Table4[[#This Row],[Int Finish]],Master_Table6[System Name],Master_Table6[System Name (Short)],FALSE)</f>
        <v>0</v>
      </c>
      <c r="U299" t="e">
        <f>GETPIVOTDATA("Sum of A1-A3 Fossil kg CO2e/m^2 wall area",'COMPONENT PIVOT REF'!$P$3,"System Name",Table4[[#This Row],[Int Finish]])</f>
        <v>#REF!</v>
      </c>
      <c r="V299" t="e">
        <f>GETPIVOTDATA("Sum of  R value (m^2-K/W)",'COMPONENT PIVOT REF'!$P$3,"System Name",Table4[[#This Row],[Int Finish]])</f>
        <v>#REF!</v>
      </c>
      <c r="W299" t="e">
        <f>GETPIVOTDATA("Sum of Total Mass per m^2 (kg)",'COMPONENT PIVOT REF'!$P$3,"System Name",Table4[[#This Row],[Int Finish]])</f>
        <v>#REF!</v>
      </c>
      <c r="X299" t="e">
        <f>Table4[[#This Row],[Ext Finish GWP]]+Table4[[#This Row],[Base GWP]]+Table4[[#This Row],[Int Finish GWP]]</f>
        <v>#REF!</v>
      </c>
      <c r="Y299" t="e">
        <f>Table4[[#This Row],[Ext Finish R Value]]+Table4[[#This Row],[Base R Value]]+Table4[[#This Row],[Int Finish R Value]]</f>
        <v>#REF!</v>
      </c>
      <c r="Z299" t="e">
        <f>1/Table4[[#This Row],[Total R value]]</f>
        <v>#REF!</v>
      </c>
      <c r="AA299" t="e">
        <f>Table4[[#This Row],[Int Finish Mass]]+Table4[[#This Row],[Ext Finish Mass]]+Table4[[#This Row],[Base Mass]]</f>
        <v>#REF!</v>
      </c>
    </row>
    <row r="300" spans="3:27" x14ac:dyDescent="0.35">
      <c r="C300" t="str">
        <f>_xlfn.CONCAT(Table4[[#This Row],[System Name (Short)]],"_",Table4[[#This Row],[Ext Finish Name (Short)]],"_",Table4[[#This Row],[Int Finish Name (Short)]])</f>
        <v>0_0_0</v>
      </c>
      <c r="E300">
        <f>_xlfn.XLOOKUP(Table4[[#This Row],[Base System]],BASE_SYSTEM_TABLE[System Name],BASE_SYSTEM_TABLE[System Name (Short)],FALSE)</f>
        <v>0</v>
      </c>
      <c r="F300">
        <f>_xlfn.XLOOKUP(Table4[[#This Row],[Base System]],BASE_SYSTEM_TABLE[System Name],BASE_SYSTEM_TABLE[System Type],FALSE)</f>
        <v>0</v>
      </c>
      <c r="G300">
        <f>_xlfn.XLOOKUP(Table4[[#This Row],[Base System]],BASE_SYSTEM_TABLE[System Name],BASE_SYSTEM_TABLE[System Subtype],FALSE)</f>
        <v>0</v>
      </c>
      <c r="H300">
        <f>_xlfn.XLOOKUP(Table4[[#This Row],[Base System]],BASE_SYSTEM_TABLE[System Name],BASE_SYSTEM_TABLE[Construction Type (Framed or Planar)],FALSE)</f>
        <v>0</v>
      </c>
      <c r="I300" t="e">
        <f>GETPIVOTDATA("Sum of A1-A3 Fossil kg CO2e/m^2 wall area",'COMPONENT PIVOT REF'!$A$3,"System Name",Table4[[#This Row],[Base System]])</f>
        <v>#REF!</v>
      </c>
      <c r="J300" t="e">
        <f>GETPIVOTDATA("Sum of  R value (m^2-K/W)",'COMPONENT PIVOT REF'!$A$3,"System Name",Table4[[#This Row],[Base System]])</f>
        <v>#REF!</v>
      </c>
      <c r="K300" t="e">
        <f>GETPIVOTDATA("Sum of Total Mass per m^2 (kg)",'COMPONENT PIVOT REF'!$A$3,"System Name",Table4[[#This Row],[Base System]])</f>
        <v>#REF!</v>
      </c>
      <c r="M300">
        <f>_xlfn.XLOOKUP(Table4[[#This Row],[Ext Finish]],Master_Table4[System Name],Master_Table4[System Name (Short)],FALSE)</f>
        <v>0</v>
      </c>
      <c r="N300">
        <f>_xlfn.XLOOKUP(Table4[[#This Row],[Ext Finish]],Master_Table4[System Name],Master_Table4[Compatible Systems],FALSE)</f>
        <v>0</v>
      </c>
      <c r="O300" t="str">
        <f>IF(ISNUMBER(SEARCH(Table4[[#This Row],[MMC Method]],Table4[[#This Row],[Compatible Systems]])),"YES","NO")</f>
        <v>YES</v>
      </c>
      <c r="P300" t="e">
        <f>GETPIVOTDATA("Sum of A1-A3 Fossil kg CO2e/m^2 wall area",'COMPONENT PIVOT REF'!$I$3,"System Name",Table4[[#This Row],[Ext Finish]])</f>
        <v>#REF!</v>
      </c>
      <c r="Q300" t="e">
        <f>GETPIVOTDATA("Sum of  R value (m^2-K/W)",'COMPONENT PIVOT REF'!$I$3,"System Name",Table4[[#This Row],[Ext Finish]])</f>
        <v>#REF!</v>
      </c>
      <c r="R300" t="e">
        <f>GETPIVOTDATA("Sum of Total Mass per m^2 (kg)",'COMPONENT PIVOT REF'!$I$3,"System Name",Table4[[#This Row],[Ext Finish]])</f>
        <v>#REF!</v>
      </c>
      <c r="T300">
        <f>_xlfn.XLOOKUP(Table4[[#This Row],[Int Finish]],Master_Table6[System Name],Master_Table6[System Name (Short)],FALSE)</f>
        <v>0</v>
      </c>
      <c r="U300" t="e">
        <f>GETPIVOTDATA("Sum of A1-A3 Fossil kg CO2e/m^2 wall area",'COMPONENT PIVOT REF'!$P$3,"System Name",Table4[[#This Row],[Int Finish]])</f>
        <v>#REF!</v>
      </c>
      <c r="V300" t="e">
        <f>GETPIVOTDATA("Sum of  R value (m^2-K/W)",'COMPONENT PIVOT REF'!$P$3,"System Name",Table4[[#This Row],[Int Finish]])</f>
        <v>#REF!</v>
      </c>
      <c r="W300" t="e">
        <f>GETPIVOTDATA("Sum of Total Mass per m^2 (kg)",'COMPONENT PIVOT REF'!$P$3,"System Name",Table4[[#This Row],[Int Finish]])</f>
        <v>#REF!</v>
      </c>
      <c r="X300" t="e">
        <f>Table4[[#This Row],[Ext Finish GWP]]+Table4[[#This Row],[Base GWP]]+Table4[[#This Row],[Int Finish GWP]]</f>
        <v>#REF!</v>
      </c>
      <c r="Y300" t="e">
        <f>Table4[[#This Row],[Ext Finish R Value]]+Table4[[#This Row],[Base R Value]]+Table4[[#This Row],[Int Finish R Value]]</f>
        <v>#REF!</v>
      </c>
      <c r="Z300" t="e">
        <f>1/Table4[[#This Row],[Total R value]]</f>
        <v>#REF!</v>
      </c>
      <c r="AA300" t="e">
        <f>Table4[[#This Row],[Int Finish Mass]]+Table4[[#This Row],[Ext Finish Mass]]+Table4[[#This Row],[Base Mass]]</f>
        <v>#REF!</v>
      </c>
    </row>
    <row r="301" spans="3:27" x14ac:dyDescent="0.35">
      <c r="C301" t="str">
        <f>_xlfn.CONCAT(Table4[[#This Row],[System Name (Short)]],"_",Table4[[#This Row],[Ext Finish Name (Short)]],"_",Table4[[#This Row],[Int Finish Name (Short)]])</f>
        <v>0_0_0</v>
      </c>
      <c r="E301">
        <f>_xlfn.XLOOKUP(Table4[[#This Row],[Base System]],BASE_SYSTEM_TABLE[System Name],BASE_SYSTEM_TABLE[System Name (Short)],FALSE)</f>
        <v>0</v>
      </c>
      <c r="F301">
        <f>_xlfn.XLOOKUP(Table4[[#This Row],[Base System]],BASE_SYSTEM_TABLE[System Name],BASE_SYSTEM_TABLE[System Type],FALSE)</f>
        <v>0</v>
      </c>
      <c r="G301">
        <f>_xlfn.XLOOKUP(Table4[[#This Row],[Base System]],BASE_SYSTEM_TABLE[System Name],BASE_SYSTEM_TABLE[System Subtype],FALSE)</f>
        <v>0</v>
      </c>
      <c r="H301">
        <f>_xlfn.XLOOKUP(Table4[[#This Row],[Base System]],BASE_SYSTEM_TABLE[System Name],BASE_SYSTEM_TABLE[Construction Type (Framed or Planar)],FALSE)</f>
        <v>0</v>
      </c>
      <c r="I301" t="e">
        <f>GETPIVOTDATA("Sum of A1-A3 Fossil kg CO2e/m^2 wall area",'COMPONENT PIVOT REF'!$A$3,"System Name",Table4[[#This Row],[Base System]])</f>
        <v>#REF!</v>
      </c>
      <c r="J301" t="e">
        <f>GETPIVOTDATA("Sum of  R value (m^2-K/W)",'COMPONENT PIVOT REF'!$A$3,"System Name",Table4[[#This Row],[Base System]])</f>
        <v>#REF!</v>
      </c>
      <c r="K301" t="e">
        <f>GETPIVOTDATA("Sum of Total Mass per m^2 (kg)",'COMPONENT PIVOT REF'!$A$3,"System Name",Table4[[#This Row],[Base System]])</f>
        <v>#REF!</v>
      </c>
      <c r="M301">
        <f>_xlfn.XLOOKUP(Table4[[#This Row],[Ext Finish]],Master_Table4[System Name],Master_Table4[System Name (Short)],FALSE)</f>
        <v>0</v>
      </c>
      <c r="N301">
        <f>_xlfn.XLOOKUP(Table4[[#This Row],[Ext Finish]],Master_Table4[System Name],Master_Table4[Compatible Systems],FALSE)</f>
        <v>0</v>
      </c>
      <c r="O301" t="str">
        <f>IF(ISNUMBER(SEARCH(Table4[[#This Row],[MMC Method]],Table4[[#This Row],[Compatible Systems]])),"YES","NO")</f>
        <v>YES</v>
      </c>
      <c r="P301" t="e">
        <f>GETPIVOTDATA("Sum of A1-A3 Fossil kg CO2e/m^2 wall area",'COMPONENT PIVOT REF'!$I$3,"System Name",Table4[[#This Row],[Ext Finish]])</f>
        <v>#REF!</v>
      </c>
      <c r="Q301" t="e">
        <f>GETPIVOTDATA("Sum of  R value (m^2-K/W)",'COMPONENT PIVOT REF'!$I$3,"System Name",Table4[[#This Row],[Ext Finish]])</f>
        <v>#REF!</v>
      </c>
      <c r="R301" t="e">
        <f>GETPIVOTDATA("Sum of Total Mass per m^2 (kg)",'COMPONENT PIVOT REF'!$I$3,"System Name",Table4[[#This Row],[Ext Finish]])</f>
        <v>#REF!</v>
      </c>
      <c r="T301">
        <f>_xlfn.XLOOKUP(Table4[[#This Row],[Int Finish]],Master_Table6[System Name],Master_Table6[System Name (Short)],FALSE)</f>
        <v>0</v>
      </c>
      <c r="U301" t="e">
        <f>GETPIVOTDATA("Sum of A1-A3 Fossil kg CO2e/m^2 wall area",'COMPONENT PIVOT REF'!$P$3,"System Name",Table4[[#This Row],[Int Finish]])</f>
        <v>#REF!</v>
      </c>
      <c r="V301" t="e">
        <f>GETPIVOTDATA("Sum of  R value (m^2-K/W)",'COMPONENT PIVOT REF'!$P$3,"System Name",Table4[[#This Row],[Int Finish]])</f>
        <v>#REF!</v>
      </c>
      <c r="W301" t="e">
        <f>GETPIVOTDATA("Sum of Total Mass per m^2 (kg)",'COMPONENT PIVOT REF'!$P$3,"System Name",Table4[[#This Row],[Int Finish]])</f>
        <v>#REF!</v>
      </c>
      <c r="X301" t="e">
        <f>Table4[[#This Row],[Ext Finish GWP]]+Table4[[#This Row],[Base GWP]]+Table4[[#This Row],[Int Finish GWP]]</f>
        <v>#REF!</v>
      </c>
      <c r="Y301" t="e">
        <f>Table4[[#This Row],[Ext Finish R Value]]+Table4[[#This Row],[Base R Value]]+Table4[[#This Row],[Int Finish R Value]]</f>
        <v>#REF!</v>
      </c>
      <c r="Z301" t="e">
        <f>1/Table4[[#This Row],[Total R value]]</f>
        <v>#REF!</v>
      </c>
      <c r="AA301" t="e">
        <f>Table4[[#This Row],[Int Finish Mass]]+Table4[[#This Row],[Ext Finish Mass]]+Table4[[#This Row],[Base Mass]]</f>
        <v>#REF!</v>
      </c>
    </row>
    <row r="302" spans="3:27" x14ac:dyDescent="0.35">
      <c r="C302" t="str">
        <f>_xlfn.CONCAT(Table4[[#This Row],[System Name (Short)]],"_",Table4[[#This Row],[Ext Finish Name (Short)]],"_",Table4[[#This Row],[Int Finish Name (Short)]])</f>
        <v>0_0_0</v>
      </c>
      <c r="E302">
        <f>_xlfn.XLOOKUP(Table4[[#This Row],[Base System]],BASE_SYSTEM_TABLE[System Name],BASE_SYSTEM_TABLE[System Name (Short)],FALSE)</f>
        <v>0</v>
      </c>
      <c r="F302">
        <f>_xlfn.XLOOKUP(Table4[[#This Row],[Base System]],BASE_SYSTEM_TABLE[System Name],BASE_SYSTEM_TABLE[System Type],FALSE)</f>
        <v>0</v>
      </c>
      <c r="G302">
        <f>_xlfn.XLOOKUP(Table4[[#This Row],[Base System]],BASE_SYSTEM_TABLE[System Name],BASE_SYSTEM_TABLE[System Subtype],FALSE)</f>
        <v>0</v>
      </c>
      <c r="H302">
        <f>_xlfn.XLOOKUP(Table4[[#This Row],[Base System]],BASE_SYSTEM_TABLE[System Name],BASE_SYSTEM_TABLE[Construction Type (Framed or Planar)],FALSE)</f>
        <v>0</v>
      </c>
      <c r="I302" t="e">
        <f>GETPIVOTDATA("Sum of A1-A3 Fossil kg CO2e/m^2 wall area",'COMPONENT PIVOT REF'!$A$3,"System Name",Table4[[#This Row],[Base System]])</f>
        <v>#REF!</v>
      </c>
      <c r="J302" t="e">
        <f>GETPIVOTDATA("Sum of  R value (m^2-K/W)",'COMPONENT PIVOT REF'!$A$3,"System Name",Table4[[#This Row],[Base System]])</f>
        <v>#REF!</v>
      </c>
      <c r="K302" t="e">
        <f>GETPIVOTDATA("Sum of Total Mass per m^2 (kg)",'COMPONENT PIVOT REF'!$A$3,"System Name",Table4[[#This Row],[Base System]])</f>
        <v>#REF!</v>
      </c>
      <c r="M302">
        <f>_xlfn.XLOOKUP(Table4[[#This Row],[Ext Finish]],Master_Table4[System Name],Master_Table4[System Name (Short)],FALSE)</f>
        <v>0</v>
      </c>
      <c r="N302">
        <f>_xlfn.XLOOKUP(Table4[[#This Row],[Ext Finish]],Master_Table4[System Name],Master_Table4[Compatible Systems],FALSE)</f>
        <v>0</v>
      </c>
      <c r="O302" t="str">
        <f>IF(ISNUMBER(SEARCH(Table4[[#This Row],[MMC Method]],Table4[[#This Row],[Compatible Systems]])),"YES","NO")</f>
        <v>YES</v>
      </c>
      <c r="P302" t="e">
        <f>GETPIVOTDATA("Sum of A1-A3 Fossil kg CO2e/m^2 wall area",'COMPONENT PIVOT REF'!$I$3,"System Name",Table4[[#This Row],[Ext Finish]])</f>
        <v>#REF!</v>
      </c>
      <c r="Q302" t="e">
        <f>GETPIVOTDATA("Sum of  R value (m^2-K/W)",'COMPONENT PIVOT REF'!$I$3,"System Name",Table4[[#This Row],[Ext Finish]])</f>
        <v>#REF!</v>
      </c>
      <c r="R302" t="e">
        <f>GETPIVOTDATA("Sum of Total Mass per m^2 (kg)",'COMPONENT PIVOT REF'!$I$3,"System Name",Table4[[#This Row],[Ext Finish]])</f>
        <v>#REF!</v>
      </c>
      <c r="T302">
        <f>_xlfn.XLOOKUP(Table4[[#This Row],[Int Finish]],Master_Table6[System Name],Master_Table6[System Name (Short)],FALSE)</f>
        <v>0</v>
      </c>
      <c r="U302" t="e">
        <f>GETPIVOTDATA("Sum of A1-A3 Fossil kg CO2e/m^2 wall area",'COMPONENT PIVOT REF'!$P$3,"System Name",Table4[[#This Row],[Int Finish]])</f>
        <v>#REF!</v>
      </c>
      <c r="V302" t="e">
        <f>GETPIVOTDATA("Sum of  R value (m^2-K/W)",'COMPONENT PIVOT REF'!$P$3,"System Name",Table4[[#This Row],[Int Finish]])</f>
        <v>#REF!</v>
      </c>
      <c r="W302" t="e">
        <f>GETPIVOTDATA("Sum of Total Mass per m^2 (kg)",'COMPONENT PIVOT REF'!$P$3,"System Name",Table4[[#This Row],[Int Finish]])</f>
        <v>#REF!</v>
      </c>
      <c r="X302" t="e">
        <f>Table4[[#This Row],[Ext Finish GWP]]+Table4[[#This Row],[Base GWP]]+Table4[[#This Row],[Int Finish GWP]]</f>
        <v>#REF!</v>
      </c>
      <c r="Y302" t="e">
        <f>Table4[[#This Row],[Ext Finish R Value]]+Table4[[#This Row],[Base R Value]]+Table4[[#This Row],[Int Finish R Value]]</f>
        <v>#REF!</v>
      </c>
      <c r="Z302" t="e">
        <f>1/Table4[[#This Row],[Total R value]]</f>
        <v>#REF!</v>
      </c>
      <c r="AA302" t="e">
        <f>Table4[[#This Row],[Int Finish Mass]]+Table4[[#This Row],[Ext Finish Mass]]+Table4[[#This Row],[Base Mass]]</f>
        <v>#REF!</v>
      </c>
    </row>
    <row r="303" spans="3:27" x14ac:dyDescent="0.35">
      <c r="C303" t="str">
        <f>_xlfn.CONCAT(Table4[[#This Row],[System Name (Short)]],"_",Table4[[#This Row],[Ext Finish Name (Short)]],"_",Table4[[#This Row],[Int Finish Name (Short)]])</f>
        <v>0_0_0</v>
      </c>
      <c r="E303">
        <f>_xlfn.XLOOKUP(Table4[[#This Row],[Base System]],BASE_SYSTEM_TABLE[System Name],BASE_SYSTEM_TABLE[System Name (Short)],FALSE)</f>
        <v>0</v>
      </c>
      <c r="F303">
        <f>_xlfn.XLOOKUP(Table4[[#This Row],[Base System]],BASE_SYSTEM_TABLE[System Name],BASE_SYSTEM_TABLE[System Type],FALSE)</f>
        <v>0</v>
      </c>
      <c r="G303">
        <f>_xlfn.XLOOKUP(Table4[[#This Row],[Base System]],BASE_SYSTEM_TABLE[System Name],BASE_SYSTEM_TABLE[System Subtype],FALSE)</f>
        <v>0</v>
      </c>
      <c r="H303">
        <f>_xlfn.XLOOKUP(Table4[[#This Row],[Base System]],BASE_SYSTEM_TABLE[System Name],BASE_SYSTEM_TABLE[Construction Type (Framed or Planar)],FALSE)</f>
        <v>0</v>
      </c>
      <c r="I303" t="e">
        <f>GETPIVOTDATA("Sum of A1-A3 Fossil kg CO2e/m^2 wall area",'COMPONENT PIVOT REF'!$A$3,"System Name",Table4[[#This Row],[Base System]])</f>
        <v>#REF!</v>
      </c>
      <c r="J303" t="e">
        <f>GETPIVOTDATA("Sum of  R value (m^2-K/W)",'COMPONENT PIVOT REF'!$A$3,"System Name",Table4[[#This Row],[Base System]])</f>
        <v>#REF!</v>
      </c>
      <c r="K303" t="e">
        <f>GETPIVOTDATA("Sum of Total Mass per m^2 (kg)",'COMPONENT PIVOT REF'!$A$3,"System Name",Table4[[#This Row],[Base System]])</f>
        <v>#REF!</v>
      </c>
      <c r="M303">
        <f>_xlfn.XLOOKUP(Table4[[#This Row],[Ext Finish]],Master_Table4[System Name],Master_Table4[System Name (Short)],FALSE)</f>
        <v>0</v>
      </c>
      <c r="N303">
        <f>_xlfn.XLOOKUP(Table4[[#This Row],[Ext Finish]],Master_Table4[System Name],Master_Table4[Compatible Systems],FALSE)</f>
        <v>0</v>
      </c>
      <c r="O303" t="str">
        <f>IF(ISNUMBER(SEARCH(Table4[[#This Row],[MMC Method]],Table4[[#This Row],[Compatible Systems]])),"YES","NO")</f>
        <v>YES</v>
      </c>
      <c r="P303" t="e">
        <f>GETPIVOTDATA("Sum of A1-A3 Fossil kg CO2e/m^2 wall area",'COMPONENT PIVOT REF'!$I$3,"System Name",Table4[[#This Row],[Ext Finish]])</f>
        <v>#REF!</v>
      </c>
      <c r="Q303" t="e">
        <f>GETPIVOTDATA("Sum of  R value (m^2-K/W)",'COMPONENT PIVOT REF'!$I$3,"System Name",Table4[[#This Row],[Ext Finish]])</f>
        <v>#REF!</v>
      </c>
      <c r="R303" t="e">
        <f>GETPIVOTDATA("Sum of Total Mass per m^2 (kg)",'COMPONENT PIVOT REF'!$I$3,"System Name",Table4[[#This Row],[Ext Finish]])</f>
        <v>#REF!</v>
      </c>
      <c r="T303">
        <f>_xlfn.XLOOKUP(Table4[[#This Row],[Int Finish]],Master_Table6[System Name],Master_Table6[System Name (Short)],FALSE)</f>
        <v>0</v>
      </c>
      <c r="U303" t="e">
        <f>GETPIVOTDATA("Sum of A1-A3 Fossil kg CO2e/m^2 wall area",'COMPONENT PIVOT REF'!$P$3,"System Name",Table4[[#This Row],[Int Finish]])</f>
        <v>#REF!</v>
      </c>
      <c r="V303" t="e">
        <f>GETPIVOTDATA("Sum of  R value (m^2-K/W)",'COMPONENT PIVOT REF'!$P$3,"System Name",Table4[[#This Row],[Int Finish]])</f>
        <v>#REF!</v>
      </c>
      <c r="W303" t="e">
        <f>GETPIVOTDATA("Sum of Total Mass per m^2 (kg)",'COMPONENT PIVOT REF'!$P$3,"System Name",Table4[[#This Row],[Int Finish]])</f>
        <v>#REF!</v>
      </c>
      <c r="X303" t="e">
        <f>Table4[[#This Row],[Ext Finish GWP]]+Table4[[#This Row],[Base GWP]]+Table4[[#This Row],[Int Finish GWP]]</f>
        <v>#REF!</v>
      </c>
      <c r="Y303" t="e">
        <f>Table4[[#This Row],[Ext Finish R Value]]+Table4[[#This Row],[Base R Value]]+Table4[[#This Row],[Int Finish R Value]]</f>
        <v>#REF!</v>
      </c>
      <c r="Z303" t="e">
        <f>1/Table4[[#This Row],[Total R value]]</f>
        <v>#REF!</v>
      </c>
      <c r="AA303" t="e">
        <f>Table4[[#This Row],[Int Finish Mass]]+Table4[[#This Row],[Ext Finish Mass]]+Table4[[#This Row],[Base Mass]]</f>
        <v>#REF!</v>
      </c>
    </row>
    <row r="304" spans="3:27" x14ac:dyDescent="0.35">
      <c r="C304" t="str">
        <f>_xlfn.CONCAT(Table4[[#This Row],[System Name (Short)]],"_",Table4[[#This Row],[Ext Finish Name (Short)]],"_",Table4[[#This Row],[Int Finish Name (Short)]])</f>
        <v>0_0_0</v>
      </c>
      <c r="E304">
        <f>_xlfn.XLOOKUP(Table4[[#This Row],[Base System]],BASE_SYSTEM_TABLE[System Name],BASE_SYSTEM_TABLE[System Name (Short)],FALSE)</f>
        <v>0</v>
      </c>
      <c r="F304">
        <f>_xlfn.XLOOKUP(Table4[[#This Row],[Base System]],BASE_SYSTEM_TABLE[System Name],BASE_SYSTEM_TABLE[System Type],FALSE)</f>
        <v>0</v>
      </c>
      <c r="G304">
        <f>_xlfn.XLOOKUP(Table4[[#This Row],[Base System]],BASE_SYSTEM_TABLE[System Name],BASE_SYSTEM_TABLE[System Subtype],FALSE)</f>
        <v>0</v>
      </c>
      <c r="H304">
        <f>_xlfn.XLOOKUP(Table4[[#This Row],[Base System]],BASE_SYSTEM_TABLE[System Name],BASE_SYSTEM_TABLE[Construction Type (Framed or Planar)],FALSE)</f>
        <v>0</v>
      </c>
      <c r="I304" t="e">
        <f>GETPIVOTDATA("Sum of A1-A3 Fossil kg CO2e/m^2 wall area",'COMPONENT PIVOT REF'!$A$3,"System Name",Table4[[#This Row],[Base System]])</f>
        <v>#REF!</v>
      </c>
      <c r="J304" t="e">
        <f>GETPIVOTDATA("Sum of  R value (m^2-K/W)",'COMPONENT PIVOT REF'!$A$3,"System Name",Table4[[#This Row],[Base System]])</f>
        <v>#REF!</v>
      </c>
      <c r="K304" t="e">
        <f>GETPIVOTDATA("Sum of Total Mass per m^2 (kg)",'COMPONENT PIVOT REF'!$A$3,"System Name",Table4[[#This Row],[Base System]])</f>
        <v>#REF!</v>
      </c>
      <c r="M304">
        <f>_xlfn.XLOOKUP(Table4[[#This Row],[Ext Finish]],Master_Table4[System Name],Master_Table4[System Name (Short)],FALSE)</f>
        <v>0</v>
      </c>
      <c r="N304">
        <f>_xlfn.XLOOKUP(Table4[[#This Row],[Ext Finish]],Master_Table4[System Name],Master_Table4[Compatible Systems],FALSE)</f>
        <v>0</v>
      </c>
      <c r="O304" t="str">
        <f>IF(ISNUMBER(SEARCH(Table4[[#This Row],[MMC Method]],Table4[[#This Row],[Compatible Systems]])),"YES","NO")</f>
        <v>YES</v>
      </c>
      <c r="P304" t="e">
        <f>GETPIVOTDATA("Sum of A1-A3 Fossil kg CO2e/m^2 wall area",'COMPONENT PIVOT REF'!$I$3,"System Name",Table4[[#This Row],[Ext Finish]])</f>
        <v>#REF!</v>
      </c>
      <c r="Q304" t="e">
        <f>GETPIVOTDATA("Sum of  R value (m^2-K/W)",'COMPONENT PIVOT REF'!$I$3,"System Name",Table4[[#This Row],[Ext Finish]])</f>
        <v>#REF!</v>
      </c>
      <c r="R304" t="e">
        <f>GETPIVOTDATA("Sum of Total Mass per m^2 (kg)",'COMPONENT PIVOT REF'!$I$3,"System Name",Table4[[#This Row],[Ext Finish]])</f>
        <v>#REF!</v>
      </c>
      <c r="T304">
        <f>_xlfn.XLOOKUP(Table4[[#This Row],[Int Finish]],Master_Table6[System Name],Master_Table6[System Name (Short)],FALSE)</f>
        <v>0</v>
      </c>
      <c r="U304" t="e">
        <f>GETPIVOTDATA("Sum of A1-A3 Fossil kg CO2e/m^2 wall area",'COMPONENT PIVOT REF'!$P$3,"System Name",Table4[[#This Row],[Int Finish]])</f>
        <v>#REF!</v>
      </c>
      <c r="V304" t="e">
        <f>GETPIVOTDATA("Sum of  R value (m^2-K/W)",'COMPONENT PIVOT REF'!$P$3,"System Name",Table4[[#This Row],[Int Finish]])</f>
        <v>#REF!</v>
      </c>
      <c r="W304" t="e">
        <f>GETPIVOTDATA("Sum of Total Mass per m^2 (kg)",'COMPONENT PIVOT REF'!$P$3,"System Name",Table4[[#This Row],[Int Finish]])</f>
        <v>#REF!</v>
      </c>
      <c r="X304" t="e">
        <f>Table4[[#This Row],[Ext Finish GWP]]+Table4[[#This Row],[Base GWP]]+Table4[[#This Row],[Int Finish GWP]]</f>
        <v>#REF!</v>
      </c>
      <c r="Y304" t="e">
        <f>Table4[[#This Row],[Ext Finish R Value]]+Table4[[#This Row],[Base R Value]]+Table4[[#This Row],[Int Finish R Value]]</f>
        <v>#REF!</v>
      </c>
      <c r="Z304" t="e">
        <f>1/Table4[[#This Row],[Total R value]]</f>
        <v>#REF!</v>
      </c>
      <c r="AA304" t="e">
        <f>Table4[[#This Row],[Int Finish Mass]]+Table4[[#This Row],[Ext Finish Mass]]+Table4[[#This Row],[Base Mass]]</f>
        <v>#REF!</v>
      </c>
    </row>
    <row r="305" spans="3:27" x14ac:dyDescent="0.35">
      <c r="C305" t="str">
        <f>_xlfn.CONCAT(Table4[[#This Row],[System Name (Short)]],"_",Table4[[#This Row],[Ext Finish Name (Short)]],"_",Table4[[#This Row],[Int Finish Name (Short)]])</f>
        <v>0_0_0</v>
      </c>
      <c r="E305">
        <f>_xlfn.XLOOKUP(Table4[[#This Row],[Base System]],BASE_SYSTEM_TABLE[System Name],BASE_SYSTEM_TABLE[System Name (Short)],FALSE)</f>
        <v>0</v>
      </c>
      <c r="F305">
        <f>_xlfn.XLOOKUP(Table4[[#This Row],[Base System]],BASE_SYSTEM_TABLE[System Name],BASE_SYSTEM_TABLE[System Type],FALSE)</f>
        <v>0</v>
      </c>
      <c r="G305">
        <f>_xlfn.XLOOKUP(Table4[[#This Row],[Base System]],BASE_SYSTEM_TABLE[System Name],BASE_SYSTEM_TABLE[System Subtype],FALSE)</f>
        <v>0</v>
      </c>
      <c r="H305">
        <f>_xlfn.XLOOKUP(Table4[[#This Row],[Base System]],BASE_SYSTEM_TABLE[System Name],BASE_SYSTEM_TABLE[Construction Type (Framed or Planar)],FALSE)</f>
        <v>0</v>
      </c>
      <c r="I305" t="e">
        <f>GETPIVOTDATA("Sum of A1-A3 Fossil kg CO2e/m^2 wall area",'COMPONENT PIVOT REF'!$A$3,"System Name",Table4[[#This Row],[Base System]])</f>
        <v>#REF!</v>
      </c>
      <c r="J305" t="e">
        <f>GETPIVOTDATA("Sum of  R value (m^2-K/W)",'COMPONENT PIVOT REF'!$A$3,"System Name",Table4[[#This Row],[Base System]])</f>
        <v>#REF!</v>
      </c>
      <c r="K305" t="e">
        <f>GETPIVOTDATA("Sum of Total Mass per m^2 (kg)",'COMPONENT PIVOT REF'!$A$3,"System Name",Table4[[#This Row],[Base System]])</f>
        <v>#REF!</v>
      </c>
      <c r="M305">
        <f>_xlfn.XLOOKUP(Table4[[#This Row],[Ext Finish]],Master_Table4[System Name],Master_Table4[System Name (Short)],FALSE)</f>
        <v>0</v>
      </c>
      <c r="N305">
        <f>_xlfn.XLOOKUP(Table4[[#This Row],[Ext Finish]],Master_Table4[System Name],Master_Table4[Compatible Systems],FALSE)</f>
        <v>0</v>
      </c>
      <c r="O305" t="str">
        <f>IF(ISNUMBER(SEARCH(Table4[[#This Row],[MMC Method]],Table4[[#This Row],[Compatible Systems]])),"YES","NO")</f>
        <v>YES</v>
      </c>
      <c r="P305" t="e">
        <f>GETPIVOTDATA("Sum of A1-A3 Fossil kg CO2e/m^2 wall area",'COMPONENT PIVOT REF'!$I$3,"System Name",Table4[[#This Row],[Ext Finish]])</f>
        <v>#REF!</v>
      </c>
      <c r="Q305" t="e">
        <f>GETPIVOTDATA("Sum of  R value (m^2-K/W)",'COMPONENT PIVOT REF'!$I$3,"System Name",Table4[[#This Row],[Ext Finish]])</f>
        <v>#REF!</v>
      </c>
      <c r="R305" t="e">
        <f>GETPIVOTDATA("Sum of Total Mass per m^2 (kg)",'COMPONENT PIVOT REF'!$I$3,"System Name",Table4[[#This Row],[Ext Finish]])</f>
        <v>#REF!</v>
      </c>
      <c r="T305">
        <f>_xlfn.XLOOKUP(Table4[[#This Row],[Int Finish]],Master_Table6[System Name],Master_Table6[System Name (Short)],FALSE)</f>
        <v>0</v>
      </c>
      <c r="U305" t="e">
        <f>GETPIVOTDATA("Sum of A1-A3 Fossil kg CO2e/m^2 wall area",'COMPONENT PIVOT REF'!$P$3,"System Name",Table4[[#This Row],[Int Finish]])</f>
        <v>#REF!</v>
      </c>
      <c r="V305" t="e">
        <f>GETPIVOTDATA("Sum of  R value (m^2-K/W)",'COMPONENT PIVOT REF'!$P$3,"System Name",Table4[[#This Row],[Int Finish]])</f>
        <v>#REF!</v>
      </c>
      <c r="W305" t="e">
        <f>GETPIVOTDATA("Sum of Total Mass per m^2 (kg)",'COMPONENT PIVOT REF'!$P$3,"System Name",Table4[[#This Row],[Int Finish]])</f>
        <v>#REF!</v>
      </c>
      <c r="X305" t="e">
        <f>Table4[[#This Row],[Ext Finish GWP]]+Table4[[#This Row],[Base GWP]]+Table4[[#This Row],[Int Finish GWP]]</f>
        <v>#REF!</v>
      </c>
      <c r="Y305" t="e">
        <f>Table4[[#This Row],[Ext Finish R Value]]+Table4[[#This Row],[Base R Value]]+Table4[[#This Row],[Int Finish R Value]]</f>
        <v>#REF!</v>
      </c>
      <c r="Z305" t="e">
        <f>1/Table4[[#This Row],[Total R value]]</f>
        <v>#REF!</v>
      </c>
      <c r="AA305" t="e">
        <f>Table4[[#This Row],[Int Finish Mass]]+Table4[[#This Row],[Ext Finish Mass]]+Table4[[#This Row],[Base Mass]]</f>
        <v>#REF!</v>
      </c>
    </row>
    <row r="306" spans="3:27" x14ac:dyDescent="0.35">
      <c r="C306" t="str">
        <f>_xlfn.CONCAT(Table4[[#This Row],[System Name (Short)]],"_",Table4[[#This Row],[Ext Finish Name (Short)]],"_",Table4[[#This Row],[Int Finish Name (Short)]])</f>
        <v>0_0_0</v>
      </c>
      <c r="E306">
        <f>_xlfn.XLOOKUP(Table4[[#This Row],[Base System]],BASE_SYSTEM_TABLE[System Name],BASE_SYSTEM_TABLE[System Name (Short)],FALSE)</f>
        <v>0</v>
      </c>
      <c r="F306">
        <f>_xlfn.XLOOKUP(Table4[[#This Row],[Base System]],BASE_SYSTEM_TABLE[System Name],BASE_SYSTEM_TABLE[System Type],FALSE)</f>
        <v>0</v>
      </c>
      <c r="G306">
        <f>_xlfn.XLOOKUP(Table4[[#This Row],[Base System]],BASE_SYSTEM_TABLE[System Name],BASE_SYSTEM_TABLE[System Subtype],FALSE)</f>
        <v>0</v>
      </c>
      <c r="H306">
        <f>_xlfn.XLOOKUP(Table4[[#This Row],[Base System]],BASE_SYSTEM_TABLE[System Name],BASE_SYSTEM_TABLE[Construction Type (Framed or Planar)],FALSE)</f>
        <v>0</v>
      </c>
      <c r="I306" t="e">
        <f>GETPIVOTDATA("Sum of A1-A3 Fossil kg CO2e/m^2 wall area",'COMPONENT PIVOT REF'!$A$3,"System Name",Table4[[#This Row],[Base System]])</f>
        <v>#REF!</v>
      </c>
      <c r="J306" t="e">
        <f>GETPIVOTDATA("Sum of  R value (m^2-K/W)",'COMPONENT PIVOT REF'!$A$3,"System Name",Table4[[#This Row],[Base System]])</f>
        <v>#REF!</v>
      </c>
      <c r="K306" t="e">
        <f>GETPIVOTDATA("Sum of Total Mass per m^2 (kg)",'COMPONENT PIVOT REF'!$A$3,"System Name",Table4[[#This Row],[Base System]])</f>
        <v>#REF!</v>
      </c>
      <c r="M306">
        <f>_xlfn.XLOOKUP(Table4[[#This Row],[Ext Finish]],Master_Table4[System Name],Master_Table4[System Name (Short)],FALSE)</f>
        <v>0</v>
      </c>
      <c r="N306">
        <f>_xlfn.XLOOKUP(Table4[[#This Row],[Ext Finish]],Master_Table4[System Name],Master_Table4[Compatible Systems],FALSE)</f>
        <v>0</v>
      </c>
      <c r="O306" t="str">
        <f>IF(ISNUMBER(SEARCH(Table4[[#This Row],[MMC Method]],Table4[[#This Row],[Compatible Systems]])),"YES","NO")</f>
        <v>YES</v>
      </c>
      <c r="P306" t="e">
        <f>GETPIVOTDATA("Sum of A1-A3 Fossil kg CO2e/m^2 wall area",'COMPONENT PIVOT REF'!$I$3,"System Name",Table4[[#This Row],[Ext Finish]])</f>
        <v>#REF!</v>
      </c>
      <c r="Q306" t="e">
        <f>GETPIVOTDATA("Sum of  R value (m^2-K/W)",'COMPONENT PIVOT REF'!$I$3,"System Name",Table4[[#This Row],[Ext Finish]])</f>
        <v>#REF!</v>
      </c>
      <c r="R306" t="e">
        <f>GETPIVOTDATA("Sum of Total Mass per m^2 (kg)",'COMPONENT PIVOT REF'!$I$3,"System Name",Table4[[#This Row],[Ext Finish]])</f>
        <v>#REF!</v>
      </c>
      <c r="T306">
        <f>_xlfn.XLOOKUP(Table4[[#This Row],[Int Finish]],Master_Table6[System Name],Master_Table6[System Name (Short)],FALSE)</f>
        <v>0</v>
      </c>
      <c r="U306" t="e">
        <f>GETPIVOTDATA("Sum of A1-A3 Fossil kg CO2e/m^2 wall area",'COMPONENT PIVOT REF'!$P$3,"System Name",Table4[[#This Row],[Int Finish]])</f>
        <v>#REF!</v>
      </c>
      <c r="V306" t="e">
        <f>GETPIVOTDATA("Sum of  R value (m^2-K/W)",'COMPONENT PIVOT REF'!$P$3,"System Name",Table4[[#This Row],[Int Finish]])</f>
        <v>#REF!</v>
      </c>
      <c r="W306" t="e">
        <f>GETPIVOTDATA("Sum of Total Mass per m^2 (kg)",'COMPONENT PIVOT REF'!$P$3,"System Name",Table4[[#This Row],[Int Finish]])</f>
        <v>#REF!</v>
      </c>
      <c r="X306" t="e">
        <f>Table4[[#This Row],[Ext Finish GWP]]+Table4[[#This Row],[Base GWP]]+Table4[[#This Row],[Int Finish GWP]]</f>
        <v>#REF!</v>
      </c>
      <c r="Y306" t="e">
        <f>Table4[[#This Row],[Ext Finish R Value]]+Table4[[#This Row],[Base R Value]]+Table4[[#This Row],[Int Finish R Value]]</f>
        <v>#REF!</v>
      </c>
      <c r="Z306" t="e">
        <f>1/Table4[[#This Row],[Total R value]]</f>
        <v>#REF!</v>
      </c>
      <c r="AA306" t="e">
        <f>Table4[[#This Row],[Int Finish Mass]]+Table4[[#This Row],[Ext Finish Mass]]+Table4[[#This Row],[Base Mass]]</f>
        <v>#REF!</v>
      </c>
    </row>
    <row r="307" spans="3:27" x14ac:dyDescent="0.35">
      <c r="C307" t="str">
        <f>_xlfn.CONCAT(Table4[[#This Row],[System Name (Short)]],"_",Table4[[#This Row],[Ext Finish Name (Short)]],"_",Table4[[#This Row],[Int Finish Name (Short)]])</f>
        <v>0_0_0</v>
      </c>
      <c r="E307">
        <f>_xlfn.XLOOKUP(Table4[[#This Row],[Base System]],BASE_SYSTEM_TABLE[System Name],BASE_SYSTEM_TABLE[System Name (Short)],FALSE)</f>
        <v>0</v>
      </c>
      <c r="F307">
        <f>_xlfn.XLOOKUP(Table4[[#This Row],[Base System]],BASE_SYSTEM_TABLE[System Name],BASE_SYSTEM_TABLE[System Type],FALSE)</f>
        <v>0</v>
      </c>
      <c r="G307">
        <f>_xlfn.XLOOKUP(Table4[[#This Row],[Base System]],BASE_SYSTEM_TABLE[System Name],BASE_SYSTEM_TABLE[System Subtype],FALSE)</f>
        <v>0</v>
      </c>
      <c r="H307">
        <f>_xlfn.XLOOKUP(Table4[[#This Row],[Base System]],BASE_SYSTEM_TABLE[System Name],BASE_SYSTEM_TABLE[Construction Type (Framed or Planar)],FALSE)</f>
        <v>0</v>
      </c>
      <c r="I307" t="e">
        <f>GETPIVOTDATA("Sum of A1-A3 Fossil kg CO2e/m^2 wall area",'COMPONENT PIVOT REF'!$A$3,"System Name",Table4[[#This Row],[Base System]])</f>
        <v>#REF!</v>
      </c>
      <c r="J307" t="e">
        <f>GETPIVOTDATA("Sum of  R value (m^2-K/W)",'COMPONENT PIVOT REF'!$A$3,"System Name",Table4[[#This Row],[Base System]])</f>
        <v>#REF!</v>
      </c>
      <c r="K307" t="e">
        <f>GETPIVOTDATA("Sum of Total Mass per m^2 (kg)",'COMPONENT PIVOT REF'!$A$3,"System Name",Table4[[#This Row],[Base System]])</f>
        <v>#REF!</v>
      </c>
      <c r="M307">
        <f>_xlfn.XLOOKUP(Table4[[#This Row],[Ext Finish]],Master_Table4[System Name],Master_Table4[System Name (Short)],FALSE)</f>
        <v>0</v>
      </c>
      <c r="N307">
        <f>_xlfn.XLOOKUP(Table4[[#This Row],[Ext Finish]],Master_Table4[System Name],Master_Table4[Compatible Systems],FALSE)</f>
        <v>0</v>
      </c>
      <c r="O307" t="str">
        <f>IF(ISNUMBER(SEARCH(Table4[[#This Row],[MMC Method]],Table4[[#This Row],[Compatible Systems]])),"YES","NO")</f>
        <v>YES</v>
      </c>
      <c r="P307" t="e">
        <f>GETPIVOTDATA("Sum of A1-A3 Fossil kg CO2e/m^2 wall area",'COMPONENT PIVOT REF'!$I$3,"System Name",Table4[[#This Row],[Ext Finish]])</f>
        <v>#REF!</v>
      </c>
      <c r="Q307" t="e">
        <f>GETPIVOTDATA("Sum of  R value (m^2-K/W)",'COMPONENT PIVOT REF'!$I$3,"System Name",Table4[[#This Row],[Ext Finish]])</f>
        <v>#REF!</v>
      </c>
      <c r="R307" t="e">
        <f>GETPIVOTDATA("Sum of Total Mass per m^2 (kg)",'COMPONENT PIVOT REF'!$I$3,"System Name",Table4[[#This Row],[Ext Finish]])</f>
        <v>#REF!</v>
      </c>
      <c r="T307">
        <f>_xlfn.XLOOKUP(Table4[[#This Row],[Int Finish]],Master_Table6[System Name],Master_Table6[System Name (Short)],FALSE)</f>
        <v>0</v>
      </c>
      <c r="U307" t="e">
        <f>GETPIVOTDATA("Sum of A1-A3 Fossil kg CO2e/m^2 wall area",'COMPONENT PIVOT REF'!$P$3,"System Name",Table4[[#This Row],[Int Finish]])</f>
        <v>#REF!</v>
      </c>
      <c r="V307" t="e">
        <f>GETPIVOTDATA("Sum of  R value (m^2-K/W)",'COMPONENT PIVOT REF'!$P$3,"System Name",Table4[[#This Row],[Int Finish]])</f>
        <v>#REF!</v>
      </c>
      <c r="W307" t="e">
        <f>GETPIVOTDATA("Sum of Total Mass per m^2 (kg)",'COMPONENT PIVOT REF'!$P$3,"System Name",Table4[[#This Row],[Int Finish]])</f>
        <v>#REF!</v>
      </c>
      <c r="X307" t="e">
        <f>Table4[[#This Row],[Ext Finish GWP]]+Table4[[#This Row],[Base GWP]]+Table4[[#This Row],[Int Finish GWP]]</f>
        <v>#REF!</v>
      </c>
      <c r="Y307" t="e">
        <f>Table4[[#This Row],[Ext Finish R Value]]+Table4[[#This Row],[Base R Value]]+Table4[[#This Row],[Int Finish R Value]]</f>
        <v>#REF!</v>
      </c>
      <c r="Z307" t="e">
        <f>1/Table4[[#This Row],[Total R value]]</f>
        <v>#REF!</v>
      </c>
      <c r="AA307" t="e">
        <f>Table4[[#This Row],[Int Finish Mass]]+Table4[[#This Row],[Ext Finish Mass]]+Table4[[#This Row],[Base Mass]]</f>
        <v>#REF!</v>
      </c>
    </row>
    <row r="308" spans="3:27" x14ac:dyDescent="0.35">
      <c r="C308" t="str">
        <f>_xlfn.CONCAT(Table4[[#This Row],[System Name (Short)]],"_",Table4[[#This Row],[Ext Finish Name (Short)]],"_",Table4[[#This Row],[Int Finish Name (Short)]])</f>
        <v>0_0_0</v>
      </c>
      <c r="E308">
        <f>_xlfn.XLOOKUP(Table4[[#This Row],[Base System]],BASE_SYSTEM_TABLE[System Name],BASE_SYSTEM_TABLE[System Name (Short)],FALSE)</f>
        <v>0</v>
      </c>
      <c r="F308">
        <f>_xlfn.XLOOKUP(Table4[[#This Row],[Base System]],BASE_SYSTEM_TABLE[System Name],BASE_SYSTEM_TABLE[System Type],FALSE)</f>
        <v>0</v>
      </c>
      <c r="G308">
        <f>_xlfn.XLOOKUP(Table4[[#This Row],[Base System]],BASE_SYSTEM_TABLE[System Name],BASE_SYSTEM_TABLE[System Subtype],FALSE)</f>
        <v>0</v>
      </c>
      <c r="H308">
        <f>_xlfn.XLOOKUP(Table4[[#This Row],[Base System]],BASE_SYSTEM_TABLE[System Name],BASE_SYSTEM_TABLE[Construction Type (Framed or Planar)],FALSE)</f>
        <v>0</v>
      </c>
      <c r="I308" t="e">
        <f>GETPIVOTDATA("Sum of A1-A3 Fossil kg CO2e/m^2 wall area",'COMPONENT PIVOT REF'!$A$3,"System Name",Table4[[#This Row],[Base System]])</f>
        <v>#REF!</v>
      </c>
      <c r="J308" t="e">
        <f>GETPIVOTDATA("Sum of  R value (m^2-K/W)",'COMPONENT PIVOT REF'!$A$3,"System Name",Table4[[#This Row],[Base System]])</f>
        <v>#REF!</v>
      </c>
      <c r="K308" t="e">
        <f>GETPIVOTDATA("Sum of Total Mass per m^2 (kg)",'COMPONENT PIVOT REF'!$A$3,"System Name",Table4[[#This Row],[Base System]])</f>
        <v>#REF!</v>
      </c>
      <c r="M308">
        <f>_xlfn.XLOOKUP(Table4[[#This Row],[Ext Finish]],Master_Table4[System Name],Master_Table4[System Name (Short)],FALSE)</f>
        <v>0</v>
      </c>
      <c r="N308">
        <f>_xlfn.XLOOKUP(Table4[[#This Row],[Ext Finish]],Master_Table4[System Name],Master_Table4[Compatible Systems],FALSE)</f>
        <v>0</v>
      </c>
      <c r="O308" t="str">
        <f>IF(ISNUMBER(SEARCH(Table4[[#This Row],[MMC Method]],Table4[[#This Row],[Compatible Systems]])),"YES","NO")</f>
        <v>YES</v>
      </c>
      <c r="P308" t="e">
        <f>GETPIVOTDATA("Sum of A1-A3 Fossil kg CO2e/m^2 wall area",'COMPONENT PIVOT REF'!$I$3,"System Name",Table4[[#This Row],[Ext Finish]])</f>
        <v>#REF!</v>
      </c>
      <c r="Q308" t="e">
        <f>GETPIVOTDATA("Sum of  R value (m^2-K/W)",'COMPONENT PIVOT REF'!$I$3,"System Name",Table4[[#This Row],[Ext Finish]])</f>
        <v>#REF!</v>
      </c>
      <c r="R308" t="e">
        <f>GETPIVOTDATA("Sum of Total Mass per m^2 (kg)",'COMPONENT PIVOT REF'!$I$3,"System Name",Table4[[#This Row],[Ext Finish]])</f>
        <v>#REF!</v>
      </c>
      <c r="T308">
        <f>_xlfn.XLOOKUP(Table4[[#This Row],[Int Finish]],Master_Table6[System Name],Master_Table6[System Name (Short)],FALSE)</f>
        <v>0</v>
      </c>
      <c r="U308" t="e">
        <f>GETPIVOTDATA("Sum of A1-A3 Fossil kg CO2e/m^2 wall area",'COMPONENT PIVOT REF'!$P$3,"System Name",Table4[[#This Row],[Int Finish]])</f>
        <v>#REF!</v>
      </c>
      <c r="V308" t="e">
        <f>GETPIVOTDATA("Sum of  R value (m^2-K/W)",'COMPONENT PIVOT REF'!$P$3,"System Name",Table4[[#This Row],[Int Finish]])</f>
        <v>#REF!</v>
      </c>
      <c r="W308" t="e">
        <f>GETPIVOTDATA("Sum of Total Mass per m^2 (kg)",'COMPONENT PIVOT REF'!$P$3,"System Name",Table4[[#This Row],[Int Finish]])</f>
        <v>#REF!</v>
      </c>
      <c r="X308" t="e">
        <f>Table4[[#This Row],[Ext Finish GWP]]+Table4[[#This Row],[Base GWP]]+Table4[[#This Row],[Int Finish GWP]]</f>
        <v>#REF!</v>
      </c>
      <c r="Y308" t="e">
        <f>Table4[[#This Row],[Ext Finish R Value]]+Table4[[#This Row],[Base R Value]]+Table4[[#This Row],[Int Finish R Value]]</f>
        <v>#REF!</v>
      </c>
      <c r="Z308" t="e">
        <f>1/Table4[[#This Row],[Total R value]]</f>
        <v>#REF!</v>
      </c>
      <c r="AA308" t="e">
        <f>Table4[[#This Row],[Int Finish Mass]]+Table4[[#This Row],[Ext Finish Mass]]+Table4[[#This Row],[Base Mass]]</f>
        <v>#REF!</v>
      </c>
    </row>
    <row r="309" spans="3:27" x14ac:dyDescent="0.35">
      <c r="C309" t="str">
        <f>_xlfn.CONCAT(Table4[[#This Row],[System Name (Short)]],"_",Table4[[#This Row],[Ext Finish Name (Short)]],"_",Table4[[#This Row],[Int Finish Name (Short)]])</f>
        <v>0_0_0</v>
      </c>
      <c r="E309">
        <f>_xlfn.XLOOKUP(Table4[[#This Row],[Base System]],BASE_SYSTEM_TABLE[System Name],BASE_SYSTEM_TABLE[System Name (Short)],FALSE)</f>
        <v>0</v>
      </c>
      <c r="F309">
        <f>_xlfn.XLOOKUP(Table4[[#This Row],[Base System]],BASE_SYSTEM_TABLE[System Name],BASE_SYSTEM_TABLE[System Type],FALSE)</f>
        <v>0</v>
      </c>
      <c r="G309">
        <f>_xlfn.XLOOKUP(Table4[[#This Row],[Base System]],BASE_SYSTEM_TABLE[System Name],BASE_SYSTEM_TABLE[System Subtype],FALSE)</f>
        <v>0</v>
      </c>
      <c r="H309">
        <f>_xlfn.XLOOKUP(Table4[[#This Row],[Base System]],BASE_SYSTEM_TABLE[System Name],BASE_SYSTEM_TABLE[Construction Type (Framed or Planar)],FALSE)</f>
        <v>0</v>
      </c>
      <c r="I309" t="e">
        <f>GETPIVOTDATA("Sum of A1-A3 Fossil kg CO2e/m^2 wall area",'COMPONENT PIVOT REF'!$A$3,"System Name",Table4[[#This Row],[Base System]])</f>
        <v>#REF!</v>
      </c>
      <c r="J309" t="e">
        <f>GETPIVOTDATA("Sum of  R value (m^2-K/W)",'COMPONENT PIVOT REF'!$A$3,"System Name",Table4[[#This Row],[Base System]])</f>
        <v>#REF!</v>
      </c>
      <c r="K309" t="e">
        <f>GETPIVOTDATA("Sum of Total Mass per m^2 (kg)",'COMPONENT PIVOT REF'!$A$3,"System Name",Table4[[#This Row],[Base System]])</f>
        <v>#REF!</v>
      </c>
      <c r="M309">
        <f>_xlfn.XLOOKUP(Table4[[#This Row],[Ext Finish]],Master_Table4[System Name],Master_Table4[System Name (Short)],FALSE)</f>
        <v>0</v>
      </c>
      <c r="N309">
        <f>_xlfn.XLOOKUP(Table4[[#This Row],[Ext Finish]],Master_Table4[System Name],Master_Table4[Compatible Systems],FALSE)</f>
        <v>0</v>
      </c>
      <c r="O309" t="str">
        <f>IF(ISNUMBER(SEARCH(Table4[[#This Row],[MMC Method]],Table4[[#This Row],[Compatible Systems]])),"YES","NO")</f>
        <v>YES</v>
      </c>
      <c r="P309" t="e">
        <f>GETPIVOTDATA("Sum of A1-A3 Fossil kg CO2e/m^2 wall area",'COMPONENT PIVOT REF'!$I$3,"System Name",Table4[[#This Row],[Ext Finish]])</f>
        <v>#REF!</v>
      </c>
      <c r="Q309" t="e">
        <f>GETPIVOTDATA("Sum of  R value (m^2-K/W)",'COMPONENT PIVOT REF'!$I$3,"System Name",Table4[[#This Row],[Ext Finish]])</f>
        <v>#REF!</v>
      </c>
      <c r="R309" t="e">
        <f>GETPIVOTDATA("Sum of Total Mass per m^2 (kg)",'COMPONENT PIVOT REF'!$I$3,"System Name",Table4[[#This Row],[Ext Finish]])</f>
        <v>#REF!</v>
      </c>
      <c r="T309">
        <f>_xlfn.XLOOKUP(Table4[[#This Row],[Int Finish]],Master_Table6[System Name],Master_Table6[System Name (Short)],FALSE)</f>
        <v>0</v>
      </c>
      <c r="U309" t="e">
        <f>GETPIVOTDATA("Sum of A1-A3 Fossil kg CO2e/m^2 wall area",'COMPONENT PIVOT REF'!$P$3,"System Name",Table4[[#This Row],[Int Finish]])</f>
        <v>#REF!</v>
      </c>
      <c r="V309" t="e">
        <f>GETPIVOTDATA("Sum of  R value (m^2-K/W)",'COMPONENT PIVOT REF'!$P$3,"System Name",Table4[[#This Row],[Int Finish]])</f>
        <v>#REF!</v>
      </c>
      <c r="W309" t="e">
        <f>GETPIVOTDATA("Sum of Total Mass per m^2 (kg)",'COMPONENT PIVOT REF'!$P$3,"System Name",Table4[[#This Row],[Int Finish]])</f>
        <v>#REF!</v>
      </c>
      <c r="X309" t="e">
        <f>Table4[[#This Row],[Ext Finish GWP]]+Table4[[#This Row],[Base GWP]]+Table4[[#This Row],[Int Finish GWP]]</f>
        <v>#REF!</v>
      </c>
      <c r="Y309" t="e">
        <f>Table4[[#This Row],[Ext Finish R Value]]+Table4[[#This Row],[Base R Value]]+Table4[[#This Row],[Int Finish R Value]]</f>
        <v>#REF!</v>
      </c>
      <c r="Z309" t="e">
        <f>1/Table4[[#This Row],[Total R value]]</f>
        <v>#REF!</v>
      </c>
      <c r="AA309" t="e">
        <f>Table4[[#This Row],[Int Finish Mass]]+Table4[[#This Row],[Ext Finish Mass]]+Table4[[#This Row],[Base Mass]]</f>
        <v>#REF!</v>
      </c>
    </row>
    <row r="310" spans="3:27" x14ac:dyDescent="0.35">
      <c r="C310" t="str">
        <f>_xlfn.CONCAT(Table4[[#This Row],[System Name (Short)]],"_",Table4[[#This Row],[Ext Finish Name (Short)]],"_",Table4[[#This Row],[Int Finish Name (Short)]])</f>
        <v>0_0_0</v>
      </c>
      <c r="E310">
        <f>_xlfn.XLOOKUP(Table4[[#This Row],[Base System]],BASE_SYSTEM_TABLE[System Name],BASE_SYSTEM_TABLE[System Name (Short)],FALSE)</f>
        <v>0</v>
      </c>
      <c r="F310">
        <f>_xlfn.XLOOKUP(Table4[[#This Row],[Base System]],BASE_SYSTEM_TABLE[System Name],BASE_SYSTEM_TABLE[System Type],FALSE)</f>
        <v>0</v>
      </c>
      <c r="G310">
        <f>_xlfn.XLOOKUP(Table4[[#This Row],[Base System]],BASE_SYSTEM_TABLE[System Name],BASE_SYSTEM_TABLE[System Subtype],FALSE)</f>
        <v>0</v>
      </c>
      <c r="H310">
        <f>_xlfn.XLOOKUP(Table4[[#This Row],[Base System]],BASE_SYSTEM_TABLE[System Name],BASE_SYSTEM_TABLE[Construction Type (Framed or Planar)],FALSE)</f>
        <v>0</v>
      </c>
      <c r="I310" t="e">
        <f>GETPIVOTDATA("Sum of A1-A3 Fossil kg CO2e/m^2 wall area",'COMPONENT PIVOT REF'!$A$3,"System Name",Table4[[#This Row],[Base System]])</f>
        <v>#REF!</v>
      </c>
      <c r="J310" t="e">
        <f>GETPIVOTDATA("Sum of  R value (m^2-K/W)",'COMPONENT PIVOT REF'!$A$3,"System Name",Table4[[#This Row],[Base System]])</f>
        <v>#REF!</v>
      </c>
      <c r="K310" t="e">
        <f>GETPIVOTDATA("Sum of Total Mass per m^2 (kg)",'COMPONENT PIVOT REF'!$A$3,"System Name",Table4[[#This Row],[Base System]])</f>
        <v>#REF!</v>
      </c>
      <c r="M310">
        <f>_xlfn.XLOOKUP(Table4[[#This Row],[Ext Finish]],Master_Table4[System Name],Master_Table4[System Name (Short)],FALSE)</f>
        <v>0</v>
      </c>
      <c r="N310">
        <f>_xlfn.XLOOKUP(Table4[[#This Row],[Ext Finish]],Master_Table4[System Name],Master_Table4[Compatible Systems],FALSE)</f>
        <v>0</v>
      </c>
      <c r="O310" t="str">
        <f>IF(ISNUMBER(SEARCH(Table4[[#This Row],[MMC Method]],Table4[[#This Row],[Compatible Systems]])),"YES","NO")</f>
        <v>YES</v>
      </c>
      <c r="P310" t="e">
        <f>GETPIVOTDATA("Sum of A1-A3 Fossil kg CO2e/m^2 wall area",'COMPONENT PIVOT REF'!$I$3,"System Name",Table4[[#This Row],[Ext Finish]])</f>
        <v>#REF!</v>
      </c>
      <c r="Q310" t="e">
        <f>GETPIVOTDATA("Sum of  R value (m^2-K/W)",'COMPONENT PIVOT REF'!$I$3,"System Name",Table4[[#This Row],[Ext Finish]])</f>
        <v>#REF!</v>
      </c>
      <c r="R310" t="e">
        <f>GETPIVOTDATA("Sum of Total Mass per m^2 (kg)",'COMPONENT PIVOT REF'!$I$3,"System Name",Table4[[#This Row],[Ext Finish]])</f>
        <v>#REF!</v>
      </c>
      <c r="T310">
        <f>_xlfn.XLOOKUP(Table4[[#This Row],[Int Finish]],Master_Table6[System Name],Master_Table6[System Name (Short)],FALSE)</f>
        <v>0</v>
      </c>
      <c r="U310" t="e">
        <f>GETPIVOTDATA("Sum of A1-A3 Fossil kg CO2e/m^2 wall area",'COMPONENT PIVOT REF'!$P$3,"System Name",Table4[[#This Row],[Int Finish]])</f>
        <v>#REF!</v>
      </c>
      <c r="V310" t="e">
        <f>GETPIVOTDATA("Sum of  R value (m^2-K/W)",'COMPONENT PIVOT REF'!$P$3,"System Name",Table4[[#This Row],[Int Finish]])</f>
        <v>#REF!</v>
      </c>
      <c r="W310" t="e">
        <f>GETPIVOTDATA("Sum of Total Mass per m^2 (kg)",'COMPONENT PIVOT REF'!$P$3,"System Name",Table4[[#This Row],[Int Finish]])</f>
        <v>#REF!</v>
      </c>
      <c r="X310" t="e">
        <f>Table4[[#This Row],[Ext Finish GWP]]+Table4[[#This Row],[Base GWP]]+Table4[[#This Row],[Int Finish GWP]]</f>
        <v>#REF!</v>
      </c>
      <c r="Y310" t="e">
        <f>Table4[[#This Row],[Ext Finish R Value]]+Table4[[#This Row],[Base R Value]]+Table4[[#This Row],[Int Finish R Value]]</f>
        <v>#REF!</v>
      </c>
      <c r="Z310" t="e">
        <f>1/Table4[[#This Row],[Total R value]]</f>
        <v>#REF!</v>
      </c>
      <c r="AA310" t="e">
        <f>Table4[[#This Row],[Int Finish Mass]]+Table4[[#This Row],[Ext Finish Mass]]+Table4[[#This Row],[Base Mass]]</f>
        <v>#REF!</v>
      </c>
    </row>
    <row r="311" spans="3:27" x14ac:dyDescent="0.35">
      <c r="C311" t="str">
        <f>_xlfn.CONCAT(Table4[[#This Row],[System Name (Short)]],"_",Table4[[#This Row],[Ext Finish Name (Short)]],"_",Table4[[#This Row],[Int Finish Name (Short)]])</f>
        <v>0_0_0</v>
      </c>
      <c r="E311">
        <f>_xlfn.XLOOKUP(Table4[[#This Row],[Base System]],BASE_SYSTEM_TABLE[System Name],BASE_SYSTEM_TABLE[System Name (Short)],FALSE)</f>
        <v>0</v>
      </c>
      <c r="F311">
        <f>_xlfn.XLOOKUP(Table4[[#This Row],[Base System]],BASE_SYSTEM_TABLE[System Name],BASE_SYSTEM_TABLE[System Type],FALSE)</f>
        <v>0</v>
      </c>
      <c r="G311">
        <f>_xlfn.XLOOKUP(Table4[[#This Row],[Base System]],BASE_SYSTEM_TABLE[System Name],BASE_SYSTEM_TABLE[System Subtype],FALSE)</f>
        <v>0</v>
      </c>
      <c r="H311">
        <f>_xlfn.XLOOKUP(Table4[[#This Row],[Base System]],BASE_SYSTEM_TABLE[System Name],BASE_SYSTEM_TABLE[Construction Type (Framed or Planar)],FALSE)</f>
        <v>0</v>
      </c>
      <c r="I311" t="e">
        <f>GETPIVOTDATA("Sum of A1-A3 Fossil kg CO2e/m^2 wall area",'COMPONENT PIVOT REF'!$A$3,"System Name",Table4[[#This Row],[Base System]])</f>
        <v>#REF!</v>
      </c>
      <c r="J311" t="e">
        <f>GETPIVOTDATA("Sum of  R value (m^2-K/W)",'COMPONENT PIVOT REF'!$A$3,"System Name",Table4[[#This Row],[Base System]])</f>
        <v>#REF!</v>
      </c>
      <c r="K311" t="e">
        <f>GETPIVOTDATA("Sum of Total Mass per m^2 (kg)",'COMPONENT PIVOT REF'!$A$3,"System Name",Table4[[#This Row],[Base System]])</f>
        <v>#REF!</v>
      </c>
      <c r="M311">
        <f>_xlfn.XLOOKUP(Table4[[#This Row],[Ext Finish]],Master_Table4[System Name],Master_Table4[System Name (Short)],FALSE)</f>
        <v>0</v>
      </c>
      <c r="N311">
        <f>_xlfn.XLOOKUP(Table4[[#This Row],[Ext Finish]],Master_Table4[System Name],Master_Table4[Compatible Systems],FALSE)</f>
        <v>0</v>
      </c>
      <c r="O311" t="str">
        <f>IF(ISNUMBER(SEARCH(Table4[[#This Row],[MMC Method]],Table4[[#This Row],[Compatible Systems]])),"YES","NO")</f>
        <v>YES</v>
      </c>
      <c r="P311" t="e">
        <f>GETPIVOTDATA("Sum of A1-A3 Fossil kg CO2e/m^2 wall area",'COMPONENT PIVOT REF'!$I$3,"System Name",Table4[[#This Row],[Ext Finish]])</f>
        <v>#REF!</v>
      </c>
      <c r="Q311" t="e">
        <f>GETPIVOTDATA("Sum of  R value (m^2-K/W)",'COMPONENT PIVOT REF'!$I$3,"System Name",Table4[[#This Row],[Ext Finish]])</f>
        <v>#REF!</v>
      </c>
      <c r="R311" t="e">
        <f>GETPIVOTDATA("Sum of Total Mass per m^2 (kg)",'COMPONENT PIVOT REF'!$I$3,"System Name",Table4[[#This Row],[Ext Finish]])</f>
        <v>#REF!</v>
      </c>
      <c r="T311">
        <f>_xlfn.XLOOKUP(Table4[[#This Row],[Int Finish]],Master_Table6[System Name],Master_Table6[System Name (Short)],FALSE)</f>
        <v>0</v>
      </c>
      <c r="U311" t="e">
        <f>GETPIVOTDATA("Sum of A1-A3 Fossil kg CO2e/m^2 wall area",'COMPONENT PIVOT REF'!$P$3,"System Name",Table4[[#This Row],[Int Finish]])</f>
        <v>#REF!</v>
      </c>
      <c r="V311" t="e">
        <f>GETPIVOTDATA("Sum of  R value (m^2-K/W)",'COMPONENT PIVOT REF'!$P$3,"System Name",Table4[[#This Row],[Int Finish]])</f>
        <v>#REF!</v>
      </c>
      <c r="W311" t="e">
        <f>GETPIVOTDATA("Sum of Total Mass per m^2 (kg)",'COMPONENT PIVOT REF'!$P$3,"System Name",Table4[[#This Row],[Int Finish]])</f>
        <v>#REF!</v>
      </c>
      <c r="X311" t="e">
        <f>Table4[[#This Row],[Ext Finish GWP]]+Table4[[#This Row],[Base GWP]]+Table4[[#This Row],[Int Finish GWP]]</f>
        <v>#REF!</v>
      </c>
      <c r="Y311" t="e">
        <f>Table4[[#This Row],[Ext Finish R Value]]+Table4[[#This Row],[Base R Value]]+Table4[[#This Row],[Int Finish R Value]]</f>
        <v>#REF!</v>
      </c>
      <c r="Z311" t="e">
        <f>1/Table4[[#This Row],[Total R value]]</f>
        <v>#REF!</v>
      </c>
      <c r="AA311" t="e">
        <f>Table4[[#This Row],[Int Finish Mass]]+Table4[[#This Row],[Ext Finish Mass]]+Table4[[#This Row],[Base Mass]]</f>
        <v>#REF!</v>
      </c>
    </row>
    <row r="312" spans="3:27" x14ac:dyDescent="0.35">
      <c r="C312" t="str">
        <f>_xlfn.CONCAT(Table4[[#This Row],[System Name (Short)]],"_",Table4[[#This Row],[Ext Finish Name (Short)]],"_",Table4[[#This Row],[Int Finish Name (Short)]])</f>
        <v>0_0_0</v>
      </c>
      <c r="E312">
        <f>_xlfn.XLOOKUP(Table4[[#This Row],[Base System]],BASE_SYSTEM_TABLE[System Name],BASE_SYSTEM_TABLE[System Name (Short)],FALSE)</f>
        <v>0</v>
      </c>
      <c r="F312">
        <f>_xlfn.XLOOKUP(Table4[[#This Row],[Base System]],BASE_SYSTEM_TABLE[System Name],BASE_SYSTEM_TABLE[System Type],FALSE)</f>
        <v>0</v>
      </c>
      <c r="G312">
        <f>_xlfn.XLOOKUP(Table4[[#This Row],[Base System]],BASE_SYSTEM_TABLE[System Name],BASE_SYSTEM_TABLE[System Subtype],FALSE)</f>
        <v>0</v>
      </c>
      <c r="H312">
        <f>_xlfn.XLOOKUP(Table4[[#This Row],[Base System]],BASE_SYSTEM_TABLE[System Name],BASE_SYSTEM_TABLE[Construction Type (Framed or Planar)],FALSE)</f>
        <v>0</v>
      </c>
      <c r="I312" t="e">
        <f>GETPIVOTDATA("Sum of A1-A3 Fossil kg CO2e/m^2 wall area",'COMPONENT PIVOT REF'!$A$3,"System Name",Table4[[#This Row],[Base System]])</f>
        <v>#REF!</v>
      </c>
      <c r="J312" t="e">
        <f>GETPIVOTDATA("Sum of  R value (m^2-K/W)",'COMPONENT PIVOT REF'!$A$3,"System Name",Table4[[#This Row],[Base System]])</f>
        <v>#REF!</v>
      </c>
      <c r="K312" t="e">
        <f>GETPIVOTDATA("Sum of Total Mass per m^2 (kg)",'COMPONENT PIVOT REF'!$A$3,"System Name",Table4[[#This Row],[Base System]])</f>
        <v>#REF!</v>
      </c>
      <c r="M312">
        <f>_xlfn.XLOOKUP(Table4[[#This Row],[Ext Finish]],Master_Table4[System Name],Master_Table4[System Name (Short)],FALSE)</f>
        <v>0</v>
      </c>
      <c r="N312">
        <f>_xlfn.XLOOKUP(Table4[[#This Row],[Ext Finish]],Master_Table4[System Name],Master_Table4[Compatible Systems],FALSE)</f>
        <v>0</v>
      </c>
      <c r="O312" t="str">
        <f>IF(ISNUMBER(SEARCH(Table4[[#This Row],[MMC Method]],Table4[[#This Row],[Compatible Systems]])),"YES","NO")</f>
        <v>YES</v>
      </c>
      <c r="P312" t="e">
        <f>GETPIVOTDATA("Sum of A1-A3 Fossil kg CO2e/m^2 wall area",'COMPONENT PIVOT REF'!$I$3,"System Name",Table4[[#This Row],[Ext Finish]])</f>
        <v>#REF!</v>
      </c>
      <c r="Q312" t="e">
        <f>GETPIVOTDATA("Sum of  R value (m^2-K/W)",'COMPONENT PIVOT REF'!$I$3,"System Name",Table4[[#This Row],[Ext Finish]])</f>
        <v>#REF!</v>
      </c>
      <c r="R312" t="e">
        <f>GETPIVOTDATA("Sum of Total Mass per m^2 (kg)",'COMPONENT PIVOT REF'!$I$3,"System Name",Table4[[#This Row],[Ext Finish]])</f>
        <v>#REF!</v>
      </c>
      <c r="T312">
        <f>_xlfn.XLOOKUP(Table4[[#This Row],[Int Finish]],Master_Table6[System Name],Master_Table6[System Name (Short)],FALSE)</f>
        <v>0</v>
      </c>
      <c r="U312" t="e">
        <f>GETPIVOTDATA("Sum of A1-A3 Fossil kg CO2e/m^2 wall area",'COMPONENT PIVOT REF'!$P$3,"System Name",Table4[[#This Row],[Int Finish]])</f>
        <v>#REF!</v>
      </c>
      <c r="V312" t="e">
        <f>GETPIVOTDATA("Sum of  R value (m^2-K/W)",'COMPONENT PIVOT REF'!$P$3,"System Name",Table4[[#This Row],[Int Finish]])</f>
        <v>#REF!</v>
      </c>
      <c r="W312" t="e">
        <f>GETPIVOTDATA("Sum of Total Mass per m^2 (kg)",'COMPONENT PIVOT REF'!$P$3,"System Name",Table4[[#This Row],[Int Finish]])</f>
        <v>#REF!</v>
      </c>
      <c r="X312" t="e">
        <f>Table4[[#This Row],[Ext Finish GWP]]+Table4[[#This Row],[Base GWP]]+Table4[[#This Row],[Int Finish GWP]]</f>
        <v>#REF!</v>
      </c>
      <c r="Y312" t="e">
        <f>Table4[[#This Row],[Ext Finish R Value]]+Table4[[#This Row],[Base R Value]]+Table4[[#This Row],[Int Finish R Value]]</f>
        <v>#REF!</v>
      </c>
      <c r="Z312" t="e">
        <f>1/Table4[[#This Row],[Total R value]]</f>
        <v>#REF!</v>
      </c>
      <c r="AA312" t="e">
        <f>Table4[[#This Row],[Int Finish Mass]]+Table4[[#This Row],[Ext Finish Mass]]+Table4[[#This Row],[Base Mass]]</f>
        <v>#REF!</v>
      </c>
    </row>
    <row r="313" spans="3:27" x14ac:dyDescent="0.35">
      <c r="C313" t="str">
        <f>_xlfn.CONCAT(Table4[[#This Row],[System Name (Short)]],"_",Table4[[#This Row],[Ext Finish Name (Short)]],"_",Table4[[#This Row],[Int Finish Name (Short)]])</f>
        <v>0_0_0</v>
      </c>
      <c r="E313">
        <f>_xlfn.XLOOKUP(Table4[[#This Row],[Base System]],BASE_SYSTEM_TABLE[System Name],BASE_SYSTEM_TABLE[System Name (Short)],FALSE)</f>
        <v>0</v>
      </c>
      <c r="F313">
        <f>_xlfn.XLOOKUP(Table4[[#This Row],[Base System]],BASE_SYSTEM_TABLE[System Name],BASE_SYSTEM_TABLE[System Type],FALSE)</f>
        <v>0</v>
      </c>
      <c r="G313">
        <f>_xlfn.XLOOKUP(Table4[[#This Row],[Base System]],BASE_SYSTEM_TABLE[System Name],BASE_SYSTEM_TABLE[System Subtype],FALSE)</f>
        <v>0</v>
      </c>
      <c r="H313">
        <f>_xlfn.XLOOKUP(Table4[[#This Row],[Base System]],BASE_SYSTEM_TABLE[System Name],BASE_SYSTEM_TABLE[Construction Type (Framed or Planar)],FALSE)</f>
        <v>0</v>
      </c>
      <c r="I313" t="e">
        <f>GETPIVOTDATA("Sum of A1-A3 Fossil kg CO2e/m^2 wall area",'COMPONENT PIVOT REF'!$A$3,"System Name",Table4[[#This Row],[Base System]])</f>
        <v>#REF!</v>
      </c>
      <c r="J313" t="e">
        <f>GETPIVOTDATA("Sum of  R value (m^2-K/W)",'COMPONENT PIVOT REF'!$A$3,"System Name",Table4[[#This Row],[Base System]])</f>
        <v>#REF!</v>
      </c>
      <c r="K313" t="e">
        <f>GETPIVOTDATA("Sum of Total Mass per m^2 (kg)",'COMPONENT PIVOT REF'!$A$3,"System Name",Table4[[#This Row],[Base System]])</f>
        <v>#REF!</v>
      </c>
      <c r="M313">
        <f>_xlfn.XLOOKUP(Table4[[#This Row],[Ext Finish]],Master_Table4[System Name],Master_Table4[System Name (Short)],FALSE)</f>
        <v>0</v>
      </c>
      <c r="N313">
        <f>_xlfn.XLOOKUP(Table4[[#This Row],[Ext Finish]],Master_Table4[System Name],Master_Table4[Compatible Systems],FALSE)</f>
        <v>0</v>
      </c>
      <c r="O313" t="str">
        <f>IF(ISNUMBER(SEARCH(Table4[[#This Row],[MMC Method]],Table4[[#This Row],[Compatible Systems]])),"YES","NO")</f>
        <v>YES</v>
      </c>
      <c r="P313" t="e">
        <f>GETPIVOTDATA("Sum of A1-A3 Fossil kg CO2e/m^2 wall area",'COMPONENT PIVOT REF'!$I$3,"System Name",Table4[[#This Row],[Ext Finish]])</f>
        <v>#REF!</v>
      </c>
      <c r="Q313" t="e">
        <f>GETPIVOTDATA("Sum of  R value (m^2-K/W)",'COMPONENT PIVOT REF'!$I$3,"System Name",Table4[[#This Row],[Ext Finish]])</f>
        <v>#REF!</v>
      </c>
      <c r="R313" t="e">
        <f>GETPIVOTDATA("Sum of Total Mass per m^2 (kg)",'COMPONENT PIVOT REF'!$I$3,"System Name",Table4[[#This Row],[Ext Finish]])</f>
        <v>#REF!</v>
      </c>
      <c r="T313">
        <f>_xlfn.XLOOKUP(Table4[[#This Row],[Int Finish]],Master_Table6[System Name],Master_Table6[System Name (Short)],FALSE)</f>
        <v>0</v>
      </c>
      <c r="U313" t="e">
        <f>GETPIVOTDATA("Sum of A1-A3 Fossil kg CO2e/m^2 wall area",'COMPONENT PIVOT REF'!$P$3,"System Name",Table4[[#This Row],[Int Finish]])</f>
        <v>#REF!</v>
      </c>
      <c r="V313" t="e">
        <f>GETPIVOTDATA("Sum of  R value (m^2-K/W)",'COMPONENT PIVOT REF'!$P$3,"System Name",Table4[[#This Row],[Int Finish]])</f>
        <v>#REF!</v>
      </c>
      <c r="W313" t="e">
        <f>GETPIVOTDATA("Sum of Total Mass per m^2 (kg)",'COMPONENT PIVOT REF'!$P$3,"System Name",Table4[[#This Row],[Int Finish]])</f>
        <v>#REF!</v>
      </c>
      <c r="X313" t="e">
        <f>Table4[[#This Row],[Ext Finish GWP]]+Table4[[#This Row],[Base GWP]]+Table4[[#This Row],[Int Finish GWP]]</f>
        <v>#REF!</v>
      </c>
      <c r="Y313" t="e">
        <f>Table4[[#This Row],[Ext Finish R Value]]+Table4[[#This Row],[Base R Value]]+Table4[[#This Row],[Int Finish R Value]]</f>
        <v>#REF!</v>
      </c>
      <c r="Z313" t="e">
        <f>1/Table4[[#This Row],[Total R value]]</f>
        <v>#REF!</v>
      </c>
      <c r="AA313" t="e">
        <f>Table4[[#This Row],[Int Finish Mass]]+Table4[[#This Row],[Ext Finish Mass]]+Table4[[#This Row],[Base Mass]]</f>
        <v>#REF!</v>
      </c>
    </row>
    <row r="314" spans="3:27" x14ac:dyDescent="0.35">
      <c r="C314" t="str">
        <f>_xlfn.CONCAT(Table4[[#This Row],[System Name (Short)]],"_",Table4[[#This Row],[Ext Finish Name (Short)]],"_",Table4[[#This Row],[Int Finish Name (Short)]])</f>
        <v>0_0_0</v>
      </c>
      <c r="E314">
        <f>_xlfn.XLOOKUP(Table4[[#This Row],[Base System]],BASE_SYSTEM_TABLE[System Name],BASE_SYSTEM_TABLE[System Name (Short)],FALSE)</f>
        <v>0</v>
      </c>
      <c r="F314">
        <f>_xlfn.XLOOKUP(Table4[[#This Row],[Base System]],BASE_SYSTEM_TABLE[System Name],BASE_SYSTEM_TABLE[System Type],FALSE)</f>
        <v>0</v>
      </c>
      <c r="G314">
        <f>_xlfn.XLOOKUP(Table4[[#This Row],[Base System]],BASE_SYSTEM_TABLE[System Name],BASE_SYSTEM_TABLE[System Subtype],FALSE)</f>
        <v>0</v>
      </c>
      <c r="H314">
        <f>_xlfn.XLOOKUP(Table4[[#This Row],[Base System]],BASE_SYSTEM_TABLE[System Name],BASE_SYSTEM_TABLE[Construction Type (Framed or Planar)],FALSE)</f>
        <v>0</v>
      </c>
      <c r="I314" t="e">
        <f>GETPIVOTDATA("Sum of A1-A3 Fossil kg CO2e/m^2 wall area",'COMPONENT PIVOT REF'!$A$3,"System Name",Table4[[#This Row],[Base System]])</f>
        <v>#REF!</v>
      </c>
      <c r="J314" t="e">
        <f>GETPIVOTDATA("Sum of  R value (m^2-K/W)",'COMPONENT PIVOT REF'!$A$3,"System Name",Table4[[#This Row],[Base System]])</f>
        <v>#REF!</v>
      </c>
      <c r="K314" t="e">
        <f>GETPIVOTDATA("Sum of Total Mass per m^2 (kg)",'COMPONENT PIVOT REF'!$A$3,"System Name",Table4[[#This Row],[Base System]])</f>
        <v>#REF!</v>
      </c>
      <c r="M314">
        <f>_xlfn.XLOOKUP(Table4[[#This Row],[Ext Finish]],Master_Table4[System Name],Master_Table4[System Name (Short)],FALSE)</f>
        <v>0</v>
      </c>
      <c r="N314">
        <f>_xlfn.XLOOKUP(Table4[[#This Row],[Ext Finish]],Master_Table4[System Name],Master_Table4[Compatible Systems],FALSE)</f>
        <v>0</v>
      </c>
      <c r="O314" t="str">
        <f>IF(ISNUMBER(SEARCH(Table4[[#This Row],[MMC Method]],Table4[[#This Row],[Compatible Systems]])),"YES","NO")</f>
        <v>YES</v>
      </c>
      <c r="P314" t="e">
        <f>GETPIVOTDATA("Sum of A1-A3 Fossil kg CO2e/m^2 wall area",'COMPONENT PIVOT REF'!$I$3,"System Name",Table4[[#This Row],[Ext Finish]])</f>
        <v>#REF!</v>
      </c>
      <c r="Q314" t="e">
        <f>GETPIVOTDATA("Sum of  R value (m^2-K/W)",'COMPONENT PIVOT REF'!$I$3,"System Name",Table4[[#This Row],[Ext Finish]])</f>
        <v>#REF!</v>
      </c>
      <c r="R314" t="e">
        <f>GETPIVOTDATA("Sum of Total Mass per m^2 (kg)",'COMPONENT PIVOT REF'!$I$3,"System Name",Table4[[#This Row],[Ext Finish]])</f>
        <v>#REF!</v>
      </c>
      <c r="T314">
        <f>_xlfn.XLOOKUP(Table4[[#This Row],[Int Finish]],Master_Table6[System Name],Master_Table6[System Name (Short)],FALSE)</f>
        <v>0</v>
      </c>
      <c r="U314" t="e">
        <f>GETPIVOTDATA("Sum of A1-A3 Fossil kg CO2e/m^2 wall area",'COMPONENT PIVOT REF'!$P$3,"System Name",Table4[[#This Row],[Int Finish]])</f>
        <v>#REF!</v>
      </c>
      <c r="V314" t="e">
        <f>GETPIVOTDATA("Sum of  R value (m^2-K/W)",'COMPONENT PIVOT REF'!$P$3,"System Name",Table4[[#This Row],[Int Finish]])</f>
        <v>#REF!</v>
      </c>
      <c r="W314" t="e">
        <f>GETPIVOTDATA("Sum of Total Mass per m^2 (kg)",'COMPONENT PIVOT REF'!$P$3,"System Name",Table4[[#This Row],[Int Finish]])</f>
        <v>#REF!</v>
      </c>
      <c r="X314" t="e">
        <f>Table4[[#This Row],[Ext Finish GWP]]+Table4[[#This Row],[Base GWP]]+Table4[[#This Row],[Int Finish GWP]]</f>
        <v>#REF!</v>
      </c>
      <c r="Y314" t="e">
        <f>Table4[[#This Row],[Ext Finish R Value]]+Table4[[#This Row],[Base R Value]]+Table4[[#This Row],[Int Finish R Value]]</f>
        <v>#REF!</v>
      </c>
      <c r="Z314" t="e">
        <f>1/Table4[[#This Row],[Total R value]]</f>
        <v>#REF!</v>
      </c>
      <c r="AA314" t="e">
        <f>Table4[[#This Row],[Int Finish Mass]]+Table4[[#This Row],[Ext Finish Mass]]+Table4[[#This Row],[Base Mass]]</f>
        <v>#REF!</v>
      </c>
    </row>
    <row r="315" spans="3:27" x14ac:dyDescent="0.35">
      <c r="C315" t="str">
        <f>_xlfn.CONCAT(Table4[[#This Row],[System Name (Short)]],"_",Table4[[#This Row],[Ext Finish Name (Short)]],"_",Table4[[#This Row],[Int Finish Name (Short)]])</f>
        <v>0_0_0</v>
      </c>
      <c r="E315">
        <f>_xlfn.XLOOKUP(Table4[[#This Row],[Base System]],BASE_SYSTEM_TABLE[System Name],BASE_SYSTEM_TABLE[System Name (Short)],FALSE)</f>
        <v>0</v>
      </c>
      <c r="F315">
        <f>_xlfn.XLOOKUP(Table4[[#This Row],[Base System]],BASE_SYSTEM_TABLE[System Name],BASE_SYSTEM_TABLE[System Type],FALSE)</f>
        <v>0</v>
      </c>
      <c r="G315">
        <f>_xlfn.XLOOKUP(Table4[[#This Row],[Base System]],BASE_SYSTEM_TABLE[System Name],BASE_SYSTEM_TABLE[System Subtype],FALSE)</f>
        <v>0</v>
      </c>
      <c r="H315">
        <f>_xlfn.XLOOKUP(Table4[[#This Row],[Base System]],BASE_SYSTEM_TABLE[System Name],BASE_SYSTEM_TABLE[Construction Type (Framed or Planar)],FALSE)</f>
        <v>0</v>
      </c>
      <c r="I315" t="e">
        <f>GETPIVOTDATA("Sum of A1-A3 Fossil kg CO2e/m^2 wall area",'COMPONENT PIVOT REF'!$A$3,"System Name",Table4[[#This Row],[Base System]])</f>
        <v>#REF!</v>
      </c>
      <c r="J315" t="e">
        <f>GETPIVOTDATA("Sum of  R value (m^2-K/W)",'COMPONENT PIVOT REF'!$A$3,"System Name",Table4[[#This Row],[Base System]])</f>
        <v>#REF!</v>
      </c>
      <c r="K315" t="e">
        <f>GETPIVOTDATA("Sum of Total Mass per m^2 (kg)",'COMPONENT PIVOT REF'!$A$3,"System Name",Table4[[#This Row],[Base System]])</f>
        <v>#REF!</v>
      </c>
      <c r="M315">
        <f>_xlfn.XLOOKUP(Table4[[#This Row],[Ext Finish]],Master_Table4[System Name],Master_Table4[System Name (Short)],FALSE)</f>
        <v>0</v>
      </c>
      <c r="N315">
        <f>_xlfn.XLOOKUP(Table4[[#This Row],[Ext Finish]],Master_Table4[System Name],Master_Table4[Compatible Systems],FALSE)</f>
        <v>0</v>
      </c>
      <c r="O315" t="str">
        <f>IF(ISNUMBER(SEARCH(Table4[[#This Row],[MMC Method]],Table4[[#This Row],[Compatible Systems]])),"YES","NO")</f>
        <v>YES</v>
      </c>
      <c r="P315" t="e">
        <f>GETPIVOTDATA("Sum of A1-A3 Fossil kg CO2e/m^2 wall area",'COMPONENT PIVOT REF'!$I$3,"System Name",Table4[[#This Row],[Ext Finish]])</f>
        <v>#REF!</v>
      </c>
      <c r="Q315" t="e">
        <f>GETPIVOTDATA("Sum of  R value (m^2-K/W)",'COMPONENT PIVOT REF'!$I$3,"System Name",Table4[[#This Row],[Ext Finish]])</f>
        <v>#REF!</v>
      </c>
      <c r="R315" t="e">
        <f>GETPIVOTDATA("Sum of Total Mass per m^2 (kg)",'COMPONENT PIVOT REF'!$I$3,"System Name",Table4[[#This Row],[Ext Finish]])</f>
        <v>#REF!</v>
      </c>
      <c r="T315">
        <f>_xlfn.XLOOKUP(Table4[[#This Row],[Int Finish]],Master_Table6[System Name],Master_Table6[System Name (Short)],FALSE)</f>
        <v>0</v>
      </c>
      <c r="U315" t="e">
        <f>GETPIVOTDATA("Sum of A1-A3 Fossil kg CO2e/m^2 wall area",'COMPONENT PIVOT REF'!$P$3,"System Name",Table4[[#This Row],[Int Finish]])</f>
        <v>#REF!</v>
      </c>
      <c r="V315" t="e">
        <f>GETPIVOTDATA("Sum of  R value (m^2-K/W)",'COMPONENT PIVOT REF'!$P$3,"System Name",Table4[[#This Row],[Int Finish]])</f>
        <v>#REF!</v>
      </c>
      <c r="W315" t="e">
        <f>GETPIVOTDATA("Sum of Total Mass per m^2 (kg)",'COMPONENT PIVOT REF'!$P$3,"System Name",Table4[[#This Row],[Int Finish]])</f>
        <v>#REF!</v>
      </c>
      <c r="X315" t="e">
        <f>Table4[[#This Row],[Ext Finish GWP]]+Table4[[#This Row],[Base GWP]]+Table4[[#This Row],[Int Finish GWP]]</f>
        <v>#REF!</v>
      </c>
      <c r="Y315" t="e">
        <f>Table4[[#This Row],[Ext Finish R Value]]+Table4[[#This Row],[Base R Value]]+Table4[[#This Row],[Int Finish R Value]]</f>
        <v>#REF!</v>
      </c>
      <c r="Z315" t="e">
        <f>1/Table4[[#This Row],[Total R value]]</f>
        <v>#REF!</v>
      </c>
      <c r="AA315" t="e">
        <f>Table4[[#This Row],[Int Finish Mass]]+Table4[[#This Row],[Ext Finish Mass]]+Table4[[#This Row],[Base Mass]]</f>
        <v>#REF!</v>
      </c>
    </row>
    <row r="316" spans="3:27" x14ac:dyDescent="0.35">
      <c r="C316" t="str">
        <f>_xlfn.CONCAT(Table4[[#This Row],[System Name (Short)]],"_",Table4[[#This Row],[Ext Finish Name (Short)]],"_",Table4[[#This Row],[Int Finish Name (Short)]])</f>
        <v>0_0_0</v>
      </c>
      <c r="E316">
        <f>_xlfn.XLOOKUP(Table4[[#This Row],[Base System]],BASE_SYSTEM_TABLE[System Name],BASE_SYSTEM_TABLE[System Name (Short)],FALSE)</f>
        <v>0</v>
      </c>
      <c r="F316">
        <f>_xlfn.XLOOKUP(Table4[[#This Row],[Base System]],BASE_SYSTEM_TABLE[System Name],BASE_SYSTEM_TABLE[System Type],FALSE)</f>
        <v>0</v>
      </c>
      <c r="G316">
        <f>_xlfn.XLOOKUP(Table4[[#This Row],[Base System]],BASE_SYSTEM_TABLE[System Name],BASE_SYSTEM_TABLE[System Subtype],FALSE)</f>
        <v>0</v>
      </c>
      <c r="H316">
        <f>_xlfn.XLOOKUP(Table4[[#This Row],[Base System]],BASE_SYSTEM_TABLE[System Name],BASE_SYSTEM_TABLE[Construction Type (Framed or Planar)],FALSE)</f>
        <v>0</v>
      </c>
      <c r="I316" t="e">
        <f>GETPIVOTDATA("Sum of A1-A3 Fossil kg CO2e/m^2 wall area",'COMPONENT PIVOT REF'!$A$3,"System Name",Table4[[#This Row],[Base System]])</f>
        <v>#REF!</v>
      </c>
      <c r="J316" t="e">
        <f>GETPIVOTDATA("Sum of  R value (m^2-K/W)",'COMPONENT PIVOT REF'!$A$3,"System Name",Table4[[#This Row],[Base System]])</f>
        <v>#REF!</v>
      </c>
      <c r="K316" t="e">
        <f>GETPIVOTDATA("Sum of Total Mass per m^2 (kg)",'COMPONENT PIVOT REF'!$A$3,"System Name",Table4[[#This Row],[Base System]])</f>
        <v>#REF!</v>
      </c>
      <c r="M316">
        <f>_xlfn.XLOOKUP(Table4[[#This Row],[Ext Finish]],Master_Table4[System Name],Master_Table4[System Name (Short)],FALSE)</f>
        <v>0</v>
      </c>
      <c r="N316">
        <f>_xlfn.XLOOKUP(Table4[[#This Row],[Ext Finish]],Master_Table4[System Name],Master_Table4[Compatible Systems],FALSE)</f>
        <v>0</v>
      </c>
      <c r="O316" t="str">
        <f>IF(ISNUMBER(SEARCH(Table4[[#This Row],[MMC Method]],Table4[[#This Row],[Compatible Systems]])),"YES","NO")</f>
        <v>YES</v>
      </c>
      <c r="P316" t="e">
        <f>GETPIVOTDATA("Sum of A1-A3 Fossil kg CO2e/m^2 wall area",'COMPONENT PIVOT REF'!$I$3,"System Name",Table4[[#This Row],[Ext Finish]])</f>
        <v>#REF!</v>
      </c>
      <c r="Q316" t="e">
        <f>GETPIVOTDATA("Sum of  R value (m^2-K/W)",'COMPONENT PIVOT REF'!$I$3,"System Name",Table4[[#This Row],[Ext Finish]])</f>
        <v>#REF!</v>
      </c>
      <c r="R316" t="e">
        <f>GETPIVOTDATA("Sum of Total Mass per m^2 (kg)",'COMPONENT PIVOT REF'!$I$3,"System Name",Table4[[#This Row],[Ext Finish]])</f>
        <v>#REF!</v>
      </c>
      <c r="T316">
        <f>_xlfn.XLOOKUP(Table4[[#This Row],[Int Finish]],Master_Table6[System Name],Master_Table6[System Name (Short)],FALSE)</f>
        <v>0</v>
      </c>
      <c r="U316" t="e">
        <f>GETPIVOTDATA("Sum of A1-A3 Fossil kg CO2e/m^2 wall area",'COMPONENT PIVOT REF'!$P$3,"System Name",Table4[[#This Row],[Int Finish]])</f>
        <v>#REF!</v>
      </c>
      <c r="V316" t="e">
        <f>GETPIVOTDATA("Sum of  R value (m^2-K/W)",'COMPONENT PIVOT REF'!$P$3,"System Name",Table4[[#This Row],[Int Finish]])</f>
        <v>#REF!</v>
      </c>
      <c r="W316" t="e">
        <f>GETPIVOTDATA("Sum of Total Mass per m^2 (kg)",'COMPONENT PIVOT REF'!$P$3,"System Name",Table4[[#This Row],[Int Finish]])</f>
        <v>#REF!</v>
      </c>
      <c r="X316" t="e">
        <f>Table4[[#This Row],[Ext Finish GWP]]+Table4[[#This Row],[Base GWP]]+Table4[[#This Row],[Int Finish GWP]]</f>
        <v>#REF!</v>
      </c>
      <c r="Y316" t="e">
        <f>Table4[[#This Row],[Ext Finish R Value]]+Table4[[#This Row],[Base R Value]]+Table4[[#This Row],[Int Finish R Value]]</f>
        <v>#REF!</v>
      </c>
      <c r="Z316" t="e">
        <f>1/Table4[[#This Row],[Total R value]]</f>
        <v>#REF!</v>
      </c>
      <c r="AA316" t="e">
        <f>Table4[[#This Row],[Int Finish Mass]]+Table4[[#This Row],[Ext Finish Mass]]+Table4[[#This Row],[Base Mass]]</f>
        <v>#REF!</v>
      </c>
    </row>
    <row r="317" spans="3:27" x14ac:dyDescent="0.35">
      <c r="C317" t="str">
        <f>_xlfn.CONCAT(Table4[[#This Row],[System Name (Short)]],"_",Table4[[#This Row],[Ext Finish Name (Short)]],"_",Table4[[#This Row],[Int Finish Name (Short)]])</f>
        <v>0_0_0</v>
      </c>
      <c r="E317">
        <f>_xlfn.XLOOKUP(Table4[[#This Row],[Base System]],BASE_SYSTEM_TABLE[System Name],BASE_SYSTEM_TABLE[System Name (Short)],FALSE)</f>
        <v>0</v>
      </c>
      <c r="F317">
        <f>_xlfn.XLOOKUP(Table4[[#This Row],[Base System]],BASE_SYSTEM_TABLE[System Name],BASE_SYSTEM_TABLE[System Type],FALSE)</f>
        <v>0</v>
      </c>
      <c r="G317">
        <f>_xlfn.XLOOKUP(Table4[[#This Row],[Base System]],BASE_SYSTEM_TABLE[System Name],BASE_SYSTEM_TABLE[System Subtype],FALSE)</f>
        <v>0</v>
      </c>
      <c r="H317">
        <f>_xlfn.XLOOKUP(Table4[[#This Row],[Base System]],BASE_SYSTEM_TABLE[System Name],BASE_SYSTEM_TABLE[Construction Type (Framed or Planar)],FALSE)</f>
        <v>0</v>
      </c>
      <c r="I317" t="e">
        <f>GETPIVOTDATA("Sum of A1-A3 Fossil kg CO2e/m^2 wall area",'COMPONENT PIVOT REF'!$A$3,"System Name",Table4[[#This Row],[Base System]])</f>
        <v>#REF!</v>
      </c>
      <c r="J317" t="e">
        <f>GETPIVOTDATA("Sum of  R value (m^2-K/W)",'COMPONENT PIVOT REF'!$A$3,"System Name",Table4[[#This Row],[Base System]])</f>
        <v>#REF!</v>
      </c>
      <c r="K317" t="e">
        <f>GETPIVOTDATA("Sum of Total Mass per m^2 (kg)",'COMPONENT PIVOT REF'!$A$3,"System Name",Table4[[#This Row],[Base System]])</f>
        <v>#REF!</v>
      </c>
      <c r="M317">
        <f>_xlfn.XLOOKUP(Table4[[#This Row],[Ext Finish]],Master_Table4[System Name],Master_Table4[System Name (Short)],FALSE)</f>
        <v>0</v>
      </c>
      <c r="N317">
        <f>_xlfn.XLOOKUP(Table4[[#This Row],[Ext Finish]],Master_Table4[System Name],Master_Table4[Compatible Systems],FALSE)</f>
        <v>0</v>
      </c>
      <c r="O317" t="str">
        <f>IF(ISNUMBER(SEARCH(Table4[[#This Row],[MMC Method]],Table4[[#This Row],[Compatible Systems]])),"YES","NO")</f>
        <v>YES</v>
      </c>
      <c r="P317" t="e">
        <f>GETPIVOTDATA("Sum of A1-A3 Fossil kg CO2e/m^2 wall area",'COMPONENT PIVOT REF'!$I$3,"System Name",Table4[[#This Row],[Ext Finish]])</f>
        <v>#REF!</v>
      </c>
      <c r="Q317" t="e">
        <f>GETPIVOTDATA("Sum of  R value (m^2-K/W)",'COMPONENT PIVOT REF'!$I$3,"System Name",Table4[[#This Row],[Ext Finish]])</f>
        <v>#REF!</v>
      </c>
      <c r="R317" t="e">
        <f>GETPIVOTDATA("Sum of Total Mass per m^2 (kg)",'COMPONENT PIVOT REF'!$I$3,"System Name",Table4[[#This Row],[Ext Finish]])</f>
        <v>#REF!</v>
      </c>
      <c r="T317">
        <f>_xlfn.XLOOKUP(Table4[[#This Row],[Int Finish]],Master_Table6[System Name],Master_Table6[System Name (Short)],FALSE)</f>
        <v>0</v>
      </c>
      <c r="U317" t="e">
        <f>GETPIVOTDATA("Sum of A1-A3 Fossil kg CO2e/m^2 wall area",'COMPONENT PIVOT REF'!$P$3,"System Name",Table4[[#This Row],[Int Finish]])</f>
        <v>#REF!</v>
      </c>
      <c r="V317" t="e">
        <f>GETPIVOTDATA("Sum of  R value (m^2-K/W)",'COMPONENT PIVOT REF'!$P$3,"System Name",Table4[[#This Row],[Int Finish]])</f>
        <v>#REF!</v>
      </c>
      <c r="W317" t="e">
        <f>GETPIVOTDATA("Sum of Total Mass per m^2 (kg)",'COMPONENT PIVOT REF'!$P$3,"System Name",Table4[[#This Row],[Int Finish]])</f>
        <v>#REF!</v>
      </c>
      <c r="X317" t="e">
        <f>Table4[[#This Row],[Ext Finish GWP]]+Table4[[#This Row],[Base GWP]]+Table4[[#This Row],[Int Finish GWP]]</f>
        <v>#REF!</v>
      </c>
      <c r="Y317" t="e">
        <f>Table4[[#This Row],[Ext Finish R Value]]+Table4[[#This Row],[Base R Value]]+Table4[[#This Row],[Int Finish R Value]]</f>
        <v>#REF!</v>
      </c>
      <c r="Z317" t="e">
        <f>1/Table4[[#This Row],[Total R value]]</f>
        <v>#REF!</v>
      </c>
      <c r="AA317" t="e">
        <f>Table4[[#This Row],[Int Finish Mass]]+Table4[[#This Row],[Ext Finish Mass]]+Table4[[#This Row],[Base Mass]]</f>
        <v>#REF!</v>
      </c>
    </row>
    <row r="318" spans="3:27" x14ac:dyDescent="0.35">
      <c r="C318" t="str">
        <f>_xlfn.CONCAT(Table4[[#This Row],[System Name (Short)]],"_",Table4[[#This Row],[Ext Finish Name (Short)]],"_",Table4[[#This Row],[Int Finish Name (Short)]])</f>
        <v>0_0_0</v>
      </c>
      <c r="E318">
        <f>_xlfn.XLOOKUP(Table4[[#This Row],[Base System]],BASE_SYSTEM_TABLE[System Name],BASE_SYSTEM_TABLE[System Name (Short)],FALSE)</f>
        <v>0</v>
      </c>
      <c r="F318">
        <f>_xlfn.XLOOKUP(Table4[[#This Row],[Base System]],BASE_SYSTEM_TABLE[System Name],BASE_SYSTEM_TABLE[System Type],FALSE)</f>
        <v>0</v>
      </c>
      <c r="G318">
        <f>_xlfn.XLOOKUP(Table4[[#This Row],[Base System]],BASE_SYSTEM_TABLE[System Name],BASE_SYSTEM_TABLE[System Subtype],FALSE)</f>
        <v>0</v>
      </c>
      <c r="H318">
        <f>_xlfn.XLOOKUP(Table4[[#This Row],[Base System]],BASE_SYSTEM_TABLE[System Name],BASE_SYSTEM_TABLE[Construction Type (Framed or Planar)],FALSE)</f>
        <v>0</v>
      </c>
      <c r="I318" t="e">
        <f>GETPIVOTDATA("Sum of A1-A3 Fossil kg CO2e/m^2 wall area",'COMPONENT PIVOT REF'!$A$3,"System Name",Table4[[#This Row],[Base System]])</f>
        <v>#REF!</v>
      </c>
      <c r="J318" t="e">
        <f>GETPIVOTDATA("Sum of  R value (m^2-K/W)",'COMPONENT PIVOT REF'!$A$3,"System Name",Table4[[#This Row],[Base System]])</f>
        <v>#REF!</v>
      </c>
      <c r="K318" t="e">
        <f>GETPIVOTDATA("Sum of Total Mass per m^2 (kg)",'COMPONENT PIVOT REF'!$A$3,"System Name",Table4[[#This Row],[Base System]])</f>
        <v>#REF!</v>
      </c>
      <c r="M318">
        <f>_xlfn.XLOOKUP(Table4[[#This Row],[Ext Finish]],Master_Table4[System Name],Master_Table4[System Name (Short)],FALSE)</f>
        <v>0</v>
      </c>
      <c r="N318">
        <f>_xlfn.XLOOKUP(Table4[[#This Row],[Ext Finish]],Master_Table4[System Name],Master_Table4[Compatible Systems],FALSE)</f>
        <v>0</v>
      </c>
      <c r="O318" t="str">
        <f>IF(ISNUMBER(SEARCH(Table4[[#This Row],[MMC Method]],Table4[[#This Row],[Compatible Systems]])),"YES","NO")</f>
        <v>YES</v>
      </c>
      <c r="P318" t="e">
        <f>GETPIVOTDATA("Sum of A1-A3 Fossil kg CO2e/m^2 wall area",'COMPONENT PIVOT REF'!$I$3,"System Name",Table4[[#This Row],[Ext Finish]])</f>
        <v>#REF!</v>
      </c>
      <c r="Q318" t="e">
        <f>GETPIVOTDATA("Sum of  R value (m^2-K/W)",'COMPONENT PIVOT REF'!$I$3,"System Name",Table4[[#This Row],[Ext Finish]])</f>
        <v>#REF!</v>
      </c>
      <c r="R318" t="e">
        <f>GETPIVOTDATA("Sum of Total Mass per m^2 (kg)",'COMPONENT PIVOT REF'!$I$3,"System Name",Table4[[#This Row],[Ext Finish]])</f>
        <v>#REF!</v>
      </c>
      <c r="T318">
        <f>_xlfn.XLOOKUP(Table4[[#This Row],[Int Finish]],Master_Table6[System Name],Master_Table6[System Name (Short)],FALSE)</f>
        <v>0</v>
      </c>
      <c r="U318" t="e">
        <f>GETPIVOTDATA("Sum of A1-A3 Fossil kg CO2e/m^2 wall area",'COMPONENT PIVOT REF'!$P$3,"System Name",Table4[[#This Row],[Int Finish]])</f>
        <v>#REF!</v>
      </c>
      <c r="V318" t="e">
        <f>GETPIVOTDATA("Sum of  R value (m^2-K/W)",'COMPONENT PIVOT REF'!$P$3,"System Name",Table4[[#This Row],[Int Finish]])</f>
        <v>#REF!</v>
      </c>
      <c r="W318" t="e">
        <f>GETPIVOTDATA("Sum of Total Mass per m^2 (kg)",'COMPONENT PIVOT REF'!$P$3,"System Name",Table4[[#This Row],[Int Finish]])</f>
        <v>#REF!</v>
      </c>
      <c r="X318" t="e">
        <f>Table4[[#This Row],[Ext Finish GWP]]+Table4[[#This Row],[Base GWP]]+Table4[[#This Row],[Int Finish GWP]]</f>
        <v>#REF!</v>
      </c>
      <c r="Y318" t="e">
        <f>Table4[[#This Row],[Ext Finish R Value]]+Table4[[#This Row],[Base R Value]]+Table4[[#This Row],[Int Finish R Value]]</f>
        <v>#REF!</v>
      </c>
      <c r="Z318" t="e">
        <f>1/Table4[[#This Row],[Total R value]]</f>
        <v>#REF!</v>
      </c>
      <c r="AA318" t="e">
        <f>Table4[[#This Row],[Int Finish Mass]]+Table4[[#This Row],[Ext Finish Mass]]+Table4[[#This Row],[Base Mass]]</f>
        <v>#REF!</v>
      </c>
    </row>
    <row r="319" spans="3:27" x14ac:dyDescent="0.35">
      <c r="C319" t="str">
        <f>_xlfn.CONCAT(Table4[[#This Row],[System Name (Short)]],"_",Table4[[#This Row],[Ext Finish Name (Short)]],"_",Table4[[#This Row],[Int Finish Name (Short)]])</f>
        <v>0_0_0</v>
      </c>
      <c r="E319">
        <f>_xlfn.XLOOKUP(Table4[[#This Row],[Base System]],BASE_SYSTEM_TABLE[System Name],BASE_SYSTEM_TABLE[System Name (Short)],FALSE)</f>
        <v>0</v>
      </c>
      <c r="F319">
        <f>_xlfn.XLOOKUP(Table4[[#This Row],[Base System]],BASE_SYSTEM_TABLE[System Name],BASE_SYSTEM_TABLE[System Type],FALSE)</f>
        <v>0</v>
      </c>
      <c r="G319">
        <f>_xlfn.XLOOKUP(Table4[[#This Row],[Base System]],BASE_SYSTEM_TABLE[System Name],BASE_SYSTEM_TABLE[System Subtype],FALSE)</f>
        <v>0</v>
      </c>
      <c r="H319">
        <f>_xlfn.XLOOKUP(Table4[[#This Row],[Base System]],BASE_SYSTEM_TABLE[System Name],BASE_SYSTEM_TABLE[Construction Type (Framed or Planar)],FALSE)</f>
        <v>0</v>
      </c>
      <c r="I319" t="e">
        <f>GETPIVOTDATA("Sum of A1-A3 Fossil kg CO2e/m^2 wall area",'COMPONENT PIVOT REF'!$A$3,"System Name",Table4[[#This Row],[Base System]])</f>
        <v>#REF!</v>
      </c>
      <c r="J319" t="e">
        <f>GETPIVOTDATA("Sum of  R value (m^2-K/W)",'COMPONENT PIVOT REF'!$A$3,"System Name",Table4[[#This Row],[Base System]])</f>
        <v>#REF!</v>
      </c>
      <c r="K319" t="e">
        <f>GETPIVOTDATA("Sum of Total Mass per m^2 (kg)",'COMPONENT PIVOT REF'!$A$3,"System Name",Table4[[#This Row],[Base System]])</f>
        <v>#REF!</v>
      </c>
      <c r="M319">
        <f>_xlfn.XLOOKUP(Table4[[#This Row],[Ext Finish]],Master_Table4[System Name],Master_Table4[System Name (Short)],FALSE)</f>
        <v>0</v>
      </c>
      <c r="N319">
        <f>_xlfn.XLOOKUP(Table4[[#This Row],[Ext Finish]],Master_Table4[System Name],Master_Table4[Compatible Systems],FALSE)</f>
        <v>0</v>
      </c>
      <c r="O319" t="str">
        <f>IF(ISNUMBER(SEARCH(Table4[[#This Row],[MMC Method]],Table4[[#This Row],[Compatible Systems]])),"YES","NO")</f>
        <v>YES</v>
      </c>
      <c r="P319" t="e">
        <f>GETPIVOTDATA("Sum of A1-A3 Fossil kg CO2e/m^2 wall area",'COMPONENT PIVOT REF'!$I$3,"System Name",Table4[[#This Row],[Ext Finish]])</f>
        <v>#REF!</v>
      </c>
      <c r="Q319" t="e">
        <f>GETPIVOTDATA("Sum of  R value (m^2-K/W)",'COMPONENT PIVOT REF'!$I$3,"System Name",Table4[[#This Row],[Ext Finish]])</f>
        <v>#REF!</v>
      </c>
      <c r="R319" t="e">
        <f>GETPIVOTDATA("Sum of Total Mass per m^2 (kg)",'COMPONENT PIVOT REF'!$I$3,"System Name",Table4[[#This Row],[Ext Finish]])</f>
        <v>#REF!</v>
      </c>
      <c r="T319">
        <f>_xlfn.XLOOKUP(Table4[[#This Row],[Int Finish]],Master_Table6[System Name],Master_Table6[System Name (Short)],FALSE)</f>
        <v>0</v>
      </c>
      <c r="U319" t="e">
        <f>GETPIVOTDATA("Sum of A1-A3 Fossil kg CO2e/m^2 wall area",'COMPONENT PIVOT REF'!$P$3,"System Name",Table4[[#This Row],[Int Finish]])</f>
        <v>#REF!</v>
      </c>
      <c r="V319" t="e">
        <f>GETPIVOTDATA("Sum of  R value (m^2-K/W)",'COMPONENT PIVOT REF'!$P$3,"System Name",Table4[[#This Row],[Int Finish]])</f>
        <v>#REF!</v>
      </c>
      <c r="W319" t="e">
        <f>GETPIVOTDATA("Sum of Total Mass per m^2 (kg)",'COMPONENT PIVOT REF'!$P$3,"System Name",Table4[[#This Row],[Int Finish]])</f>
        <v>#REF!</v>
      </c>
      <c r="X319" t="e">
        <f>Table4[[#This Row],[Ext Finish GWP]]+Table4[[#This Row],[Base GWP]]+Table4[[#This Row],[Int Finish GWP]]</f>
        <v>#REF!</v>
      </c>
      <c r="Y319" t="e">
        <f>Table4[[#This Row],[Ext Finish R Value]]+Table4[[#This Row],[Base R Value]]+Table4[[#This Row],[Int Finish R Value]]</f>
        <v>#REF!</v>
      </c>
      <c r="Z319" t="e">
        <f>1/Table4[[#This Row],[Total R value]]</f>
        <v>#REF!</v>
      </c>
      <c r="AA319" t="e">
        <f>Table4[[#This Row],[Int Finish Mass]]+Table4[[#This Row],[Ext Finish Mass]]+Table4[[#This Row],[Base Mass]]</f>
        <v>#REF!</v>
      </c>
    </row>
    <row r="320" spans="3:27" x14ac:dyDescent="0.35">
      <c r="C320" t="str">
        <f>_xlfn.CONCAT(Table4[[#This Row],[System Name (Short)]],"_",Table4[[#This Row],[Ext Finish Name (Short)]],"_",Table4[[#This Row],[Int Finish Name (Short)]])</f>
        <v>0_0_0</v>
      </c>
      <c r="E320">
        <f>_xlfn.XLOOKUP(Table4[[#This Row],[Base System]],BASE_SYSTEM_TABLE[System Name],BASE_SYSTEM_TABLE[System Name (Short)],FALSE)</f>
        <v>0</v>
      </c>
      <c r="F320">
        <f>_xlfn.XLOOKUP(Table4[[#This Row],[Base System]],BASE_SYSTEM_TABLE[System Name],BASE_SYSTEM_TABLE[System Type],FALSE)</f>
        <v>0</v>
      </c>
      <c r="G320">
        <f>_xlfn.XLOOKUP(Table4[[#This Row],[Base System]],BASE_SYSTEM_TABLE[System Name],BASE_SYSTEM_TABLE[System Subtype],FALSE)</f>
        <v>0</v>
      </c>
      <c r="H320">
        <f>_xlfn.XLOOKUP(Table4[[#This Row],[Base System]],BASE_SYSTEM_TABLE[System Name],BASE_SYSTEM_TABLE[Construction Type (Framed or Planar)],FALSE)</f>
        <v>0</v>
      </c>
      <c r="I320" t="e">
        <f>GETPIVOTDATA("Sum of A1-A3 Fossil kg CO2e/m^2 wall area",'COMPONENT PIVOT REF'!$A$3,"System Name",Table4[[#This Row],[Base System]])</f>
        <v>#REF!</v>
      </c>
      <c r="J320" t="e">
        <f>GETPIVOTDATA("Sum of  R value (m^2-K/W)",'COMPONENT PIVOT REF'!$A$3,"System Name",Table4[[#This Row],[Base System]])</f>
        <v>#REF!</v>
      </c>
      <c r="K320" t="e">
        <f>GETPIVOTDATA("Sum of Total Mass per m^2 (kg)",'COMPONENT PIVOT REF'!$A$3,"System Name",Table4[[#This Row],[Base System]])</f>
        <v>#REF!</v>
      </c>
      <c r="M320">
        <f>_xlfn.XLOOKUP(Table4[[#This Row],[Ext Finish]],Master_Table4[System Name],Master_Table4[System Name (Short)],FALSE)</f>
        <v>0</v>
      </c>
      <c r="N320">
        <f>_xlfn.XLOOKUP(Table4[[#This Row],[Ext Finish]],Master_Table4[System Name],Master_Table4[Compatible Systems],FALSE)</f>
        <v>0</v>
      </c>
      <c r="O320" t="str">
        <f>IF(ISNUMBER(SEARCH(Table4[[#This Row],[MMC Method]],Table4[[#This Row],[Compatible Systems]])),"YES","NO")</f>
        <v>YES</v>
      </c>
      <c r="P320" t="e">
        <f>GETPIVOTDATA("Sum of A1-A3 Fossil kg CO2e/m^2 wall area",'COMPONENT PIVOT REF'!$I$3,"System Name",Table4[[#This Row],[Ext Finish]])</f>
        <v>#REF!</v>
      </c>
      <c r="Q320" t="e">
        <f>GETPIVOTDATA("Sum of  R value (m^2-K/W)",'COMPONENT PIVOT REF'!$I$3,"System Name",Table4[[#This Row],[Ext Finish]])</f>
        <v>#REF!</v>
      </c>
      <c r="R320" t="e">
        <f>GETPIVOTDATA("Sum of Total Mass per m^2 (kg)",'COMPONENT PIVOT REF'!$I$3,"System Name",Table4[[#This Row],[Ext Finish]])</f>
        <v>#REF!</v>
      </c>
      <c r="T320">
        <f>_xlfn.XLOOKUP(Table4[[#This Row],[Int Finish]],Master_Table6[System Name],Master_Table6[System Name (Short)],FALSE)</f>
        <v>0</v>
      </c>
      <c r="U320" t="e">
        <f>GETPIVOTDATA("Sum of A1-A3 Fossil kg CO2e/m^2 wall area",'COMPONENT PIVOT REF'!$P$3,"System Name",Table4[[#This Row],[Int Finish]])</f>
        <v>#REF!</v>
      </c>
      <c r="V320" t="e">
        <f>GETPIVOTDATA("Sum of  R value (m^2-K/W)",'COMPONENT PIVOT REF'!$P$3,"System Name",Table4[[#This Row],[Int Finish]])</f>
        <v>#REF!</v>
      </c>
      <c r="W320" t="e">
        <f>GETPIVOTDATA("Sum of Total Mass per m^2 (kg)",'COMPONENT PIVOT REF'!$P$3,"System Name",Table4[[#This Row],[Int Finish]])</f>
        <v>#REF!</v>
      </c>
      <c r="X320" t="e">
        <f>Table4[[#This Row],[Ext Finish GWP]]+Table4[[#This Row],[Base GWP]]+Table4[[#This Row],[Int Finish GWP]]</f>
        <v>#REF!</v>
      </c>
      <c r="Y320" t="e">
        <f>Table4[[#This Row],[Ext Finish R Value]]+Table4[[#This Row],[Base R Value]]+Table4[[#This Row],[Int Finish R Value]]</f>
        <v>#REF!</v>
      </c>
      <c r="Z320" t="e">
        <f>1/Table4[[#This Row],[Total R value]]</f>
        <v>#REF!</v>
      </c>
      <c r="AA320" t="e">
        <f>Table4[[#This Row],[Int Finish Mass]]+Table4[[#This Row],[Ext Finish Mass]]+Table4[[#This Row],[Base Mass]]</f>
        <v>#REF!</v>
      </c>
    </row>
    <row r="321" spans="3:27" x14ac:dyDescent="0.35">
      <c r="C321" t="str">
        <f>_xlfn.CONCAT(Table4[[#This Row],[System Name (Short)]],"_",Table4[[#This Row],[Ext Finish Name (Short)]],"_",Table4[[#This Row],[Int Finish Name (Short)]])</f>
        <v>0_0_0</v>
      </c>
      <c r="E321">
        <f>_xlfn.XLOOKUP(Table4[[#This Row],[Base System]],BASE_SYSTEM_TABLE[System Name],BASE_SYSTEM_TABLE[System Name (Short)],FALSE)</f>
        <v>0</v>
      </c>
      <c r="F321">
        <f>_xlfn.XLOOKUP(Table4[[#This Row],[Base System]],BASE_SYSTEM_TABLE[System Name],BASE_SYSTEM_TABLE[System Type],FALSE)</f>
        <v>0</v>
      </c>
      <c r="G321">
        <f>_xlfn.XLOOKUP(Table4[[#This Row],[Base System]],BASE_SYSTEM_TABLE[System Name],BASE_SYSTEM_TABLE[System Subtype],FALSE)</f>
        <v>0</v>
      </c>
      <c r="H321">
        <f>_xlfn.XLOOKUP(Table4[[#This Row],[Base System]],BASE_SYSTEM_TABLE[System Name],BASE_SYSTEM_TABLE[Construction Type (Framed or Planar)],FALSE)</f>
        <v>0</v>
      </c>
      <c r="I321" t="e">
        <f>GETPIVOTDATA("Sum of A1-A3 Fossil kg CO2e/m^2 wall area",'COMPONENT PIVOT REF'!$A$3,"System Name",Table4[[#This Row],[Base System]])</f>
        <v>#REF!</v>
      </c>
      <c r="J321" t="e">
        <f>GETPIVOTDATA("Sum of  R value (m^2-K/W)",'COMPONENT PIVOT REF'!$A$3,"System Name",Table4[[#This Row],[Base System]])</f>
        <v>#REF!</v>
      </c>
      <c r="K321" t="e">
        <f>GETPIVOTDATA("Sum of Total Mass per m^2 (kg)",'COMPONENT PIVOT REF'!$A$3,"System Name",Table4[[#This Row],[Base System]])</f>
        <v>#REF!</v>
      </c>
      <c r="M321">
        <f>_xlfn.XLOOKUP(Table4[[#This Row],[Ext Finish]],Master_Table4[System Name],Master_Table4[System Name (Short)],FALSE)</f>
        <v>0</v>
      </c>
      <c r="N321">
        <f>_xlfn.XLOOKUP(Table4[[#This Row],[Ext Finish]],Master_Table4[System Name],Master_Table4[Compatible Systems],FALSE)</f>
        <v>0</v>
      </c>
      <c r="O321" t="str">
        <f>IF(ISNUMBER(SEARCH(Table4[[#This Row],[MMC Method]],Table4[[#This Row],[Compatible Systems]])),"YES","NO")</f>
        <v>YES</v>
      </c>
      <c r="P321" t="e">
        <f>GETPIVOTDATA("Sum of A1-A3 Fossil kg CO2e/m^2 wall area",'COMPONENT PIVOT REF'!$I$3,"System Name",Table4[[#This Row],[Ext Finish]])</f>
        <v>#REF!</v>
      </c>
      <c r="Q321" t="e">
        <f>GETPIVOTDATA("Sum of  R value (m^2-K/W)",'COMPONENT PIVOT REF'!$I$3,"System Name",Table4[[#This Row],[Ext Finish]])</f>
        <v>#REF!</v>
      </c>
      <c r="R321" t="e">
        <f>GETPIVOTDATA("Sum of Total Mass per m^2 (kg)",'COMPONENT PIVOT REF'!$I$3,"System Name",Table4[[#This Row],[Ext Finish]])</f>
        <v>#REF!</v>
      </c>
      <c r="T321">
        <f>_xlfn.XLOOKUP(Table4[[#This Row],[Int Finish]],Master_Table6[System Name],Master_Table6[System Name (Short)],FALSE)</f>
        <v>0</v>
      </c>
      <c r="U321" t="e">
        <f>GETPIVOTDATA("Sum of A1-A3 Fossil kg CO2e/m^2 wall area",'COMPONENT PIVOT REF'!$P$3,"System Name",Table4[[#This Row],[Int Finish]])</f>
        <v>#REF!</v>
      </c>
      <c r="V321" t="e">
        <f>GETPIVOTDATA("Sum of  R value (m^2-K/W)",'COMPONENT PIVOT REF'!$P$3,"System Name",Table4[[#This Row],[Int Finish]])</f>
        <v>#REF!</v>
      </c>
      <c r="W321" t="e">
        <f>GETPIVOTDATA("Sum of Total Mass per m^2 (kg)",'COMPONENT PIVOT REF'!$P$3,"System Name",Table4[[#This Row],[Int Finish]])</f>
        <v>#REF!</v>
      </c>
      <c r="X321" t="e">
        <f>Table4[[#This Row],[Ext Finish GWP]]+Table4[[#This Row],[Base GWP]]+Table4[[#This Row],[Int Finish GWP]]</f>
        <v>#REF!</v>
      </c>
      <c r="Y321" t="e">
        <f>Table4[[#This Row],[Ext Finish R Value]]+Table4[[#This Row],[Base R Value]]+Table4[[#This Row],[Int Finish R Value]]</f>
        <v>#REF!</v>
      </c>
      <c r="Z321" t="e">
        <f>1/Table4[[#This Row],[Total R value]]</f>
        <v>#REF!</v>
      </c>
      <c r="AA321" t="e">
        <f>Table4[[#This Row],[Int Finish Mass]]+Table4[[#This Row],[Ext Finish Mass]]+Table4[[#This Row],[Base Mass]]</f>
        <v>#REF!</v>
      </c>
    </row>
    <row r="322" spans="3:27" x14ac:dyDescent="0.35">
      <c r="C322" t="str">
        <f>_xlfn.CONCAT(Table4[[#This Row],[System Name (Short)]],"_",Table4[[#This Row],[Ext Finish Name (Short)]],"_",Table4[[#This Row],[Int Finish Name (Short)]])</f>
        <v>0_0_0</v>
      </c>
      <c r="E322">
        <f>_xlfn.XLOOKUP(Table4[[#This Row],[Base System]],BASE_SYSTEM_TABLE[System Name],BASE_SYSTEM_TABLE[System Name (Short)],FALSE)</f>
        <v>0</v>
      </c>
      <c r="F322">
        <f>_xlfn.XLOOKUP(Table4[[#This Row],[Base System]],BASE_SYSTEM_TABLE[System Name],BASE_SYSTEM_TABLE[System Type],FALSE)</f>
        <v>0</v>
      </c>
      <c r="G322">
        <f>_xlfn.XLOOKUP(Table4[[#This Row],[Base System]],BASE_SYSTEM_TABLE[System Name],BASE_SYSTEM_TABLE[System Subtype],FALSE)</f>
        <v>0</v>
      </c>
      <c r="H322">
        <f>_xlfn.XLOOKUP(Table4[[#This Row],[Base System]],BASE_SYSTEM_TABLE[System Name],BASE_SYSTEM_TABLE[Construction Type (Framed or Planar)],FALSE)</f>
        <v>0</v>
      </c>
      <c r="I322" t="e">
        <f>GETPIVOTDATA("Sum of A1-A3 Fossil kg CO2e/m^2 wall area",'COMPONENT PIVOT REF'!$A$3,"System Name",Table4[[#This Row],[Base System]])</f>
        <v>#REF!</v>
      </c>
      <c r="J322" t="e">
        <f>GETPIVOTDATA("Sum of  R value (m^2-K/W)",'COMPONENT PIVOT REF'!$A$3,"System Name",Table4[[#This Row],[Base System]])</f>
        <v>#REF!</v>
      </c>
      <c r="K322" t="e">
        <f>GETPIVOTDATA("Sum of Total Mass per m^2 (kg)",'COMPONENT PIVOT REF'!$A$3,"System Name",Table4[[#This Row],[Base System]])</f>
        <v>#REF!</v>
      </c>
      <c r="M322">
        <f>_xlfn.XLOOKUP(Table4[[#This Row],[Ext Finish]],Master_Table4[System Name],Master_Table4[System Name (Short)],FALSE)</f>
        <v>0</v>
      </c>
      <c r="N322">
        <f>_xlfn.XLOOKUP(Table4[[#This Row],[Ext Finish]],Master_Table4[System Name],Master_Table4[Compatible Systems],FALSE)</f>
        <v>0</v>
      </c>
      <c r="O322" t="str">
        <f>IF(ISNUMBER(SEARCH(Table4[[#This Row],[MMC Method]],Table4[[#This Row],[Compatible Systems]])),"YES","NO")</f>
        <v>YES</v>
      </c>
      <c r="P322" t="e">
        <f>GETPIVOTDATA("Sum of A1-A3 Fossil kg CO2e/m^2 wall area",'COMPONENT PIVOT REF'!$I$3,"System Name",Table4[[#This Row],[Ext Finish]])</f>
        <v>#REF!</v>
      </c>
      <c r="Q322" t="e">
        <f>GETPIVOTDATA("Sum of  R value (m^2-K/W)",'COMPONENT PIVOT REF'!$I$3,"System Name",Table4[[#This Row],[Ext Finish]])</f>
        <v>#REF!</v>
      </c>
      <c r="R322" t="e">
        <f>GETPIVOTDATA("Sum of Total Mass per m^2 (kg)",'COMPONENT PIVOT REF'!$I$3,"System Name",Table4[[#This Row],[Ext Finish]])</f>
        <v>#REF!</v>
      </c>
      <c r="T322">
        <f>_xlfn.XLOOKUP(Table4[[#This Row],[Int Finish]],Master_Table6[System Name],Master_Table6[System Name (Short)],FALSE)</f>
        <v>0</v>
      </c>
      <c r="U322" t="e">
        <f>GETPIVOTDATA("Sum of A1-A3 Fossil kg CO2e/m^2 wall area",'COMPONENT PIVOT REF'!$P$3,"System Name",Table4[[#This Row],[Int Finish]])</f>
        <v>#REF!</v>
      </c>
      <c r="V322" t="e">
        <f>GETPIVOTDATA("Sum of  R value (m^2-K/W)",'COMPONENT PIVOT REF'!$P$3,"System Name",Table4[[#This Row],[Int Finish]])</f>
        <v>#REF!</v>
      </c>
      <c r="W322" t="e">
        <f>GETPIVOTDATA("Sum of Total Mass per m^2 (kg)",'COMPONENT PIVOT REF'!$P$3,"System Name",Table4[[#This Row],[Int Finish]])</f>
        <v>#REF!</v>
      </c>
      <c r="X322" t="e">
        <f>Table4[[#This Row],[Ext Finish GWP]]+Table4[[#This Row],[Base GWP]]+Table4[[#This Row],[Int Finish GWP]]</f>
        <v>#REF!</v>
      </c>
      <c r="Y322" t="e">
        <f>Table4[[#This Row],[Ext Finish R Value]]+Table4[[#This Row],[Base R Value]]+Table4[[#This Row],[Int Finish R Value]]</f>
        <v>#REF!</v>
      </c>
      <c r="Z322" t="e">
        <f>1/Table4[[#This Row],[Total R value]]</f>
        <v>#REF!</v>
      </c>
      <c r="AA322" t="e">
        <f>Table4[[#This Row],[Int Finish Mass]]+Table4[[#This Row],[Ext Finish Mass]]+Table4[[#This Row],[Base Mass]]</f>
        <v>#REF!</v>
      </c>
    </row>
    <row r="323" spans="3:27" x14ac:dyDescent="0.35">
      <c r="C323" t="str">
        <f>_xlfn.CONCAT(Table4[[#This Row],[System Name (Short)]],"_",Table4[[#This Row],[Ext Finish Name (Short)]],"_",Table4[[#This Row],[Int Finish Name (Short)]])</f>
        <v>0_0_0</v>
      </c>
      <c r="E323">
        <f>_xlfn.XLOOKUP(Table4[[#This Row],[Base System]],BASE_SYSTEM_TABLE[System Name],BASE_SYSTEM_TABLE[System Name (Short)],FALSE)</f>
        <v>0</v>
      </c>
      <c r="F323">
        <f>_xlfn.XLOOKUP(Table4[[#This Row],[Base System]],BASE_SYSTEM_TABLE[System Name],BASE_SYSTEM_TABLE[System Type],FALSE)</f>
        <v>0</v>
      </c>
      <c r="G323">
        <f>_xlfn.XLOOKUP(Table4[[#This Row],[Base System]],BASE_SYSTEM_TABLE[System Name],BASE_SYSTEM_TABLE[System Subtype],FALSE)</f>
        <v>0</v>
      </c>
      <c r="H323">
        <f>_xlfn.XLOOKUP(Table4[[#This Row],[Base System]],BASE_SYSTEM_TABLE[System Name],BASE_SYSTEM_TABLE[Construction Type (Framed or Planar)],FALSE)</f>
        <v>0</v>
      </c>
      <c r="I323" t="e">
        <f>GETPIVOTDATA("Sum of A1-A3 Fossil kg CO2e/m^2 wall area",'COMPONENT PIVOT REF'!$A$3,"System Name",Table4[[#This Row],[Base System]])</f>
        <v>#REF!</v>
      </c>
      <c r="J323" t="e">
        <f>GETPIVOTDATA("Sum of  R value (m^2-K/W)",'COMPONENT PIVOT REF'!$A$3,"System Name",Table4[[#This Row],[Base System]])</f>
        <v>#REF!</v>
      </c>
      <c r="K323" t="e">
        <f>GETPIVOTDATA("Sum of Total Mass per m^2 (kg)",'COMPONENT PIVOT REF'!$A$3,"System Name",Table4[[#This Row],[Base System]])</f>
        <v>#REF!</v>
      </c>
      <c r="M323">
        <f>_xlfn.XLOOKUP(Table4[[#This Row],[Ext Finish]],Master_Table4[System Name],Master_Table4[System Name (Short)],FALSE)</f>
        <v>0</v>
      </c>
      <c r="N323">
        <f>_xlfn.XLOOKUP(Table4[[#This Row],[Ext Finish]],Master_Table4[System Name],Master_Table4[Compatible Systems],FALSE)</f>
        <v>0</v>
      </c>
      <c r="O323" t="str">
        <f>IF(ISNUMBER(SEARCH(Table4[[#This Row],[MMC Method]],Table4[[#This Row],[Compatible Systems]])),"YES","NO")</f>
        <v>YES</v>
      </c>
      <c r="P323" t="e">
        <f>GETPIVOTDATA("Sum of A1-A3 Fossil kg CO2e/m^2 wall area",'COMPONENT PIVOT REF'!$I$3,"System Name",Table4[[#This Row],[Ext Finish]])</f>
        <v>#REF!</v>
      </c>
      <c r="Q323" t="e">
        <f>GETPIVOTDATA("Sum of  R value (m^2-K/W)",'COMPONENT PIVOT REF'!$I$3,"System Name",Table4[[#This Row],[Ext Finish]])</f>
        <v>#REF!</v>
      </c>
      <c r="R323" t="e">
        <f>GETPIVOTDATA("Sum of Total Mass per m^2 (kg)",'COMPONENT PIVOT REF'!$I$3,"System Name",Table4[[#This Row],[Ext Finish]])</f>
        <v>#REF!</v>
      </c>
      <c r="T323">
        <f>_xlfn.XLOOKUP(Table4[[#This Row],[Int Finish]],Master_Table6[System Name],Master_Table6[System Name (Short)],FALSE)</f>
        <v>0</v>
      </c>
      <c r="U323" t="e">
        <f>GETPIVOTDATA("Sum of A1-A3 Fossil kg CO2e/m^2 wall area",'COMPONENT PIVOT REF'!$P$3,"System Name",Table4[[#This Row],[Int Finish]])</f>
        <v>#REF!</v>
      </c>
      <c r="V323" t="e">
        <f>GETPIVOTDATA("Sum of  R value (m^2-K/W)",'COMPONENT PIVOT REF'!$P$3,"System Name",Table4[[#This Row],[Int Finish]])</f>
        <v>#REF!</v>
      </c>
      <c r="W323" t="e">
        <f>GETPIVOTDATA("Sum of Total Mass per m^2 (kg)",'COMPONENT PIVOT REF'!$P$3,"System Name",Table4[[#This Row],[Int Finish]])</f>
        <v>#REF!</v>
      </c>
      <c r="X323" t="e">
        <f>Table4[[#This Row],[Ext Finish GWP]]+Table4[[#This Row],[Base GWP]]+Table4[[#This Row],[Int Finish GWP]]</f>
        <v>#REF!</v>
      </c>
      <c r="Y323" t="e">
        <f>Table4[[#This Row],[Ext Finish R Value]]+Table4[[#This Row],[Base R Value]]+Table4[[#This Row],[Int Finish R Value]]</f>
        <v>#REF!</v>
      </c>
      <c r="Z323" t="e">
        <f>1/Table4[[#This Row],[Total R value]]</f>
        <v>#REF!</v>
      </c>
      <c r="AA323" t="e">
        <f>Table4[[#This Row],[Int Finish Mass]]+Table4[[#This Row],[Ext Finish Mass]]+Table4[[#This Row],[Base Mass]]</f>
        <v>#REF!</v>
      </c>
    </row>
    <row r="324" spans="3:27" x14ac:dyDescent="0.35">
      <c r="C324" t="str">
        <f>_xlfn.CONCAT(Table4[[#This Row],[System Name (Short)]],"_",Table4[[#This Row],[Ext Finish Name (Short)]],"_",Table4[[#This Row],[Int Finish Name (Short)]])</f>
        <v>0_0_0</v>
      </c>
      <c r="E324">
        <f>_xlfn.XLOOKUP(Table4[[#This Row],[Base System]],BASE_SYSTEM_TABLE[System Name],BASE_SYSTEM_TABLE[System Name (Short)],FALSE)</f>
        <v>0</v>
      </c>
      <c r="F324">
        <f>_xlfn.XLOOKUP(Table4[[#This Row],[Base System]],BASE_SYSTEM_TABLE[System Name],BASE_SYSTEM_TABLE[System Type],FALSE)</f>
        <v>0</v>
      </c>
      <c r="G324">
        <f>_xlfn.XLOOKUP(Table4[[#This Row],[Base System]],BASE_SYSTEM_TABLE[System Name],BASE_SYSTEM_TABLE[System Subtype],FALSE)</f>
        <v>0</v>
      </c>
      <c r="H324">
        <f>_xlfn.XLOOKUP(Table4[[#This Row],[Base System]],BASE_SYSTEM_TABLE[System Name],BASE_SYSTEM_TABLE[Construction Type (Framed or Planar)],FALSE)</f>
        <v>0</v>
      </c>
      <c r="I324" t="e">
        <f>GETPIVOTDATA("Sum of A1-A3 Fossil kg CO2e/m^2 wall area",'COMPONENT PIVOT REF'!$A$3,"System Name",Table4[[#This Row],[Base System]])</f>
        <v>#REF!</v>
      </c>
      <c r="J324" t="e">
        <f>GETPIVOTDATA("Sum of  R value (m^2-K/W)",'COMPONENT PIVOT REF'!$A$3,"System Name",Table4[[#This Row],[Base System]])</f>
        <v>#REF!</v>
      </c>
      <c r="K324" t="e">
        <f>GETPIVOTDATA("Sum of Total Mass per m^2 (kg)",'COMPONENT PIVOT REF'!$A$3,"System Name",Table4[[#This Row],[Base System]])</f>
        <v>#REF!</v>
      </c>
      <c r="M324">
        <f>_xlfn.XLOOKUP(Table4[[#This Row],[Ext Finish]],Master_Table4[System Name],Master_Table4[System Name (Short)],FALSE)</f>
        <v>0</v>
      </c>
      <c r="N324">
        <f>_xlfn.XLOOKUP(Table4[[#This Row],[Ext Finish]],Master_Table4[System Name],Master_Table4[Compatible Systems],FALSE)</f>
        <v>0</v>
      </c>
      <c r="O324" t="str">
        <f>IF(ISNUMBER(SEARCH(Table4[[#This Row],[MMC Method]],Table4[[#This Row],[Compatible Systems]])),"YES","NO")</f>
        <v>YES</v>
      </c>
      <c r="P324" t="e">
        <f>GETPIVOTDATA("Sum of A1-A3 Fossil kg CO2e/m^2 wall area",'COMPONENT PIVOT REF'!$I$3,"System Name",Table4[[#This Row],[Ext Finish]])</f>
        <v>#REF!</v>
      </c>
      <c r="Q324" t="e">
        <f>GETPIVOTDATA("Sum of  R value (m^2-K/W)",'COMPONENT PIVOT REF'!$I$3,"System Name",Table4[[#This Row],[Ext Finish]])</f>
        <v>#REF!</v>
      </c>
      <c r="R324" t="e">
        <f>GETPIVOTDATA("Sum of Total Mass per m^2 (kg)",'COMPONENT PIVOT REF'!$I$3,"System Name",Table4[[#This Row],[Ext Finish]])</f>
        <v>#REF!</v>
      </c>
      <c r="T324">
        <f>_xlfn.XLOOKUP(Table4[[#This Row],[Int Finish]],Master_Table6[System Name],Master_Table6[System Name (Short)],FALSE)</f>
        <v>0</v>
      </c>
      <c r="U324" t="e">
        <f>GETPIVOTDATA("Sum of A1-A3 Fossil kg CO2e/m^2 wall area",'COMPONENT PIVOT REF'!$P$3,"System Name",Table4[[#This Row],[Int Finish]])</f>
        <v>#REF!</v>
      </c>
      <c r="V324" t="e">
        <f>GETPIVOTDATA("Sum of  R value (m^2-K/W)",'COMPONENT PIVOT REF'!$P$3,"System Name",Table4[[#This Row],[Int Finish]])</f>
        <v>#REF!</v>
      </c>
      <c r="W324" t="e">
        <f>GETPIVOTDATA("Sum of Total Mass per m^2 (kg)",'COMPONENT PIVOT REF'!$P$3,"System Name",Table4[[#This Row],[Int Finish]])</f>
        <v>#REF!</v>
      </c>
      <c r="X324" t="e">
        <f>Table4[[#This Row],[Ext Finish GWP]]+Table4[[#This Row],[Base GWP]]+Table4[[#This Row],[Int Finish GWP]]</f>
        <v>#REF!</v>
      </c>
      <c r="Y324" t="e">
        <f>Table4[[#This Row],[Ext Finish R Value]]+Table4[[#This Row],[Base R Value]]+Table4[[#This Row],[Int Finish R Value]]</f>
        <v>#REF!</v>
      </c>
      <c r="Z324" t="e">
        <f>1/Table4[[#This Row],[Total R value]]</f>
        <v>#REF!</v>
      </c>
      <c r="AA324" t="e">
        <f>Table4[[#This Row],[Int Finish Mass]]+Table4[[#This Row],[Ext Finish Mass]]+Table4[[#This Row],[Base Mass]]</f>
        <v>#REF!</v>
      </c>
    </row>
    <row r="325" spans="3:27" x14ac:dyDescent="0.35">
      <c r="C325" t="str">
        <f>_xlfn.CONCAT(Table4[[#This Row],[System Name (Short)]],"_",Table4[[#This Row],[Ext Finish Name (Short)]],"_",Table4[[#This Row],[Int Finish Name (Short)]])</f>
        <v>0_0_0</v>
      </c>
      <c r="E325">
        <f>_xlfn.XLOOKUP(Table4[[#This Row],[Base System]],BASE_SYSTEM_TABLE[System Name],BASE_SYSTEM_TABLE[System Name (Short)],FALSE)</f>
        <v>0</v>
      </c>
      <c r="F325">
        <f>_xlfn.XLOOKUP(Table4[[#This Row],[Base System]],BASE_SYSTEM_TABLE[System Name],BASE_SYSTEM_TABLE[System Type],FALSE)</f>
        <v>0</v>
      </c>
      <c r="G325">
        <f>_xlfn.XLOOKUP(Table4[[#This Row],[Base System]],BASE_SYSTEM_TABLE[System Name],BASE_SYSTEM_TABLE[System Subtype],FALSE)</f>
        <v>0</v>
      </c>
      <c r="H325">
        <f>_xlfn.XLOOKUP(Table4[[#This Row],[Base System]],BASE_SYSTEM_TABLE[System Name],BASE_SYSTEM_TABLE[Construction Type (Framed or Planar)],FALSE)</f>
        <v>0</v>
      </c>
      <c r="I325" t="e">
        <f>GETPIVOTDATA("Sum of A1-A3 Fossil kg CO2e/m^2 wall area",'COMPONENT PIVOT REF'!$A$3,"System Name",Table4[[#This Row],[Base System]])</f>
        <v>#REF!</v>
      </c>
      <c r="J325" t="e">
        <f>GETPIVOTDATA("Sum of  R value (m^2-K/W)",'COMPONENT PIVOT REF'!$A$3,"System Name",Table4[[#This Row],[Base System]])</f>
        <v>#REF!</v>
      </c>
      <c r="K325" t="e">
        <f>GETPIVOTDATA("Sum of Total Mass per m^2 (kg)",'COMPONENT PIVOT REF'!$A$3,"System Name",Table4[[#This Row],[Base System]])</f>
        <v>#REF!</v>
      </c>
      <c r="M325">
        <f>_xlfn.XLOOKUP(Table4[[#This Row],[Ext Finish]],Master_Table4[System Name],Master_Table4[System Name (Short)],FALSE)</f>
        <v>0</v>
      </c>
      <c r="N325">
        <f>_xlfn.XLOOKUP(Table4[[#This Row],[Ext Finish]],Master_Table4[System Name],Master_Table4[Compatible Systems],FALSE)</f>
        <v>0</v>
      </c>
      <c r="O325" t="str">
        <f>IF(ISNUMBER(SEARCH(Table4[[#This Row],[MMC Method]],Table4[[#This Row],[Compatible Systems]])),"YES","NO")</f>
        <v>YES</v>
      </c>
      <c r="P325" t="e">
        <f>GETPIVOTDATA("Sum of A1-A3 Fossil kg CO2e/m^2 wall area",'COMPONENT PIVOT REF'!$I$3,"System Name",Table4[[#This Row],[Ext Finish]])</f>
        <v>#REF!</v>
      </c>
      <c r="Q325" t="e">
        <f>GETPIVOTDATA("Sum of  R value (m^2-K/W)",'COMPONENT PIVOT REF'!$I$3,"System Name",Table4[[#This Row],[Ext Finish]])</f>
        <v>#REF!</v>
      </c>
      <c r="R325" t="e">
        <f>GETPIVOTDATA("Sum of Total Mass per m^2 (kg)",'COMPONENT PIVOT REF'!$I$3,"System Name",Table4[[#This Row],[Ext Finish]])</f>
        <v>#REF!</v>
      </c>
      <c r="T325">
        <f>_xlfn.XLOOKUP(Table4[[#This Row],[Int Finish]],Master_Table6[System Name],Master_Table6[System Name (Short)],FALSE)</f>
        <v>0</v>
      </c>
      <c r="U325" t="e">
        <f>GETPIVOTDATA("Sum of A1-A3 Fossil kg CO2e/m^2 wall area",'COMPONENT PIVOT REF'!$P$3,"System Name",Table4[[#This Row],[Int Finish]])</f>
        <v>#REF!</v>
      </c>
      <c r="V325" t="e">
        <f>GETPIVOTDATA("Sum of  R value (m^2-K/W)",'COMPONENT PIVOT REF'!$P$3,"System Name",Table4[[#This Row],[Int Finish]])</f>
        <v>#REF!</v>
      </c>
      <c r="W325" t="e">
        <f>GETPIVOTDATA("Sum of Total Mass per m^2 (kg)",'COMPONENT PIVOT REF'!$P$3,"System Name",Table4[[#This Row],[Int Finish]])</f>
        <v>#REF!</v>
      </c>
      <c r="X325" t="e">
        <f>Table4[[#This Row],[Ext Finish GWP]]+Table4[[#This Row],[Base GWP]]+Table4[[#This Row],[Int Finish GWP]]</f>
        <v>#REF!</v>
      </c>
      <c r="Y325" t="e">
        <f>Table4[[#This Row],[Ext Finish R Value]]+Table4[[#This Row],[Base R Value]]+Table4[[#This Row],[Int Finish R Value]]</f>
        <v>#REF!</v>
      </c>
      <c r="Z325" t="e">
        <f>1/Table4[[#This Row],[Total R value]]</f>
        <v>#REF!</v>
      </c>
      <c r="AA325" t="e">
        <f>Table4[[#This Row],[Int Finish Mass]]+Table4[[#This Row],[Ext Finish Mass]]+Table4[[#This Row],[Base Mass]]</f>
        <v>#REF!</v>
      </c>
    </row>
    <row r="326" spans="3:27" x14ac:dyDescent="0.35">
      <c r="C326" t="str">
        <f>_xlfn.CONCAT(Table4[[#This Row],[System Name (Short)]],"_",Table4[[#This Row],[Ext Finish Name (Short)]],"_",Table4[[#This Row],[Int Finish Name (Short)]])</f>
        <v>0_0_0</v>
      </c>
      <c r="E326">
        <f>_xlfn.XLOOKUP(Table4[[#This Row],[Base System]],BASE_SYSTEM_TABLE[System Name],BASE_SYSTEM_TABLE[System Name (Short)],FALSE)</f>
        <v>0</v>
      </c>
      <c r="F326">
        <f>_xlfn.XLOOKUP(Table4[[#This Row],[Base System]],BASE_SYSTEM_TABLE[System Name],BASE_SYSTEM_TABLE[System Type],FALSE)</f>
        <v>0</v>
      </c>
      <c r="G326">
        <f>_xlfn.XLOOKUP(Table4[[#This Row],[Base System]],BASE_SYSTEM_TABLE[System Name],BASE_SYSTEM_TABLE[System Subtype],FALSE)</f>
        <v>0</v>
      </c>
      <c r="H326">
        <f>_xlfn.XLOOKUP(Table4[[#This Row],[Base System]],BASE_SYSTEM_TABLE[System Name],BASE_SYSTEM_TABLE[Construction Type (Framed or Planar)],FALSE)</f>
        <v>0</v>
      </c>
      <c r="I326" t="e">
        <f>GETPIVOTDATA("Sum of A1-A3 Fossil kg CO2e/m^2 wall area",'COMPONENT PIVOT REF'!$A$3,"System Name",Table4[[#This Row],[Base System]])</f>
        <v>#REF!</v>
      </c>
      <c r="J326" t="e">
        <f>GETPIVOTDATA("Sum of  R value (m^2-K/W)",'COMPONENT PIVOT REF'!$A$3,"System Name",Table4[[#This Row],[Base System]])</f>
        <v>#REF!</v>
      </c>
      <c r="K326" t="e">
        <f>GETPIVOTDATA("Sum of Total Mass per m^2 (kg)",'COMPONENT PIVOT REF'!$A$3,"System Name",Table4[[#This Row],[Base System]])</f>
        <v>#REF!</v>
      </c>
      <c r="M326">
        <f>_xlfn.XLOOKUP(Table4[[#This Row],[Ext Finish]],Master_Table4[System Name],Master_Table4[System Name (Short)],FALSE)</f>
        <v>0</v>
      </c>
      <c r="N326">
        <f>_xlfn.XLOOKUP(Table4[[#This Row],[Ext Finish]],Master_Table4[System Name],Master_Table4[Compatible Systems],FALSE)</f>
        <v>0</v>
      </c>
      <c r="O326" t="str">
        <f>IF(ISNUMBER(SEARCH(Table4[[#This Row],[MMC Method]],Table4[[#This Row],[Compatible Systems]])),"YES","NO")</f>
        <v>YES</v>
      </c>
      <c r="P326" t="e">
        <f>GETPIVOTDATA("Sum of A1-A3 Fossil kg CO2e/m^2 wall area",'COMPONENT PIVOT REF'!$I$3,"System Name",Table4[[#This Row],[Ext Finish]])</f>
        <v>#REF!</v>
      </c>
      <c r="Q326" t="e">
        <f>GETPIVOTDATA("Sum of  R value (m^2-K/W)",'COMPONENT PIVOT REF'!$I$3,"System Name",Table4[[#This Row],[Ext Finish]])</f>
        <v>#REF!</v>
      </c>
      <c r="R326" t="e">
        <f>GETPIVOTDATA("Sum of Total Mass per m^2 (kg)",'COMPONENT PIVOT REF'!$I$3,"System Name",Table4[[#This Row],[Ext Finish]])</f>
        <v>#REF!</v>
      </c>
      <c r="T326">
        <f>_xlfn.XLOOKUP(Table4[[#This Row],[Int Finish]],Master_Table6[System Name],Master_Table6[System Name (Short)],FALSE)</f>
        <v>0</v>
      </c>
      <c r="U326" t="e">
        <f>GETPIVOTDATA("Sum of A1-A3 Fossil kg CO2e/m^2 wall area",'COMPONENT PIVOT REF'!$P$3,"System Name",Table4[[#This Row],[Int Finish]])</f>
        <v>#REF!</v>
      </c>
      <c r="V326" t="e">
        <f>GETPIVOTDATA("Sum of  R value (m^2-K/W)",'COMPONENT PIVOT REF'!$P$3,"System Name",Table4[[#This Row],[Int Finish]])</f>
        <v>#REF!</v>
      </c>
      <c r="W326" t="e">
        <f>GETPIVOTDATA("Sum of Total Mass per m^2 (kg)",'COMPONENT PIVOT REF'!$P$3,"System Name",Table4[[#This Row],[Int Finish]])</f>
        <v>#REF!</v>
      </c>
      <c r="X326" t="e">
        <f>Table4[[#This Row],[Ext Finish GWP]]+Table4[[#This Row],[Base GWP]]+Table4[[#This Row],[Int Finish GWP]]</f>
        <v>#REF!</v>
      </c>
      <c r="Y326" t="e">
        <f>Table4[[#This Row],[Ext Finish R Value]]+Table4[[#This Row],[Base R Value]]+Table4[[#This Row],[Int Finish R Value]]</f>
        <v>#REF!</v>
      </c>
      <c r="Z326" t="e">
        <f>1/Table4[[#This Row],[Total R value]]</f>
        <v>#REF!</v>
      </c>
      <c r="AA326" t="e">
        <f>Table4[[#This Row],[Int Finish Mass]]+Table4[[#This Row],[Ext Finish Mass]]+Table4[[#This Row],[Base Mass]]</f>
        <v>#REF!</v>
      </c>
    </row>
    <row r="327" spans="3:27" x14ac:dyDescent="0.35">
      <c r="C327" t="str">
        <f>_xlfn.CONCAT(Table4[[#This Row],[System Name (Short)]],"_",Table4[[#This Row],[Ext Finish Name (Short)]],"_",Table4[[#This Row],[Int Finish Name (Short)]])</f>
        <v>0_0_0</v>
      </c>
      <c r="E327">
        <f>_xlfn.XLOOKUP(Table4[[#This Row],[Base System]],BASE_SYSTEM_TABLE[System Name],BASE_SYSTEM_TABLE[System Name (Short)],FALSE)</f>
        <v>0</v>
      </c>
      <c r="F327">
        <f>_xlfn.XLOOKUP(Table4[[#This Row],[Base System]],BASE_SYSTEM_TABLE[System Name],BASE_SYSTEM_TABLE[System Type],FALSE)</f>
        <v>0</v>
      </c>
      <c r="G327">
        <f>_xlfn.XLOOKUP(Table4[[#This Row],[Base System]],BASE_SYSTEM_TABLE[System Name],BASE_SYSTEM_TABLE[System Subtype],FALSE)</f>
        <v>0</v>
      </c>
      <c r="H327">
        <f>_xlfn.XLOOKUP(Table4[[#This Row],[Base System]],BASE_SYSTEM_TABLE[System Name],BASE_SYSTEM_TABLE[Construction Type (Framed or Planar)],FALSE)</f>
        <v>0</v>
      </c>
      <c r="I327" t="e">
        <f>GETPIVOTDATA("Sum of A1-A3 Fossil kg CO2e/m^2 wall area",'COMPONENT PIVOT REF'!$A$3,"System Name",Table4[[#This Row],[Base System]])</f>
        <v>#REF!</v>
      </c>
      <c r="J327" t="e">
        <f>GETPIVOTDATA("Sum of  R value (m^2-K/W)",'COMPONENT PIVOT REF'!$A$3,"System Name",Table4[[#This Row],[Base System]])</f>
        <v>#REF!</v>
      </c>
      <c r="K327" t="e">
        <f>GETPIVOTDATA("Sum of Total Mass per m^2 (kg)",'COMPONENT PIVOT REF'!$A$3,"System Name",Table4[[#This Row],[Base System]])</f>
        <v>#REF!</v>
      </c>
      <c r="M327">
        <f>_xlfn.XLOOKUP(Table4[[#This Row],[Ext Finish]],Master_Table4[System Name],Master_Table4[System Name (Short)],FALSE)</f>
        <v>0</v>
      </c>
      <c r="N327">
        <f>_xlfn.XLOOKUP(Table4[[#This Row],[Ext Finish]],Master_Table4[System Name],Master_Table4[Compatible Systems],FALSE)</f>
        <v>0</v>
      </c>
      <c r="O327" t="str">
        <f>IF(ISNUMBER(SEARCH(Table4[[#This Row],[MMC Method]],Table4[[#This Row],[Compatible Systems]])),"YES","NO")</f>
        <v>YES</v>
      </c>
      <c r="P327" t="e">
        <f>GETPIVOTDATA("Sum of A1-A3 Fossil kg CO2e/m^2 wall area",'COMPONENT PIVOT REF'!$I$3,"System Name",Table4[[#This Row],[Ext Finish]])</f>
        <v>#REF!</v>
      </c>
      <c r="Q327" t="e">
        <f>GETPIVOTDATA("Sum of  R value (m^2-K/W)",'COMPONENT PIVOT REF'!$I$3,"System Name",Table4[[#This Row],[Ext Finish]])</f>
        <v>#REF!</v>
      </c>
      <c r="R327" t="e">
        <f>GETPIVOTDATA("Sum of Total Mass per m^2 (kg)",'COMPONENT PIVOT REF'!$I$3,"System Name",Table4[[#This Row],[Ext Finish]])</f>
        <v>#REF!</v>
      </c>
      <c r="T327">
        <f>_xlfn.XLOOKUP(Table4[[#This Row],[Int Finish]],Master_Table6[System Name],Master_Table6[System Name (Short)],FALSE)</f>
        <v>0</v>
      </c>
      <c r="U327" t="e">
        <f>GETPIVOTDATA("Sum of A1-A3 Fossil kg CO2e/m^2 wall area",'COMPONENT PIVOT REF'!$P$3,"System Name",Table4[[#This Row],[Int Finish]])</f>
        <v>#REF!</v>
      </c>
      <c r="V327" t="e">
        <f>GETPIVOTDATA("Sum of  R value (m^2-K/W)",'COMPONENT PIVOT REF'!$P$3,"System Name",Table4[[#This Row],[Int Finish]])</f>
        <v>#REF!</v>
      </c>
      <c r="W327" t="e">
        <f>GETPIVOTDATA("Sum of Total Mass per m^2 (kg)",'COMPONENT PIVOT REF'!$P$3,"System Name",Table4[[#This Row],[Int Finish]])</f>
        <v>#REF!</v>
      </c>
      <c r="X327" t="e">
        <f>Table4[[#This Row],[Ext Finish GWP]]+Table4[[#This Row],[Base GWP]]+Table4[[#This Row],[Int Finish GWP]]</f>
        <v>#REF!</v>
      </c>
      <c r="Y327" t="e">
        <f>Table4[[#This Row],[Ext Finish R Value]]+Table4[[#This Row],[Base R Value]]+Table4[[#This Row],[Int Finish R Value]]</f>
        <v>#REF!</v>
      </c>
      <c r="Z327" t="e">
        <f>1/Table4[[#This Row],[Total R value]]</f>
        <v>#REF!</v>
      </c>
      <c r="AA327" t="e">
        <f>Table4[[#This Row],[Int Finish Mass]]+Table4[[#This Row],[Ext Finish Mass]]+Table4[[#This Row],[Base Mass]]</f>
        <v>#REF!</v>
      </c>
    </row>
    <row r="328" spans="3:27" x14ac:dyDescent="0.35">
      <c r="C328" t="str">
        <f>_xlfn.CONCAT(Table4[[#This Row],[System Name (Short)]],"_",Table4[[#This Row],[Ext Finish Name (Short)]],"_",Table4[[#This Row],[Int Finish Name (Short)]])</f>
        <v>0_0_0</v>
      </c>
      <c r="E328">
        <f>_xlfn.XLOOKUP(Table4[[#This Row],[Base System]],BASE_SYSTEM_TABLE[System Name],BASE_SYSTEM_TABLE[System Name (Short)],FALSE)</f>
        <v>0</v>
      </c>
      <c r="F328">
        <f>_xlfn.XLOOKUP(Table4[[#This Row],[Base System]],BASE_SYSTEM_TABLE[System Name],BASE_SYSTEM_TABLE[System Type],FALSE)</f>
        <v>0</v>
      </c>
      <c r="G328">
        <f>_xlfn.XLOOKUP(Table4[[#This Row],[Base System]],BASE_SYSTEM_TABLE[System Name],BASE_SYSTEM_TABLE[System Subtype],FALSE)</f>
        <v>0</v>
      </c>
      <c r="H328">
        <f>_xlfn.XLOOKUP(Table4[[#This Row],[Base System]],BASE_SYSTEM_TABLE[System Name],BASE_SYSTEM_TABLE[Construction Type (Framed or Planar)],FALSE)</f>
        <v>0</v>
      </c>
      <c r="I328" t="e">
        <f>GETPIVOTDATA("Sum of A1-A3 Fossil kg CO2e/m^2 wall area",'COMPONENT PIVOT REF'!$A$3,"System Name",Table4[[#This Row],[Base System]])</f>
        <v>#REF!</v>
      </c>
      <c r="J328" t="e">
        <f>GETPIVOTDATA("Sum of  R value (m^2-K/W)",'COMPONENT PIVOT REF'!$A$3,"System Name",Table4[[#This Row],[Base System]])</f>
        <v>#REF!</v>
      </c>
      <c r="K328" t="e">
        <f>GETPIVOTDATA("Sum of Total Mass per m^2 (kg)",'COMPONENT PIVOT REF'!$A$3,"System Name",Table4[[#This Row],[Base System]])</f>
        <v>#REF!</v>
      </c>
      <c r="M328">
        <f>_xlfn.XLOOKUP(Table4[[#This Row],[Ext Finish]],Master_Table4[System Name],Master_Table4[System Name (Short)],FALSE)</f>
        <v>0</v>
      </c>
      <c r="N328">
        <f>_xlfn.XLOOKUP(Table4[[#This Row],[Ext Finish]],Master_Table4[System Name],Master_Table4[Compatible Systems],FALSE)</f>
        <v>0</v>
      </c>
      <c r="O328" t="str">
        <f>IF(ISNUMBER(SEARCH(Table4[[#This Row],[MMC Method]],Table4[[#This Row],[Compatible Systems]])),"YES","NO")</f>
        <v>YES</v>
      </c>
      <c r="P328" t="e">
        <f>GETPIVOTDATA("Sum of A1-A3 Fossil kg CO2e/m^2 wall area",'COMPONENT PIVOT REF'!$I$3,"System Name",Table4[[#This Row],[Ext Finish]])</f>
        <v>#REF!</v>
      </c>
      <c r="Q328" t="e">
        <f>GETPIVOTDATA("Sum of  R value (m^2-K/W)",'COMPONENT PIVOT REF'!$I$3,"System Name",Table4[[#This Row],[Ext Finish]])</f>
        <v>#REF!</v>
      </c>
      <c r="R328" t="e">
        <f>GETPIVOTDATA("Sum of Total Mass per m^2 (kg)",'COMPONENT PIVOT REF'!$I$3,"System Name",Table4[[#This Row],[Ext Finish]])</f>
        <v>#REF!</v>
      </c>
      <c r="T328">
        <f>_xlfn.XLOOKUP(Table4[[#This Row],[Int Finish]],Master_Table6[System Name],Master_Table6[System Name (Short)],FALSE)</f>
        <v>0</v>
      </c>
      <c r="U328" t="e">
        <f>GETPIVOTDATA("Sum of A1-A3 Fossil kg CO2e/m^2 wall area",'COMPONENT PIVOT REF'!$P$3,"System Name",Table4[[#This Row],[Int Finish]])</f>
        <v>#REF!</v>
      </c>
      <c r="V328" t="e">
        <f>GETPIVOTDATA("Sum of  R value (m^2-K/W)",'COMPONENT PIVOT REF'!$P$3,"System Name",Table4[[#This Row],[Int Finish]])</f>
        <v>#REF!</v>
      </c>
      <c r="W328" t="e">
        <f>GETPIVOTDATA("Sum of Total Mass per m^2 (kg)",'COMPONENT PIVOT REF'!$P$3,"System Name",Table4[[#This Row],[Int Finish]])</f>
        <v>#REF!</v>
      </c>
      <c r="X328" t="e">
        <f>Table4[[#This Row],[Ext Finish GWP]]+Table4[[#This Row],[Base GWP]]+Table4[[#This Row],[Int Finish GWP]]</f>
        <v>#REF!</v>
      </c>
      <c r="Y328" t="e">
        <f>Table4[[#This Row],[Ext Finish R Value]]+Table4[[#This Row],[Base R Value]]+Table4[[#This Row],[Int Finish R Value]]</f>
        <v>#REF!</v>
      </c>
      <c r="Z328" t="e">
        <f>1/Table4[[#This Row],[Total R value]]</f>
        <v>#REF!</v>
      </c>
      <c r="AA328" t="e">
        <f>Table4[[#This Row],[Int Finish Mass]]+Table4[[#This Row],[Ext Finish Mass]]+Table4[[#This Row],[Base Mass]]</f>
        <v>#REF!</v>
      </c>
    </row>
    <row r="329" spans="3:27" x14ac:dyDescent="0.35">
      <c r="C329" t="str">
        <f>_xlfn.CONCAT(Table4[[#This Row],[System Name (Short)]],"_",Table4[[#This Row],[Ext Finish Name (Short)]],"_",Table4[[#This Row],[Int Finish Name (Short)]])</f>
        <v>0_0_0</v>
      </c>
      <c r="E329">
        <f>_xlfn.XLOOKUP(Table4[[#This Row],[Base System]],BASE_SYSTEM_TABLE[System Name],BASE_SYSTEM_TABLE[System Name (Short)],FALSE)</f>
        <v>0</v>
      </c>
      <c r="F329">
        <f>_xlfn.XLOOKUP(Table4[[#This Row],[Base System]],BASE_SYSTEM_TABLE[System Name],BASE_SYSTEM_TABLE[System Type],FALSE)</f>
        <v>0</v>
      </c>
      <c r="G329">
        <f>_xlfn.XLOOKUP(Table4[[#This Row],[Base System]],BASE_SYSTEM_TABLE[System Name],BASE_SYSTEM_TABLE[System Subtype],FALSE)</f>
        <v>0</v>
      </c>
      <c r="H329">
        <f>_xlfn.XLOOKUP(Table4[[#This Row],[Base System]],BASE_SYSTEM_TABLE[System Name],BASE_SYSTEM_TABLE[Construction Type (Framed or Planar)],FALSE)</f>
        <v>0</v>
      </c>
      <c r="I329" t="e">
        <f>GETPIVOTDATA("Sum of A1-A3 Fossil kg CO2e/m^2 wall area",'COMPONENT PIVOT REF'!$A$3,"System Name",Table4[[#This Row],[Base System]])</f>
        <v>#REF!</v>
      </c>
      <c r="J329" t="e">
        <f>GETPIVOTDATA("Sum of  R value (m^2-K/W)",'COMPONENT PIVOT REF'!$A$3,"System Name",Table4[[#This Row],[Base System]])</f>
        <v>#REF!</v>
      </c>
      <c r="K329" t="e">
        <f>GETPIVOTDATA("Sum of Total Mass per m^2 (kg)",'COMPONENT PIVOT REF'!$A$3,"System Name",Table4[[#This Row],[Base System]])</f>
        <v>#REF!</v>
      </c>
      <c r="M329">
        <f>_xlfn.XLOOKUP(Table4[[#This Row],[Ext Finish]],Master_Table4[System Name],Master_Table4[System Name (Short)],FALSE)</f>
        <v>0</v>
      </c>
      <c r="N329">
        <f>_xlfn.XLOOKUP(Table4[[#This Row],[Ext Finish]],Master_Table4[System Name],Master_Table4[Compatible Systems],FALSE)</f>
        <v>0</v>
      </c>
      <c r="O329" t="str">
        <f>IF(ISNUMBER(SEARCH(Table4[[#This Row],[MMC Method]],Table4[[#This Row],[Compatible Systems]])),"YES","NO")</f>
        <v>YES</v>
      </c>
      <c r="P329" t="e">
        <f>GETPIVOTDATA("Sum of A1-A3 Fossil kg CO2e/m^2 wall area",'COMPONENT PIVOT REF'!$I$3,"System Name",Table4[[#This Row],[Ext Finish]])</f>
        <v>#REF!</v>
      </c>
      <c r="Q329" t="e">
        <f>GETPIVOTDATA("Sum of  R value (m^2-K/W)",'COMPONENT PIVOT REF'!$I$3,"System Name",Table4[[#This Row],[Ext Finish]])</f>
        <v>#REF!</v>
      </c>
      <c r="R329" t="e">
        <f>GETPIVOTDATA("Sum of Total Mass per m^2 (kg)",'COMPONENT PIVOT REF'!$I$3,"System Name",Table4[[#This Row],[Ext Finish]])</f>
        <v>#REF!</v>
      </c>
      <c r="T329">
        <f>_xlfn.XLOOKUP(Table4[[#This Row],[Int Finish]],Master_Table6[System Name],Master_Table6[System Name (Short)],FALSE)</f>
        <v>0</v>
      </c>
      <c r="U329" t="e">
        <f>GETPIVOTDATA("Sum of A1-A3 Fossil kg CO2e/m^2 wall area",'COMPONENT PIVOT REF'!$P$3,"System Name",Table4[[#This Row],[Int Finish]])</f>
        <v>#REF!</v>
      </c>
      <c r="V329" t="e">
        <f>GETPIVOTDATA("Sum of  R value (m^2-K/W)",'COMPONENT PIVOT REF'!$P$3,"System Name",Table4[[#This Row],[Int Finish]])</f>
        <v>#REF!</v>
      </c>
      <c r="W329" t="e">
        <f>GETPIVOTDATA("Sum of Total Mass per m^2 (kg)",'COMPONENT PIVOT REF'!$P$3,"System Name",Table4[[#This Row],[Int Finish]])</f>
        <v>#REF!</v>
      </c>
      <c r="X329" t="e">
        <f>Table4[[#This Row],[Ext Finish GWP]]+Table4[[#This Row],[Base GWP]]+Table4[[#This Row],[Int Finish GWP]]</f>
        <v>#REF!</v>
      </c>
      <c r="Y329" t="e">
        <f>Table4[[#This Row],[Ext Finish R Value]]+Table4[[#This Row],[Base R Value]]+Table4[[#This Row],[Int Finish R Value]]</f>
        <v>#REF!</v>
      </c>
      <c r="Z329" t="e">
        <f>1/Table4[[#This Row],[Total R value]]</f>
        <v>#REF!</v>
      </c>
      <c r="AA329" t="e">
        <f>Table4[[#This Row],[Int Finish Mass]]+Table4[[#This Row],[Ext Finish Mass]]+Table4[[#This Row],[Base Mass]]</f>
        <v>#REF!</v>
      </c>
    </row>
    <row r="330" spans="3:27" x14ac:dyDescent="0.35">
      <c r="C330" t="str">
        <f>_xlfn.CONCAT(Table4[[#This Row],[System Name (Short)]],"_",Table4[[#This Row],[Ext Finish Name (Short)]],"_",Table4[[#This Row],[Int Finish Name (Short)]])</f>
        <v>0_0_0</v>
      </c>
      <c r="E330">
        <f>_xlfn.XLOOKUP(Table4[[#This Row],[Base System]],BASE_SYSTEM_TABLE[System Name],BASE_SYSTEM_TABLE[System Name (Short)],FALSE)</f>
        <v>0</v>
      </c>
      <c r="F330">
        <f>_xlfn.XLOOKUP(Table4[[#This Row],[Base System]],BASE_SYSTEM_TABLE[System Name],BASE_SYSTEM_TABLE[System Type],FALSE)</f>
        <v>0</v>
      </c>
      <c r="G330">
        <f>_xlfn.XLOOKUP(Table4[[#This Row],[Base System]],BASE_SYSTEM_TABLE[System Name],BASE_SYSTEM_TABLE[System Subtype],FALSE)</f>
        <v>0</v>
      </c>
      <c r="H330">
        <f>_xlfn.XLOOKUP(Table4[[#This Row],[Base System]],BASE_SYSTEM_TABLE[System Name],BASE_SYSTEM_TABLE[Construction Type (Framed or Planar)],FALSE)</f>
        <v>0</v>
      </c>
      <c r="I330" t="e">
        <f>GETPIVOTDATA("Sum of A1-A3 Fossil kg CO2e/m^2 wall area",'COMPONENT PIVOT REF'!$A$3,"System Name",Table4[[#This Row],[Base System]])</f>
        <v>#REF!</v>
      </c>
      <c r="J330" t="e">
        <f>GETPIVOTDATA("Sum of  R value (m^2-K/W)",'COMPONENT PIVOT REF'!$A$3,"System Name",Table4[[#This Row],[Base System]])</f>
        <v>#REF!</v>
      </c>
      <c r="K330" t="e">
        <f>GETPIVOTDATA("Sum of Total Mass per m^2 (kg)",'COMPONENT PIVOT REF'!$A$3,"System Name",Table4[[#This Row],[Base System]])</f>
        <v>#REF!</v>
      </c>
      <c r="M330">
        <f>_xlfn.XLOOKUP(Table4[[#This Row],[Ext Finish]],Master_Table4[System Name],Master_Table4[System Name (Short)],FALSE)</f>
        <v>0</v>
      </c>
      <c r="N330">
        <f>_xlfn.XLOOKUP(Table4[[#This Row],[Ext Finish]],Master_Table4[System Name],Master_Table4[Compatible Systems],FALSE)</f>
        <v>0</v>
      </c>
      <c r="O330" t="str">
        <f>IF(ISNUMBER(SEARCH(Table4[[#This Row],[MMC Method]],Table4[[#This Row],[Compatible Systems]])),"YES","NO")</f>
        <v>YES</v>
      </c>
      <c r="P330" t="e">
        <f>GETPIVOTDATA("Sum of A1-A3 Fossil kg CO2e/m^2 wall area",'COMPONENT PIVOT REF'!$I$3,"System Name",Table4[[#This Row],[Ext Finish]])</f>
        <v>#REF!</v>
      </c>
      <c r="Q330" t="e">
        <f>GETPIVOTDATA("Sum of  R value (m^2-K/W)",'COMPONENT PIVOT REF'!$I$3,"System Name",Table4[[#This Row],[Ext Finish]])</f>
        <v>#REF!</v>
      </c>
      <c r="R330" t="e">
        <f>GETPIVOTDATA("Sum of Total Mass per m^2 (kg)",'COMPONENT PIVOT REF'!$I$3,"System Name",Table4[[#This Row],[Ext Finish]])</f>
        <v>#REF!</v>
      </c>
      <c r="T330">
        <f>_xlfn.XLOOKUP(Table4[[#This Row],[Int Finish]],Master_Table6[System Name],Master_Table6[System Name (Short)],FALSE)</f>
        <v>0</v>
      </c>
      <c r="U330" t="e">
        <f>GETPIVOTDATA("Sum of A1-A3 Fossil kg CO2e/m^2 wall area",'COMPONENT PIVOT REF'!$P$3,"System Name",Table4[[#This Row],[Int Finish]])</f>
        <v>#REF!</v>
      </c>
      <c r="V330" t="e">
        <f>GETPIVOTDATA("Sum of  R value (m^2-K/W)",'COMPONENT PIVOT REF'!$P$3,"System Name",Table4[[#This Row],[Int Finish]])</f>
        <v>#REF!</v>
      </c>
      <c r="W330" t="e">
        <f>GETPIVOTDATA("Sum of Total Mass per m^2 (kg)",'COMPONENT PIVOT REF'!$P$3,"System Name",Table4[[#This Row],[Int Finish]])</f>
        <v>#REF!</v>
      </c>
      <c r="X330" t="e">
        <f>Table4[[#This Row],[Ext Finish GWP]]+Table4[[#This Row],[Base GWP]]+Table4[[#This Row],[Int Finish GWP]]</f>
        <v>#REF!</v>
      </c>
      <c r="Y330" t="e">
        <f>Table4[[#This Row],[Ext Finish R Value]]+Table4[[#This Row],[Base R Value]]+Table4[[#This Row],[Int Finish R Value]]</f>
        <v>#REF!</v>
      </c>
      <c r="Z330" t="e">
        <f>1/Table4[[#This Row],[Total R value]]</f>
        <v>#REF!</v>
      </c>
      <c r="AA330" t="e">
        <f>Table4[[#This Row],[Int Finish Mass]]+Table4[[#This Row],[Ext Finish Mass]]+Table4[[#This Row],[Base Mass]]</f>
        <v>#REF!</v>
      </c>
    </row>
    <row r="331" spans="3:27" x14ac:dyDescent="0.35">
      <c r="C331" t="str">
        <f>_xlfn.CONCAT(Table4[[#This Row],[System Name (Short)]],"_",Table4[[#This Row],[Ext Finish Name (Short)]],"_",Table4[[#This Row],[Int Finish Name (Short)]])</f>
        <v>0_0_0</v>
      </c>
      <c r="E331">
        <f>_xlfn.XLOOKUP(Table4[[#This Row],[Base System]],BASE_SYSTEM_TABLE[System Name],BASE_SYSTEM_TABLE[System Name (Short)],FALSE)</f>
        <v>0</v>
      </c>
      <c r="F331">
        <f>_xlfn.XLOOKUP(Table4[[#This Row],[Base System]],BASE_SYSTEM_TABLE[System Name],BASE_SYSTEM_TABLE[System Type],FALSE)</f>
        <v>0</v>
      </c>
      <c r="G331">
        <f>_xlfn.XLOOKUP(Table4[[#This Row],[Base System]],BASE_SYSTEM_TABLE[System Name],BASE_SYSTEM_TABLE[System Subtype],FALSE)</f>
        <v>0</v>
      </c>
      <c r="H331">
        <f>_xlfn.XLOOKUP(Table4[[#This Row],[Base System]],BASE_SYSTEM_TABLE[System Name],BASE_SYSTEM_TABLE[Construction Type (Framed or Planar)],FALSE)</f>
        <v>0</v>
      </c>
      <c r="I331" t="e">
        <f>GETPIVOTDATA("Sum of A1-A3 Fossil kg CO2e/m^2 wall area",'COMPONENT PIVOT REF'!$A$3,"System Name",Table4[[#This Row],[Base System]])</f>
        <v>#REF!</v>
      </c>
      <c r="J331" t="e">
        <f>GETPIVOTDATA("Sum of  R value (m^2-K/W)",'COMPONENT PIVOT REF'!$A$3,"System Name",Table4[[#This Row],[Base System]])</f>
        <v>#REF!</v>
      </c>
      <c r="K331" t="e">
        <f>GETPIVOTDATA("Sum of Total Mass per m^2 (kg)",'COMPONENT PIVOT REF'!$A$3,"System Name",Table4[[#This Row],[Base System]])</f>
        <v>#REF!</v>
      </c>
      <c r="M331">
        <f>_xlfn.XLOOKUP(Table4[[#This Row],[Ext Finish]],Master_Table4[System Name],Master_Table4[System Name (Short)],FALSE)</f>
        <v>0</v>
      </c>
      <c r="N331">
        <f>_xlfn.XLOOKUP(Table4[[#This Row],[Ext Finish]],Master_Table4[System Name],Master_Table4[Compatible Systems],FALSE)</f>
        <v>0</v>
      </c>
      <c r="O331" t="str">
        <f>IF(ISNUMBER(SEARCH(Table4[[#This Row],[MMC Method]],Table4[[#This Row],[Compatible Systems]])),"YES","NO")</f>
        <v>YES</v>
      </c>
      <c r="P331" t="e">
        <f>GETPIVOTDATA("Sum of A1-A3 Fossil kg CO2e/m^2 wall area",'COMPONENT PIVOT REF'!$I$3,"System Name",Table4[[#This Row],[Ext Finish]])</f>
        <v>#REF!</v>
      </c>
      <c r="Q331" t="e">
        <f>GETPIVOTDATA("Sum of  R value (m^2-K/W)",'COMPONENT PIVOT REF'!$I$3,"System Name",Table4[[#This Row],[Ext Finish]])</f>
        <v>#REF!</v>
      </c>
      <c r="R331" t="e">
        <f>GETPIVOTDATA("Sum of Total Mass per m^2 (kg)",'COMPONENT PIVOT REF'!$I$3,"System Name",Table4[[#This Row],[Ext Finish]])</f>
        <v>#REF!</v>
      </c>
      <c r="T331">
        <f>_xlfn.XLOOKUP(Table4[[#This Row],[Int Finish]],Master_Table6[System Name],Master_Table6[System Name (Short)],FALSE)</f>
        <v>0</v>
      </c>
      <c r="U331" t="e">
        <f>GETPIVOTDATA("Sum of A1-A3 Fossil kg CO2e/m^2 wall area",'COMPONENT PIVOT REF'!$P$3,"System Name",Table4[[#This Row],[Int Finish]])</f>
        <v>#REF!</v>
      </c>
      <c r="V331" t="e">
        <f>GETPIVOTDATA("Sum of  R value (m^2-K/W)",'COMPONENT PIVOT REF'!$P$3,"System Name",Table4[[#This Row],[Int Finish]])</f>
        <v>#REF!</v>
      </c>
      <c r="W331" t="e">
        <f>GETPIVOTDATA("Sum of Total Mass per m^2 (kg)",'COMPONENT PIVOT REF'!$P$3,"System Name",Table4[[#This Row],[Int Finish]])</f>
        <v>#REF!</v>
      </c>
      <c r="X331" t="e">
        <f>Table4[[#This Row],[Ext Finish GWP]]+Table4[[#This Row],[Base GWP]]+Table4[[#This Row],[Int Finish GWP]]</f>
        <v>#REF!</v>
      </c>
      <c r="Y331" t="e">
        <f>Table4[[#This Row],[Ext Finish R Value]]+Table4[[#This Row],[Base R Value]]+Table4[[#This Row],[Int Finish R Value]]</f>
        <v>#REF!</v>
      </c>
      <c r="Z331" t="e">
        <f>1/Table4[[#This Row],[Total R value]]</f>
        <v>#REF!</v>
      </c>
      <c r="AA331" t="e">
        <f>Table4[[#This Row],[Int Finish Mass]]+Table4[[#This Row],[Ext Finish Mass]]+Table4[[#This Row],[Base Mass]]</f>
        <v>#REF!</v>
      </c>
    </row>
    <row r="332" spans="3:27" x14ac:dyDescent="0.35">
      <c r="C332" t="str">
        <f>_xlfn.CONCAT(Table4[[#This Row],[System Name (Short)]],"_",Table4[[#This Row],[Ext Finish Name (Short)]],"_",Table4[[#This Row],[Int Finish Name (Short)]])</f>
        <v>0_0_0</v>
      </c>
      <c r="E332">
        <f>_xlfn.XLOOKUP(Table4[[#This Row],[Base System]],BASE_SYSTEM_TABLE[System Name],BASE_SYSTEM_TABLE[System Name (Short)],FALSE)</f>
        <v>0</v>
      </c>
      <c r="F332">
        <f>_xlfn.XLOOKUP(Table4[[#This Row],[Base System]],BASE_SYSTEM_TABLE[System Name],BASE_SYSTEM_TABLE[System Type],FALSE)</f>
        <v>0</v>
      </c>
      <c r="G332">
        <f>_xlfn.XLOOKUP(Table4[[#This Row],[Base System]],BASE_SYSTEM_TABLE[System Name],BASE_SYSTEM_TABLE[System Subtype],FALSE)</f>
        <v>0</v>
      </c>
      <c r="H332">
        <f>_xlfn.XLOOKUP(Table4[[#This Row],[Base System]],BASE_SYSTEM_TABLE[System Name],BASE_SYSTEM_TABLE[Construction Type (Framed or Planar)],FALSE)</f>
        <v>0</v>
      </c>
      <c r="I332" t="e">
        <f>GETPIVOTDATA("Sum of A1-A3 Fossil kg CO2e/m^2 wall area",'COMPONENT PIVOT REF'!$A$3,"System Name",Table4[[#This Row],[Base System]])</f>
        <v>#REF!</v>
      </c>
      <c r="J332" t="e">
        <f>GETPIVOTDATA("Sum of  R value (m^2-K/W)",'COMPONENT PIVOT REF'!$A$3,"System Name",Table4[[#This Row],[Base System]])</f>
        <v>#REF!</v>
      </c>
      <c r="K332" t="e">
        <f>GETPIVOTDATA("Sum of Total Mass per m^2 (kg)",'COMPONENT PIVOT REF'!$A$3,"System Name",Table4[[#This Row],[Base System]])</f>
        <v>#REF!</v>
      </c>
      <c r="M332">
        <f>_xlfn.XLOOKUP(Table4[[#This Row],[Ext Finish]],Master_Table4[System Name],Master_Table4[System Name (Short)],FALSE)</f>
        <v>0</v>
      </c>
      <c r="N332">
        <f>_xlfn.XLOOKUP(Table4[[#This Row],[Ext Finish]],Master_Table4[System Name],Master_Table4[Compatible Systems],FALSE)</f>
        <v>0</v>
      </c>
      <c r="O332" t="str">
        <f>IF(ISNUMBER(SEARCH(Table4[[#This Row],[MMC Method]],Table4[[#This Row],[Compatible Systems]])),"YES","NO")</f>
        <v>YES</v>
      </c>
      <c r="P332" t="e">
        <f>GETPIVOTDATA("Sum of A1-A3 Fossil kg CO2e/m^2 wall area",'COMPONENT PIVOT REF'!$I$3,"System Name",Table4[[#This Row],[Ext Finish]])</f>
        <v>#REF!</v>
      </c>
      <c r="Q332" t="e">
        <f>GETPIVOTDATA("Sum of  R value (m^2-K/W)",'COMPONENT PIVOT REF'!$I$3,"System Name",Table4[[#This Row],[Ext Finish]])</f>
        <v>#REF!</v>
      </c>
      <c r="R332" t="e">
        <f>GETPIVOTDATA("Sum of Total Mass per m^2 (kg)",'COMPONENT PIVOT REF'!$I$3,"System Name",Table4[[#This Row],[Ext Finish]])</f>
        <v>#REF!</v>
      </c>
      <c r="T332">
        <f>_xlfn.XLOOKUP(Table4[[#This Row],[Int Finish]],Master_Table6[System Name],Master_Table6[System Name (Short)],FALSE)</f>
        <v>0</v>
      </c>
      <c r="U332" t="e">
        <f>GETPIVOTDATA("Sum of A1-A3 Fossil kg CO2e/m^2 wall area",'COMPONENT PIVOT REF'!$P$3,"System Name",Table4[[#This Row],[Int Finish]])</f>
        <v>#REF!</v>
      </c>
      <c r="V332" t="e">
        <f>GETPIVOTDATA("Sum of  R value (m^2-K/W)",'COMPONENT PIVOT REF'!$P$3,"System Name",Table4[[#This Row],[Int Finish]])</f>
        <v>#REF!</v>
      </c>
      <c r="W332" t="e">
        <f>GETPIVOTDATA("Sum of Total Mass per m^2 (kg)",'COMPONENT PIVOT REF'!$P$3,"System Name",Table4[[#This Row],[Int Finish]])</f>
        <v>#REF!</v>
      </c>
      <c r="X332" t="e">
        <f>Table4[[#This Row],[Ext Finish GWP]]+Table4[[#This Row],[Base GWP]]+Table4[[#This Row],[Int Finish GWP]]</f>
        <v>#REF!</v>
      </c>
      <c r="Y332" t="e">
        <f>Table4[[#This Row],[Ext Finish R Value]]+Table4[[#This Row],[Base R Value]]+Table4[[#This Row],[Int Finish R Value]]</f>
        <v>#REF!</v>
      </c>
      <c r="Z332" t="e">
        <f>1/Table4[[#This Row],[Total R value]]</f>
        <v>#REF!</v>
      </c>
      <c r="AA332" t="e">
        <f>Table4[[#This Row],[Int Finish Mass]]+Table4[[#This Row],[Ext Finish Mass]]+Table4[[#This Row],[Base Mass]]</f>
        <v>#REF!</v>
      </c>
    </row>
    <row r="333" spans="3:27" x14ac:dyDescent="0.35">
      <c r="C333" t="str">
        <f>_xlfn.CONCAT(Table4[[#This Row],[System Name (Short)]],"_",Table4[[#This Row],[Ext Finish Name (Short)]],"_",Table4[[#This Row],[Int Finish Name (Short)]])</f>
        <v>0_0_0</v>
      </c>
      <c r="E333">
        <f>_xlfn.XLOOKUP(Table4[[#This Row],[Base System]],BASE_SYSTEM_TABLE[System Name],BASE_SYSTEM_TABLE[System Name (Short)],FALSE)</f>
        <v>0</v>
      </c>
      <c r="F333">
        <f>_xlfn.XLOOKUP(Table4[[#This Row],[Base System]],BASE_SYSTEM_TABLE[System Name],BASE_SYSTEM_TABLE[System Type],FALSE)</f>
        <v>0</v>
      </c>
      <c r="G333">
        <f>_xlfn.XLOOKUP(Table4[[#This Row],[Base System]],BASE_SYSTEM_TABLE[System Name],BASE_SYSTEM_TABLE[System Subtype],FALSE)</f>
        <v>0</v>
      </c>
      <c r="H333">
        <f>_xlfn.XLOOKUP(Table4[[#This Row],[Base System]],BASE_SYSTEM_TABLE[System Name],BASE_SYSTEM_TABLE[Construction Type (Framed or Planar)],FALSE)</f>
        <v>0</v>
      </c>
      <c r="I333" t="e">
        <f>GETPIVOTDATA("Sum of A1-A3 Fossil kg CO2e/m^2 wall area",'COMPONENT PIVOT REF'!$A$3,"System Name",Table4[[#This Row],[Base System]])</f>
        <v>#REF!</v>
      </c>
      <c r="J333" t="e">
        <f>GETPIVOTDATA("Sum of  R value (m^2-K/W)",'COMPONENT PIVOT REF'!$A$3,"System Name",Table4[[#This Row],[Base System]])</f>
        <v>#REF!</v>
      </c>
      <c r="K333" t="e">
        <f>GETPIVOTDATA("Sum of Total Mass per m^2 (kg)",'COMPONENT PIVOT REF'!$A$3,"System Name",Table4[[#This Row],[Base System]])</f>
        <v>#REF!</v>
      </c>
      <c r="M333">
        <f>_xlfn.XLOOKUP(Table4[[#This Row],[Ext Finish]],Master_Table4[System Name],Master_Table4[System Name (Short)],FALSE)</f>
        <v>0</v>
      </c>
      <c r="N333">
        <f>_xlfn.XLOOKUP(Table4[[#This Row],[Ext Finish]],Master_Table4[System Name],Master_Table4[Compatible Systems],FALSE)</f>
        <v>0</v>
      </c>
      <c r="O333" t="str">
        <f>IF(ISNUMBER(SEARCH(Table4[[#This Row],[MMC Method]],Table4[[#This Row],[Compatible Systems]])),"YES","NO")</f>
        <v>YES</v>
      </c>
      <c r="P333" t="e">
        <f>GETPIVOTDATA("Sum of A1-A3 Fossil kg CO2e/m^2 wall area",'COMPONENT PIVOT REF'!$I$3,"System Name",Table4[[#This Row],[Ext Finish]])</f>
        <v>#REF!</v>
      </c>
      <c r="Q333" t="e">
        <f>GETPIVOTDATA("Sum of  R value (m^2-K/W)",'COMPONENT PIVOT REF'!$I$3,"System Name",Table4[[#This Row],[Ext Finish]])</f>
        <v>#REF!</v>
      </c>
      <c r="R333" t="e">
        <f>GETPIVOTDATA("Sum of Total Mass per m^2 (kg)",'COMPONENT PIVOT REF'!$I$3,"System Name",Table4[[#This Row],[Ext Finish]])</f>
        <v>#REF!</v>
      </c>
      <c r="T333">
        <f>_xlfn.XLOOKUP(Table4[[#This Row],[Int Finish]],Master_Table6[System Name],Master_Table6[System Name (Short)],FALSE)</f>
        <v>0</v>
      </c>
      <c r="U333" t="e">
        <f>GETPIVOTDATA("Sum of A1-A3 Fossil kg CO2e/m^2 wall area",'COMPONENT PIVOT REF'!$P$3,"System Name",Table4[[#This Row],[Int Finish]])</f>
        <v>#REF!</v>
      </c>
      <c r="V333" t="e">
        <f>GETPIVOTDATA("Sum of  R value (m^2-K/W)",'COMPONENT PIVOT REF'!$P$3,"System Name",Table4[[#This Row],[Int Finish]])</f>
        <v>#REF!</v>
      </c>
      <c r="W333" t="e">
        <f>GETPIVOTDATA("Sum of Total Mass per m^2 (kg)",'COMPONENT PIVOT REF'!$P$3,"System Name",Table4[[#This Row],[Int Finish]])</f>
        <v>#REF!</v>
      </c>
      <c r="X333" t="e">
        <f>Table4[[#This Row],[Ext Finish GWP]]+Table4[[#This Row],[Base GWP]]+Table4[[#This Row],[Int Finish GWP]]</f>
        <v>#REF!</v>
      </c>
      <c r="Y333" t="e">
        <f>Table4[[#This Row],[Ext Finish R Value]]+Table4[[#This Row],[Base R Value]]+Table4[[#This Row],[Int Finish R Value]]</f>
        <v>#REF!</v>
      </c>
      <c r="Z333" t="e">
        <f>1/Table4[[#This Row],[Total R value]]</f>
        <v>#REF!</v>
      </c>
      <c r="AA333" t="e">
        <f>Table4[[#This Row],[Int Finish Mass]]+Table4[[#This Row],[Ext Finish Mass]]+Table4[[#This Row],[Base Mass]]</f>
        <v>#REF!</v>
      </c>
    </row>
    <row r="334" spans="3:27" x14ac:dyDescent="0.35">
      <c r="C334" t="str">
        <f>_xlfn.CONCAT(Table4[[#This Row],[System Name (Short)]],"_",Table4[[#This Row],[Ext Finish Name (Short)]],"_",Table4[[#This Row],[Int Finish Name (Short)]])</f>
        <v>0_0_0</v>
      </c>
      <c r="E334">
        <f>_xlfn.XLOOKUP(Table4[[#This Row],[Base System]],BASE_SYSTEM_TABLE[System Name],BASE_SYSTEM_TABLE[System Name (Short)],FALSE)</f>
        <v>0</v>
      </c>
      <c r="F334">
        <f>_xlfn.XLOOKUP(Table4[[#This Row],[Base System]],BASE_SYSTEM_TABLE[System Name],BASE_SYSTEM_TABLE[System Type],FALSE)</f>
        <v>0</v>
      </c>
      <c r="G334">
        <f>_xlfn.XLOOKUP(Table4[[#This Row],[Base System]],BASE_SYSTEM_TABLE[System Name],BASE_SYSTEM_TABLE[System Subtype],FALSE)</f>
        <v>0</v>
      </c>
      <c r="H334">
        <f>_xlfn.XLOOKUP(Table4[[#This Row],[Base System]],BASE_SYSTEM_TABLE[System Name],BASE_SYSTEM_TABLE[Construction Type (Framed or Planar)],FALSE)</f>
        <v>0</v>
      </c>
      <c r="I334" t="e">
        <f>GETPIVOTDATA("Sum of A1-A3 Fossil kg CO2e/m^2 wall area",'COMPONENT PIVOT REF'!$A$3,"System Name",Table4[[#This Row],[Base System]])</f>
        <v>#REF!</v>
      </c>
      <c r="J334" t="e">
        <f>GETPIVOTDATA("Sum of  R value (m^2-K/W)",'COMPONENT PIVOT REF'!$A$3,"System Name",Table4[[#This Row],[Base System]])</f>
        <v>#REF!</v>
      </c>
      <c r="K334" t="e">
        <f>GETPIVOTDATA("Sum of Total Mass per m^2 (kg)",'COMPONENT PIVOT REF'!$A$3,"System Name",Table4[[#This Row],[Base System]])</f>
        <v>#REF!</v>
      </c>
      <c r="M334">
        <f>_xlfn.XLOOKUP(Table4[[#This Row],[Ext Finish]],Master_Table4[System Name],Master_Table4[System Name (Short)],FALSE)</f>
        <v>0</v>
      </c>
      <c r="N334">
        <f>_xlfn.XLOOKUP(Table4[[#This Row],[Ext Finish]],Master_Table4[System Name],Master_Table4[Compatible Systems],FALSE)</f>
        <v>0</v>
      </c>
      <c r="O334" t="str">
        <f>IF(ISNUMBER(SEARCH(Table4[[#This Row],[MMC Method]],Table4[[#This Row],[Compatible Systems]])),"YES","NO")</f>
        <v>YES</v>
      </c>
      <c r="P334" t="e">
        <f>GETPIVOTDATA("Sum of A1-A3 Fossil kg CO2e/m^2 wall area",'COMPONENT PIVOT REF'!$I$3,"System Name",Table4[[#This Row],[Ext Finish]])</f>
        <v>#REF!</v>
      </c>
      <c r="Q334" t="e">
        <f>GETPIVOTDATA("Sum of  R value (m^2-K/W)",'COMPONENT PIVOT REF'!$I$3,"System Name",Table4[[#This Row],[Ext Finish]])</f>
        <v>#REF!</v>
      </c>
      <c r="R334" t="e">
        <f>GETPIVOTDATA("Sum of Total Mass per m^2 (kg)",'COMPONENT PIVOT REF'!$I$3,"System Name",Table4[[#This Row],[Ext Finish]])</f>
        <v>#REF!</v>
      </c>
      <c r="T334">
        <f>_xlfn.XLOOKUP(Table4[[#This Row],[Int Finish]],Master_Table6[System Name],Master_Table6[System Name (Short)],FALSE)</f>
        <v>0</v>
      </c>
      <c r="U334" t="e">
        <f>GETPIVOTDATA("Sum of A1-A3 Fossil kg CO2e/m^2 wall area",'COMPONENT PIVOT REF'!$P$3,"System Name",Table4[[#This Row],[Int Finish]])</f>
        <v>#REF!</v>
      </c>
      <c r="V334" t="e">
        <f>GETPIVOTDATA("Sum of  R value (m^2-K/W)",'COMPONENT PIVOT REF'!$P$3,"System Name",Table4[[#This Row],[Int Finish]])</f>
        <v>#REF!</v>
      </c>
      <c r="W334" t="e">
        <f>GETPIVOTDATA("Sum of Total Mass per m^2 (kg)",'COMPONENT PIVOT REF'!$P$3,"System Name",Table4[[#This Row],[Int Finish]])</f>
        <v>#REF!</v>
      </c>
      <c r="X334" t="e">
        <f>Table4[[#This Row],[Ext Finish GWP]]+Table4[[#This Row],[Base GWP]]+Table4[[#This Row],[Int Finish GWP]]</f>
        <v>#REF!</v>
      </c>
      <c r="Y334" t="e">
        <f>Table4[[#This Row],[Ext Finish R Value]]+Table4[[#This Row],[Base R Value]]+Table4[[#This Row],[Int Finish R Value]]</f>
        <v>#REF!</v>
      </c>
      <c r="Z334" t="e">
        <f>1/Table4[[#This Row],[Total R value]]</f>
        <v>#REF!</v>
      </c>
      <c r="AA334" t="e">
        <f>Table4[[#This Row],[Int Finish Mass]]+Table4[[#This Row],[Ext Finish Mass]]+Table4[[#This Row],[Base Mass]]</f>
        <v>#REF!</v>
      </c>
    </row>
    <row r="335" spans="3:27" x14ac:dyDescent="0.35">
      <c r="C335" t="str">
        <f>_xlfn.CONCAT(Table4[[#This Row],[System Name (Short)]],"_",Table4[[#This Row],[Ext Finish Name (Short)]],"_",Table4[[#This Row],[Int Finish Name (Short)]])</f>
        <v>0_0_0</v>
      </c>
      <c r="E335">
        <f>_xlfn.XLOOKUP(Table4[[#This Row],[Base System]],BASE_SYSTEM_TABLE[System Name],BASE_SYSTEM_TABLE[System Name (Short)],FALSE)</f>
        <v>0</v>
      </c>
      <c r="F335">
        <f>_xlfn.XLOOKUP(Table4[[#This Row],[Base System]],BASE_SYSTEM_TABLE[System Name],BASE_SYSTEM_TABLE[System Type],FALSE)</f>
        <v>0</v>
      </c>
      <c r="G335">
        <f>_xlfn.XLOOKUP(Table4[[#This Row],[Base System]],BASE_SYSTEM_TABLE[System Name],BASE_SYSTEM_TABLE[System Subtype],FALSE)</f>
        <v>0</v>
      </c>
      <c r="H335">
        <f>_xlfn.XLOOKUP(Table4[[#This Row],[Base System]],BASE_SYSTEM_TABLE[System Name],BASE_SYSTEM_TABLE[Construction Type (Framed or Planar)],FALSE)</f>
        <v>0</v>
      </c>
      <c r="I335" t="e">
        <f>GETPIVOTDATA("Sum of A1-A3 Fossil kg CO2e/m^2 wall area",'COMPONENT PIVOT REF'!$A$3,"System Name",Table4[[#This Row],[Base System]])</f>
        <v>#REF!</v>
      </c>
      <c r="J335" t="e">
        <f>GETPIVOTDATA("Sum of  R value (m^2-K/W)",'COMPONENT PIVOT REF'!$A$3,"System Name",Table4[[#This Row],[Base System]])</f>
        <v>#REF!</v>
      </c>
      <c r="K335" t="e">
        <f>GETPIVOTDATA("Sum of Total Mass per m^2 (kg)",'COMPONENT PIVOT REF'!$A$3,"System Name",Table4[[#This Row],[Base System]])</f>
        <v>#REF!</v>
      </c>
      <c r="M335">
        <f>_xlfn.XLOOKUP(Table4[[#This Row],[Ext Finish]],Master_Table4[System Name],Master_Table4[System Name (Short)],FALSE)</f>
        <v>0</v>
      </c>
      <c r="N335">
        <f>_xlfn.XLOOKUP(Table4[[#This Row],[Ext Finish]],Master_Table4[System Name],Master_Table4[Compatible Systems],FALSE)</f>
        <v>0</v>
      </c>
      <c r="O335" t="str">
        <f>IF(ISNUMBER(SEARCH(Table4[[#This Row],[MMC Method]],Table4[[#This Row],[Compatible Systems]])),"YES","NO")</f>
        <v>YES</v>
      </c>
      <c r="P335" t="e">
        <f>GETPIVOTDATA("Sum of A1-A3 Fossil kg CO2e/m^2 wall area",'COMPONENT PIVOT REF'!$I$3,"System Name",Table4[[#This Row],[Ext Finish]])</f>
        <v>#REF!</v>
      </c>
      <c r="Q335" t="e">
        <f>GETPIVOTDATA("Sum of  R value (m^2-K/W)",'COMPONENT PIVOT REF'!$I$3,"System Name",Table4[[#This Row],[Ext Finish]])</f>
        <v>#REF!</v>
      </c>
      <c r="R335" t="e">
        <f>GETPIVOTDATA("Sum of Total Mass per m^2 (kg)",'COMPONENT PIVOT REF'!$I$3,"System Name",Table4[[#This Row],[Ext Finish]])</f>
        <v>#REF!</v>
      </c>
      <c r="T335">
        <f>_xlfn.XLOOKUP(Table4[[#This Row],[Int Finish]],Master_Table6[System Name],Master_Table6[System Name (Short)],FALSE)</f>
        <v>0</v>
      </c>
      <c r="U335" t="e">
        <f>GETPIVOTDATA("Sum of A1-A3 Fossil kg CO2e/m^2 wall area",'COMPONENT PIVOT REF'!$P$3,"System Name",Table4[[#This Row],[Int Finish]])</f>
        <v>#REF!</v>
      </c>
      <c r="V335" t="e">
        <f>GETPIVOTDATA("Sum of  R value (m^2-K/W)",'COMPONENT PIVOT REF'!$P$3,"System Name",Table4[[#This Row],[Int Finish]])</f>
        <v>#REF!</v>
      </c>
      <c r="W335" t="e">
        <f>GETPIVOTDATA("Sum of Total Mass per m^2 (kg)",'COMPONENT PIVOT REF'!$P$3,"System Name",Table4[[#This Row],[Int Finish]])</f>
        <v>#REF!</v>
      </c>
      <c r="X335" t="e">
        <f>Table4[[#This Row],[Ext Finish GWP]]+Table4[[#This Row],[Base GWP]]+Table4[[#This Row],[Int Finish GWP]]</f>
        <v>#REF!</v>
      </c>
      <c r="Y335" t="e">
        <f>Table4[[#This Row],[Ext Finish R Value]]+Table4[[#This Row],[Base R Value]]+Table4[[#This Row],[Int Finish R Value]]</f>
        <v>#REF!</v>
      </c>
      <c r="Z335" t="e">
        <f>1/Table4[[#This Row],[Total R value]]</f>
        <v>#REF!</v>
      </c>
      <c r="AA335" t="e">
        <f>Table4[[#This Row],[Int Finish Mass]]+Table4[[#This Row],[Ext Finish Mass]]+Table4[[#This Row],[Base Mass]]</f>
        <v>#REF!</v>
      </c>
    </row>
    <row r="336" spans="3:27" x14ac:dyDescent="0.35">
      <c r="C336" t="str">
        <f>_xlfn.CONCAT(Table4[[#This Row],[System Name (Short)]],"_",Table4[[#This Row],[Ext Finish Name (Short)]],"_",Table4[[#This Row],[Int Finish Name (Short)]])</f>
        <v>0_0_0</v>
      </c>
      <c r="E336">
        <f>_xlfn.XLOOKUP(Table4[[#This Row],[Base System]],BASE_SYSTEM_TABLE[System Name],BASE_SYSTEM_TABLE[System Name (Short)],FALSE)</f>
        <v>0</v>
      </c>
      <c r="F336">
        <f>_xlfn.XLOOKUP(Table4[[#This Row],[Base System]],BASE_SYSTEM_TABLE[System Name],BASE_SYSTEM_TABLE[System Type],FALSE)</f>
        <v>0</v>
      </c>
      <c r="G336">
        <f>_xlfn.XLOOKUP(Table4[[#This Row],[Base System]],BASE_SYSTEM_TABLE[System Name],BASE_SYSTEM_TABLE[System Subtype],FALSE)</f>
        <v>0</v>
      </c>
      <c r="H336">
        <f>_xlfn.XLOOKUP(Table4[[#This Row],[Base System]],BASE_SYSTEM_TABLE[System Name],BASE_SYSTEM_TABLE[Construction Type (Framed or Planar)],FALSE)</f>
        <v>0</v>
      </c>
      <c r="I336" t="e">
        <f>GETPIVOTDATA("Sum of A1-A3 Fossil kg CO2e/m^2 wall area",'COMPONENT PIVOT REF'!$A$3,"System Name",Table4[[#This Row],[Base System]])</f>
        <v>#REF!</v>
      </c>
      <c r="J336" t="e">
        <f>GETPIVOTDATA("Sum of  R value (m^2-K/W)",'COMPONENT PIVOT REF'!$A$3,"System Name",Table4[[#This Row],[Base System]])</f>
        <v>#REF!</v>
      </c>
      <c r="K336" t="e">
        <f>GETPIVOTDATA("Sum of Total Mass per m^2 (kg)",'COMPONENT PIVOT REF'!$A$3,"System Name",Table4[[#This Row],[Base System]])</f>
        <v>#REF!</v>
      </c>
      <c r="M336">
        <f>_xlfn.XLOOKUP(Table4[[#This Row],[Ext Finish]],Master_Table4[System Name],Master_Table4[System Name (Short)],FALSE)</f>
        <v>0</v>
      </c>
      <c r="N336">
        <f>_xlfn.XLOOKUP(Table4[[#This Row],[Ext Finish]],Master_Table4[System Name],Master_Table4[Compatible Systems],FALSE)</f>
        <v>0</v>
      </c>
      <c r="O336" t="str">
        <f>IF(ISNUMBER(SEARCH(Table4[[#This Row],[MMC Method]],Table4[[#This Row],[Compatible Systems]])),"YES","NO")</f>
        <v>YES</v>
      </c>
      <c r="P336" t="e">
        <f>GETPIVOTDATA("Sum of A1-A3 Fossil kg CO2e/m^2 wall area",'COMPONENT PIVOT REF'!$I$3,"System Name",Table4[[#This Row],[Ext Finish]])</f>
        <v>#REF!</v>
      </c>
      <c r="Q336" t="e">
        <f>GETPIVOTDATA("Sum of  R value (m^2-K/W)",'COMPONENT PIVOT REF'!$I$3,"System Name",Table4[[#This Row],[Ext Finish]])</f>
        <v>#REF!</v>
      </c>
      <c r="R336" t="e">
        <f>GETPIVOTDATA("Sum of Total Mass per m^2 (kg)",'COMPONENT PIVOT REF'!$I$3,"System Name",Table4[[#This Row],[Ext Finish]])</f>
        <v>#REF!</v>
      </c>
      <c r="T336">
        <f>_xlfn.XLOOKUP(Table4[[#This Row],[Int Finish]],Master_Table6[System Name],Master_Table6[System Name (Short)],FALSE)</f>
        <v>0</v>
      </c>
      <c r="U336" t="e">
        <f>GETPIVOTDATA("Sum of A1-A3 Fossil kg CO2e/m^2 wall area",'COMPONENT PIVOT REF'!$P$3,"System Name",Table4[[#This Row],[Int Finish]])</f>
        <v>#REF!</v>
      </c>
      <c r="V336" t="e">
        <f>GETPIVOTDATA("Sum of  R value (m^2-K/W)",'COMPONENT PIVOT REF'!$P$3,"System Name",Table4[[#This Row],[Int Finish]])</f>
        <v>#REF!</v>
      </c>
      <c r="W336" t="e">
        <f>GETPIVOTDATA("Sum of Total Mass per m^2 (kg)",'COMPONENT PIVOT REF'!$P$3,"System Name",Table4[[#This Row],[Int Finish]])</f>
        <v>#REF!</v>
      </c>
      <c r="X336" t="e">
        <f>Table4[[#This Row],[Ext Finish GWP]]+Table4[[#This Row],[Base GWP]]+Table4[[#This Row],[Int Finish GWP]]</f>
        <v>#REF!</v>
      </c>
      <c r="Y336" t="e">
        <f>Table4[[#This Row],[Ext Finish R Value]]+Table4[[#This Row],[Base R Value]]+Table4[[#This Row],[Int Finish R Value]]</f>
        <v>#REF!</v>
      </c>
      <c r="Z336" t="e">
        <f>1/Table4[[#This Row],[Total R value]]</f>
        <v>#REF!</v>
      </c>
      <c r="AA336" t="e">
        <f>Table4[[#This Row],[Int Finish Mass]]+Table4[[#This Row],[Ext Finish Mass]]+Table4[[#This Row],[Base Mass]]</f>
        <v>#REF!</v>
      </c>
    </row>
    <row r="337" spans="3:27" x14ac:dyDescent="0.35">
      <c r="C337" t="str">
        <f>_xlfn.CONCAT(Table4[[#This Row],[System Name (Short)]],"_",Table4[[#This Row],[Ext Finish Name (Short)]],"_",Table4[[#This Row],[Int Finish Name (Short)]])</f>
        <v>0_0_0</v>
      </c>
      <c r="E337">
        <f>_xlfn.XLOOKUP(Table4[[#This Row],[Base System]],BASE_SYSTEM_TABLE[System Name],BASE_SYSTEM_TABLE[System Name (Short)],FALSE)</f>
        <v>0</v>
      </c>
      <c r="F337">
        <f>_xlfn.XLOOKUP(Table4[[#This Row],[Base System]],BASE_SYSTEM_TABLE[System Name],BASE_SYSTEM_TABLE[System Type],FALSE)</f>
        <v>0</v>
      </c>
      <c r="G337">
        <f>_xlfn.XLOOKUP(Table4[[#This Row],[Base System]],BASE_SYSTEM_TABLE[System Name],BASE_SYSTEM_TABLE[System Subtype],FALSE)</f>
        <v>0</v>
      </c>
      <c r="H337">
        <f>_xlfn.XLOOKUP(Table4[[#This Row],[Base System]],BASE_SYSTEM_TABLE[System Name],BASE_SYSTEM_TABLE[Construction Type (Framed or Planar)],FALSE)</f>
        <v>0</v>
      </c>
      <c r="I337" t="e">
        <f>GETPIVOTDATA("Sum of A1-A3 Fossil kg CO2e/m^2 wall area",'COMPONENT PIVOT REF'!$A$3,"System Name",Table4[[#This Row],[Base System]])</f>
        <v>#REF!</v>
      </c>
      <c r="J337" t="e">
        <f>GETPIVOTDATA("Sum of  R value (m^2-K/W)",'COMPONENT PIVOT REF'!$A$3,"System Name",Table4[[#This Row],[Base System]])</f>
        <v>#REF!</v>
      </c>
      <c r="K337" t="e">
        <f>GETPIVOTDATA("Sum of Total Mass per m^2 (kg)",'COMPONENT PIVOT REF'!$A$3,"System Name",Table4[[#This Row],[Base System]])</f>
        <v>#REF!</v>
      </c>
      <c r="M337">
        <f>_xlfn.XLOOKUP(Table4[[#This Row],[Ext Finish]],Master_Table4[System Name],Master_Table4[System Name (Short)],FALSE)</f>
        <v>0</v>
      </c>
      <c r="N337">
        <f>_xlfn.XLOOKUP(Table4[[#This Row],[Ext Finish]],Master_Table4[System Name],Master_Table4[Compatible Systems],FALSE)</f>
        <v>0</v>
      </c>
      <c r="O337" t="str">
        <f>IF(ISNUMBER(SEARCH(Table4[[#This Row],[MMC Method]],Table4[[#This Row],[Compatible Systems]])),"YES","NO")</f>
        <v>YES</v>
      </c>
      <c r="P337" t="e">
        <f>GETPIVOTDATA("Sum of A1-A3 Fossil kg CO2e/m^2 wall area",'COMPONENT PIVOT REF'!$I$3,"System Name",Table4[[#This Row],[Ext Finish]])</f>
        <v>#REF!</v>
      </c>
      <c r="Q337" t="e">
        <f>GETPIVOTDATA("Sum of  R value (m^2-K/W)",'COMPONENT PIVOT REF'!$I$3,"System Name",Table4[[#This Row],[Ext Finish]])</f>
        <v>#REF!</v>
      </c>
      <c r="R337" t="e">
        <f>GETPIVOTDATA("Sum of Total Mass per m^2 (kg)",'COMPONENT PIVOT REF'!$I$3,"System Name",Table4[[#This Row],[Ext Finish]])</f>
        <v>#REF!</v>
      </c>
      <c r="T337">
        <f>_xlfn.XLOOKUP(Table4[[#This Row],[Int Finish]],Master_Table6[System Name],Master_Table6[System Name (Short)],FALSE)</f>
        <v>0</v>
      </c>
      <c r="U337" t="e">
        <f>GETPIVOTDATA("Sum of A1-A3 Fossil kg CO2e/m^2 wall area",'COMPONENT PIVOT REF'!$P$3,"System Name",Table4[[#This Row],[Int Finish]])</f>
        <v>#REF!</v>
      </c>
      <c r="V337" t="e">
        <f>GETPIVOTDATA("Sum of  R value (m^2-K/W)",'COMPONENT PIVOT REF'!$P$3,"System Name",Table4[[#This Row],[Int Finish]])</f>
        <v>#REF!</v>
      </c>
      <c r="W337" t="e">
        <f>GETPIVOTDATA("Sum of Total Mass per m^2 (kg)",'COMPONENT PIVOT REF'!$P$3,"System Name",Table4[[#This Row],[Int Finish]])</f>
        <v>#REF!</v>
      </c>
      <c r="X337" t="e">
        <f>Table4[[#This Row],[Ext Finish GWP]]+Table4[[#This Row],[Base GWP]]+Table4[[#This Row],[Int Finish GWP]]</f>
        <v>#REF!</v>
      </c>
      <c r="Y337" t="e">
        <f>Table4[[#This Row],[Ext Finish R Value]]+Table4[[#This Row],[Base R Value]]+Table4[[#This Row],[Int Finish R Value]]</f>
        <v>#REF!</v>
      </c>
      <c r="Z337" t="e">
        <f>1/Table4[[#This Row],[Total R value]]</f>
        <v>#REF!</v>
      </c>
      <c r="AA337" t="e">
        <f>Table4[[#This Row],[Int Finish Mass]]+Table4[[#This Row],[Ext Finish Mass]]+Table4[[#This Row],[Base Mass]]</f>
        <v>#REF!</v>
      </c>
    </row>
    <row r="338" spans="3:27" x14ac:dyDescent="0.35">
      <c r="C338" t="str">
        <f>_xlfn.CONCAT(Table4[[#This Row],[System Name (Short)]],"_",Table4[[#This Row],[Ext Finish Name (Short)]],"_",Table4[[#This Row],[Int Finish Name (Short)]])</f>
        <v>0_0_0</v>
      </c>
      <c r="E338">
        <f>_xlfn.XLOOKUP(Table4[[#This Row],[Base System]],BASE_SYSTEM_TABLE[System Name],BASE_SYSTEM_TABLE[System Name (Short)],FALSE)</f>
        <v>0</v>
      </c>
      <c r="F338">
        <f>_xlfn.XLOOKUP(Table4[[#This Row],[Base System]],BASE_SYSTEM_TABLE[System Name],BASE_SYSTEM_TABLE[System Type],FALSE)</f>
        <v>0</v>
      </c>
      <c r="G338">
        <f>_xlfn.XLOOKUP(Table4[[#This Row],[Base System]],BASE_SYSTEM_TABLE[System Name],BASE_SYSTEM_TABLE[System Subtype],FALSE)</f>
        <v>0</v>
      </c>
      <c r="H338">
        <f>_xlfn.XLOOKUP(Table4[[#This Row],[Base System]],BASE_SYSTEM_TABLE[System Name],BASE_SYSTEM_TABLE[Construction Type (Framed or Planar)],FALSE)</f>
        <v>0</v>
      </c>
      <c r="I338" t="e">
        <f>GETPIVOTDATA("Sum of A1-A3 Fossil kg CO2e/m^2 wall area",'COMPONENT PIVOT REF'!$A$3,"System Name",Table4[[#This Row],[Base System]])</f>
        <v>#REF!</v>
      </c>
      <c r="J338" t="e">
        <f>GETPIVOTDATA("Sum of  R value (m^2-K/W)",'COMPONENT PIVOT REF'!$A$3,"System Name",Table4[[#This Row],[Base System]])</f>
        <v>#REF!</v>
      </c>
      <c r="K338" t="e">
        <f>GETPIVOTDATA("Sum of Total Mass per m^2 (kg)",'COMPONENT PIVOT REF'!$A$3,"System Name",Table4[[#This Row],[Base System]])</f>
        <v>#REF!</v>
      </c>
      <c r="M338">
        <f>_xlfn.XLOOKUP(Table4[[#This Row],[Ext Finish]],Master_Table4[System Name],Master_Table4[System Name (Short)],FALSE)</f>
        <v>0</v>
      </c>
      <c r="N338">
        <f>_xlfn.XLOOKUP(Table4[[#This Row],[Ext Finish]],Master_Table4[System Name],Master_Table4[Compatible Systems],FALSE)</f>
        <v>0</v>
      </c>
      <c r="O338" t="str">
        <f>IF(ISNUMBER(SEARCH(Table4[[#This Row],[MMC Method]],Table4[[#This Row],[Compatible Systems]])),"YES","NO")</f>
        <v>YES</v>
      </c>
      <c r="P338" t="e">
        <f>GETPIVOTDATA("Sum of A1-A3 Fossil kg CO2e/m^2 wall area",'COMPONENT PIVOT REF'!$I$3,"System Name",Table4[[#This Row],[Ext Finish]])</f>
        <v>#REF!</v>
      </c>
      <c r="Q338" t="e">
        <f>GETPIVOTDATA("Sum of  R value (m^2-K/W)",'COMPONENT PIVOT REF'!$I$3,"System Name",Table4[[#This Row],[Ext Finish]])</f>
        <v>#REF!</v>
      </c>
      <c r="R338" t="e">
        <f>GETPIVOTDATA("Sum of Total Mass per m^2 (kg)",'COMPONENT PIVOT REF'!$I$3,"System Name",Table4[[#This Row],[Ext Finish]])</f>
        <v>#REF!</v>
      </c>
      <c r="T338">
        <f>_xlfn.XLOOKUP(Table4[[#This Row],[Int Finish]],Master_Table6[System Name],Master_Table6[System Name (Short)],FALSE)</f>
        <v>0</v>
      </c>
      <c r="U338" t="e">
        <f>GETPIVOTDATA("Sum of A1-A3 Fossil kg CO2e/m^2 wall area",'COMPONENT PIVOT REF'!$P$3,"System Name",Table4[[#This Row],[Int Finish]])</f>
        <v>#REF!</v>
      </c>
      <c r="V338" t="e">
        <f>GETPIVOTDATA("Sum of  R value (m^2-K/W)",'COMPONENT PIVOT REF'!$P$3,"System Name",Table4[[#This Row],[Int Finish]])</f>
        <v>#REF!</v>
      </c>
      <c r="W338" t="e">
        <f>GETPIVOTDATA("Sum of Total Mass per m^2 (kg)",'COMPONENT PIVOT REF'!$P$3,"System Name",Table4[[#This Row],[Int Finish]])</f>
        <v>#REF!</v>
      </c>
      <c r="X338" t="e">
        <f>Table4[[#This Row],[Ext Finish GWP]]+Table4[[#This Row],[Base GWP]]+Table4[[#This Row],[Int Finish GWP]]</f>
        <v>#REF!</v>
      </c>
      <c r="Y338" t="e">
        <f>Table4[[#This Row],[Ext Finish R Value]]+Table4[[#This Row],[Base R Value]]+Table4[[#This Row],[Int Finish R Value]]</f>
        <v>#REF!</v>
      </c>
      <c r="Z338" t="e">
        <f>1/Table4[[#This Row],[Total R value]]</f>
        <v>#REF!</v>
      </c>
      <c r="AA338" t="e">
        <f>Table4[[#This Row],[Int Finish Mass]]+Table4[[#This Row],[Ext Finish Mass]]+Table4[[#This Row],[Base Mass]]</f>
        <v>#REF!</v>
      </c>
    </row>
    <row r="339" spans="3:27" x14ac:dyDescent="0.35">
      <c r="C339" t="str">
        <f>_xlfn.CONCAT(Table4[[#This Row],[System Name (Short)]],"_",Table4[[#This Row],[Ext Finish Name (Short)]],"_",Table4[[#This Row],[Int Finish Name (Short)]])</f>
        <v>0_0_0</v>
      </c>
      <c r="E339">
        <f>_xlfn.XLOOKUP(Table4[[#This Row],[Base System]],BASE_SYSTEM_TABLE[System Name],BASE_SYSTEM_TABLE[System Name (Short)],FALSE)</f>
        <v>0</v>
      </c>
      <c r="F339">
        <f>_xlfn.XLOOKUP(Table4[[#This Row],[Base System]],BASE_SYSTEM_TABLE[System Name],BASE_SYSTEM_TABLE[System Type],FALSE)</f>
        <v>0</v>
      </c>
      <c r="G339">
        <f>_xlfn.XLOOKUP(Table4[[#This Row],[Base System]],BASE_SYSTEM_TABLE[System Name],BASE_SYSTEM_TABLE[System Subtype],FALSE)</f>
        <v>0</v>
      </c>
      <c r="H339">
        <f>_xlfn.XLOOKUP(Table4[[#This Row],[Base System]],BASE_SYSTEM_TABLE[System Name],BASE_SYSTEM_TABLE[Construction Type (Framed or Planar)],FALSE)</f>
        <v>0</v>
      </c>
      <c r="I339" t="e">
        <f>GETPIVOTDATA("Sum of A1-A3 Fossil kg CO2e/m^2 wall area",'COMPONENT PIVOT REF'!$A$3,"System Name",Table4[[#This Row],[Base System]])</f>
        <v>#REF!</v>
      </c>
      <c r="J339" t="e">
        <f>GETPIVOTDATA("Sum of  R value (m^2-K/W)",'COMPONENT PIVOT REF'!$A$3,"System Name",Table4[[#This Row],[Base System]])</f>
        <v>#REF!</v>
      </c>
      <c r="K339" t="e">
        <f>GETPIVOTDATA("Sum of Total Mass per m^2 (kg)",'COMPONENT PIVOT REF'!$A$3,"System Name",Table4[[#This Row],[Base System]])</f>
        <v>#REF!</v>
      </c>
      <c r="M339">
        <f>_xlfn.XLOOKUP(Table4[[#This Row],[Ext Finish]],Master_Table4[System Name],Master_Table4[System Name (Short)],FALSE)</f>
        <v>0</v>
      </c>
      <c r="N339">
        <f>_xlfn.XLOOKUP(Table4[[#This Row],[Ext Finish]],Master_Table4[System Name],Master_Table4[Compatible Systems],FALSE)</f>
        <v>0</v>
      </c>
      <c r="O339" t="str">
        <f>IF(ISNUMBER(SEARCH(Table4[[#This Row],[MMC Method]],Table4[[#This Row],[Compatible Systems]])),"YES","NO")</f>
        <v>YES</v>
      </c>
      <c r="P339" t="e">
        <f>GETPIVOTDATA("Sum of A1-A3 Fossil kg CO2e/m^2 wall area",'COMPONENT PIVOT REF'!$I$3,"System Name",Table4[[#This Row],[Ext Finish]])</f>
        <v>#REF!</v>
      </c>
      <c r="Q339" t="e">
        <f>GETPIVOTDATA("Sum of  R value (m^2-K/W)",'COMPONENT PIVOT REF'!$I$3,"System Name",Table4[[#This Row],[Ext Finish]])</f>
        <v>#REF!</v>
      </c>
      <c r="R339" t="e">
        <f>GETPIVOTDATA("Sum of Total Mass per m^2 (kg)",'COMPONENT PIVOT REF'!$I$3,"System Name",Table4[[#This Row],[Ext Finish]])</f>
        <v>#REF!</v>
      </c>
      <c r="T339">
        <f>_xlfn.XLOOKUP(Table4[[#This Row],[Int Finish]],Master_Table6[System Name],Master_Table6[System Name (Short)],FALSE)</f>
        <v>0</v>
      </c>
      <c r="U339" t="e">
        <f>GETPIVOTDATA("Sum of A1-A3 Fossil kg CO2e/m^2 wall area",'COMPONENT PIVOT REF'!$P$3,"System Name",Table4[[#This Row],[Int Finish]])</f>
        <v>#REF!</v>
      </c>
      <c r="V339" t="e">
        <f>GETPIVOTDATA("Sum of  R value (m^2-K/W)",'COMPONENT PIVOT REF'!$P$3,"System Name",Table4[[#This Row],[Int Finish]])</f>
        <v>#REF!</v>
      </c>
      <c r="W339" t="e">
        <f>GETPIVOTDATA("Sum of Total Mass per m^2 (kg)",'COMPONENT PIVOT REF'!$P$3,"System Name",Table4[[#This Row],[Int Finish]])</f>
        <v>#REF!</v>
      </c>
      <c r="X339" t="e">
        <f>Table4[[#This Row],[Ext Finish GWP]]+Table4[[#This Row],[Base GWP]]+Table4[[#This Row],[Int Finish GWP]]</f>
        <v>#REF!</v>
      </c>
      <c r="Y339" t="e">
        <f>Table4[[#This Row],[Ext Finish R Value]]+Table4[[#This Row],[Base R Value]]+Table4[[#This Row],[Int Finish R Value]]</f>
        <v>#REF!</v>
      </c>
      <c r="Z339" t="e">
        <f>1/Table4[[#This Row],[Total R value]]</f>
        <v>#REF!</v>
      </c>
      <c r="AA339" t="e">
        <f>Table4[[#This Row],[Int Finish Mass]]+Table4[[#This Row],[Ext Finish Mass]]+Table4[[#This Row],[Base Mass]]</f>
        <v>#REF!</v>
      </c>
    </row>
    <row r="340" spans="3:27" x14ac:dyDescent="0.35">
      <c r="C340" t="str">
        <f>_xlfn.CONCAT(Table4[[#This Row],[System Name (Short)]],"_",Table4[[#This Row],[Ext Finish Name (Short)]],"_",Table4[[#This Row],[Int Finish Name (Short)]])</f>
        <v>0_0_0</v>
      </c>
      <c r="E340">
        <f>_xlfn.XLOOKUP(Table4[[#This Row],[Base System]],BASE_SYSTEM_TABLE[System Name],BASE_SYSTEM_TABLE[System Name (Short)],FALSE)</f>
        <v>0</v>
      </c>
      <c r="F340">
        <f>_xlfn.XLOOKUP(Table4[[#This Row],[Base System]],BASE_SYSTEM_TABLE[System Name],BASE_SYSTEM_TABLE[System Type],FALSE)</f>
        <v>0</v>
      </c>
      <c r="G340">
        <f>_xlfn.XLOOKUP(Table4[[#This Row],[Base System]],BASE_SYSTEM_TABLE[System Name],BASE_SYSTEM_TABLE[System Subtype],FALSE)</f>
        <v>0</v>
      </c>
      <c r="H340">
        <f>_xlfn.XLOOKUP(Table4[[#This Row],[Base System]],BASE_SYSTEM_TABLE[System Name],BASE_SYSTEM_TABLE[Construction Type (Framed or Planar)],FALSE)</f>
        <v>0</v>
      </c>
      <c r="I340" t="e">
        <f>GETPIVOTDATA("Sum of A1-A3 Fossil kg CO2e/m^2 wall area",'COMPONENT PIVOT REF'!$A$3,"System Name",Table4[[#This Row],[Base System]])</f>
        <v>#REF!</v>
      </c>
      <c r="J340" t="e">
        <f>GETPIVOTDATA("Sum of  R value (m^2-K/W)",'COMPONENT PIVOT REF'!$A$3,"System Name",Table4[[#This Row],[Base System]])</f>
        <v>#REF!</v>
      </c>
      <c r="K340" t="e">
        <f>GETPIVOTDATA("Sum of Total Mass per m^2 (kg)",'COMPONENT PIVOT REF'!$A$3,"System Name",Table4[[#This Row],[Base System]])</f>
        <v>#REF!</v>
      </c>
      <c r="M340">
        <f>_xlfn.XLOOKUP(Table4[[#This Row],[Ext Finish]],Master_Table4[System Name],Master_Table4[System Name (Short)],FALSE)</f>
        <v>0</v>
      </c>
      <c r="N340">
        <f>_xlfn.XLOOKUP(Table4[[#This Row],[Ext Finish]],Master_Table4[System Name],Master_Table4[Compatible Systems],FALSE)</f>
        <v>0</v>
      </c>
      <c r="O340" t="str">
        <f>IF(ISNUMBER(SEARCH(Table4[[#This Row],[MMC Method]],Table4[[#This Row],[Compatible Systems]])),"YES","NO")</f>
        <v>YES</v>
      </c>
      <c r="P340" t="e">
        <f>GETPIVOTDATA("Sum of A1-A3 Fossil kg CO2e/m^2 wall area",'COMPONENT PIVOT REF'!$I$3,"System Name",Table4[[#This Row],[Ext Finish]])</f>
        <v>#REF!</v>
      </c>
      <c r="Q340" t="e">
        <f>GETPIVOTDATA("Sum of  R value (m^2-K/W)",'COMPONENT PIVOT REF'!$I$3,"System Name",Table4[[#This Row],[Ext Finish]])</f>
        <v>#REF!</v>
      </c>
      <c r="R340" t="e">
        <f>GETPIVOTDATA("Sum of Total Mass per m^2 (kg)",'COMPONENT PIVOT REF'!$I$3,"System Name",Table4[[#This Row],[Ext Finish]])</f>
        <v>#REF!</v>
      </c>
      <c r="T340">
        <f>_xlfn.XLOOKUP(Table4[[#This Row],[Int Finish]],Master_Table6[System Name],Master_Table6[System Name (Short)],FALSE)</f>
        <v>0</v>
      </c>
      <c r="U340" t="e">
        <f>GETPIVOTDATA("Sum of A1-A3 Fossil kg CO2e/m^2 wall area",'COMPONENT PIVOT REF'!$P$3,"System Name",Table4[[#This Row],[Int Finish]])</f>
        <v>#REF!</v>
      </c>
      <c r="V340" t="e">
        <f>GETPIVOTDATA("Sum of  R value (m^2-K/W)",'COMPONENT PIVOT REF'!$P$3,"System Name",Table4[[#This Row],[Int Finish]])</f>
        <v>#REF!</v>
      </c>
      <c r="W340" t="e">
        <f>GETPIVOTDATA("Sum of Total Mass per m^2 (kg)",'COMPONENT PIVOT REF'!$P$3,"System Name",Table4[[#This Row],[Int Finish]])</f>
        <v>#REF!</v>
      </c>
      <c r="X340" t="e">
        <f>Table4[[#This Row],[Ext Finish GWP]]+Table4[[#This Row],[Base GWP]]+Table4[[#This Row],[Int Finish GWP]]</f>
        <v>#REF!</v>
      </c>
      <c r="Y340" t="e">
        <f>Table4[[#This Row],[Ext Finish R Value]]+Table4[[#This Row],[Base R Value]]+Table4[[#This Row],[Int Finish R Value]]</f>
        <v>#REF!</v>
      </c>
      <c r="Z340" t="e">
        <f>1/Table4[[#This Row],[Total R value]]</f>
        <v>#REF!</v>
      </c>
      <c r="AA340" t="e">
        <f>Table4[[#This Row],[Int Finish Mass]]+Table4[[#This Row],[Ext Finish Mass]]+Table4[[#This Row],[Base Mass]]</f>
        <v>#REF!</v>
      </c>
    </row>
    <row r="341" spans="3:27" x14ac:dyDescent="0.35">
      <c r="C341" t="str">
        <f>_xlfn.CONCAT(Table4[[#This Row],[System Name (Short)]],"_",Table4[[#This Row],[Ext Finish Name (Short)]],"_",Table4[[#This Row],[Int Finish Name (Short)]])</f>
        <v>0_0_0</v>
      </c>
      <c r="E341">
        <f>_xlfn.XLOOKUP(Table4[[#This Row],[Base System]],BASE_SYSTEM_TABLE[System Name],BASE_SYSTEM_TABLE[System Name (Short)],FALSE)</f>
        <v>0</v>
      </c>
      <c r="F341">
        <f>_xlfn.XLOOKUP(Table4[[#This Row],[Base System]],BASE_SYSTEM_TABLE[System Name],BASE_SYSTEM_TABLE[System Type],FALSE)</f>
        <v>0</v>
      </c>
      <c r="G341">
        <f>_xlfn.XLOOKUP(Table4[[#This Row],[Base System]],BASE_SYSTEM_TABLE[System Name],BASE_SYSTEM_TABLE[System Subtype],FALSE)</f>
        <v>0</v>
      </c>
      <c r="H341">
        <f>_xlfn.XLOOKUP(Table4[[#This Row],[Base System]],BASE_SYSTEM_TABLE[System Name],BASE_SYSTEM_TABLE[Construction Type (Framed or Planar)],FALSE)</f>
        <v>0</v>
      </c>
      <c r="I341" t="e">
        <f>GETPIVOTDATA("Sum of A1-A3 Fossil kg CO2e/m^2 wall area",'COMPONENT PIVOT REF'!$A$3,"System Name",Table4[[#This Row],[Base System]])</f>
        <v>#REF!</v>
      </c>
      <c r="J341" t="e">
        <f>GETPIVOTDATA("Sum of  R value (m^2-K/W)",'COMPONENT PIVOT REF'!$A$3,"System Name",Table4[[#This Row],[Base System]])</f>
        <v>#REF!</v>
      </c>
      <c r="K341" t="e">
        <f>GETPIVOTDATA("Sum of Total Mass per m^2 (kg)",'COMPONENT PIVOT REF'!$A$3,"System Name",Table4[[#This Row],[Base System]])</f>
        <v>#REF!</v>
      </c>
      <c r="M341">
        <f>_xlfn.XLOOKUP(Table4[[#This Row],[Ext Finish]],Master_Table4[System Name],Master_Table4[System Name (Short)],FALSE)</f>
        <v>0</v>
      </c>
      <c r="N341">
        <f>_xlfn.XLOOKUP(Table4[[#This Row],[Ext Finish]],Master_Table4[System Name],Master_Table4[Compatible Systems],FALSE)</f>
        <v>0</v>
      </c>
      <c r="O341" t="str">
        <f>IF(ISNUMBER(SEARCH(Table4[[#This Row],[MMC Method]],Table4[[#This Row],[Compatible Systems]])),"YES","NO")</f>
        <v>YES</v>
      </c>
      <c r="P341" t="e">
        <f>GETPIVOTDATA("Sum of A1-A3 Fossil kg CO2e/m^2 wall area",'COMPONENT PIVOT REF'!$I$3,"System Name",Table4[[#This Row],[Ext Finish]])</f>
        <v>#REF!</v>
      </c>
      <c r="Q341" t="e">
        <f>GETPIVOTDATA("Sum of  R value (m^2-K/W)",'COMPONENT PIVOT REF'!$I$3,"System Name",Table4[[#This Row],[Ext Finish]])</f>
        <v>#REF!</v>
      </c>
      <c r="R341" t="e">
        <f>GETPIVOTDATA("Sum of Total Mass per m^2 (kg)",'COMPONENT PIVOT REF'!$I$3,"System Name",Table4[[#This Row],[Ext Finish]])</f>
        <v>#REF!</v>
      </c>
      <c r="T341">
        <f>_xlfn.XLOOKUP(Table4[[#This Row],[Int Finish]],Master_Table6[System Name],Master_Table6[System Name (Short)],FALSE)</f>
        <v>0</v>
      </c>
      <c r="U341" t="e">
        <f>GETPIVOTDATA("Sum of A1-A3 Fossil kg CO2e/m^2 wall area",'COMPONENT PIVOT REF'!$P$3,"System Name",Table4[[#This Row],[Int Finish]])</f>
        <v>#REF!</v>
      </c>
      <c r="V341" t="e">
        <f>GETPIVOTDATA("Sum of  R value (m^2-K/W)",'COMPONENT PIVOT REF'!$P$3,"System Name",Table4[[#This Row],[Int Finish]])</f>
        <v>#REF!</v>
      </c>
      <c r="W341" t="e">
        <f>GETPIVOTDATA("Sum of Total Mass per m^2 (kg)",'COMPONENT PIVOT REF'!$P$3,"System Name",Table4[[#This Row],[Int Finish]])</f>
        <v>#REF!</v>
      </c>
      <c r="X341" t="e">
        <f>Table4[[#This Row],[Ext Finish GWP]]+Table4[[#This Row],[Base GWP]]+Table4[[#This Row],[Int Finish GWP]]</f>
        <v>#REF!</v>
      </c>
      <c r="Y341" t="e">
        <f>Table4[[#This Row],[Ext Finish R Value]]+Table4[[#This Row],[Base R Value]]+Table4[[#This Row],[Int Finish R Value]]</f>
        <v>#REF!</v>
      </c>
      <c r="Z341" t="e">
        <f>1/Table4[[#This Row],[Total R value]]</f>
        <v>#REF!</v>
      </c>
      <c r="AA341" t="e">
        <f>Table4[[#This Row],[Int Finish Mass]]+Table4[[#This Row],[Ext Finish Mass]]+Table4[[#This Row],[Base Mass]]</f>
        <v>#REF!</v>
      </c>
    </row>
    <row r="342" spans="3:27" x14ac:dyDescent="0.35">
      <c r="C342" t="str">
        <f>_xlfn.CONCAT(Table4[[#This Row],[System Name (Short)]],"_",Table4[[#This Row],[Ext Finish Name (Short)]],"_",Table4[[#This Row],[Int Finish Name (Short)]])</f>
        <v>0_0_0</v>
      </c>
      <c r="E342">
        <f>_xlfn.XLOOKUP(Table4[[#This Row],[Base System]],BASE_SYSTEM_TABLE[System Name],BASE_SYSTEM_TABLE[System Name (Short)],FALSE)</f>
        <v>0</v>
      </c>
      <c r="F342">
        <f>_xlfn.XLOOKUP(Table4[[#This Row],[Base System]],BASE_SYSTEM_TABLE[System Name],BASE_SYSTEM_TABLE[System Type],FALSE)</f>
        <v>0</v>
      </c>
      <c r="G342">
        <f>_xlfn.XLOOKUP(Table4[[#This Row],[Base System]],BASE_SYSTEM_TABLE[System Name],BASE_SYSTEM_TABLE[System Subtype],FALSE)</f>
        <v>0</v>
      </c>
      <c r="H342">
        <f>_xlfn.XLOOKUP(Table4[[#This Row],[Base System]],BASE_SYSTEM_TABLE[System Name],BASE_SYSTEM_TABLE[Construction Type (Framed or Planar)],FALSE)</f>
        <v>0</v>
      </c>
      <c r="I342" t="e">
        <f>GETPIVOTDATA("Sum of A1-A3 Fossil kg CO2e/m^2 wall area",'COMPONENT PIVOT REF'!$A$3,"System Name",Table4[[#This Row],[Base System]])</f>
        <v>#REF!</v>
      </c>
      <c r="J342" t="e">
        <f>GETPIVOTDATA("Sum of  R value (m^2-K/W)",'COMPONENT PIVOT REF'!$A$3,"System Name",Table4[[#This Row],[Base System]])</f>
        <v>#REF!</v>
      </c>
      <c r="K342" t="e">
        <f>GETPIVOTDATA("Sum of Total Mass per m^2 (kg)",'COMPONENT PIVOT REF'!$A$3,"System Name",Table4[[#This Row],[Base System]])</f>
        <v>#REF!</v>
      </c>
      <c r="M342">
        <f>_xlfn.XLOOKUP(Table4[[#This Row],[Ext Finish]],Master_Table4[System Name],Master_Table4[System Name (Short)],FALSE)</f>
        <v>0</v>
      </c>
      <c r="N342">
        <f>_xlfn.XLOOKUP(Table4[[#This Row],[Ext Finish]],Master_Table4[System Name],Master_Table4[Compatible Systems],FALSE)</f>
        <v>0</v>
      </c>
      <c r="O342" t="str">
        <f>IF(ISNUMBER(SEARCH(Table4[[#This Row],[MMC Method]],Table4[[#This Row],[Compatible Systems]])),"YES","NO")</f>
        <v>YES</v>
      </c>
      <c r="P342" t="e">
        <f>GETPIVOTDATA("Sum of A1-A3 Fossil kg CO2e/m^2 wall area",'COMPONENT PIVOT REF'!$I$3,"System Name",Table4[[#This Row],[Ext Finish]])</f>
        <v>#REF!</v>
      </c>
      <c r="Q342" t="e">
        <f>GETPIVOTDATA("Sum of  R value (m^2-K/W)",'COMPONENT PIVOT REF'!$I$3,"System Name",Table4[[#This Row],[Ext Finish]])</f>
        <v>#REF!</v>
      </c>
      <c r="R342" t="e">
        <f>GETPIVOTDATA("Sum of Total Mass per m^2 (kg)",'COMPONENT PIVOT REF'!$I$3,"System Name",Table4[[#This Row],[Ext Finish]])</f>
        <v>#REF!</v>
      </c>
      <c r="T342">
        <f>_xlfn.XLOOKUP(Table4[[#This Row],[Int Finish]],Master_Table6[System Name],Master_Table6[System Name (Short)],FALSE)</f>
        <v>0</v>
      </c>
      <c r="U342" t="e">
        <f>GETPIVOTDATA("Sum of A1-A3 Fossil kg CO2e/m^2 wall area",'COMPONENT PIVOT REF'!$P$3,"System Name",Table4[[#This Row],[Int Finish]])</f>
        <v>#REF!</v>
      </c>
      <c r="V342" t="e">
        <f>GETPIVOTDATA("Sum of  R value (m^2-K/W)",'COMPONENT PIVOT REF'!$P$3,"System Name",Table4[[#This Row],[Int Finish]])</f>
        <v>#REF!</v>
      </c>
      <c r="W342" t="e">
        <f>GETPIVOTDATA("Sum of Total Mass per m^2 (kg)",'COMPONENT PIVOT REF'!$P$3,"System Name",Table4[[#This Row],[Int Finish]])</f>
        <v>#REF!</v>
      </c>
      <c r="X342" t="e">
        <f>Table4[[#This Row],[Ext Finish GWP]]+Table4[[#This Row],[Base GWP]]+Table4[[#This Row],[Int Finish GWP]]</f>
        <v>#REF!</v>
      </c>
      <c r="Y342" t="e">
        <f>Table4[[#This Row],[Ext Finish R Value]]+Table4[[#This Row],[Base R Value]]+Table4[[#This Row],[Int Finish R Value]]</f>
        <v>#REF!</v>
      </c>
      <c r="Z342" t="e">
        <f>1/Table4[[#This Row],[Total R value]]</f>
        <v>#REF!</v>
      </c>
      <c r="AA342" t="e">
        <f>Table4[[#This Row],[Int Finish Mass]]+Table4[[#This Row],[Ext Finish Mass]]+Table4[[#This Row],[Base Mass]]</f>
        <v>#REF!</v>
      </c>
    </row>
    <row r="343" spans="3:27" x14ac:dyDescent="0.35">
      <c r="C343" t="str">
        <f>_xlfn.CONCAT(Table4[[#This Row],[System Name (Short)]],"_",Table4[[#This Row],[Ext Finish Name (Short)]],"_",Table4[[#This Row],[Int Finish Name (Short)]])</f>
        <v>0_0_0</v>
      </c>
      <c r="E343">
        <f>_xlfn.XLOOKUP(Table4[[#This Row],[Base System]],BASE_SYSTEM_TABLE[System Name],BASE_SYSTEM_TABLE[System Name (Short)],FALSE)</f>
        <v>0</v>
      </c>
      <c r="F343">
        <f>_xlfn.XLOOKUP(Table4[[#This Row],[Base System]],BASE_SYSTEM_TABLE[System Name],BASE_SYSTEM_TABLE[System Type],FALSE)</f>
        <v>0</v>
      </c>
      <c r="G343">
        <f>_xlfn.XLOOKUP(Table4[[#This Row],[Base System]],BASE_SYSTEM_TABLE[System Name],BASE_SYSTEM_TABLE[System Subtype],FALSE)</f>
        <v>0</v>
      </c>
      <c r="H343">
        <f>_xlfn.XLOOKUP(Table4[[#This Row],[Base System]],BASE_SYSTEM_TABLE[System Name],BASE_SYSTEM_TABLE[Construction Type (Framed or Planar)],FALSE)</f>
        <v>0</v>
      </c>
      <c r="I343" t="e">
        <f>GETPIVOTDATA("Sum of A1-A3 Fossil kg CO2e/m^2 wall area",'COMPONENT PIVOT REF'!$A$3,"System Name",Table4[[#This Row],[Base System]])</f>
        <v>#REF!</v>
      </c>
      <c r="J343" t="e">
        <f>GETPIVOTDATA("Sum of  R value (m^2-K/W)",'COMPONENT PIVOT REF'!$A$3,"System Name",Table4[[#This Row],[Base System]])</f>
        <v>#REF!</v>
      </c>
      <c r="K343" t="e">
        <f>GETPIVOTDATA("Sum of Total Mass per m^2 (kg)",'COMPONENT PIVOT REF'!$A$3,"System Name",Table4[[#This Row],[Base System]])</f>
        <v>#REF!</v>
      </c>
      <c r="M343">
        <f>_xlfn.XLOOKUP(Table4[[#This Row],[Ext Finish]],Master_Table4[System Name],Master_Table4[System Name (Short)],FALSE)</f>
        <v>0</v>
      </c>
      <c r="N343">
        <f>_xlfn.XLOOKUP(Table4[[#This Row],[Ext Finish]],Master_Table4[System Name],Master_Table4[Compatible Systems],FALSE)</f>
        <v>0</v>
      </c>
      <c r="O343" t="str">
        <f>IF(ISNUMBER(SEARCH(Table4[[#This Row],[MMC Method]],Table4[[#This Row],[Compatible Systems]])),"YES","NO")</f>
        <v>YES</v>
      </c>
      <c r="P343" t="e">
        <f>GETPIVOTDATA("Sum of A1-A3 Fossil kg CO2e/m^2 wall area",'COMPONENT PIVOT REF'!$I$3,"System Name",Table4[[#This Row],[Ext Finish]])</f>
        <v>#REF!</v>
      </c>
      <c r="Q343" t="e">
        <f>GETPIVOTDATA("Sum of  R value (m^2-K/W)",'COMPONENT PIVOT REF'!$I$3,"System Name",Table4[[#This Row],[Ext Finish]])</f>
        <v>#REF!</v>
      </c>
      <c r="R343" t="e">
        <f>GETPIVOTDATA("Sum of Total Mass per m^2 (kg)",'COMPONENT PIVOT REF'!$I$3,"System Name",Table4[[#This Row],[Ext Finish]])</f>
        <v>#REF!</v>
      </c>
      <c r="T343">
        <f>_xlfn.XLOOKUP(Table4[[#This Row],[Int Finish]],Master_Table6[System Name],Master_Table6[System Name (Short)],FALSE)</f>
        <v>0</v>
      </c>
      <c r="U343" t="e">
        <f>GETPIVOTDATA("Sum of A1-A3 Fossil kg CO2e/m^2 wall area",'COMPONENT PIVOT REF'!$P$3,"System Name",Table4[[#This Row],[Int Finish]])</f>
        <v>#REF!</v>
      </c>
      <c r="V343" t="e">
        <f>GETPIVOTDATA("Sum of  R value (m^2-K/W)",'COMPONENT PIVOT REF'!$P$3,"System Name",Table4[[#This Row],[Int Finish]])</f>
        <v>#REF!</v>
      </c>
      <c r="W343" t="e">
        <f>GETPIVOTDATA("Sum of Total Mass per m^2 (kg)",'COMPONENT PIVOT REF'!$P$3,"System Name",Table4[[#This Row],[Int Finish]])</f>
        <v>#REF!</v>
      </c>
      <c r="X343" t="e">
        <f>Table4[[#This Row],[Ext Finish GWP]]+Table4[[#This Row],[Base GWP]]+Table4[[#This Row],[Int Finish GWP]]</f>
        <v>#REF!</v>
      </c>
      <c r="Y343" t="e">
        <f>Table4[[#This Row],[Ext Finish R Value]]+Table4[[#This Row],[Base R Value]]+Table4[[#This Row],[Int Finish R Value]]</f>
        <v>#REF!</v>
      </c>
      <c r="Z343" t="e">
        <f>1/Table4[[#This Row],[Total R value]]</f>
        <v>#REF!</v>
      </c>
      <c r="AA343" t="e">
        <f>Table4[[#This Row],[Int Finish Mass]]+Table4[[#This Row],[Ext Finish Mass]]+Table4[[#This Row],[Base Mass]]</f>
        <v>#REF!</v>
      </c>
    </row>
    <row r="344" spans="3:27" x14ac:dyDescent="0.35">
      <c r="C344" t="str">
        <f>_xlfn.CONCAT(Table4[[#This Row],[System Name (Short)]],"_",Table4[[#This Row],[Ext Finish Name (Short)]],"_",Table4[[#This Row],[Int Finish Name (Short)]])</f>
        <v>0_0_0</v>
      </c>
      <c r="E344">
        <f>_xlfn.XLOOKUP(Table4[[#This Row],[Base System]],BASE_SYSTEM_TABLE[System Name],BASE_SYSTEM_TABLE[System Name (Short)],FALSE)</f>
        <v>0</v>
      </c>
      <c r="F344">
        <f>_xlfn.XLOOKUP(Table4[[#This Row],[Base System]],BASE_SYSTEM_TABLE[System Name],BASE_SYSTEM_TABLE[System Type],FALSE)</f>
        <v>0</v>
      </c>
      <c r="G344">
        <f>_xlfn.XLOOKUP(Table4[[#This Row],[Base System]],BASE_SYSTEM_TABLE[System Name],BASE_SYSTEM_TABLE[System Subtype],FALSE)</f>
        <v>0</v>
      </c>
      <c r="H344">
        <f>_xlfn.XLOOKUP(Table4[[#This Row],[Base System]],BASE_SYSTEM_TABLE[System Name],BASE_SYSTEM_TABLE[Construction Type (Framed or Planar)],FALSE)</f>
        <v>0</v>
      </c>
      <c r="I344" t="e">
        <f>GETPIVOTDATA("Sum of A1-A3 Fossil kg CO2e/m^2 wall area",'COMPONENT PIVOT REF'!$A$3,"System Name",Table4[[#This Row],[Base System]])</f>
        <v>#REF!</v>
      </c>
      <c r="J344" t="e">
        <f>GETPIVOTDATA("Sum of  R value (m^2-K/W)",'COMPONENT PIVOT REF'!$A$3,"System Name",Table4[[#This Row],[Base System]])</f>
        <v>#REF!</v>
      </c>
      <c r="K344" t="e">
        <f>GETPIVOTDATA("Sum of Total Mass per m^2 (kg)",'COMPONENT PIVOT REF'!$A$3,"System Name",Table4[[#This Row],[Base System]])</f>
        <v>#REF!</v>
      </c>
      <c r="M344">
        <f>_xlfn.XLOOKUP(Table4[[#This Row],[Ext Finish]],Master_Table4[System Name],Master_Table4[System Name (Short)],FALSE)</f>
        <v>0</v>
      </c>
      <c r="N344">
        <f>_xlfn.XLOOKUP(Table4[[#This Row],[Ext Finish]],Master_Table4[System Name],Master_Table4[Compatible Systems],FALSE)</f>
        <v>0</v>
      </c>
      <c r="O344" t="str">
        <f>IF(ISNUMBER(SEARCH(Table4[[#This Row],[MMC Method]],Table4[[#This Row],[Compatible Systems]])),"YES","NO")</f>
        <v>YES</v>
      </c>
      <c r="P344" t="e">
        <f>GETPIVOTDATA("Sum of A1-A3 Fossil kg CO2e/m^2 wall area",'COMPONENT PIVOT REF'!$I$3,"System Name",Table4[[#This Row],[Ext Finish]])</f>
        <v>#REF!</v>
      </c>
      <c r="Q344" t="e">
        <f>GETPIVOTDATA("Sum of  R value (m^2-K/W)",'COMPONENT PIVOT REF'!$I$3,"System Name",Table4[[#This Row],[Ext Finish]])</f>
        <v>#REF!</v>
      </c>
      <c r="R344" t="e">
        <f>GETPIVOTDATA("Sum of Total Mass per m^2 (kg)",'COMPONENT PIVOT REF'!$I$3,"System Name",Table4[[#This Row],[Ext Finish]])</f>
        <v>#REF!</v>
      </c>
      <c r="T344">
        <f>_xlfn.XLOOKUP(Table4[[#This Row],[Int Finish]],Master_Table6[System Name],Master_Table6[System Name (Short)],FALSE)</f>
        <v>0</v>
      </c>
      <c r="U344" t="e">
        <f>GETPIVOTDATA("Sum of A1-A3 Fossil kg CO2e/m^2 wall area",'COMPONENT PIVOT REF'!$P$3,"System Name",Table4[[#This Row],[Int Finish]])</f>
        <v>#REF!</v>
      </c>
      <c r="V344" t="e">
        <f>GETPIVOTDATA("Sum of  R value (m^2-K/W)",'COMPONENT PIVOT REF'!$P$3,"System Name",Table4[[#This Row],[Int Finish]])</f>
        <v>#REF!</v>
      </c>
      <c r="W344" t="e">
        <f>GETPIVOTDATA("Sum of Total Mass per m^2 (kg)",'COMPONENT PIVOT REF'!$P$3,"System Name",Table4[[#This Row],[Int Finish]])</f>
        <v>#REF!</v>
      </c>
      <c r="X344" t="e">
        <f>Table4[[#This Row],[Ext Finish GWP]]+Table4[[#This Row],[Base GWP]]+Table4[[#This Row],[Int Finish GWP]]</f>
        <v>#REF!</v>
      </c>
      <c r="Y344" t="e">
        <f>Table4[[#This Row],[Ext Finish R Value]]+Table4[[#This Row],[Base R Value]]+Table4[[#This Row],[Int Finish R Value]]</f>
        <v>#REF!</v>
      </c>
      <c r="Z344" t="e">
        <f>1/Table4[[#This Row],[Total R value]]</f>
        <v>#REF!</v>
      </c>
      <c r="AA344" t="e">
        <f>Table4[[#This Row],[Int Finish Mass]]+Table4[[#This Row],[Ext Finish Mass]]+Table4[[#This Row],[Base Mass]]</f>
        <v>#REF!</v>
      </c>
    </row>
    <row r="345" spans="3:27" x14ac:dyDescent="0.35">
      <c r="C345" t="str">
        <f>_xlfn.CONCAT(Table4[[#This Row],[System Name (Short)]],"_",Table4[[#This Row],[Ext Finish Name (Short)]],"_",Table4[[#This Row],[Int Finish Name (Short)]])</f>
        <v>0_0_0</v>
      </c>
      <c r="E345">
        <f>_xlfn.XLOOKUP(Table4[[#This Row],[Base System]],BASE_SYSTEM_TABLE[System Name],BASE_SYSTEM_TABLE[System Name (Short)],FALSE)</f>
        <v>0</v>
      </c>
      <c r="F345">
        <f>_xlfn.XLOOKUP(Table4[[#This Row],[Base System]],BASE_SYSTEM_TABLE[System Name],BASE_SYSTEM_TABLE[System Type],FALSE)</f>
        <v>0</v>
      </c>
      <c r="G345">
        <f>_xlfn.XLOOKUP(Table4[[#This Row],[Base System]],BASE_SYSTEM_TABLE[System Name],BASE_SYSTEM_TABLE[System Subtype],FALSE)</f>
        <v>0</v>
      </c>
      <c r="H345">
        <f>_xlfn.XLOOKUP(Table4[[#This Row],[Base System]],BASE_SYSTEM_TABLE[System Name],BASE_SYSTEM_TABLE[Construction Type (Framed or Planar)],FALSE)</f>
        <v>0</v>
      </c>
      <c r="I345" t="e">
        <f>GETPIVOTDATA("Sum of A1-A3 Fossil kg CO2e/m^2 wall area",'COMPONENT PIVOT REF'!$A$3,"System Name",Table4[[#This Row],[Base System]])</f>
        <v>#REF!</v>
      </c>
      <c r="J345" t="e">
        <f>GETPIVOTDATA("Sum of  R value (m^2-K/W)",'COMPONENT PIVOT REF'!$A$3,"System Name",Table4[[#This Row],[Base System]])</f>
        <v>#REF!</v>
      </c>
      <c r="K345" t="e">
        <f>GETPIVOTDATA("Sum of Total Mass per m^2 (kg)",'COMPONENT PIVOT REF'!$A$3,"System Name",Table4[[#This Row],[Base System]])</f>
        <v>#REF!</v>
      </c>
      <c r="M345">
        <f>_xlfn.XLOOKUP(Table4[[#This Row],[Ext Finish]],Master_Table4[System Name],Master_Table4[System Name (Short)],FALSE)</f>
        <v>0</v>
      </c>
      <c r="N345">
        <f>_xlfn.XLOOKUP(Table4[[#This Row],[Ext Finish]],Master_Table4[System Name],Master_Table4[Compatible Systems],FALSE)</f>
        <v>0</v>
      </c>
      <c r="O345" t="str">
        <f>IF(ISNUMBER(SEARCH(Table4[[#This Row],[MMC Method]],Table4[[#This Row],[Compatible Systems]])),"YES","NO")</f>
        <v>YES</v>
      </c>
      <c r="P345" t="e">
        <f>GETPIVOTDATA("Sum of A1-A3 Fossil kg CO2e/m^2 wall area",'COMPONENT PIVOT REF'!$I$3,"System Name",Table4[[#This Row],[Ext Finish]])</f>
        <v>#REF!</v>
      </c>
      <c r="Q345" t="e">
        <f>GETPIVOTDATA("Sum of  R value (m^2-K/W)",'COMPONENT PIVOT REF'!$I$3,"System Name",Table4[[#This Row],[Ext Finish]])</f>
        <v>#REF!</v>
      </c>
      <c r="R345" t="e">
        <f>GETPIVOTDATA("Sum of Total Mass per m^2 (kg)",'COMPONENT PIVOT REF'!$I$3,"System Name",Table4[[#This Row],[Ext Finish]])</f>
        <v>#REF!</v>
      </c>
      <c r="T345">
        <f>_xlfn.XLOOKUP(Table4[[#This Row],[Int Finish]],Master_Table6[System Name],Master_Table6[System Name (Short)],FALSE)</f>
        <v>0</v>
      </c>
      <c r="U345" t="e">
        <f>GETPIVOTDATA("Sum of A1-A3 Fossil kg CO2e/m^2 wall area",'COMPONENT PIVOT REF'!$P$3,"System Name",Table4[[#This Row],[Int Finish]])</f>
        <v>#REF!</v>
      </c>
      <c r="V345" t="e">
        <f>GETPIVOTDATA("Sum of  R value (m^2-K/W)",'COMPONENT PIVOT REF'!$P$3,"System Name",Table4[[#This Row],[Int Finish]])</f>
        <v>#REF!</v>
      </c>
      <c r="W345" t="e">
        <f>GETPIVOTDATA("Sum of Total Mass per m^2 (kg)",'COMPONENT PIVOT REF'!$P$3,"System Name",Table4[[#This Row],[Int Finish]])</f>
        <v>#REF!</v>
      </c>
      <c r="X345" t="e">
        <f>Table4[[#This Row],[Ext Finish GWP]]+Table4[[#This Row],[Base GWP]]+Table4[[#This Row],[Int Finish GWP]]</f>
        <v>#REF!</v>
      </c>
      <c r="Y345" t="e">
        <f>Table4[[#This Row],[Ext Finish R Value]]+Table4[[#This Row],[Base R Value]]+Table4[[#This Row],[Int Finish R Value]]</f>
        <v>#REF!</v>
      </c>
      <c r="Z345" t="e">
        <f>1/Table4[[#This Row],[Total R value]]</f>
        <v>#REF!</v>
      </c>
      <c r="AA345" t="e">
        <f>Table4[[#This Row],[Int Finish Mass]]+Table4[[#This Row],[Ext Finish Mass]]+Table4[[#This Row],[Base Mass]]</f>
        <v>#REF!</v>
      </c>
    </row>
    <row r="346" spans="3:27" x14ac:dyDescent="0.35">
      <c r="C346" t="str">
        <f>_xlfn.CONCAT(Table4[[#This Row],[System Name (Short)]],"_",Table4[[#This Row],[Ext Finish Name (Short)]],"_",Table4[[#This Row],[Int Finish Name (Short)]])</f>
        <v>0_0_0</v>
      </c>
      <c r="E346">
        <f>_xlfn.XLOOKUP(Table4[[#This Row],[Base System]],BASE_SYSTEM_TABLE[System Name],BASE_SYSTEM_TABLE[System Name (Short)],FALSE)</f>
        <v>0</v>
      </c>
      <c r="F346">
        <f>_xlfn.XLOOKUP(Table4[[#This Row],[Base System]],BASE_SYSTEM_TABLE[System Name],BASE_SYSTEM_TABLE[System Type],FALSE)</f>
        <v>0</v>
      </c>
      <c r="G346">
        <f>_xlfn.XLOOKUP(Table4[[#This Row],[Base System]],BASE_SYSTEM_TABLE[System Name],BASE_SYSTEM_TABLE[System Subtype],FALSE)</f>
        <v>0</v>
      </c>
      <c r="H346">
        <f>_xlfn.XLOOKUP(Table4[[#This Row],[Base System]],BASE_SYSTEM_TABLE[System Name],BASE_SYSTEM_TABLE[Construction Type (Framed or Planar)],FALSE)</f>
        <v>0</v>
      </c>
      <c r="I346" t="e">
        <f>GETPIVOTDATA("Sum of A1-A3 Fossil kg CO2e/m^2 wall area",'COMPONENT PIVOT REF'!$A$3,"System Name",Table4[[#This Row],[Base System]])</f>
        <v>#REF!</v>
      </c>
      <c r="J346" t="e">
        <f>GETPIVOTDATA("Sum of  R value (m^2-K/W)",'COMPONENT PIVOT REF'!$A$3,"System Name",Table4[[#This Row],[Base System]])</f>
        <v>#REF!</v>
      </c>
      <c r="K346" t="e">
        <f>GETPIVOTDATA("Sum of Total Mass per m^2 (kg)",'COMPONENT PIVOT REF'!$A$3,"System Name",Table4[[#This Row],[Base System]])</f>
        <v>#REF!</v>
      </c>
      <c r="M346">
        <f>_xlfn.XLOOKUP(Table4[[#This Row],[Ext Finish]],Master_Table4[System Name],Master_Table4[System Name (Short)],FALSE)</f>
        <v>0</v>
      </c>
      <c r="N346">
        <f>_xlfn.XLOOKUP(Table4[[#This Row],[Ext Finish]],Master_Table4[System Name],Master_Table4[Compatible Systems],FALSE)</f>
        <v>0</v>
      </c>
      <c r="O346" t="str">
        <f>IF(ISNUMBER(SEARCH(Table4[[#This Row],[MMC Method]],Table4[[#This Row],[Compatible Systems]])),"YES","NO")</f>
        <v>YES</v>
      </c>
      <c r="P346" t="e">
        <f>GETPIVOTDATA("Sum of A1-A3 Fossil kg CO2e/m^2 wall area",'COMPONENT PIVOT REF'!$I$3,"System Name",Table4[[#This Row],[Ext Finish]])</f>
        <v>#REF!</v>
      </c>
      <c r="Q346" t="e">
        <f>GETPIVOTDATA("Sum of  R value (m^2-K/W)",'COMPONENT PIVOT REF'!$I$3,"System Name",Table4[[#This Row],[Ext Finish]])</f>
        <v>#REF!</v>
      </c>
      <c r="R346" t="e">
        <f>GETPIVOTDATA("Sum of Total Mass per m^2 (kg)",'COMPONENT PIVOT REF'!$I$3,"System Name",Table4[[#This Row],[Ext Finish]])</f>
        <v>#REF!</v>
      </c>
      <c r="T346">
        <f>_xlfn.XLOOKUP(Table4[[#This Row],[Int Finish]],Master_Table6[System Name],Master_Table6[System Name (Short)],FALSE)</f>
        <v>0</v>
      </c>
      <c r="U346" t="e">
        <f>GETPIVOTDATA("Sum of A1-A3 Fossil kg CO2e/m^2 wall area",'COMPONENT PIVOT REF'!$P$3,"System Name",Table4[[#This Row],[Int Finish]])</f>
        <v>#REF!</v>
      </c>
      <c r="V346" t="e">
        <f>GETPIVOTDATA("Sum of  R value (m^2-K/W)",'COMPONENT PIVOT REF'!$P$3,"System Name",Table4[[#This Row],[Int Finish]])</f>
        <v>#REF!</v>
      </c>
      <c r="W346" t="e">
        <f>GETPIVOTDATA("Sum of Total Mass per m^2 (kg)",'COMPONENT PIVOT REF'!$P$3,"System Name",Table4[[#This Row],[Int Finish]])</f>
        <v>#REF!</v>
      </c>
      <c r="X346" t="e">
        <f>Table4[[#This Row],[Ext Finish GWP]]+Table4[[#This Row],[Base GWP]]+Table4[[#This Row],[Int Finish GWP]]</f>
        <v>#REF!</v>
      </c>
      <c r="Y346" t="e">
        <f>Table4[[#This Row],[Ext Finish R Value]]+Table4[[#This Row],[Base R Value]]+Table4[[#This Row],[Int Finish R Value]]</f>
        <v>#REF!</v>
      </c>
      <c r="Z346" t="e">
        <f>1/Table4[[#This Row],[Total R value]]</f>
        <v>#REF!</v>
      </c>
      <c r="AA346" t="e">
        <f>Table4[[#This Row],[Int Finish Mass]]+Table4[[#This Row],[Ext Finish Mass]]+Table4[[#This Row],[Base Mass]]</f>
        <v>#REF!</v>
      </c>
    </row>
    <row r="347" spans="3:27" x14ac:dyDescent="0.35">
      <c r="C347" t="str">
        <f>_xlfn.CONCAT(Table4[[#This Row],[System Name (Short)]],"_",Table4[[#This Row],[Ext Finish Name (Short)]],"_",Table4[[#This Row],[Int Finish Name (Short)]])</f>
        <v>0_0_0</v>
      </c>
      <c r="E347">
        <f>_xlfn.XLOOKUP(Table4[[#This Row],[Base System]],BASE_SYSTEM_TABLE[System Name],BASE_SYSTEM_TABLE[System Name (Short)],FALSE)</f>
        <v>0</v>
      </c>
      <c r="F347">
        <f>_xlfn.XLOOKUP(Table4[[#This Row],[Base System]],BASE_SYSTEM_TABLE[System Name],BASE_SYSTEM_TABLE[System Type],FALSE)</f>
        <v>0</v>
      </c>
      <c r="G347">
        <f>_xlfn.XLOOKUP(Table4[[#This Row],[Base System]],BASE_SYSTEM_TABLE[System Name],BASE_SYSTEM_TABLE[System Subtype],FALSE)</f>
        <v>0</v>
      </c>
      <c r="H347">
        <f>_xlfn.XLOOKUP(Table4[[#This Row],[Base System]],BASE_SYSTEM_TABLE[System Name],BASE_SYSTEM_TABLE[Construction Type (Framed or Planar)],FALSE)</f>
        <v>0</v>
      </c>
      <c r="I347" t="e">
        <f>GETPIVOTDATA("Sum of A1-A3 Fossil kg CO2e/m^2 wall area",'COMPONENT PIVOT REF'!$A$3,"System Name",Table4[[#This Row],[Base System]])</f>
        <v>#REF!</v>
      </c>
      <c r="J347" t="e">
        <f>GETPIVOTDATA("Sum of  R value (m^2-K/W)",'COMPONENT PIVOT REF'!$A$3,"System Name",Table4[[#This Row],[Base System]])</f>
        <v>#REF!</v>
      </c>
      <c r="K347" t="e">
        <f>GETPIVOTDATA("Sum of Total Mass per m^2 (kg)",'COMPONENT PIVOT REF'!$A$3,"System Name",Table4[[#This Row],[Base System]])</f>
        <v>#REF!</v>
      </c>
      <c r="M347">
        <f>_xlfn.XLOOKUP(Table4[[#This Row],[Ext Finish]],Master_Table4[System Name],Master_Table4[System Name (Short)],FALSE)</f>
        <v>0</v>
      </c>
      <c r="N347">
        <f>_xlfn.XLOOKUP(Table4[[#This Row],[Ext Finish]],Master_Table4[System Name],Master_Table4[Compatible Systems],FALSE)</f>
        <v>0</v>
      </c>
      <c r="O347" t="str">
        <f>IF(ISNUMBER(SEARCH(Table4[[#This Row],[MMC Method]],Table4[[#This Row],[Compatible Systems]])),"YES","NO")</f>
        <v>YES</v>
      </c>
      <c r="P347" t="e">
        <f>GETPIVOTDATA("Sum of A1-A3 Fossil kg CO2e/m^2 wall area",'COMPONENT PIVOT REF'!$I$3,"System Name",Table4[[#This Row],[Ext Finish]])</f>
        <v>#REF!</v>
      </c>
      <c r="Q347" t="e">
        <f>GETPIVOTDATA("Sum of  R value (m^2-K/W)",'COMPONENT PIVOT REF'!$I$3,"System Name",Table4[[#This Row],[Ext Finish]])</f>
        <v>#REF!</v>
      </c>
      <c r="R347" t="e">
        <f>GETPIVOTDATA("Sum of Total Mass per m^2 (kg)",'COMPONENT PIVOT REF'!$I$3,"System Name",Table4[[#This Row],[Ext Finish]])</f>
        <v>#REF!</v>
      </c>
      <c r="T347">
        <f>_xlfn.XLOOKUP(Table4[[#This Row],[Int Finish]],Master_Table6[System Name],Master_Table6[System Name (Short)],FALSE)</f>
        <v>0</v>
      </c>
      <c r="U347" t="e">
        <f>GETPIVOTDATA("Sum of A1-A3 Fossil kg CO2e/m^2 wall area",'COMPONENT PIVOT REF'!$P$3,"System Name",Table4[[#This Row],[Int Finish]])</f>
        <v>#REF!</v>
      </c>
      <c r="V347" t="e">
        <f>GETPIVOTDATA("Sum of  R value (m^2-K/W)",'COMPONENT PIVOT REF'!$P$3,"System Name",Table4[[#This Row],[Int Finish]])</f>
        <v>#REF!</v>
      </c>
      <c r="W347" t="e">
        <f>GETPIVOTDATA("Sum of Total Mass per m^2 (kg)",'COMPONENT PIVOT REF'!$P$3,"System Name",Table4[[#This Row],[Int Finish]])</f>
        <v>#REF!</v>
      </c>
      <c r="X347" t="e">
        <f>Table4[[#This Row],[Ext Finish GWP]]+Table4[[#This Row],[Base GWP]]+Table4[[#This Row],[Int Finish GWP]]</f>
        <v>#REF!</v>
      </c>
      <c r="Y347" t="e">
        <f>Table4[[#This Row],[Ext Finish R Value]]+Table4[[#This Row],[Base R Value]]+Table4[[#This Row],[Int Finish R Value]]</f>
        <v>#REF!</v>
      </c>
      <c r="Z347" t="e">
        <f>1/Table4[[#This Row],[Total R value]]</f>
        <v>#REF!</v>
      </c>
      <c r="AA347" t="e">
        <f>Table4[[#This Row],[Int Finish Mass]]+Table4[[#This Row],[Ext Finish Mass]]+Table4[[#This Row],[Base Mass]]</f>
        <v>#REF!</v>
      </c>
    </row>
    <row r="348" spans="3:27" x14ac:dyDescent="0.35">
      <c r="C348" t="str">
        <f>_xlfn.CONCAT(Table4[[#This Row],[System Name (Short)]],"_",Table4[[#This Row],[Ext Finish Name (Short)]],"_",Table4[[#This Row],[Int Finish Name (Short)]])</f>
        <v>0_0_0</v>
      </c>
      <c r="E348">
        <f>_xlfn.XLOOKUP(Table4[[#This Row],[Base System]],BASE_SYSTEM_TABLE[System Name],BASE_SYSTEM_TABLE[System Name (Short)],FALSE)</f>
        <v>0</v>
      </c>
      <c r="F348">
        <f>_xlfn.XLOOKUP(Table4[[#This Row],[Base System]],BASE_SYSTEM_TABLE[System Name],BASE_SYSTEM_TABLE[System Type],FALSE)</f>
        <v>0</v>
      </c>
      <c r="G348">
        <f>_xlfn.XLOOKUP(Table4[[#This Row],[Base System]],BASE_SYSTEM_TABLE[System Name],BASE_SYSTEM_TABLE[System Subtype],FALSE)</f>
        <v>0</v>
      </c>
      <c r="H348">
        <f>_xlfn.XLOOKUP(Table4[[#This Row],[Base System]],BASE_SYSTEM_TABLE[System Name],BASE_SYSTEM_TABLE[Construction Type (Framed or Planar)],FALSE)</f>
        <v>0</v>
      </c>
      <c r="I348" t="e">
        <f>GETPIVOTDATA("Sum of A1-A3 Fossil kg CO2e/m^2 wall area",'COMPONENT PIVOT REF'!$A$3,"System Name",Table4[[#This Row],[Base System]])</f>
        <v>#REF!</v>
      </c>
      <c r="J348" t="e">
        <f>GETPIVOTDATA("Sum of  R value (m^2-K/W)",'COMPONENT PIVOT REF'!$A$3,"System Name",Table4[[#This Row],[Base System]])</f>
        <v>#REF!</v>
      </c>
      <c r="K348" t="e">
        <f>GETPIVOTDATA("Sum of Total Mass per m^2 (kg)",'COMPONENT PIVOT REF'!$A$3,"System Name",Table4[[#This Row],[Base System]])</f>
        <v>#REF!</v>
      </c>
      <c r="M348">
        <f>_xlfn.XLOOKUP(Table4[[#This Row],[Ext Finish]],Master_Table4[System Name],Master_Table4[System Name (Short)],FALSE)</f>
        <v>0</v>
      </c>
      <c r="N348">
        <f>_xlfn.XLOOKUP(Table4[[#This Row],[Ext Finish]],Master_Table4[System Name],Master_Table4[Compatible Systems],FALSE)</f>
        <v>0</v>
      </c>
      <c r="O348" t="str">
        <f>IF(ISNUMBER(SEARCH(Table4[[#This Row],[MMC Method]],Table4[[#This Row],[Compatible Systems]])),"YES","NO")</f>
        <v>YES</v>
      </c>
      <c r="P348" t="e">
        <f>GETPIVOTDATA("Sum of A1-A3 Fossil kg CO2e/m^2 wall area",'COMPONENT PIVOT REF'!$I$3,"System Name",Table4[[#This Row],[Ext Finish]])</f>
        <v>#REF!</v>
      </c>
      <c r="Q348" t="e">
        <f>GETPIVOTDATA("Sum of  R value (m^2-K/W)",'COMPONENT PIVOT REF'!$I$3,"System Name",Table4[[#This Row],[Ext Finish]])</f>
        <v>#REF!</v>
      </c>
      <c r="R348" t="e">
        <f>GETPIVOTDATA("Sum of Total Mass per m^2 (kg)",'COMPONENT PIVOT REF'!$I$3,"System Name",Table4[[#This Row],[Ext Finish]])</f>
        <v>#REF!</v>
      </c>
      <c r="T348">
        <f>_xlfn.XLOOKUP(Table4[[#This Row],[Int Finish]],Master_Table6[System Name],Master_Table6[System Name (Short)],FALSE)</f>
        <v>0</v>
      </c>
      <c r="U348" t="e">
        <f>GETPIVOTDATA("Sum of A1-A3 Fossil kg CO2e/m^2 wall area",'COMPONENT PIVOT REF'!$P$3,"System Name",Table4[[#This Row],[Int Finish]])</f>
        <v>#REF!</v>
      </c>
      <c r="V348" t="e">
        <f>GETPIVOTDATA("Sum of  R value (m^2-K/W)",'COMPONENT PIVOT REF'!$P$3,"System Name",Table4[[#This Row],[Int Finish]])</f>
        <v>#REF!</v>
      </c>
      <c r="W348" t="e">
        <f>GETPIVOTDATA("Sum of Total Mass per m^2 (kg)",'COMPONENT PIVOT REF'!$P$3,"System Name",Table4[[#This Row],[Int Finish]])</f>
        <v>#REF!</v>
      </c>
      <c r="X348" t="e">
        <f>Table4[[#This Row],[Ext Finish GWP]]+Table4[[#This Row],[Base GWP]]+Table4[[#This Row],[Int Finish GWP]]</f>
        <v>#REF!</v>
      </c>
      <c r="Y348" t="e">
        <f>Table4[[#This Row],[Ext Finish R Value]]+Table4[[#This Row],[Base R Value]]+Table4[[#This Row],[Int Finish R Value]]</f>
        <v>#REF!</v>
      </c>
      <c r="Z348" t="e">
        <f>1/Table4[[#This Row],[Total R value]]</f>
        <v>#REF!</v>
      </c>
      <c r="AA348" t="e">
        <f>Table4[[#This Row],[Int Finish Mass]]+Table4[[#This Row],[Ext Finish Mass]]+Table4[[#This Row],[Base Mass]]</f>
        <v>#REF!</v>
      </c>
    </row>
    <row r="349" spans="3:27" x14ac:dyDescent="0.35">
      <c r="C349" t="str">
        <f>_xlfn.CONCAT(Table4[[#This Row],[System Name (Short)]],"_",Table4[[#This Row],[Ext Finish Name (Short)]],"_",Table4[[#This Row],[Int Finish Name (Short)]])</f>
        <v>0_0_0</v>
      </c>
      <c r="E349">
        <f>_xlfn.XLOOKUP(Table4[[#This Row],[Base System]],BASE_SYSTEM_TABLE[System Name],BASE_SYSTEM_TABLE[System Name (Short)],FALSE)</f>
        <v>0</v>
      </c>
      <c r="F349">
        <f>_xlfn.XLOOKUP(Table4[[#This Row],[Base System]],BASE_SYSTEM_TABLE[System Name],BASE_SYSTEM_TABLE[System Type],FALSE)</f>
        <v>0</v>
      </c>
      <c r="G349">
        <f>_xlfn.XLOOKUP(Table4[[#This Row],[Base System]],BASE_SYSTEM_TABLE[System Name],BASE_SYSTEM_TABLE[System Subtype],FALSE)</f>
        <v>0</v>
      </c>
      <c r="H349">
        <f>_xlfn.XLOOKUP(Table4[[#This Row],[Base System]],BASE_SYSTEM_TABLE[System Name],BASE_SYSTEM_TABLE[Construction Type (Framed or Planar)],FALSE)</f>
        <v>0</v>
      </c>
      <c r="I349" t="e">
        <f>GETPIVOTDATA("Sum of A1-A3 Fossil kg CO2e/m^2 wall area",'COMPONENT PIVOT REF'!$A$3,"System Name",Table4[[#This Row],[Base System]])</f>
        <v>#REF!</v>
      </c>
      <c r="J349" t="e">
        <f>GETPIVOTDATA("Sum of  R value (m^2-K/W)",'COMPONENT PIVOT REF'!$A$3,"System Name",Table4[[#This Row],[Base System]])</f>
        <v>#REF!</v>
      </c>
      <c r="K349" t="e">
        <f>GETPIVOTDATA("Sum of Total Mass per m^2 (kg)",'COMPONENT PIVOT REF'!$A$3,"System Name",Table4[[#This Row],[Base System]])</f>
        <v>#REF!</v>
      </c>
      <c r="M349">
        <f>_xlfn.XLOOKUP(Table4[[#This Row],[Ext Finish]],Master_Table4[System Name],Master_Table4[System Name (Short)],FALSE)</f>
        <v>0</v>
      </c>
      <c r="N349">
        <f>_xlfn.XLOOKUP(Table4[[#This Row],[Ext Finish]],Master_Table4[System Name],Master_Table4[Compatible Systems],FALSE)</f>
        <v>0</v>
      </c>
      <c r="O349" t="str">
        <f>IF(ISNUMBER(SEARCH(Table4[[#This Row],[MMC Method]],Table4[[#This Row],[Compatible Systems]])),"YES","NO")</f>
        <v>YES</v>
      </c>
      <c r="P349" t="e">
        <f>GETPIVOTDATA("Sum of A1-A3 Fossil kg CO2e/m^2 wall area",'COMPONENT PIVOT REF'!$I$3,"System Name",Table4[[#This Row],[Ext Finish]])</f>
        <v>#REF!</v>
      </c>
      <c r="Q349" t="e">
        <f>GETPIVOTDATA("Sum of  R value (m^2-K/W)",'COMPONENT PIVOT REF'!$I$3,"System Name",Table4[[#This Row],[Ext Finish]])</f>
        <v>#REF!</v>
      </c>
      <c r="R349" t="e">
        <f>GETPIVOTDATA("Sum of Total Mass per m^2 (kg)",'COMPONENT PIVOT REF'!$I$3,"System Name",Table4[[#This Row],[Ext Finish]])</f>
        <v>#REF!</v>
      </c>
      <c r="T349">
        <f>_xlfn.XLOOKUP(Table4[[#This Row],[Int Finish]],Master_Table6[System Name],Master_Table6[System Name (Short)],FALSE)</f>
        <v>0</v>
      </c>
      <c r="U349" t="e">
        <f>GETPIVOTDATA("Sum of A1-A3 Fossil kg CO2e/m^2 wall area",'COMPONENT PIVOT REF'!$P$3,"System Name",Table4[[#This Row],[Int Finish]])</f>
        <v>#REF!</v>
      </c>
      <c r="V349" t="e">
        <f>GETPIVOTDATA("Sum of  R value (m^2-K/W)",'COMPONENT PIVOT REF'!$P$3,"System Name",Table4[[#This Row],[Int Finish]])</f>
        <v>#REF!</v>
      </c>
      <c r="W349" t="e">
        <f>GETPIVOTDATA("Sum of Total Mass per m^2 (kg)",'COMPONENT PIVOT REF'!$P$3,"System Name",Table4[[#This Row],[Int Finish]])</f>
        <v>#REF!</v>
      </c>
      <c r="X349" t="e">
        <f>Table4[[#This Row],[Ext Finish GWP]]+Table4[[#This Row],[Base GWP]]+Table4[[#This Row],[Int Finish GWP]]</f>
        <v>#REF!</v>
      </c>
      <c r="Y349" t="e">
        <f>Table4[[#This Row],[Ext Finish R Value]]+Table4[[#This Row],[Base R Value]]+Table4[[#This Row],[Int Finish R Value]]</f>
        <v>#REF!</v>
      </c>
      <c r="Z349" t="e">
        <f>1/Table4[[#This Row],[Total R value]]</f>
        <v>#REF!</v>
      </c>
      <c r="AA349" t="e">
        <f>Table4[[#This Row],[Int Finish Mass]]+Table4[[#This Row],[Ext Finish Mass]]+Table4[[#This Row],[Base Mass]]</f>
        <v>#REF!</v>
      </c>
    </row>
    <row r="350" spans="3:27" x14ac:dyDescent="0.35">
      <c r="C350" t="str">
        <f>_xlfn.CONCAT(Table4[[#This Row],[System Name (Short)]],"_",Table4[[#This Row],[Ext Finish Name (Short)]],"_",Table4[[#This Row],[Int Finish Name (Short)]])</f>
        <v>0_0_0</v>
      </c>
      <c r="E350">
        <f>_xlfn.XLOOKUP(Table4[[#This Row],[Base System]],BASE_SYSTEM_TABLE[System Name],BASE_SYSTEM_TABLE[System Name (Short)],FALSE)</f>
        <v>0</v>
      </c>
      <c r="F350">
        <f>_xlfn.XLOOKUP(Table4[[#This Row],[Base System]],BASE_SYSTEM_TABLE[System Name],BASE_SYSTEM_TABLE[System Type],FALSE)</f>
        <v>0</v>
      </c>
      <c r="G350">
        <f>_xlfn.XLOOKUP(Table4[[#This Row],[Base System]],BASE_SYSTEM_TABLE[System Name],BASE_SYSTEM_TABLE[System Subtype],FALSE)</f>
        <v>0</v>
      </c>
      <c r="H350">
        <f>_xlfn.XLOOKUP(Table4[[#This Row],[Base System]],BASE_SYSTEM_TABLE[System Name],BASE_SYSTEM_TABLE[Construction Type (Framed or Planar)],FALSE)</f>
        <v>0</v>
      </c>
      <c r="I350" t="e">
        <f>GETPIVOTDATA("Sum of A1-A3 Fossil kg CO2e/m^2 wall area",'COMPONENT PIVOT REF'!$A$3,"System Name",Table4[[#This Row],[Base System]])</f>
        <v>#REF!</v>
      </c>
      <c r="J350" t="e">
        <f>GETPIVOTDATA("Sum of  R value (m^2-K/W)",'COMPONENT PIVOT REF'!$A$3,"System Name",Table4[[#This Row],[Base System]])</f>
        <v>#REF!</v>
      </c>
      <c r="K350" t="e">
        <f>GETPIVOTDATA("Sum of Total Mass per m^2 (kg)",'COMPONENT PIVOT REF'!$A$3,"System Name",Table4[[#This Row],[Base System]])</f>
        <v>#REF!</v>
      </c>
      <c r="M350">
        <f>_xlfn.XLOOKUP(Table4[[#This Row],[Ext Finish]],Master_Table4[System Name],Master_Table4[System Name (Short)],FALSE)</f>
        <v>0</v>
      </c>
      <c r="N350">
        <f>_xlfn.XLOOKUP(Table4[[#This Row],[Ext Finish]],Master_Table4[System Name],Master_Table4[Compatible Systems],FALSE)</f>
        <v>0</v>
      </c>
      <c r="O350" t="str">
        <f>IF(ISNUMBER(SEARCH(Table4[[#This Row],[MMC Method]],Table4[[#This Row],[Compatible Systems]])),"YES","NO")</f>
        <v>YES</v>
      </c>
      <c r="P350" t="e">
        <f>GETPIVOTDATA("Sum of A1-A3 Fossil kg CO2e/m^2 wall area",'COMPONENT PIVOT REF'!$I$3,"System Name",Table4[[#This Row],[Ext Finish]])</f>
        <v>#REF!</v>
      </c>
      <c r="Q350" t="e">
        <f>GETPIVOTDATA("Sum of  R value (m^2-K/W)",'COMPONENT PIVOT REF'!$I$3,"System Name",Table4[[#This Row],[Ext Finish]])</f>
        <v>#REF!</v>
      </c>
      <c r="R350" t="e">
        <f>GETPIVOTDATA("Sum of Total Mass per m^2 (kg)",'COMPONENT PIVOT REF'!$I$3,"System Name",Table4[[#This Row],[Ext Finish]])</f>
        <v>#REF!</v>
      </c>
      <c r="T350">
        <f>_xlfn.XLOOKUP(Table4[[#This Row],[Int Finish]],Master_Table6[System Name],Master_Table6[System Name (Short)],FALSE)</f>
        <v>0</v>
      </c>
      <c r="U350" t="e">
        <f>GETPIVOTDATA("Sum of A1-A3 Fossil kg CO2e/m^2 wall area",'COMPONENT PIVOT REF'!$P$3,"System Name",Table4[[#This Row],[Int Finish]])</f>
        <v>#REF!</v>
      </c>
      <c r="V350" t="e">
        <f>GETPIVOTDATA("Sum of  R value (m^2-K/W)",'COMPONENT PIVOT REF'!$P$3,"System Name",Table4[[#This Row],[Int Finish]])</f>
        <v>#REF!</v>
      </c>
      <c r="W350" t="e">
        <f>GETPIVOTDATA("Sum of Total Mass per m^2 (kg)",'COMPONENT PIVOT REF'!$P$3,"System Name",Table4[[#This Row],[Int Finish]])</f>
        <v>#REF!</v>
      </c>
      <c r="X350" t="e">
        <f>Table4[[#This Row],[Ext Finish GWP]]+Table4[[#This Row],[Base GWP]]+Table4[[#This Row],[Int Finish GWP]]</f>
        <v>#REF!</v>
      </c>
      <c r="Y350" t="e">
        <f>Table4[[#This Row],[Ext Finish R Value]]+Table4[[#This Row],[Base R Value]]+Table4[[#This Row],[Int Finish R Value]]</f>
        <v>#REF!</v>
      </c>
      <c r="Z350" t="e">
        <f>1/Table4[[#This Row],[Total R value]]</f>
        <v>#REF!</v>
      </c>
      <c r="AA350" t="e">
        <f>Table4[[#This Row],[Int Finish Mass]]+Table4[[#This Row],[Ext Finish Mass]]+Table4[[#This Row],[Base Mass]]</f>
        <v>#REF!</v>
      </c>
    </row>
    <row r="351" spans="3:27" x14ac:dyDescent="0.35">
      <c r="C351" t="str">
        <f>_xlfn.CONCAT(Table4[[#This Row],[System Name (Short)]],"_",Table4[[#This Row],[Ext Finish Name (Short)]],"_",Table4[[#This Row],[Int Finish Name (Short)]])</f>
        <v>0_0_0</v>
      </c>
      <c r="E351">
        <f>_xlfn.XLOOKUP(Table4[[#This Row],[Base System]],BASE_SYSTEM_TABLE[System Name],BASE_SYSTEM_TABLE[System Name (Short)],FALSE)</f>
        <v>0</v>
      </c>
      <c r="F351">
        <f>_xlfn.XLOOKUP(Table4[[#This Row],[Base System]],BASE_SYSTEM_TABLE[System Name],BASE_SYSTEM_TABLE[System Type],FALSE)</f>
        <v>0</v>
      </c>
      <c r="G351">
        <f>_xlfn.XLOOKUP(Table4[[#This Row],[Base System]],BASE_SYSTEM_TABLE[System Name],BASE_SYSTEM_TABLE[System Subtype],FALSE)</f>
        <v>0</v>
      </c>
      <c r="H351">
        <f>_xlfn.XLOOKUP(Table4[[#This Row],[Base System]],BASE_SYSTEM_TABLE[System Name],BASE_SYSTEM_TABLE[Construction Type (Framed or Planar)],FALSE)</f>
        <v>0</v>
      </c>
      <c r="I351" t="e">
        <f>GETPIVOTDATA("Sum of A1-A3 Fossil kg CO2e/m^2 wall area",'COMPONENT PIVOT REF'!$A$3,"System Name",Table4[[#This Row],[Base System]])</f>
        <v>#REF!</v>
      </c>
      <c r="J351" t="e">
        <f>GETPIVOTDATA("Sum of  R value (m^2-K/W)",'COMPONENT PIVOT REF'!$A$3,"System Name",Table4[[#This Row],[Base System]])</f>
        <v>#REF!</v>
      </c>
      <c r="K351" t="e">
        <f>GETPIVOTDATA("Sum of Total Mass per m^2 (kg)",'COMPONENT PIVOT REF'!$A$3,"System Name",Table4[[#This Row],[Base System]])</f>
        <v>#REF!</v>
      </c>
      <c r="M351">
        <f>_xlfn.XLOOKUP(Table4[[#This Row],[Ext Finish]],Master_Table4[System Name],Master_Table4[System Name (Short)],FALSE)</f>
        <v>0</v>
      </c>
      <c r="N351">
        <f>_xlfn.XLOOKUP(Table4[[#This Row],[Ext Finish]],Master_Table4[System Name],Master_Table4[Compatible Systems],FALSE)</f>
        <v>0</v>
      </c>
      <c r="O351" t="str">
        <f>IF(ISNUMBER(SEARCH(Table4[[#This Row],[MMC Method]],Table4[[#This Row],[Compatible Systems]])),"YES","NO")</f>
        <v>YES</v>
      </c>
      <c r="P351" t="e">
        <f>GETPIVOTDATA("Sum of A1-A3 Fossil kg CO2e/m^2 wall area",'COMPONENT PIVOT REF'!$I$3,"System Name",Table4[[#This Row],[Ext Finish]])</f>
        <v>#REF!</v>
      </c>
      <c r="Q351" t="e">
        <f>GETPIVOTDATA("Sum of  R value (m^2-K/W)",'COMPONENT PIVOT REF'!$I$3,"System Name",Table4[[#This Row],[Ext Finish]])</f>
        <v>#REF!</v>
      </c>
      <c r="R351" t="e">
        <f>GETPIVOTDATA("Sum of Total Mass per m^2 (kg)",'COMPONENT PIVOT REF'!$I$3,"System Name",Table4[[#This Row],[Ext Finish]])</f>
        <v>#REF!</v>
      </c>
      <c r="T351">
        <f>_xlfn.XLOOKUP(Table4[[#This Row],[Int Finish]],Master_Table6[System Name],Master_Table6[System Name (Short)],FALSE)</f>
        <v>0</v>
      </c>
      <c r="U351" t="e">
        <f>GETPIVOTDATA("Sum of A1-A3 Fossil kg CO2e/m^2 wall area",'COMPONENT PIVOT REF'!$P$3,"System Name",Table4[[#This Row],[Int Finish]])</f>
        <v>#REF!</v>
      </c>
      <c r="V351" t="e">
        <f>GETPIVOTDATA("Sum of  R value (m^2-K/W)",'COMPONENT PIVOT REF'!$P$3,"System Name",Table4[[#This Row],[Int Finish]])</f>
        <v>#REF!</v>
      </c>
      <c r="W351" t="e">
        <f>GETPIVOTDATA("Sum of Total Mass per m^2 (kg)",'COMPONENT PIVOT REF'!$P$3,"System Name",Table4[[#This Row],[Int Finish]])</f>
        <v>#REF!</v>
      </c>
      <c r="X351" t="e">
        <f>Table4[[#This Row],[Ext Finish GWP]]+Table4[[#This Row],[Base GWP]]+Table4[[#This Row],[Int Finish GWP]]</f>
        <v>#REF!</v>
      </c>
      <c r="Y351" t="e">
        <f>Table4[[#This Row],[Ext Finish R Value]]+Table4[[#This Row],[Base R Value]]+Table4[[#This Row],[Int Finish R Value]]</f>
        <v>#REF!</v>
      </c>
      <c r="Z351" t="e">
        <f>1/Table4[[#This Row],[Total R value]]</f>
        <v>#REF!</v>
      </c>
      <c r="AA351" t="e">
        <f>Table4[[#This Row],[Int Finish Mass]]+Table4[[#This Row],[Ext Finish Mass]]+Table4[[#This Row],[Base Mass]]</f>
        <v>#REF!</v>
      </c>
    </row>
    <row r="352" spans="3:27" x14ac:dyDescent="0.35">
      <c r="C352" t="str">
        <f>_xlfn.CONCAT(Table4[[#This Row],[System Name (Short)]],"_",Table4[[#This Row],[Ext Finish Name (Short)]],"_",Table4[[#This Row],[Int Finish Name (Short)]])</f>
        <v>0_0_0</v>
      </c>
      <c r="E352">
        <f>_xlfn.XLOOKUP(Table4[[#This Row],[Base System]],BASE_SYSTEM_TABLE[System Name],BASE_SYSTEM_TABLE[System Name (Short)],FALSE)</f>
        <v>0</v>
      </c>
      <c r="F352">
        <f>_xlfn.XLOOKUP(Table4[[#This Row],[Base System]],BASE_SYSTEM_TABLE[System Name],BASE_SYSTEM_TABLE[System Type],FALSE)</f>
        <v>0</v>
      </c>
      <c r="G352">
        <f>_xlfn.XLOOKUP(Table4[[#This Row],[Base System]],BASE_SYSTEM_TABLE[System Name],BASE_SYSTEM_TABLE[System Subtype],FALSE)</f>
        <v>0</v>
      </c>
      <c r="H352">
        <f>_xlfn.XLOOKUP(Table4[[#This Row],[Base System]],BASE_SYSTEM_TABLE[System Name],BASE_SYSTEM_TABLE[Construction Type (Framed or Planar)],FALSE)</f>
        <v>0</v>
      </c>
      <c r="I352" t="e">
        <f>GETPIVOTDATA("Sum of A1-A3 Fossil kg CO2e/m^2 wall area",'COMPONENT PIVOT REF'!$A$3,"System Name",Table4[[#This Row],[Base System]])</f>
        <v>#REF!</v>
      </c>
      <c r="J352" t="e">
        <f>GETPIVOTDATA("Sum of  R value (m^2-K/W)",'COMPONENT PIVOT REF'!$A$3,"System Name",Table4[[#This Row],[Base System]])</f>
        <v>#REF!</v>
      </c>
      <c r="K352" t="e">
        <f>GETPIVOTDATA("Sum of Total Mass per m^2 (kg)",'COMPONENT PIVOT REF'!$A$3,"System Name",Table4[[#This Row],[Base System]])</f>
        <v>#REF!</v>
      </c>
      <c r="M352">
        <f>_xlfn.XLOOKUP(Table4[[#This Row],[Ext Finish]],Master_Table4[System Name],Master_Table4[System Name (Short)],FALSE)</f>
        <v>0</v>
      </c>
      <c r="N352">
        <f>_xlfn.XLOOKUP(Table4[[#This Row],[Ext Finish]],Master_Table4[System Name],Master_Table4[Compatible Systems],FALSE)</f>
        <v>0</v>
      </c>
      <c r="O352" t="str">
        <f>IF(ISNUMBER(SEARCH(Table4[[#This Row],[MMC Method]],Table4[[#This Row],[Compatible Systems]])),"YES","NO")</f>
        <v>YES</v>
      </c>
      <c r="P352" t="e">
        <f>GETPIVOTDATA("Sum of A1-A3 Fossil kg CO2e/m^2 wall area",'COMPONENT PIVOT REF'!$I$3,"System Name",Table4[[#This Row],[Ext Finish]])</f>
        <v>#REF!</v>
      </c>
      <c r="Q352" t="e">
        <f>GETPIVOTDATA("Sum of  R value (m^2-K/W)",'COMPONENT PIVOT REF'!$I$3,"System Name",Table4[[#This Row],[Ext Finish]])</f>
        <v>#REF!</v>
      </c>
      <c r="R352" t="e">
        <f>GETPIVOTDATA("Sum of Total Mass per m^2 (kg)",'COMPONENT PIVOT REF'!$I$3,"System Name",Table4[[#This Row],[Ext Finish]])</f>
        <v>#REF!</v>
      </c>
      <c r="T352">
        <f>_xlfn.XLOOKUP(Table4[[#This Row],[Int Finish]],Master_Table6[System Name],Master_Table6[System Name (Short)],FALSE)</f>
        <v>0</v>
      </c>
      <c r="U352" t="e">
        <f>GETPIVOTDATA("Sum of A1-A3 Fossil kg CO2e/m^2 wall area",'COMPONENT PIVOT REF'!$P$3,"System Name",Table4[[#This Row],[Int Finish]])</f>
        <v>#REF!</v>
      </c>
      <c r="V352" t="e">
        <f>GETPIVOTDATA("Sum of  R value (m^2-K/W)",'COMPONENT PIVOT REF'!$P$3,"System Name",Table4[[#This Row],[Int Finish]])</f>
        <v>#REF!</v>
      </c>
      <c r="W352" t="e">
        <f>GETPIVOTDATA("Sum of Total Mass per m^2 (kg)",'COMPONENT PIVOT REF'!$P$3,"System Name",Table4[[#This Row],[Int Finish]])</f>
        <v>#REF!</v>
      </c>
      <c r="X352" t="e">
        <f>Table4[[#This Row],[Ext Finish GWP]]+Table4[[#This Row],[Base GWP]]+Table4[[#This Row],[Int Finish GWP]]</f>
        <v>#REF!</v>
      </c>
      <c r="Y352" t="e">
        <f>Table4[[#This Row],[Ext Finish R Value]]+Table4[[#This Row],[Base R Value]]+Table4[[#This Row],[Int Finish R Value]]</f>
        <v>#REF!</v>
      </c>
      <c r="Z352" t="e">
        <f>1/Table4[[#This Row],[Total R value]]</f>
        <v>#REF!</v>
      </c>
      <c r="AA352" t="e">
        <f>Table4[[#This Row],[Int Finish Mass]]+Table4[[#This Row],[Ext Finish Mass]]+Table4[[#This Row],[Base Mass]]</f>
        <v>#REF!</v>
      </c>
    </row>
    <row r="353" spans="3:27" x14ac:dyDescent="0.35">
      <c r="C353" t="str">
        <f>_xlfn.CONCAT(Table4[[#This Row],[System Name (Short)]],"_",Table4[[#This Row],[Ext Finish Name (Short)]],"_",Table4[[#This Row],[Int Finish Name (Short)]])</f>
        <v>0_0_0</v>
      </c>
      <c r="E353">
        <f>_xlfn.XLOOKUP(Table4[[#This Row],[Base System]],BASE_SYSTEM_TABLE[System Name],BASE_SYSTEM_TABLE[System Name (Short)],FALSE)</f>
        <v>0</v>
      </c>
      <c r="F353">
        <f>_xlfn.XLOOKUP(Table4[[#This Row],[Base System]],BASE_SYSTEM_TABLE[System Name],BASE_SYSTEM_TABLE[System Type],FALSE)</f>
        <v>0</v>
      </c>
      <c r="G353">
        <f>_xlfn.XLOOKUP(Table4[[#This Row],[Base System]],BASE_SYSTEM_TABLE[System Name],BASE_SYSTEM_TABLE[System Subtype],FALSE)</f>
        <v>0</v>
      </c>
      <c r="H353">
        <f>_xlfn.XLOOKUP(Table4[[#This Row],[Base System]],BASE_SYSTEM_TABLE[System Name],BASE_SYSTEM_TABLE[Construction Type (Framed or Planar)],FALSE)</f>
        <v>0</v>
      </c>
      <c r="I353" t="e">
        <f>GETPIVOTDATA("Sum of A1-A3 Fossil kg CO2e/m^2 wall area",'COMPONENT PIVOT REF'!$A$3,"System Name",Table4[[#This Row],[Base System]])</f>
        <v>#REF!</v>
      </c>
      <c r="J353" t="e">
        <f>GETPIVOTDATA("Sum of  R value (m^2-K/W)",'COMPONENT PIVOT REF'!$A$3,"System Name",Table4[[#This Row],[Base System]])</f>
        <v>#REF!</v>
      </c>
      <c r="K353" t="e">
        <f>GETPIVOTDATA("Sum of Total Mass per m^2 (kg)",'COMPONENT PIVOT REF'!$A$3,"System Name",Table4[[#This Row],[Base System]])</f>
        <v>#REF!</v>
      </c>
      <c r="M353">
        <f>_xlfn.XLOOKUP(Table4[[#This Row],[Ext Finish]],Master_Table4[System Name],Master_Table4[System Name (Short)],FALSE)</f>
        <v>0</v>
      </c>
      <c r="N353">
        <f>_xlfn.XLOOKUP(Table4[[#This Row],[Ext Finish]],Master_Table4[System Name],Master_Table4[Compatible Systems],FALSE)</f>
        <v>0</v>
      </c>
      <c r="O353" t="str">
        <f>IF(ISNUMBER(SEARCH(Table4[[#This Row],[MMC Method]],Table4[[#This Row],[Compatible Systems]])),"YES","NO")</f>
        <v>YES</v>
      </c>
      <c r="P353" t="e">
        <f>GETPIVOTDATA("Sum of A1-A3 Fossil kg CO2e/m^2 wall area",'COMPONENT PIVOT REF'!$I$3,"System Name",Table4[[#This Row],[Ext Finish]])</f>
        <v>#REF!</v>
      </c>
      <c r="Q353" t="e">
        <f>GETPIVOTDATA("Sum of  R value (m^2-K/W)",'COMPONENT PIVOT REF'!$I$3,"System Name",Table4[[#This Row],[Ext Finish]])</f>
        <v>#REF!</v>
      </c>
      <c r="R353" t="e">
        <f>GETPIVOTDATA("Sum of Total Mass per m^2 (kg)",'COMPONENT PIVOT REF'!$I$3,"System Name",Table4[[#This Row],[Ext Finish]])</f>
        <v>#REF!</v>
      </c>
      <c r="T353">
        <f>_xlfn.XLOOKUP(Table4[[#This Row],[Int Finish]],Master_Table6[System Name],Master_Table6[System Name (Short)],FALSE)</f>
        <v>0</v>
      </c>
      <c r="U353" t="e">
        <f>GETPIVOTDATA("Sum of A1-A3 Fossil kg CO2e/m^2 wall area",'COMPONENT PIVOT REF'!$P$3,"System Name",Table4[[#This Row],[Int Finish]])</f>
        <v>#REF!</v>
      </c>
      <c r="V353" t="e">
        <f>GETPIVOTDATA("Sum of  R value (m^2-K/W)",'COMPONENT PIVOT REF'!$P$3,"System Name",Table4[[#This Row],[Int Finish]])</f>
        <v>#REF!</v>
      </c>
      <c r="W353" t="e">
        <f>GETPIVOTDATA("Sum of Total Mass per m^2 (kg)",'COMPONENT PIVOT REF'!$P$3,"System Name",Table4[[#This Row],[Int Finish]])</f>
        <v>#REF!</v>
      </c>
      <c r="X353" t="e">
        <f>Table4[[#This Row],[Ext Finish GWP]]+Table4[[#This Row],[Base GWP]]+Table4[[#This Row],[Int Finish GWP]]</f>
        <v>#REF!</v>
      </c>
      <c r="Y353" t="e">
        <f>Table4[[#This Row],[Ext Finish R Value]]+Table4[[#This Row],[Base R Value]]+Table4[[#This Row],[Int Finish R Value]]</f>
        <v>#REF!</v>
      </c>
      <c r="Z353" t="e">
        <f>1/Table4[[#This Row],[Total R value]]</f>
        <v>#REF!</v>
      </c>
      <c r="AA353" t="e">
        <f>Table4[[#This Row],[Int Finish Mass]]+Table4[[#This Row],[Ext Finish Mass]]+Table4[[#This Row],[Base Mass]]</f>
        <v>#REF!</v>
      </c>
    </row>
    <row r="354" spans="3:27" x14ac:dyDescent="0.35">
      <c r="C354" t="str">
        <f>_xlfn.CONCAT(Table4[[#This Row],[System Name (Short)]],"_",Table4[[#This Row],[Ext Finish Name (Short)]],"_",Table4[[#This Row],[Int Finish Name (Short)]])</f>
        <v>0_0_0</v>
      </c>
      <c r="E354">
        <f>_xlfn.XLOOKUP(Table4[[#This Row],[Base System]],BASE_SYSTEM_TABLE[System Name],BASE_SYSTEM_TABLE[System Name (Short)],FALSE)</f>
        <v>0</v>
      </c>
      <c r="F354">
        <f>_xlfn.XLOOKUP(Table4[[#This Row],[Base System]],BASE_SYSTEM_TABLE[System Name],BASE_SYSTEM_TABLE[System Type],FALSE)</f>
        <v>0</v>
      </c>
      <c r="G354">
        <f>_xlfn.XLOOKUP(Table4[[#This Row],[Base System]],BASE_SYSTEM_TABLE[System Name],BASE_SYSTEM_TABLE[System Subtype],FALSE)</f>
        <v>0</v>
      </c>
      <c r="H354">
        <f>_xlfn.XLOOKUP(Table4[[#This Row],[Base System]],BASE_SYSTEM_TABLE[System Name],BASE_SYSTEM_TABLE[Construction Type (Framed or Planar)],FALSE)</f>
        <v>0</v>
      </c>
      <c r="I354" t="e">
        <f>GETPIVOTDATA("Sum of A1-A3 Fossil kg CO2e/m^2 wall area",'COMPONENT PIVOT REF'!$A$3,"System Name",Table4[[#This Row],[Base System]])</f>
        <v>#REF!</v>
      </c>
      <c r="J354" t="e">
        <f>GETPIVOTDATA("Sum of  R value (m^2-K/W)",'COMPONENT PIVOT REF'!$A$3,"System Name",Table4[[#This Row],[Base System]])</f>
        <v>#REF!</v>
      </c>
      <c r="K354" t="e">
        <f>GETPIVOTDATA("Sum of Total Mass per m^2 (kg)",'COMPONENT PIVOT REF'!$A$3,"System Name",Table4[[#This Row],[Base System]])</f>
        <v>#REF!</v>
      </c>
      <c r="M354">
        <f>_xlfn.XLOOKUP(Table4[[#This Row],[Ext Finish]],Master_Table4[System Name],Master_Table4[System Name (Short)],FALSE)</f>
        <v>0</v>
      </c>
      <c r="N354">
        <f>_xlfn.XLOOKUP(Table4[[#This Row],[Ext Finish]],Master_Table4[System Name],Master_Table4[Compatible Systems],FALSE)</f>
        <v>0</v>
      </c>
      <c r="O354" t="str">
        <f>IF(ISNUMBER(SEARCH(Table4[[#This Row],[MMC Method]],Table4[[#This Row],[Compatible Systems]])),"YES","NO")</f>
        <v>YES</v>
      </c>
      <c r="P354" t="e">
        <f>GETPIVOTDATA("Sum of A1-A3 Fossil kg CO2e/m^2 wall area",'COMPONENT PIVOT REF'!$I$3,"System Name",Table4[[#This Row],[Ext Finish]])</f>
        <v>#REF!</v>
      </c>
      <c r="Q354" t="e">
        <f>GETPIVOTDATA("Sum of  R value (m^2-K/W)",'COMPONENT PIVOT REF'!$I$3,"System Name",Table4[[#This Row],[Ext Finish]])</f>
        <v>#REF!</v>
      </c>
      <c r="R354" t="e">
        <f>GETPIVOTDATA("Sum of Total Mass per m^2 (kg)",'COMPONENT PIVOT REF'!$I$3,"System Name",Table4[[#This Row],[Ext Finish]])</f>
        <v>#REF!</v>
      </c>
      <c r="T354">
        <f>_xlfn.XLOOKUP(Table4[[#This Row],[Int Finish]],Master_Table6[System Name],Master_Table6[System Name (Short)],FALSE)</f>
        <v>0</v>
      </c>
      <c r="U354" t="e">
        <f>GETPIVOTDATA("Sum of A1-A3 Fossil kg CO2e/m^2 wall area",'COMPONENT PIVOT REF'!$P$3,"System Name",Table4[[#This Row],[Int Finish]])</f>
        <v>#REF!</v>
      </c>
      <c r="V354" t="e">
        <f>GETPIVOTDATA("Sum of  R value (m^2-K/W)",'COMPONENT PIVOT REF'!$P$3,"System Name",Table4[[#This Row],[Int Finish]])</f>
        <v>#REF!</v>
      </c>
      <c r="W354" t="e">
        <f>GETPIVOTDATA("Sum of Total Mass per m^2 (kg)",'COMPONENT PIVOT REF'!$P$3,"System Name",Table4[[#This Row],[Int Finish]])</f>
        <v>#REF!</v>
      </c>
      <c r="X354" t="e">
        <f>Table4[[#This Row],[Ext Finish GWP]]+Table4[[#This Row],[Base GWP]]+Table4[[#This Row],[Int Finish GWP]]</f>
        <v>#REF!</v>
      </c>
      <c r="Y354" t="e">
        <f>Table4[[#This Row],[Ext Finish R Value]]+Table4[[#This Row],[Base R Value]]+Table4[[#This Row],[Int Finish R Value]]</f>
        <v>#REF!</v>
      </c>
      <c r="Z354" t="e">
        <f>1/Table4[[#This Row],[Total R value]]</f>
        <v>#REF!</v>
      </c>
      <c r="AA354" t="e">
        <f>Table4[[#This Row],[Int Finish Mass]]+Table4[[#This Row],[Ext Finish Mass]]+Table4[[#This Row],[Base Mass]]</f>
        <v>#REF!</v>
      </c>
    </row>
    <row r="355" spans="3:27" x14ac:dyDescent="0.35">
      <c r="C355" t="str">
        <f>_xlfn.CONCAT(Table4[[#This Row],[System Name (Short)]],"_",Table4[[#This Row],[Ext Finish Name (Short)]],"_",Table4[[#This Row],[Int Finish Name (Short)]])</f>
        <v>0_0_0</v>
      </c>
      <c r="E355">
        <f>_xlfn.XLOOKUP(Table4[[#This Row],[Base System]],BASE_SYSTEM_TABLE[System Name],BASE_SYSTEM_TABLE[System Name (Short)],FALSE)</f>
        <v>0</v>
      </c>
      <c r="F355">
        <f>_xlfn.XLOOKUP(Table4[[#This Row],[Base System]],BASE_SYSTEM_TABLE[System Name],BASE_SYSTEM_TABLE[System Type],FALSE)</f>
        <v>0</v>
      </c>
      <c r="G355">
        <f>_xlfn.XLOOKUP(Table4[[#This Row],[Base System]],BASE_SYSTEM_TABLE[System Name],BASE_SYSTEM_TABLE[System Subtype],FALSE)</f>
        <v>0</v>
      </c>
      <c r="H355">
        <f>_xlfn.XLOOKUP(Table4[[#This Row],[Base System]],BASE_SYSTEM_TABLE[System Name],BASE_SYSTEM_TABLE[Construction Type (Framed or Planar)],FALSE)</f>
        <v>0</v>
      </c>
      <c r="I355" t="e">
        <f>GETPIVOTDATA("Sum of A1-A3 Fossil kg CO2e/m^2 wall area",'COMPONENT PIVOT REF'!$A$3,"System Name",Table4[[#This Row],[Base System]])</f>
        <v>#REF!</v>
      </c>
      <c r="J355" t="e">
        <f>GETPIVOTDATA("Sum of  R value (m^2-K/W)",'COMPONENT PIVOT REF'!$A$3,"System Name",Table4[[#This Row],[Base System]])</f>
        <v>#REF!</v>
      </c>
      <c r="K355" t="e">
        <f>GETPIVOTDATA("Sum of Total Mass per m^2 (kg)",'COMPONENT PIVOT REF'!$A$3,"System Name",Table4[[#This Row],[Base System]])</f>
        <v>#REF!</v>
      </c>
      <c r="M355">
        <f>_xlfn.XLOOKUP(Table4[[#This Row],[Ext Finish]],Master_Table4[System Name],Master_Table4[System Name (Short)],FALSE)</f>
        <v>0</v>
      </c>
      <c r="N355">
        <f>_xlfn.XLOOKUP(Table4[[#This Row],[Ext Finish]],Master_Table4[System Name],Master_Table4[Compatible Systems],FALSE)</f>
        <v>0</v>
      </c>
      <c r="O355" t="str">
        <f>IF(ISNUMBER(SEARCH(Table4[[#This Row],[MMC Method]],Table4[[#This Row],[Compatible Systems]])),"YES","NO")</f>
        <v>YES</v>
      </c>
      <c r="P355" t="e">
        <f>GETPIVOTDATA("Sum of A1-A3 Fossil kg CO2e/m^2 wall area",'COMPONENT PIVOT REF'!$I$3,"System Name",Table4[[#This Row],[Ext Finish]])</f>
        <v>#REF!</v>
      </c>
      <c r="Q355" t="e">
        <f>GETPIVOTDATA("Sum of  R value (m^2-K/W)",'COMPONENT PIVOT REF'!$I$3,"System Name",Table4[[#This Row],[Ext Finish]])</f>
        <v>#REF!</v>
      </c>
      <c r="R355" t="e">
        <f>GETPIVOTDATA("Sum of Total Mass per m^2 (kg)",'COMPONENT PIVOT REF'!$I$3,"System Name",Table4[[#This Row],[Ext Finish]])</f>
        <v>#REF!</v>
      </c>
      <c r="T355">
        <f>_xlfn.XLOOKUP(Table4[[#This Row],[Int Finish]],Master_Table6[System Name],Master_Table6[System Name (Short)],FALSE)</f>
        <v>0</v>
      </c>
      <c r="U355" t="e">
        <f>GETPIVOTDATA("Sum of A1-A3 Fossil kg CO2e/m^2 wall area",'COMPONENT PIVOT REF'!$P$3,"System Name",Table4[[#This Row],[Int Finish]])</f>
        <v>#REF!</v>
      </c>
      <c r="V355" t="e">
        <f>GETPIVOTDATA("Sum of  R value (m^2-K/W)",'COMPONENT PIVOT REF'!$P$3,"System Name",Table4[[#This Row],[Int Finish]])</f>
        <v>#REF!</v>
      </c>
      <c r="W355" t="e">
        <f>GETPIVOTDATA("Sum of Total Mass per m^2 (kg)",'COMPONENT PIVOT REF'!$P$3,"System Name",Table4[[#This Row],[Int Finish]])</f>
        <v>#REF!</v>
      </c>
      <c r="X355" t="e">
        <f>Table4[[#This Row],[Ext Finish GWP]]+Table4[[#This Row],[Base GWP]]+Table4[[#This Row],[Int Finish GWP]]</f>
        <v>#REF!</v>
      </c>
      <c r="Y355" t="e">
        <f>Table4[[#This Row],[Ext Finish R Value]]+Table4[[#This Row],[Base R Value]]+Table4[[#This Row],[Int Finish R Value]]</f>
        <v>#REF!</v>
      </c>
      <c r="Z355" t="e">
        <f>1/Table4[[#This Row],[Total R value]]</f>
        <v>#REF!</v>
      </c>
      <c r="AA355" t="e">
        <f>Table4[[#This Row],[Int Finish Mass]]+Table4[[#This Row],[Ext Finish Mass]]+Table4[[#This Row],[Base Mass]]</f>
        <v>#REF!</v>
      </c>
    </row>
    <row r="356" spans="3:27" x14ac:dyDescent="0.35">
      <c r="C356" t="str">
        <f>_xlfn.CONCAT(Table4[[#This Row],[System Name (Short)]],"_",Table4[[#This Row],[Ext Finish Name (Short)]],"_",Table4[[#This Row],[Int Finish Name (Short)]])</f>
        <v>0_0_0</v>
      </c>
      <c r="E356">
        <f>_xlfn.XLOOKUP(Table4[[#This Row],[Base System]],BASE_SYSTEM_TABLE[System Name],BASE_SYSTEM_TABLE[System Name (Short)],FALSE)</f>
        <v>0</v>
      </c>
      <c r="F356">
        <f>_xlfn.XLOOKUP(Table4[[#This Row],[Base System]],BASE_SYSTEM_TABLE[System Name],BASE_SYSTEM_TABLE[System Type],FALSE)</f>
        <v>0</v>
      </c>
      <c r="G356">
        <f>_xlfn.XLOOKUP(Table4[[#This Row],[Base System]],BASE_SYSTEM_TABLE[System Name],BASE_SYSTEM_TABLE[System Subtype],FALSE)</f>
        <v>0</v>
      </c>
      <c r="H356">
        <f>_xlfn.XLOOKUP(Table4[[#This Row],[Base System]],BASE_SYSTEM_TABLE[System Name],BASE_SYSTEM_TABLE[Construction Type (Framed or Planar)],FALSE)</f>
        <v>0</v>
      </c>
      <c r="I356" t="e">
        <f>GETPIVOTDATA("Sum of A1-A3 Fossil kg CO2e/m^2 wall area",'COMPONENT PIVOT REF'!$A$3,"System Name",Table4[[#This Row],[Base System]])</f>
        <v>#REF!</v>
      </c>
      <c r="J356" t="e">
        <f>GETPIVOTDATA("Sum of  R value (m^2-K/W)",'COMPONENT PIVOT REF'!$A$3,"System Name",Table4[[#This Row],[Base System]])</f>
        <v>#REF!</v>
      </c>
      <c r="K356" t="e">
        <f>GETPIVOTDATA("Sum of Total Mass per m^2 (kg)",'COMPONENT PIVOT REF'!$A$3,"System Name",Table4[[#This Row],[Base System]])</f>
        <v>#REF!</v>
      </c>
      <c r="M356">
        <f>_xlfn.XLOOKUP(Table4[[#This Row],[Ext Finish]],Master_Table4[System Name],Master_Table4[System Name (Short)],FALSE)</f>
        <v>0</v>
      </c>
      <c r="N356">
        <f>_xlfn.XLOOKUP(Table4[[#This Row],[Ext Finish]],Master_Table4[System Name],Master_Table4[Compatible Systems],FALSE)</f>
        <v>0</v>
      </c>
      <c r="O356" t="str">
        <f>IF(ISNUMBER(SEARCH(Table4[[#This Row],[MMC Method]],Table4[[#This Row],[Compatible Systems]])),"YES","NO")</f>
        <v>YES</v>
      </c>
      <c r="P356" t="e">
        <f>GETPIVOTDATA("Sum of A1-A3 Fossil kg CO2e/m^2 wall area",'COMPONENT PIVOT REF'!$I$3,"System Name",Table4[[#This Row],[Ext Finish]])</f>
        <v>#REF!</v>
      </c>
      <c r="Q356" t="e">
        <f>GETPIVOTDATA("Sum of  R value (m^2-K/W)",'COMPONENT PIVOT REF'!$I$3,"System Name",Table4[[#This Row],[Ext Finish]])</f>
        <v>#REF!</v>
      </c>
      <c r="R356" t="e">
        <f>GETPIVOTDATA("Sum of Total Mass per m^2 (kg)",'COMPONENT PIVOT REF'!$I$3,"System Name",Table4[[#This Row],[Ext Finish]])</f>
        <v>#REF!</v>
      </c>
      <c r="T356">
        <f>_xlfn.XLOOKUP(Table4[[#This Row],[Int Finish]],Master_Table6[System Name],Master_Table6[System Name (Short)],FALSE)</f>
        <v>0</v>
      </c>
      <c r="U356" t="e">
        <f>GETPIVOTDATA("Sum of A1-A3 Fossil kg CO2e/m^2 wall area",'COMPONENT PIVOT REF'!$P$3,"System Name",Table4[[#This Row],[Int Finish]])</f>
        <v>#REF!</v>
      </c>
      <c r="V356" t="e">
        <f>GETPIVOTDATA("Sum of  R value (m^2-K/W)",'COMPONENT PIVOT REF'!$P$3,"System Name",Table4[[#This Row],[Int Finish]])</f>
        <v>#REF!</v>
      </c>
      <c r="W356" t="e">
        <f>GETPIVOTDATA("Sum of Total Mass per m^2 (kg)",'COMPONENT PIVOT REF'!$P$3,"System Name",Table4[[#This Row],[Int Finish]])</f>
        <v>#REF!</v>
      </c>
      <c r="X356" t="e">
        <f>Table4[[#This Row],[Ext Finish GWP]]+Table4[[#This Row],[Base GWP]]+Table4[[#This Row],[Int Finish GWP]]</f>
        <v>#REF!</v>
      </c>
      <c r="Y356" t="e">
        <f>Table4[[#This Row],[Ext Finish R Value]]+Table4[[#This Row],[Base R Value]]+Table4[[#This Row],[Int Finish R Value]]</f>
        <v>#REF!</v>
      </c>
      <c r="Z356" t="e">
        <f>1/Table4[[#This Row],[Total R value]]</f>
        <v>#REF!</v>
      </c>
      <c r="AA356" t="e">
        <f>Table4[[#This Row],[Int Finish Mass]]+Table4[[#This Row],[Ext Finish Mass]]+Table4[[#This Row],[Base Mass]]</f>
        <v>#REF!</v>
      </c>
    </row>
    <row r="357" spans="3:27" x14ac:dyDescent="0.35">
      <c r="C357" t="str">
        <f>_xlfn.CONCAT(Table4[[#This Row],[System Name (Short)]],"_",Table4[[#This Row],[Ext Finish Name (Short)]],"_",Table4[[#This Row],[Int Finish Name (Short)]])</f>
        <v>0_0_0</v>
      </c>
      <c r="E357">
        <f>_xlfn.XLOOKUP(Table4[[#This Row],[Base System]],BASE_SYSTEM_TABLE[System Name],BASE_SYSTEM_TABLE[System Name (Short)],FALSE)</f>
        <v>0</v>
      </c>
      <c r="F357">
        <f>_xlfn.XLOOKUP(Table4[[#This Row],[Base System]],BASE_SYSTEM_TABLE[System Name],BASE_SYSTEM_TABLE[System Type],FALSE)</f>
        <v>0</v>
      </c>
      <c r="G357">
        <f>_xlfn.XLOOKUP(Table4[[#This Row],[Base System]],BASE_SYSTEM_TABLE[System Name],BASE_SYSTEM_TABLE[System Subtype],FALSE)</f>
        <v>0</v>
      </c>
      <c r="H357">
        <f>_xlfn.XLOOKUP(Table4[[#This Row],[Base System]],BASE_SYSTEM_TABLE[System Name],BASE_SYSTEM_TABLE[Construction Type (Framed or Planar)],FALSE)</f>
        <v>0</v>
      </c>
      <c r="I357" t="e">
        <f>GETPIVOTDATA("Sum of A1-A3 Fossil kg CO2e/m^2 wall area",'COMPONENT PIVOT REF'!$A$3,"System Name",Table4[[#This Row],[Base System]])</f>
        <v>#REF!</v>
      </c>
      <c r="J357" t="e">
        <f>GETPIVOTDATA("Sum of  R value (m^2-K/W)",'COMPONENT PIVOT REF'!$A$3,"System Name",Table4[[#This Row],[Base System]])</f>
        <v>#REF!</v>
      </c>
      <c r="K357" t="e">
        <f>GETPIVOTDATA("Sum of Total Mass per m^2 (kg)",'COMPONENT PIVOT REF'!$A$3,"System Name",Table4[[#This Row],[Base System]])</f>
        <v>#REF!</v>
      </c>
      <c r="M357">
        <f>_xlfn.XLOOKUP(Table4[[#This Row],[Ext Finish]],Master_Table4[System Name],Master_Table4[System Name (Short)],FALSE)</f>
        <v>0</v>
      </c>
      <c r="N357">
        <f>_xlfn.XLOOKUP(Table4[[#This Row],[Ext Finish]],Master_Table4[System Name],Master_Table4[Compatible Systems],FALSE)</f>
        <v>0</v>
      </c>
      <c r="O357" t="str">
        <f>IF(ISNUMBER(SEARCH(Table4[[#This Row],[MMC Method]],Table4[[#This Row],[Compatible Systems]])),"YES","NO")</f>
        <v>YES</v>
      </c>
      <c r="P357" t="e">
        <f>GETPIVOTDATA("Sum of A1-A3 Fossil kg CO2e/m^2 wall area",'COMPONENT PIVOT REF'!$I$3,"System Name",Table4[[#This Row],[Ext Finish]])</f>
        <v>#REF!</v>
      </c>
      <c r="Q357" t="e">
        <f>GETPIVOTDATA("Sum of  R value (m^2-K/W)",'COMPONENT PIVOT REF'!$I$3,"System Name",Table4[[#This Row],[Ext Finish]])</f>
        <v>#REF!</v>
      </c>
      <c r="R357" t="e">
        <f>GETPIVOTDATA("Sum of Total Mass per m^2 (kg)",'COMPONENT PIVOT REF'!$I$3,"System Name",Table4[[#This Row],[Ext Finish]])</f>
        <v>#REF!</v>
      </c>
      <c r="T357">
        <f>_xlfn.XLOOKUP(Table4[[#This Row],[Int Finish]],Master_Table6[System Name],Master_Table6[System Name (Short)],FALSE)</f>
        <v>0</v>
      </c>
      <c r="U357" t="e">
        <f>GETPIVOTDATA("Sum of A1-A3 Fossil kg CO2e/m^2 wall area",'COMPONENT PIVOT REF'!$P$3,"System Name",Table4[[#This Row],[Int Finish]])</f>
        <v>#REF!</v>
      </c>
      <c r="V357" t="e">
        <f>GETPIVOTDATA("Sum of  R value (m^2-K/W)",'COMPONENT PIVOT REF'!$P$3,"System Name",Table4[[#This Row],[Int Finish]])</f>
        <v>#REF!</v>
      </c>
      <c r="W357" t="e">
        <f>GETPIVOTDATA("Sum of Total Mass per m^2 (kg)",'COMPONENT PIVOT REF'!$P$3,"System Name",Table4[[#This Row],[Int Finish]])</f>
        <v>#REF!</v>
      </c>
      <c r="X357" t="e">
        <f>Table4[[#This Row],[Ext Finish GWP]]+Table4[[#This Row],[Base GWP]]+Table4[[#This Row],[Int Finish GWP]]</f>
        <v>#REF!</v>
      </c>
      <c r="Y357" t="e">
        <f>Table4[[#This Row],[Ext Finish R Value]]+Table4[[#This Row],[Base R Value]]+Table4[[#This Row],[Int Finish R Value]]</f>
        <v>#REF!</v>
      </c>
      <c r="Z357" t="e">
        <f>1/Table4[[#This Row],[Total R value]]</f>
        <v>#REF!</v>
      </c>
      <c r="AA357" t="e">
        <f>Table4[[#This Row],[Int Finish Mass]]+Table4[[#This Row],[Ext Finish Mass]]+Table4[[#This Row],[Base Mass]]</f>
        <v>#REF!</v>
      </c>
    </row>
    <row r="358" spans="3:27" x14ac:dyDescent="0.35">
      <c r="C358" t="str">
        <f>_xlfn.CONCAT(Table4[[#This Row],[System Name (Short)]],"_",Table4[[#This Row],[Ext Finish Name (Short)]],"_",Table4[[#This Row],[Int Finish Name (Short)]])</f>
        <v>0_0_0</v>
      </c>
      <c r="E358">
        <f>_xlfn.XLOOKUP(Table4[[#This Row],[Base System]],BASE_SYSTEM_TABLE[System Name],BASE_SYSTEM_TABLE[System Name (Short)],FALSE)</f>
        <v>0</v>
      </c>
      <c r="F358">
        <f>_xlfn.XLOOKUP(Table4[[#This Row],[Base System]],BASE_SYSTEM_TABLE[System Name],BASE_SYSTEM_TABLE[System Type],FALSE)</f>
        <v>0</v>
      </c>
      <c r="G358">
        <f>_xlfn.XLOOKUP(Table4[[#This Row],[Base System]],BASE_SYSTEM_TABLE[System Name],BASE_SYSTEM_TABLE[System Subtype],FALSE)</f>
        <v>0</v>
      </c>
      <c r="H358">
        <f>_xlfn.XLOOKUP(Table4[[#This Row],[Base System]],BASE_SYSTEM_TABLE[System Name],BASE_SYSTEM_TABLE[Construction Type (Framed or Planar)],FALSE)</f>
        <v>0</v>
      </c>
      <c r="I358" t="e">
        <f>GETPIVOTDATA("Sum of A1-A3 Fossil kg CO2e/m^2 wall area",'COMPONENT PIVOT REF'!$A$3,"System Name",Table4[[#This Row],[Base System]])</f>
        <v>#REF!</v>
      </c>
      <c r="J358" t="e">
        <f>GETPIVOTDATA("Sum of  R value (m^2-K/W)",'COMPONENT PIVOT REF'!$A$3,"System Name",Table4[[#This Row],[Base System]])</f>
        <v>#REF!</v>
      </c>
      <c r="K358" t="e">
        <f>GETPIVOTDATA("Sum of Total Mass per m^2 (kg)",'COMPONENT PIVOT REF'!$A$3,"System Name",Table4[[#This Row],[Base System]])</f>
        <v>#REF!</v>
      </c>
      <c r="M358">
        <f>_xlfn.XLOOKUP(Table4[[#This Row],[Ext Finish]],Master_Table4[System Name],Master_Table4[System Name (Short)],FALSE)</f>
        <v>0</v>
      </c>
      <c r="N358">
        <f>_xlfn.XLOOKUP(Table4[[#This Row],[Ext Finish]],Master_Table4[System Name],Master_Table4[Compatible Systems],FALSE)</f>
        <v>0</v>
      </c>
      <c r="O358" t="str">
        <f>IF(ISNUMBER(SEARCH(Table4[[#This Row],[MMC Method]],Table4[[#This Row],[Compatible Systems]])),"YES","NO")</f>
        <v>YES</v>
      </c>
      <c r="P358" t="e">
        <f>GETPIVOTDATA("Sum of A1-A3 Fossil kg CO2e/m^2 wall area",'COMPONENT PIVOT REF'!$I$3,"System Name",Table4[[#This Row],[Ext Finish]])</f>
        <v>#REF!</v>
      </c>
      <c r="Q358" t="e">
        <f>GETPIVOTDATA("Sum of  R value (m^2-K/W)",'COMPONENT PIVOT REF'!$I$3,"System Name",Table4[[#This Row],[Ext Finish]])</f>
        <v>#REF!</v>
      </c>
      <c r="R358" t="e">
        <f>GETPIVOTDATA("Sum of Total Mass per m^2 (kg)",'COMPONENT PIVOT REF'!$I$3,"System Name",Table4[[#This Row],[Ext Finish]])</f>
        <v>#REF!</v>
      </c>
      <c r="T358">
        <f>_xlfn.XLOOKUP(Table4[[#This Row],[Int Finish]],Master_Table6[System Name],Master_Table6[System Name (Short)],FALSE)</f>
        <v>0</v>
      </c>
      <c r="U358" t="e">
        <f>GETPIVOTDATA("Sum of A1-A3 Fossil kg CO2e/m^2 wall area",'COMPONENT PIVOT REF'!$P$3,"System Name",Table4[[#This Row],[Int Finish]])</f>
        <v>#REF!</v>
      </c>
      <c r="V358" t="e">
        <f>GETPIVOTDATA("Sum of  R value (m^2-K/W)",'COMPONENT PIVOT REF'!$P$3,"System Name",Table4[[#This Row],[Int Finish]])</f>
        <v>#REF!</v>
      </c>
      <c r="W358" t="e">
        <f>GETPIVOTDATA("Sum of Total Mass per m^2 (kg)",'COMPONENT PIVOT REF'!$P$3,"System Name",Table4[[#This Row],[Int Finish]])</f>
        <v>#REF!</v>
      </c>
      <c r="X358" t="e">
        <f>Table4[[#This Row],[Ext Finish GWP]]+Table4[[#This Row],[Base GWP]]+Table4[[#This Row],[Int Finish GWP]]</f>
        <v>#REF!</v>
      </c>
      <c r="Y358" t="e">
        <f>Table4[[#This Row],[Ext Finish R Value]]+Table4[[#This Row],[Base R Value]]+Table4[[#This Row],[Int Finish R Value]]</f>
        <v>#REF!</v>
      </c>
      <c r="Z358" t="e">
        <f>1/Table4[[#This Row],[Total R value]]</f>
        <v>#REF!</v>
      </c>
      <c r="AA358" t="e">
        <f>Table4[[#This Row],[Int Finish Mass]]+Table4[[#This Row],[Ext Finish Mass]]+Table4[[#This Row],[Base Mass]]</f>
        <v>#REF!</v>
      </c>
    </row>
    <row r="359" spans="3:27" x14ac:dyDescent="0.35">
      <c r="C359" t="str">
        <f>_xlfn.CONCAT(Table4[[#This Row],[System Name (Short)]],"_",Table4[[#This Row],[Ext Finish Name (Short)]],"_",Table4[[#This Row],[Int Finish Name (Short)]])</f>
        <v>0_0_0</v>
      </c>
      <c r="E359">
        <f>_xlfn.XLOOKUP(Table4[[#This Row],[Base System]],BASE_SYSTEM_TABLE[System Name],BASE_SYSTEM_TABLE[System Name (Short)],FALSE)</f>
        <v>0</v>
      </c>
      <c r="F359">
        <f>_xlfn.XLOOKUP(Table4[[#This Row],[Base System]],BASE_SYSTEM_TABLE[System Name],BASE_SYSTEM_TABLE[System Type],FALSE)</f>
        <v>0</v>
      </c>
      <c r="G359">
        <f>_xlfn.XLOOKUP(Table4[[#This Row],[Base System]],BASE_SYSTEM_TABLE[System Name],BASE_SYSTEM_TABLE[System Subtype],FALSE)</f>
        <v>0</v>
      </c>
      <c r="H359">
        <f>_xlfn.XLOOKUP(Table4[[#This Row],[Base System]],BASE_SYSTEM_TABLE[System Name],BASE_SYSTEM_TABLE[Construction Type (Framed or Planar)],FALSE)</f>
        <v>0</v>
      </c>
      <c r="I359" t="e">
        <f>GETPIVOTDATA("Sum of A1-A3 Fossil kg CO2e/m^2 wall area",'COMPONENT PIVOT REF'!$A$3,"System Name",Table4[[#This Row],[Base System]])</f>
        <v>#REF!</v>
      </c>
      <c r="J359" t="e">
        <f>GETPIVOTDATA("Sum of  R value (m^2-K/W)",'COMPONENT PIVOT REF'!$A$3,"System Name",Table4[[#This Row],[Base System]])</f>
        <v>#REF!</v>
      </c>
      <c r="K359" t="e">
        <f>GETPIVOTDATA("Sum of Total Mass per m^2 (kg)",'COMPONENT PIVOT REF'!$A$3,"System Name",Table4[[#This Row],[Base System]])</f>
        <v>#REF!</v>
      </c>
      <c r="M359">
        <f>_xlfn.XLOOKUP(Table4[[#This Row],[Ext Finish]],Master_Table4[System Name],Master_Table4[System Name (Short)],FALSE)</f>
        <v>0</v>
      </c>
      <c r="N359">
        <f>_xlfn.XLOOKUP(Table4[[#This Row],[Ext Finish]],Master_Table4[System Name],Master_Table4[Compatible Systems],FALSE)</f>
        <v>0</v>
      </c>
      <c r="O359" t="str">
        <f>IF(ISNUMBER(SEARCH(Table4[[#This Row],[MMC Method]],Table4[[#This Row],[Compatible Systems]])),"YES","NO")</f>
        <v>YES</v>
      </c>
      <c r="P359" t="e">
        <f>GETPIVOTDATA("Sum of A1-A3 Fossil kg CO2e/m^2 wall area",'COMPONENT PIVOT REF'!$I$3,"System Name",Table4[[#This Row],[Ext Finish]])</f>
        <v>#REF!</v>
      </c>
      <c r="Q359" t="e">
        <f>GETPIVOTDATA("Sum of  R value (m^2-K/W)",'COMPONENT PIVOT REF'!$I$3,"System Name",Table4[[#This Row],[Ext Finish]])</f>
        <v>#REF!</v>
      </c>
      <c r="R359" t="e">
        <f>GETPIVOTDATA("Sum of Total Mass per m^2 (kg)",'COMPONENT PIVOT REF'!$I$3,"System Name",Table4[[#This Row],[Ext Finish]])</f>
        <v>#REF!</v>
      </c>
      <c r="T359">
        <f>_xlfn.XLOOKUP(Table4[[#This Row],[Int Finish]],Master_Table6[System Name],Master_Table6[System Name (Short)],FALSE)</f>
        <v>0</v>
      </c>
      <c r="U359" t="e">
        <f>GETPIVOTDATA("Sum of A1-A3 Fossil kg CO2e/m^2 wall area",'COMPONENT PIVOT REF'!$P$3,"System Name",Table4[[#This Row],[Int Finish]])</f>
        <v>#REF!</v>
      </c>
      <c r="V359" t="e">
        <f>GETPIVOTDATA("Sum of  R value (m^2-K/W)",'COMPONENT PIVOT REF'!$P$3,"System Name",Table4[[#This Row],[Int Finish]])</f>
        <v>#REF!</v>
      </c>
      <c r="W359" t="e">
        <f>GETPIVOTDATA("Sum of Total Mass per m^2 (kg)",'COMPONENT PIVOT REF'!$P$3,"System Name",Table4[[#This Row],[Int Finish]])</f>
        <v>#REF!</v>
      </c>
      <c r="X359" t="e">
        <f>Table4[[#This Row],[Ext Finish GWP]]+Table4[[#This Row],[Base GWP]]+Table4[[#This Row],[Int Finish GWP]]</f>
        <v>#REF!</v>
      </c>
      <c r="Y359" t="e">
        <f>Table4[[#This Row],[Ext Finish R Value]]+Table4[[#This Row],[Base R Value]]+Table4[[#This Row],[Int Finish R Value]]</f>
        <v>#REF!</v>
      </c>
      <c r="Z359" t="e">
        <f>1/Table4[[#This Row],[Total R value]]</f>
        <v>#REF!</v>
      </c>
      <c r="AA359" t="e">
        <f>Table4[[#This Row],[Int Finish Mass]]+Table4[[#This Row],[Ext Finish Mass]]+Table4[[#This Row],[Base Mass]]</f>
        <v>#REF!</v>
      </c>
    </row>
    <row r="360" spans="3:27" x14ac:dyDescent="0.35">
      <c r="C360" t="str">
        <f>_xlfn.CONCAT(Table4[[#This Row],[System Name (Short)]],"_",Table4[[#This Row],[Ext Finish Name (Short)]],"_",Table4[[#This Row],[Int Finish Name (Short)]])</f>
        <v>0_0_0</v>
      </c>
      <c r="E360">
        <f>_xlfn.XLOOKUP(Table4[[#This Row],[Base System]],BASE_SYSTEM_TABLE[System Name],BASE_SYSTEM_TABLE[System Name (Short)],FALSE)</f>
        <v>0</v>
      </c>
      <c r="F360">
        <f>_xlfn.XLOOKUP(Table4[[#This Row],[Base System]],BASE_SYSTEM_TABLE[System Name],BASE_SYSTEM_TABLE[System Type],FALSE)</f>
        <v>0</v>
      </c>
      <c r="G360">
        <f>_xlfn.XLOOKUP(Table4[[#This Row],[Base System]],BASE_SYSTEM_TABLE[System Name],BASE_SYSTEM_TABLE[System Subtype],FALSE)</f>
        <v>0</v>
      </c>
      <c r="H360">
        <f>_xlfn.XLOOKUP(Table4[[#This Row],[Base System]],BASE_SYSTEM_TABLE[System Name],BASE_SYSTEM_TABLE[Construction Type (Framed or Planar)],FALSE)</f>
        <v>0</v>
      </c>
      <c r="I360" t="e">
        <f>GETPIVOTDATA("Sum of A1-A3 Fossil kg CO2e/m^2 wall area",'COMPONENT PIVOT REF'!$A$3,"System Name",Table4[[#This Row],[Base System]])</f>
        <v>#REF!</v>
      </c>
      <c r="J360" t="e">
        <f>GETPIVOTDATA("Sum of  R value (m^2-K/W)",'COMPONENT PIVOT REF'!$A$3,"System Name",Table4[[#This Row],[Base System]])</f>
        <v>#REF!</v>
      </c>
      <c r="K360" t="e">
        <f>GETPIVOTDATA("Sum of Total Mass per m^2 (kg)",'COMPONENT PIVOT REF'!$A$3,"System Name",Table4[[#This Row],[Base System]])</f>
        <v>#REF!</v>
      </c>
      <c r="M360">
        <f>_xlfn.XLOOKUP(Table4[[#This Row],[Ext Finish]],Master_Table4[System Name],Master_Table4[System Name (Short)],FALSE)</f>
        <v>0</v>
      </c>
      <c r="N360">
        <f>_xlfn.XLOOKUP(Table4[[#This Row],[Ext Finish]],Master_Table4[System Name],Master_Table4[Compatible Systems],FALSE)</f>
        <v>0</v>
      </c>
      <c r="O360" t="str">
        <f>IF(ISNUMBER(SEARCH(Table4[[#This Row],[MMC Method]],Table4[[#This Row],[Compatible Systems]])),"YES","NO")</f>
        <v>YES</v>
      </c>
      <c r="P360" t="e">
        <f>GETPIVOTDATA("Sum of A1-A3 Fossil kg CO2e/m^2 wall area",'COMPONENT PIVOT REF'!$I$3,"System Name",Table4[[#This Row],[Ext Finish]])</f>
        <v>#REF!</v>
      </c>
      <c r="Q360" t="e">
        <f>GETPIVOTDATA("Sum of  R value (m^2-K/W)",'COMPONENT PIVOT REF'!$I$3,"System Name",Table4[[#This Row],[Ext Finish]])</f>
        <v>#REF!</v>
      </c>
      <c r="R360" t="e">
        <f>GETPIVOTDATA("Sum of Total Mass per m^2 (kg)",'COMPONENT PIVOT REF'!$I$3,"System Name",Table4[[#This Row],[Ext Finish]])</f>
        <v>#REF!</v>
      </c>
      <c r="T360">
        <f>_xlfn.XLOOKUP(Table4[[#This Row],[Int Finish]],Master_Table6[System Name],Master_Table6[System Name (Short)],FALSE)</f>
        <v>0</v>
      </c>
      <c r="U360" t="e">
        <f>GETPIVOTDATA("Sum of A1-A3 Fossil kg CO2e/m^2 wall area",'COMPONENT PIVOT REF'!$P$3,"System Name",Table4[[#This Row],[Int Finish]])</f>
        <v>#REF!</v>
      </c>
      <c r="V360" t="e">
        <f>GETPIVOTDATA("Sum of  R value (m^2-K/W)",'COMPONENT PIVOT REF'!$P$3,"System Name",Table4[[#This Row],[Int Finish]])</f>
        <v>#REF!</v>
      </c>
      <c r="W360" t="e">
        <f>GETPIVOTDATA("Sum of Total Mass per m^2 (kg)",'COMPONENT PIVOT REF'!$P$3,"System Name",Table4[[#This Row],[Int Finish]])</f>
        <v>#REF!</v>
      </c>
      <c r="X360" t="e">
        <f>Table4[[#This Row],[Ext Finish GWP]]+Table4[[#This Row],[Base GWP]]+Table4[[#This Row],[Int Finish GWP]]</f>
        <v>#REF!</v>
      </c>
      <c r="Y360" t="e">
        <f>Table4[[#This Row],[Ext Finish R Value]]+Table4[[#This Row],[Base R Value]]+Table4[[#This Row],[Int Finish R Value]]</f>
        <v>#REF!</v>
      </c>
      <c r="Z360" t="e">
        <f>1/Table4[[#This Row],[Total R value]]</f>
        <v>#REF!</v>
      </c>
      <c r="AA360" t="e">
        <f>Table4[[#This Row],[Int Finish Mass]]+Table4[[#This Row],[Ext Finish Mass]]+Table4[[#This Row],[Base Mass]]</f>
        <v>#REF!</v>
      </c>
    </row>
    <row r="361" spans="3:27" x14ac:dyDescent="0.35">
      <c r="C361" t="str">
        <f>_xlfn.CONCAT(Table4[[#This Row],[System Name (Short)]],"_",Table4[[#This Row],[Ext Finish Name (Short)]],"_",Table4[[#This Row],[Int Finish Name (Short)]])</f>
        <v>0_0_0</v>
      </c>
      <c r="E361">
        <f>_xlfn.XLOOKUP(Table4[[#This Row],[Base System]],BASE_SYSTEM_TABLE[System Name],BASE_SYSTEM_TABLE[System Name (Short)],FALSE)</f>
        <v>0</v>
      </c>
      <c r="F361">
        <f>_xlfn.XLOOKUP(Table4[[#This Row],[Base System]],BASE_SYSTEM_TABLE[System Name],BASE_SYSTEM_TABLE[System Type],FALSE)</f>
        <v>0</v>
      </c>
      <c r="G361">
        <f>_xlfn.XLOOKUP(Table4[[#This Row],[Base System]],BASE_SYSTEM_TABLE[System Name],BASE_SYSTEM_TABLE[System Subtype],FALSE)</f>
        <v>0</v>
      </c>
      <c r="H361">
        <f>_xlfn.XLOOKUP(Table4[[#This Row],[Base System]],BASE_SYSTEM_TABLE[System Name],BASE_SYSTEM_TABLE[Construction Type (Framed or Planar)],FALSE)</f>
        <v>0</v>
      </c>
      <c r="I361" t="e">
        <f>GETPIVOTDATA("Sum of A1-A3 Fossil kg CO2e/m^2 wall area",'COMPONENT PIVOT REF'!$A$3,"System Name",Table4[[#This Row],[Base System]])</f>
        <v>#REF!</v>
      </c>
      <c r="J361" t="e">
        <f>GETPIVOTDATA("Sum of  R value (m^2-K/W)",'COMPONENT PIVOT REF'!$A$3,"System Name",Table4[[#This Row],[Base System]])</f>
        <v>#REF!</v>
      </c>
      <c r="K361" t="e">
        <f>GETPIVOTDATA("Sum of Total Mass per m^2 (kg)",'COMPONENT PIVOT REF'!$A$3,"System Name",Table4[[#This Row],[Base System]])</f>
        <v>#REF!</v>
      </c>
      <c r="M361">
        <f>_xlfn.XLOOKUP(Table4[[#This Row],[Ext Finish]],Master_Table4[System Name],Master_Table4[System Name (Short)],FALSE)</f>
        <v>0</v>
      </c>
      <c r="N361">
        <f>_xlfn.XLOOKUP(Table4[[#This Row],[Ext Finish]],Master_Table4[System Name],Master_Table4[Compatible Systems],FALSE)</f>
        <v>0</v>
      </c>
      <c r="O361" t="str">
        <f>IF(ISNUMBER(SEARCH(Table4[[#This Row],[MMC Method]],Table4[[#This Row],[Compatible Systems]])),"YES","NO")</f>
        <v>YES</v>
      </c>
      <c r="P361" t="e">
        <f>GETPIVOTDATA("Sum of A1-A3 Fossil kg CO2e/m^2 wall area",'COMPONENT PIVOT REF'!$I$3,"System Name",Table4[[#This Row],[Ext Finish]])</f>
        <v>#REF!</v>
      </c>
      <c r="Q361" t="e">
        <f>GETPIVOTDATA("Sum of  R value (m^2-K/W)",'COMPONENT PIVOT REF'!$I$3,"System Name",Table4[[#This Row],[Ext Finish]])</f>
        <v>#REF!</v>
      </c>
      <c r="R361" t="e">
        <f>GETPIVOTDATA("Sum of Total Mass per m^2 (kg)",'COMPONENT PIVOT REF'!$I$3,"System Name",Table4[[#This Row],[Ext Finish]])</f>
        <v>#REF!</v>
      </c>
      <c r="T361">
        <f>_xlfn.XLOOKUP(Table4[[#This Row],[Int Finish]],Master_Table6[System Name],Master_Table6[System Name (Short)],FALSE)</f>
        <v>0</v>
      </c>
      <c r="U361" t="e">
        <f>GETPIVOTDATA("Sum of A1-A3 Fossil kg CO2e/m^2 wall area",'COMPONENT PIVOT REF'!$P$3,"System Name",Table4[[#This Row],[Int Finish]])</f>
        <v>#REF!</v>
      </c>
      <c r="V361" t="e">
        <f>GETPIVOTDATA("Sum of  R value (m^2-K/W)",'COMPONENT PIVOT REF'!$P$3,"System Name",Table4[[#This Row],[Int Finish]])</f>
        <v>#REF!</v>
      </c>
      <c r="W361" t="e">
        <f>GETPIVOTDATA("Sum of Total Mass per m^2 (kg)",'COMPONENT PIVOT REF'!$P$3,"System Name",Table4[[#This Row],[Int Finish]])</f>
        <v>#REF!</v>
      </c>
      <c r="X361" t="e">
        <f>Table4[[#This Row],[Ext Finish GWP]]+Table4[[#This Row],[Base GWP]]+Table4[[#This Row],[Int Finish GWP]]</f>
        <v>#REF!</v>
      </c>
      <c r="Y361" t="e">
        <f>Table4[[#This Row],[Ext Finish R Value]]+Table4[[#This Row],[Base R Value]]+Table4[[#This Row],[Int Finish R Value]]</f>
        <v>#REF!</v>
      </c>
      <c r="Z361" t="e">
        <f>1/Table4[[#This Row],[Total R value]]</f>
        <v>#REF!</v>
      </c>
      <c r="AA361" t="e">
        <f>Table4[[#This Row],[Int Finish Mass]]+Table4[[#This Row],[Ext Finish Mass]]+Table4[[#This Row],[Base Mass]]</f>
        <v>#REF!</v>
      </c>
    </row>
    <row r="362" spans="3:27" x14ac:dyDescent="0.35">
      <c r="C362" t="str">
        <f>_xlfn.CONCAT(Table4[[#This Row],[System Name (Short)]],"_",Table4[[#This Row],[Ext Finish Name (Short)]],"_",Table4[[#This Row],[Int Finish Name (Short)]])</f>
        <v>0_0_0</v>
      </c>
      <c r="E362">
        <f>_xlfn.XLOOKUP(Table4[[#This Row],[Base System]],BASE_SYSTEM_TABLE[System Name],BASE_SYSTEM_TABLE[System Name (Short)],FALSE)</f>
        <v>0</v>
      </c>
      <c r="F362">
        <f>_xlfn.XLOOKUP(Table4[[#This Row],[Base System]],BASE_SYSTEM_TABLE[System Name],BASE_SYSTEM_TABLE[System Type],FALSE)</f>
        <v>0</v>
      </c>
      <c r="G362">
        <f>_xlfn.XLOOKUP(Table4[[#This Row],[Base System]],BASE_SYSTEM_TABLE[System Name],BASE_SYSTEM_TABLE[System Subtype],FALSE)</f>
        <v>0</v>
      </c>
      <c r="H362">
        <f>_xlfn.XLOOKUP(Table4[[#This Row],[Base System]],BASE_SYSTEM_TABLE[System Name],BASE_SYSTEM_TABLE[Construction Type (Framed or Planar)],FALSE)</f>
        <v>0</v>
      </c>
      <c r="I362" t="e">
        <f>GETPIVOTDATA("Sum of A1-A3 Fossil kg CO2e/m^2 wall area",'COMPONENT PIVOT REF'!$A$3,"System Name",Table4[[#This Row],[Base System]])</f>
        <v>#REF!</v>
      </c>
      <c r="J362" t="e">
        <f>GETPIVOTDATA("Sum of  R value (m^2-K/W)",'COMPONENT PIVOT REF'!$A$3,"System Name",Table4[[#This Row],[Base System]])</f>
        <v>#REF!</v>
      </c>
      <c r="K362" t="e">
        <f>GETPIVOTDATA("Sum of Total Mass per m^2 (kg)",'COMPONENT PIVOT REF'!$A$3,"System Name",Table4[[#This Row],[Base System]])</f>
        <v>#REF!</v>
      </c>
      <c r="M362">
        <f>_xlfn.XLOOKUP(Table4[[#This Row],[Ext Finish]],Master_Table4[System Name],Master_Table4[System Name (Short)],FALSE)</f>
        <v>0</v>
      </c>
      <c r="N362">
        <f>_xlfn.XLOOKUP(Table4[[#This Row],[Ext Finish]],Master_Table4[System Name],Master_Table4[Compatible Systems],FALSE)</f>
        <v>0</v>
      </c>
      <c r="O362" t="str">
        <f>IF(ISNUMBER(SEARCH(Table4[[#This Row],[MMC Method]],Table4[[#This Row],[Compatible Systems]])),"YES","NO")</f>
        <v>YES</v>
      </c>
      <c r="P362" t="e">
        <f>GETPIVOTDATA("Sum of A1-A3 Fossil kg CO2e/m^2 wall area",'COMPONENT PIVOT REF'!$I$3,"System Name",Table4[[#This Row],[Ext Finish]])</f>
        <v>#REF!</v>
      </c>
      <c r="Q362" t="e">
        <f>GETPIVOTDATA("Sum of  R value (m^2-K/W)",'COMPONENT PIVOT REF'!$I$3,"System Name",Table4[[#This Row],[Ext Finish]])</f>
        <v>#REF!</v>
      </c>
      <c r="R362" t="e">
        <f>GETPIVOTDATA("Sum of Total Mass per m^2 (kg)",'COMPONENT PIVOT REF'!$I$3,"System Name",Table4[[#This Row],[Ext Finish]])</f>
        <v>#REF!</v>
      </c>
      <c r="T362">
        <f>_xlfn.XLOOKUP(Table4[[#This Row],[Int Finish]],Master_Table6[System Name],Master_Table6[System Name (Short)],FALSE)</f>
        <v>0</v>
      </c>
      <c r="U362" t="e">
        <f>GETPIVOTDATA("Sum of A1-A3 Fossil kg CO2e/m^2 wall area",'COMPONENT PIVOT REF'!$P$3,"System Name",Table4[[#This Row],[Int Finish]])</f>
        <v>#REF!</v>
      </c>
      <c r="V362" t="e">
        <f>GETPIVOTDATA("Sum of  R value (m^2-K/W)",'COMPONENT PIVOT REF'!$P$3,"System Name",Table4[[#This Row],[Int Finish]])</f>
        <v>#REF!</v>
      </c>
      <c r="W362" t="e">
        <f>GETPIVOTDATA("Sum of Total Mass per m^2 (kg)",'COMPONENT PIVOT REF'!$P$3,"System Name",Table4[[#This Row],[Int Finish]])</f>
        <v>#REF!</v>
      </c>
      <c r="X362" t="e">
        <f>Table4[[#This Row],[Ext Finish GWP]]+Table4[[#This Row],[Base GWP]]+Table4[[#This Row],[Int Finish GWP]]</f>
        <v>#REF!</v>
      </c>
      <c r="Y362" t="e">
        <f>Table4[[#This Row],[Ext Finish R Value]]+Table4[[#This Row],[Base R Value]]+Table4[[#This Row],[Int Finish R Value]]</f>
        <v>#REF!</v>
      </c>
      <c r="Z362" t="e">
        <f>1/Table4[[#This Row],[Total R value]]</f>
        <v>#REF!</v>
      </c>
      <c r="AA362" t="e">
        <f>Table4[[#This Row],[Int Finish Mass]]+Table4[[#This Row],[Ext Finish Mass]]+Table4[[#This Row],[Base Mass]]</f>
        <v>#REF!</v>
      </c>
    </row>
    <row r="363" spans="3:27" x14ac:dyDescent="0.35">
      <c r="C363" t="str">
        <f>_xlfn.CONCAT(Table4[[#This Row],[System Name (Short)]],"_",Table4[[#This Row],[Ext Finish Name (Short)]],"_",Table4[[#This Row],[Int Finish Name (Short)]])</f>
        <v>0_0_0</v>
      </c>
      <c r="E363">
        <f>_xlfn.XLOOKUP(Table4[[#This Row],[Base System]],BASE_SYSTEM_TABLE[System Name],BASE_SYSTEM_TABLE[System Name (Short)],FALSE)</f>
        <v>0</v>
      </c>
      <c r="F363">
        <f>_xlfn.XLOOKUP(Table4[[#This Row],[Base System]],BASE_SYSTEM_TABLE[System Name],BASE_SYSTEM_TABLE[System Type],FALSE)</f>
        <v>0</v>
      </c>
      <c r="G363">
        <f>_xlfn.XLOOKUP(Table4[[#This Row],[Base System]],BASE_SYSTEM_TABLE[System Name],BASE_SYSTEM_TABLE[System Subtype],FALSE)</f>
        <v>0</v>
      </c>
      <c r="H363">
        <f>_xlfn.XLOOKUP(Table4[[#This Row],[Base System]],BASE_SYSTEM_TABLE[System Name],BASE_SYSTEM_TABLE[Construction Type (Framed or Planar)],FALSE)</f>
        <v>0</v>
      </c>
      <c r="I363" t="e">
        <f>GETPIVOTDATA("Sum of A1-A3 Fossil kg CO2e/m^2 wall area",'COMPONENT PIVOT REF'!$A$3,"System Name",Table4[[#This Row],[Base System]])</f>
        <v>#REF!</v>
      </c>
      <c r="J363" t="e">
        <f>GETPIVOTDATA("Sum of  R value (m^2-K/W)",'COMPONENT PIVOT REF'!$A$3,"System Name",Table4[[#This Row],[Base System]])</f>
        <v>#REF!</v>
      </c>
      <c r="K363" t="e">
        <f>GETPIVOTDATA("Sum of Total Mass per m^2 (kg)",'COMPONENT PIVOT REF'!$A$3,"System Name",Table4[[#This Row],[Base System]])</f>
        <v>#REF!</v>
      </c>
      <c r="M363">
        <f>_xlfn.XLOOKUP(Table4[[#This Row],[Ext Finish]],Master_Table4[System Name],Master_Table4[System Name (Short)],FALSE)</f>
        <v>0</v>
      </c>
      <c r="N363">
        <f>_xlfn.XLOOKUP(Table4[[#This Row],[Ext Finish]],Master_Table4[System Name],Master_Table4[Compatible Systems],FALSE)</f>
        <v>0</v>
      </c>
      <c r="O363" t="str">
        <f>IF(ISNUMBER(SEARCH(Table4[[#This Row],[MMC Method]],Table4[[#This Row],[Compatible Systems]])),"YES","NO")</f>
        <v>YES</v>
      </c>
      <c r="P363" t="e">
        <f>GETPIVOTDATA("Sum of A1-A3 Fossil kg CO2e/m^2 wall area",'COMPONENT PIVOT REF'!$I$3,"System Name",Table4[[#This Row],[Ext Finish]])</f>
        <v>#REF!</v>
      </c>
      <c r="Q363" t="e">
        <f>GETPIVOTDATA("Sum of  R value (m^2-K/W)",'COMPONENT PIVOT REF'!$I$3,"System Name",Table4[[#This Row],[Ext Finish]])</f>
        <v>#REF!</v>
      </c>
      <c r="R363" t="e">
        <f>GETPIVOTDATA("Sum of Total Mass per m^2 (kg)",'COMPONENT PIVOT REF'!$I$3,"System Name",Table4[[#This Row],[Ext Finish]])</f>
        <v>#REF!</v>
      </c>
      <c r="T363">
        <f>_xlfn.XLOOKUP(Table4[[#This Row],[Int Finish]],Master_Table6[System Name],Master_Table6[System Name (Short)],FALSE)</f>
        <v>0</v>
      </c>
      <c r="U363" t="e">
        <f>GETPIVOTDATA("Sum of A1-A3 Fossil kg CO2e/m^2 wall area",'COMPONENT PIVOT REF'!$P$3,"System Name",Table4[[#This Row],[Int Finish]])</f>
        <v>#REF!</v>
      </c>
      <c r="V363" t="e">
        <f>GETPIVOTDATA("Sum of  R value (m^2-K/W)",'COMPONENT PIVOT REF'!$P$3,"System Name",Table4[[#This Row],[Int Finish]])</f>
        <v>#REF!</v>
      </c>
      <c r="W363" t="e">
        <f>GETPIVOTDATA("Sum of Total Mass per m^2 (kg)",'COMPONENT PIVOT REF'!$P$3,"System Name",Table4[[#This Row],[Int Finish]])</f>
        <v>#REF!</v>
      </c>
      <c r="X363" t="e">
        <f>Table4[[#This Row],[Ext Finish GWP]]+Table4[[#This Row],[Base GWP]]+Table4[[#This Row],[Int Finish GWP]]</f>
        <v>#REF!</v>
      </c>
      <c r="Y363" t="e">
        <f>Table4[[#This Row],[Ext Finish R Value]]+Table4[[#This Row],[Base R Value]]+Table4[[#This Row],[Int Finish R Value]]</f>
        <v>#REF!</v>
      </c>
      <c r="Z363" t="e">
        <f>1/Table4[[#This Row],[Total R value]]</f>
        <v>#REF!</v>
      </c>
      <c r="AA363" t="e">
        <f>Table4[[#This Row],[Int Finish Mass]]+Table4[[#This Row],[Ext Finish Mass]]+Table4[[#This Row],[Base Mass]]</f>
        <v>#REF!</v>
      </c>
    </row>
    <row r="364" spans="3:27" x14ac:dyDescent="0.35">
      <c r="C364" t="str">
        <f>_xlfn.CONCAT(Table4[[#This Row],[System Name (Short)]],"_",Table4[[#This Row],[Ext Finish Name (Short)]],"_",Table4[[#This Row],[Int Finish Name (Short)]])</f>
        <v>0_0_0</v>
      </c>
      <c r="E364">
        <f>_xlfn.XLOOKUP(Table4[[#This Row],[Base System]],BASE_SYSTEM_TABLE[System Name],BASE_SYSTEM_TABLE[System Name (Short)],FALSE)</f>
        <v>0</v>
      </c>
      <c r="F364">
        <f>_xlfn.XLOOKUP(Table4[[#This Row],[Base System]],BASE_SYSTEM_TABLE[System Name],BASE_SYSTEM_TABLE[System Type],FALSE)</f>
        <v>0</v>
      </c>
      <c r="G364">
        <f>_xlfn.XLOOKUP(Table4[[#This Row],[Base System]],BASE_SYSTEM_TABLE[System Name],BASE_SYSTEM_TABLE[System Subtype],FALSE)</f>
        <v>0</v>
      </c>
      <c r="H364">
        <f>_xlfn.XLOOKUP(Table4[[#This Row],[Base System]],BASE_SYSTEM_TABLE[System Name],BASE_SYSTEM_TABLE[Construction Type (Framed or Planar)],FALSE)</f>
        <v>0</v>
      </c>
      <c r="I364" t="e">
        <f>GETPIVOTDATA("Sum of A1-A3 Fossil kg CO2e/m^2 wall area",'COMPONENT PIVOT REF'!$A$3,"System Name",Table4[[#This Row],[Base System]])</f>
        <v>#REF!</v>
      </c>
      <c r="J364" t="e">
        <f>GETPIVOTDATA("Sum of  R value (m^2-K/W)",'COMPONENT PIVOT REF'!$A$3,"System Name",Table4[[#This Row],[Base System]])</f>
        <v>#REF!</v>
      </c>
      <c r="K364" t="e">
        <f>GETPIVOTDATA("Sum of Total Mass per m^2 (kg)",'COMPONENT PIVOT REF'!$A$3,"System Name",Table4[[#This Row],[Base System]])</f>
        <v>#REF!</v>
      </c>
      <c r="M364">
        <f>_xlfn.XLOOKUP(Table4[[#This Row],[Ext Finish]],Master_Table4[System Name],Master_Table4[System Name (Short)],FALSE)</f>
        <v>0</v>
      </c>
      <c r="N364">
        <f>_xlfn.XLOOKUP(Table4[[#This Row],[Ext Finish]],Master_Table4[System Name],Master_Table4[Compatible Systems],FALSE)</f>
        <v>0</v>
      </c>
      <c r="O364" t="str">
        <f>IF(ISNUMBER(SEARCH(Table4[[#This Row],[MMC Method]],Table4[[#This Row],[Compatible Systems]])),"YES","NO")</f>
        <v>YES</v>
      </c>
      <c r="P364" t="e">
        <f>GETPIVOTDATA("Sum of A1-A3 Fossil kg CO2e/m^2 wall area",'COMPONENT PIVOT REF'!$I$3,"System Name",Table4[[#This Row],[Ext Finish]])</f>
        <v>#REF!</v>
      </c>
      <c r="Q364" t="e">
        <f>GETPIVOTDATA("Sum of  R value (m^2-K/W)",'COMPONENT PIVOT REF'!$I$3,"System Name",Table4[[#This Row],[Ext Finish]])</f>
        <v>#REF!</v>
      </c>
      <c r="R364" t="e">
        <f>GETPIVOTDATA("Sum of Total Mass per m^2 (kg)",'COMPONENT PIVOT REF'!$I$3,"System Name",Table4[[#This Row],[Ext Finish]])</f>
        <v>#REF!</v>
      </c>
      <c r="T364">
        <f>_xlfn.XLOOKUP(Table4[[#This Row],[Int Finish]],Master_Table6[System Name],Master_Table6[System Name (Short)],FALSE)</f>
        <v>0</v>
      </c>
      <c r="U364" t="e">
        <f>GETPIVOTDATA("Sum of A1-A3 Fossil kg CO2e/m^2 wall area",'COMPONENT PIVOT REF'!$P$3,"System Name",Table4[[#This Row],[Int Finish]])</f>
        <v>#REF!</v>
      </c>
      <c r="V364" t="e">
        <f>GETPIVOTDATA("Sum of  R value (m^2-K/W)",'COMPONENT PIVOT REF'!$P$3,"System Name",Table4[[#This Row],[Int Finish]])</f>
        <v>#REF!</v>
      </c>
      <c r="W364" t="e">
        <f>GETPIVOTDATA("Sum of Total Mass per m^2 (kg)",'COMPONENT PIVOT REF'!$P$3,"System Name",Table4[[#This Row],[Int Finish]])</f>
        <v>#REF!</v>
      </c>
      <c r="X364" t="e">
        <f>Table4[[#This Row],[Ext Finish GWP]]+Table4[[#This Row],[Base GWP]]+Table4[[#This Row],[Int Finish GWP]]</f>
        <v>#REF!</v>
      </c>
      <c r="Y364" t="e">
        <f>Table4[[#This Row],[Ext Finish R Value]]+Table4[[#This Row],[Base R Value]]+Table4[[#This Row],[Int Finish R Value]]</f>
        <v>#REF!</v>
      </c>
      <c r="Z364" t="e">
        <f>1/Table4[[#This Row],[Total R value]]</f>
        <v>#REF!</v>
      </c>
      <c r="AA364" t="e">
        <f>Table4[[#This Row],[Int Finish Mass]]+Table4[[#This Row],[Ext Finish Mass]]+Table4[[#This Row],[Base Mass]]</f>
        <v>#REF!</v>
      </c>
    </row>
    <row r="365" spans="3:27" x14ac:dyDescent="0.35">
      <c r="C365" t="str">
        <f>_xlfn.CONCAT(Table4[[#This Row],[System Name (Short)]],"_",Table4[[#This Row],[Ext Finish Name (Short)]],"_",Table4[[#This Row],[Int Finish Name (Short)]])</f>
        <v>0_0_0</v>
      </c>
      <c r="E365">
        <f>_xlfn.XLOOKUP(Table4[[#This Row],[Base System]],BASE_SYSTEM_TABLE[System Name],BASE_SYSTEM_TABLE[System Name (Short)],FALSE)</f>
        <v>0</v>
      </c>
      <c r="F365">
        <f>_xlfn.XLOOKUP(Table4[[#This Row],[Base System]],BASE_SYSTEM_TABLE[System Name],BASE_SYSTEM_TABLE[System Type],FALSE)</f>
        <v>0</v>
      </c>
      <c r="G365">
        <f>_xlfn.XLOOKUP(Table4[[#This Row],[Base System]],BASE_SYSTEM_TABLE[System Name],BASE_SYSTEM_TABLE[System Subtype],FALSE)</f>
        <v>0</v>
      </c>
      <c r="H365">
        <f>_xlfn.XLOOKUP(Table4[[#This Row],[Base System]],BASE_SYSTEM_TABLE[System Name],BASE_SYSTEM_TABLE[Construction Type (Framed or Planar)],FALSE)</f>
        <v>0</v>
      </c>
      <c r="I365" t="e">
        <f>GETPIVOTDATA("Sum of A1-A3 Fossil kg CO2e/m^2 wall area",'COMPONENT PIVOT REF'!$A$3,"System Name",Table4[[#This Row],[Base System]])</f>
        <v>#REF!</v>
      </c>
      <c r="J365" t="e">
        <f>GETPIVOTDATA("Sum of  R value (m^2-K/W)",'COMPONENT PIVOT REF'!$A$3,"System Name",Table4[[#This Row],[Base System]])</f>
        <v>#REF!</v>
      </c>
      <c r="K365" t="e">
        <f>GETPIVOTDATA("Sum of Total Mass per m^2 (kg)",'COMPONENT PIVOT REF'!$A$3,"System Name",Table4[[#This Row],[Base System]])</f>
        <v>#REF!</v>
      </c>
      <c r="M365">
        <f>_xlfn.XLOOKUP(Table4[[#This Row],[Ext Finish]],Master_Table4[System Name],Master_Table4[System Name (Short)],FALSE)</f>
        <v>0</v>
      </c>
      <c r="N365">
        <f>_xlfn.XLOOKUP(Table4[[#This Row],[Ext Finish]],Master_Table4[System Name],Master_Table4[Compatible Systems],FALSE)</f>
        <v>0</v>
      </c>
      <c r="O365" t="str">
        <f>IF(ISNUMBER(SEARCH(Table4[[#This Row],[MMC Method]],Table4[[#This Row],[Compatible Systems]])),"YES","NO")</f>
        <v>YES</v>
      </c>
      <c r="P365" t="e">
        <f>GETPIVOTDATA("Sum of A1-A3 Fossil kg CO2e/m^2 wall area",'COMPONENT PIVOT REF'!$I$3,"System Name",Table4[[#This Row],[Ext Finish]])</f>
        <v>#REF!</v>
      </c>
      <c r="Q365" t="e">
        <f>GETPIVOTDATA("Sum of  R value (m^2-K/W)",'COMPONENT PIVOT REF'!$I$3,"System Name",Table4[[#This Row],[Ext Finish]])</f>
        <v>#REF!</v>
      </c>
      <c r="R365" t="e">
        <f>GETPIVOTDATA("Sum of Total Mass per m^2 (kg)",'COMPONENT PIVOT REF'!$I$3,"System Name",Table4[[#This Row],[Ext Finish]])</f>
        <v>#REF!</v>
      </c>
      <c r="T365">
        <f>_xlfn.XLOOKUP(Table4[[#This Row],[Int Finish]],Master_Table6[System Name],Master_Table6[System Name (Short)],FALSE)</f>
        <v>0</v>
      </c>
      <c r="U365" t="e">
        <f>GETPIVOTDATA("Sum of A1-A3 Fossil kg CO2e/m^2 wall area",'COMPONENT PIVOT REF'!$P$3,"System Name",Table4[[#This Row],[Int Finish]])</f>
        <v>#REF!</v>
      </c>
      <c r="V365" t="e">
        <f>GETPIVOTDATA("Sum of  R value (m^2-K/W)",'COMPONENT PIVOT REF'!$P$3,"System Name",Table4[[#This Row],[Int Finish]])</f>
        <v>#REF!</v>
      </c>
      <c r="W365" t="e">
        <f>GETPIVOTDATA("Sum of Total Mass per m^2 (kg)",'COMPONENT PIVOT REF'!$P$3,"System Name",Table4[[#This Row],[Int Finish]])</f>
        <v>#REF!</v>
      </c>
      <c r="X365" t="e">
        <f>Table4[[#This Row],[Ext Finish GWP]]+Table4[[#This Row],[Base GWP]]+Table4[[#This Row],[Int Finish GWP]]</f>
        <v>#REF!</v>
      </c>
      <c r="Y365" t="e">
        <f>Table4[[#This Row],[Ext Finish R Value]]+Table4[[#This Row],[Base R Value]]+Table4[[#This Row],[Int Finish R Value]]</f>
        <v>#REF!</v>
      </c>
      <c r="Z365" t="e">
        <f>1/Table4[[#This Row],[Total R value]]</f>
        <v>#REF!</v>
      </c>
      <c r="AA365" t="e">
        <f>Table4[[#This Row],[Int Finish Mass]]+Table4[[#This Row],[Ext Finish Mass]]+Table4[[#This Row],[Base Mass]]</f>
        <v>#REF!</v>
      </c>
    </row>
    <row r="366" spans="3:27" x14ac:dyDescent="0.35">
      <c r="C366" t="str">
        <f>_xlfn.CONCAT(Table4[[#This Row],[System Name (Short)]],"_",Table4[[#This Row],[Ext Finish Name (Short)]],"_",Table4[[#This Row],[Int Finish Name (Short)]])</f>
        <v>0_0_0</v>
      </c>
      <c r="E366">
        <f>_xlfn.XLOOKUP(Table4[[#This Row],[Base System]],BASE_SYSTEM_TABLE[System Name],BASE_SYSTEM_TABLE[System Name (Short)],FALSE)</f>
        <v>0</v>
      </c>
      <c r="F366">
        <f>_xlfn.XLOOKUP(Table4[[#This Row],[Base System]],BASE_SYSTEM_TABLE[System Name],BASE_SYSTEM_TABLE[System Type],FALSE)</f>
        <v>0</v>
      </c>
      <c r="G366">
        <f>_xlfn.XLOOKUP(Table4[[#This Row],[Base System]],BASE_SYSTEM_TABLE[System Name],BASE_SYSTEM_TABLE[System Subtype],FALSE)</f>
        <v>0</v>
      </c>
      <c r="H366">
        <f>_xlfn.XLOOKUP(Table4[[#This Row],[Base System]],BASE_SYSTEM_TABLE[System Name],BASE_SYSTEM_TABLE[Construction Type (Framed or Planar)],FALSE)</f>
        <v>0</v>
      </c>
      <c r="I366" t="e">
        <f>GETPIVOTDATA("Sum of A1-A3 Fossil kg CO2e/m^2 wall area",'COMPONENT PIVOT REF'!$A$3,"System Name",Table4[[#This Row],[Base System]])</f>
        <v>#REF!</v>
      </c>
      <c r="J366" t="e">
        <f>GETPIVOTDATA("Sum of  R value (m^2-K/W)",'COMPONENT PIVOT REF'!$A$3,"System Name",Table4[[#This Row],[Base System]])</f>
        <v>#REF!</v>
      </c>
      <c r="K366" t="e">
        <f>GETPIVOTDATA("Sum of Total Mass per m^2 (kg)",'COMPONENT PIVOT REF'!$A$3,"System Name",Table4[[#This Row],[Base System]])</f>
        <v>#REF!</v>
      </c>
      <c r="M366">
        <f>_xlfn.XLOOKUP(Table4[[#This Row],[Ext Finish]],Master_Table4[System Name],Master_Table4[System Name (Short)],FALSE)</f>
        <v>0</v>
      </c>
      <c r="N366">
        <f>_xlfn.XLOOKUP(Table4[[#This Row],[Ext Finish]],Master_Table4[System Name],Master_Table4[Compatible Systems],FALSE)</f>
        <v>0</v>
      </c>
      <c r="O366" t="str">
        <f>IF(ISNUMBER(SEARCH(Table4[[#This Row],[MMC Method]],Table4[[#This Row],[Compatible Systems]])),"YES","NO")</f>
        <v>YES</v>
      </c>
      <c r="P366" t="e">
        <f>GETPIVOTDATA("Sum of A1-A3 Fossil kg CO2e/m^2 wall area",'COMPONENT PIVOT REF'!$I$3,"System Name",Table4[[#This Row],[Ext Finish]])</f>
        <v>#REF!</v>
      </c>
      <c r="Q366" t="e">
        <f>GETPIVOTDATA("Sum of  R value (m^2-K/W)",'COMPONENT PIVOT REF'!$I$3,"System Name",Table4[[#This Row],[Ext Finish]])</f>
        <v>#REF!</v>
      </c>
      <c r="R366" t="e">
        <f>GETPIVOTDATA("Sum of Total Mass per m^2 (kg)",'COMPONENT PIVOT REF'!$I$3,"System Name",Table4[[#This Row],[Ext Finish]])</f>
        <v>#REF!</v>
      </c>
      <c r="T366">
        <f>_xlfn.XLOOKUP(Table4[[#This Row],[Int Finish]],Master_Table6[System Name],Master_Table6[System Name (Short)],FALSE)</f>
        <v>0</v>
      </c>
      <c r="U366" t="e">
        <f>GETPIVOTDATA("Sum of A1-A3 Fossil kg CO2e/m^2 wall area",'COMPONENT PIVOT REF'!$P$3,"System Name",Table4[[#This Row],[Int Finish]])</f>
        <v>#REF!</v>
      </c>
      <c r="V366" t="e">
        <f>GETPIVOTDATA("Sum of  R value (m^2-K/W)",'COMPONENT PIVOT REF'!$P$3,"System Name",Table4[[#This Row],[Int Finish]])</f>
        <v>#REF!</v>
      </c>
      <c r="W366" t="e">
        <f>GETPIVOTDATA("Sum of Total Mass per m^2 (kg)",'COMPONENT PIVOT REF'!$P$3,"System Name",Table4[[#This Row],[Int Finish]])</f>
        <v>#REF!</v>
      </c>
      <c r="X366" t="e">
        <f>Table4[[#This Row],[Ext Finish GWP]]+Table4[[#This Row],[Base GWP]]+Table4[[#This Row],[Int Finish GWP]]</f>
        <v>#REF!</v>
      </c>
      <c r="Y366" t="e">
        <f>Table4[[#This Row],[Ext Finish R Value]]+Table4[[#This Row],[Base R Value]]+Table4[[#This Row],[Int Finish R Value]]</f>
        <v>#REF!</v>
      </c>
      <c r="Z366" t="e">
        <f>1/Table4[[#This Row],[Total R value]]</f>
        <v>#REF!</v>
      </c>
      <c r="AA366" t="e">
        <f>Table4[[#This Row],[Int Finish Mass]]+Table4[[#This Row],[Ext Finish Mass]]+Table4[[#This Row],[Base Mass]]</f>
        <v>#REF!</v>
      </c>
    </row>
    <row r="367" spans="3:27" x14ac:dyDescent="0.35">
      <c r="C367" t="str">
        <f>_xlfn.CONCAT(Table4[[#This Row],[System Name (Short)]],"_",Table4[[#This Row],[Ext Finish Name (Short)]],"_",Table4[[#This Row],[Int Finish Name (Short)]])</f>
        <v>0_0_0</v>
      </c>
      <c r="E367">
        <f>_xlfn.XLOOKUP(Table4[[#This Row],[Base System]],BASE_SYSTEM_TABLE[System Name],BASE_SYSTEM_TABLE[System Name (Short)],FALSE)</f>
        <v>0</v>
      </c>
      <c r="F367">
        <f>_xlfn.XLOOKUP(Table4[[#This Row],[Base System]],BASE_SYSTEM_TABLE[System Name],BASE_SYSTEM_TABLE[System Type],FALSE)</f>
        <v>0</v>
      </c>
      <c r="G367">
        <f>_xlfn.XLOOKUP(Table4[[#This Row],[Base System]],BASE_SYSTEM_TABLE[System Name],BASE_SYSTEM_TABLE[System Subtype],FALSE)</f>
        <v>0</v>
      </c>
      <c r="H367">
        <f>_xlfn.XLOOKUP(Table4[[#This Row],[Base System]],BASE_SYSTEM_TABLE[System Name],BASE_SYSTEM_TABLE[Construction Type (Framed or Planar)],FALSE)</f>
        <v>0</v>
      </c>
      <c r="I367" t="e">
        <f>GETPIVOTDATA("Sum of A1-A3 Fossil kg CO2e/m^2 wall area",'COMPONENT PIVOT REF'!$A$3,"System Name",Table4[[#This Row],[Base System]])</f>
        <v>#REF!</v>
      </c>
      <c r="J367" t="e">
        <f>GETPIVOTDATA("Sum of  R value (m^2-K/W)",'COMPONENT PIVOT REF'!$A$3,"System Name",Table4[[#This Row],[Base System]])</f>
        <v>#REF!</v>
      </c>
      <c r="K367" t="e">
        <f>GETPIVOTDATA("Sum of Total Mass per m^2 (kg)",'COMPONENT PIVOT REF'!$A$3,"System Name",Table4[[#This Row],[Base System]])</f>
        <v>#REF!</v>
      </c>
      <c r="M367">
        <f>_xlfn.XLOOKUP(Table4[[#This Row],[Ext Finish]],Master_Table4[System Name],Master_Table4[System Name (Short)],FALSE)</f>
        <v>0</v>
      </c>
      <c r="N367">
        <f>_xlfn.XLOOKUP(Table4[[#This Row],[Ext Finish]],Master_Table4[System Name],Master_Table4[Compatible Systems],FALSE)</f>
        <v>0</v>
      </c>
      <c r="O367" t="str">
        <f>IF(ISNUMBER(SEARCH(Table4[[#This Row],[MMC Method]],Table4[[#This Row],[Compatible Systems]])),"YES","NO")</f>
        <v>YES</v>
      </c>
      <c r="P367" t="e">
        <f>GETPIVOTDATA("Sum of A1-A3 Fossil kg CO2e/m^2 wall area",'COMPONENT PIVOT REF'!$I$3,"System Name",Table4[[#This Row],[Ext Finish]])</f>
        <v>#REF!</v>
      </c>
      <c r="Q367" t="e">
        <f>GETPIVOTDATA("Sum of  R value (m^2-K/W)",'COMPONENT PIVOT REF'!$I$3,"System Name",Table4[[#This Row],[Ext Finish]])</f>
        <v>#REF!</v>
      </c>
      <c r="R367" t="e">
        <f>GETPIVOTDATA("Sum of Total Mass per m^2 (kg)",'COMPONENT PIVOT REF'!$I$3,"System Name",Table4[[#This Row],[Ext Finish]])</f>
        <v>#REF!</v>
      </c>
      <c r="T367">
        <f>_xlfn.XLOOKUP(Table4[[#This Row],[Int Finish]],Master_Table6[System Name],Master_Table6[System Name (Short)],FALSE)</f>
        <v>0</v>
      </c>
      <c r="U367" t="e">
        <f>GETPIVOTDATA("Sum of A1-A3 Fossil kg CO2e/m^2 wall area",'COMPONENT PIVOT REF'!$P$3,"System Name",Table4[[#This Row],[Int Finish]])</f>
        <v>#REF!</v>
      </c>
      <c r="V367" t="e">
        <f>GETPIVOTDATA("Sum of  R value (m^2-K/W)",'COMPONENT PIVOT REF'!$P$3,"System Name",Table4[[#This Row],[Int Finish]])</f>
        <v>#REF!</v>
      </c>
      <c r="W367" t="e">
        <f>GETPIVOTDATA("Sum of Total Mass per m^2 (kg)",'COMPONENT PIVOT REF'!$P$3,"System Name",Table4[[#This Row],[Int Finish]])</f>
        <v>#REF!</v>
      </c>
      <c r="X367" t="e">
        <f>Table4[[#This Row],[Ext Finish GWP]]+Table4[[#This Row],[Base GWP]]+Table4[[#This Row],[Int Finish GWP]]</f>
        <v>#REF!</v>
      </c>
      <c r="Y367" t="e">
        <f>Table4[[#This Row],[Ext Finish R Value]]+Table4[[#This Row],[Base R Value]]+Table4[[#This Row],[Int Finish R Value]]</f>
        <v>#REF!</v>
      </c>
      <c r="Z367" t="e">
        <f>1/Table4[[#This Row],[Total R value]]</f>
        <v>#REF!</v>
      </c>
      <c r="AA367" t="e">
        <f>Table4[[#This Row],[Int Finish Mass]]+Table4[[#This Row],[Ext Finish Mass]]+Table4[[#This Row],[Base Mass]]</f>
        <v>#REF!</v>
      </c>
    </row>
    <row r="368" spans="3:27" x14ac:dyDescent="0.35">
      <c r="C368" t="str">
        <f>_xlfn.CONCAT(Table4[[#This Row],[System Name (Short)]],"_",Table4[[#This Row],[Ext Finish Name (Short)]],"_",Table4[[#This Row],[Int Finish Name (Short)]])</f>
        <v>0_0_0</v>
      </c>
      <c r="E368">
        <f>_xlfn.XLOOKUP(Table4[[#This Row],[Base System]],BASE_SYSTEM_TABLE[System Name],BASE_SYSTEM_TABLE[System Name (Short)],FALSE)</f>
        <v>0</v>
      </c>
      <c r="F368">
        <f>_xlfn.XLOOKUP(Table4[[#This Row],[Base System]],BASE_SYSTEM_TABLE[System Name],BASE_SYSTEM_TABLE[System Type],FALSE)</f>
        <v>0</v>
      </c>
      <c r="G368">
        <f>_xlfn.XLOOKUP(Table4[[#This Row],[Base System]],BASE_SYSTEM_TABLE[System Name],BASE_SYSTEM_TABLE[System Subtype],FALSE)</f>
        <v>0</v>
      </c>
      <c r="H368">
        <f>_xlfn.XLOOKUP(Table4[[#This Row],[Base System]],BASE_SYSTEM_TABLE[System Name],BASE_SYSTEM_TABLE[Construction Type (Framed or Planar)],FALSE)</f>
        <v>0</v>
      </c>
      <c r="I368" t="e">
        <f>GETPIVOTDATA("Sum of A1-A3 Fossil kg CO2e/m^2 wall area",'COMPONENT PIVOT REF'!$A$3,"System Name",Table4[[#This Row],[Base System]])</f>
        <v>#REF!</v>
      </c>
      <c r="J368" t="e">
        <f>GETPIVOTDATA("Sum of  R value (m^2-K/W)",'COMPONENT PIVOT REF'!$A$3,"System Name",Table4[[#This Row],[Base System]])</f>
        <v>#REF!</v>
      </c>
      <c r="K368" t="e">
        <f>GETPIVOTDATA("Sum of Total Mass per m^2 (kg)",'COMPONENT PIVOT REF'!$A$3,"System Name",Table4[[#This Row],[Base System]])</f>
        <v>#REF!</v>
      </c>
      <c r="M368">
        <f>_xlfn.XLOOKUP(Table4[[#This Row],[Ext Finish]],Master_Table4[System Name],Master_Table4[System Name (Short)],FALSE)</f>
        <v>0</v>
      </c>
      <c r="N368">
        <f>_xlfn.XLOOKUP(Table4[[#This Row],[Ext Finish]],Master_Table4[System Name],Master_Table4[Compatible Systems],FALSE)</f>
        <v>0</v>
      </c>
      <c r="O368" t="str">
        <f>IF(ISNUMBER(SEARCH(Table4[[#This Row],[MMC Method]],Table4[[#This Row],[Compatible Systems]])),"YES","NO")</f>
        <v>YES</v>
      </c>
      <c r="P368" t="e">
        <f>GETPIVOTDATA("Sum of A1-A3 Fossil kg CO2e/m^2 wall area",'COMPONENT PIVOT REF'!$I$3,"System Name",Table4[[#This Row],[Ext Finish]])</f>
        <v>#REF!</v>
      </c>
      <c r="Q368" t="e">
        <f>GETPIVOTDATA("Sum of  R value (m^2-K/W)",'COMPONENT PIVOT REF'!$I$3,"System Name",Table4[[#This Row],[Ext Finish]])</f>
        <v>#REF!</v>
      </c>
      <c r="R368" t="e">
        <f>GETPIVOTDATA("Sum of Total Mass per m^2 (kg)",'COMPONENT PIVOT REF'!$I$3,"System Name",Table4[[#This Row],[Ext Finish]])</f>
        <v>#REF!</v>
      </c>
      <c r="T368">
        <f>_xlfn.XLOOKUP(Table4[[#This Row],[Int Finish]],Master_Table6[System Name],Master_Table6[System Name (Short)],FALSE)</f>
        <v>0</v>
      </c>
      <c r="U368" t="e">
        <f>GETPIVOTDATA("Sum of A1-A3 Fossil kg CO2e/m^2 wall area",'COMPONENT PIVOT REF'!$P$3,"System Name",Table4[[#This Row],[Int Finish]])</f>
        <v>#REF!</v>
      </c>
      <c r="V368" t="e">
        <f>GETPIVOTDATA("Sum of  R value (m^2-K/W)",'COMPONENT PIVOT REF'!$P$3,"System Name",Table4[[#This Row],[Int Finish]])</f>
        <v>#REF!</v>
      </c>
      <c r="W368" t="e">
        <f>GETPIVOTDATA("Sum of Total Mass per m^2 (kg)",'COMPONENT PIVOT REF'!$P$3,"System Name",Table4[[#This Row],[Int Finish]])</f>
        <v>#REF!</v>
      </c>
      <c r="X368" t="e">
        <f>Table4[[#This Row],[Ext Finish GWP]]+Table4[[#This Row],[Base GWP]]+Table4[[#This Row],[Int Finish GWP]]</f>
        <v>#REF!</v>
      </c>
      <c r="Y368" t="e">
        <f>Table4[[#This Row],[Ext Finish R Value]]+Table4[[#This Row],[Base R Value]]+Table4[[#This Row],[Int Finish R Value]]</f>
        <v>#REF!</v>
      </c>
      <c r="Z368" t="e">
        <f>1/Table4[[#This Row],[Total R value]]</f>
        <v>#REF!</v>
      </c>
      <c r="AA368" t="e">
        <f>Table4[[#This Row],[Int Finish Mass]]+Table4[[#This Row],[Ext Finish Mass]]+Table4[[#This Row],[Base Mass]]</f>
        <v>#REF!</v>
      </c>
    </row>
    <row r="369" spans="3:27" x14ac:dyDescent="0.35">
      <c r="C369" t="str">
        <f>_xlfn.CONCAT(Table4[[#This Row],[System Name (Short)]],"_",Table4[[#This Row],[Ext Finish Name (Short)]],"_",Table4[[#This Row],[Int Finish Name (Short)]])</f>
        <v>0_0_0</v>
      </c>
      <c r="E369">
        <f>_xlfn.XLOOKUP(Table4[[#This Row],[Base System]],BASE_SYSTEM_TABLE[System Name],BASE_SYSTEM_TABLE[System Name (Short)],FALSE)</f>
        <v>0</v>
      </c>
      <c r="F369">
        <f>_xlfn.XLOOKUP(Table4[[#This Row],[Base System]],BASE_SYSTEM_TABLE[System Name],BASE_SYSTEM_TABLE[System Type],FALSE)</f>
        <v>0</v>
      </c>
      <c r="G369">
        <f>_xlfn.XLOOKUP(Table4[[#This Row],[Base System]],BASE_SYSTEM_TABLE[System Name],BASE_SYSTEM_TABLE[System Subtype],FALSE)</f>
        <v>0</v>
      </c>
      <c r="H369">
        <f>_xlfn.XLOOKUP(Table4[[#This Row],[Base System]],BASE_SYSTEM_TABLE[System Name],BASE_SYSTEM_TABLE[Construction Type (Framed or Planar)],FALSE)</f>
        <v>0</v>
      </c>
      <c r="I369" t="e">
        <f>GETPIVOTDATA("Sum of A1-A3 Fossil kg CO2e/m^2 wall area",'COMPONENT PIVOT REF'!$A$3,"System Name",Table4[[#This Row],[Base System]])</f>
        <v>#REF!</v>
      </c>
      <c r="J369" t="e">
        <f>GETPIVOTDATA("Sum of  R value (m^2-K/W)",'COMPONENT PIVOT REF'!$A$3,"System Name",Table4[[#This Row],[Base System]])</f>
        <v>#REF!</v>
      </c>
      <c r="K369" t="e">
        <f>GETPIVOTDATA("Sum of Total Mass per m^2 (kg)",'COMPONENT PIVOT REF'!$A$3,"System Name",Table4[[#This Row],[Base System]])</f>
        <v>#REF!</v>
      </c>
      <c r="M369">
        <f>_xlfn.XLOOKUP(Table4[[#This Row],[Ext Finish]],Master_Table4[System Name],Master_Table4[System Name (Short)],FALSE)</f>
        <v>0</v>
      </c>
      <c r="N369">
        <f>_xlfn.XLOOKUP(Table4[[#This Row],[Ext Finish]],Master_Table4[System Name],Master_Table4[Compatible Systems],FALSE)</f>
        <v>0</v>
      </c>
      <c r="O369" t="str">
        <f>IF(ISNUMBER(SEARCH(Table4[[#This Row],[MMC Method]],Table4[[#This Row],[Compatible Systems]])),"YES","NO")</f>
        <v>YES</v>
      </c>
      <c r="P369" t="e">
        <f>GETPIVOTDATA("Sum of A1-A3 Fossil kg CO2e/m^2 wall area",'COMPONENT PIVOT REF'!$I$3,"System Name",Table4[[#This Row],[Ext Finish]])</f>
        <v>#REF!</v>
      </c>
      <c r="Q369" t="e">
        <f>GETPIVOTDATA("Sum of  R value (m^2-K/W)",'COMPONENT PIVOT REF'!$I$3,"System Name",Table4[[#This Row],[Ext Finish]])</f>
        <v>#REF!</v>
      </c>
      <c r="R369" t="e">
        <f>GETPIVOTDATA("Sum of Total Mass per m^2 (kg)",'COMPONENT PIVOT REF'!$I$3,"System Name",Table4[[#This Row],[Ext Finish]])</f>
        <v>#REF!</v>
      </c>
      <c r="T369">
        <f>_xlfn.XLOOKUP(Table4[[#This Row],[Int Finish]],Master_Table6[System Name],Master_Table6[System Name (Short)],FALSE)</f>
        <v>0</v>
      </c>
      <c r="U369" t="e">
        <f>GETPIVOTDATA("Sum of A1-A3 Fossil kg CO2e/m^2 wall area",'COMPONENT PIVOT REF'!$P$3,"System Name",Table4[[#This Row],[Int Finish]])</f>
        <v>#REF!</v>
      </c>
      <c r="V369" t="e">
        <f>GETPIVOTDATA("Sum of  R value (m^2-K/W)",'COMPONENT PIVOT REF'!$P$3,"System Name",Table4[[#This Row],[Int Finish]])</f>
        <v>#REF!</v>
      </c>
      <c r="W369" t="e">
        <f>GETPIVOTDATA("Sum of Total Mass per m^2 (kg)",'COMPONENT PIVOT REF'!$P$3,"System Name",Table4[[#This Row],[Int Finish]])</f>
        <v>#REF!</v>
      </c>
      <c r="X369" t="e">
        <f>Table4[[#This Row],[Ext Finish GWP]]+Table4[[#This Row],[Base GWP]]+Table4[[#This Row],[Int Finish GWP]]</f>
        <v>#REF!</v>
      </c>
      <c r="Y369" t="e">
        <f>Table4[[#This Row],[Ext Finish R Value]]+Table4[[#This Row],[Base R Value]]+Table4[[#This Row],[Int Finish R Value]]</f>
        <v>#REF!</v>
      </c>
      <c r="Z369" t="e">
        <f>1/Table4[[#This Row],[Total R value]]</f>
        <v>#REF!</v>
      </c>
      <c r="AA369" t="e">
        <f>Table4[[#This Row],[Int Finish Mass]]+Table4[[#This Row],[Ext Finish Mass]]+Table4[[#This Row],[Base Mass]]</f>
        <v>#REF!</v>
      </c>
    </row>
    <row r="370" spans="3:27" x14ac:dyDescent="0.35">
      <c r="C370" t="str">
        <f>_xlfn.CONCAT(Table4[[#This Row],[System Name (Short)]],"_",Table4[[#This Row],[Ext Finish Name (Short)]],"_",Table4[[#This Row],[Int Finish Name (Short)]])</f>
        <v>0_0_0</v>
      </c>
      <c r="E370">
        <f>_xlfn.XLOOKUP(Table4[[#This Row],[Base System]],BASE_SYSTEM_TABLE[System Name],BASE_SYSTEM_TABLE[System Name (Short)],FALSE)</f>
        <v>0</v>
      </c>
      <c r="F370">
        <f>_xlfn.XLOOKUP(Table4[[#This Row],[Base System]],BASE_SYSTEM_TABLE[System Name],BASE_SYSTEM_TABLE[System Type],FALSE)</f>
        <v>0</v>
      </c>
      <c r="G370">
        <f>_xlfn.XLOOKUP(Table4[[#This Row],[Base System]],BASE_SYSTEM_TABLE[System Name],BASE_SYSTEM_TABLE[System Subtype],FALSE)</f>
        <v>0</v>
      </c>
      <c r="H370">
        <f>_xlfn.XLOOKUP(Table4[[#This Row],[Base System]],BASE_SYSTEM_TABLE[System Name],BASE_SYSTEM_TABLE[Construction Type (Framed or Planar)],FALSE)</f>
        <v>0</v>
      </c>
      <c r="I370" t="e">
        <f>GETPIVOTDATA("Sum of A1-A3 Fossil kg CO2e/m^2 wall area",'COMPONENT PIVOT REF'!$A$3,"System Name",Table4[[#This Row],[Base System]])</f>
        <v>#REF!</v>
      </c>
      <c r="J370" t="e">
        <f>GETPIVOTDATA("Sum of  R value (m^2-K/W)",'COMPONENT PIVOT REF'!$A$3,"System Name",Table4[[#This Row],[Base System]])</f>
        <v>#REF!</v>
      </c>
      <c r="K370" t="e">
        <f>GETPIVOTDATA("Sum of Total Mass per m^2 (kg)",'COMPONENT PIVOT REF'!$A$3,"System Name",Table4[[#This Row],[Base System]])</f>
        <v>#REF!</v>
      </c>
      <c r="M370">
        <f>_xlfn.XLOOKUP(Table4[[#This Row],[Ext Finish]],Master_Table4[System Name],Master_Table4[System Name (Short)],FALSE)</f>
        <v>0</v>
      </c>
      <c r="N370">
        <f>_xlfn.XLOOKUP(Table4[[#This Row],[Ext Finish]],Master_Table4[System Name],Master_Table4[Compatible Systems],FALSE)</f>
        <v>0</v>
      </c>
      <c r="O370" t="str">
        <f>IF(ISNUMBER(SEARCH(Table4[[#This Row],[MMC Method]],Table4[[#This Row],[Compatible Systems]])),"YES","NO")</f>
        <v>YES</v>
      </c>
      <c r="P370" t="e">
        <f>GETPIVOTDATA("Sum of A1-A3 Fossil kg CO2e/m^2 wall area",'COMPONENT PIVOT REF'!$I$3,"System Name",Table4[[#This Row],[Ext Finish]])</f>
        <v>#REF!</v>
      </c>
      <c r="Q370" t="e">
        <f>GETPIVOTDATA("Sum of  R value (m^2-K/W)",'COMPONENT PIVOT REF'!$I$3,"System Name",Table4[[#This Row],[Ext Finish]])</f>
        <v>#REF!</v>
      </c>
      <c r="R370" t="e">
        <f>GETPIVOTDATA("Sum of Total Mass per m^2 (kg)",'COMPONENT PIVOT REF'!$I$3,"System Name",Table4[[#This Row],[Ext Finish]])</f>
        <v>#REF!</v>
      </c>
      <c r="T370">
        <f>_xlfn.XLOOKUP(Table4[[#This Row],[Int Finish]],Master_Table6[System Name],Master_Table6[System Name (Short)],FALSE)</f>
        <v>0</v>
      </c>
      <c r="U370" t="e">
        <f>GETPIVOTDATA("Sum of A1-A3 Fossil kg CO2e/m^2 wall area",'COMPONENT PIVOT REF'!$P$3,"System Name",Table4[[#This Row],[Int Finish]])</f>
        <v>#REF!</v>
      </c>
      <c r="V370" t="e">
        <f>GETPIVOTDATA("Sum of  R value (m^2-K/W)",'COMPONENT PIVOT REF'!$P$3,"System Name",Table4[[#This Row],[Int Finish]])</f>
        <v>#REF!</v>
      </c>
      <c r="W370" t="e">
        <f>GETPIVOTDATA("Sum of Total Mass per m^2 (kg)",'COMPONENT PIVOT REF'!$P$3,"System Name",Table4[[#This Row],[Int Finish]])</f>
        <v>#REF!</v>
      </c>
      <c r="X370" t="e">
        <f>Table4[[#This Row],[Ext Finish GWP]]+Table4[[#This Row],[Base GWP]]+Table4[[#This Row],[Int Finish GWP]]</f>
        <v>#REF!</v>
      </c>
      <c r="Y370" t="e">
        <f>Table4[[#This Row],[Ext Finish R Value]]+Table4[[#This Row],[Base R Value]]+Table4[[#This Row],[Int Finish R Value]]</f>
        <v>#REF!</v>
      </c>
      <c r="Z370" t="e">
        <f>1/Table4[[#This Row],[Total R value]]</f>
        <v>#REF!</v>
      </c>
      <c r="AA370" t="e">
        <f>Table4[[#This Row],[Int Finish Mass]]+Table4[[#This Row],[Ext Finish Mass]]+Table4[[#This Row],[Base Mass]]</f>
        <v>#REF!</v>
      </c>
    </row>
    <row r="371" spans="3:27" x14ac:dyDescent="0.35">
      <c r="C371" t="str">
        <f>_xlfn.CONCAT(Table4[[#This Row],[System Name (Short)]],"_",Table4[[#This Row],[Ext Finish Name (Short)]],"_",Table4[[#This Row],[Int Finish Name (Short)]])</f>
        <v>0_0_0</v>
      </c>
      <c r="E371">
        <f>_xlfn.XLOOKUP(Table4[[#This Row],[Base System]],BASE_SYSTEM_TABLE[System Name],BASE_SYSTEM_TABLE[System Name (Short)],FALSE)</f>
        <v>0</v>
      </c>
      <c r="F371">
        <f>_xlfn.XLOOKUP(Table4[[#This Row],[Base System]],BASE_SYSTEM_TABLE[System Name],BASE_SYSTEM_TABLE[System Type],FALSE)</f>
        <v>0</v>
      </c>
      <c r="G371">
        <f>_xlfn.XLOOKUP(Table4[[#This Row],[Base System]],BASE_SYSTEM_TABLE[System Name],BASE_SYSTEM_TABLE[System Subtype],FALSE)</f>
        <v>0</v>
      </c>
      <c r="H371">
        <f>_xlfn.XLOOKUP(Table4[[#This Row],[Base System]],BASE_SYSTEM_TABLE[System Name],BASE_SYSTEM_TABLE[Construction Type (Framed or Planar)],FALSE)</f>
        <v>0</v>
      </c>
      <c r="I371" t="e">
        <f>GETPIVOTDATA("Sum of A1-A3 Fossil kg CO2e/m^2 wall area",'COMPONENT PIVOT REF'!$A$3,"System Name",Table4[[#This Row],[Base System]])</f>
        <v>#REF!</v>
      </c>
      <c r="J371" t="e">
        <f>GETPIVOTDATA("Sum of  R value (m^2-K/W)",'COMPONENT PIVOT REF'!$A$3,"System Name",Table4[[#This Row],[Base System]])</f>
        <v>#REF!</v>
      </c>
      <c r="K371" t="e">
        <f>GETPIVOTDATA("Sum of Total Mass per m^2 (kg)",'COMPONENT PIVOT REF'!$A$3,"System Name",Table4[[#This Row],[Base System]])</f>
        <v>#REF!</v>
      </c>
      <c r="M371">
        <f>_xlfn.XLOOKUP(Table4[[#This Row],[Ext Finish]],Master_Table4[System Name],Master_Table4[System Name (Short)],FALSE)</f>
        <v>0</v>
      </c>
      <c r="N371">
        <f>_xlfn.XLOOKUP(Table4[[#This Row],[Ext Finish]],Master_Table4[System Name],Master_Table4[Compatible Systems],FALSE)</f>
        <v>0</v>
      </c>
      <c r="O371" t="str">
        <f>IF(ISNUMBER(SEARCH(Table4[[#This Row],[MMC Method]],Table4[[#This Row],[Compatible Systems]])),"YES","NO")</f>
        <v>YES</v>
      </c>
      <c r="P371" t="e">
        <f>GETPIVOTDATA("Sum of A1-A3 Fossil kg CO2e/m^2 wall area",'COMPONENT PIVOT REF'!$I$3,"System Name",Table4[[#This Row],[Ext Finish]])</f>
        <v>#REF!</v>
      </c>
      <c r="Q371" t="e">
        <f>GETPIVOTDATA("Sum of  R value (m^2-K/W)",'COMPONENT PIVOT REF'!$I$3,"System Name",Table4[[#This Row],[Ext Finish]])</f>
        <v>#REF!</v>
      </c>
      <c r="R371" t="e">
        <f>GETPIVOTDATA("Sum of Total Mass per m^2 (kg)",'COMPONENT PIVOT REF'!$I$3,"System Name",Table4[[#This Row],[Ext Finish]])</f>
        <v>#REF!</v>
      </c>
      <c r="T371">
        <f>_xlfn.XLOOKUP(Table4[[#This Row],[Int Finish]],Master_Table6[System Name],Master_Table6[System Name (Short)],FALSE)</f>
        <v>0</v>
      </c>
      <c r="U371" t="e">
        <f>GETPIVOTDATA("Sum of A1-A3 Fossil kg CO2e/m^2 wall area",'COMPONENT PIVOT REF'!$P$3,"System Name",Table4[[#This Row],[Int Finish]])</f>
        <v>#REF!</v>
      </c>
      <c r="V371" t="e">
        <f>GETPIVOTDATA("Sum of  R value (m^2-K/W)",'COMPONENT PIVOT REF'!$P$3,"System Name",Table4[[#This Row],[Int Finish]])</f>
        <v>#REF!</v>
      </c>
      <c r="W371" t="e">
        <f>GETPIVOTDATA("Sum of Total Mass per m^2 (kg)",'COMPONENT PIVOT REF'!$P$3,"System Name",Table4[[#This Row],[Int Finish]])</f>
        <v>#REF!</v>
      </c>
      <c r="X371" t="e">
        <f>Table4[[#This Row],[Ext Finish GWP]]+Table4[[#This Row],[Base GWP]]+Table4[[#This Row],[Int Finish GWP]]</f>
        <v>#REF!</v>
      </c>
      <c r="Y371" t="e">
        <f>Table4[[#This Row],[Ext Finish R Value]]+Table4[[#This Row],[Base R Value]]+Table4[[#This Row],[Int Finish R Value]]</f>
        <v>#REF!</v>
      </c>
      <c r="Z371" t="e">
        <f>1/Table4[[#This Row],[Total R value]]</f>
        <v>#REF!</v>
      </c>
      <c r="AA371" t="e">
        <f>Table4[[#This Row],[Int Finish Mass]]+Table4[[#This Row],[Ext Finish Mass]]+Table4[[#This Row],[Base Mass]]</f>
        <v>#REF!</v>
      </c>
    </row>
    <row r="372" spans="3:27" x14ac:dyDescent="0.35">
      <c r="C372" t="str">
        <f>_xlfn.CONCAT(Table4[[#This Row],[System Name (Short)]],"_",Table4[[#This Row],[Ext Finish Name (Short)]],"_",Table4[[#This Row],[Int Finish Name (Short)]])</f>
        <v>0_0_0</v>
      </c>
      <c r="E372">
        <f>_xlfn.XLOOKUP(Table4[[#This Row],[Base System]],BASE_SYSTEM_TABLE[System Name],BASE_SYSTEM_TABLE[System Name (Short)],FALSE)</f>
        <v>0</v>
      </c>
      <c r="F372">
        <f>_xlfn.XLOOKUP(Table4[[#This Row],[Base System]],BASE_SYSTEM_TABLE[System Name],BASE_SYSTEM_TABLE[System Type],FALSE)</f>
        <v>0</v>
      </c>
      <c r="G372">
        <f>_xlfn.XLOOKUP(Table4[[#This Row],[Base System]],BASE_SYSTEM_TABLE[System Name],BASE_SYSTEM_TABLE[System Subtype],FALSE)</f>
        <v>0</v>
      </c>
      <c r="H372">
        <f>_xlfn.XLOOKUP(Table4[[#This Row],[Base System]],BASE_SYSTEM_TABLE[System Name],BASE_SYSTEM_TABLE[Construction Type (Framed or Planar)],FALSE)</f>
        <v>0</v>
      </c>
      <c r="I372" t="e">
        <f>GETPIVOTDATA("Sum of A1-A3 Fossil kg CO2e/m^2 wall area",'COMPONENT PIVOT REF'!$A$3,"System Name",Table4[[#This Row],[Base System]])</f>
        <v>#REF!</v>
      </c>
      <c r="J372" t="e">
        <f>GETPIVOTDATA("Sum of  R value (m^2-K/W)",'COMPONENT PIVOT REF'!$A$3,"System Name",Table4[[#This Row],[Base System]])</f>
        <v>#REF!</v>
      </c>
      <c r="K372" t="e">
        <f>GETPIVOTDATA("Sum of Total Mass per m^2 (kg)",'COMPONENT PIVOT REF'!$A$3,"System Name",Table4[[#This Row],[Base System]])</f>
        <v>#REF!</v>
      </c>
      <c r="M372">
        <f>_xlfn.XLOOKUP(Table4[[#This Row],[Ext Finish]],Master_Table4[System Name],Master_Table4[System Name (Short)],FALSE)</f>
        <v>0</v>
      </c>
      <c r="N372">
        <f>_xlfn.XLOOKUP(Table4[[#This Row],[Ext Finish]],Master_Table4[System Name],Master_Table4[Compatible Systems],FALSE)</f>
        <v>0</v>
      </c>
      <c r="O372" t="str">
        <f>IF(ISNUMBER(SEARCH(Table4[[#This Row],[MMC Method]],Table4[[#This Row],[Compatible Systems]])),"YES","NO")</f>
        <v>YES</v>
      </c>
      <c r="P372" t="e">
        <f>GETPIVOTDATA("Sum of A1-A3 Fossil kg CO2e/m^2 wall area",'COMPONENT PIVOT REF'!$I$3,"System Name",Table4[[#This Row],[Ext Finish]])</f>
        <v>#REF!</v>
      </c>
      <c r="Q372" t="e">
        <f>GETPIVOTDATA("Sum of  R value (m^2-K/W)",'COMPONENT PIVOT REF'!$I$3,"System Name",Table4[[#This Row],[Ext Finish]])</f>
        <v>#REF!</v>
      </c>
      <c r="R372" t="e">
        <f>GETPIVOTDATA("Sum of Total Mass per m^2 (kg)",'COMPONENT PIVOT REF'!$I$3,"System Name",Table4[[#This Row],[Ext Finish]])</f>
        <v>#REF!</v>
      </c>
      <c r="T372">
        <f>_xlfn.XLOOKUP(Table4[[#This Row],[Int Finish]],Master_Table6[System Name],Master_Table6[System Name (Short)],FALSE)</f>
        <v>0</v>
      </c>
      <c r="U372" t="e">
        <f>GETPIVOTDATA("Sum of A1-A3 Fossil kg CO2e/m^2 wall area",'COMPONENT PIVOT REF'!$P$3,"System Name",Table4[[#This Row],[Int Finish]])</f>
        <v>#REF!</v>
      </c>
      <c r="V372" t="e">
        <f>GETPIVOTDATA("Sum of  R value (m^2-K/W)",'COMPONENT PIVOT REF'!$P$3,"System Name",Table4[[#This Row],[Int Finish]])</f>
        <v>#REF!</v>
      </c>
      <c r="W372" t="e">
        <f>GETPIVOTDATA("Sum of Total Mass per m^2 (kg)",'COMPONENT PIVOT REF'!$P$3,"System Name",Table4[[#This Row],[Int Finish]])</f>
        <v>#REF!</v>
      </c>
      <c r="X372" t="e">
        <f>Table4[[#This Row],[Ext Finish GWP]]+Table4[[#This Row],[Base GWP]]+Table4[[#This Row],[Int Finish GWP]]</f>
        <v>#REF!</v>
      </c>
      <c r="Y372" t="e">
        <f>Table4[[#This Row],[Ext Finish R Value]]+Table4[[#This Row],[Base R Value]]+Table4[[#This Row],[Int Finish R Value]]</f>
        <v>#REF!</v>
      </c>
      <c r="Z372" t="e">
        <f>1/Table4[[#This Row],[Total R value]]</f>
        <v>#REF!</v>
      </c>
      <c r="AA372" t="e">
        <f>Table4[[#This Row],[Int Finish Mass]]+Table4[[#This Row],[Ext Finish Mass]]+Table4[[#This Row],[Base Mass]]</f>
        <v>#REF!</v>
      </c>
    </row>
    <row r="373" spans="3:27" x14ac:dyDescent="0.35">
      <c r="C373" t="str">
        <f>_xlfn.CONCAT(Table4[[#This Row],[System Name (Short)]],"_",Table4[[#This Row],[Ext Finish Name (Short)]],"_",Table4[[#This Row],[Int Finish Name (Short)]])</f>
        <v>0_0_0</v>
      </c>
      <c r="E373">
        <f>_xlfn.XLOOKUP(Table4[[#This Row],[Base System]],BASE_SYSTEM_TABLE[System Name],BASE_SYSTEM_TABLE[System Name (Short)],FALSE)</f>
        <v>0</v>
      </c>
      <c r="F373">
        <f>_xlfn.XLOOKUP(Table4[[#This Row],[Base System]],BASE_SYSTEM_TABLE[System Name],BASE_SYSTEM_TABLE[System Type],FALSE)</f>
        <v>0</v>
      </c>
      <c r="G373">
        <f>_xlfn.XLOOKUP(Table4[[#This Row],[Base System]],BASE_SYSTEM_TABLE[System Name],BASE_SYSTEM_TABLE[System Subtype],FALSE)</f>
        <v>0</v>
      </c>
      <c r="H373">
        <f>_xlfn.XLOOKUP(Table4[[#This Row],[Base System]],BASE_SYSTEM_TABLE[System Name],BASE_SYSTEM_TABLE[Construction Type (Framed or Planar)],FALSE)</f>
        <v>0</v>
      </c>
      <c r="I373" t="e">
        <f>GETPIVOTDATA("Sum of A1-A3 Fossil kg CO2e/m^2 wall area",'COMPONENT PIVOT REF'!$A$3,"System Name",Table4[[#This Row],[Base System]])</f>
        <v>#REF!</v>
      </c>
      <c r="J373" t="e">
        <f>GETPIVOTDATA("Sum of  R value (m^2-K/W)",'COMPONENT PIVOT REF'!$A$3,"System Name",Table4[[#This Row],[Base System]])</f>
        <v>#REF!</v>
      </c>
      <c r="K373" t="e">
        <f>GETPIVOTDATA("Sum of Total Mass per m^2 (kg)",'COMPONENT PIVOT REF'!$A$3,"System Name",Table4[[#This Row],[Base System]])</f>
        <v>#REF!</v>
      </c>
      <c r="M373">
        <f>_xlfn.XLOOKUP(Table4[[#This Row],[Ext Finish]],Master_Table4[System Name],Master_Table4[System Name (Short)],FALSE)</f>
        <v>0</v>
      </c>
      <c r="N373">
        <f>_xlfn.XLOOKUP(Table4[[#This Row],[Ext Finish]],Master_Table4[System Name],Master_Table4[Compatible Systems],FALSE)</f>
        <v>0</v>
      </c>
      <c r="O373" t="str">
        <f>IF(ISNUMBER(SEARCH(Table4[[#This Row],[MMC Method]],Table4[[#This Row],[Compatible Systems]])),"YES","NO")</f>
        <v>YES</v>
      </c>
      <c r="P373" t="e">
        <f>GETPIVOTDATA("Sum of A1-A3 Fossil kg CO2e/m^2 wall area",'COMPONENT PIVOT REF'!$I$3,"System Name",Table4[[#This Row],[Ext Finish]])</f>
        <v>#REF!</v>
      </c>
      <c r="Q373" t="e">
        <f>GETPIVOTDATA("Sum of  R value (m^2-K/W)",'COMPONENT PIVOT REF'!$I$3,"System Name",Table4[[#This Row],[Ext Finish]])</f>
        <v>#REF!</v>
      </c>
      <c r="R373" t="e">
        <f>GETPIVOTDATA("Sum of Total Mass per m^2 (kg)",'COMPONENT PIVOT REF'!$I$3,"System Name",Table4[[#This Row],[Ext Finish]])</f>
        <v>#REF!</v>
      </c>
      <c r="T373">
        <f>_xlfn.XLOOKUP(Table4[[#This Row],[Int Finish]],Master_Table6[System Name],Master_Table6[System Name (Short)],FALSE)</f>
        <v>0</v>
      </c>
      <c r="U373" t="e">
        <f>GETPIVOTDATA("Sum of A1-A3 Fossil kg CO2e/m^2 wall area",'COMPONENT PIVOT REF'!$P$3,"System Name",Table4[[#This Row],[Int Finish]])</f>
        <v>#REF!</v>
      </c>
      <c r="V373" t="e">
        <f>GETPIVOTDATA("Sum of  R value (m^2-K/W)",'COMPONENT PIVOT REF'!$P$3,"System Name",Table4[[#This Row],[Int Finish]])</f>
        <v>#REF!</v>
      </c>
      <c r="W373" t="e">
        <f>GETPIVOTDATA("Sum of Total Mass per m^2 (kg)",'COMPONENT PIVOT REF'!$P$3,"System Name",Table4[[#This Row],[Int Finish]])</f>
        <v>#REF!</v>
      </c>
      <c r="X373" t="e">
        <f>Table4[[#This Row],[Ext Finish GWP]]+Table4[[#This Row],[Base GWP]]+Table4[[#This Row],[Int Finish GWP]]</f>
        <v>#REF!</v>
      </c>
      <c r="Y373" t="e">
        <f>Table4[[#This Row],[Ext Finish R Value]]+Table4[[#This Row],[Base R Value]]+Table4[[#This Row],[Int Finish R Value]]</f>
        <v>#REF!</v>
      </c>
      <c r="Z373" t="e">
        <f>1/Table4[[#This Row],[Total R value]]</f>
        <v>#REF!</v>
      </c>
      <c r="AA373" t="e">
        <f>Table4[[#This Row],[Int Finish Mass]]+Table4[[#This Row],[Ext Finish Mass]]+Table4[[#This Row],[Base Mass]]</f>
        <v>#REF!</v>
      </c>
    </row>
    <row r="374" spans="3:27" x14ac:dyDescent="0.35">
      <c r="C374" t="str">
        <f>_xlfn.CONCAT(Table4[[#This Row],[System Name (Short)]],"_",Table4[[#This Row],[Ext Finish Name (Short)]],"_",Table4[[#This Row],[Int Finish Name (Short)]])</f>
        <v>0_0_0</v>
      </c>
      <c r="E374">
        <f>_xlfn.XLOOKUP(Table4[[#This Row],[Base System]],BASE_SYSTEM_TABLE[System Name],BASE_SYSTEM_TABLE[System Name (Short)],FALSE)</f>
        <v>0</v>
      </c>
      <c r="F374">
        <f>_xlfn.XLOOKUP(Table4[[#This Row],[Base System]],BASE_SYSTEM_TABLE[System Name],BASE_SYSTEM_TABLE[System Type],FALSE)</f>
        <v>0</v>
      </c>
      <c r="G374">
        <f>_xlfn.XLOOKUP(Table4[[#This Row],[Base System]],BASE_SYSTEM_TABLE[System Name],BASE_SYSTEM_TABLE[System Subtype],FALSE)</f>
        <v>0</v>
      </c>
      <c r="H374">
        <f>_xlfn.XLOOKUP(Table4[[#This Row],[Base System]],BASE_SYSTEM_TABLE[System Name],BASE_SYSTEM_TABLE[Construction Type (Framed or Planar)],FALSE)</f>
        <v>0</v>
      </c>
      <c r="I374" t="e">
        <f>GETPIVOTDATA("Sum of A1-A3 Fossil kg CO2e/m^2 wall area",'COMPONENT PIVOT REF'!$A$3,"System Name",Table4[[#This Row],[Base System]])</f>
        <v>#REF!</v>
      </c>
      <c r="J374" t="e">
        <f>GETPIVOTDATA("Sum of  R value (m^2-K/W)",'COMPONENT PIVOT REF'!$A$3,"System Name",Table4[[#This Row],[Base System]])</f>
        <v>#REF!</v>
      </c>
      <c r="K374" t="e">
        <f>GETPIVOTDATA("Sum of Total Mass per m^2 (kg)",'COMPONENT PIVOT REF'!$A$3,"System Name",Table4[[#This Row],[Base System]])</f>
        <v>#REF!</v>
      </c>
      <c r="M374">
        <f>_xlfn.XLOOKUP(Table4[[#This Row],[Ext Finish]],Master_Table4[System Name],Master_Table4[System Name (Short)],FALSE)</f>
        <v>0</v>
      </c>
      <c r="N374">
        <f>_xlfn.XLOOKUP(Table4[[#This Row],[Ext Finish]],Master_Table4[System Name],Master_Table4[Compatible Systems],FALSE)</f>
        <v>0</v>
      </c>
      <c r="O374" t="str">
        <f>IF(ISNUMBER(SEARCH(Table4[[#This Row],[MMC Method]],Table4[[#This Row],[Compatible Systems]])),"YES","NO")</f>
        <v>YES</v>
      </c>
      <c r="P374" t="e">
        <f>GETPIVOTDATA("Sum of A1-A3 Fossil kg CO2e/m^2 wall area",'COMPONENT PIVOT REF'!$I$3,"System Name",Table4[[#This Row],[Ext Finish]])</f>
        <v>#REF!</v>
      </c>
      <c r="Q374" t="e">
        <f>GETPIVOTDATA("Sum of  R value (m^2-K/W)",'COMPONENT PIVOT REF'!$I$3,"System Name",Table4[[#This Row],[Ext Finish]])</f>
        <v>#REF!</v>
      </c>
      <c r="R374" t="e">
        <f>GETPIVOTDATA("Sum of Total Mass per m^2 (kg)",'COMPONENT PIVOT REF'!$I$3,"System Name",Table4[[#This Row],[Ext Finish]])</f>
        <v>#REF!</v>
      </c>
      <c r="T374">
        <f>_xlfn.XLOOKUP(Table4[[#This Row],[Int Finish]],Master_Table6[System Name],Master_Table6[System Name (Short)],FALSE)</f>
        <v>0</v>
      </c>
      <c r="U374" t="e">
        <f>GETPIVOTDATA("Sum of A1-A3 Fossil kg CO2e/m^2 wall area",'COMPONENT PIVOT REF'!$P$3,"System Name",Table4[[#This Row],[Int Finish]])</f>
        <v>#REF!</v>
      </c>
      <c r="V374" t="e">
        <f>GETPIVOTDATA("Sum of  R value (m^2-K/W)",'COMPONENT PIVOT REF'!$P$3,"System Name",Table4[[#This Row],[Int Finish]])</f>
        <v>#REF!</v>
      </c>
      <c r="W374" t="e">
        <f>GETPIVOTDATA("Sum of Total Mass per m^2 (kg)",'COMPONENT PIVOT REF'!$P$3,"System Name",Table4[[#This Row],[Int Finish]])</f>
        <v>#REF!</v>
      </c>
      <c r="X374" t="e">
        <f>Table4[[#This Row],[Ext Finish GWP]]+Table4[[#This Row],[Base GWP]]+Table4[[#This Row],[Int Finish GWP]]</f>
        <v>#REF!</v>
      </c>
      <c r="Y374" t="e">
        <f>Table4[[#This Row],[Ext Finish R Value]]+Table4[[#This Row],[Base R Value]]+Table4[[#This Row],[Int Finish R Value]]</f>
        <v>#REF!</v>
      </c>
      <c r="Z374" t="e">
        <f>1/Table4[[#This Row],[Total R value]]</f>
        <v>#REF!</v>
      </c>
      <c r="AA374" t="e">
        <f>Table4[[#This Row],[Int Finish Mass]]+Table4[[#This Row],[Ext Finish Mass]]+Table4[[#This Row],[Base Mass]]</f>
        <v>#REF!</v>
      </c>
    </row>
    <row r="375" spans="3:27" x14ac:dyDescent="0.35">
      <c r="C375" t="str">
        <f>_xlfn.CONCAT(Table4[[#This Row],[System Name (Short)]],"_",Table4[[#This Row],[Ext Finish Name (Short)]],"_",Table4[[#This Row],[Int Finish Name (Short)]])</f>
        <v>0_0_0</v>
      </c>
      <c r="E375">
        <f>_xlfn.XLOOKUP(Table4[[#This Row],[Base System]],BASE_SYSTEM_TABLE[System Name],BASE_SYSTEM_TABLE[System Name (Short)],FALSE)</f>
        <v>0</v>
      </c>
      <c r="F375">
        <f>_xlfn.XLOOKUP(Table4[[#This Row],[Base System]],BASE_SYSTEM_TABLE[System Name],BASE_SYSTEM_TABLE[System Type],FALSE)</f>
        <v>0</v>
      </c>
      <c r="G375">
        <f>_xlfn.XLOOKUP(Table4[[#This Row],[Base System]],BASE_SYSTEM_TABLE[System Name],BASE_SYSTEM_TABLE[System Subtype],FALSE)</f>
        <v>0</v>
      </c>
      <c r="H375">
        <f>_xlfn.XLOOKUP(Table4[[#This Row],[Base System]],BASE_SYSTEM_TABLE[System Name],BASE_SYSTEM_TABLE[Construction Type (Framed or Planar)],FALSE)</f>
        <v>0</v>
      </c>
      <c r="I375" t="e">
        <f>GETPIVOTDATA("Sum of A1-A3 Fossil kg CO2e/m^2 wall area",'COMPONENT PIVOT REF'!$A$3,"System Name",Table4[[#This Row],[Base System]])</f>
        <v>#REF!</v>
      </c>
      <c r="J375" t="e">
        <f>GETPIVOTDATA("Sum of  R value (m^2-K/W)",'COMPONENT PIVOT REF'!$A$3,"System Name",Table4[[#This Row],[Base System]])</f>
        <v>#REF!</v>
      </c>
      <c r="K375" t="e">
        <f>GETPIVOTDATA("Sum of Total Mass per m^2 (kg)",'COMPONENT PIVOT REF'!$A$3,"System Name",Table4[[#This Row],[Base System]])</f>
        <v>#REF!</v>
      </c>
      <c r="M375">
        <f>_xlfn.XLOOKUP(Table4[[#This Row],[Ext Finish]],Master_Table4[System Name],Master_Table4[System Name (Short)],FALSE)</f>
        <v>0</v>
      </c>
      <c r="N375">
        <f>_xlfn.XLOOKUP(Table4[[#This Row],[Ext Finish]],Master_Table4[System Name],Master_Table4[Compatible Systems],FALSE)</f>
        <v>0</v>
      </c>
      <c r="O375" t="str">
        <f>IF(ISNUMBER(SEARCH(Table4[[#This Row],[MMC Method]],Table4[[#This Row],[Compatible Systems]])),"YES","NO")</f>
        <v>YES</v>
      </c>
      <c r="P375" t="e">
        <f>GETPIVOTDATA("Sum of A1-A3 Fossil kg CO2e/m^2 wall area",'COMPONENT PIVOT REF'!$I$3,"System Name",Table4[[#This Row],[Ext Finish]])</f>
        <v>#REF!</v>
      </c>
      <c r="Q375" t="e">
        <f>GETPIVOTDATA("Sum of  R value (m^2-K/W)",'COMPONENT PIVOT REF'!$I$3,"System Name",Table4[[#This Row],[Ext Finish]])</f>
        <v>#REF!</v>
      </c>
      <c r="R375" t="e">
        <f>GETPIVOTDATA("Sum of Total Mass per m^2 (kg)",'COMPONENT PIVOT REF'!$I$3,"System Name",Table4[[#This Row],[Ext Finish]])</f>
        <v>#REF!</v>
      </c>
      <c r="T375">
        <f>_xlfn.XLOOKUP(Table4[[#This Row],[Int Finish]],Master_Table6[System Name],Master_Table6[System Name (Short)],FALSE)</f>
        <v>0</v>
      </c>
      <c r="U375" t="e">
        <f>GETPIVOTDATA("Sum of A1-A3 Fossil kg CO2e/m^2 wall area",'COMPONENT PIVOT REF'!$P$3,"System Name",Table4[[#This Row],[Int Finish]])</f>
        <v>#REF!</v>
      </c>
      <c r="V375" t="e">
        <f>GETPIVOTDATA("Sum of  R value (m^2-K/W)",'COMPONENT PIVOT REF'!$P$3,"System Name",Table4[[#This Row],[Int Finish]])</f>
        <v>#REF!</v>
      </c>
      <c r="W375" t="e">
        <f>GETPIVOTDATA("Sum of Total Mass per m^2 (kg)",'COMPONENT PIVOT REF'!$P$3,"System Name",Table4[[#This Row],[Int Finish]])</f>
        <v>#REF!</v>
      </c>
      <c r="X375" t="e">
        <f>Table4[[#This Row],[Ext Finish GWP]]+Table4[[#This Row],[Base GWP]]+Table4[[#This Row],[Int Finish GWP]]</f>
        <v>#REF!</v>
      </c>
      <c r="Y375" t="e">
        <f>Table4[[#This Row],[Ext Finish R Value]]+Table4[[#This Row],[Base R Value]]+Table4[[#This Row],[Int Finish R Value]]</f>
        <v>#REF!</v>
      </c>
      <c r="Z375" t="e">
        <f>1/Table4[[#This Row],[Total R value]]</f>
        <v>#REF!</v>
      </c>
      <c r="AA375" t="e">
        <f>Table4[[#This Row],[Int Finish Mass]]+Table4[[#This Row],[Ext Finish Mass]]+Table4[[#This Row],[Base Mass]]</f>
        <v>#REF!</v>
      </c>
    </row>
    <row r="376" spans="3:27" x14ac:dyDescent="0.35">
      <c r="C376" t="str">
        <f>_xlfn.CONCAT(Table4[[#This Row],[System Name (Short)]],"_",Table4[[#This Row],[Ext Finish Name (Short)]],"_",Table4[[#This Row],[Int Finish Name (Short)]])</f>
        <v>0_0_0</v>
      </c>
      <c r="E376">
        <f>_xlfn.XLOOKUP(Table4[[#This Row],[Base System]],BASE_SYSTEM_TABLE[System Name],BASE_SYSTEM_TABLE[System Name (Short)],FALSE)</f>
        <v>0</v>
      </c>
      <c r="F376">
        <f>_xlfn.XLOOKUP(Table4[[#This Row],[Base System]],BASE_SYSTEM_TABLE[System Name],BASE_SYSTEM_TABLE[System Type],FALSE)</f>
        <v>0</v>
      </c>
      <c r="G376">
        <f>_xlfn.XLOOKUP(Table4[[#This Row],[Base System]],BASE_SYSTEM_TABLE[System Name],BASE_SYSTEM_TABLE[System Subtype],FALSE)</f>
        <v>0</v>
      </c>
      <c r="H376">
        <f>_xlfn.XLOOKUP(Table4[[#This Row],[Base System]],BASE_SYSTEM_TABLE[System Name],BASE_SYSTEM_TABLE[Construction Type (Framed or Planar)],FALSE)</f>
        <v>0</v>
      </c>
      <c r="I376" t="e">
        <f>GETPIVOTDATA("Sum of A1-A3 Fossil kg CO2e/m^2 wall area",'COMPONENT PIVOT REF'!$A$3,"System Name",Table4[[#This Row],[Base System]])</f>
        <v>#REF!</v>
      </c>
      <c r="J376" t="e">
        <f>GETPIVOTDATA("Sum of  R value (m^2-K/W)",'COMPONENT PIVOT REF'!$A$3,"System Name",Table4[[#This Row],[Base System]])</f>
        <v>#REF!</v>
      </c>
      <c r="K376" t="e">
        <f>GETPIVOTDATA("Sum of Total Mass per m^2 (kg)",'COMPONENT PIVOT REF'!$A$3,"System Name",Table4[[#This Row],[Base System]])</f>
        <v>#REF!</v>
      </c>
      <c r="M376">
        <f>_xlfn.XLOOKUP(Table4[[#This Row],[Ext Finish]],Master_Table4[System Name],Master_Table4[System Name (Short)],FALSE)</f>
        <v>0</v>
      </c>
      <c r="N376">
        <f>_xlfn.XLOOKUP(Table4[[#This Row],[Ext Finish]],Master_Table4[System Name],Master_Table4[Compatible Systems],FALSE)</f>
        <v>0</v>
      </c>
      <c r="O376" t="str">
        <f>IF(ISNUMBER(SEARCH(Table4[[#This Row],[MMC Method]],Table4[[#This Row],[Compatible Systems]])),"YES","NO")</f>
        <v>YES</v>
      </c>
      <c r="P376" t="e">
        <f>GETPIVOTDATA("Sum of A1-A3 Fossil kg CO2e/m^2 wall area",'COMPONENT PIVOT REF'!$I$3,"System Name",Table4[[#This Row],[Ext Finish]])</f>
        <v>#REF!</v>
      </c>
      <c r="Q376" t="e">
        <f>GETPIVOTDATA("Sum of  R value (m^2-K/W)",'COMPONENT PIVOT REF'!$I$3,"System Name",Table4[[#This Row],[Ext Finish]])</f>
        <v>#REF!</v>
      </c>
      <c r="R376" t="e">
        <f>GETPIVOTDATA("Sum of Total Mass per m^2 (kg)",'COMPONENT PIVOT REF'!$I$3,"System Name",Table4[[#This Row],[Ext Finish]])</f>
        <v>#REF!</v>
      </c>
      <c r="T376">
        <f>_xlfn.XLOOKUP(Table4[[#This Row],[Int Finish]],Master_Table6[System Name],Master_Table6[System Name (Short)],FALSE)</f>
        <v>0</v>
      </c>
      <c r="U376" t="e">
        <f>GETPIVOTDATA("Sum of A1-A3 Fossil kg CO2e/m^2 wall area",'COMPONENT PIVOT REF'!$P$3,"System Name",Table4[[#This Row],[Int Finish]])</f>
        <v>#REF!</v>
      </c>
      <c r="V376" t="e">
        <f>GETPIVOTDATA("Sum of  R value (m^2-K/W)",'COMPONENT PIVOT REF'!$P$3,"System Name",Table4[[#This Row],[Int Finish]])</f>
        <v>#REF!</v>
      </c>
      <c r="W376" t="e">
        <f>GETPIVOTDATA("Sum of Total Mass per m^2 (kg)",'COMPONENT PIVOT REF'!$P$3,"System Name",Table4[[#This Row],[Int Finish]])</f>
        <v>#REF!</v>
      </c>
      <c r="X376" t="e">
        <f>Table4[[#This Row],[Ext Finish GWP]]+Table4[[#This Row],[Base GWP]]+Table4[[#This Row],[Int Finish GWP]]</f>
        <v>#REF!</v>
      </c>
      <c r="Y376" t="e">
        <f>Table4[[#This Row],[Ext Finish R Value]]+Table4[[#This Row],[Base R Value]]+Table4[[#This Row],[Int Finish R Value]]</f>
        <v>#REF!</v>
      </c>
      <c r="Z376" t="e">
        <f>1/Table4[[#This Row],[Total R value]]</f>
        <v>#REF!</v>
      </c>
      <c r="AA376" t="e">
        <f>Table4[[#This Row],[Int Finish Mass]]+Table4[[#This Row],[Ext Finish Mass]]+Table4[[#This Row],[Base Mass]]</f>
        <v>#REF!</v>
      </c>
    </row>
    <row r="377" spans="3:27" x14ac:dyDescent="0.35">
      <c r="C377" t="str">
        <f>_xlfn.CONCAT(Table4[[#This Row],[System Name (Short)]],"_",Table4[[#This Row],[Ext Finish Name (Short)]],"_",Table4[[#This Row],[Int Finish Name (Short)]])</f>
        <v>0_0_0</v>
      </c>
      <c r="E377">
        <f>_xlfn.XLOOKUP(Table4[[#This Row],[Base System]],BASE_SYSTEM_TABLE[System Name],BASE_SYSTEM_TABLE[System Name (Short)],FALSE)</f>
        <v>0</v>
      </c>
      <c r="F377">
        <f>_xlfn.XLOOKUP(Table4[[#This Row],[Base System]],BASE_SYSTEM_TABLE[System Name],BASE_SYSTEM_TABLE[System Type],FALSE)</f>
        <v>0</v>
      </c>
      <c r="G377">
        <f>_xlfn.XLOOKUP(Table4[[#This Row],[Base System]],BASE_SYSTEM_TABLE[System Name],BASE_SYSTEM_TABLE[System Subtype],FALSE)</f>
        <v>0</v>
      </c>
      <c r="H377">
        <f>_xlfn.XLOOKUP(Table4[[#This Row],[Base System]],BASE_SYSTEM_TABLE[System Name],BASE_SYSTEM_TABLE[Construction Type (Framed or Planar)],FALSE)</f>
        <v>0</v>
      </c>
      <c r="I377" t="e">
        <f>GETPIVOTDATA("Sum of A1-A3 Fossil kg CO2e/m^2 wall area",'COMPONENT PIVOT REF'!$A$3,"System Name",Table4[[#This Row],[Base System]])</f>
        <v>#REF!</v>
      </c>
      <c r="J377" t="e">
        <f>GETPIVOTDATA("Sum of  R value (m^2-K/W)",'COMPONENT PIVOT REF'!$A$3,"System Name",Table4[[#This Row],[Base System]])</f>
        <v>#REF!</v>
      </c>
      <c r="K377" t="e">
        <f>GETPIVOTDATA("Sum of Total Mass per m^2 (kg)",'COMPONENT PIVOT REF'!$A$3,"System Name",Table4[[#This Row],[Base System]])</f>
        <v>#REF!</v>
      </c>
      <c r="M377">
        <f>_xlfn.XLOOKUP(Table4[[#This Row],[Ext Finish]],Master_Table4[System Name],Master_Table4[System Name (Short)],FALSE)</f>
        <v>0</v>
      </c>
      <c r="N377">
        <f>_xlfn.XLOOKUP(Table4[[#This Row],[Ext Finish]],Master_Table4[System Name],Master_Table4[Compatible Systems],FALSE)</f>
        <v>0</v>
      </c>
      <c r="O377" t="str">
        <f>IF(ISNUMBER(SEARCH(Table4[[#This Row],[MMC Method]],Table4[[#This Row],[Compatible Systems]])),"YES","NO")</f>
        <v>YES</v>
      </c>
      <c r="P377" t="e">
        <f>GETPIVOTDATA("Sum of A1-A3 Fossil kg CO2e/m^2 wall area",'COMPONENT PIVOT REF'!$I$3,"System Name",Table4[[#This Row],[Ext Finish]])</f>
        <v>#REF!</v>
      </c>
      <c r="Q377" t="e">
        <f>GETPIVOTDATA("Sum of  R value (m^2-K/W)",'COMPONENT PIVOT REF'!$I$3,"System Name",Table4[[#This Row],[Ext Finish]])</f>
        <v>#REF!</v>
      </c>
      <c r="R377" t="e">
        <f>GETPIVOTDATA("Sum of Total Mass per m^2 (kg)",'COMPONENT PIVOT REF'!$I$3,"System Name",Table4[[#This Row],[Ext Finish]])</f>
        <v>#REF!</v>
      </c>
      <c r="T377">
        <f>_xlfn.XLOOKUP(Table4[[#This Row],[Int Finish]],Master_Table6[System Name],Master_Table6[System Name (Short)],FALSE)</f>
        <v>0</v>
      </c>
      <c r="U377" t="e">
        <f>GETPIVOTDATA("Sum of A1-A3 Fossil kg CO2e/m^2 wall area",'COMPONENT PIVOT REF'!$P$3,"System Name",Table4[[#This Row],[Int Finish]])</f>
        <v>#REF!</v>
      </c>
      <c r="V377" t="e">
        <f>GETPIVOTDATA("Sum of  R value (m^2-K/W)",'COMPONENT PIVOT REF'!$P$3,"System Name",Table4[[#This Row],[Int Finish]])</f>
        <v>#REF!</v>
      </c>
      <c r="W377" t="e">
        <f>GETPIVOTDATA("Sum of Total Mass per m^2 (kg)",'COMPONENT PIVOT REF'!$P$3,"System Name",Table4[[#This Row],[Int Finish]])</f>
        <v>#REF!</v>
      </c>
      <c r="X377" t="e">
        <f>Table4[[#This Row],[Ext Finish GWP]]+Table4[[#This Row],[Base GWP]]+Table4[[#This Row],[Int Finish GWP]]</f>
        <v>#REF!</v>
      </c>
      <c r="Y377" t="e">
        <f>Table4[[#This Row],[Ext Finish R Value]]+Table4[[#This Row],[Base R Value]]+Table4[[#This Row],[Int Finish R Value]]</f>
        <v>#REF!</v>
      </c>
      <c r="Z377" t="e">
        <f>1/Table4[[#This Row],[Total R value]]</f>
        <v>#REF!</v>
      </c>
      <c r="AA377" t="e">
        <f>Table4[[#This Row],[Int Finish Mass]]+Table4[[#This Row],[Ext Finish Mass]]+Table4[[#This Row],[Base Mass]]</f>
        <v>#REF!</v>
      </c>
    </row>
    <row r="378" spans="3:27" x14ac:dyDescent="0.35">
      <c r="C378" t="str">
        <f>_xlfn.CONCAT(Table4[[#This Row],[System Name (Short)]],"_",Table4[[#This Row],[Ext Finish Name (Short)]],"_",Table4[[#This Row],[Int Finish Name (Short)]])</f>
        <v>0_0_0</v>
      </c>
      <c r="E378">
        <f>_xlfn.XLOOKUP(Table4[[#This Row],[Base System]],BASE_SYSTEM_TABLE[System Name],BASE_SYSTEM_TABLE[System Name (Short)],FALSE)</f>
        <v>0</v>
      </c>
      <c r="F378">
        <f>_xlfn.XLOOKUP(Table4[[#This Row],[Base System]],BASE_SYSTEM_TABLE[System Name],BASE_SYSTEM_TABLE[System Type],FALSE)</f>
        <v>0</v>
      </c>
      <c r="G378">
        <f>_xlfn.XLOOKUP(Table4[[#This Row],[Base System]],BASE_SYSTEM_TABLE[System Name],BASE_SYSTEM_TABLE[System Subtype],FALSE)</f>
        <v>0</v>
      </c>
      <c r="H378">
        <f>_xlfn.XLOOKUP(Table4[[#This Row],[Base System]],BASE_SYSTEM_TABLE[System Name],BASE_SYSTEM_TABLE[Construction Type (Framed or Planar)],FALSE)</f>
        <v>0</v>
      </c>
      <c r="I378" t="e">
        <f>GETPIVOTDATA("Sum of A1-A3 Fossil kg CO2e/m^2 wall area",'COMPONENT PIVOT REF'!$A$3,"System Name",Table4[[#This Row],[Base System]])</f>
        <v>#REF!</v>
      </c>
      <c r="J378" t="e">
        <f>GETPIVOTDATA("Sum of  R value (m^2-K/W)",'COMPONENT PIVOT REF'!$A$3,"System Name",Table4[[#This Row],[Base System]])</f>
        <v>#REF!</v>
      </c>
      <c r="K378" t="e">
        <f>GETPIVOTDATA("Sum of Total Mass per m^2 (kg)",'COMPONENT PIVOT REF'!$A$3,"System Name",Table4[[#This Row],[Base System]])</f>
        <v>#REF!</v>
      </c>
      <c r="M378">
        <f>_xlfn.XLOOKUP(Table4[[#This Row],[Ext Finish]],Master_Table4[System Name],Master_Table4[System Name (Short)],FALSE)</f>
        <v>0</v>
      </c>
      <c r="N378">
        <f>_xlfn.XLOOKUP(Table4[[#This Row],[Ext Finish]],Master_Table4[System Name],Master_Table4[Compatible Systems],FALSE)</f>
        <v>0</v>
      </c>
      <c r="O378" t="str">
        <f>IF(ISNUMBER(SEARCH(Table4[[#This Row],[MMC Method]],Table4[[#This Row],[Compatible Systems]])),"YES","NO")</f>
        <v>YES</v>
      </c>
      <c r="P378" t="e">
        <f>GETPIVOTDATA("Sum of A1-A3 Fossil kg CO2e/m^2 wall area",'COMPONENT PIVOT REF'!$I$3,"System Name",Table4[[#This Row],[Ext Finish]])</f>
        <v>#REF!</v>
      </c>
      <c r="Q378" t="e">
        <f>GETPIVOTDATA("Sum of  R value (m^2-K/W)",'COMPONENT PIVOT REF'!$I$3,"System Name",Table4[[#This Row],[Ext Finish]])</f>
        <v>#REF!</v>
      </c>
      <c r="R378" t="e">
        <f>GETPIVOTDATA("Sum of Total Mass per m^2 (kg)",'COMPONENT PIVOT REF'!$I$3,"System Name",Table4[[#This Row],[Ext Finish]])</f>
        <v>#REF!</v>
      </c>
      <c r="T378">
        <f>_xlfn.XLOOKUP(Table4[[#This Row],[Int Finish]],Master_Table6[System Name],Master_Table6[System Name (Short)],FALSE)</f>
        <v>0</v>
      </c>
      <c r="U378" t="e">
        <f>GETPIVOTDATA("Sum of A1-A3 Fossil kg CO2e/m^2 wall area",'COMPONENT PIVOT REF'!$P$3,"System Name",Table4[[#This Row],[Int Finish]])</f>
        <v>#REF!</v>
      </c>
      <c r="V378" t="e">
        <f>GETPIVOTDATA("Sum of  R value (m^2-K/W)",'COMPONENT PIVOT REF'!$P$3,"System Name",Table4[[#This Row],[Int Finish]])</f>
        <v>#REF!</v>
      </c>
      <c r="W378" t="e">
        <f>GETPIVOTDATA("Sum of Total Mass per m^2 (kg)",'COMPONENT PIVOT REF'!$P$3,"System Name",Table4[[#This Row],[Int Finish]])</f>
        <v>#REF!</v>
      </c>
      <c r="X378" t="e">
        <f>Table4[[#This Row],[Ext Finish GWP]]+Table4[[#This Row],[Base GWP]]+Table4[[#This Row],[Int Finish GWP]]</f>
        <v>#REF!</v>
      </c>
      <c r="Y378" t="e">
        <f>Table4[[#This Row],[Ext Finish R Value]]+Table4[[#This Row],[Base R Value]]+Table4[[#This Row],[Int Finish R Value]]</f>
        <v>#REF!</v>
      </c>
      <c r="Z378" t="e">
        <f>1/Table4[[#This Row],[Total R value]]</f>
        <v>#REF!</v>
      </c>
      <c r="AA378" t="e">
        <f>Table4[[#This Row],[Int Finish Mass]]+Table4[[#This Row],[Ext Finish Mass]]+Table4[[#This Row],[Base Mass]]</f>
        <v>#REF!</v>
      </c>
    </row>
    <row r="379" spans="3:27" x14ac:dyDescent="0.35">
      <c r="C379" t="str">
        <f>_xlfn.CONCAT(Table4[[#This Row],[System Name (Short)]],"_",Table4[[#This Row],[Ext Finish Name (Short)]],"_",Table4[[#This Row],[Int Finish Name (Short)]])</f>
        <v>0_0_0</v>
      </c>
      <c r="E379">
        <f>_xlfn.XLOOKUP(Table4[[#This Row],[Base System]],BASE_SYSTEM_TABLE[System Name],BASE_SYSTEM_TABLE[System Name (Short)],FALSE)</f>
        <v>0</v>
      </c>
      <c r="F379">
        <f>_xlfn.XLOOKUP(Table4[[#This Row],[Base System]],BASE_SYSTEM_TABLE[System Name],BASE_SYSTEM_TABLE[System Type],FALSE)</f>
        <v>0</v>
      </c>
      <c r="G379">
        <f>_xlfn.XLOOKUP(Table4[[#This Row],[Base System]],BASE_SYSTEM_TABLE[System Name],BASE_SYSTEM_TABLE[System Subtype],FALSE)</f>
        <v>0</v>
      </c>
      <c r="H379">
        <f>_xlfn.XLOOKUP(Table4[[#This Row],[Base System]],BASE_SYSTEM_TABLE[System Name],BASE_SYSTEM_TABLE[Construction Type (Framed or Planar)],FALSE)</f>
        <v>0</v>
      </c>
      <c r="I379" t="e">
        <f>GETPIVOTDATA("Sum of A1-A3 Fossil kg CO2e/m^2 wall area",'COMPONENT PIVOT REF'!$A$3,"System Name",Table4[[#This Row],[Base System]])</f>
        <v>#REF!</v>
      </c>
      <c r="J379" t="e">
        <f>GETPIVOTDATA("Sum of  R value (m^2-K/W)",'COMPONENT PIVOT REF'!$A$3,"System Name",Table4[[#This Row],[Base System]])</f>
        <v>#REF!</v>
      </c>
      <c r="K379" t="e">
        <f>GETPIVOTDATA("Sum of Total Mass per m^2 (kg)",'COMPONENT PIVOT REF'!$A$3,"System Name",Table4[[#This Row],[Base System]])</f>
        <v>#REF!</v>
      </c>
      <c r="M379">
        <f>_xlfn.XLOOKUP(Table4[[#This Row],[Ext Finish]],Master_Table4[System Name],Master_Table4[System Name (Short)],FALSE)</f>
        <v>0</v>
      </c>
      <c r="N379">
        <f>_xlfn.XLOOKUP(Table4[[#This Row],[Ext Finish]],Master_Table4[System Name],Master_Table4[Compatible Systems],FALSE)</f>
        <v>0</v>
      </c>
      <c r="O379" t="str">
        <f>IF(ISNUMBER(SEARCH(Table4[[#This Row],[MMC Method]],Table4[[#This Row],[Compatible Systems]])),"YES","NO")</f>
        <v>YES</v>
      </c>
      <c r="P379" t="e">
        <f>GETPIVOTDATA("Sum of A1-A3 Fossil kg CO2e/m^2 wall area",'COMPONENT PIVOT REF'!$I$3,"System Name",Table4[[#This Row],[Ext Finish]])</f>
        <v>#REF!</v>
      </c>
      <c r="Q379" t="e">
        <f>GETPIVOTDATA("Sum of  R value (m^2-K/W)",'COMPONENT PIVOT REF'!$I$3,"System Name",Table4[[#This Row],[Ext Finish]])</f>
        <v>#REF!</v>
      </c>
      <c r="R379" t="e">
        <f>GETPIVOTDATA("Sum of Total Mass per m^2 (kg)",'COMPONENT PIVOT REF'!$I$3,"System Name",Table4[[#This Row],[Ext Finish]])</f>
        <v>#REF!</v>
      </c>
      <c r="T379">
        <f>_xlfn.XLOOKUP(Table4[[#This Row],[Int Finish]],Master_Table6[System Name],Master_Table6[System Name (Short)],FALSE)</f>
        <v>0</v>
      </c>
      <c r="U379" t="e">
        <f>GETPIVOTDATA("Sum of A1-A3 Fossil kg CO2e/m^2 wall area",'COMPONENT PIVOT REF'!$P$3,"System Name",Table4[[#This Row],[Int Finish]])</f>
        <v>#REF!</v>
      </c>
      <c r="V379" t="e">
        <f>GETPIVOTDATA("Sum of  R value (m^2-K/W)",'COMPONENT PIVOT REF'!$P$3,"System Name",Table4[[#This Row],[Int Finish]])</f>
        <v>#REF!</v>
      </c>
      <c r="W379" t="e">
        <f>GETPIVOTDATA("Sum of Total Mass per m^2 (kg)",'COMPONENT PIVOT REF'!$P$3,"System Name",Table4[[#This Row],[Int Finish]])</f>
        <v>#REF!</v>
      </c>
      <c r="X379" t="e">
        <f>Table4[[#This Row],[Ext Finish GWP]]+Table4[[#This Row],[Base GWP]]+Table4[[#This Row],[Int Finish GWP]]</f>
        <v>#REF!</v>
      </c>
      <c r="Y379" t="e">
        <f>Table4[[#This Row],[Ext Finish R Value]]+Table4[[#This Row],[Base R Value]]+Table4[[#This Row],[Int Finish R Value]]</f>
        <v>#REF!</v>
      </c>
      <c r="Z379" t="e">
        <f>1/Table4[[#This Row],[Total R value]]</f>
        <v>#REF!</v>
      </c>
      <c r="AA379" t="e">
        <f>Table4[[#This Row],[Int Finish Mass]]+Table4[[#This Row],[Ext Finish Mass]]+Table4[[#This Row],[Base Mass]]</f>
        <v>#REF!</v>
      </c>
    </row>
    <row r="380" spans="3:27" x14ac:dyDescent="0.35">
      <c r="C380" t="str">
        <f>_xlfn.CONCAT(Table4[[#This Row],[System Name (Short)]],"_",Table4[[#This Row],[Ext Finish Name (Short)]],"_",Table4[[#This Row],[Int Finish Name (Short)]])</f>
        <v>0_0_0</v>
      </c>
      <c r="E380">
        <f>_xlfn.XLOOKUP(Table4[[#This Row],[Base System]],BASE_SYSTEM_TABLE[System Name],BASE_SYSTEM_TABLE[System Name (Short)],FALSE)</f>
        <v>0</v>
      </c>
      <c r="F380">
        <f>_xlfn.XLOOKUP(Table4[[#This Row],[Base System]],BASE_SYSTEM_TABLE[System Name],BASE_SYSTEM_TABLE[System Type],FALSE)</f>
        <v>0</v>
      </c>
      <c r="G380">
        <f>_xlfn.XLOOKUP(Table4[[#This Row],[Base System]],BASE_SYSTEM_TABLE[System Name],BASE_SYSTEM_TABLE[System Subtype],FALSE)</f>
        <v>0</v>
      </c>
      <c r="H380">
        <f>_xlfn.XLOOKUP(Table4[[#This Row],[Base System]],BASE_SYSTEM_TABLE[System Name],BASE_SYSTEM_TABLE[Construction Type (Framed or Planar)],FALSE)</f>
        <v>0</v>
      </c>
      <c r="I380" t="e">
        <f>GETPIVOTDATA("Sum of A1-A3 Fossil kg CO2e/m^2 wall area",'COMPONENT PIVOT REF'!$A$3,"System Name",Table4[[#This Row],[Base System]])</f>
        <v>#REF!</v>
      </c>
      <c r="J380" t="e">
        <f>GETPIVOTDATA("Sum of  R value (m^2-K/W)",'COMPONENT PIVOT REF'!$A$3,"System Name",Table4[[#This Row],[Base System]])</f>
        <v>#REF!</v>
      </c>
      <c r="K380" t="e">
        <f>GETPIVOTDATA("Sum of Total Mass per m^2 (kg)",'COMPONENT PIVOT REF'!$A$3,"System Name",Table4[[#This Row],[Base System]])</f>
        <v>#REF!</v>
      </c>
      <c r="M380">
        <f>_xlfn.XLOOKUP(Table4[[#This Row],[Ext Finish]],Master_Table4[System Name],Master_Table4[System Name (Short)],FALSE)</f>
        <v>0</v>
      </c>
      <c r="N380">
        <f>_xlfn.XLOOKUP(Table4[[#This Row],[Ext Finish]],Master_Table4[System Name],Master_Table4[Compatible Systems],FALSE)</f>
        <v>0</v>
      </c>
      <c r="O380" t="str">
        <f>IF(ISNUMBER(SEARCH(Table4[[#This Row],[MMC Method]],Table4[[#This Row],[Compatible Systems]])),"YES","NO")</f>
        <v>YES</v>
      </c>
      <c r="P380" t="e">
        <f>GETPIVOTDATA("Sum of A1-A3 Fossil kg CO2e/m^2 wall area",'COMPONENT PIVOT REF'!$I$3,"System Name",Table4[[#This Row],[Ext Finish]])</f>
        <v>#REF!</v>
      </c>
      <c r="Q380" t="e">
        <f>GETPIVOTDATA("Sum of  R value (m^2-K/W)",'COMPONENT PIVOT REF'!$I$3,"System Name",Table4[[#This Row],[Ext Finish]])</f>
        <v>#REF!</v>
      </c>
      <c r="R380" t="e">
        <f>GETPIVOTDATA("Sum of Total Mass per m^2 (kg)",'COMPONENT PIVOT REF'!$I$3,"System Name",Table4[[#This Row],[Ext Finish]])</f>
        <v>#REF!</v>
      </c>
      <c r="T380">
        <f>_xlfn.XLOOKUP(Table4[[#This Row],[Int Finish]],Master_Table6[System Name],Master_Table6[System Name (Short)],FALSE)</f>
        <v>0</v>
      </c>
      <c r="U380" t="e">
        <f>GETPIVOTDATA("Sum of A1-A3 Fossil kg CO2e/m^2 wall area",'COMPONENT PIVOT REF'!$P$3,"System Name",Table4[[#This Row],[Int Finish]])</f>
        <v>#REF!</v>
      </c>
      <c r="V380" t="e">
        <f>GETPIVOTDATA("Sum of  R value (m^2-K/W)",'COMPONENT PIVOT REF'!$P$3,"System Name",Table4[[#This Row],[Int Finish]])</f>
        <v>#REF!</v>
      </c>
      <c r="W380" t="e">
        <f>GETPIVOTDATA("Sum of Total Mass per m^2 (kg)",'COMPONENT PIVOT REF'!$P$3,"System Name",Table4[[#This Row],[Int Finish]])</f>
        <v>#REF!</v>
      </c>
      <c r="X380" t="e">
        <f>Table4[[#This Row],[Ext Finish GWP]]+Table4[[#This Row],[Base GWP]]+Table4[[#This Row],[Int Finish GWP]]</f>
        <v>#REF!</v>
      </c>
      <c r="Y380" t="e">
        <f>Table4[[#This Row],[Ext Finish R Value]]+Table4[[#This Row],[Base R Value]]+Table4[[#This Row],[Int Finish R Value]]</f>
        <v>#REF!</v>
      </c>
      <c r="Z380" t="e">
        <f>1/Table4[[#This Row],[Total R value]]</f>
        <v>#REF!</v>
      </c>
      <c r="AA380" t="e">
        <f>Table4[[#This Row],[Int Finish Mass]]+Table4[[#This Row],[Ext Finish Mass]]+Table4[[#This Row],[Base Mass]]</f>
        <v>#REF!</v>
      </c>
    </row>
    <row r="381" spans="3:27" x14ac:dyDescent="0.35">
      <c r="C381" t="str">
        <f>_xlfn.CONCAT(Table4[[#This Row],[System Name (Short)]],"_",Table4[[#This Row],[Ext Finish Name (Short)]],"_",Table4[[#This Row],[Int Finish Name (Short)]])</f>
        <v>0_0_0</v>
      </c>
      <c r="E381">
        <f>_xlfn.XLOOKUP(Table4[[#This Row],[Base System]],BASE_SYSTEM_TABLE[System Name],BASE_SYSTEM_TABLE[System Name (Short)],FALSE)</f>
        <v>0</v>
      </c>
      <c r="F381">
        <f>_xlfn.XLOOKUP(Table4[[#This Row],[Base System]],BASE_SYSTEM_TABLE[System Name],BASE_SYSTEM_TABLE[System Type],FALSE)</f>
        <v>0</v>
      </c>
      <c r="G381">
        <f>_xlfn.XLOOKUP(Table4[[#This Row],[Base System]],BASE_SYSTEM_TABLE[System Name],BASE_SYSTEM_TABLE[System Subtype],FALSE)</f>
        <v>0</v>
      </c>
      <c r="H381">
        <f>_xlfn.XLOOKUP(Table4[[#This Row],[Base System]],BASE_SYSTEM_TABLE[System Name],BASE_SYSTEM_TABLE[Construction Type (Framed or Planar)],FALSE)</f>
        <v>0</v>
      </c>
      <c r="I381" t="e">
        <f>GETPIVOTDATA("Sum of A1-A3 Fossil kg CO2e/m^2 wall area",'COMPONENT PIVOT REF'!$A$3,"System Name",Table4[[#This Row],[Base System]])</f>
        <v>#REF!</v>
      </c>
      <c r="J381" t="e">
        <f>GETPIVOTDATA("Sum of  R value (m^2-K/W)",'COMPONENT PIVOT REF'!$A$3,"System Name",Table4[[#This Row],[Base System]])</f>
        <v>#REF!</v>
      </c>
      <c r="K381" t="e">
        <f>GETPIVOTDATA("Sum of Total Mass per m^2 (kg)",'COMPONENT PIVOT REF'!$A$3,"System Name",Table4[[#This Row],[Base System]])</f>
        <v>#REF!</v>
      </c>
      <c r="M381">
        <f>_xlfn.XLOOKUP(Table4[[#This Row],[Ext Finish]],Master_Table4[System Name],Master_Table4[System Name (Short)],FALSE)</f>
        <v>0</v>
      </c>
      <c r="N381">
        <f>_xlfn.XLOOKUP(Table4[[#This Row],[Ext Finish]],Master_Table4[System Name],Master_Table4[Compatible Systems],FALSE)</f>
        <v>0</v>
      </c>
      <c r="O381" t="str">
        <f>IF(ISNUMBER(SEARCH(Table4[[#This Row],[MMC Method]],Table4[[#This Row],[Compatible Systems]])),"YES","NO")</f>
        <v>YES</v>
      </c>
      <c r="P381" t="e">
        <f>GETPIVOTDATA("Sum of A1-A3 Fossil kg CO2e/m^2 wall area",'COMPONENT PIVOT REF'!$I$3,"System Name",Table4[[#This Row],[Ext Finish]])</f>
        <v>#REF!</v>
      </c>
      <c r="Q381" t="e">
        <f>GETPIVOTDATA("Sum of  R value (m^2-K/W)",'COMPONENT PIVOT REF'!$I$3,"System Name",Table4[[#This Row],[Ext Finish]])</f>
        <v>#REF!</v>
      </c>
      <c r="R381" t="e">
        <f>GETPIVOTDATA("Sum of Total Mass per m^2 (kg)",'COMPONENT PIVOT REF'!$I$3,"System Name",Table4[[#This Row],[Ext Finish]])</f>
        <v>#REF!</v>
      </c>
      <c r="T381">
        <f>_xlfn.XLOOKUP(Table4[[#This Row],[Int Finish]],Master_Table6[System Name],Master_Table6[System Name (Short)],FALSE)</f>
        <v>0</v>
      </c>
      <c r="U381" t="e">
        <f>GETPIVOTDATA("Sum of A1-A3 Fossil kg CO2e/m^2 wall area",'COMPONENT PIVOT REF'!$P$3,"System Name",Table4[[#This Row],[Int Finish]])</f>
        <v>#REF!</v>
      </c>
      <c r="V381" t="e">
        <f>GETPIVOTDATA("Sum of  R value (m^2-K/W)",'COMPONENT PIVOT REF'!$P$3,"System Name",Table4[[#This Row],[Int Finish]])</f>
        <v>#REF!</v>
      </c>
      <c r="W381" t="e">
        <f>GETPIVOTDATA("Sum of Total Mass per m^2 (kg)",'COMPONENT PIVOT REF'!$P$3,"System Name",Table4[[#This Row],[Int Finish]])</f>
        <v>#REF!</v>
      </c>
      <c r="X381" t="e">
        <f>Table4[[#This Row],[Ext Finish GWP]]+Table4[[#This Row],[Base GWP]]+Table4[[#This Row],[Int Finish GWP]]</f>
        <v>#REF!</v>
      </c>
      <c r="Y381" t="e">
        <f>Table4[[#This Row],[Ext Finish R Value]]+Table4[[#This Row],[Base R Value]]+Table4[[#This Row],[Int Finish R Value]]</f>
        <v>#REF!</v>
      </c>
      <c r="Z381" t="e">
        <f>1/Table4[[#This Row],[Total R value]]</f>
        <v>#REF!</v>
      </c>
      <c r="AA381" t="e">
        <f>Table4[[#This Row],[Int Finish Mass]]+Table4[[#This Row],[Ext Finish Mass]]+Table4[[#This Row],[Base Mass]]</f>
        <v>#REF!</v>
      </c>
    </row>
    <row r="382" spans="3:27" x14ac:dyDescent="0.35">
      <c r="C382" t="str">
        <f>_xlfn.CONCAT(Table4[[#This Row],[System Name (Short)]],"_",Table4[[#This Row],[Ext Finish Name (Short)]],"_",Table4[[#This Row],[Int Finish Name (Short)]])</f>
        <v>0_0_0</v>
      </c>
      <c r="E382">
        <f>_xlfn.XLOOKUP(Table4[[#This Row],[Base System]],BASE_SYSTEM_TABLE[System Name],BASE_SYSTEM_TABLE[System Name (Short)],FALSE)</f>
        <v>0</v>
      </c>
      <c r="F382">
        <f>_xlfn.XLOOKUP(Table4[[#This Row],[Base System]],BASE_SYSTEM_TABLE[System Name],BASE_SYSTEM_TABLE[System Type],FALSE)</f>
        <v>0</v>
      </c>
      <c r="G382">
        <f>_xlfn.XLOOKUP(Table4[[#This Row],[Base System]],BASE_SYSTEM_TABLE[System Name],BASE_SYSTEM_TABLE[System Subtype],FALSE)</f>
        <v>0</v>
      </c>
      <c r="H382">
        <f>_xlfn.XLOOKUP(Table4[[#This Row],[Base System]],BASE_SYSTEM_TABLE[System Name],BASE_SYSTEM_TABLE[Construction Type (Framed or Planar)],FALSE)</f>
        <v>0</v>
      </c>
      <c r="I382" t="e">
        <f>GETPIVOTDATA("Sum of A1-A3 Fossil kg CO2e/m^2 wall area",'COMPONENT PIVOT REF'!$A$3,"System Name",Table4[[#This Row],[Base System]])</f>
        <v>#REF!</v>
      </c>
      <c r="J382" t="e">
        <f>GETPIVOTDATA("Sum of  R value (m^2-K/W)",'COMPONENT PIVOT REF'!$A$3,"System Name",Table4[[#This Row],[Base System]])</f>
        <v>#REF!</v>
      </c>
      <c r="K382" t="e">
        <f>GETPIVOTDATA("Sum of Total Mass per m^2 (kg)",'COMPONENT PIVOT REF'!$A$3,"System Name",Table4[[#This Row],[Base System]])</f>
        <v>#REF!</v>
      </c>
      <c r="M382">
        <f>_xlfn.XLOOKUP(Table4[[#This Row],[Ext Finish]],Master_Table4[System Name],Master_Table4[System Name (Short)],FALSE)</f>
        <v>0</v>
      </c>
      <c r="N382">
        <f>_xlfn.XLOOKUP(Table4[[#This Row],[Ext Finish]],Master_Table4[System Name],Master_Table4[Compatible Systems],FALSE)</f>
        <v>0</v>
      </c>
      <c r="O382" t="str">
        <f>IF(ISNUMBER(SEARCH(Table4[[#This Row],[MMC Method]],Table4[[#This Row],[Compatible Systems]])),"YES","NO")</f>
        <v>YES</v>
      </c>
      <c r="P382" t="e">
        <f>GETPIVOTDATA("Sum of A1-A3 Fossil kg CO2e/m^2 wall area",'COMPONENT PIVOT REF'!$I$3,"System Name",Table4[[#This Row],[Ext Finish]])</f>
        <v>#REF!</v>
      </c>
      <c r="Q382" t="e">
        <f>GETPIVOTDATA("Sum of  R value (m^2-K/W)",'COMPONENT PIVOT REF'!$I$3,"System Name",Table4[[#This Row],[Ext Finish]])</f>
        <v>#REF!</v>
      </c>
      <c r="R382" t="e">
        <f>GETPIVOTDATA("Sum of Total Mass per m^2 (kg)",'COMPONENT PIVOT REF'!$I$3,"System Name",Table4[[#This Row],[Ext Finish]])</f>
        <v>#REF!</v>
      </c>
      <c r="T382">
        <f>_xlfn.XLOOKUP(Table4[[#This Row],[Int Finish]],Master_Table6[System Name],Master_Table6[System Name (Short)],FALSE)</f>
        <v>0</v>
      </c>
      <c r="U382" t="e">
        <f>GETPIVOTDATA("Sum of A1-A3 Fossil kg CO2e/m^2 wall area",'COMPONENT PIVOT REF'!$P$3,"System Name",Table4[[#This Row],[Int Finish]])</f>
        <v>#REF!</v>
      </c>
      <c r="V382" t="e">
        <f>GETPIVOTDATA("Sum of  R value (m^2-K/W)",'COMPONENT PIVOT REF'!$P$3,"System Name",Table4[[#This Row],[Int Finish]])</f>
        <v>#REF!</v>
      </c>
      <c r="W382" t="e">
        <f>GETPIVOTDATA("Sum of Total Mass per m^2 (kg)",'COMPONENT PIVOT REF'!$P$3,"System Name",Table4[[#This Row],[Int Finish]])</f>
        <v>#REF!</v>
      </c>
      <c r="X382" t="e">
        <f>Table4[[#This Row],[Ext Finish GWP]]+Table4[[#This Row],[Base GWP]]+Table4[[#This Row],[Int Finish GWP]]</f>
        <v>#REF!</v>
      </c>
      <c r="Y382" t="e">
        <f>Table4[[#This Row],[Ext Finish R Value]]+Table4[[#This Row],[Base R Value]]+Table4[[#This Row],[Int Finish R Value]]</f>
        <v>#REF!</v>
      </c>
      <c r="Z382" t="e">
        <f>1/Table4[[#This Row],[Total R value]]</f>
        <v>#REF!</v>
      </c>
      <c r="AA382" t="e">
        <f>Table4[[#This Row],[Int Finish Mass]]+Table4[[#This Row],[Ext Finish Mass]]+Table4[[#This Row],[Base Mass]]</f>
        <v>#REF!</v>
      </c>
    </row>
    <row r="383" spans="3:27" x14ac:dyDescent="0.35">
      <c r="C383" t="str">
        <f>_xlfn.CONCAT(Table4[[#This Row],[System Name (Short)]],"_",Table4[[#This Row],[Ext Finish Name (Short)]],"_",Table4[[#This Row],[Int Finish Name (Short)]])</f>
        <v>0_0_0</v>
      </c>
      <c r="E383">
        <f>_xlfn.XLOOKUP(Table4[[#This Row],[Base System]],BASE_SYSTEM_TABLE[System Name],BASE_SYSTEM_TABLE[System Name (Short)],FALSE)</f>
        <v>0</v>
      </c>
      <c r="F383">
        <f>_xlfn.XLOOKUP(Table4[[#This Row],[Base System]],BASE_SYSTEM_TABLE[System Name],BASE_SYSTEM_TABLE[System Type],FALSE)</f>
        <v>0</v>
      </c>
      <c r="G383">
        <f>_xlfn.XLOOKUP(Table4[[#This Row],[Base System]],BASE_SYSTEM_TABLE[System Name],BASE_SYSTEM_TABLE[System Subtype],FALSE)</f>
        <v>0</v>
      </c>
      <c r="H383">
        <f>_xlfn.XLOOKUP(Table4[[#This Row],[Base System]],BASE_SYSTEM_TABLE[System Name],BASE_SYSTEM_TABLE[Construction Type (Framed or Planar)],FALSE)</f>
        <v>0</v>
      </c>
      <c r="I383" t="e">
        <f>GETPIVOTDATA("Sum of A1-A3 Fossil kg CO2e/m^2 wall area",'COMPONENT PIVOT REF'!$A$3,"System Name",Table4[[#This Row],[Base System]])</f>
        <v>#REF!</v>
      </c>
      <c r="J383" t="e">
        <f>GETPIVOTDATA("Sum of  R value (m^2-K/W)",'COMPONENT PIVOT REF'!$A$3,"System Name",Table4[[#This Row],[Base System]])</f>
        <v>#REF!</v>
      </c>
      <c r="K383" t="e">
        <f>GETPIVOTDATA("Sum of Total Mass per m^2 (kg)",'COMPONENT PIVOT REF'!$A$3,"System Name",Table4[[#This Row],[Base System]])</f>
        <v>#REF!</v>
      </c>
      <c r="M383">
        <f>_xlfn.XLOOKUP(Table4[[#This Row],[Ext Finish]],Master_Table4[System Name],Master_Table4[System Name (Short)],FALSE)</f>
        <v>0</v>
      </c>
      <c r="N383">
        <f>_xlfn.XLOOKUP(Table4[[#This Row],[Ext Finish]],Master_Table4[System Name],Master_Table4[Compatible Systems],FALSE)</f>
        <v>0</v>
      </c>
      <c r="O383" t="str">
        <f>IF(ISNUMBER(SEARCH(Table4[[#This Row],[MMC Method]],Table4[[#This Row],[Compatible Systems]])),"YES","NO")</f>
        <v>YES</v>
      </c>
      <c r="P383" t="e">
        <f>GETPIVOTDATA("Sum of A1-A3 Fossil kg CO2e/m^2 wall area",'COMPONENT PIVOT REF'!$I$3,"System Name",Table4[[#This Row],[Ext Finish]])</f>
        <v>#REF!</v>
      </c>
      <c r="Q383" t="e">
        <f>GETPIVOTDATA("Sum of  R value (m^2-K/W)",'COMPONENT PIVOT REF'!$I$3,"System Name",Table4[[#This Row],[Ext Finish]])</f>
        <v>#REF!</v>
      </c>
      <c r="R383" t="e">
        <f>GETPIVOTDATA("Sum of Total Mass per m^2 (kg)",'COMPONENT PIVOT REF'!$I$3,"System Name",Table4[[#This Row],[Ext Finish]])</f>
        <v>#REF!</v>
      </c>
      <c r="T383">
        <f>_xlfn.XLOOKUP(Table4[[#This Row],[Int Finish]],Master_Table6[System Name],Master_Table6[System Name (Short)],FALSE)</f>
        <v>0</v>
      </c>
      <c r="U383" t="e">
        <f>GETPIVOTDATA("Sum of A1-A3 Fossil kg CO2e/m^2 wall area",'COMPONENT PIVOT REF'!$P$3,"System Name",Table4[[#This Row],[Int Finish]])</f>
        <v>#REF!</v>
      </c>
      <c r="V383" t="e">
        <f>GETPIVOTDATA("Sum of  R value (m^2-K/W)",'COMPONENT PIVOT REF'!$P$3,"System Name",Table4[[#This Row],[Int Finish]])</f>
        <v>#REF!</v>
      </c>
      <c r="W383" t="e">
        <f>GETPIVOTDATA("Sum of Total Mass per m^2 (kg)",'COMPONENT PIVOT REF'!$P$3,"System Name",Table4[[#This Row],[Int Finish]])</f>
        <v>#REF!</v>
      </c>
      <c r="X383" t="e">
        <f>Table4[[#This Row],[Ext Finish GWP]]+Table4[[#This Row],[Base GWP]]+Table4[[#This Row],[Int Finish GWP]]</f>
        <v>#REF!</v>
      </c>
      <c r="Y383" t="e">
        <f>Table4[[#This Row],[Ext Finish R Value]]+Table4[[#This Row],[Base R Value]]+Table4[[#This Row],[Int Finish R Value]]</f>
        <v>#REF!</v>
      </c>
      <c r="Z383" t="e">
        <f>1/Table4[[#This Row],[Total R value]]</f>
        <v>#REF!</v>
      </c>
      <c r="AA383" t="e">
        <f>Table4[[#This Row],[Int Finish Mass]]+Table4[[#This Row],[Ext Finish Mass]]+Table4[[#This Row],[Base Mass]]</f>
        <v>#REF!</v>
      </c>
    </row>
    <row r="384" spans="3:27" x14ac:dyDescent="0.35">
      <c r="C384" t="str">
        <f>_xlfn.CONCAT(Table4[[#This Row],[System Name (Short)]],"_",Table4[[#This Row],[Ext Finish Name (Short)]],"_",Table4[[#This Row],[Int Finish Name (Short)]])</f>
        <v>0_0_0</v>
      </c>
      <c r="E384">
        <f>_xlfn.XLOOKUP(Table4[[#This Row],[Base System]],BASE_SYSTEM_TABLE[System Name],BASE_SYSTEM_TABLE[System Name (Short)],FALSE)</f>
        <v>0</v>
      </c>
      <c r="F384">
        <f>_xlfn.XLOOKUP(Table4[[#This Row],[Base System]],BASE_SYSTEM_TABLE[System Name],BASE_SYSTEM_TABLE[System Type],FALSE)</f>
        <v>0</v>
      </c>
      <c r="G384">
        <f>_xlfn.XLOOKUP(Table4[[#This Row],[Base System]],BASE_SYSTEM_TABLE[System Name],BASE_SYSTEM_TABLE[System Subtype],FALSE)</f>
        <v>0</v>
      </c>
      <c r="H384">
        <f>_xlfn.XLOOKUP(Table4[[#This Row],[Base System]],BASE_SYSTEM_TABLE[System Name],BASE_SYSTEM_TABLE[Construction Type (Framed or Planar)],FALSE)</f>
        <v>0</v>
      </c>
      <c r="I384" t="e">
        <f>GETPIVOTDATA("Sum of A1-A3 Fossil kg CO2e/m^2 wall area",'COMPONENT PIVOT REF'!$A$3,"System Name",Table4[[#This Row],[Base System]])</f>
        <v>#REF!</v>
      </c>
      <c r="J384" t="e">
        <f>GETPIVOTDATA("Sum of  R value (m^2-K/W)",'COMPONENT PIVOT REF'!$A$3,"System Name",Table4[[#This Row],[Base System]])</f>
        <v>#REF!</v>
      </c>
      <c r="K384" t="e">
        <f>GETPIVOTDATA("Sum of Total Mass per m^2 (kg)",'COMPONENT PIVOT REF'!$A$3,"System Name",Table4[[#This Row],[Base System]])</f>
        <v>#REF!</v>
      </c>
      <c r="M384">
        <f>_xlfn.XLOOKUP(Table4[[#This Row],[Ext Finish]],Master_Table4[System Name],Master_Table4[System Name (Short)],FALSE)</f>
        <v>0</v>
      </c>
      <c r="N384">
        <f>_xlfn.XLOOKUP(Table4[[#This Row],[Ext Finish]],Master_Table4[System Name],Master_Table4[Compatible Systems],FALSE)</f>
        <v>0</v>
      </c>
      <c r="O384" t="str">
        <f>IF(ISNUMBER(SEARCH(Table4[[#This Row],[MMC Method]],Table4[[#This Row],[Compatible Systems]])),"YES","NO")</f>
        <v>YES</v>
      </c>
      <c r="P384" t="e">
        <f>GETPIVOTDATA("Sum of A1-A3 Fossil kg CO2e/m^2 wall area",'COMPONENT PIVOT REF'!$I$3,"System Name",Table4[[#This Row],[Ext Finish]])</f>
        <v>#REF!</v>
      </c>
      <c r="Q384" t="e">
        <f>GETPIVOTDATA("Sum of  R value (m^2-K/W)",'COMPONENT PIVOT REF'!$I$3,"System Name",Table4[[#This Row],[Ext Finish]])</f>
        <v>#REF!</v>
      </c>
      <c r="R384" t="e">
        <f>GETPIVOTDATA("Sum of Total Mass per m^2 (kg)",'COMPONENT PIVOT REF'!$I$3,"System Name",Table4[[#This Row],[Ext Finish]])</f>
        <v>#REF!</v>
      </c>
      <c r="T384">
        <f>_xlfn.XLOOKUP(Table4[[#This Row],[Int Finish]],Master_Table6[System Name],Master_Table6[System Name (Short)],FALSE)</f>
        <v>0</v>
      </c>
      <c r="U384" t="e">
        <f>GETPIVOTDATA("Sum of A1-A3 Fossil kg CO2e/m^2 wall area",'COMPONENT PIVOT REF'!$P$3,"System Name",Table4[[#This Row],[Int Finish]])</f>
        <v>#REF!</v>
      </c>
      <c r="V384" t="e">
        <f>GETPIVOTDATA("Sum of  R value (m^2-K/W)",'COMPONENT PIVOT REF'!$P$3,"System Name",Table4[[#This Row],[Int Finish]])</f>
        <v>#REF!</v>
      </c>
      <c r="W384" t="e">
        <f>GETPIVOTDATA("Sum of Total Mass per m^2 (kg)",'COMPONENT PIVOT REF'!$P$3,"System Name",Table4[[#This Row],[Int Finish]])</f>
        <v>#REF!</v>
      </c>
      <c r="X384" t="e">
        <f>Table4[[#This Row],[Ext Finish GWP]]+Table4[[#This Row],[Base GWP]]+Table4[[#This Row],[Int Finish GWP]]</f>
        <v>#REF!</v>
      </c>
      <c r="Y384" t="e">
        <f>Table4[[#This Row],[Ext Finish R Value]]+Table4[[#This Row],[Base R Value]]+Table4[[#This Row],[Int Finish R Value]]</f>
        <v>#REF!</v>
      </c>
      <c r="Z384" t="e">
        <f>1/Table4[[#This Row],[Total R value]]</f>
        <v>#REF!</v>
      </c>
      <c r="AA384" t="e">
        <f>Table4[[#This Row],[Int Finish Mass]]+Table4[[#This Row],[Ext Finish Mass]]+Table4[[#This Row],[Base Mass]]</f>
        <v>#REF!</v>
      </c>
    </row>
    <row r="385" spans="3:27" x14ac:dyDescent="0.35">
      <c r="C385" t="str">
        <f>_xlfn.CONCAT(Table4[[#This Row],[System Name (Short)]],"_",Table4[[#This Row],[Ext Finish Name (Short)]],"_",Table4[[#This Row],[Int Finish Name (Short)]])</f>
        <v>0_0_0</v>
      </c>
      <c r="E385">
        <f>_xlfn.XLOOKUP(Table4[[#This Row],[Base System]],BASE_SYSTEM_TABLE[System Name],BASE_SYSTEM_TABLE[System Name (Short)],FALSE)</f>
        <v>0</v>
      </c>
      <c r="F385">
        <f>_xlfn.XLOOKUP(Table4[[#This Row],[Base System]],BASE_SYSTEM_TABLE[System Name],BASE_SYSTEM_TABLE[System Type],FALSE)</f>
        <v>0</v>
      </c>
      <c r="G385">
        <f>_xlfn.XLOOKUP(Table4[[#This Row],[Base System]],BASE_SYSTEM_TABLE[System Name],BASE_SYSTEM_TABLE[System Subtype],FALSE)</f>
        <v>0</v>
      </c>
      <c r="H385">
        <f>_xlfn.XLOOKUP(Table4[[#This Row],[Base System]],BASE_SYSTEM_TABLE[System Name],BASE_SYSTEM_TABLE[Construction Type (Framed or Planar)],FALSE)</f>
        <v>0</v>
      </c>
      <c r="I385" t="e">
        <f>GETPIVOTDATA("Sum of A1-A3 Fossil kg CO2e/m^2 wall area",'COMPONENT PIVOT REF'!$A$3,"System Name",Table4[[#This Row],[Base System]])</f>
        <v>#REF!</v>
      </c>
      <c r="J385" t="e">
        <f>GETPIVOTDATA("Sum of  R value (m^2-K/W)",'COMPONENT PIVOT REF'!$A$3,"System Name",Table4[[#This Row],[Base System]])</f>
        <v>#REF!</v>
      </c>
      <c r="K385" t="e">
        <f>GETPIVOTDATA("Sum of Total Mass per m^2 (kg)",'COMPONENT PIVOT REF'!$A$3,"System Name",Table4[[#This Row],[Base System]])</f>
        <v>#REF!</v>
      </c>
      <c r="M385">
        <f>_xlfn.XLOOKUP(Table4[[#This Row],[Ext Finish]],Master_Table4[System Name],Master_Table4[System Name (Short)],FALSE)</f>
        <v>0</v>
      </c>
      <c r="N385">
        <f>_xlfn.XLOOKUP(Table4[[#This Row],[Ext Finish]],Master_Table4[System Name],Master_Table4[Compatible Systems],FALSE)</f>
        <v>0</v>
      </c>
      <c r="O385" t="str">
        <f>IF(ISNUMBER(SEARCH(Table4[[#This Row],[MMC Method]],Table4[[#This Row],[Compatible Systems]])),"YES","NO")</f>
        <v>YES</v>
      </c>
      <c r="P385" t="e">
        <f>GETPIVOTDATA("Sum of A1-A3 Fossil kg CO2e/m^2 wall area",'COMPONENT PIVOT REF'!$I$3,"System Name",Table4[[#This Row],[Ext Finish]])</f>
        <v>#REF!</v>
      </c>
      <c r="Q385" t="e">
        <f>GETPIVOTDATA("Sum of  R value (m^2-K/W)",'COMPONENT PIVOT REF'!$I$3,"System Name",Table4[[#This Row],[Ext Finish]])</f>
        <v>#REF!</v>
      </c>
      <c r="R385" t="e">
        <f>GETPIVOTDATA("Sum of Total Mass per m^2 (kg)",'COMPONENT PIVOT REF'!$I$3,"System Name",Table4[[#This Row],[Ext Finish]])</f>
        <v>#REF!</v>
      </c>
      <c r="T385">
        <f>_xlfn.XLOOKUP(Table4[[#This Row],[Int Finish]],Master_Table6[System Name],Master_Table6[System Name (Short)],FALSE)</f>
        <v>0</v>
      </c>
      <c r="U385" t="e">
        <f>GETPIVOTDATA("Sum of A1-A3 Fossil kg CO2e/m^2 wall area",'COMPONENT PIVOT REF'!$P$3,"System Name",Table4[[#This Row],[Int Finish]])</f>
        <v>#REF!</v>
      </c>
      <c r="V385" t="e">
        <f>GETPIVOTDATA("Sum of  R value (m^2-K/W)",'COMPONENT PIVOT REF'!$P$3,"System Name",Table4[[#This Row],[Int Finish]])</f>
        <v>#REF!</v>
      </c>
      <c r="W385" t="e">
        <f>GETPIVOTDATA("Sum of Total Mass per m^2 (kg)",'COMPONENT PIVOT REF'!$P$3,"System Name",Table4[[#This Row],[Int Finish]])</f>
        <v>#REF!</v>
      </c>
      <c r="X385" t="e">
        <f>Table4[[#This Row],[Ext Finish GWP]]+Table4[[#This Row],[Base GWP]]+Table4[[#This Row],[Int Finish GWP]]</f>
        <v>#REF!</v>
      </c>
      <c r="Y385" t="e">
        <f>Table4[[#This Row],[Ext Finish R Value]]+Table4[[#This Row],[Base R Value]]+Table4[[#This Row],[Int Finish R Value]]</f>
        <v>#REF!</v>
      </c>
      <c r="Z385" t="e">
        <f>1/Table4[[#This Row],[Total R value]]</f>
        <v>#REF!</v>
      </c>
      <c r="AA385" t="e">
        <f>Table4[[#This Row],[Int Finish Mass]]+Table4[[#This Row],[Ext Finish Mass]]+Table4[[#This Row],[Base Mass]]</f>
        <v>#REF!</v>
      </c>
    </row>
    <row r="386" spans="3:27" x14ac:dyDescent="0.35">
      <c r="C386" t="str">
        <f>_xlfn.CONCAT(Table4[[#This Row],[System Name (Short)]],"_",Table4[[#This Row],[Ext Finish Name (Short)]],"_",Table4[[#This Row],[Int Finish Name (Short)]])</f>
        <v>0_0_0</v>
      </c>
      <c r="E386">
        <f>_xlfn.XLOOKUP(Table4[[#This Row],[Base System]],BASE_SYSTEM_TABLE[System Name],BASE_SYSTEM_TABLE[System Name (Short)],FALSE)</f>
        <v>0</v>
      </c>
      <c r="F386">
        <f>_xlfn.XLOOKUP(Table4[[#This Row],[Base System]],BASE_SYSTEM_TABLE[System Name],BASE_SYSTEM_TABLE[System Type],FALSE)</f>
        <v>0</v>
      </c>
      <c r="G386">
        <f>_xlfn.XLOOKUP(Table4[[#This Row],[Base System]],BASE_SYSTEM_TABLE[System Name],BASE_SYSTEM_TABLE[System Subtype],FALSE)</f>
        <v>0</v>
      </c>
      <c r="H386">
        <f>_xlfn.XLOOKUP(Table4[[#This Row],[Base System]],BASE_SYSTEM_TABLE[System Name],BASE_SYSTEM_TABLE[Construction Type (Framed or Planar)],FALSE)</f>
        <v>0</v>
      </c>
      <c r="I386" t="e">
        <f>GETPIVOTDATA("Sum of A1-A3 Fossil kg CO2e/m^2 wall area",'COMPONENT PIVOT REF'!$A$3,"System Name",Table4[[#This Row],[Base System]])</f>
        <v>#REF!</v>
      </c>
      <c r="J386" t="e">
        <f>GETPIVOTDATA("Sum of  R value (m^2-K/W)",'COMPONENT PIVOT REF'!$A$3,"System Name",Table4[[#This Row],[Base System]])</f>
        <v>#REF!</v>
      </c>
      <c r="K386" t="e">
        <f>GETPIVOTDATA("Sum of Total Mass per m^2 (kg)",'COMPONENT PIVOT REF'!$A$3,"System Name",Table4[[#This Row],[Base System]])</f>
        <v>#REF!</v>
      </c>
      <c r="M386">
        <f>_xlfn.XLOOKUP(Table4[[#This Row],[Ext Finish]],Master_Table4[System Name],Master_Table4[System Name (Short)],FALSE)</f>
        <v>0</v>
      </c>
      <c r="N386">
        <f>_xlfn.XLOOKUP(Table4[[#This Row],[Ext Finish]],Master_Table4[System Name],Master_Table4[Compatible Systems],FALSE)</f>
        <v>0</v>
      </c>
      <c r="O386" t="str">
        <f>IF(ISNUMBER(SEARCH(Table4[[#This Row],[MMC Method]],Table4[[#This Row],[Compatible Systems]])),"YES","NO")</f>
        <v>YES</v>
      </c>
      <c r="P386" t="e">
        <f>GETPIVOTDATA("Sum of A1-A3 Fossil kg CO2e/m^2 wall area",'COMPONENT PIVOT REF'!$I$3,"System Name",Table4[[#This Row],[Ext Finish]])</f>
        <v>#REF!</v>
      </c>
      <c r="Q386" t="e">
        <f>GETPIVOTDATA("Sum of  R value (m^2-K/W)",'COMPONENT PIVOT REF'!$I$3,"System Name",Table4[[#This Row],[Ext Finish]])</f>
        <v>#REF!</v>
      </c>
      <c r="R386" t="e">
        <f>GETPIVOTDATA("Sum of Total Mass per m^2 (kg)",'COMPONENT PIVOT REF'!$I$3,"System Name",Table4[[#This Row],[Ext Finish]])</f>
        <v>#REF!</v>
      </c>
      <c r="T386">
        <f>_xlfn.XLOOKUP(Table4[[#This Row],[Int Finish]],Master_Table6[System Name],Master_Table6[System Name (Short)],FALSE)</f>
        <v>0</v>
      </c>
      <c r="U386" t="e">
        <f>GETPIVOTDATA("Sum of A1-A3 Fossil kg CO2e/m^2 wall area",'COMPONENT PIVOT REF'!$P$3,"System Name",Table4[[#This Row],[Int Finish]])</f>
        <v>#REF!</v>
      </c>
      <c r="V386" t="e">
        <f>GETPIVOTDATA("Sum of  R value (m^2-K/W)",'COMPONENT PIVOT REF'!$P$3,"System Name",Table4[[#This Row],[Int Finish]])</f>
        <v>#REF!</v>
      </c>
      <c r="W386" t="e">
        <f>GETPIVOTDATA("Sum of Total Mass per m^2 (kg)",'COMPONENT PIVOT REF'!$P$3,"System Name",Table4[[#This Row],[Int Finish]])</f>
        <v>#REF!</v>
      </c>
      <c r="X386" t="e">
        <f>Table4[[#This Row],[Ext Finish GWP]]+Table4[[#This Row],[Base GWP]]+Table4[[#This Row],[Int Finish GWP]]</f>
        <v>#REF!</v>
      </c>
      <c r="Y386" t="e">
        <f>Table4[[#This Row],[Ext Finish R Value]]+Table4[[#This Row],[Base R Value]]+Table4[[#This Row],[Int Finish R Value]]</f>
        <v>#REF!</v>
      </c>
      <c r="Z386" t="e">
        <f>1/Table4[[#This Row],[Total R value]]</f>
        <v>#REF!</v>
      </c>
      <c r="AA386" t="e">
        <f>Table4[[#This Row],[Int Finish Mass]]+Table4[[#This Row],[Ext Finish Mass]]+Table4[[#This Row],[Base Mass]]</f>
        <v>#REF!</v>
      </c>
    </row>
    <row r="387" spans="3:27" x14ac:dyDescent="0.35">
      <c r="C387" t="str">
        <f>_xlfn.CONCAT(Table4[[#This Row],[System Name (Short)]],"_",Table4[[#This Row],[Ext Finish Name (Short)]],"_",Table4[[#This Row],[Int Finish Name (Short)]])</f>
        <v>0_0_0</v>
      </c>
      <c r="E387">
        <f>_xlfn.XLOOKUP(Table4[[#This Row],[Base System]],BASE_SYSTEM_TABLE[System Name],BASE_SYSTEM_TABLE[System Name (Short)],FALSE)</f>
        <v>0</v>
      </c>
      <c r="F387">
        <f>_xlfn.XLOOKUP(Table4[[#This Row],[Base System]],BASE_SYSTEM_TABLE[System Name],BASE_SYSTEM_TABLE[System Type],FALSE)</f>
        <v>0</v>
      </c>
      <c r="G387">
        <f>_xlfn.XLOOKUP(Table4[[#This Row],[Base System]],BASE_SYSTEM_TABLE[System Name],BASE_SYSTEM_TABLE[System Subtype],FALSE)</f>
        <v>0</v>
      </c>
      <c r="H387">
        <f>_xlfn.XLOOKUP(Table4[[#This Row],[Base System]],BASE_SYSTEM_TABLE[System Name],BASE_SYSTEM_TABLE[Construction Type (Framed or Planar)],FALSE)</f>
        <v>0</v>
      </c>
      <c r="I387" t="e">
        <f>GETPIVOTDATA("Sum of A1-A3 Fossil kg CO2e/m^2 wall area",'COMPONENT PIVOT REF'!$A$3,"System Name",Table4[[#This Row],[Base System]])</f>
        <v>#REF!</v>
      </c>
      <c r="J387" t="e">
        <f>GETPIVOTDATA("Sum of  R value (m^2-K/W)",'COMPONENT PIVOT REF'!$A$3,"System Name",Table4[[#This Row],[Base System]])</f>
        <v>#REF!</v>
      </c>
      <c r="K387" t="e">
        <f>GETPIVOTDATA("Sum of Total Mass per m^2 (kg)",'COMPONENT PIVOT REF'!$A$3,"System Name",Table4[[#This Row],[Base System]])</f>
        <v>#REF!</v>
      </c>
      <c r="M387">
        <f>_xlfn.XLOOKUP(Table4[[#This Row],[Ext Finish]],Master_Table4[System Name],Master_Table4[System Name (Short)],FALSE)</f>
        <v>0</v>
      </c>
      <c r="N387">
        <f>_xlfn.XLOOKUP(Table4[[#This Row],[Ext Finish]],Master_Table4[System Name],Master_Table4[Compatible Systems],FALSE)</f>
        <v>0</v>
      </c>
      <c r="O387" t="str">
        <f>IF(ISNUMBER(SEARCH(Table4[[#This Row],[MMC Method]],Table4[[#This Row],[Compatible Systems]])),"YES","NO")</f>
        <v>YES</v>
      </c>
      <c r="P387" t="e">
        <f>GETPIVOTDATA("Sum of A1-A3 Fossil kg CO2e/m^2 wall area",'COMPONENT PIVOT REF'!$I$3,"System Name",Table4[[#This Row],[Ext Finish]])</f>
        <v>#REF!</v>
      </c>
      <c r="Q387" t="e">
        <f>GETPIVOTDATA("Sum of  R value (m^2-K/W)",'COMPONENT PIVOT REF'!$I$3,"System Name",Table4[[#This Row],[Ext Finish]])</f>
        <v>#REF!</v>
      </c>
      <c r="R387" t="e">
        <f>GETPIVOTDATA("Sum of Total Mass per m^2 (kg)",'COMPONENT PIVOT REF'!$I$3,"System Name",Table4[[#This Row],[Ext Finish]])</f>
        <v>#REF!</v>
      </c>
      <c r="T387">
        <f>_xlfn.XLOOKUP(Table4[[#This Row],[Int Finish]],Master_Table6[System Name],Master_Table6[System Name (Short)],FALSE)</f>
        <v>0</v>
      </c>
      <c r="U387" t="e">
        <f>GETPIVOTDATA("Sum of A1-A3 Fossil kg CO2e/m^2 wall area",'COMPONENT PIVOT REF'!$P$3,"System Name",Table4[[#This Row],[Int Finish]])</f>
        <v>#REF!</v>
      </c>
      <c r="V387" t="e">
        <f>GETPIVOTDATA("Sum of  R value (m^2-K/W)",'COMPONENT PIVOT REF'!$P$3,"System Name",Table4[[#This Row],[Int Finish]])</f>
        <v>#REF!</v>
      </c>
      <c r="W387" t="e">
        <f>GETPIVOTDATA("Sum of Total Mass per m^2 (kg)",'COMPONENT PIVOT REF'!$P$3,"System Name",Table4[[#This Row],[Int Finish]])</f>
        <v>#REF!</v>
      </c>
      <c r="X387" t="e">
        <f>Table4[[#This Row],[Ext Finish GWP]]+Table4[[#This Row],[Base GWP]]+Table4[[#This Row],[Int Finish GWP]]</f>
        <v>#REF!</v>
      </c>
      <c r="Y387" t="e">
        <f>Table4[[#This Row],[Ext Finish R Value]]+Table4[[#This Row],[Base R Value]]+Table4[[#This Row],[Int Finish R Value]]</f>
        <v>#REF!</v>
      </c>
      <c r="Z387" t="e">
        <f>1/Table4[[#This Row],[Total R value]]</f>
        <v>#REF!</v>
      </c>
      <c r="AA387" t="e">
        <f>Table4[[#This Row],[Int Finish Mass]]+Table4[[#This Row],[Ext Finish Mass]]+Table4[[#This Row],[Base Mass]]</f>
        <v>#REF!</v>
      </c>
    </row>
    <row r="388" spans="3:27" x14ac:dyDescent="0.35">
      <c r="C388" t="str">
        <f>_xlfn.CONCAT(Table4[[#This Row],[System Name (Short)]],"_",Table4[[#This Row],[Ext Finish Name (Short)]],"_",Table4[[#This Row],[Int Finish Name (Short)]])</f>
        <v>0_0_0</v>
      </c>
      <c r="E388">
        <f>_xlfn.XLOOKUP(Table4[[#This Row],[Base System]],BASE_SYSTEM_TABLE[System Name],BASE_SYSTEM_TABLE[System Name (Short)],FALSE)</f>
        <v>0</v>
      </c>
      <c r="F388">
        <f>_xlfn.XLOOKUP(Table4[[#This Row],[Base System]],BASE_SYSTEM_TABLE[System Name],BASE_SYSTEM_TABLE[System Type],FALSE)</f>
        <v>0</v>
      </c>
      <c r="G388">
        <f>_xlfn.XLOOKUP(Table4[[#This Row],[Base System]],BASE_SYSTEM_TABLE[System Name],BASE_SYSTEM_TABLE[System Subtype],FALSE)</f>
        <v>0</v>
      </c>
      <c r="H388">
        <f>_xlfn.XLOOKUP(Table4[[#This Row],[Base System]],BASE_SYSTEM_TABLE[System Name],BASE_SYSTEM_TABLE[Construction Type (Framed or Planar)],FALSE)</f>
        <v>0</v>
      </c>
      <c r="I388" t="e">
        <f>GETPIVOTDATA("Sum of A1-A3 Fossil kg CO2e/m^2 wall area",'COMPONENT PIVOT REF'!$A$3,"System Name",Table4[[#This Row],[Base System]])</f>
        <v>#REF!</v>
      </c>
      <c r="J388" t="e">
        <f>GETPIVOTDATA("Sum of  R value (m^2-K/W)",'COMPONENT PIVOT REF'!$A$3,"System Name",Table4[[#This Row],[Base System]])</f>
        <v>#REF!</v>
      </c>
      <c r="K388" t="e">
        <f>GETPIVOTDATA("Sum of Total Mass per m^2 (kg)",'COMPONENT PIVOT REF'!$A$3,"System Name",Table4[[#This Row],[Base System]])</f>
        <v>#REF!</v>
      </c>
      <c r="M388">
        <f>_xlfn.XLOOKUP(Table4[[#This Row],[Ext Finish]],Master_Table4[System Name],Master_Table4[System Name (Short)],FALSE)</f>
        <v>0</v>
      </c>
      <c r="N388">
        <f>_xlfn.XLOOKUP(Table4[[#This Row],[Ext Finish]],Master_Table4[System Name],Master_Table4[Compatible Systems],FALSE)</f>
        <v>0</v>
      </c>
      <c r="O388" t="str">
        <f>IF(ISNUMBER(SEARCH(Table4[[#This Row],[MMC Method]],Table4[[#This Row],[Compatible Systems]])),"YES","NO")</f>
        <v>YES</v>
      </c>
      <c r="P388" t="e">
        <f>GETPIVOTDATA("Sum of A1-A3 Fossil kg CO2e/m^2 wall area",'COMPONENT PIVOT REF'!$I$3,"System Name",Table4[[#This Row],[Ext Finish]])</f>
        <v>#REF!</v>
      </c>
      <c r="Q388" t="e">
        <f>GETPIVOTDATA("Sum of  R value (m^2-K/W)",'COMPONENT PIVOT REF'!$I$3,"System Name",Table4[[#This Row],[Ext Finish]])</f>
        <v>#REF!</v>
      </c>
      <c r="R388" t="e">
        <f>GETPIVOTDATA("Sum of Total Mass per m^2 (kg)",'COMPONENT PIVOT REF'!$I$3,"System Name",Table4[[#This Row],[Ext Finish]])</f>
        <v>#REF!</v>
      </c>
      <c r="T388">
        <f>_xlfn.XLOOKUP(Table4[[#This Row],[Int Finish]],Master_Table6[System Name],Master_Table6[System Name (Short)],FALSE)</f>
        <v>0</v>
      </c>
      <c r="U388" t="e">
        <f>GETPIVOTDATA("Sum of A1-A3 Fossil kg CO2e/m^2 wall area",'COMPONENT PIVOT REF'!$P$3,"System Name",Table4[[#This Row],[Int Finish]])</f>
        <v>#REF!</v>
      </c>
      <c r="V388" t="e">
        <f>GETPIVOTDATA("Sum of  R value (m^2-K/W)",'COMPONENT PIVOT REF'!$P$3,"System Name",Table4[[#This Row],[Int Finish]])</f>
        <v>#REF!</v>
      </c>
      <c r="W388" t="e">
        <f>GETPIVOTDATA("Sum of Total Mass per m^2 (kg)",'COMPONENT PIVOT REF'!$P$3,"System Name",Table4[[#This Row],[Int Finish]])</f>
        <v>#REF!</v>
      </c>
      <c r="X388" t="e">
        <f>Table4[[#This Row],[Ext Finish GWP]]+Table4[[#This Row],[Base GWP]]+Table4[[#This Row],[Int Finish GWP]]</f>
        <v>#REF!</v>
      </c>
      <c r="Y388" t="e">
        <f>Table4[[#This Row],[Ext Finish R Value]]+Table4[[#This Row],[Base R Value]]+Table4[[#This Row],[Int Finish R Value]]</f>
        <v>#REF!</v>
      </c>
      <c r="Z388" t="e">
        <f>1/Table4[[#This Row],[Total R value]]</f>
        <v>#REF!</v>
      </c>
      <c r="AA388" t="e">
        <f>Table4[[#This Row],[Int Finish Mass]]+Table4[[#This Row],[Ext Finish Mass]]+Table4[[#This Row],[Base Mass]]</f>
        <v>#REF!</v>
      </c>
    </row>
    <row r="389" spans="3:27" x14ac:dyDescent="0.35">
      <c r="C389" t="str">
        <f>_xlfn.CONCAT(Table4[[#This Row],[System Name (Short)]],"_",Table4[[#This Row],[Ext Finish Name (Short)]],"_",Table4[[#This Row],[Int Finish Name (Short)]])</f>
        <v>0_0_0</v>
      </c>
      <c r="E389">
        <f>_xlfn.XLOOKUP(Table4[[#This Row],[Base System]],BASE_SYSTEM_TABLE[System Name],BASE_SYSTEM_TABLE[System Name (Short)],FALSE)</f>
        <v>0</v>
      </c>
      <c r="F389">
        <f>_xlfn.XLOOKUP(Table4[[#This Row],[Base System]],BASE_SYSTEM_TABLE[System Name],BASE_SYSTEM_TABLE[System Type],FALSE)</f>
        <v>0</v>
      </c>
      <c r="G389">
        <f>_xlfn.XLOOKUP(Table4[[#This Row],[Base System]],BASE_SYSTEM_TABLE[System Name],BASE_SYSTEM_TABLE[System Subtype],FALSE)</f>
        <v>0</v>
      </c>
      <c r="H389">
        <f>_xlfn.XLOOKUP(Table4[[#This Row],[Base System]],BASE_SYSTEM_TABLE[System Name],BASE_SYSTEM_TABLE[Construction Type (Framed or Planar)],FALSE)</f>
        <v>0</v>
      </c>
      <c r="I389" t="e">
        <f>GETPIVOTDATA("Sum of A1-A3 Fossil kg CO2e/m^2 wall area",'COMPONENT PIVOT REF'!$A$3,"System Name",Table4[[#This Row],[Base System]])</f>
        <v>#REF!</v>
      </c>
      <c r="J389" t="e">
        <f>GETPIVOTDATA("Sum of  R value (m^2-K/W)",'COMPONENT PIVOT REF'!$A$3,"System Name",Table4[[#This Row],[Base System]])</f>
        <v>#REF!</v>
      </c>
      <c r="K389" t="e">
        <f>GETPIVOTDATA("Sum of Total Mass per m^2 (kg)",'COMPONENT PIVOT REF'!$A$3,"System Name",Table4[[#This Row],[Base System]])</f>
        <v>#REF!</v>
      </c>
      <c r="M389">
        <f>_xlfn.XLOOKUP(Table4[[#This Row],[Ext Finish]],Master_Table4[System Name],Master_Table4[System Name (Short)],FALSE)</f>
        <v>0</v>
      </c>
      <c r="N389">
        <f>_xlfn.XLOOKUP(Table4[[#This Row],[Ext Finish]],Master_Table4[System Name],Master_Table4[Compatible Systems],FALSE)</f>
        <v>0</v>
      </c>
      <c r="O389" t="str">
        <f>IF(ISNUMBER(SEARCH(Table4[[#This Row],[MMC Method]],Table4[[#This Row],[Compatible Systems]])),"YES","NO")</f>
        <v>YES</v>
      </c>
      <c r="P389" t="e">
        <f>GETPIVOTDATA("Sum of A1-A3 Fossil kg CO2e/m^2 wall area",'COMPONENT PIVOT REF'!$I$3,"System Name",Table4[[#This Row],[Ext Finish]])</f>
        <v>#REF!</v>
      </c>
      <c r="Q389" t="e">
        <f>GETPIVOTDATA("Sum of  R value (m^2-K/W)",'COMPONENT PIVOT REF'!$I$3,"System Name",Table4[[#This Row],[Ext Finish]])</f>
        <v>#REF!</v>
      </c>
      <c r="R389" t="e">
        <f>GETPIVOTDATA("Sum of Total Mass per m^2 (kg)",'COMPONENT PIVOT REF'!$I$3,"System Name",Table4[[#This Row],[Ext Finish]])</f>
        <v>#REF!</v>
      </c>
      <c r="T389">
        <f>_xlfn.XLOOKUP(Table4[[#This Row],[Int Finish]],Master_Table6[System Name],Master_Table6[System Name (Short)],FALSE)</f>
        <v>0</v>
      </c>
      <c r="U389" t="e">
        <f>GETPIVOTDATA("Sum of A1-A3 Fossil kg CO2e/m^2 wall area",'COMPONENT PIVOT REF'!$P$3,"System Name",Table4[[#This Row],[Int Finish]])</f>
        <v>#REF!</v>
      </c>
      <c r="V389" t="e">
        <f>GETPIVOTDATA("Sum of  R value (m^2-K/W)",'COMPONENT PIVOT REF'!$P$3,"System Name",Table4[[#This Row],[Int Finish]])</f>
        <v>#REF!</v>
      </c>
      <c r="W389" t="e">
        <f>GETPIVOTDATA("Sum of Total Mass per m^2 (kg)",'COMPONENT PIVOT REF'!$P$3,"System Name",Table4[[#This Row],[Int Finish]])</f>
        <v>#REF!</v>
      </c>
      <c r="X389" t="e">
        <f>Table4[[#This Row],[Ext Finish GWP]]+Table4[[#This Row],[Base GWP]]+Table4[[#This Row],[Int Finish GWP]]</f>
        <v>#REF!</v>
      </c>
      <c r="Y389" t="e">
        <f>Table4[[#This Row],[Ext Finish R Value]]+Table4[[#This Row],[Base R Value]]+Table4[[#This Row],[Int Finish R Value]]</f>
        <v>#REF!</v>
      </c>
      <c r="Z389" t="e">
        <f>1/Table4[[#This Row],[Total R value]]</f>
        <v>#REF!</v>
      </c>
      <c r="AA389" t="e">
        <f>Table4[[#This Row],[Int Finish Mass]]+Table4[[#This Row],[Ext Finish Mass]]+Table4[[#This Row],[Base Mass]]</f>
        <v>#REF!</v>
      </c>
    </row>
    <row r="390" spans="3:27" x14ac:dyDescent="0.35">
      <c r="C390" t="str">
        <f>_xlfn.CONCAT(Table4[[#This Row],[System Name (Short)]],"_",Table4[[#This Row],[Ext Finish Name (Short)]],"_",Table4[[#This Row],[Int Finish Name (Short)]])</f>
        <v>0_0_0</v>
      </c>
      <c r="E390">
        <f>_xlfn.XLOOKUP(Table4[[#This Row],[Base System]],BASE_SYSTEM_TABLE[System Name],BASE_SYSTEM_TABLE[System Name (Short)],FALSE)</f>
        <v>0</v>
      </c>
      <c r="F390">
        <f>_xlfn.XLOOKUP(Table4[[#This Row],[Base System]],BASE_SYSTEM_TABLE[System Name],BASE_SYSTEM_TABLE[System Type],FALSE)</f>
        <v>0</v>
      </c>
      <c r="G390">
        <f>_xlfn.XLOOKUP(Table4[[#This Row],[Base System]],BASE_SYSTEM_TABLE[System Name],BASE_SYSTEM_TABLE[System Subtype],FALSE)</f>
        <v>0</v>
      </c>
      <c r="H390">
        <f>_xlfn.XLOOKUP(Table4[[#This Row],[Base System]],BASE_SYSTEM_TABLE[System Name],BASE_SYSTEM_TABLE[Construction Type (Framed or Planar)],FALSE)</f>
        <v>0</v>
      </c>
      <c r="I390" t="e">
        <f>GETPIVOTDATA("Sum of A1-A3 Fossil kg CO2e/m^2 wall area",'COMPONENT PIVOT REF'!$A$3,"System Name",Table4[[#This Row],[Base System]])</f>
        <v>#REF!</v>
      </c>
      <c r="J390" t="e">
        <f>GETPIVOTDATA("Sum of  R value (m^2-K/W)",'COMPONENT PIVOT REF'!$A$3,"System Name",Table4[[#This Row],[Base System]])</f>
        <v>#REF!</v>
      </c>
      <c r="K390" t="e">
        <f>GETPIVOTDATA("Sum of Total Mass per m^2 (kg)",'COMPONENT PIVOT REF'!$A$3,"System Name",Table4[[#This Row],[Base System]])</f>
        <v>#REF!</v>
      </c>
      <c r="M390">
        <f>_xlfn.XLOOKUP(Table4[[#This Row],[Ext Finish]],Master_Table4[System Name],Master_Table4[System Name (Short)],FALSE)</f>
        <v>0</v>
      </c>
      <c r="N390">
        <f>_xlfn.XLOOKUP(Table4[[#This Row],[Ext Finish]],Master_Table4[System Name],Master_Table4[Compatible Systems],FALSE)</f>
        <v>0</v>
      </c>
      <c r="O390" t="str">
        <f>IF(ISNUMBER(SEARCH(Table4[[#This Row],[MMC Method]],Table4[[#This Row],[Compatible Systems]])),"YES","NO")</f>
        <v>YES</v>
      </c>
      <c r="P390" t="e">
        <f>GETPIVOTDATA("Sum of A1-A3 Fossil kg CO2e/m^2 wall area",'COMPONENT PIVOT REF'!$I$3,"System Name",Table4[[#This Row],[Ext Finish]])</f>
        <v>#REF!</v>
      </c>
      <c r="Q390" t="e">
        <f>GETPIVOTDATA("Sum of  R value (m^2-K/W)",'COMPONENT PIVOT REF'!$I$3,"System Name",Table4[[#This Row],[Ext Finish]])</f>
        <v>#REF!</v>
      </c>
      <c r="R390" t="e">
        <f>GETPIVOTDATA("Sum of Total Mass per m^2 (kg)",'COMPONENT PIVOT REF'!$I$3,"System Name",Table4[[#This Row],[Ext Finish]])</f>
        <v>#REF!</v>
      </c>
      <c r="T390">
        <f>_xlfn.XLOOKUP(Table4[[#This Row],[Int Finish]],Master_Table6[System Name],Master_Table6[System Name (Short)],FALSE)</f>
        <v>0</v>
      </c>
      <c r="U390" t="e">
        <f>GETPIVOTDATA("Sum of A1-A3 Fossil kg CO2e/m^2 wall area",'COMPONENT PIVOT REF'!$P$3,"System Name",Table4[[#This Row],[Int Finish]])</f>
        <v>#REF!</v>
      </c>
      <c r="V390" t="e">
        <f>GETPIVOTDATA("Sum of  R value (m^2-K/W)",'COMPONENT PIVOT REF'!$P$3,"System Name",Table4[[#This Row],[Int Finish]])</f>
        <v>#REF!</v>
      </c>
      <c r="W390" t="e">
        <f>GETPIVOTDATA("Sum of Total Mass per m^2 (kg)",'COMPONENT PIVOT REF'!$P$3,"System Name",Table4[[#This Row],[Int Finish]])</f>
        <v>#REF!</v>
      </c>
      <c r="X390" t="e">
        <f>Table4[[#This Row],[Ext Finish GWP]]+Table4[[#This Row],[Base GWP]]+Table4[[#This Row],[Int Finish GWP]]</f>
        <v>#REF!</v>
      </c>
      <c r="Y390" t="e">
        <f>Table4[[#This Row],[Ext Finish R Value]]+Table4[[#This Row],[Base R Value]]+Table4[[#This Row],[Int Finish R Value]]</f>
        <v>#REF!</v>
      </c>
      <c r="Z390" t="e">
        <f>1/Table4[[#This Row],[Total R value]]</f>
        <v>#REF!</v>
      </c>
      <c r="AA390" t="e">
        <f>Table4[[#This Row],[Int Finish Mass]]+Table4[[#This Row],[Ext Finish Mass]]+Table4[[#This Row],[Base Mass]]</f>
        <v>#REF!</v>
      </c>
    </row>
    <row r="391" spans="3:27" x14ac:dyDescent="0.35">
      <c r="C391" t="str">
        <f>_xlfn.CONCAT(Table4[[#This Row],[System Name (Short)]],"_",Table4[[#This Row],[Ext Finish Name (Short)]],"_",Table4[[#This Row],[Int Finish Name (Short)]])</f>
        <v>0_0_0</v>
      </c>
      <c r="E391">
        <f>_xlfn.XLOOKUP(Table4[[#This Row],[Base System]],BASE_SYSTEM_TABLE[System Name],BASE_SYSTEM_TABLE[System Name (Short)],FALSE)</f>
        <v>0</v>
      </c>
      <c r="F391">
        <f>_xlfn.XLOOKUP(Table4[[#This Row],[Base System]],BASE_SYSTEM_TABLE[System Name],BASE_SYSTEM_TABLE[System Type],FALSE)</f>
        <v>0</v>
      </c>
      <c r="G391">
        <f>_xlfn.XLOOKUP(Table4[[#This Row],[Base System]],BASE_SYSTEM_TABLE[System Name],BASE_SYSTEM_TABLE[System Subtype],FALSE)</f>
        <v>0</v>
      </c>
      <c r="H391">
        <f>_xlfn.XLOOKUP(Table4[[#This Row],[Base System]],BASE_SYSTEM_TABLE[System Name],BASE_SYSTEM_TABLE[Construction Type (Framed or Planar)],FALSE)</f>
        <v>0</v>
      </c>
      <c r="I391" t="e">
        <f>GETPIVOTDATA("Sum of A1-A3 Fossil kg CO2e/m^2 wall area",'COMPONENT PIVOT REF'!$A$3,"System Name",Table4[[#This Row],[Base System]])</f>
        <v>#REF!</v>
      </c>
      <c r="J391" t="e">
        <f>GETPIVOTDATA("Sum of  R value (m^2-K/W)",'COMPONENT PIVOT REF'!$A$3,"System Name",Table4[[#This Row],[Base System]])</f>
        <v>#REF!</v>
      </c>
      <c r="K391" t="e">
        <f>GETPIVOTDATA("Sum of Total Mass per m^2 (kg)",'COMPONENT PIVOT REF'!$A$3,"System Name",Table4[[#This Row],[Base System]])</f>
        <v>#REF!</v>
      </c>
      <c r="M391">
        <f>_xlfn.XLOOKUP(Table4[[#This Row],[Ext Finish]],Master_Table4[System Name],Master_Table4[System Name (Short)],FALSE)</f>
        <v>0</v>
      </c>
      <c r="N391">
        <f>_xlfn.XLOOKUP(Table4[[#This Row],[Ext Finish]],Master_Table4[System Name],Master_Table4[Compatible Systems],FALSE)</f>
        <v>0</v>
      </c>
      <c r="O391" t="str">
        <f>IF(ISNUMBER(SEARCH(Table4[[#This Row],[MMC Method]],Table4[[#This Row],[Compatible Systems]])),"YES","NO")</f>
        <v>YES</v>
      </c>
      <c r="P391" t="e">
        <f>GETPIVOTDATA("Sum of A1-A3 Fossil kg CO2e/m^2 wall area",'COMPONENT PIVOT REF'!$I$3,"System Name",Table4[[#This Row],[Ext Finish]])</f>
        <v>#REF!</v>
      </c>
      <c r="Q391" t="e">
        <f>GETPIVOTDATA("Sum of  R value (m^2-K/W)",'COMPONENT PIVOT REF'!$I$3,"System Name",Table4[[#This Row],[Ext Finish]])</f>
        <v>#REF!</v>
      </c>
      <c r="R391" t="e">
        <f>GETPIVOTDATA("Sum of Total Mass per m^2 (kg)",'COMPONENT PIVOT REF'!$I$3,"System Name",Table4[[#This Row],[Ext Finish]])</f>
        <v>#REF!</v>
      </c>
      <c r="T391">
        <f>_xlfn.XLOOKUP(Table4[[#This Row],[Int Finish]],Master_Table6[System Name],Master_Table6[System Name (Short)],FALSE)</f>
        <v>0</v>
      </c>
      <c r="U391" t="e">
        <f>GETPIVOTDATA("Sum of A1-A3 Fossil kg CO2e/m^2 wall area",'COMPONENT PIVOT REF'!$P$3,"System Name",Table4[[#This Row],[Int Finish]])</f>
        <v>#REF!</v>
      </c>
      <c r="V391" t="e">
        <f>GETPIVOTDATA("Sum of  R value (m^2-K/W)",'COMPONENT PIVOT REF'!$P$3,"System Name",Table4[[#This Row],[Int Finish]])</f>
        <v>#REF!</v>
      </c>
      <c r="W391" t="e">
        <f>GETPIVOTDATA("Sum of Total Mass per m^2 (kg)",'COMPONENT PIVOT REF'!$P$3,"System Name",Table4[[#This Row],[Int Finish]])</f>
        <v>#REF!</v>
      </c>
      <c r="X391" t="e">
        <f>Table4[[#This Row],[Ext Finish GWP]]+Table4[[#This Row],[Base GWP]]+Table4[[#This Row],[Int Finish GWP]]</f>
        <v>#REF!</v>
      </c>
      <c r="Y391" t="e">
        <f>Table4[[#This Row],[Ext Finish R Value]]+Table4[[#This Row],[Base R Value]]+Table4[[#This Row],[Int Finish R Value]]</f>
        <v>#REF!</v>
      </c>
      <c r="Z391" t="e">
        <f>1/Table4[[#This Row],[Total R value]]</f>
        <v>#REF!</v>
      </c>
      <c r="AA391" t="e">
        <f>Table4[[#This Row],[Int Finish Mass]]+Table4[[#This Row],[Ext Finish Mass]]+Table4[[#This Row],[Base Mass]]</f>
        <v>#REF!</v>
      </c>
    </row>
    <row r="392" spans="3:27" x14ac:dyDescent="0.35">
      <c r="C392" t="str">
        <f>_xlfn.CONCAT(Table4[[#This Row],[System Name (Short)]],"_",Table4[[#This Row],[Ext Finish Name (Short)]],"_",Table4[[#This Row],[Int Finish Name (Short)]])</f>
        <v>0_0_0</v>
      </c>
      <c r="E392">
        <f>_xlfn.XLOOKUP(Table4[[#This Row],[Base System]],BASE_SYSTEM_TABLE[System Name],BASE_SYSTEM_TABLE[System Name (Short)],FALSE)</f>
        <v>0</v>
      </c>
      <c r="F392">
        <f>_xlfn.XLOOKUP(Table4[[#This Row],[Base System]],BASE_SYSTEM_TABLE[System Name],BASE_SYSTEM_TABLE[System Type],FALSE)</f>
        <v>0</v>
      </c>
      <c r="G392">
        <f>_xlfn.XLOOKUP(Table4[[#This Row],[Base System]],BASE_SYSTEM_TABLE[System Name],BASE_SYSTEM_TABLE[System Subtype],FALSE)</f>
        <v>0</v>
      </c>
      <c r="H392">
        <f>_xlfn.XLOOKUP(Table4[[#This Row],[Base System]],BASE_SYSTEM_TABLE[System Name],BASE_SYSTEM_TABLE[Construction Type (Framed or Planar)],FALSE)</f>
        <v>0</v>
      </c>
      <c r="I392" t="e">
        <f>GETPIVOTDATA("Sum of A1-A3 Fossil kg CO2e/m^2 wall area",'COMPONENT PIVOT REF'!$A$3,"System Name",Table4[[#This Row],[Base System]])</f>
        <v>#REF!</v>
      </c>
      <c r="J392" t="e">
        <f>GETPIVOTDATA("Sum of  R value (m^2-K/W)",'COMPONENT PIVOT REF'!$A$3,"System Name",Table4[[#This Row],[Base System]])</f>
        <v>#REF!</v>
      </c>
      <c r="K392" t="e">
        <f>GETPIVOTDATA("Sum of Total Mass per m^2 (kg)",'COMPONENT PIVOT REF'!$A$3,"System Name",Table4[[#This Row],[Base System]])</f>
        <v>#REF!</v>
      </c>
      <c r="M392">
        <f>_xlfn.XLOOKUP(Table4[[#This Row],[Ext Finish]],Master_Table4[System Name],Master_Table4[System Name (Short)],FALSE)</f>
        <v>0</v>
      </c>
      <c r="N392">
        <f>_xlfn.XLOOKUP(Table4[[#This Row],[Ext Finish]],Master_Table4[System Name],Master_Table4[Compatible Systems],FALSE)</f>
        <v>0</v>
      </c>
      <c r="O392" t="str">
        <f>IF(ISNUMBER(SEARCH(Table4[[#This Row],[MMC Method]],Table4[[#This Row],[Compatible Systems]])),"YES","NO")</f>
        <v>YES</v>
      </c>
      <c r="P392" t="e">
        <f>GETPIVOTDATA("Sum of A1-A3 Fossil kg CO2e/m^2 wall area",'COMPONENT PIVOT REF'!$I$3,"System Name",Table4[[#This Row],[Ext Finish]])</f>
        <v>#REF!</v>
      </c>
      <c r="Q392" t="e">
        <f>GETPIVOTDATA("Sum of  R value (m^2-K/W)",'COMPONENT PIVOT REF'!$I$3,"System Name",Table4[[#This Row],[Ext Finish]])</f>
        <v>#REF!</v>
      </c>
      <c r="R392" t="e">
        <f>GETPIVOTDATA("Sum of Total Mass per m^2 (kg)",'COMPONENT PIVOT REF'!$I$3,"System Name",Table4[[#This Row],[Ext Finish]])</f>
        <v>#REF!</v>
      </c>
      <c r="T392">
        <f>_xlfn.XLOOKUP(Table4[[#This Row],[Int Finish]],Master_Table6[System Name],Master_Table6[System Name (Short)],FALSE)</f>
        <v>0</v>
      </c>
      <c r="U392" t="e">
        <f>GETPIVOTDATA("Sum of A1-A3 Fossil kg CO2e/m^2 wall area",'COMPONENT PIVOT REF'!$P$3,"System Name",Table4[[#This Row],[Int Finish]])</f>
        <v>#REF!</v>
      </c>
      <c r="V392" t="e">
        <f>GETPIVOTDATA("Sum of  R value (m^2-K/W)",'COMPONENT PIVOT REF'!$P$3,"System Name",Table4[[#This Row],[Int Finish]])</f>
        <v>#REF!</v>
      </c>
      <c r="W392" t="e">
        <f>GETPIVOTDATA("Sum of Total Mass per m^2 (kg)",'COMPONENT PIVOT REF'!$P$3,"System Name",Table4[[#This Row],[Int Finish]])</f>
        <v>#REF!</v>
      </c>
      <c r="X392" t="e">
        <f>Table4[[#This Row],[Ext Finish GWP]]+Table4[[#This Row],[Base GWP]]+Table4[[#This Row],[Int Finish GWP]]</f>
        <v>#REF!</v>
      </c>
      <c r="Y392" t="e">
        <f>Table4[[#This Row],[Ext Finish R Value]]+Table4[[#This Row],[Base R Value]]+Table4[[#This Row],[Int Finish R Value]]</f>
        <v>#REF!</v>
      </c>
      <c r="Z392" t="e">
        <f>1/Table4[[#This Row],[Total R value]]</f>
        <v>#REF!</v>
      </c>
      <c r="AA392" t="e">
        <f>Table4[[#This Row],[Int Finish Mass]]+Table4[[#This Row],[Ext Finish Mass]]+Table4[[#This Row],[Base Mass]]</f>
        <v>#REF!</v>
      </c>
    </row>
    <row r="393" spans="3:27" x14ac:dyDescent="0.35">
      <c r="C393" t="str">
        <f>_xlfn.CONCAT(Table4[[#This Row],[System Name (Short)]],"_",Table4[[#This Row],[Ext Finish Name (Short)]],"_",Table4[[#This Row],[Int Finish Name (Short)]])</f>
        <v>0_0_0</v>
      </c>
      <c r="E393">
        <f>_xlfn.XLOOKUP(Table4[[#This Row],[Base System]],BASE_SYSTEM_TABLE[System Name],BASE_SYSTEM_TABLE[System Name (Short)],FALSE)</f>
        <v>0</v>
      </c>
      <c r="F393">
        <f>_xlfn.XLOOKUP(Table4[[#This Row],[Base System]],BASE_SYSTEM_TABLE[System Name],BASE_SYSTEM_TABLE[System Type],FALSE)</f>
        <v>0</v>
      </c>
      <c r="G393">
        <f>_xlfn.XLOOKUP(Table4[[#This Row],[Base System]],BASE_SYSTEM_TABLE[System Name],BASE_SYSTEM_TABLE[System Subtype],FALSE)</f>
        <v>0</v>
      </c>
      <c r="H393">
        <f>_xlfn.XLOOKUP(Table4[[#This Row],[Base System]],BASE_SYSTEM_TABLE[System Name],BASE_SYSTEM_TABLE[Construction Type (Framed or Planar)],FALSE)</f>
        <v>0</v>
      </c>
      <c r="I393" t="e">
        <f>GETPIVOTDATA("Sum of A1-A3 Fossil kg CO2e/m^2 wall area",'COMPONENT PIVOT REF'!$A$3,"System Name",Table4[[#This Row],[Base System]])</f>
        <v>#REF!</v>
      </c>
      <c r="J393" t="e">
        <f>GETPIVOTDATA("Sum of  R value (m^2-K/W)",'COMPONENT PIVOT REF'!$A$3,"System Name",Table4[[#This Row],[Base System]])</f>
        <v>#REF!</v>
      </c>
      <c r="K393" t="e">
        <f>GETPIVOTDATA("Sum of Total Mass per m^2 (kg)",'COMPONENT PIVOT REF'!$A$3,"System Name",Table4[[#This Row],[Base System]])</f>
        <v>#REF!</v>
      </c>
      <c r="M393">
        <f>_xlfn.XLOOKUP(Table4[[#This Row],[Ext Finish]],Master_Table4[System Name],Master_Table4[System Name (Short)],FALSE)</f>
        <v>0</v>
      </c>
      <c r="N393">
        <f>_xlfn.XLOOKUP(Table4[[#This Row],[Ext Finish]],Master_Table4[System Name],Master_Table4[Compatible Systems],FALSE)</f>
        <v>0</v>
      </c>
      <c r="O393" t="str">
        <f>IF(ISNUMBER(SEARCH(Table4[[#This Row],[MMC Method]],Table4[[#This Row],[Compatible Systems]])),"YES","NO")</f>
        <v>YES</v>
      </c>
      <c r="P393" t="e">
        <f>GETPIVOTDATA("Sum of A1-A3 Fossil kg CO2e/m^2 wall area",'COMPONENT PIVOT REF'!$I$3,"System Name",Table4[[#This Row],[Ext Finish]])</f>
        <v>#REF!</v>
      </c>
      <c r="Q393" t="e">
        <f>GETPIVOTDATA("Sum of  R value (m^2-K/W)",'COMPONENT PIVOT REF'!$I$3,"System Name",Table4[[#This Row],[Ext Finish]])</f>
        <v>#REF!</v>
      </c>
      <c r="R393" t="e">
        <f>GETPIVOTDATA("Sum of Total Mass per m^2 (kg)",'COMPONENT PIVOT REF'!$I$3,"System Name",Table4[[#This Row],[Ext Finish]])</f>
        <v>#REF!</v>
      </c>
      <c r="T393">
        <f>_xlfn.XLOOKUP(Table4[[#This Row],[Int Finish]],Master_Table6[System Name],Master_Table6[System Name (Short)],FALSE)</f>
        <v>0</v>
      </c>
      <c r="U393" t="e">
        <f>GETPIVOTDATA("Sum of A1-A3 Fossil kg CO2e/m^2 wall area",'COMPONENT PIVOT REF'!$P$3,"System Name",Table4[[#This Row],[Int Finish]])</f>
        <v>#REF!</v>
      </c>
      <c r="V393" t="e">
        <f>GETPIVOTDATA("Sum of  R value (m^2-K/W)",'COMPONENT PIVOT REF'!$P$3,"System Name",Table4[[#This Row],[Int Finish]])</f>
        <v>#REF!</v>
      </c>
      <c r="W393" t="e">
        <f>GETPIVOTDATA("Sum of Total Mass per m^2 (kg)",'COMPONENT PIVOT REF'!$P$3,"System Name",Table4[[#This Row],[Int Finish]])</f>
        <v>#REF!</v>
      </c>
      <c r="X393" t="e">
        <f>Table4[[#This Row],[Ext Finish GWP]]+Table4[[#This Row],[Base GWP]]+Table4[[#This Row],[Int Finish GWP]]</f>
        <v>#REF!</v>
      </c>
      <c r="Y393" t="e">
        <f>Table4[[#This Row],[Ext Finish R Value]]+Table4[[#This Row],[Base R Value]]+Table4[[#This Row],[Int Finish R Value]]</f>
        <v>#REF!</v>
      </c>
      <c r="Z393" t="e">
        <f>1/Table4[[#This Row],[Total R value]]</f>
        <v>#REF!</v>
      </c>
      <c r="AA393" t="e">
        <f>Table4[[#This Row],[Int Finish Mass]]+Table4[[#This Row],[Ext Finish Mass]]+Table4[[#This Row],[Base Mass]]</f>
        <v>#REF!</v>
      </c>
    </row>
    <row r="394" spans="3:27" x14ac:dyDescent="0.35">
      <c r="C394" t="str">
        <f>_xlfn.CONCAT(Table4[[#This Row],[System Name (Short)]],"_",Table4[[#This Row],[Ext Finish Name (Short)]],"_",Table4[[#This Row],[Int Finish Name (Short)]])</f>
        <v>0_0_0</v>
      </c>
      <c r="E394">
        <f>_xlfn.XLOOKUP(Table4[[#This Row],[Base System]],BASE_SYSTEM_TABLE[System Name],BASE_SYSTEM_TABLE[System Name (Short)],FALSE)</f>
        <v>0</v>
      </c>
      <c r="F394">
        <f>_xlfn.XLOOKUP(Table4[[#This Row],[Base System]],BASE_SYSTEM_TABLE[System Name],BASE_SYSTEM_TABLE[System Type],FALSE)</f>
        <v>0</v>
      </c>
      <c r="G394">
        <f>_xlfn.XLOOKUP(Table4[[#This Row],[Base System]],BASE_SYSTEM_TABLE[System Name],BASE_SYSTEM_TABLE[System Subtype],FALSE)</f>
        <v>0</v>
      </c>
      <c r="H394">
        <f>_xlfn.XLOOKUP(Table4[[#This Row],[Base System]],BASE_SYSTEM_TABLE[System Name],BASE_SYSTEM_TABLE[Construction Type (Framed or Planar)],FALSE)</f>
        <v>0</v>
      </c>
      <c r="I394" t="e">
        <f>GETPIVOTDATA("Sum of A1-A3 Fossil kg CO2e/m^2 wall area",'COMPONENT PIVOT REF'!$A$3,"System Name",Table4[[#This Row],[Base System]])</f>
        <v>#REF!</v>
      </c>
      <c r="J394" t="e">
        <f>GETPIVOTDATA("Sum of  R value (m^2-K/W)",'COMPONENT PIVOT REF'!$A$3,"System Name",Table4[[#This Row],[Base System]])</f>
        <v>#REF!</v>
      </c>
      <c r="K394" t="e">
        <f>GETPIVOTDATA("Sum of Total Mass per m^2 (kg)",'COMPONENT PIVOT REF'!$A$3,"System Name",Table4[[#This Row],[Base System]])</f>
        <v>#REF!</v>
      </c>
      <c r="M394">
        <f>_xlfn.XLOOKUP(Table4[[#This Row],[Ext Finish]],Master_Table4[System Name],Master_Table4[System Name (Short)],FALSE)</f>
        <v>0</v>
      </c>
      <c r="N394">
        <f>_xlfn.XLOOKUP(Table4[[#This Row],[Ext Finish]],Master_Table4[System Name],Master_Table4[Compatible Systems],FALSE)</f>
        <v>0</v>
      </c>
      <c r="O394" t="str">
        <f>IF(ISNUMBER(SEARCH(Table4[[#This Row],[MMC Method]],Table4[[#This Row],[Compatible Systems]])),"YES","NO")</f>
        <v>YES</v>
      </c>
      <c r="P394" t="e">
        <f>GETPIVOTDATA("Sum of A1-A3 Fossil kg CO2e/m^2 wall area",'COMPONENT PIVOT REF'!$I$3,"System Name",Table4[[#This Row],[Ext Finish]])</f>
        <v>#REF!</v>
      </c>
      <c r="Q394" t="e">
        <f>GETPIVOTDATA("Sum of  R value (m^2-K/W)",'COMPONENT PIVOT REF'!$I$3,"System Name",Table4[[#This Row],[Ext Finish]])</f>
        <v>#REF!</v>
      </c>
      <c r="R394" t="e">
        <f>GETPIVOTDATA("Sum of Total Mass per m^2 (kg)",'COMPONENT PIVOT REF'!$I$3,"System Name",Table4[[#This Row],[Ext Finish]])</f>
        <v>#REF!</v>
      </c>
      <c r="T394">
        <f>_xlfn.XLOOKUP(Table4[[#This Row],[Int Finish]],Master_Table6[System Name],Master_Table6[System Name (Short)],FALSE)</f>
        <v>0</v>
      </c>
      <c r="U394" t="e">
        <f>GETPIVOTDATA("Sum of A1-A3 Fossil kg CO2e/m^2 wall area",'COMPONENT PIVOT REF'!$P$3,"System Name",Table4[[#This Row],[Int Finish]])</f>
        <v>#REF!</v>
      </c>
      <c r="V394" t="e">
        <f>GETPIVOTDATA("Sum of  R value (m^2-K/W)",'COMPONENT PIVOT REF'!$P$3,"System Name",Table4[[#This Row],[Int Finish]])</f>
        <v>#REF!</v>
      </c>
      <c r="W394" t="e">
        <f>GETPIVOTDATA("Sum of Total Mass per m^2 (kg)",'COMPONENT PIVOT REF'!$P$3,"System Name",Table4[[#This Row],[Int Finish]])</f>
        <v>#REF!</v>
      </c>
      <c r="X394" t="e">
        <f>Table4[[#This Row],[Ext Finish GWP]]+Table4[[#This Row],[Base GWP]]+Table4[[#This Row],[Int Finish GWP]]</f>
        <v>#REF!</v>
      </c>
      <c r="Y394" t="e">
        <f>Table4[[#This Row],[Ext Finish R Value]]+Table4[[#This Row],[Base R Value]]+Table4[[#This Row],[Int Finish R Value]]</f>
        <v>#REF!</v>
      </c>
      <c r="Z394" t="e">
        <f>1/Table4[[#This Row],[Total R value]]</f>
        <v>#REF!</v>
      </c>
      <c r="AA394" t="e">
        <f>Table4[[#This Row],[Int Finish Mass]]+Table4[[#This Row],[Ext Finish Mass]]+Table4[[#This Row],[Base Mass]]</f>
        <v>#REF!</v>
      </c>
    </row>
    <row r="395" spans="3:27" x14ac:dyDescent="0.35">
      <c r="C395" t="str">
        <f>_xlfn.CONCAT(Table4[[#This Row],[System Name (Short)]],"_",Table4[[#This Row],[Ext Finish Name (Short)]],"_",Table4[[#This Row],[Int Finish Name (Short)]])</f>
        <v>0_0_0</v>
      </c>
      <c r="E395">
        <f>_xlfn.XLOOKUP(Table4[[#This Row],[Base System]],BASE_SYSTEM_TABLE[System Name],BASE_SYSTEM_TABLE[System Name (Short)],FALSE)</f>
        <v>0</v>
      </c>
      <c r="F395">
        <f>_xlfn.XLOOKUP(Table4[[#This Row],[Base System]],BASE_SYSTEM_TABLE[System Name],BASE_SYSTEM_TABLE[System Type],FALSE)</f>
        <v>0</v>
      </c>
      <c r="G395">
        <f>_xlfn.XLOOKUP(Table4[[#This Row],[Base System]],BASE_SYSTEM_TABLE[System Name],BASE_SYSTEM_TABLE[System Subtype],FALSE)</f>
        <v>0</v>
      </c>
      <c r="H395">
        <f>_xlfn.XLOOKUP(Table4[[#This Row],[Base System]],BASE_SYSTEM_TABLE[System Name],BASE_SYSTEM_TABLE[Construction Type (Framed or Planar)],FALSE)</f>
        <v>0</v>
      </c>
      <c r="I395" t="e">
        <f>GETPIVOTDATA("Sum of A1-A3 Fossil kg CO2e/m^2 wall area",'COMPONENT PIVOT REF'!$A$3,"System Name",Table4[[#This Row],[Base System]])</f>
        <v>#REF!</v>
      </c>
      <c r="J395" t="e">
        <f>GETPIVOTDATA("Sum of  R value (m^2-K/W)",'COMPONENT PIVOT REF'!$A$3,"System Name",Table4[[#This Row],[Base System]])</f>
        <v>#REF!</v>
      </c>
      <c r="K395" t="e">
        <f>GETPIVOTDATA("Sum of Total Mass per m^2 (kg)",'COMPONENT PIVOT REF'!$A$3,"System Name",Table4[[#This Row],[Base System]])</f>
        <v>#REF!</v>
      </c>
      <c r="M395">
        <f>_xlfn.XLOOKUP(Table4[[#This Row],[Ext Finish]],Master_Table4[System Name],Master_Table4[System Name (Short)],FALSE)</f>
        <v>0</v>
      </c>
      <c r="N395">
        <f>_xlfn.XLOOKUP(Table4[[#This Row],[Ext Finish]],Master_Table4[System Name],Master_Table4[Compatible Systems],FALSE)</f>
        <v>0</v>
      </c>
      <c r="O395" t="str">
        <f>IF(ISNUMBER(SEARCH(Table4[[#This Row],[MMC Method]],Table4[[#This Row],[Compatible Systems]])),"YES","NO")</f>
        <v>YES</v>
      </c>
      <c r="P395" t="e">
        <f>GETPIVOTDATA("Sum of A1-A3 Fossil kg CO2e/m^2 wall area",'COMPONENT PIVOT REF'!$I$3,"System Name",Table4[[#This Row],[Ext Finish]])</f>
        <v>#REF!</v>
      </c>
      <c r="Q395" t="e">
        <f>GETPIVOTDATA("Sum of  R value (m^2-K/W)",'COMPONENT PIVOT REF'!$I$3,"System Name",Table4[[#This Row],[Ext Finish]])</f>
        <v>#REF!</v>
      </c>
      <c r="R395" t="e">
        <f>GETPIVOTDATA("Sum of Total Mass per m^2 (kg)",'COMPONENT PIVOT REF'!$I$3,"System Name",Table4[[#This Row],[Ext Finish]])</f>
        <v>#REF!</v>
      </c>
      <c r="T395">
        <f>_xlfn.XLOOKUP(Table4[[#This Row],[Int Finish]],Master_Table6[System Name],Master_Table6[System Name (Short)],FALSE)</f>
        <v>0</v>
      </c>
      <c r="U395" t="e">
        <f>GETPIVOTDATA("Sum of A1-A3 Fossil kg CO2e/m^2 wall area",'COMPONENT PIVOT REF'!$P$3,"System Name",Table4[[#This Row],[Int Finish]])</f>
        <v>#REF!</v>
      </c>
      <c r="V395" t="e">
        <f>GETPIVOTDATA("Sum of  R value (m^2-K/W)",'COMPONENT PIVOT REF'!$P$3,"System Name",Table4[[#This Row],[Int Finish]])</f>
        <v>#REF!</v>
      </c>
      <c r="W395" t="e">
        <f>GETPIVOTDATA("Sum of Total Mass per m^2 (kg)",'COMPONENT PIVOT REF'!$P$3,"System Name",Table4[[#This Row],[Int Finish]])</f>
        <v>#REF!</v>
      </c>
      <c r="X395" t="e">
        <f>Table4[[#This Row],[Ext Finish GWP]]+Table4[[#This Row],[Base GWP]]+Table4[[#This Row],[Int Finish GWP]]</f>
        <v>#REF!</v>
      </c>
      <c r="Y395" t="e">
        <f>Table4[[#This Row],[Ext Finish R Value]]+Table4[[#This Row],[Base R Value]]+Table4[[#This Row],[Int Finish R Value]]</f>
        <v>#REF!</v>
      </c>
      <c r="Z395" t="e">
        <f>1/Table4[[#This Row],[Total R value]]</f>
        <v>#REF!</v>
      </c>
      <c r="AA395" t="e">
        <f>Table4[[#This Row],[Int Finish Mass]]+Table4[[#This Row],[Ext Finish Mass]]+Table4[[#This Row],[Base Mass]]</f>
        <v>#REF!</v>
      </c>
    </row>
    <row r="396" spans="3:27" x14ac:dyDescent="0.35">
      <c r="C396" t="str">
        <f>_xlfn.CONCAT(Table4[[#This Row],[System Name (Short)]],"_",Table4[[#This Row],[Ext Finish Name (Short)]],"_",Table4[[#This Row],[Int Finish Name (Short)]])</f>
        <v>0_0_0</v>
      </c>
      <c r="E396">
        <f>_xlfn.XLOOKUP(Table4[[#This Row],[Base System]],BASE_SYSTEM_TABLE[System Name],BASE_SYSTEM_TABLE[System Name (Short)],FALSE)</f>
        <v>0</v>
      </c>
      <c r="F396">
        <f>_xlfn.XLOOKUP(Table4[[#This Row],[Base System]],BASE_SYSTEM_TABLE[System Name],BASE_SYSTEM_TABLE[System Type],FALSE)</f>
        <v>0</v>
      </c>
      <c r="G396">
        <f>_xlfn.XLOOKUP(Table4[[#This Row],[Base System]],BASE_SYSTEM_TABLE[System Name],BASE_SYSTEM_TABLE[System Subtype],FALSE)</f>
        <v>0</v>
      </c>
      <c r="H396">
        <f>_xlfn.XLOOKUP(Table4[[#This Row],[Base System]],BASE_SYSTEM_TABLE[System Name],BASE_SYSTEM_TABLE[Construction Type (Framed or Planar)],FALSE)</f>
        <v>0</v>
      </c>
      <c r="I396" t="e">
        <f>GETPIVOTDATA("Sum of A1-A3 Fossil kg CO2e/m^2 wall area",'COMPONENT PIVOT REF'!$A$3,"System Name",Table4[[#This Row],[Base System]])</f>
        <v>#REF!</v>
      </c>
      <c r="J396" t="e">
        <f>GETPIVOTDATA("Sum of  R value (m^2-K/W)",'COMPONENT PIVOT REF'!$A$3,"System Name",Table4[[#This Row],[Base System]])</f>
        <v>#REF!</v>
      </c>
      <c r="K396" t="e">
        <f>GETPIVOTDATA("Sum of Total Mass per m^2 (kg)",'COMPONENT PIVOT REF'!$A$3,"System Name",Table4[[#This Row],[Base System]])</f>
        <v>#REF!</v>
      </c>
      <c r="M396">
        <f>_xlfn.XLOOKUP(Table4[[#This Row],[Ext Finish]],Master_Table4[System Name],Master_Table4[System Name (Short)],FALSE)</f>
        <v>0</v>
      </c>
      <c r="N396">
        <f>_xlfn.XLOOKUP(Table4[[#This Row],[Ext Finish]],Master_Table4[System Name],Master_Table4[Compatible Systems],FALSE)</f>
        <v>0</v>
      </c>
      <c r="O396" t="str">
        <f>IF(ISNUMBER(SEARCH(Table4[[#This Row],[MMC Method]],Table4[[#This Row],[Compatible Systems]])),"YES","NO")</f>
        <v>YES</v>
      </c>
      <c r="P396" t="e">
        <f>GETPIVOTDATA("Sum of A1-A3 Fossil kg CO2e/m^2 wall area",'COMPONENT PIVOT REF'!$I$3,"System Name",Table4[[#This Row],[Ext Finish]])</f>
        <v>#REF!</v>
      </c>
      <c r="Q396" t="e">
        <f>GETPIVOTDATA("Sum of  R value (m^2-K/W)",'COMPONENT PIVOT REF'!$I$3,"System Name",Table4[[#This Row],[Ext Finish]])</f>
        <v>#REF!</v>
      </c>
      <c r="R396" t="e">
        <f>GETPIVOTDATA("Sum of Total Mass per m^2 (kg)",'COMPONENT PIVOT REF'!$I$3,"System Name",Table4[[#This Row],[Ext Finish]])</f>
        <v>#REF!</v>
      </c>
      <c r="T396">
        <f>_xlfn.XLOOKUP(Table4[[#This Row],[Int Finish]],Master_Table6[System Name],Master_Table6[System Name (Short)],FALSE)</f>
        <v>0</v>
      </c>
      <c r="U396" t="e">
        <f>GETPIVOTDATA("Sum of A1-A3 Fossil kg CO2e/m^2 wall area",'COMPONENT PIVOT REF'!$P$3,"System Name",Table4[[#This Row],[Int Finish]])</f>
        <v>#REF!</v>
      </c>
      <c r="V396" t="e">
        <f>GETPIVOTDATA("Sum of  R value (m^2-K/W)",'COMPONENT PIVOT REF'!$P$3,"System Name",Table4[[#This Row],[Int Finish]])</f>
        <v>#REF!</v>
      </c>
      <c r="W396" t="e">
        <f>GETPIVOTDATA("Sum of Total Mass per m^2 (kg)",'COMPONENT PIVOT REF'!$P$3,"System Name",Table4[[#This Row],[Int Finish]])</f>
        <v>#REF!</v>
      </c>
      <c r="X396" t="e">
        <f>Table4[[#This Row],[Ext Finish GWP]]+Table4[[#This Row],[Base GWP]]+Table4[[#This Row],[Int Finish GWP]]</f>
        <v>#REF!</v>
      </c>
      <c r="Y396" t="e">
        <f>Table4[[#This Row],[Ext Finish R Value]]+Table4[[#This Row],[Base R Value]]+Table4[[#This Row],[Int Finish R Value]]</f>
        <v>#REF!</v>
      </c>
      <c r="Z396" t="e">
        <f>1/Table4[[#This Row],[Total R value]]</f>
        <v>#REF!</v>
      </c>
      <c r="AA396" t="e">
        <f>Table4[[#This Row],[Int Finish Mass]]+Table4[[#This Row],[Ext Finish Mass]]+Table4[[#This Row],[Base Mass]]</f>
        <v>#REF!</v>
      </c>
    </row>
    <row r="397" spans="3:27" x14ac:dyDescent="0.35">
      <c r="C397" t="str">
        <f>_xlfn.CONCAT(Table4[[#This Row],[System Name (Short)]],"_",Table4[[#This Row],[Ext Finish Name (Short)]],"_",Table4[[#This Row],[Int Finish Name (Short)]])</f>
        <v>0_0_0</v>
      </c>
      <c r="E397">
        <f>_xlfn.XLOOKUP(Table4[[#This Row],[Base System]],BASE_SYSTEM_TABLE[System Name],BASE_SYSTEM_TABLE[System Name (Short)],FALSE)</f>
        <v>0</v>
      </c>
      <c r="F397">
        <f>_xlfn.XLOOKUP(Table4[[#This Row],[Base System]],BASE_SYSTEM_TABLE[System Name],BASE_SYSTEM_TABLE[System Type],FALSE)</f>
        <v>0</v>
      </c>
      <c r="G397">
        <f>_xlfn.XLOOKUP(Table4[[#This Row],[Base System]],BASE_SYSTEM_TABLE[System Name],BASE_SYSTEM_TABLE[System Subtype],FALSE)</f>
        <v>0</v>
      </c>
      <c r="H397">
        <f>_xlfn.XLOOKUP(Table4[[#This Row],[Base System]],BASE_SYSTEM_TABLE[System Name],BASE_SYSTEM_TABLE[Construction Type (Framed or Planar)],FALSE)</f>
        <v>0</v>
      </c>
      <c r="I397" t="e">
        <f>GETPIVOTDATA("Sum of A1-A3 Fossil kg CO2e/m^2 wall area",'COMPONENT PIVOT REF'!$A$3,"System Name",Table4[[#This Row],[Base System]])</f>
        <v>#REF!</v>
      </c>
      <c r="J397" t="e">
        <f>GETPIVOTDATA("Sum of  R value (m^2-K/W)",'COMPONENT PIVOT REF'!$A$3,"System Name",Table4[[#This Row],[Base System]])</f>
        <v>#REF!</v>
      </c>
      <c r="K397" t="e">
        <f>GETPIVOTDATA("Sum of Total Mass per m^2 (kg)",'COMPONENT PIVOT REF'!$A$3,"System Name",Table4[[#This Row],[Base System]])</f>
        <v>#REF!</v>
      </c>
      <c r="M397">
        <f>_xlfn.XLOOKUP(Table4[[#This Row],[Ext Finish]],Master_Table4[System Name],Master_Table4[System Name (Short)],FALSE)</f>
        <v>0</v>
      </c>
      <c r="N397">
        <f>_xlfn.XLOOKUP(Table4[[#This Row],[Ext Finish]],Master_Table4[System Name],Master_Table4[Compatible Systems],FALSE)</f>
        <v>0</v>
      </c>
      <c r="O397" t="str">
        <f>IF(ISNUMBER(SEARCH(Table4[[#This Row],[MMC Method]],Table4[[#This Row],[Compatible Systems]])),"YES","NO")</f>
        <v>YES</v>
      </c>
      <c r="P397" t="e">
        <f>GETPIVOTDATA("Sum of A1-A3 Fossil kg CO2e/m^2 wall area",'COMPONENT PIVOT REF'!$I$3,"System Name",Table4[[#This Row],[Ext Finish]])</f>
        <v>#REF!</v>
      </c>
      <c r="Q397" t="e">
        <f>GETPIVOTDATA("Sum of  R value (m^2-K/W)",'COMPONENT PIVOT REF'!$I$3,"System Name",Table4[[#This Row],[Ext Finish]])</f>
        <v>#REF!</v>
      </c>
      <c r="R397" t="e">
        <f>GETPIVOTDATA("Sum of Total Mass per m^2 (kg)",'COMPONENT PIVOT REF'!$I$3,"System Name",Table4[[#This Row],[Ext Finish]])</f>
        <v>#REF!</v>
      </c>
      <c r="T397">
        <f>_xlfn.XLOOKUP(Table4[[#This Row],[Int Finish]],Master_Table6[System Name],Master_Table6[System Name (Short)],FALSE)</f>
        <v>0</v>
      </c>
      <c r="U397" t="e">
        <f>GETPIVOTDATA("Sum of A1-A3 Fossil kg CO2e/m^2 wall area",'COMPONENT PIVOT REF'!$P$3,"System Name",Table4[[#This Row],[Int Finish]])</f>
        <v>#REF!</v>
      </c>
      <c r="V397" t="e">
        <f>GETPIVOTDATA("Sum of  R value (m^2-K/W)",'COMPONENT PIVOT REF'!$P$3,"System Name",Table4[[#This Row],[Int Finish]])</f>
        <v>#REF!</v>
      </c>
      <c r="W397" t="e">
        <f>GETPIVOTDATA("Sum of Total Mass per m^2 (kg)",'COMPONENT PIVOT REF'!$P$3,"System Name",Table4[[#This Row],[Int Finish]])</f>
        <v>#REF!</v>
      </c>
      <c r="X397" t="e">
        <f>Table4[[#This Row],[Ext Finish GWP]]+Table4[[#This Row],[Base GWP]]+Table4[[#This Row],[Int Finish GWP]]</f>
        <v>#REF!</v>
      </c>
      <c r="Y397" t="e">
        <f>Table4[[#This Row],[Ext Finish R Value]]+Table4[[#This Row],[Base R Value]]+Table4[[#This Row],[Int Finish R Value]]</f>
        <v>#REF!</v>
      </c>
      <c r="Z397" t="e">
        <f>1/Table4[[#This Row],[Total R value]]</f>
        <v>#REF!</v>
      </c>
      <c r="AA397" t="e">
        <f>Table4[[#This Row],[Int Finish Mass]]+Table4[[#This Row],[Ext Finish Mass]]+Table4[[#This Row],[Base Mass]]</f>
        <v>#REF!</v>
      </c>
    </row>
    <row r="398" spans="3:27" x14ac:dyDescent="0.35">
      <c r="C398" t="str">
        <f>_xlfn.CONCAT(Table4[[#This Row],[System Name (Short)]],"_",Table4[[#This Row],[Ext Finish Name (Short)]],"_",Table4[[#This Row],[Int Finish Name (Short)]])</f>
        <v>0_0_0</v>
      </c>
      <c r="E398">
        <f>_xlfn.XLOOKUP(Table4[[#This Row],[Base System]],BASE_SYSTEM_TABLE[System Name],BASE_SYSTEM_TABLE[System Name (Short)],FALSE)</f>
        <v>0</v>
      </c>
      <c r="F398">
        <f>_xlfn.XLOOKUP(Table4[[#This Row],[Base System]],BASE_SYSTEM_TABLE[System Name],BASE_SYSTEM_TABLE[System Type],FALSE)</f>
        <v>0</v>
      </c>
      <c r="G398">
        <f>_xlfn.XLOOKUP(Table4[[#This Row],[Base System]],BASE_SYSTEM_TABLE[System Name],BASE_SYSTEM_TABLE[System Subtype],FALSE)</f>
        <v>0</v>
      </c>
      <c r="H398">
        <f>_xlfn.XLOOKUP(Table4[[#This Row],[Base System]],BASE_SYSTEM_TABLE[System Name],BASE_SYSTEM_TABLE[Construction Type (Framed or Planar)],FALSE)</f>
        <v>0</v>
      </c>
      <c r="I398" t="e">
        <f>GETPIVOTDATA("Sum of A1-A3 Fossil kg CO2e/m^2 wall area",'COMPONENT PIVOT REF'!$A$3,"System Name",Table4[[#This Row],[Base System]])</f>
        <v>#REF!</v>
      </c>
      <c r="J398" t="e">
        <f>GETPIVOTDATA("Sum of  R value (m^2-K/W)",'COMPONENT PIVOT REF'!$A$3,"System Name",Table4[[#This Row],[Base System]])</f>
        <v>#REF!</v>
      </c>
      <c r="K398" t="e">
        <f>GETPIVOTDATA("Sum of Total Mass per m^2 (kg)",'COMPONENT PIVOT REF'!$A$3,"System Name",Table4[[#This Row],[Base System]])</f>
        <v>#REF!</v>
      </c>
      <c r="M398">
        <f>_xlfn.XLOOKUP(Table4[[#This Row],[Ext Finish]],Master_Table4[System Name],Master_Table4[System Name (Short)],FALSE)</f>
        <v>0</v>
      </c>
      <c r="N398">
        <f>_xlfn.XLOOKUP(Table4[[#This Row],[Ext Finish]],Master_Table4[System Name],Master_Table4[Compatible Systems],FALSE)</f>
        <v>0</v>
      </c>
      <c r="O398" t="str">
        <f>IF(ISNUMBER(SEARCH(Table4[[#This Row],[MMC Method]],Table4[[#This Row],[Compatible Systems]])),"YES","NO")</f>
        <v>YES</v>
      </c>
      <c r="P398" t="e">
        <f>GETPIVOTDATA("Sum of A1-A3 Fossil kg CO2e/m^2 wall area",'COMPONENT PIVOT REF'!$I$3,"System Name",Table4[[#This Row],[Ext Finish]])</f>
        <v>#REF!</v>
      </c>
      <c r="Q398" t="e">
        <f>GETPIVOTDATA("Sum of  R value (m^2-K/W)",'COMPONENT PIVOT REF'!$I$3,"System Name",Table4[[#This Row],[Ext Finish]])</f>
        <v>#REF!</v>
      </c>
      <c r="R398" t="e">
        <f>GETPIVOTDATA("Sum of Total Mass per m^2 (kg)",'COMPONENT PIVOT REF'!$I$3,"System Name",Table4[[#This Row],[Ext Finish]])</f>
        <v>#REF!</v>
      </c>
      <c r="T398">
        <f>_xlfn.XLOOKUP(Table4[[#This Row],[Int Finish]],Master_Table6[System Name],Master_Table6[System Name (Short)],FALSE)</f>
        <v>0</v>
      </c>
      <c r="U398" t="e">
        <f>GETPIVOTDATA("Sum of A1-A3 Fossil kg CO2e/m^2 wall area",'COMPONENT PIVOT REF'!$P$3,"System Name",Table4[[#This Row],[Int Finish]])</f>
        <v>#REF!</v>
      </c>
      <c r="V398" t="e">
        <f>GETPIVOTDATA("Sum of  R value (m^2-K/W)",'COMPONENT PIVOT REF'!$P$3,"System Name",Table4[[#This Row],[Int Finish]])</f>
        <v>#REF!</v>
      </c>
      <c r="W398" t="e">
        <f>GETPIVOTDATA("Sum of Total Mass per m^2 (kg)",'COMPONENT PIVOT REF'!$P$3,"System Name",Table4[[#This Row],[Int Finish]])</f>
        <v>#REF!</v>
      </c>
      <c r="X398" t="e">
        <f>Table4[[#This Row],[Ext Finish GWP]]+Table4[[#This Row],[Base GWP]]+Table4[[#This Row],[Int Finish GWP]]</f>
        <v>#REF!</v>
      </c>
      <c r="Y398" t="e">
        <f>Table4[[#This Row],[Ext Finish R Value]]+Table4[[#This Row],[Base R Value]]+Table4[[#This Row],[Int Finish R Value]]</f>
        <v>#REF!</v>
      </c>
      <c r="Z398" t="e">
        <f>1/Table4[[#This Row],[Total R value]]</f>
        <v>#REF!</v>
      </c>
      <c r="AA398" t="e">
        <f>Table4[[#This Row],[Int Finish Mass]]+Table4[[#This Row],[Ext Finish Mass]]+Table4[[#This Row],[Base Mass]]</f>
        <v>#REF!</v>
      </c>
    </row>
    <row r="399" spans="3:27" x14ac:dyDescent="0.35">
      <c r="C399" t="str">
        <f>_xlfn.CONCAT(Table4[[#This Row],[System Name (Short)]],"_",Table4[[#This Row],[Ext Finish Name (Short)]],"_",Table4[[#This Row],[Int Finish Name (Short)]])</f>
        <v>0_0_0</v>
      </c>
      <c r="E399">
        <f>_xlfn.XLOOKUP(Table4[[#This Row],[Base System]],BASE_SYSTEM_TABLE[System Name],BASE_SYSTEM_TABLE[System Name (Short)],FALSE)</f>
        <v>0</v>
      </c>
      <c r="F399">
        <f>_xlfn.XLOOKUP(Table4[[#This Row],[Base System]],BASE_SYSTEM_TABLE[System Name],BASE_SYSTEM_TABLE[System Type],FALSE)</f>
        <v>0</v>
      </c>
      <c r="G399">
        <f>_xlfn.XLOOKUP(Table4[[#This Row],[Base System]],BASE_SYSTEM_TABLE[System Name],BASE_SYSTEM_TABLE[System Subtype],FALSE)</f>
        <v>0</v>
      </c>
      <c r="H399">
        <f>_xlfn.XLOOKUP(Table4[[#This Row],[Base System]],BASE_SYSTEM_TABLE[System Name],BASE_SYSTEM_TABLE[Construction Type (Framed or Planar)],FALSE)</f>
        <v>0</v>
      </c>
      <c r="I399" t="e">
        <f>GETPIVOTDATA("Sum of A1-A3 Fossil kg CO2e/m^2 wall area",'COMPONENT PIVOT REF'!$A$3,"System Name",Table4[[#This Row],[Base System]])</f>
        <v>#REF!</v>
      </c>
      <c r="J399" t="e">
        <f>GETPIVOTDATA("Sum of  R value (m^2-K/W)",'COMPONENT PIVOT REF'!$A$3,"System Name",Table4[[#This Row],[Base System]])</f>
        <v>#REF!</v>
      </c>
      <c r="K399" t="e">
        <f>GETPIVOTDATA("Sum of Total Mass per m^2 (kg)",'COMPONENT PIVOT REF'!$A$3,"System Name",Table4[[#This Row],[Base System]])</f>
        <v>#REF!</v>
      </c>
      <c r="M399">
        <f>_xlfn.XLOOKUP(Table4[[#This Row],[Ext Finish]],Master_Table4[System Name],Master_Table4[System Name (Short)],FALSE)</f>
        <v>0</v>
      </c>
      <c r="N399">
        <f>_xlfn.XLOOKUP(Table4[[#This Row],[Ext Finish]],Master_Table4[System Name],Master_Table4[Compatible Systems],FALSE)</f>
        <v>0</v>
      </c>
      <c r="O399" t="str">
        <f>IF(ISNUMBER(SEARCH(Table4[[#This Row],[MMC Method]],Table4[[#This Row],[Compatible Systems]])),"YES","NO")</f>
        <v>YES</v>
      </c>
      <c r="P399" t="e">
        <f>GETPIVOTDATA("Sum of A1-A3 Fossil kg CO2e/m^2 wall area",'COMPONENT PIVOT REF'!$I$3,"System Name",Table4[[#This Row],[Ext Finish]])</f>
        <v>#REF!</v>
      </c>
      <c r="Q399" t="e">
        <f>GETPIVOTDATA("Sum of  R value (m^2-K/W)",'COMPONENT PIVOT REF'!$I$3,"System Name",Table4[[#This Row],[Ext Finish]])</f>
        <v>#REF!</v>
      </c>
      <c r="R399" t="e">
        <f>GETPIVOTDATA("Sum of Total Mass per m^2 (kg)",'COMPONENT PIVOT REF'!$I$3,"System Name",Table4[[#This Row],[Ext Finish]])</f>
        <v>#REF!</v>
      </c>
      <c r="T399">
        <f>_xlfn.XLOOKUP(Table4[[#This Row],[Int Finish]],Master_Table6[System Name],Master_Table6[System Name (Short)],FALSE)</f>
        <v>0</v>
      </c>
      <c r="U399" t="e">
        <f>GETPIVOTDATA("Sum of A1-A3 Fossil kg CO2e/m^2 wall area",'COMPONENT PIVOT REF'!$P$3,"System Name",Table4[[#This Row],[Int Finish]])</f>
        <v>#REF!</v>
      </c>
      <c r="V399" t="e">
        <f>GETPIVOTDATA("Sum of  R value (m^2-K/W)",'COMPONENT PIVOT REF'!$P$3,"System Name",Table4[[#This Row],[Int Finish]])</f>
        <v>#REF!</v>
      </c>
      <c r="W399" t="e">
        <f>GETPIVOTDATA("Sum of Total Mass per m^2 (kg)",'COMPONENT PIVOT REF'!$P$3,"System Name",Table4[[#This Row],[Int Finish]])</f>
        <v>#REF!</v>
      </c>
      <c r="X399" t="e">
        <f>Table4[[#This Row],[Ext Finish GWP]]+Table4[[#This Row],[Base GWP]]+Table4[[#This Row],[Int Finish GWP]]</f>
        <v>#REF!</v>
      </c>
      <c r="Y399" t="e">
        <f>Table4[[#This Row],[Ext Finish R Value]]+Table4[[#This Row],[Base R Value]]+Table4[[#This Row],[Int Finish R Value]]</f>
        <v>#REF!</v>
      </c>
      <c r="Z399" t="e">
        <f>1/Table4[[#This Row],[Total R value]]</f>
        <v>#REF!</v>
      </c>
      <c r="AA399" t="e">
        <f>Table4[[#This Row],[Int Finish Mass]]+Table4[[#This Row],[Ext Finish Mass]]+Table4[[#This Row],[Base Mass]]</f>
        <v>#REF!</v>
      </c>
    </row>
    <row r="400" spans="3:27" x14ac:dyDescent="0.35">
      <c r="C400" t="str">
        <f>_xlfn.CONCAT(Table4[[#This Row],[System Name (Short)]],"_",Table4[[#This Row],[Ext Finish Name (Short)]],"_",Table4[[#This Row],[Int Finish Name (Short)]])</f>
        <v>0_0_0</v>
      </c>
      <c r="E400">
        <f>_xlfn.XLOOKUP(Table4[[#This Row],[Base System]],BASE_SYSTEM_TABLE[System Name],BASE_SYSTEM_TABLE[System Name (Short)],FALSE)</f>
        <v>0</v>
      </c>
      <c r="F400">
        <f>_xlfn.XLOOKUP(Table4[[#This Row],[Base System]],BASE_SYSTEM_TABLE[System Name],BASE_SYSTEM_TABLE[System Type],FALSE)</f>
        <v>0</v>
      </c>
      <c r="G400">
        <f>_xlfn.XLOOKUP(Table4[[#This Row],[Base System]],BASE_SYSTEM_TABLE[System Name],BASE_SYSTEM_TABLE[System Subtype],FALSE)</f>
        <v>0</v>
      </c>
      <c r="H400">
        <f>_xlfn.XLOOKUP(Table4[[#This Row],[Base System]],BASE_SYSTEM_TABLE[System Name],BASE_SYSTEM_TABLE[Construction Type (Framed or Planar)],FALSE)</f>
        <v>0</v>
      </c>
      <c r="I400" t="e">
        <f>GETPIVOTDATA("Sum of A1-A3 Fossil kg CO2e/m^2 wall area",'COMPONENT PIVOT REF'!$A$3,"System Name",Table4[[#This Row],[Base System]])</f>
        <v>#REF!</v>
      </c>
      <c r="J400" t="e">
        <f>GETPIVOTDATA("Sum of  R value (m^2-K/W)",'COMPONENT PIVOT REF'!$A$3,"System Name",Table4[[#This Row],[Base System]])</f>
        <v>#REF!</v>
      </c>
      <c r="K400" t="e">
        <f>GETPIVOTDATA("Sum of Total Mass per m^2 (kg)",'COMPONENT PIVOT REF'!$A$3,"System Name",Table4[[#This Row],[Base System]])</f>
        <v>#REF!</v>
      </c>
      <c r="M400">
        <f>_xlfn.XLOOKUP(Table4[[#This Row],[Ext Finish]],Master_Table4[System Name],Master_Table4[System Name (Short)],FALSE)</f>
        <v>0</v>
      </c>
      <c r="N400">
        <f>_xlfn.XLOOKUP(Table4[[#This Row],[Ext Finish]],Master_Table4[System Name],Master_Table4[Compatible Systems],FALSE)</f>
        <v>0</v>
      </c>
      <c r="O400" t="str">
        <f>IF(ISNUMBER(SEARCH(Table4[[#This Row],[MMC Method]],Table4[[#This Row],[Compatible Systems]])),"YES","NO")</f>
        <v>YES</v>
      </c>
      <c r="P400" t="e">
        <f>GETPIVOTDATA("Sum of A1-A3 Fossil kg CO2e/m^2 wall area",'COMPONENT PIVOT REF'!$I$3,"System Name",Table4[[#This Row],[Ext Finish]])</f>
        <v>#REF!</v>
      </c>
      <c r="Q400" t="e">
        <f>GETPIVOTDATA("Sum of  R value (m^2-K/W)",'COMPONENT PIVOT REF'!$I$3,"System Name",Table4[[#This Row],[Ext Finish]])</f>
        <v>#REF!</v>
      </c>
      <c r="R400" t="e">
        <f>GETPIVOTDATA("Sum of Total Mass per m^2 (kg)",'COMPONENT PIVOT REF'!$I$3,"System Name",Table4[[#This Row],[Ext Finish]])</f>
        <v>#REF!</v>
      </c>
      <c r="T400">
        <f>_xlfn.XLOOKUP(Table4[[#This Row],[Int Finish]],Master_Table6[System Name],Master_Table6[System Name (Short)],FALSE)</f>
        <v>0</v>
      </c>
      <c r="U400" t="e">
        <f>GETPIVOTDATA("Sum of A1-A3 Fossil kg CO2e/m^2 wall area",'COMPONENT PIVOT REF'!$P$3,"System Name",Table4[[#This Row],[Int Finish]])</f>
        <v>#REF!</v>
      </c>
      <c r="V400" t="e">
        <f>GETPIVOTDATA("Sum of  R value (m^2-K/W)",'COMPONENT PIVOT REF'!$P$3,"System Name",Table4[[#This Row],[Int Finish]])</f>
        <v>#REF!</v>
      </c>
      <c r="W400" t="e">
        <f>GETPIVOTDATA("Sum of Total Mass per m^2 (kg)",'COMPONENT PIVOT REF'!$P$3,"System Name",Table4[[#This Row],[Int Finish]])</f>
        <v>#REF!</v>
      </c>
      <c r="X400" t="e">
        <f>Table4[[#This Row],[Ext Finish GWP]]+Table4[[#This Row],[Base GWP]]+Table4[[#This Row],[Int Finish GWP]]</f>
        <v>#REF!</v>
      </c>
      <c r="Y400" t="e">
        <f>Table4[[#This Row],[Ext Finish R Value]]+Table4[[#This Row],[Base R Value]]+Table4[[#This Row],[Int Finish R Value]]</f>
        <v>#REF!</v>
      </c>
      <c r="Z400" t="e">
        <f>1/Table4[[#This Row],[Total R value]]</f>
        <v>#REF!</v>
      </c>
      <c r="AA400" t="e">
        <f>Table4[[#This Row],[Int Finish Mass]]+Table4[[#This Row],[Ext Finish Mass]]+Table4[[#This Row],[Base Mass]]</f>
        <v>#REF!</v>
      </c>
    </row>
    <row r="401" spans="3:27" x14ac:dyDescent="0.35">
      <c r="C401" t="str">
        <f>_xlfn.CONCAT(Table4[[#This Row],[System Name (Short)]],"_",Table4[[#This Row],[Ext Finish Name (Short)]],"_",Table4[[#This Row],[Int Finish Name (Short)]])</f>
        <v>0_0_0</v>
      </c>
      <c r="E401">
        <f>_xlfn.XLOOKUP(Table4[[#This Row],[Base System]],BASE_SYSTEM_TABLE[System Name],BASE_SYSTEM_TABLE[System Name (Short)],FALSE)</f>
        <v>0</v>
      </c>
      <c r="F401">
        <f>_xlfn.XLOOKUP(Table4[[#This Row],[Base System]],BASE_SYSTEM_TABLE[System Name],BASE_SYSTEM_TABLE[System Type],FALSE)</f>
        <v>0</v>
      </c>
      <c r="G401">
        <f>_xlfn.XLOOKUP(Table4[[#This Row],[Base System]],BASE_SYSTEM_TABLE[System Name],BASE_SYSTEM_TABLE[System Subtype],FALSE)</f>
        <v>0</v>
      </c>
      <c r="H401">
        <f>_xlfn.XLOOKUP(Table4[[#This Row],[Base System]],BASE_SYSTEM_TABLE[System Name],BASE_SYSTEM_TABLE[Construction Type (Framed or Planar)],FALSE)</f>
        <v>0</v>
      </c>
      <c r="I401" t="e">
        <f>GETPIVOTDATA("Sum of A1-A3 Fossil kg CO2e/m^2 wall area",'COMPONENT PIVOT REF'!$A$3,"System Name",Table4[[#This Row],[Base System]])</f>
        <v>#REF!</v>
      </c>
      <c r="J401" t="e">
        <f>GETPIVOTDATA("Sum of  R value (m^2-K/W)",'COMPONENT PIVOT REF'!$A$3,"System Name",Table4[[#This Row],[Base System]])</f>
        <v>#REF!</v>
      </c>
      <c r="K401" t="e">
        <f>GETPIVOTDATA("Sum of Total Mass per m^2 (kg)",'COMPONENT PIVOT REF'!$A$3,"System Name",Table4[[#This Row],[Base System]])</f>
        <v>#REF!</v>
      </c>
      <c r="M401">
        <f>_xlfn.XLOOKUP(Table4[[#This Row],[Ext Finish]],Master_Table4[System Name],Master_Table4[System Name (Short)],FALSE)</f>
        <v>0</v>
      </c>
      <c r="N401">
        <f>_xlfn.XLOOKUP(Table4[[#This Row],[Ext Finish]],Master_Table4[System Name],Master_Table4[Compatible Systems],FALSE)</f>
        <v>0</v>
      </c>
      <c r="O401" t="str">
        <f>IF(ISNUMBER(SEARCH(Table4[[#This Row],[MMC Method]],Table4[[#This Row],[Compatible Systems]])),"YES","NO")</f>
        <v>YES</v>
      </c>
      <c r="P401" t="e">
        <f>GETPIVOTDATA("Sum of A1-A3 Fossil kg CO2e/m^2 wall area",'COMPONENT PIVOT REF'!$I$3,"System Name",Table4[[#This Row],[Ext Finish]])</f>
        <v>#REF!</v>
      </c>
      <c r="Q401" t="e">
        <f>GETPIVOTDATA("Sum of  R value (m^2-K/W)",'COMPONENT PIVOT REF'!$I$3,"System Name",Table4[[#This Row],[Ext Finish]])</f>
        <v>#REF!</v>
      </c>
      <c r="R401" t="e">
        <f>GETPIVOTDATA("Sum of Total Mass per m^2 (kg)",'COMPONENT PIVOT REF'!$I$3,"System Name",Table4[[#This Row],[Ext Finish]])</f>
        <v>#REF!</v>
      </c>
      <c r="T401">
        <f>_xlfn.XLOOKUP(Table4[[#This Row],[Int Finish]],Master_Table6[System Name],Master_Table6[System Name (Short)],FALSE)</f>
        <v>0</v>
      </c>
      <c r="U401" t="e">
        <f>GETPIVOTDATA("Sum of A1-A3 Fossil kg CO2e/m^2 wall area",'COMPONENT PIVOT REF'!$P$3,"System Name",Table4[[#This Row],[Int Finish]])</f>
        <v>#REF!</v>
      </c>
      <c r="V401" t="e">
        <f>GETPIVOTDATA("Sum of  R value (m^2-K/W)",'COMPONENT PIVOT REF'!$P$3,"System Name",Table4[[#This Row],[Int Finish]])</f>
        <v>#REF!</v>
      </c>
      <c r="W401" t="e">
        <f>GETPIVOTDATA("Sum of Total Mass per m^2 (kg)",'COMPONENT PIVOT REF'!$P$3,"System Name",Table4[[#This Row],[Int Finish]])</f>
        <v>#REF!</v>
      </c>
      <c r="X401" t="e">
        <f>Table4[[#This Row],[Ext Finish GWP]]+Table4[[#This Row],[Base GWP]]+Table4[[#This Row],[Int Finish GWP]]</f>
        <v>#REF!</v>
      </c>
      <c r="Y401" t="e">
        <f>Table4[[#This Row],[Ext Finish R Value]]+Table4[[#This Row],[Base R Value]]+Table4[[#This Row],[Int Finish R Value]]</f>
        <v>#REF!</v>
      </c>
      <c r="Z401" t="e">
        <f>1/Table4[[#This Row],[Total R value]]</f>
        <v>#REF!</v>
      </c>
      <c r="AA401" t="e">
        <f>Table4[[#This Row],[Int Finish Mass]]+Table4[[#This Row],[Ext Finish Mass]]+Table4[[#This Row],[Base Mass]]</f>
        <v>#REF!</v>
      </c>
    </row>
    <row r="402" spans="3:27" x14ac:dyDescent="0.35">
      <c r="C402" t="str">
        <f>_xlfn.CONCAT(Table4[[#This Row],[System Name (Short)]],"_",Table4[[#This Row],[Ext Finish Name (Short)]],"_",Table4[[#This Row],[Int Finish Name (Short)]])</f>
        <v>0_0_0</v>
      </c>
      <c r="E402">
        <f>_xlfn.XLOOKUP(Table4[[#This Row],[Base System]],BASE_SYSTEM_TABLE[System Name],BASE_SYSTEM_TABLE[System Name (Short)],FALSE)</f>
        <v>0</v>
      </c>
      <c r="F402">
        <f>_xlfn.XLOOKUP(Table4[[#This Row],[Base System]],BASE_SYSTEM_TABLE[System Name],BASE_SYSTEM_TABLE[System Type],FALSE)</f>
        <v>0</v>
      </c>
      <c r="G402">
        <f>_xlfn.XLOOKUP(Table4[[#This Row],[Base System]],BASE_SYSTEM_TABLE[System Name],BASE_SYSTEM_TABLE[System Subtype],FALSE)</f>
        <v>0</v>
      </c>
      <c r="H402">
        <f>_xlfn.XLOOKUP(Table4[[#This Row],[Base System]],BASE_SYSTEM_TABLE[System Name],BASE_SYSTEM_TABLE[Construction Type (Framed or Planar)],FALSE)</f>
        <v>0</v>
      </c>
      <c r="I402" t="e">
        <f>GETPIVOTDATA("Sum of A1-A3 Fossil kg CO2e/m^2 wall area",'COMPONENT PIVOT REF'!$A$3,"System Name",Table4[[#This Row],[Base System]])</f>
        <v>#REF!</v>
      </c>
      <c r="J402" t="e">
        <f>GETPIVOTDATA("Sum of  R value (m^2-K/W)",'COMPONENT PIVOT REF'!$A$3,"System Name",Table4[[#This Row],[Base System]])</f>
        <v>#REF!</v>
      </c>
      <c r="K402" t="e">
        <f>GETPIVOTDATA("Sum of Total Mass per m^2 (kg)",'COMPONENT PIVOT REF'!$A$3,"System Name",Table4[[#This Row],[Base System]])</f>
        <v>#REF!</v>
      </c>
      <c r="M402">
        <f>_xlfn.XLOOKUP(Table4[[#This Row],[Ext Finish]],Master_Table4[System Name],Master_Table4[System Name (Short)],FALSE)</f>
        <v>0</v>
      </c>
      <c r="N402">
        <f>_xlfn.XLOOKUP(Table4[[#This Row],[Ext Finish]],Master_Table4[System Name],Master_Table4[Compatible Systems],FALSE)</f>
        <v>0</v>
      </c>
      <c r="O402" t="str">
        <f>IF(ISNUMBER(SEARCH(Table4[[#This Row],[MMC Method]],Table4[[#This Row],[Compatible Systems]])),"YES","NO")</f>
        <v>YES</v>
      </c>
      <c r="P402" t="e">
        <f>GETPIVOTDATA("Sum of A1-A3 Fossil kg CO2e/m^2 wall area",'COMPONENT PIVOT REF'!$I$3,"System Name",Table4[[#This Row],[Ext Finish]])</f>
        <v>#REF!</v>
      </c>
      <c r="Q402" t="e">
        <f>GETPIVOTDATA("Sum of  R value (m^2-K/W)",'COMPONENT PIVOT REF'!$I$3,"System Name",Table4[[#This Row],[Ext Finish]])</f>
        <v>#REF!</v>
      </c>
      <c r="R402" t="e">
        <f>GETPIVOTDATA("Sum of Total Mass per m^2 (kg)",'COMPONENT PIVOT REF'!$I$3,"System Name",Table4[[#This Row],[Ext Finish]])</f>
        <v>#REF!</v>
      </c>
      <c r="T402">
        <f>_xlfn.XLOOKUP(Table4[[#This Row],[Int Finish]],Master_Table6[System Name],Master_Table6[System Name (Short)],FALSE)</f>
        <v>0</v>
      </c>
      <c r="U402" t="e">
        <f>GETPIVOTDATA("Sum of A1-A3 Fossil kg CO2e/m^2 wall area",'COMPONENT PIVOT REF'!$P$3,"System Name",Table4[[#This Row],[Int Finish]])</f>
        <v>#REF!</v>
      </c>
      <c r="V402" t="e">
        <f>GETPIVOTDATA("Sum of  R value (m^2-K/W)",'COMPONENT PIVOT REF'!$P$3,"System Name",Table4[[#This Row],[Int Finish]])</f>
        <v>#REF!</v>
      </c>
      <c r="W402" t="e">
        <f>GETPIVOTDATA("Sum of Total Mass per m^2 (kg)",'COMPONENT PIVOT REF'!$P$3,"System Name",Table4[[#This Row],[Int Finish]])</f>
        <v>#REF!</v>
      </c>
      <c r="X402" t="e">
        <f>Table4[[#This Row],[Ext Finish GWP]]+Table4[[#This Row],[Base GWP]]+Table4[[#This Row],[Int Finish GWP]]</f>
        <v>#REF!</v>
      </c>
      <c r="Y402" t="e">
        <f>Table4[[#This Row],[Ext Finish R Value]]+Table4[[#This Row],[Base R Value]]+Table4[[#This Row],[Int Finish R Value]]</f>
        <v>#REF!</v>
      </c>
      <c r="Z402" t="e">
        <f>1/Table4[[#This Row],[Total R value]]</f>
        <v>#REF!</v>
      </c>
      <c r="AA402" t="e">
        <f>Table4[[#This Row],[Int Finish Mass]]+Table4[[#This Row],[Ext Finish Mass]]+Table4[[#This Row],[Base Mass]]</f>
        <v>#REF!</v>
      </c>
    </row>
    <row r="403" spans="3:27" x14ac:dyDescent="0.35">
      <c r="C403" t="str">
        <f>_xlfn.CONCAT(Table4[[#This Row],[System Name (Short)]],"_",Table4[[#This Row],[Ext Finish Name (Short)]],"_",Table4[[#This Row],[Int Finish Name (Short)]])</f>
        <v>0_0_0</v>
      </c>
      <c r="E403">
        <f>_xlfn.XLOOKUP(Table4[[#This Row],[Base System]],BASE_SYSTEM_TABLE[System Name],BASE_SYSTEM_TABLE[System Name (Short)],FALSE)</f>
        <v>0</v>
      </c>
      <c r="F403">
        <f>_xlfn.XLOOKUP(Table4[[#This Row],[Base System]],BASE_SYSTEM_TABLE[System Name],BASE_SYSTEM_TABLE[System Type],FALSE)</f>
        <v>0</v>
      </c>
      <c r="G403">
        <f>_xlfn.XLOOKUP(Table4[[#This Row],[Base System]],BASE_SYSTEM_TABLE[System Name],BASE_SYSTEM_TABLE[System Subtype],FALSE)</f>
        <v>0</v>
      </c>
      <c r="H403">
        <f>_xlfn.XLOOKUP(Table4[[#This Row],[Base System]],BASE_SYSTEM_TABLE[System Name],BASE_SYSTEM_TABLE[Construction Type (Framed or Planar)],FALSE)</f>
        <v>0</v>
      </c>
      <c r="I403" t="e">
        <f>GETPIVOTDATA("Sum of A1-A3 Fossil kg CO2e/m^2 wall area",'COMPONENT PIVOT REF'!$A$3,"System Name",Table4[[#This Row],[Base System]])</f>
        <v>#REF!</v>
      </c>
      <c r="J403" t="e">
        <f>GETPIVOTDATA("Sum of  R value (m^2-K/W)",'COMPONENT PIVOT REF'!$A$3,"System Name",Table4[[#This Row],[Base System]])</f>
        <v>#REF!</v>
      </c>
      <c r="K403" t="e">
        <f>GETPIVOTDATA("Sum of Total Mass per m^2 (kg)",'COMPONENT PIVOT REF'!$A$3,"System Name",Table4[[#This Row],[Base System]])</f>
        <v>#REF!</v>
      </c>
      <c r="M403">
        <f>_xlfn.XLOOKUP(Table4[[#This Row],[Ext Finish]],Master_Table4[System Name],Master_Table4[System Name (Short)],FALSE)</f>
        <v>0</v>
      </c>
      <c r="N403">
        <f>_xlfn.XLOOKUP(Table4[[#This Row],[Ext Finish]],Master_Table4[System Name],Master_Table4[Compatible Systems],FALSE)</f>
        <v>0</v>
      </c>
      <c r="O403" t="str">
        <f>IF(ISNUMBER(SEARCH(Table4[[#This Row],[MMC Method]],Table4[[#This Row],[Compatible Systems]])),"YES","NO")</f>
        <v>YES</v>
      </c>
      <c r="P403" t="e">
        <f>GETPIVOTDATA("Sum of A1-A3 Fossil kg CO2e/m^2 wall area",'COMPONENT PIVOT REF'!$I$3,"System Name",Table4[[#This Row],[Ext Finish]])</f>
        <v>#REF!</v>
      </c>
      <c r="Q403" t="e">
        <f>GETPIVOTDATA("Sum of  R value (m^2-K/W)",'COMPONENT PIVOT REF'!$I$3,"System Name",Table4[[#This Row],[Ext Finish]])</f>
        <v>#REF!</v>
      </c>
      <c r="R403" t="e">
        <f>GETPIVOTDATA("Sum of Total Mass per m^2 (kg)",'COMPONENT PIVOT REF'!$I$3,"System Name",Table4[[#This Row],[Ext Finish]])</f>
        <v>#REF!</v>
      </c>
      <c r="T403">
        <f>_xlfn.XLOOKUP(Table4[[#This Row],[Int Finish]],Master_Table6[System Name],Master_Table6[System Name (Short)],FALSE)</f>
        <v>0</v>
      </c>
      <c r="U403" t="e">
        <f>GETPIVOTDATA("Sum of A1-A3 Fossil kg CO2e/m^2 wall area",'COMPONENT PIVOT REF'!$P$3,"System Name",Table4[[#This Row],[Int Finish]])</f>
        <v>#REF!</v>
      </c>
      <c r="V403" t="e">
        <f>GETPIVOTDATA("Sum of  R value (m^2-K/W)",'COMPONENT PIVOT REF'!$P$3,"System Name",Table4[[#This Row],[Int Finish]])</f>
        <v>#REF!</v>
      </c>
      <c r="W403" t="e">
        <f>GETPIVOTDATA("Sum of Total Mass per m^2 (kg)",'COMPONENT PIVOT REF'!$P$3,"System Name",Table4[[#This Row],[Int Finish]])</f>
        <v>#REF!</v>
      </c>
      <c r="X403" t="e">
        <f>Table4[[#This Row],[Ext Finish GWP]]+Table4[[#This Row],[Base GWP]]+Table4[[#This Row],[Int Finish GWP]]</f>
        <v>#REF!</v>
      </c>
      <c r="Y403" t="e">
        <f>Table4[[#This Row],[Ext Finish R Value]]+Table4[[#This Row],[Base R Value]]+Table4[[#This Row],[Int Finish R Value]]</f>
        <v>#REF!</v>
      </c>
      <c r="Z403" t="e">
        <f>1/Table4[[#This Row],[Total R value]]</f>
        <v>#REF!</v>
      </c>
      <c r="AA403" t="e">
        <f>Table4[[#This Row],[Int Finish Mass]]+Table4[[#This Row],[Ext Finish Mass]]+Table4[[#This Row],[Base Mass]]</f>
        <v>#REF!</v>
      </c>
    </row>
    <row r="404" spans="3:27" x14ac:dyDescent="0.35">
      <c r="C404" t="str">
        <f>_xlfn.CONCAT(Table4[[#This Row],[System Name (Short)]],"_",Table4[[#This Row],[Ext Finish Name (Short)]],"_",Table4[[#This Row],[Int Finish Name (Short)]])</f>
        <v>0_0_0</v>
      </c>
      <c r="E404">
        <f>_xlfn.XLOOKUP(Table4[[#This Row],[Base System]],BASE_SYSTEM_TABLE[System Name],BASE_SYSTEM_TABLE[System Name (Short)],FALSE)</f>
        <v>0</v>
      </c>
      <c r="F404">
        <f>_xlfn.XLOOKUP(Table4[[#This Row],[Base System]],BASE_SYSTEM_TABLE[System Name],BASE_SYSTEM_TABLE[System Type],FALSE)</f>
        <v>0</v>
      </c>
      <c r="G404">
        <f>_xlfn.XLOOKUP(Table4[[#This Row],[Base System]],BASE_SYSTEM_TABLE[System Name],BASE_SYSTEM_TABLE[System Subtype],FALSE)</f>
        <v>0</v>
      </c>
      <c r="H404">
        <f>_xlfn.XLOOKUP(Table4[[#This Row],[Base System]],BASE_SYSTEM_TABLE[System Name],BASE_SYSTEM_TABLE[Construction Type (Framed or Planar)],FALSE)</f>
        <v>0</v>
      </c>
      <c r="I404" t="e">
        <f>GETPIVOTDATA("Sum of A1-A3 Fossil kg CO2e/m^2 wall area",'COMPONENT PIVOT REF'!$A$3,"System Name",Table4[[#This Row],[Base System]])</f>
        <v>#REF!</v>
      </c>
      <c r="J404" t="e">
        <f>GETPIVOTDATA("Sum of  R value (m^2-K/W)",'COMPONENT PIVOT REF'!$A$3,"System Name",Table4[[#This Row],[Base System]])</f>
        <v>#REF!</v>
      </c>
      <c r="K404" t="e">
        <f>GETPIVOTDATA("Sum of Total Mass per m^2 (kg)",'COMPONENT PIVOT REF'!$A$3,"System Name",Table4[[#This Row],[Base System]])</f>
        <v>#REF!</v>
      </c>
      <c r="M404">
        <f>_xlfn.XLOOKUP(Table4[[#This Row],[Ext Finish]],Master_Table4[System Name],Master_Table4[System Name (Short)],FALSE)</f>
        <v>0</v>
      </c>
      <c r="N404">
        <f>_xlfn.XLOOKUP(Table4[[#This Row],[Ext Finish]],Master_Table4[System Name],Master_Table4[Compatible Systems],FALSE)</f>
        <v>0</v>
      </c>
      <c r="O404" t="str">
        <f>IF(ISNUMBER(SEARCH(Table4[[#This Row],[MMC Method]],Table4[[#This Row],[Compatible Systems]])),"YES","NO")</f>
        <v>YES</v>
      </c>
      <c r="P404" t="e">
        <f>GETPIVOTDATA("Sum of A1-A3 Fossil kg CO2e/m^2 wall area",'COMPONENT PIVOT REF'!$I$3,"System Name",Table4[[#This Row],[Ext Finish]])</f>
        <v>#REF!</v>
      </c>
      <c r="Q404" t="e">
        <f>GETPIVOTDATA("Sum of  R value (m^2-K/W)",'COMPONENT PIVOT REF'!$I$3,"System Name",Table4[[#This Row],[Ext Finish]])</f>
        <v>#REF!</v>
      </c>
      <c r="R404" t="e">
        <f>GETPIVOTDATA("Sum of Total Mass per m^2 (kg)",'COMPONENT PIVOT REF'!$I$3,"System Name",Table4[[#This Row],[Ext Finish]])</f>
        <v>#REF!</v>
      </c>
      <c r="T404">
        <f>_xlfn.XLOOKUP(Table4[[#This Row],[Int Finish]],Master_Table6[System Name],Master_Table6[System Name (Short)],FALSE)</f>
        <v>0</v>
      </c>
      <c r="U404" t="e">
        <f>GETPIVOTDATA("Sum of A1-A3 Fossil kg CO2e/m^2 wall area",'COMPONENT PIVOT REF'!$P$3,"System Name",Table4[[#This Row],[Int Finish]])</f>
        <v>#REF!</v>
      </c>
      <c r="V404" t="e">
        <f>GETPIVOTDATA("Sum of  R value (m^2-K/W)",'COMPONENT PIVOT REF'!$P$3,"System Name",Table4[[#This Row],[Int Finish]])</f>
        <v>#REF!</v>
      </c>
      <c r="W404" t="e">
        <f>GETPIVOTDATA("Sum of Total Mass per m^2 (kg)",'COMPONENT PIVOT REF'!$P$3,"System Name",Table4[[#This Row],[Int Finish]])</f>
        <v>#REF!</v>
      </c>
      <c r="X404" t="e">
        <f>Table4[[#This Row],[Ext Finish GWP]]+Table4[[#This Row],[Base GWP]]+Table4[[#This Row],[Int Finish GWP]]</f>
        <v>#REF!</v>
      </c>
      <c r="Y404" t="e">
        <f>Table4[[#This Row],[Ext Finish R Value]]+Table4[[#This Row],[Base R Value]]+Table4[[#This Row],[Int Finish R Value]]</f>
        <v>#REF!</v>
      </c>
      <c r="Z404" t="e">
        <f>1/Table4[[#This Row],[Total R value]]</f>
        <v>#REF!</v>
      </c>
      <c r="AA404" t="e">
        <f>Table4[[#This Row],[Int Finish Mass]]+Table4[[#This Row],[Ext Finish Mass]]+Table4[[#This Row],[Base Mass]]</f>
        <v>#REF!</v>
      </c>
    </row>
    <row r="405" spans="3:27" x14ac:dyDescent="0.35">
      <c r="C405" t="str">
        <f>_xlfn.CONCAT(Table4[[#This Row],[System Name (Short)]],"_",Table4[[#This Row],[Ext Finish Name (Short)]],"_",Table4[[#This Row],[Int Finish Name (Short)]])</f>
        <v>0_0_0</v>
      </c>
      <c r="E405">
        <f>_xlfn.XLOOKUP(Table4[[#This Row],[Base System]],BASE_SYSTEM_TABLE[System Name],BASE_SYSTEM_TABLE[System Name (Short)],FALSE)</f>
        <v>0</v>
      </c>
      <c r="F405">
        <f>_xlfn.XLOOKUP(Table4[[#This Row],[Base System]],BASE_SYSTEM_TABLE[System Name],BASE_SYSTEM_TABLE[System Type],FALSE)</f>
        <v>0</v>
      </c>
      <c r="G405">
        <f>_xlfn.XLOOKUP(Table4[[#This Row],[Base System]],BASE_SYSTEM_TABLE[System Name],BASE_SYSTEM_TABLE[System Subtype],FALSE)</f>
        <v>0</v>
      </c>
      <c r="H405">
        <f>_xlfn.XLOOKUP(Table4[[#This Row],[Base System]],BASE_SYSTEM_TABLE[System Name],BASE_SYSTEM_TABLE[Construction Type (Framed or Planar)],FALSE)</f>
        <v>0</v>
      </c>
      <c r="I405" t="e">
        <f>GETPIVOTDATA("Sum of A1-A3 Fossil kg CO2e/m^2 wall area",'COMPONENT PIVOT REF'!$A$3,"System Name",Table4[[#This Row],[Base System]])</f>
        <v>#REF!</v>
      </c>
      <c r="J405" t="e">
        <f>GETPIVOTDATA("Sum of  R value (m^2-K/W)",'COMPONENT PIVOT REF'!$A$3,"System Name",Table4[[#This Row],[Base System]])</f>
        <v>#REF!</v>
      </c>
      <c r="K405" t="e">
        <f>GETPIVOTDATA("Sum of Total Mass per m^2 (kg)",'COMPONENT PIVOT REF'!$A$3,"System Name",Table4[[#This Row],[Base System]])</f>
        <v>#REF!</v>
      </c>
      <c r="M405">
        <f>_xlfn.XLOOKUP(Table4[[#This Row],[Ext Finish]],Master_Table4[System Name],Master_Table4[System Name (Short)],FALSE)</f>
        <v>0</v>
      </c>
      <c r="N405">
        <f>_xlfn.XLOOKUP(Table4[[#This Row],[Ext Finish]],Master_Table4[System Name],Master_Table4[Compatible Systems],FALSE)</f>
        <v>0</v>
      </c>
      <c r="O405" t="str">
        <f>IF(ISNUMBER(SEARCH(Table4[[#This Row],[MMC Method]],Table4[[#This Row],[Compatible Systems]])),"YES","NO")</f>
        <v>YES</v>
      </c>
      <c r="P405" t="e">
        <f>GETPIVOTDATA("Sum of A1-A3 Fossil kg CO2e/m^2 wall area",'COMPONENT PIVOT REF'!$I$3,"System Name",Table4[[#This Row],[Ext Finish]])</f>
        <v>#REF!</v>
      </c>
      <c r="Q405" t="e">
        <f>GETPIVOTDATA("Sum of  R value (m^2-K/W)",'COMPONENT PIVOT REF'!$I$3,"System Name",Table4[[#This Row],[Ext Finish]])</f>
        <v>#REF!</v>
      </c>
      <c r="R405" t="e">
        <f>GETPIVOTDATA("Sum of Total Mass per m^2 (kg)",'COMPONENT PIVOT REF'!$I$3,"System Name",Table4[[#This Row],[Ext Finish]])</f>
        <v>#REF!</v>
      </c>
      <c r="T405">
        <f>_xlfn.XLOOKUP(Table4[[#This Row],[Int Finish]],Master_Table6[System Name],Master_Table6[System Name (Short)],FALSE)</f>
        <v>0</v>
      </c>
      <c r="U405" t="e">
        <f>GETPIVOTDATA("Sum of A1-A3 Fossil kg CO2e/m^2 wall area",'COMPONENT PIVOT REF'!$P$3,"System Name",Table4[[#This Row],[Int Finish]])</f>
        <v>#REF!</v>
      </c>
      <c r="V405" t="e">
        <f>GETPIVOTDATA("Sum of  R value (m^2-K/W)",'COMPONENT PIVOT REF'!$P$3,"System Name",Table4[[#This Row],[Int Finish]])</f>
        <v>#REF!</v>
      </c>
      <c r="W405" t="e">
        <f>GETPIVOTDATA("Sum of Total Mass per m^2 (kg)",'COMPONENT PIVOT REF'!$P$3,"System Name",Table4[[#This Row],[Int Finish]])</f>
        <v>#REF!</v>
      </c>
      <c r="X405" t="e">
        <f>Table4[[#This Row],[Ext Finish GWP]]+Table4[[#This Row],[Base GWP]]+Table4[[#This Row],[Int Finish GWP]]</f>
        <v>#REF!</v>
      </c>
      <c r="Y405" t="e">
        <f>Table4[[#This Row],[Ext Finish R Value]]+Table4[[#This Row],[Base R Value]]+Table4[[#This Row],[Int Finish R Value]]</f>
        <v>#REF!</v>
      </c>
      <c r="Z405" t="e">
        <f>1/Table4[[#This Row],[Total R value]]</f>
        <v>#REF!</v>
      </c>
      <c r="AA405" t="e">
        <f>Table4[[#This Row],[Int Finish Mass]]+Table4[[#This Row],[Ext Finish Mass]]+Table4[[#This Row],[Base Mass]]</f>
        <v>#REF!</v>
      </c>
    </row>
    <row r="406" spans="3:27" x14ac:dyDescent="0.35">
      <c r="C406" t="str">
        <f>_xlfn.CONCAT(Table4[[#This Row],[System Name (Short)]],"_",Table4[[#This Row],[Ext Finish Name (Short)]],"_",Table4[[#This Row],[Int Finish Name (Short)]])</f>
        <v>0_0_0</v>
      </c>
      <c r="E406">
        <f>_xlfn.XLOOKUP(Table4[[#This Row],[Base System]],BASE_SYSTEM_TABLE[System Name],BASE_SYSTEM_TABLE[System Name (Short)],FALSE)</f>
        <v>0</v>
      </c>
      <c r="F406">
        <f>_xlfn.XLOOKUP(Table4[[#This Row],[Base System]],BASE_SYSTEM_TABLE[System Name],BASE_SYSTEM_TABLE[System Type],FALSE)</f>
        <v>0</v>
      </c>
      <c r="G406">
        <f>_xlfn.XLOOKUP(Table4[[#This Row],[Base System]],BASE_SYSTEM_TABLE[System Name],BASE_SYSTEM_TABLE[System Subtype],FALSE)</f>
        <v>0</v>
      </c>
      <c r="H406">
        <f>_xlfn.XLOOKUP(Table4[[#This Row],[Base System]],BASE_SYSTEM_TABLE[System Name],BASE_SYSTEM_TABLE[Construction Type (Framed or Planar)],FALSE)</f>
        <v>0</v>
      </c>
      <c r="I406" t="e">
        <f>GETPIVOTDATA("Sum of A1-A3 Fossil kg CO2e/m^2 wall area",'COMPONENT PIVOT REF'!$A$3,"System Name",Table4[[#This Row],[Base System]])</f>
        <v>#REF!</v>
      </c>
      <c r="J406" t="e">
        <f>GETPIVOTDATA("Sum of  R value (m^2-K/W)",'COMPONENT PIVOT REF'!$A$3,"System Name",Table4[[#This Row],[Base System]])</f>
        <v>#REF!</v>
      </c>
      <c r="K406" t="e">
        <f>GETPIVOTDATA("Sum of Total Mass per m^2 (kg)",'COMPONENT PIVOT REF'!$A$3,"System Name",Table4[[#This Row],[Base System]])</f>
        <v>#REF!</v>
      </c>
      <c r="M406">
        <f>_xlfn.XLOOKUP(Table4[[#This Row],[Ext Finish]],Master_Table4[System Name],Master_Table4[System Name (Short)],FALSE)</f>
        <v>0</v>
      </c>
      <c r="N406">
        <f>_xlfn.XLOOKUP(Table4[[#This Row],[Ext Finish]],Master_Table4[System Name],Master_Table4[Compatible Systems],FALSE)</f>
        <v>0</v>
      </c>
      <c r="O406" t="str">
        <f>IF(ISNUMBER(SEARCH(Table4[[#This Row],[MMC Method]],Table4[[#This Row],[Compatible Systems]])),"YES","NO")</f>
        <v>YES</v>
      </c>
      <c r="P406" t="e">
        <f>GETPIVOTDATA("Sum of A1-A3 Fossil kg CO2e/m^2 wall area",'COMPONENT PIVOT REF'!$I$3,"System Name",Table4[[#This Row],[Ext Finish]])</f>
        <v>#REF!</v>
      </c>
      <c r="Q406" t="e">
        <f>GETPIVOTDATA("Sum of  R value (m^2-K/W)",'COMPONENT PIVOT REF'!$I$3,"System Name",Table4[[#This Row],[Ext Finish]])</f>
        <v>#REF!</v>
      </c>
      <c r="R406" t="e">
        <f>GETPIVOTDATA("Sum of Total Mass per m^2 (kg)",'COMPONENT PIVOT REF'!$I$3,"System Name",Table4[[#This Row],[Ext Finish]])</f>
        <v>#REF!</v>
      </c>
      <c r="T406">
        <f>_xlfn.XLOOKUP(Table4[[#This Row],[Int Finish]],Master_Table6[System Name],Master_Table6[System Name (Short)],FALSE)</f>
        <v>0</v>
      </c>
      <c r="U406" t="e">
        <f>GETPIVOTDATA("Sum of A1-A3 Fossil kg CO2e/m^2 wall area",'COMPONENT PIVOT REF'!$P$3,"System Name",Table4[[#This Row],[Int Finish]])</f>
        <v>#REF!</v>
      </c>
      <c r="V406" t="e">
        <f>GETPIVOTDATA("Sum of  R value (m^2-K/W)",'COMPONENT PIVOT REF'!$P$3,"System Name",Table4[[#This Row],[Int Finish]])</f>
        <v>#REF!</v>
      </c>
      <c r="W406" t="e">
        <f>GETPIVOTDATA("Sum of Total Mass per m^2 (kg)",'COMPONENT PIVOT REF'!$P$3,"System Name",Table4[[#This Row],[Int Finish]])</f>
        <v>#REF!</v>
      </c>
      <c r="X406" t="e">
        <f>Table4[[#This Row],[Ext Finish GWP]]+Table4[[#This Row],[Base GWP]]+Table4[[#This Row],[Int Finish GWP]]</f>
        <v>#REF!</v>
      </c>
      <c r="Y406" t="e">
        <f>Table4[[#This Row],[Ext Finish R Value]]+Table4[[#This Row],[Base R Value]]+Table4[[#This Row],[Int Finish R Value]]</f>
        <v>#REF!</v>
      </c>
      <c r="Z406" t="e">
        <f>1/Table4[[#This Row],[Total R value]]</f>
        <v>#REF!</v>
      </c>
      <c r="AA406" t="e">
        <f>Table4[[#This Row],[Int Finish Mass]]+Table4[[#This Row],[Ext Finish Mass]]+Table4[[#This Row],[Base Mass]]</f>
        <v>#REF!</v>
      </c>
    </row>
    <row r="407" spans="3:27" x14ac:dyDescent="0.35">
      <c r="C407" t="str">
        <f>_xlfn.CONCAT(Table4[[#This Row],[System Name (Short)]],"_",Table4[[#This Row],[Ext Finish Name (Short)]],"_",Table4[[#This Row],[Int Finish Name (Short)]])</f>
        <v>0_0_0</v>
      </c>
      <c r="E407">
        <f>_xlfn.XLOOKUP(Table4[[#This Row],[Base System]],BASE_SYSTEM_TABLE[System Name],BASE_SYSTEM_TABLE[System Name (Short)],FALSE)</f>
        <v>0</v>
      </c>
      <c r="F407">
        <f>_xlfn.XLOOKUP(Table4[[#This Row],[Base System]],BASE_SYSTEM_TABLE[System Name],BASE_SYSTEM_TABLE[System Type],FALSE)</f>
        <v>0</v>
      </c>
      <c r="G407">
        <f>_xlfn.XLOOKUP(Table4[[#This Row],[Base System]],BASE_SYSTEM_TABLE[System Name],BASE_SYSTEM_TABLE[System Subtype],FALSE)</f>
        <v>0</v>
      </c>
      <c r="H407">
        <f>_xlfn.XLOOKUP(Table4[[#This Row],[Base System]],BASE_SYSTEM_TABLE[System Name],BASE_SYSTEM_TABLE[Construction Type (Framed or Planar)],FALSE)</f>
        <v>0</v>
      </c>
      <c r="I407" t="e">
        <f>GETPIVOTDATA("Sum of A1-A3 Fossil kg CO2e/m^2 wall area",'COMPONENT PIVOT REF'!$A$3,"System Name",Table4[[#This Row],[Base System]])</f>
        <v>#REF!</v>
      </c>
      <c r="J407" t="e">
        <f>GETPIVOTDATA("Sum of  R value (m^2-K/W)",'COMPONENT PIVOT REF'!$A$3,"System Name",Table4[[#This Row],[Base System]])</f>
        <v>#REF!</v>
      </c>
      <c r="K407" t="e">
        <f>GETPIVOTDATA("Sum of Total Mass per m^2 (kg)",'COMPONENT PIVOT REF'!$A$3,"System Name",Table4[[#This Row],[Base System]])</f>
        <v>#REF!</v>
      </c>
      <c r="M407">
        <f>_xlfn.XLOOKUP(Table4[[#This Row],[Ext Finish]],Master_Table4[System Name],Master_Table4[System Name (Short)],FALSE)</f>
        <v>0</v>
      </c>
      <c r="N407">
        <f>_xlfn.XLOOKUP(Table4[[#This Row],[Ext Finish]],Master_Table4[System Name],Master_Table4[Compatible Systems],FALSE)</f>
        <v>0</v>
      </c>
      <c r="O407" t="str">
        <f>IF(ISNUMBER(SEARCH(Table4[[#This Row],[MMC Method]],Table4[[#This Row],[Compatible Systems]])),"YES","NO")</f>
        <v>YES</v>
      </c>
      <c r="P407" t="e">
        <f>GETPIVOTDATA("Sum of A1-A3 Fossil kg CO2e/m^2 wall area",'COMPONENT PIVOT REF'!$I$3,"System Name",Table4[[#This Row],[Ext Finish]])</f>
        <v>#REF!</v>
      </c>
      <c r="Q407" t="e">
        <f>GETPIVOTDATA("Sum of  R value (m^2-K/W)",'COMPONENT PIVOT REF'!$I$3,"System Name",Table4[[#This Row],[Ext Finish]])</f>
        <v>#REF!</v>
      </c>
      <c r="R407" t="e">
        <f>GETPIVOTDATA("Sum of Total Mass per m^2 (kg)",'COMPONENT PIVOT REF'!$I$3,"System Name",Table4[[#This Row],[Ext Finish]])</f>
        <v>#REF!</v>
      </c>
      <c r="T407">
        <f>_xlfn.XLOOKUP(Table4[[#This Row],[Int Finish]],Master_Table6[System Name],Master_Table6[System Name (Short)],FALSE)</f>
        <v>0</v>
      </c>
      <c r="U407" t="e">
        <f>GETPIVOTDATA("Sum of A1-A3 Fossil kg CO2e/m^2 wall area",'COMPONENT PIVOT REF'!$P$3,"System Name",Table4[[#This Row],[Int Finish]])</f>
        <v>#REF!</v>
      </c>
      <c r="V407" t="e">
        <f>GETPIVOTDATA("Sum of  R value (m^2-K/W)",'COMPONENT PIVOT REF'!$P$3,"System Name",Table4[[#This Row],[Int Finish]])</f>
        <v>#REF!</v>
      </c>
      <c r="W407" t="e">
        <f>GETPIVOTDATA("Sum of Total Mass per m^2 (kg)",'COMPONENT PIVOT REF'!$P$3,"System Name",Table4[[#This Row],[Int Finish]])</f>
        <v>#REF!</v>
      </c>
      <c r="X407" t="e">
        <f>Table4[[#This Row],[Ext Finish GWP]]+Table4[[#This Row],[Base GWP]]+Table4[[#This Row],[Int Finish GWP]]</f>
        <v>#REF!</v>
      </c>
      <c r="Y407" t="e">
        <f>Table4[[#This Row],[Ext Finish R Value]]+Table4[[#This Row],[Base R Value]]+Table4[[#This Row],[Int Finish R Value]]</f>
        <v>#REF!</v>
      </c>
      <c r="Z407" t="e">
        <f>1/Table4[[#This Row],[Total R value]]</f>
        <v>#REF!</v>
      </c>
      <c r="AA407" t="e">
        <f>Table4[[#This Row],[Int Finish Mass]]+Table4[[#This Row],[Ext Finish Mass]]+Table4[[#This Row],[Base Mass]]</f>
        <v>#REF!</v>
      </c>
    </row>
    <row r="408" spans="3:27" x14ac:dyDescent="0.35">
      <c r="C408" t="str">
        <f>_xlfn.CONCAT(Table4[[#This Row],[System Name (Short)]],"_",Table4[[#This Row],[Ext Finish Name (Short)]],"_",Table4[[#This Row],[Int Finish Name (Short)]])</f>
        <v>0_0_0</v>
      </c>
      <c r="E408">
        <f>_xlfn.XLOOKUP(Table4[[#This Row],[Base System]],BASE_SYSTEM_TABLE[System Name],BASE_SYSTEM_TABLE[System Name (Short)],FALSE)</f>
        <v>0</v>
      </c>
      <c r="F408">
        <f>_xlfn.XLOOKUP(Table4[[#This Row],[Base System]],BASE_SYSTEM_TABLE[System Name],BASE_SYSTEM_TABLE[System Type],FALSE)</f>
        <v>0</v>
      </c>
      <c r="G408">
        <f>_xlfn.XLOOKUP(Table4[[#This Row],[Base System]],BASE_SYSTEM_TABLE[System Name],BASE_SYSTEM_TABLE[System Subtype],FALSE)</f>
        <v>0</v>
      </c>
      <c r="H408">
        <f>_xlfn.XLOOKUP(Table4[[#This Row],[Base System]],BASE_SYSTEM_TABLE[System Name],BASE_SYSTEM_TABLE[Construction Type (Framed or Planar)],FALSE)</f>
        <v>0</v>
      </c>
      <c r="I408" t="e">
        <f>GETPIVOTDATA("Sum of A1-A3 Fossil kg CO2e/m^2 wall area",'COMPONENT PIVOT REF'!$A$3,"System Name",Table4[[#This Row],[Base System]])</f>
        <v>#REF!</v>
      </c>
      <c r="J408" t="e">
        <f>GETPIVOTDATA("Sum of  R value (m^2-K/W)",'COMPONENT PIVOT REF'!$A$3,"System Name",Table4[[#This Row],[Base System]])</f>
        <v>#REF!</v>
      </c>
      <c r="K408" t="e">
        <f>GETPIVOTDATA("Sum of Total Mass per m^2 (kg)",'COMPONENT PIVOT REF'!$A$3,"System Name",Table4[[#This Row],[Base System]])</f>
        <v>#REF!</v>
      </c>
      <c r="M408">
        <f>_xlfn.XLOOKUP(Table4[[#This Row],[Ext Finish]],Master_Table4[System Name],Master_Table4[System Name (Short)],FALSE)</f>
        <v>0</v>
      </c>
      <c r="N408">
        <f>_xlfn.XLOOKUP(Table4[[#This Row],[Ext Finish]],Master_Table4[System Name],Master_Table4[Compatible Systems],FALSE)</f>
        <v>0</v>
      </c>
      <c r="O408" t="str">
        <f>IF(ISNUMBER(SEARCH(Table4[[#This Row],[MMC Method]],Table4[[#This Row],[Compatible Systems]])),"YES","NO")</f>
        <v>YES</v>
      </c>
      <c r="P408" t="e">
        <f>GETPIVOTDATA("Sum of A1-A3 Fossil kg CO2e/m^2 wall area",'COMPONENT PIVOT REF'!$I$3,"System Name",Table4[[#This Row],[Ext Finish]])</f>
        <v>#REF!</v>
      </c>
      <c r="Q408" t="e">
        <f>GETPIVOTDATA("Sum of  R value (m^2-K/W)",'COMPONENT PIVOT REF'!$I$3,"System Name",Table4[[#This Row],[Ext Finish]])</f>
        <v>#REF!</v>
      </c>
      <c r="R408" t="e">
        <f>GETPIVOTDATA("Sum of Total Mass per m^2 (kg)",'COMPONENT PIVOT REF'!$I$3,"System Name",Table4[[#This Row],[Ext Finish]])</f>
        <v>#REF!</v>
      </c>
      <c r="T408">
        <f>_xlfn.XLOOKUP(Table4[[#This Row],[Int Finish]],Master_Table6[System Name],Master_Table6[System Name (Short)],FALSE)</f>
        <v>0</v>
      </c>
      <c r="U408" t="e">
        <f>GETPIVOTDATA("Sum of A1-A3 Fossil kg CO2e/m^2 wall area",'COMPONENT PIVOT REF'!$P$3,"System Name",Table4[[#This Row],[Int Finish]])</f>
        <v>#REF!</v>
      </c>
      <c r="V408" t="e">
        <f>GETPIVOTDATA("Sum of  R value (m^2-K/W)",'COMPONENT PIVOT REF'!$P$3,"System Name",Table4[[#This Row],[Int Finish]])</f>
        <v>#REF!</v>
      </c>
      <c r="W408" t="e">
        <f>GETPIVOTDATA("Sum of Total Mass per m^2 (kg)",'COMPONENT PIVOT REF'!$P$3,"System Name",Table4[[#This Row],[Int Finish]])</f>
        <v>#REF!</v>
      </c>
      <c r="X408" t="e">
        <f>Table4[[#This Row],[Ext Finish GWP]]+Table4[[#This Row],[Base GWP]]+Table4[[#This Row],[Int Finish GWP]]</f>
        <v>#REF!</v>
      </c>
      <c r="Y408" t="e">
        <f>Table4[[#This Row],[Ext Finish R Value]]+Table4[[#This Row],[Base R Value]]+Table4[[#This Row],[Int Finish R Value]]</f>
        <v>#REF!</v>
      </c>
      <c r="Z408" t="e">
        <f>1/Table4[[#This Row],[Total R value]]</f>
        <v>#REF!</v>
      </c>
      <c r="AA408" t="e">
        <f>Table4[[#This Row],[Int Finish Mass]]+Table4[[#This Row],[Ext Finish Mass]]+Table4[[#This Row],[Base Mass]]</f>
        <v>#REF!</v>
      </c>
    </row>
    <row r="409" spans="3:27" x14ac:dyDescent="0.35">
      <c r="C409" t="str">
        <f>_xlfn.CONCAT(Table4[[#This Row],[System Name (Short)]],"_",Table4[[#This Row],[Ext Finish Name (Short)]],"_",Table4[[#This Row],[Int Finish Name (Short)]])</f>
        <v>0_0_0</v>
      </c>
      <c r="E409">
        <f>_xlfn.XLOOKUP(Table4[[#This Row],[Base System]],BASE_SYSTEM_TABLE[System Name],BASE_SYSTEM_TABLE[System Name (Short)],FALSE)</f>
        <v>0</v>
      </c>
      <c r="F409">
        <f>_xlfn.XLOOKUP(Table4[[#This Row],[Base System]],BASE_SYSTEM_TABLE[System Name],BASE_SYSTEM_TABLE[System Type],FALSE)</f>
        <v>0</v>
      </c>
      <c r="G409">
        <f>_xlfn.XLOOKUP(Table4[[#This Row],[Base System]],BASE_SYSTEM_TABLE[System Name],BASE_SYSTEM_TABLE[System Subtype],FALSE)</f>
        <v>0</v>
      </c>
      <c r="H409">
        <f>_xlfn.XLOOKUP(Table4[[#This Row],[Base System]],BASE_SYSTEM_TABLE[System Name],BASE_SYSTEM_TABLE[Construction Type (Framed or Planar)],FALSE)</f>
        <v>0</v>
      </c>
      <c r="I409" t="e">
        <f>GETPIVOTDATA("Sum of A1-A3 Fossil kg CO2e/m^2 wall area",'COMPONENT PIVOT REF'!$A$3,"System Name",Table4[[#This Row],[Base System]])</f>
        <v>#REF!</v>
      </c>
      <c r="J409" t="e">
        <f>GETPIVOTDATA("Sum of  R value (m^2-K/W)",'COMPONENT PIVOT REF'!$A$3,"System Name",Table4[[#This Row],[Base System]])</f>
        <v>#REF!</v>
      </c>
      <c r="K409" t="e">
        <f>GETPIVOTDATA("Sum of Total Mass per m^2 (kg)",'COMPONENT PIVOT REF'!$A$3,"System Name",Table4[[#This Row],[Base System]])</f>
        <v>#REF!</v>
      </c>
      <c r="M409">
        <f>_xlfn.XLOOKUP(Table4[[#This Row],[Ext Finish]],Master_Table4[System Name],Master_Table4[System Name (Short)],FALSE)</f>
        <v>0</v>
      </c>
      <c r="N409">
        <f>_xlfn.XLOOKUP(Table4[[#This Row],[Ext Finish]],Master_Table4[System Name],Master_Table4[Compatible Systems],FALSE)</f>
        <v>0</v>
      </c>
      <c r="O409" t="str">
        <f>IF(ISNUMBER(SEARCH(Table4[[#This Row],[MMC Method]],Table4[[#This Row],[Compatible Systems]])),"YES","NO")</f>
        <v>YES</v>
      </c>
      <c r="P409" t="e">
        <f>GETPIVOTDATA("Sum of A1-A3 Fossil kg CO2e/m^2 wall area",'COMPONENT PIVOT REF'!$I$3,"System Name",Table4[[#This Row],[Ext Finish]])</f>
        <v>#REF!</v>
      </c>
      <c r="Q409" t="e">
        <f>GETPIVOTDATA("Sum of  R value (m^2-K/W)",'COMPONENT PIVOT REF'!$I$3,"System Name",Table4[[#This Row],[Ext Finish]])</f>
        <v>#REF!</v>
      </c>
      <c r="R409" t="e">
        <f>GETPIVOTDATA("Sum of Total Mass per m^2 (kg)",'COMPONENT PIVOT REF'!$I$3,"System Name",Table4[[#This Row],[Ext Finish]])</f>
        <v>#REF!</v>
      </c>
      <c r="T409">
        <f>_xlfn.XLOOKUP(Table4[[#This Row],[Int Finish]],Master_Table6[System Name],Master_Table6[System Name (Short)],FALSE)</f>
        <v>0</v>
      </c>
      <c r="U409" t="e">
        <f>GETPIVOTDATA("Sum of A1-A3 Fossil kg CO2e/m^2 wall area",'COMPONENT PIVOT REF'!$P$3,"System Name",Table4[[#This Row],[Int Finish]])</f>
        <v>#REF!</v>
      </c>
      <c r="V409" t="e">
        <f>GETPIVOTDATA("Sum of  R value (m^2-K/W)",'COMPONENT PIVOT REF'!$P$3,"System Name",Table4[[#This Row],[Int Finish]])</f>
        <v>#REF!</v>
      </c>
      <c r="W409" t="e">
        <f>GETPIVOTDATA("Sum of Total Mass per m^2 (kg)",'COMPONENT PIVOT REF'!$P$3,"System Name",Table4[[#This Row],[Int Finish]])</f>
        <v>#REF!</v>
      </c>
      <c r="X409" t="e">
        <f>Table4[[#This Row],[Ext Finish GWP]]+Table4[[#This Row],[Base GWP]]+Table4[[#This Row],[Int Finish GWP]]</f>
        <v>#REF!</v>
      </c>
      <c r="Y409" t="e">
        <f>Table4[[#This Row],[Ext Finish R Value]]+Table4[[#This Row],[Base R Value]]+Table4[[#This Row],[Int Finish R Value]]</f>
        <v>#REF!</v>
      </c>
      <c r="Z409" t="e">
        <f>1/Table4[[#This Row],[Total R value]]</f>
        <v>#REF!</v>
      </c>
      <c r="AA409" t="e">
        <f>Table4[[#This Row],[Int Finish Mass]]+Table4[[#This Row],[Ext Finish Mass]]+Table4[[#This Row],[Base Mass]]</f>
        <v>#REF!</v>
      </c>
    </row>
    <row r="410" spans="3:27" x14ac:dyDescent="0.35">
      <c r="C410" t="str">
        <f>_xlfn.CONCAT(Table4[[#This Row],[System Name (Short)]],"_",Table4[[#This Row],[Ext Finish Name (Short)]],"_",Table4[[#This Row],[Int Finish Name (Short)]])</f>
        <v>0_0_0</v>
      </c>
      <c r="E410">
        <f>_xlfn.XLOOKUP(Table4[[#This Row],[Base System]],BASE_SYSTEM_TABLE[System Name],BASE_SYSTEM_TABLE[System Name (Short)],FALSE)</f>
        <v>0</v>
      </c>
      <c r="F410">
        <f>_xlfn.XLOOKUP(Table4[[#This Row],[Base System]],BASE_SYSTEM_TABLE[System Name],BASE_SYSTEM_TABLE[System Type],FALSE)</f>
        <v>0</v>
      </c>
      <c r="G410">
        <f>_xlfn.XLOOKUP(Table4[[#This Row],[Base System]],BASE_SYSTEM_TABLE[System Name],BASE_SYSTEM_TABLE[System Subtype],FALSE)</f>
        <v>0</v>
      </c>
      <c r="H410">
        <f>_xlfn.XLOOKUP(Table4[[#This Row],[Base System]],BASE_SYSTEM_TABLE[System Name],BASE_SYSTEM_TABLE[Construction Type (Framed or Planar)],FALSE)</f>
        <v>0</v>
      </c>
      <c r="I410" t="e">
        <f>GETPIVOTDATA("Sum of A1-A3 Fossil kg CO2e/m^2 wall area",'COMPONENT PIVOT REF'!$A$3,"System Name",Table4[[#This Row],[Base System]])</f>
        <v>#REF!</v>
      </c>
      <c r="J410" t="e">
        <f>GETPIVOTDATA("Sum of  R value (m^2-K/W)",'COMPONENT PIVOT REF'!$A$3,"System Name",Table4[[#This Row],[Base System]])</f>
        <v>#REF!</v>
      </c>
      <c r="K410" t="e">
        <f>GETPIVOTDATA("Sum of Total Mass per m^2 (kg)",'COMPONENT PIVOT REF'!$A$3,"System Name",Table4[[#This Row],[Base System]])</f>
        <v>#REF!</v>
      </c>
      <c r="M410">
        <f>_xlfn.XLOOKUP(Table4[[#This Row],[Ext Finish]],Master_Table4[System Name],Master_Table4[System Name (Short)],FALSE)</f>
        <v>0</v>
      </c>
      <c r="N410">
        <f>_xlfn.XLOOKUP(Table4[[#This Row],[Ext Finish]],Master_Table4[System Name],Master_Table4[Compatible Systems],FALSE)</f>
        <v>0</v>
      </c>
      <c r="O410" t="str">
        <f>IF(ISNUMBER(SEARCH(Table4[[#This Row],[MMC Method]],Table4[[#This Row],[Compatible Systems]])),"YES","NO")</f>
        <v>YES</v>
      </c>
      <c r="P410" t="e">
        <f>GETPIVOTDATA("Sum of A1-A3 Fossil kg CO2e/m^2 wall area",'COMPONENT PIVOT REF'!$I$3,"System Name",Table4[[#This Row],[Ext Finish]])</f>
        <v>#REF!</v>
      </c>
      <c r="Q410" t="e">
        <f>GETPIVOTDATA("Sum of  R value (m^2-K/W)",'COMPONENT PIVOT REF'!$I$3,"System Name",Table4[[#This Row],[Ext Finish]])</f>
        <v>#REF!</v>
      </c>
      <c r="R410" t="e">
        <f>GETPIVOTDATA("Sum of Total Mass per m^2 (kg)",'COMPONENT PIVOT REF'!$I$3,"System Name",Table4[[#This Row],[Ext Finish]])</f>
        <v>#REF!</v>
      </c>
      <c r="T410">
        <f>_xlfn.XLOOKUP(Table4[[#This Row],[Int Finish]],Master_Table6[System Name],Master_Table6[System Name (Short)],FALSE)</f>
        <v>0</v>
      </c>
      <c r="U410" t="e">
        <f>GETPIVOTDATA("Sum of A1-A3 Fossil kg CO2e/m^2 wall area",'COMPONENT PIVOT REF'!$P$3,"System Name",Table4[[#This Row],[Int Finish]])</f>
        <v>#REF!</v>
      </c>
      <c r="V410" t="e">
        <f>GETPIVOTDATA("Sum of  R value (m^2-K/W)",'COMPONENT PIVOT REF'!$P$3,"System Name",Table4[[#This Row],[Int Finish]])</f>
        <v>#REF!</v>
      </c>
      <c r="W410" t="e">
        <f>GETPIVOTDATA("Sum of Total Mass per m^2 (kg)",'COMPONENT PIVOT REF'!$P$3,"System Name",Table4[[#This Row],[Int Finish]])</f>
        <v>#REF!</v>
      </c>
      <c r="X410" t="e">
        <f>Table4[[#This Row],[Ext Finish GWP]]+Table4[[#This Row],[Base GWP]]+Table4[[#This Row],[Int Finish GWP]]</f>
        <v>#REF!</v>
      </c>
      <c r="Y410" t="e">
        <f>Table4[[#This Row],[Ext Finish R Value]]+Table4[[#This Row],[Base R Value]]+Table4[[#This Row],[Int Finish R Value]]</f>
        <v>#REF!</v>
      </c>
      <c r="Z410" t="e">
        <f>1/Table4[[#This Row],[Total R value]]</f>
        <v>#REF!</v>
      </c>
      <c r="AA410" t="e">
        <f>Table4[[#This Row],[Int Finish Mass]]+Table4[[#This Row],[Ext Finish Mass]]+Table4[[#This Row],[Base Mass]]</f>
        <v>#REF!</v>
      </c>
    </row>
    <row r="411" spans="3:27" x14ac:dyDescent="0.35">
      <c r="C411" t="str">
        <f>_xlfn.CONCAT(Table4[[#This Row],[System Name (Short)]],"_",Table4[[#This Row],[Ext Finish Name (Short)]],"_",Table4[[#This Row],[Int Finish Name (Short)]])</f>
        <v>0_0_0</v>
      </c>
      <c r="E411">
        <f>_xlfn.XLOOKUP(Table4[[#This Row],[Base System]],BASE_SYSTEM_TABLE[System Name],BASE_SYSTEM_TABLE[System Name (Short)],FALSE)</f>
        <v>0</v>
      </c>
      <c r="F411">
        <f>_xlfn.XLOOKUP(Table4[[#This Row],[Base System]],BASE_SYSTEM_TABLE[System Name],BASE_SYSTEM_TABLE[System Type],FALSE)</f>
        <v>0</v>
      </c>
      <c r="G411">
        <f>_xlfn.XLOOKUP(Table4[[#This Row],[Base System]],BASE_SYSTEM_TABLE[System Name],BASE_SYSTEM_TABLE[System Subtype],FALSE)</f>
        <v>0</v>
      </c>
      <c r="H411">
        <f>_xlfn.XLOOKUP(Table4[[#This Row],[Base System]],BASE_SYSTEM_TABLE[System Name],BASE_SYSTEM_TABLE[Construction Type (Framed or Planar)],FALSE)</f>
        <v>0</v>
      </c>
      <c r="I411" t="e">
        <f>GETPIVOTDATA("Sum of A1-A3 Fossil kg CO2e/m^2 wall area",'COMPONENT PIVOT REF'!$A$3,"System Name",Table4[[#This Row],[Base System]])</f>
        <v>#REF!</v>
      </c>
      <c r="J411" t="e">
        <f>GETPIVOTDATA("Sum of  R value (m^2-K/W)",'COMPONENT PIVOT REF'!$A$3,"System Name",Table4[[#This Row],[Base System]])</f>
        <v>#REF!</v>
      </c>
      <c r="K411" t="e">
        <f>GETPIVOTDATA("Sum of Total Mass per m^2 (kg)",'COMPONENT PIVOT REF'!$A$3,"System Name",Table4[[#This Row],[Base System]])</f>
        <v>#REF!</v>
      </c>
      <c r="M411">
        <f>_xlfn.XLOOKUP(Table4[[#This Row],[Ext Finish]],Master_Table4[System Name],Master_Table4[System Name (Short)],FALSE)</f>
        <v>0</v>
      </c>
      <c r="N411">
        <f>_xlfn.XLOOKUP(Table4[[#This Row],[Ext Finish]],Master_Table4[System Name],Master_Table4[Compatible Systems],FALSE)</f>
        <v>0</v>
      </c>
      <c r="O411" t="str">
        <f>IF(ISNUMBER(SEARCH(Table4[[#This Row],[MMC Method]],Table4[[#This Row],[Compatible Systems]])),"YES","NO")</f>
        <v>YES</v>
      </c>
      <c r="P411" t="e">
        <f>GETPIVOTDATA("Sum of A1-A3 Fossil kg CO2e/m^2 wall area",'COMPONENT PIVOT REF'!$I$3,"System Name",Table4[[#This Row],[Ext Finish]])</f>
        <v>#REF!</v>
      </c>
      <c r="Q411" t="e">
        <f>GETPIVOTDATA("Sum of  R value (m^2-K/W)",'COMPONENT PIVOT REF'!$I$3,"System Name",Table4[[#This Row],[Ext Finish]])</f>
        <v>#REF!</v>
      </c>
      <c r="R411" t="e">
        <f>GETPIVOTDATA("Sum of Total Mass per m^2 (kg)",'COMPONENT PIVOT REF'!$I$3,"System Name",Table4[[#This Row],[Ext Finish]])</f>
        <v>#REF!</v>
      </c>
      <c r="T411">
        <f>_xlfn.XLOOKUP(Table4[[#This Row],[Int Finish]],Master_Table6[System Name],Master_Table6[System Name (Short)],FALSE)</f>
        <v>0</v>
      </c>
      <c r="U411" t="e">
        <f>GETPIVOTDATA("Sum of A1-A3 Fossil kg CO2e/m^2 wall area",'COMPONENT PIVOT REF'!$P$3,"System Name",Table4[[#This Row],[Int Finish]])</f>
        <v>#REF!</v>
      </c>
      <c r="V411" t="e">
        <f>GETPIVOTDATA("Sum of  R value (m^2-K/W)",'COMPONENT PIVOT REF'!$P$3,"System Name",Table4[[#This Row],[Int Finish]])</f>
        <v>#REF!</v>
      </c>
      <c r="W411" t="e">
        <f>GETPIVOTDATA("Sum of Total Mass per m^2 (kg)",'COMPONENT PIVOT REF'!$P$3,"System Name",Table4[[#This Row],[Int Finish]])</f>
        <v>#REF!</v>
      </c>
      <c r="X411" t="e">
        <f>Table4[[#This Row],[Ext Finish GWP]]+Table4[[#This Row],[Base GWP]]+Table4[[#This Row],[Int Finish GWP]]</f>
        <v>#REF!</v>
      </c>
      <c r="Y411" t="e">
        <f>Table4[[#This Row],[Ext Finish R Value]]+Table4[[#This Row],[Base R Value]]+Table4[[#This Row],[Int Finish R Value]]</f>
        <v>#REF!</v>
      </c>
      <c r="Z411" t="e">
        <f>1/Table4[[#This Row],[Total R value]]</f>
        <v>#REF!</v>
      </c>
      <c r="AA411" t="e">
        <f>Table4[[#This Row],[Int Finish Mass]]+Table4[[#This Row],[Ext Finish Mass]]+Table4[[#This Row],[Base Mass]]</f>
        <v>#REF!</v>
      </c>
    </row>
    <row r="412" spans="3:27" x14ac:dyDescent="0.35">
      <c r="C412" t="str">
        <f>_xlfn.CONCAT(Table4[[#This Row],[System Name (Short)]],"_",Table4[[#This Row],[Ext Finish Name (Short)]],"_",Table4[[#This Row],[Int Finish Name (Short)]])</f>
        <v>0_0_0</v>
      </c>
      <c r="E412">
        <f>_xlfn.XLOOKUP(Table4[[#This Row],[Base System]],BASE_SYSTEM_TABLE[System Name],BASE_SYSTEM_TABLE[System Name (Short)],FALSE)</f>
        <v>0</v>
      </c>
      <c r="F412">
        <f>_xlfn.XLOOKUP(Table4[[#This Row],[Base System]],BASE_SYSTEM_TABLE[System Name],BASE_SYSTEM_TABLE[System Type],FALSE)</f>
        <v>0</v>
      </c>
      <c r="G412">
        <f>_xlfn.XLOOKUP(Table4[[#This Row],[Base System]],BASE_SYSTEM_TABLE[System Name],BASE_SYSTEM_TABLE[System Subtype],FALSE)</f>
        <v>0</v>
      </c>
      <c r="H412">
        <f>_xlfn.XLOOKUP(Table4[[#This Row],[Base System]],BASE_SYSTEM_TABLE[System Name],BASE_SYSTEM_TABLE[Construction Type (Framed or Planar)],FALSE)</f>
        <v>0</v>
      </c>
      <c r="I412" t="e">
        <f>GETPIVOTDATA("Sum of A1-A3 Fossil kg CO2e/m^2 wall area",'COMPONENT PIVOT REF'!$A$3,"System Name",Table4[[#This Row],[Base System]])</f>
        <v>#REF!</v>
      </c>
      <c r="J412" t="e">
        <f>GETPIVOTDATA("Sum of  R value (m^2-K/W)",'COMPONENT PIVOT REF'!$A$3,"System Name",Table4[[#This Row],[Base System]])</f>
        <v>#REF!</v>
      </c>
      <c r="K412" t="e">
        <f>GETPIVOTDATA("Sum of Total Mass per m^2 (kg)",'COMPONENT PIVOT REF'!$A$3,"System Name",Table4[[#This Row],[Base System]])</f>
        <v>#REF!</v>
      </c>
      <c r="M412">
        <f>_xlfn.XLOOKUP(Table4[[#This Row],[Ext Finish]],Master_Table4[System Name],Master_Table4[System Name (Short)],FALSE)</f>
        <v>0</v>
      </c>
      <c r="N412">
        <f>_xlfn.XLOOKUP(Table4[[#This Row],[Ext Finish]],Master_Table4[System Name],Master_Table4[Compatible Systems],FALSE)</f>
        <v>0</v>
      </c>
      <c r="O412" t="str">
        <f>IF(ISNUMBER(SEARCH(Table4[[#This Row],[MMC Method]],Table4[[#This Row],[Compatible Systems]])),"YES","NO")</f>
        <v>YES</v>
      </c>
      <c r="P412" t="e">
        <f>GETPIVOTDATA("Sum of A1-A3 Fossil kg CO2e/m^2 wall area",'COMPONENT PIVOT REF'!$I$3,"System Name",Table4[[#This Row],[Ext Finish]])</f>
        <v>#REF!</v>
      </c>
      <c r="Q412" t="e">
        <f>GETPIVOTDATA("Sum of  R value (m^2-K/W)",'COMPONENT PIVOT REF'!$I$3,"System Name",Table4[[#This Row],[Ext Finish]])</f>
        <v>#REF!</v>
      </c>
      <c r="R412" t="e">
        <f>GETPIVOTDATA("Sum of Total Mass per m^2 (kg)",'COMPONENT PIVOT REF'!$I$3,"System Name",Table4[[#This Row],[Ext Finish]])</f>
        <v>#REF!</v>
      </c>
      <c r="T412">
        <f>_xlfn.XLOOKUP(Table4[[#This Row],[Int Finish]],Master_Table6[System Name],Master_Table6[System Name (Short)],FALSE)</f>
        <v>0</v>
      </c>
      <c r="U412" t="e">
        <f>GETPIVOTDATA("Sum of A1-A3 Fossil kg CO2e/m^2 wall area",'COMPONENT PIVOT REF'!$P$3,"System Name",Table4[[#This Row],[Int Finish]])</f>
        <v>#REF!</v>
      </c>
      <c r="V412" t="e">
        <f>GETPIVOTDATA("Sum of  R value (m^2-K/W)",'COMPONENT PIVOT REF'!$P$3,"System Name",Table4[[#This Row],[Int Finish]])</f>
        <v>#REF!</v>
      </c>
      <c r="W412" t="e">
        <f>GETPIVOTDATA("Sum of Total Mass per m^2 (kg)",'COMPONENT PIVOT REF'!$P$3,"System Name",Table4[[#This Row],[Int Finish]])</f>
        <v>#REF!</v>
      </c>
      <c r="X412" t="e">
        <f>Table4[[#This Row],[Ext Finish GWP]]+Table4[[#This Row],[Base GWP]]+Table4[[#This Row],[Int Finish GWP]]</f>
        <v>#REF!</v>
      </c>
      <c r="Y412" t="e">
        <f>Table4[[#This Row],[Ext Finish R Value]]+Table4[[#This Row],[Base R Value]]+Table4[[#This Row],[Int Finish R Value]]</f>
        <v>#REF!</v>
      </c>
      <c r="Z412" t="e">
        <f>1/Table4[[#This Row],[Total R value]]</f>
        <v>#REF!</v>
      </c>
      <c r="AA412" t="e">
        <f>Table4[[#This Row],[Int Finish Mass]]+Table4[[#This Row],[Ext Finish Mass]]+Table4[[#This Row],[Base Mass]]</f>
        <v>#REF!</v>
      </c>
    </row>
    <row r="413" spans="3:27" x14ac:dyDescent="0.35">
      <c r="C413" t="str">
        <f>_xlfn.CONCAT(Table4[[#This Row],[System Name (Short)]],"_",Table4[[#This Row],[Ext Finish Name (Short)]],"_",Table4[[#This Row],[Int Finish Name (Short)]])</f>
        <v>0_0_0</v>
      </c>
      <c r="E413">
        <f>_xlfn.XLOOKUP(Table4[[#This Row],[Base System]],BASE_SYSTEM_TABLE[System Name],BASE_SYSTEM_TABLE[System Name (Short)],FALSE)</f>
        <v>0</v>
      </c>
      <c r="F413">
        <f>_xlfn.XLOOKUP(Table4[[#This Row],[Base System]],BASE_SYSTEM_TABLE[System Name],BASE_SYSTEM_TABLE[System Type],FALSE)</f>
        <v>0</v>
      </c>
      <c r="G413">
        <f>_xlfn.XLOOKUP(Table4[[#This Row],[Base System]],BASE_SYSTEM_TABLE[System Name],BASE_SYSTEM_TABLE[System Subtype],FALSE)</f>
        <v>0</v>
      </c>
      <c r="H413">
        <f>_xlfn.XLOOKUP(Table4[[#This Row],[Base System]],BASE_SYSTEM_TABLE[System Name],BASE_SYSTEM_TABLE[Construction Type (Framed or Planar)],FALSE)</f>
        <v>0</v>
      </c>
      <c r="I413" t="e">
        <f>GETPIVOTDATA("Sum of A1-A3 Fossil kg CO2e/m^2 wall area",'COMPONENT PIVOT REF'!$A$3,"System Name",Table4[[#This Row],[Base System]])</f>
        <v>#REF!</v>
      </c>
      <c r="J413" t="e">
        <f>GETPIVOTDATA("Sum of  R value (m^2-K/W)",'COMPONENT PIVOT REF'!$A$3,"System Name",Table4[[#This Row],[Base System]])</f>
        <v>#REF!</v>
      </c>
      <c r="K413" t="e">
        <f>GETPIVOTDATA("Sum of Total Mass per m^2 (kg)",'COMPONENT PIVOT REF'!$A$3,"System Name",Table4[[#This Row],[Base System]])</f>
        <v>#REF!</v>
      </c>
      <c r="M413">
        <f>_xlfn.XLOOKUP(Table4[[#This Row],[Ext Finish]],Master_Table4[System Name],Master_Table4[System Name (Short)],FALSE)</f>
        <v>0</v>
      </c>
      <c r="N413">
        <f>_xlfn.XLOOKUP(Table4[[#This Row],[Ext Finish]],Master_Table4[System Name],Master_Table4[Compatible Systems],FALSE)</f>
        <v>0</v>
      </c>
      <c r="O413" t="str">
        <f>IF(ISNUMBER(SEARCH(Table4[[#This Row],[MMC Method]],Table4[[#This Row],[Compatible Systems]])),"YES","NO")</f>
        <v>YES</v>
      </c>
      <c r="P413" t="e">
        <f>GETPIVOTDATA("Sum of A1-A3 Fossil kg CO2e/m^2 wall area",'COMPONENT PIVOT REF'!$I$3,"System Name",Table4[[#This Row],[Ext Finish]])</f>
        <v>#REF!</v>
      </c>
      <c r="Q413" t="e">
        <f>GETPIVOTDATA("Sum of  R value (m^2-K/W)",'COMPONENT PIVOT REF'!$I$3,"System Name",Table4[[#This Row],[Ext Finish]])</f>
        <v>#REF!</v>
      </c>
      <c r="R413" t="e">
        <f>GETPIVOTDATA("Sum of Total Mass per m^2 (kg)",'COMPONENT PIVOT REF'!$I$3,"System Name",Table4[[#This Row],[Ext Finish]])</f>
        <v>#REF!</v>
      </c>
      <c r="T413">
        <f>_xlfn.XLOOKUP(Table4[[#This Row],[Int Finish]],Master_Table6[System Name],Master_Table6[System Name (Short)],FALSE)</f>
        <v>0</v>
      </c>
      <c r="U413" t="e">
        <f>GETPIVOTDATA("Sum of A1-A3 Fossil kg CO2e/m^2 wall area",'COMPONENT PIVOT REF'!$P$3,"System Name",Table4[[#This Row],[Int Finish]])</f>
        <v>#REF!</v>
      </c>
      <c r="V413" t="e">
        <f>GETPIVOTDATA("Sum of  R value (m^2-K/W)",'COMPONENT PIVOT REF'!$P$3,"System Name",Table4[[#This Row],[Int Finish]])</f>
        <v>#REF!</v>
      </c>
      <c r="W413" t="e">
        <f>GETPIVOTDATA("Sum of Total Mass per m^2 (kg)",'COMPONENT PIVOT REF'!$P$3,"System Name",Table4[[#This Row],[Int Finish]])</f>
        <v>#REF!</v>
      </c>
      <c r="X413" t="e">
        <f>Table4[[#This Row],[Ext Finish GWP]]+Table4[[#This Row],[Base GWP]]+Table4[[#This Row],[Int Finish GWP]]</f>
        <v>#REF!</v>
      </c>
      <c r="Y413" t="e">
        <f>Table4[[#This Row],[Ext Finish R Value]]+Table4[[#This Row],[Base R Value]]+Table4[[#This Row],[Int Finish R Value]]</f>
        <v>#REF!</v>
      </c>
      <c r="Z413" t="e">
        <f>1/Table4[[#This Row],[Total R value]]</f>
        <v>#REF!</v>
      </c>
      <c r="AA413" t="e">
        <f>Table4[[#This Row],[Int Finish Mass]]+Table4[[#This Row],[Ext Finish Mass]]+Table4[[#This Row],[Base Mass]]</f>
        <v>#REF!</v>
      </c>
    </row>
    <row r="414" spans="3:27" x14ac:dyDescent="0.35">
      <c r="C414" t="str">
        <f>_xlfn.CONCAT(Table4[[#This Row],[System Name (Short)]],"_",Table4[[#This Row],[Ext Finish Name (Short)]],"_",Table4[[#This Row],[Int Finish Name (Short)]])</f>
        <v>0_0_0</v>
      </c>
      <c r="E414">
        <f>_xlfn.XLOOKUP(Table4[[#This Row],[Base System]],BASE_SYSTEM_TABLE[System Name],BASE_SYSTEM_TABLE[System Name (Short)],FALSE)</f>
        <v>0</v>
      </c>
      <c r="F414">
        <f>_xlfn.XLOOKUP(Table4[[#This Row],[Base System]],BASE_SYSTEM_TABLE[System Name],BASE_SYSTEM_TABLE[System Type],FALSE)</f>
        <v>0</v>
      </c>
      <c r="G414">
        <f>_xlfn.XLOOKUP(Table4[[#This Row],[Base System]],BASE_SYSTEM_TABLE[System Name],BASE_SYSTEM_TABLE[System Subtype],FALSE)</f>
        <v>0</v>
      </c>
      <c r="H414">
        <f>_xlfn.XLOOKUP(Table4[[#This Row],[Base System]],BASE_SYSTEM_TABLE[System Name],BASE_SYSTEM_TABLE[Construction Type (Framed or Planar)],FALSE)</f>
        <v>0</v>
      </c>
      <c r="I414" t="e">
        <f>GETPIVOTDATA("Sum of A1-A3 Fossil kg CO2e/m^2 wall area",'COMPONENT PIVOT REF'!$A$3,"System Name",Table4[[#This Row],[Base System]])</f>
        <v>#REF!</v>
      </c>
      <c r="J414" t="e">
        <f>GETPIVOTDATA("Sum of  R value (m^2-K/W)",'COMPONENT PIVOT REF'!$A$3,"System Name",Table4[[#This Row],[Base System]])</f>
        <v>#REF!</v>
      </c>
      <c r="K414" t="e">
        <f>GETPIVOTDATA("Sum of Total Mass per m^2 (kg)",'COMPONENT PIVOT REF'!$A$3,"System Name",Table4[[#This Row],[Base System]])</f>
        <v>#REF!</v>
      </c>
      <c r="M414">
        <f>_xlfn.XLOOKUP(Table4[[#This Row],[Ext Finish]],Master_Table4[System Name],Master_Table4[System Name (Short)],FALSE)</f>
        <v>0</v>
      </c>
      <c r="N414">
        <f>_xlfn.XLOOKUP(Table4[[#This Row],[Ext Finish]],Master_Table4[System Name],Master_Table4[Compatible Systems],FALSE)</f>
        <v>0</v>
      </c>
      <c r="O414" t="str">
        <f>IF(ISNUMBER(SEARCH(Table4[[#This Row],[MMC Method]],Table4[[#This Row],[Compatible Systems]])),"YES","NO")</f>
        <v>YES</v>
      </c>
      <c r="P414" t="e">
        <f>GETPIVOTDATA("Sum of A1-A3 Fossil kg CO2e/m^2 wall area",'COMPONENT PIVOT REF'!$I$3,"System Name",Table4[[#This Row],[Ext Finish]])</f>
        <v>#REF!</v>
      </c>
      <c r="Q414" t="e">
        <f>GETPIVOTDATA("Sum of  R value (m^2-K/W)",'COMPONENT PIVOT REF'!$I$3,"System Name",Table4[[#This Row],[Ext Finish]])</f>
        <v>#REF!</v>
      </c>
      <c r="R414" t="e">
        <f>GETPIVOTDATA("Sum of Total Mass per m^2 (kg)",'COMPONENT PIVOT REF'!$I$3,"System Name",Table4[[#This Row],[Ext Finish]])</f>
        <v>#REF!</v>
      </c>
      <c r="T414">
        <f>_xlfn.XLOOKUP(Table4[[#This Row],[Int Finish]],Master_Table6[System Name],Master_Table6[System Name (Short)],FALSE)</f>
        <v>0</v>
      </c>
      <c r="U414" t="e">
        <f>GETPIVOTDATA("Sum of A1-A3 Fossil kg CO2e/m^2 wall area",'COMPONENT PIVOT REF'!$P$3,"System Name",Table4[[#This Row],[Int Finish]])</f>
        <v>#REF!</v>
      </c>
      <c r="V414" t="e">
        <f>GETPIVOTDATA("Sum of  R value (m^2-K/W)",'COMPONENT PIVOT REF'!$P$3,"System Name",Table4[[#This Row],[Int Finish]])</f>
        <v>#REF!</v>
      </c>
      <c r="W414" t="e">
        <f>GETPIVOTDATA("Sum of Total Mass per m^2 (kg)",'COMPONENT PIVOT REF'!$P$3,"System Name",Table4[[#This Row],[Int Finish]])</f>
        <v>#REF!</v>
      </c>
      <c r="X414" t="e">
        <f>Table4[[#This Row],[Ext Finish GWP]]+Table4[[#This Row],[Base GWP]]+Table4[[#This Row],[Int Finish GWP]]</f>
        <v>#REF!</v>
      </c>
      <c r="Y414" t="e">
        <f>Table4[[#This Row],[Ext Finish R Value]]+Table4[[#This Row],[Base R Value]]+Table4[[#This Row],[Int Finish R Value]]</f>
        <v>#REF!</v>
      </c>
      <c r="Z414" t="e">
        <f>1/Table4[[#This Row],[Total R value]]</f>
        <v>#REF!</v>
      </c>
      <c r="AA414" t="e">
        <f>Table4[[#This Row],[Int Finish Mass]]+Table4[[#This Row],[Ext Finish Mass]]+Table4[[#This Row],[Base Mass]]</f>
        <v>#REF!</v>
      </c>
    </row>
    <row r="415" spans="3:27" x14ac:dyDescent="0.35">
      <c r="C415" t="str">
        <f>_xlfn.CONCAT(Table4[[#This Row],[System Name (Short)]],"_",Table4[[#This Row],[Ext Finish Name (Short)]],"_",Table4[[#This Row],[Int Finish Name (Short)]])</f>
        <v>0_0_0</v>
      </c>
      <c r="E415">
        <f>_xlfn.XLOOKUP(Table4[[#This Row],[Base System]],BASE_SYSTEM_TABLE[System Name],BASE_SYSTEM_TABLE[System Name (Short)],FALSE)</f>
        <v>0</v>
      </c>
      <c r="F415">
        <f>_xlfn.XLOOKUP(Table4[[#This Row],[Base System]],BASE_SYSTEM_TABLE[System Name],BASE_SYSTEM_TABLE[System Type],FALSE)</f>
        <v>0</v>
      </c>
      <c r="G415">
        <f>_xlfn.XLOOKUP(Table4[[#This Row],[Base System]],BASE_SYSTEM_TABLE[System Name],BASE_SYSTEM_TABLE[System Subtype],FALSE)</f>
        <v>0</v>
      </c>
      <c r="H415">
        <f>_xlfn.XLOOKUP(Table4[[#This Row],[Base System]],BASE_SYSTEM_TABLE[System Name],BASE_SYSTEM_TABLE[Construction Type (Framed or Planar)],FALSE)</f>
        <v>0</v>
      </c>
      <c r="I415" t="e">
        <f>GETPIVOTDATA("Sum of A1-A3 Fossil kg CO2e/m^2 wall area",'COMPONENT PIVOT REF'!$A$3,"System Name",Table4[[#This Row],[Base System]])</f>
        <v>#REF!</v>
      </c>
      <c r="J415" t="e">
        <f>GETPIVOTDATA("Sum of  R value (m^2-K/W)",'COMPONENT PIVOT REF'!$A$3,"System Name",Table4[[#This Row],[Base System]])</f>
        <v>#REF!</v>
      </c>
      <c r="K415" t="e">
        <f>GETPIVOTDATA("Sum of Total Mass per m^2 (kg)",'COMPONENT PIVOT REF'!$A$3,"System Name",Table4[[#This Row],[Base System]])</f>
        <v>#REF!</v>
      </c>
      <c r="M415">
        <f>_xlfn.XLOOKUP(Table4[[#This Row],[Ext Finish]],Master_Table4[System Name],Master_Table4[System Name (Short)],FALSE)</f>
        <v>0</v>
      </c>
      <c r="N415">
        <f>_xlfn.XLOOKUP(Table4[[#This Row],[Ext Finish]],Master_Table4[System Name],Master_Table4[Compatible Systems],FALSE)</f>
        <v>0</v>
      </c>
      <c r="O415" t="str">
        <f>IF(ISNUMBER(SEARCH(Table4[[#This Row],[MMC Method]],Table4[[#This Row],[Compatible Systems]])),"YES","NO")</f>
        <v>YES</v>
      </c>
      <c r="P415" t="e">
        <f>GETPIVOTDATA("Sum of A1-A3 Fossil kg CO2e/m^2 wall area",'COMPONENT PIVOT REF'!$I$3,"System Name",Table4[[#This Row],[Ext Finish]])</f>
        <v>#REF!</v>
      </c>
      <c r="Q415" t="e">
        <f>GETPIVOTDATA("Sum of  R value (m^2-K/W)",'COMPONENT PIVOT REF'!$I$3,"System Name",Table4[[#This Row],[Ext Finish]])</f>
        <v>#REF!</v>
      </c>
      <c r="R415" t="e">
        <f>GETPIVOTDATA("Sum of Total Mass per m^2 (kg)",'COMPONENT PIVOT REF'!$I$3,"System Name",Table4[[#This Row],[Ext Finish]])</f>
        <v>#REF!</v>
      </c>
      <c r="T415">
        <f>_xlfn.XLOOKUP(Table4[[#This Row],[Int Finish]],Master_Table6[System Name],Master_Table6[System Name (Short)],FALSE)</f>
        <v>0</v>
      </c>
      <c r="U415" t="e">
        <f>GETPIVOTDATA("Sum of A1-A3 Fossil kg CO2e/m^2 wall area",'COMPONENT PIVOT REF'!$P$3,"System Name",Table4[[#This Row],[Int Finish]])</f>
        <v>#REF!</v>
      </c>
      <c r="V415" t="e">
        <f>GETPIVOTDATA("Sum of  R value (m^2-K/W)",'COMPONENT PIVOT REF'!$P$3,"System Name",Table4[[#This Row],[Int Finish]])</f>
        <v>#REF!</v>
      </c>
      <c r="W415" t="e">
        <f>GETPIVOTDATA("Sum of Total Mass per m^2 (kg)",'COMPONENT PIVOT REF'!$P$3,"System Name",Table4[[#This Row],[Int Finish]])</f>
        <v>#REF!</v>
      </c>
      <c r="X415" t="e">
        <f>Table4[[#This Row],[Ext Finish GWP]]+Table4[[#This Row],[Base GWP]]+Table4[[#This Row],[Int Finish GWP]]</f>
        <v>#REF!</v>
      </c>
      <c r="Y415" t="e">
        <f>Table4[[#This Row],[Ext Finish R Value]]+Table4[[#This Row],[Base R Value]]+Table4[[#This Row],[Int Finish R Value]]</f>
        <v>#REF!</v>
      </c>
      <c r="Z415" t="e">
        <f>1/Table4[[#This Row],[Total R value]]</f>
        <v>#REF!</v>
      </c>
      <c r="AA415" t="e">
        <f>Table4[[#This Row],[Int Finish Mass]]+Table4[[#This Row],[Ext Finish Mass]]+Table4[[#This Row],[Base Mass]]</f>
        <v>#REF!</v>
      </c>
    </row>
    <row r="416" spans="3:27" x14ac:dyDescent="0.35">
      <c r="C416" t="str">
        <f>_xlfn.CONCAT(Table4[[#This Row],[System Name (Short)]],"_",Table4[[#This Row],[Ext Finish Name (Short)]],"_",Table4[[#This Row],[Int Finish Name (Short)]])</f>
        <v>0_0_0</v>
      </c>
      <c r="E416">
        <f>_xlfn.XLOOKUP(Table4[[#This Row],[Base System]],BASE_SYSTEM_TABLE[System Name],BASE_SYSTEM_TABLE[System Name (Short)],FALSE)</f>
        <v>0</v>
      </c>
      <c r="F416">
        <f>_xlfn.XLOOKUP(Table4[[#This Row],[Base System]],BASE_SYSTEM_TABLE[System Name],BASE_SYSTEM_TABLE[System Type],FALSE)</f>
        <v>0</v>
      </c>
      <c r="G416">
        <f>_xlfn.XLOOKUP(Table4[[#This Row],[Base System]],BASE_SYSTEM_TABLE[System Name],BASE_SYSTEM_TABLE[System Subtype],FALSE)</f>
        <v>0</v>
      </c>
      <c r="H416">
        <f>_xlfn.XLOOKUP(Table4[[#This Row],[Base System]],BASE_SYSTEM_TABLE[System Name],BASE_SYSTEM_TABLE[Construction Type (Framed or Planar)],FALSE)</f>
        <v>0</v>
      </c>
      <c r="I416" t="e">
        <f>GETPIVOTDATA("Sum of A1-A3 Fossil kg CO2e/m^2 wall area",'COMPONENT PIVOT REF'!$A$3,"System Name",Table4[[#This Row],[Base System]])</f>
        <v>#REF!</v>
      </c>
      <c r="J416" t="e">
        <f>GETPIVOTDATA("Sum of  R value (m^2-K/W)",'COMPONENT PIVOT REF'!$A$3,"System Name",Table4[[#This Row],[Base System]])</f>
        <v>#REF!</v>
      </c>
      <c r="K416" t="e">
        <f>GETPIVOTDATA("Sum of Total Mass per m^2 (kg)",'COMPONENT PIVOT REF'!$A$3,"System Name",Table4[[#This Row],[Base System]])</f>
        <v>#REF!</v>
      </c>
      <c r="M416">
        <f>_xlfn.XLOOKUP(Table4[[#This Row],[Ext Finish]],Master_Table4[System Name],Master_Table4[System Name (Short)],FALSE)</f>
        <v>0</v>
      </c>
      <c r="N416">
        <f>_xlfn.XLOOKUP(Table4[[#This Row],[Ext Finish]],Master_Table4[System Name],Master_Table4[Compatible Systems],FALSE)</f>
        <v>0</v>
      </c>
      <c r="O416" t="str">
        <f>IF(ISNUMBER(SEARCH(Table4[[#This Row],[MMC Method]],Table4[[#This Row],[Compatible Systems]])),"YES","NO")</f>
        <v>YES</v>
      </c>
      <c r="P416" t="e">
        <f>GETPIVOTDATA("Sum of A1-A3 Fossil kg CO2e/m^2 wall area",'COMPONENT PIVOT REF'!$I$3,"System Name",Table4[[#This Row],[Ext Finish]])</f>
        <v>#REF!</v>
      </c>
      <c r="Q416" t="e">
        <f>GETPIVOTDATA("Sum of  R value (m^2-K/W)",'COMPONENT PIVOT REF'!$I$3,"System Name",Table4[[#This Row],[Ext Finish]])</f>
        <v>#REF!</v>
      </c>
      <c r="R416" t="e">
        <f>GETPIVOTDATA("Sum of Total Mass per m^2 (kg)",'COMPONENT PIVOT REF'!$I$3,"System Name",Table4[[#This Row],[Ext Finish]])</f>
        <v>#REF!</v>
      </c>
      <c r="T416">
        <f>_xlfn.XLOOKUP(Table4[[#This Row],[Int Finish]],Master_Table6[System Name],Master_Table6[System Name (Short)],FALSE)</f>
        <v>0</v>
      </c>
      <c r="U416" t="e">
        <f>GETPIVOTDATA("Sum of A1-A3 Fossil kg CO2e/m^2 wall area",'COMPONENT PIVOT REF'!$P$3,"System Name",Table4[[#This Row],[Int Finish]])</f>
        <v>#REF!</v>
      </c>
      <c r="V416" t="e">
        <f>GETPIVOTDATA("Sum of  R value (m^2-K/W)",'COMPONENT PIVOT REF'!$P$3,"System Name",Table4[[#This Row],[Int Finish]])</f>
        <v>#REF!</v>
      </c>
      <c r="W416" t="e">
        <f>GETPIVOTDATA("Sum of Total Mass per m^2 (kg)",'COMPONENT PIVOT REF'!$P$3,"System Name",Table4[[#This Row],[Int Finish]])</f>
        <v>#REF!</v>
      </c>
      <c r="X416" t="e">
        <f>Table4[[#This Row],[Ext Finish GWP]]+Table4[[#This Row],[Base GWP]]+Table4[[#This Row],[Int Finish GWP]]</f>
        <v>#REF!</v>
      </c>
      <c r="Y416" t="e">
        <f>Table4[[#This Row],[Ext Finish R Value]]+Table4[[#This Row],[Base R Value]]+Table4[[#This Row],[Int Finish R Value]]</f>
        <v>#REF!</v>
      </c>
      <c r="Z416" t="e">
        <f>1/Table4[[#This Row],[Total R value]]</f>
        <v>#REF!</v>
      </c>
      <c r="AA416" t="e">
        <f>Table4[[#This Row],[Int Finish Mass]]+Table4[[#This Row],[Ext Finish Mass]]+Table4[[#This Row],[Base Mass]]</f>
        <v>#REF!</v>
      </c>
    </row>
    <row r="417" spans="3:27" x14ac:dyDescent="0.35">
      <c r="C417" t="str">
        <f>_xlfn.CONCAT(Table4[[#This Row],[System Name (Short)]],"_",Table4[[#This Row],[Ext Finish Name (Short)]],"_",Table4[[#This Row],[Int Finish Name (Short)]])</f>
        <v>0_0_0</v>
      </c>
      <c r="E417">
        <f>_xlfn.XLOOKUP(Table4[[#This Row],[Base System]],BASE_SYSTEM_TABLE[System Name],BASE_SYSTEM_TABLE[System Name (Short)],FALSE)</f>
        <v>0</v>
      </c>
      <c r="F417">
        <f>_xlfn.XLOOKUP(Table4[[#This Row],[Base System]],BASE_SYSTEM_TABLE[System Name],BASE_SYSTEM_TABLE[System Type],FALSE)</f>
        <v>0</v>
      </c>
      <c r="G417">
        <f>_xlfn.XLOOKUP(Table4[[#This Row],[Base System]],BASE_SYSTEM_TABLE[System Name],BASE_SYSTEM_TABLE[System Subtype],FALSE)</f>
        <v>0</v>
      </c>
      <c r="H417">
        <f>_xlfn.XLOOKUP(Table4[[#This Row],[Base System]],BASE_SYSTEM_TABLE[System Name],BASE_SYSTEM_TABLE[Construction Type (Framed or Planar)],FALSE)</f>
        <v>0</v>
      </c>
      <c r="I417" t="e">
        <f>GETPIVOTDATA("Sum of A1-A3 Fossil kg CO2e/m^2 wall area",'COMPONENT PIVOT REF'!$A$3,"System Name",Table4[[#This Row],[Base System]])</f>
        <v>#REF!</v>
      </c>
      <c r="J417" t="e">
        <f>GETPIVOTDATA("Sum of  R value (m^2-K/W)",'COMPONENT PIVOT REF'!$A$3,"System Name",Table4[[#This Row],[Base System]])</f>
        <v>#REF!</v>
      </c>
      <c r="K417" t="e">
        <f>GETPIVOTDATA("Sum of Total Mass per m^2 (kg)",'COMPONENT PIVOT REF'!$A$3,"System Name",Table4[[#This Row],[Base System]])</f>
        <v>#REF!</v>
      </c>
      <c r="M417">
        <f>_xlfn.XLOOKUP(Table4[[#This Row],[Ext Finish]],Master_Table4[System Name],Master_Table4[System Name (Short)],FALSE)</f>
        <v>0</v>
      </c>
      <c r="N417">
        <f>_xlfn.XLOOKUP(Table4[[#This Row],[Ext Finish]],Master_Table4[System Name],Master_Table4[Compatible Systems],FALSE)</f>
        <v>0</v>
      </c>
      <c r="O417" t="str">
        <f>IF(ISNUMBER(SEARCH(Table4[[#This Row],[MMC Method]],Table4[[#This Row],[Compatible Systems]])),"YES","NO")</f>
        <v>YES</v>
      </c>
      <c r="P417" t="e">
        <f>GETPIVOTDATA("Sum of A1-A3 Fossil kg CO2e/m^2 wall area",'COMPONENT PIVOT REF'!$I$3,"System Name",Table4[[#This Row],[Ext Finish]])</f>
        <v>#REF!</v>
      </c>
      <c r="Q417" t="e">
        <f>GETPIVOTDATA("Sum of  R value (m^2-K/W)",'COMPONENT PIVOT REF'!$I$3,"System Name",Table4[[#This Row],[Ext Finish]])</f>
        <v>#REF!</v>
      </c>
      <c r="R417" t="e">
        <f>GETPIVOTDATA("Sum of Total Mass per m^2 (kg)",'COMPONENT PIVOT REF'!$I$3,"System Name",Table4[[#This Row],[Ext Finish]])</f>
        <v>#REF!</v>
      </c>
      <c r="T417">
        <f>_xlfn.XLOOKUP(Table4[[#This Row],[Int Finish]],Master_Table6[System Name],Master_Table6[System Name (Short)],FALSE)</f>
        <v>0</v>
      </c>
      <c r="U417" t="e">
        <f>GETPIVOTDATA("Sum of A1-A3 Fossil kg CO2e/m^2 wall area",'COMPONENT PIVOT REF'!$P$3,"System Name",Table4[[#This Row],[Int Finish]])</f>
        <v>#REF!</v>
      </c>
      <c r="V417" t="e">
        <f>GETPIVOTDATA("Sum of  R value (m^2-K/W)",'COMPONENT PIVOT REF'!$P$3,"System Name",Table4[[#This Row],[Int Finish]])</f>
        <v>#REF!</v>
      </c>
      <c r="W417" t="e">
        <f>GETPIVOTDATA("Sum of Total Mass per m^2 (kg)",'COMPONENT PIVOT REF'!$P$3,"System Name",Table4[[#This Row],[Int Finish]])</f>
        <v>#REF!</v>
      </c>
      <c r="X417" t="e">
        <f>Table4[[#This Row],[Ext Finish GWP]]+Table4[[#This Row],[Base GWP]]+Table4[[#This Row],[Int Finish GWP]]</f>
        <v>#REF!</v>
      </c>
      <c r="Y417" t="e">
        <f>Table4[[#This Row],[Ext Finish R Value]]+Table4[[#This Row],[Base R Value]]+Table4[[#This Row],[Int Finish R Value]]</f>
        <v>#REF!</v>
      </c>
      <c r="Z417" t="e">
        <f>1/Table4[[#This Row],[Total R value]]</f>
        <v>#REF!</v>
      </c>
      <c r="AA417" t="e">
        <f>Table4[[#This Row],[Int Finish Mass]]+Table4[[#This Row],[Ext Finish Mass]]+Table4[[#This Row],[Base Mass]]</f>
        <v>#REF!</v>
      </c>
    </row>
    <row r="418" spans="3:27" x14ac:dyDescent="0.35">
      <c r="C418" t="str">
        <f>_xlfn.CONCAT(Table4[[#This Row],[System Name (Short)]],"_",Table4[[#This Row],[Ext Finish Name (Short)]],"_",Table4[[#This Row],[Int Finish Name (Short)]])</f>
        <v>0_0_0</v>
      </c>
      <c r="E418">
        <f>_xlfn.XLOOKUP(Table4[[#This Row],[Base System]],BASE_SYSTEM_TABLE[System Name],BASE_SYSTEM_TABLE[System Name (Short)],FALSE)</f>
        <v>0</v>
      </c>
      <c r="F418">
        <f>_xlfn.XLOOKUP(Table4[[#This Row],[Base System]],BASE_SYSTEM_TABLE[System Name],BASE_SYSTEM_TABLE[System Type],FALSE)</f>
        <v>0</v>
      </c>
      <c r="G418">
        <f>_xlfn.XLOOKUP(Table4[[#This Row],[Base System]],BASE_SYSTEM_TABLE[System Name],BASE_SYSTEM_TABLE[System Subtype],FALSE)</f>
        <v>0</v>
      </c>
      <c r="H418">
        <f>_xlfn.XLOOKUP(Table4[[#This Row],[Base System]],BASE_SYSTEM_TABLE[System Name],BASE_SYSTEM_TABLE[Construction Type (Framed or Planar)],FALSE)</f>
        <v>0</v>
      </c>
      <c r="I418" t="e">
        <f>GETPIVOTDATA("Sum of A1-A3 Fossil kg CO2e/m^2 wall area",'COMPONENT PIVOT REF'!$A$3,"System Name",Table4[[#This Row],[Base System]])</f>
        <v>#REF!</v>
      </c>
      <c r="J418" t="e">
        <f>GETPIVOTDATA("Sum of  R value (m^2-K/W)",'COMPONENT PIVOT REF'!$A$3,"System Name",Table4[[#This Row],[Base System]])</f>
        <v>#REF!</v>
      </c>
      <c r="K418" t="e">
        <f>GETPIVOTDATA("Sum of Total Mass per m^2 (kg)",'COMPONENT PIVOT REF'!$A$3,"System Name",Table4[[#This Row],[Base System]])</f>
        <v>#REF!</v>
      </c>
      <c r="M418">
        <f>_xlfn.XLOOKUP(Table4[[#This Row],[Ext Finish]],Master_Table4[System Name],Master_Table4[System Name (Short)],FALSE)</f>
        <v>0</v>
      </c>
      <c r="N418">
        <f>_xlfn.XLOOKUP(Table4[[#This Row],[Ext Finish]],Master_Table4[System Name],Master_Table4[Compatible Systems],FALSE)</f>
        <v>0</v>
      </c>
      <c r="O418" t="str">
        <f>IF(ISNUMBER(SEARCH(Table4[[#This Row],[MMC Method]],Table4[[#This Row],[Compatible Systems]])),"YES","NO")</f>
        <v>YES</v>
      </c>
      <c r="P418" t="e">
        <f>GETPIVOTDATA("Sum of A1-A3 Fossil kg CO2e/m^2 wall area",'COMPONENT PIVOT REF'!$I$3,"System Name",Table4[[#This Row],[Ext Finish]])</f>
        <v>#REF!</v>
      </c>
      <c r="Q418" t="e">
        <f>GETPIVOTDATA("Sum of  R value (m^2-K/W)",'COMPONENT PIVOT REF'!$I$3,"System Name",Table4[[#This Row],[Ext Finish]])</f>
        <v>#REF!</v>
      </c>
      <c r="R418" t="e">
        <f>GETPIVOTDATA("Sum of Total Mass per m^2 (kg)",'COMPONENT PIVOT REF'!$I$3,"System Name",Table4[[#This Row],[Ext Finish]])</f>
        <v>#REF!</v>
      </c>
      <c r="T418">
        <f>_xlfn.XLOOKUP(Table4[[#This Row],[Int Finish]],Master_Table6[System Name],Master_Table6[System Name (Short)],FALSE)</f>
        <v>0</v>
      </c>
      <c r="U418" t="e">
        <f>GETPIVOTDATA("Sum of A1-A3 Fossil kg CO2e/m^2 wall area",'COMPONENT PIVOT REF'!$P$3,"System Name",Table4[[#This Row],[Int Finish]])</f>
        <v>#REF!</v>
      </c>
      <c r="V418" t="e">
        <f>GETPIVOTDATA("Sum of  R value (m^2-K/W)",'COMPONENT PIVOT REF'!$P$3,"System Name",Table4[[#This Row],[Int Finish]])</f>
        <v>#REF!</v>
      </c>
      <c r="W418" t="e">
        <f>GETPIVOTDATA("Sum of Total Mass per m^2 (kg)",'COMPONENT PIVOT REF'!$P$3,"System Name",Table4[[#This Row],[Int Finish]])</f>
        <v>#REF!</v>
      </c>
      <c r="X418" t="e">
        <f>Table4[[#This Row],[Ext Finish GWP]]+Table4[[#This Row],[Base GWP]]+Table4[[#This Row],[Int Finish GWP]]</f>
        <v>#REF!</v>
      </c>
      <c r="Y418" t="e">
        <f>Table4[[#This Row],[Ext Finish R Value]]+Table4[[#This Row],[Base R Value]]+Table4[[#This Row],[Int Finish R Value]]</f>
        <v>#REF!</v>
      </c>
      <c r="Z418" t="e">
        <f>1/Table4[[#This Row],[Total R value]]</f>
        <v>#REF!</v>
      </c>
      <c r="AA418" t="e">
        <f>Table4[[#This Row],[Int Finish Mass]]+Table4[[#This Row],[Ext Finish Mass]]+Table4[[#This Row],[Base Mass]]</f>
        <v>#REF!</v>
      </c>
    </row>
    <row r="419" spans="3:27" x14ac:dyDescent="0.35">
      <c r="C419" t="str">
        <f>_xlfn.CONCAT(Table4[[#This Row],[System Name (Short)]],"_",Table4[[#This Row],[Ext Finish Name (Short)]],"_",Table4[[#This Row],[Int Finish Name (Short)]])</f>
        <v>0_0_0</v>
      </c>
      <c r="E419">
        <f>_xlfn.XLOOKUP(Table4[[#This Row],[Base System]],BASE_SYSTEM_TABLE[System Name],BASE_SYSTEM_TABLE[System Name (Short)],FALSE)</f>
        <v>0</v>
      </c>
      <c r="F419">
        <f>_xlfn.XLOOKUP(Table4[[#This Row],[Base System]],BASE_SYSTEM_TABLE[System Name],BASE_SYSTEM_TABLE[System Type],FALSE)</f>
        <v>0</v>
      </c>
      <c r="G419">
        <f>_xlfn.XLOOKUP(Table4[[#This Row],[Base System]],BASE_SYSTEM_TABLE[System Name],BASE_SYSTEM_TABLE[System Subtype],FALSE)</f>
        <v>0</v>
      </c>
      <c r="H419">
        <f>_xlfn.XLOOKUP(Table4[[#This Row],[Base System]],BASE_SYSTEM_TABLE[System Name],BASE_SYSTEM_TABLE[Construction Type (Framed or Planar)],FALSE)</f>
        <v>0</v>
      </c>
      <c r="I419" t="e">
        <f>GETPIVOTDATA("Sum of A1-A3 Fossil kg CO2e/m^2 wall area",'COMPONENT PIVOT REF'!$A$3,"System Name",Table4[[#This Row],[Base System]])</f>
        <v>#REF!</v>
      </c>
      <c r="J419" t="e">
        <f>GETPIVOTDATA("Sum of  R value (m^2-K/W)",'COMPONENT PIVOT REF'!$A$3,"System Name",Table4[[#This Row],[Base System]])</f>
        <v>#REF!</v>
      </c>
      <c r="K419" t="e">
        <f>GETPIVOTDATA("Sum of Total Mass per m^2 (kg)",'COMPONENT PIVOT REF'!$A$3,"System Name",Table4[[#This Row],[Base System]])</f>
        <v>#REF!</v>
      </c>
      <c r="M419">
        <f>_xlfn.XLOOKUP(Table4[[#This Row],[Ext Finish]],Master_Table4[System Name],Master_Table4[System Name (Short)],FALSE)</f>
        <v>0</v>
      </c>
      <c r="N419">
        <f>_xlfn.XLOOKUP(Table4[[#This Row],[Ext Finish]],Master_Table4[System Name],Master_Table4[Compatible Systems],FALSE)</f>
        <v>0</v>
      </c>
      <c r="O419" t="str">
        <f>IF(ISNUMBER(SEARCH(Table4[[#This Row],[MMC Method]],Table4[[#This Row],[Compatible Systems]])),"YES","NO")</f>
        <v>YES</v>
      </c>
      <c r="P419" t="e">
        <f>GETPIVOTDATA("Sum of A1-A3 Fossil kg CO2e/m^2 wall area",'COMPONENT PIVOT REF'!$I$3,"System Name",Table4[[#This Row],[Ext Finish]])</f>
        <v>#REF!</v>
      </c>
      <c r="Q419" t="e">
        <f>GETPIVOTDATA("Sum of  R value (m^2-K/W)",'COMPONENT PIVOT REF'!$I$3,"System Name",Table4[[#This Row],[Ext Finish]])</f>
        <v>#REF!</v>
      </c>
      <c r="R419" t="e">
        <f>GETPIVOTDATA("Sum of Total Mass per m^2 (kg)",'COMPONENT PIVOT REF'!$I$3,"System Name",Table4[[#This Row],[Ext Finish]])</f>
        <v>#REF!</v>
      </c>
      <c r="T419">
        <f>_xlfn.XLOOKUP(Table4[[#This Row],[Int Finish]],Master_Table6[System Name],Master_Table6[System Name (Short)],FALSE)</f>
        <v>0</v>
      </c>
      <c r="U419" t="e">
        <f>GETPIVOTDATA("Sum of A1-A3 Fossil kg CO2e/m^2 wall area",'COMPONENT PIVOT REF'!$P$3,"System Name",Table4[[#This Row],[Int Finish]])</f>
        <v>#REF!</v>
      </c>
      <c r="V419" t="e">
        <f>GETPIVOTDATA("Sum of  R value (m^2-K/W)",'COMPONENT PIVOT REF'!$P$3,"System Name",Table4[[#This Row],[Int Finish]])</f>
        <v>#REF!</v>
      </c>
      <c r="W419" t="e">
        <f>GETPIVOTDATA("Sum of Total Mass per m^2 (kg)",'COMPONENT PIVOT REF'!$P$3,"System Name",Table4[[#This Row],[Int Finish]])</f>
        <v>#REF!</v>
      </c>
      <c r="X419" t="e">
        <f>Table4[[#This Row],[Ext Finish GWP]]+Table4[[#This Row],[Base GWP]]+Table4[[#This Row],[Int Finish GWP]]</f>
        <v>#REF!</v>
      </c>
      <c r="Y419" t="e">
        <f>Table4[[#This Row],[Ext Finish R Value]]+Table4[[#This Row],[Base R Value]]+Table4[[#This Row],[Int Finish R Value]]</f>
        <v>#REF!</v>
      </c>
      <c r="Z419" t="e">
        <f>1/Table4[[#This Row],[Total R value]]</f>
        <v>#REF!</v>
      </c>
      <c r="AA419" t="e">
        <f>Table4[[#This Row],[Int Finish Mass]]+Table4[[#This Row],[Ext Finish Mass]]+Table4[[#This Row],[Base Mass]]</f>
        <v>#REF!</v>
      </c>
    </row>
    <row r="420" spans="3:27" x14ac:dyDescent="0.35">
      <c r="C420" t="str">
        <f>_xlfn.CONCAT(Table4[[#This Row],[System Name (Short)]],"_",Table4[[#This Row],[Ext Finish Name (Short)]],"_",Table4[[#This Row],[Int Finish Name (Short)]])</f>
        <v>0_0_0</v>
      </c>
      <c r="E420">
        <f>_xlfn.XLOOKUP(Table4[[#This Row],[Base System]],BASE_SYSTEM_TABLE[System Name],BASE_SYSTEM_TABLE[System Name (Short)],FALSE)</f>
        <v>0</v>
      </c>
      <c r="F420">
        <f>_xlfn.XLOOKUP(Table4[[#This Row],[Base System]],BASE_SYSTEM_TABLE[System Name],BASE_SYSTEM_TABLE[System Type],FALSE)</f>
        <v>0</v>
      </c>
      <c r="G420">
        <f>_xlfn.XLOOKUP(Table4[[#This Row],[Base System]],BASE_SYSTEM_TABLE[System Name],BASE_SYSTEM_TABLE[System Subtype],FALSE)</f>
        <v>0</v>
      </c>
      <c r="H420">
        <f>_xlfn.XLOOKUP(Table4[[#This Row],[Base System]],BASE_SYSTEM_TABLE[System Name],BASE_SYSTEM_TABLE[Construction Type (Framed or Planar)],FALSE)</f>
        <v>0</v>
      </c>
      <c r="I420" t="e">
        <f>GETPIVOTDATA("Sum of A1-A3 Fossil kg CO2e/m^2 wall area",'COMPONENT PIVOT REF'!$A$3,"System Name",Table4[[#This Row],[Base System]])</f>
        <v>#REF!</v>
      </c>
      <c r="J420" t="e">
        <f>GETPIVOTDATA("Sum of  R value (m^2-K/W)",'COMPONENT PIVOT REF'!$A$3,"System Name",Table4[[#This Row],[Base System]])</f>
        <v>#REF!</v>
      </c>
      <c r="K420" t="e">
        <f>GETPIVOTDATA("Sum of Total Mass per m^2 (kg)",'COMPONENT PIVOT REF'!$A$3,"System Name",Table4[[#This Row],[Base System]])</f>
        <v>#REF!</v>
      </c>
      <c r="M420">
        <f>_xlfn.XLOOKUP(Table4[[#This Row],[Ext Finish]],Master_Table4[System Name],Master_Table4[System Name (Short)],FALSE)</f>
        <v>0</v>
      </c>
      <c r="N420">
        <f>_xlfn.XLOOKUP(Table4[[#This Row],[Ext Finish]],Master_Table4[System Name],Master_Table4[Compatible Systems],FALSE)</f>
        <v>0</v>
      </c>
      <c r="O420" t="str">
        <f>IF(ISNUMBER(SEARCH(Table4[[#This Row],[MMC Method]],Table4[[#This Row],[Compatible Systems]])),"YES","NO")</f>
        <v>YES</v>
      </c>
      <c r="P420" t="e">
        <f>GETPIVOTDATA("Sum of A1-A3 Fossil kg CO2e/m^2 wall area",'COMPONENT PIVOT REF'!$I$3,"System Name",Table4[[#This Row],[Ext Finish]])</f>
        <v>#REF!</v>
      </c>
      <c r="Q420" t="e">
        <f>GETPIVOTDATA("Sum of  R value (m^2-K/W)",'COMPONENT PIVOT REF'!$I$3,"System Name",Table4[[#This Row],[Ext Finish]])</f>
        <v>#REF!</v>
      </c>
      <c r="R420" t="e">
        <f>GETPIVOTDATA("Sum of Total Mass per m^2 (kg)",'COMPONENT PIVOT REF'!$I$3,"System Name",Table4[[#This Row],[Ext Finish]])</f>
        <v>#REF!</v>
      </c>
      <c r="T420">
        <f>_xlfn.XLOOKUP(Table4[[#This Row],[Int Finish]],Master_Table6[System Name],Master_Table6[System Name (Short)],FALSE)</f>
        <v>0</v>
      </c>
      <c r="U420" t="e">
        <f>GETPIVOTDATA("Sum of A1-A3 Fossil kg CO2e/m^2 wall area",'COMPONENT PIVOT REF'!$P$3,"System Name",Table4[[#This Row],[Int Finish]])</f>
        <v>#REF!</v>
      </c>
      <c r="V420" t="e">
        <f>GETPIVOTDATA("Sum of  R value (m^2-K/W)",'COMPONENT PIVOT REF'!$P$3,"System Name",Table4[[#This Row],[Int Finish]])</f>
        <v>#REF!</v>
      </c>
      <c r="W420" t="e">
        <f>GETPIVOTDATA("Sum of Total Mass per m^2 (kg)",'COMPONENT PIVOT REF'!$P$3,"System Name",Table4[[#This Row],[Int Finish]])</f>
        <v>#REF!</v>
      </c>
      <c r="X420" t="e">
        <f>Table4[[#This Row],[Ext Finish GWP]]+Table4[[#This Row],[Base GWP]]+Table4[[#This Row],[Int Finish GWP]]</f>
        <v>#REF!</v>
      </c>
      <c r="Y420" t="e">
        <f>Table4[[#This Row],[Ext Finish R Value]]+Table4[[#This Row],[Base R Value]]+Table4[[#This Row],[Int Finish R Value]]</f>
        <v>#REF!</v>
      </c>
      <c r="Z420" t="e">
        <f>1/Table4[[#This Row],[Total R value]]</f>
        <v>#REF!</v>
      </c>
      <c r="AA420" t="e">
        <f>Table4[[#This Row],[Int Finish Mass]]+Table4[[#This Row],[Ext Finish Mass]]+Table4[[#This Row],[Base Mass]]</f>
        <v>#REF!</v>
      </c>
    </row>
    <row r="421" spans="3:27" x14ac:dyDescent="0.35">
      <c r="C421" t="str">
        <f>_xlfn.CONCAT(Table4[[#This Row],[System Name (Short)]],"_",Table4[[#This Row],[Ext Finish Name (Short)]],"_",Table4[[#This Row],[Int Finish Name (Short)]])</f>
        <v>0_0_0</v>
      </c>
      <c r="E421">
        <f>_xlfn.XLOOKUP(Table4[[#This Row],[Base System]],BASE_SYSTEM_TABLE[System Name],BASE_SYSTEM_TABLE[System Name (Short)],FALSE)</f>
        <v>0</v>
      </c>
      <c r="F421">
        <f>_xlfn.XLOOKUP(Table4[[#This Row],[Base System]],BASE_SYSTEM_TABLE[System Name],BASE_SYSTEM_TABLE[System Type],FALSE)</f>
        <v>0</v>
      </c>
      <c r="G421">
        <f>_xlfn.XLOOKUP(Table4[[#This Row],[Base System]],BASE_SYSTEM_TABLE[System Name],BASE_SYSTEM_TABLE[System Subtype],FALSE)</f>
        <v>0</v>
      </c>
      <c r="H421">
        <f>_xlfn.XLOOKUP(Table4[[#This Row],[Base System]],BASE_SYSTEM_TABLE[System Name],BASE_SYSTEM_TABLE[Construction Type (Framed or Planar)],FALSE)</f>
        <v>0</v>
      </c>
      <c r="I421" t="e">
        <f>GETPIVOTDATA("Sum of A1-A3 Fossil kg CO2e/m^2 wall area",'COMPONENT PIVOT REF'!$A$3,"System Name",Table4[[#This Row],[Base System]])</f>
        <v>#REF!</v>
      </c>
      <c r="J421" t="e">
        <f>GETPIVOTDATA("Sum of  R value (m^2-K/W)",'COMPONENT PIVOT REF'!$A$3,"System Name",Table4[[#This Row],[Base System]])</f>
        <v>#REF!</v>
      </c>
      <c r="K421" t="e">
        <f>GETPIVOTDATA("Sum of Total Mass per m^2 (kg)",'COMPONENT PIVOT REF'!$A$3,"System Name",Table4[[#This Row],[Base System]])</f>
        <v>#REF!</v>
      </c>
      <c r="M421">
        <f>_xlfn.XLOOKUP(Table4[[#This Row],[Ext Finish]],Master_Table4[System Name],Master_Table4[System Name (Short)],FALSE)</f>
        <v>0</v>
      </c>
      <c r="N421">
        <f>_xlfn.XLOOKUP(Table4[[#This Row],[Ext Finish]],Master_Table4[System Name],Master_Table4[Compatible Systems],FALSE)</f>
        <v>0</v>
      </c>
      <c r="O421" t="str">
        <f>IF(ISNUMBER(SEARCH(Table4[[#This Row],[MMC Method]],Table4[[#This Row],[Compatible Systems]])),"YES","NO")</f>
        <v>YES</v>
      </c>
      <c r="P421" t="e">
        <f>GETPIVOTDATA("Sum of A1-A3 Fossil kg CO2e/m^2 wall area",'COMPONENT PIVOT REF'!$I$3,"System Name",Table4[[#This Row],[Ext Finish]])</f>
        <v>#REF!</v>
      </c>
      <c r="Q421" t="e">
        <f>GETPIVOTDATA("Sum of  R value (m^2-K/W)",'COMPONENT PIVOT REF'!$I$3,"System Name",Table4[[#This Row],[Ext Finish]])</f>
        <v>#REF!</v>
      </c>
      <c r="R421" t="e">
        <f>GETPIVOTDATA("Sum of Total Mass per m^2 (kg)",'COMPONENT PIVOT REF'!$I$3,"System Name",Table4[[#This Row],[Ext Finish]])</f>
        <v>#REF!</v>
      </c>
      <c r="T421">
        <f>_xlfn.XLOOKUP(Table4[[#This Row],[Int Finish]],Master_Table6[System Name],Master_Table6[System Name (Short)],FALSE)</f>
        <v>0</v>
      </c>
      <c r="U421" t="e">
        <f>GETPIVOTDATA("Sum of A1-A3 Fossil kg CO2e/m^2 wall area",'COMPONENT PIVOT REF'!$P$3,"System Name",Table4[[#This Row],[Int Finish]])</f>
        <v>#REF!</v>
      </c>
      <c r="V421" t="e">
        <f>GETPIVOTDATA("Sum of  R value (m^2-K/W)",'COMPONENT PIVOT REF'!$P$3,"System Name",Table4[[#This Row],[Int Finish]])</f>
        <v>#REF!</v>
      </c>
      <c r="W421" t="e">
        <f>GETPIVOTDATA("Sum of Total Mass per m^2 (kg)",'COMPONENT PIVOT REF'!$P$3,"System Name",Table4[[#This Row],[Int Finish]])</f>
        <v>#REF!</v>
      </c>
      <c r="X421" t="e">
        <f>Table4[[#This Row],[Ext Finish GWP]]+Table4[[#This Row],[Base GWP]]+Table4[[#This Row],[Int Finish GWP]]</f>
        <v>#REF!</v>
      </c>
      <c r="Y421" t="e">
        <f>Table4[[#This Row],[Ext Finish R Value]]+Table4[[#This Row],[Base R Value]]+Table4[[#This Row],[Int Finish R Value]]</f>
        <v>#REF!</v>
      </c>
      <c r="Z421" t="e">
        <f>1/Table4[[#This Row],[Total R value]]</f>
        <v>#REF!</v>
      </c>
      <c r="AA421" t="e">
        <f>Table4[[#This Row],[Int Finish Mass]]+Table4[[#This Row],[Ext Finish Mass]]+Table4[[#This Row],[Base Mass]]</f>
        <v>#REF!</v>
      </c>
    </row>
    <row r="422" spans="3:27" x14ac:dyDescent="0.35">
      <c r="C422" t="str">
        <f>_xlfn.CONCAT(Table4[[#This Row],[System Name (Short)]],"_",Table4[[#This Row],[Ext Finish Name (Short)]],"_",Table4[[#This Row],[Int Finish Name (Short)]])</f>
        <v>0_0_0</v>
      </c>
      <c r="E422">
        <f>_xlfn.XLOOKUP(Table4[[#This Row],[Base System]],BASE_SYSTEM_TABLE[System Name],BASE_SYSTEM_TABLE[System Name (Short)],FALSE)</f>
        <v>0</v>
      </c>
      <c r="F422">
        <f>_xlfn.XLOOKUP(Table4[[#This Row],[Base System]],BASE_SYSTEM_TABLE[System Name],BASE_SYSTEM_TABLE[System Type],FALSE)</f>
        <v>0</v>
      </c>
      <c r="G422">
        <f>_xlfn.XLOOKUP(Table4[[#This Row],[Base System]],BASE_SYSTEM_TABLE[System Name],BASE_SYSTEM_TABLE[System Subtype],FALSE)</f>
        <v>0</v>
      </c>
      <c r="H422">
        <f>_xlfn.XLOOKUP(Table4[[#This Row],[Base System]],BASE_SYSTEM_TABLE[System Name],BASE_SYSTEM_TABLE[Construction Type (Framed or Planar)],FALSE)</f>
        <v>0</v>
      </c>
      <c r="I422" t="e">
        <f>GETPIVOTDATA("Sum of A1-A3 Fossil kg CO2e/m^2 wall area",'COMPONENT PIVOT REF'!$A$3,"System Name",Table4[[#This Row],[Base System]])</f>
        <v>#REF!</v>
      </c>
      <c r="J422" t="e">
        <f>GETPIVOTDATA("Sum of  R value (m^2-K/W)",'COMPONENT PIVOT REF'!$A$3,"System Name",Table4[[#This Row],[Base System]])</f>
        <v>#REF!</v>
      </c>
      <c r="K422" t="e">
        <f>GETPIVOTDATA("Sum of Total Mass per m^2 (kg)",'COMPONENT PIVOT REF'!$A$3,"System Name",Table4[[#This Row],[Base System]])</f>
        <v>#REF!</v>
      </c>
      <c r="M422">
        <f>_xlfn.XLOOKUP(Table4[[#This Row],[Ext Finish]],Master_Table4[System Name],Master_Table4[System Name (Short)],FALSE)</f>
        <v>0</v>
      </c>
      <c r="N422">
        <f>_xlfn.XLOOKUP(Table4[[#This Row],[Ext Finish]],Master_Table4[System Name],Master_Table4[Compatible Systems],FALSE)</f>
        <v>0</v>
      </c>
      <c r="O422" t="str">
        <f>IF(ISNUMBER(SEARCH(Table4[[#This Row],[MMC Method]],Table4[[#This Row],[Compatible Systems]])),"YES","NO")</f>
        <v>YES</v>
      </c>
      <c r="P422" t="e">
        <f>GETPIVOTDATA("Sum of A1-A3 Fossil kg CO2e/m^2 wall area",'COMPONENT PIVOT REF'!$I$3,"System Name",Table4[[#This Row],[Ext Finish]])</f>
        <v>#REF!</v>
      </c>
      <c r="Q422" t="e">
        <f>GETPIVOTDATA("Sum of  R value (m^2-K/W)",'COMPONENT PIVOT REF'!$I$3,"System Name",Table4[[#This Row],[Ext Finish]])</f>
        <v>#REF!</v>
      </c>
      <c r="R422" t="e">
        <f>GETPIVOTDATA("Sum of Total Mass per m^2 (kg)",'COMPONENT PIVOT REF'!$I$3,"System Name",Table4[[#This Row],[Ext Finish]])</f>
        <v>#REF!</v>
      </c>
      <c r="T422">
        <f>_xlfn.XLOOKUP(Table4[[#This Row],[Int Finish]],Master_Table6[System Name],Master_Table6[System Name (Short)],FALSE)</f>
        <v>0</v>
      </c>
      <c r="U422" t="e">
        <f>GETPIVOTDATA("Sum of A1-A3 Fossil kg CO2e/m^2 wall area",'COMPONENT PIVOT REF'!$P$3,"System Name",Table4[[#This Row],[Int Finish]])</f>
        <v>#REF!</v>
      </c>
      <c r="V422" t="e">
        <f>GETPIVOTDATA("Sum of  R value (m^2-K/W)",'COMPONENT PIVOT REF'!$P$3,"System Name",Table4[[#This Row],[Int Finish]])</f>
        <v>#REF!</v>
      </c>
      <c r="W422" t="e">
        <f>GETPIVOTDATA("Sum of Total Mass per m^2 (kg)",'COMPONENT PIVOT REF'!$P$3,"System Name",Table4[[#This Row],[Int Finish]])</f>
        <v>#REF!</v>
      </c>
      <c r="X422" t="e">
        <f>Table4[[#This Row],[Ext Finish GWP]]+Table4[[#This Row],[Base GWP]]+Table4[[#This Row],[Int Finish GWP]]</f>
        <v>#REF!</v>
      </c>
      <c r="Y422" t="e">
        <f>Table4[[#This Row],[Ext Finish R Value]]+Table4[[#This Row],[Base R Value]]+Table4[[#This Row],[Int Finish R Value]]</f>
        <v>#REF!</v>
      </c>
      <c r="Z422" t="e">
        <f>1/Table4[[#This Row],[Total R value]]</f>
        <v>#REF!</v>
      </c>
      <c r="AA422" t="e">
        <f>Table4[[#This Row],[Int Finish Mass]]+Table4[[#This Row],[Ext Finish Mass]]+Table4[[#This Row],[Base Mass]]</f>
        <v>#REF!</v>
      </c>
    </row>
    <row r="423" spans="3:27" x14ac:dyDescent="0.35">
      <c r="C423" t="str">
        <f>_xlfn.CONCAT(Table4[[#This Row],[System Name (Short)]],"_",Table4[[#This Row],[Ext Finish Name (Short)]],"_",Table4[[#This Row],[Int Finish Name (Short)]])</f>
        <v>0_0_0</v>
      </c>
      <c r="E423">
        <f>_xlfn.XLOOKUP(Table4[[#This Row],[Base System]],BASE_SYSTEM_TABLE[System Name],BASE_SYSTEM_TABLE[System Name (Short)],FALSE)</f>
        <v>0</v>
      </c>
      <c r="F423">
        <f>_xlfn.XLOOKUP(Table4[[#This Row],[Base System]],BASE_SYSTEM_TABLE[System Name],BASE_SYSTEM_TABLE[System Type],FALSE)</f>
        <v>0</v>
      </c>
      <c r="G423">
        <f>_xlfn.XLOOKUP(Table4[[#This Row],[Base System]],BASE_SYSTEM_TABLE[System Name],BASE_SYSTEM_TABLE[System Subtype],FALSE)</f>
        <v>0</v>
      </c>
      <c r="H423">
        <f>_xlfn.XLOOKUP(Table4[[#This Row],[Base System]],BASE_SYSTEM_TABLE[System Name],BASE_SYSTEM_TABLE[Construction Type (Framed or Planar)],FALSE)</f>
        <v>0</v>
      </c>
      <c r="I423" t="e">
        <f>GETPIVOTDATA("Sum of A1-A3 Fossil kg CO2e/m^2 wall area",'COMPONENT PIVOT REF'!$A$3,"System Name",Table4[[#This Row],[Base System]])</f>
        <v>#REF!</v>
      </c>
      <c r="J423" t="e">
        <f>GETPIVOTDATA("Sum of  R value (m^2-K/W)",'COMPONENT PIVOT REF'!$A$3,"System Name",Table4[[#This Row],[Base System]])</f>
        <v>#REF!</v>
      </c>
      <c r="K423" t="e">
        <f>GETPIVOTDATA("Sum of Total Mass per m^2 (kg)",'COMPONENT PIVOT REF'!$A$3,"System Name",Table4[[#This Row],[Base System]])</f>
        <v>#REF!</v>
      </c>
      <c r="M423">
        <f>_xlfn.XLOOKUP(Table4[[#This Row],[Ext Finish]],Master_Table4[System Name],Master_Table4[System Name (Short)],FALSE)</f>
        <v>0</v>
      </c>
      <c r="N423">
        <f>_xlfn.XLOOKUP(Table4[[#This Row],[Ext Finish]],Master_Table4[System Name],Master_Table4[Compatible Systems],FALSE)</f>
        <v>0</v>
      </c>
      <c r="O423" t="str">
        <f>IF(ISNUMBER(SEARCH(Table4[[#This Row],[MMC Method]],Table4[[#This Row],[Compatible Systems]])),"YES","NO")</f>
        <v>YES</v>
      </c>
      <c r="P423" t="e">
        <f>GETPIVOTDATA("Sum of A1-A3 Fossil kg CO2e/m^2 wall area",'COMPONENT PIVOT REF'!$I$3,"System Name",Table4[[#This Row],[Ext Finish]])</f>
        <v>#REF!</v>
      </c>
      <c r="Q423" t="e">
        <f>GETPIVOTDATA("Sum of  R value (m^2-K/W)",'COMPONENT PIVOT REF'!$I$3,"System Name",Table4[[#This Row],[Ext Finish]])</f>
        <v>#REF!</v>
      </c>
      <c r="R423" t="e">
        <f>GETPIVOTDATA("Sum of Total Mass per m^2 (kg)",'COMPONENT PIVOT REF'!$I$3,"System Name",Table4[[#This Row],[Ext Finish]])</f>
        <v>#REF!</v>
      </c>
      <c r="T423">
        <f>_xlfn.XLOOKUP(Table4[[#This Row],[Int Finish]],Master_Table6[System Name],Master_Table6[System Name (Short)],FALSE)</f>
        <v>0</v>
      </c>
      <c r="U423" t="e">
        <f>GETPIVOTDATA("Sum of A1-A3 Fossil kg CO2e/m^2 wall area",'COMPONENT PIVOT REF'!$P$3,"System Name",Table4[[#This Row],[Int Finish]])</f>
        <v>#REF!</v>
      </c>
      <c r="V423" t="e">
        <f>GETPIVOTDATA("Sum of  R value (m^2-K/W)",'COMPONENT PIVOT REF'!$P$3,"System Name",Table4[[#This Row],[Int Finish]])</f>
        <v>#REF!</v>
      </c>
      <c r="W423" t="e">
        <f>GETPIVOTDATA("Sum of Total Mass per m^2 (kg)",'COMPONENT PIVOT REF'!$P$3,"System Name",Table4[[#This Row],[Int Finish]])</f>
        <v>#REF!</v>
      </c>
      <c r="X423" t="e">
        <f>Table4[[#This Row],[Ext Finish GWP]]+Table4[[#This Row],[Base GWP]]+Table4[[#This Row],[Int Finish GWP]]</f>
        <v>#REF!</v>
      </c>
      <c r="Y423" t="e">
        <f>Table4[[#This Row],[Ext Finish R Value]]+Table4[[#This Row],[Base R Value]]+Table4[[#This Row],[Int Finish R Value]]</f>
        <v>#REF!</v>
      </c>
      <c r="Z423" t="e">
        <f>1/Table4[[#This Row],[Total R value]]</f>
        <v>#REF!</v>
      </c>
      <c r="AA423" t="e">
        <f>Table4[[#This Row],[Int Finish Mass]]+Table4[[#This Row],[Ext Finish Mass]]+Table4[[#This Row],[Base Mass]]</f>
        <v>#REF!</v>
      </c>
    </row>
    <row r="424" spans="3:27" x14ac:dyDescent="0.35">
      <c r="C424" t="str">
        <f>_xlfn.CONCAT(Table4[[#This Row],[System Name (Short)]],"_",Table4[[#This Row],[Ext Finish Name (Short)]],"_",Table4[[#This Row],[Int Finish Name (Short)]])</f>
        <v>0_0_0</v>
      </c>
      <c r="E424">
        <f>_xlfn.XLOOKUP(Table4[[#This Row],[Base System]],BASE_SYSTEM_TABLE[System Name],BASE_SYSTEM_TABLE[System Name (Short)],FALSE)</f>
        <v>0</v>
      </c>
      <c r="F424">
        <f>_xlfn.XLOOKUP(Table4[[#This Row],[Base System]],BASE_SYSTEM_TABLE[System Name],BASE_SYSTEM_TABLE[System Type],FALSE)</f>
        <v>0</v>
      </c>
      <c r="G424">
        <f>_xlfn.XLOOKUP(Table4[[#This Row],[Base System]],BASE_SYSTEM_TABLE[System Name],BASE_SYSTEM_TABLE[System Subtype],FALSE)</f>
        <v>0</v>
      </c>
      <c r="H424">
        <f>_xlfn.XLOOKUP(Table4[[#This Row],[Base System]],BASE_SYSTEM_TABLE[System Name],BASE_SYSTEM_TABLE[Construction Type (Framed or Planar)],FALSE)</f>
        <v>0</v>
      </c>
      <c r="I424" t="e">
        <f>GETPIVOTDATA("Sum of A1-A3 Fossil kg CO2e/m^2 wall area",'COMPONENT PIVOT REF'!$A$3,"System Name",Table4[[#This Row],[Base System]])</f>
        <v>#REF!</v>
      </c>
      <c r="J424" t="e">
        <f>GETPIVOTDATA("Sum of  R value (m^2-K/W)",'COMPONENT PIVOT REF'!$A$3,"System Name",Table4[[#This Row],[Base System]])</f>
        <v>#REF!</v>
      </c>
      <c r="K424" t="e">
        <f>GETPIVOTDATA("Sum of Total Mass per m^2 (kg)",'COMPONENT PIVOT REF'!$A$3,"System Name",Table4[[#This Row],[Base System]])</f>
        <v>#REF!</v>
      </c>
      <c r="M424">
        <f>_xlfn.XLOOKUP(Table4[[#This Row],[Ext Finish]],Master_Table4[System Name],Master_Table4[System Name (Short)],FALSE)</f>
        <v>0</v>
      </c>
      <c r="N424">
        <f>_xlfn.XLOOKUP(Table4[[#This Row],[Ext Finish]],Master_Table4[System Name],Master_Table4[Compatible Systems],FALSE)</f>
        <v>0</v>
      </c>
      <c r="O424" t="str">
        <f>IF(ISNUMBER(SEARCH(Table4[[#This Row],[MMC Method]],Table4[[#This Row],[Compatible Systems]])),"YES","NO")</f>
        <v>YES</v>
      </c>
      <c r="P424" t="e">
        <f>GETPIVOTDATA("Sum of A1-A3 Fossil kg CO2e/m^2 wall area",'COMPONENT PIVOT REF'!$I$3,"System Name",Table4[[#This Row],[Ext Finish]])</f>
        <v>#REF!</v>
      </c>
      <c r="Q424" t="e">
        <f>GETPIVOTDATA("Sum of  R value (m^2-K/W)",'COMPONENT PIVOT REF'!$I$3,"System Name",Table4[[#This Row],[Ext Finish]])</f>
        <v>#REF!</v>
      </c>
      <c r="R424" t="e">
        <f>GETPIVOTDATA("Sum of Total Mass per m^2 (kg)",'COMPONENT PIVOT REF'!$I$3,"System Name",Table4[[#This Row],[Ext Finish]])</f>
        <v>#REF!</v>
      </c>
      <c r="T424">
        <f>_xlfn.XLOOKUP(Table4[[#This Row],[Int Finish]],Master_Table6[System Name],Master_Table6[System Name (Short)],FALSE)</f>
        <v>0</v>
      </c>
      <c r="U424" t="e">
        <f>GETPIVOTDATA("Sum of A1-A3 Fossil kg CO2e/m^2 wall area",'COMPONENT PIVOT REF'!$P$3,"System Name",Table4[[#This Row],[Int Finish]])</f>
        <v>#REF!</v>
      </c>
      <c r="V424" t="e">
        <f>GETPIVOTDATA("Sum of  R value (m^2-K/W)",'COMPONENT PIVOT REF'!$P$3,"System Name",Table4[[#This Row],[Int Finish]])</f>
        <v>#REF!</v>
      </c>
      <c r="W424" t="e">
        <f>GETPIVOTDATA("Sum of Total Mass per m^2 (kg)",'COMPONENT PIVOT REF'!$P$3,"System Name",Table4[[#This Row],[Int Finish]])</f>
        <v>#REF!</v>
      </c>
      <c r="X424" t="e">
        <f>Table4[[#This Row],[Ext Finish GWP]]+Table4[[#This Row],[Base GWP]]+Table4[[#This Row],[Int Finish GWP]]</f>
        <v>#REF!</v>
      </c>
      <c r="Y424" t="e">
        <f>Table4[[#This Row],[Ext Finish R Value]]+Table4[[#This Row],[Base R Value]]+Table4[[#This Row],[Int Finish R Value]]</f>
        <v>#REF!</v>
      </c>
      <c r="Z424" t="e">
        <f>1/Table4[[#This Row],[Total R value]]</f>
        <v>#REF!</v>
      </c>
      <c r="AA424" t="e">
        <f>Table4[[#This Row],[Int Finish Mass]]+Table4[[#This Row],[Ext Finish Mass]]+Table4[[#This Row],[Base Mass]]</f>
        <v>#REF!</v>
      </c>
    </row>
    <row r="425" spans="3:27" x14ac:dyDescent="0.35">
      <c r="C425" t="str">
        <f>_xlfn.CONCAT(Table4[[#This Row],[System Name (Short)]],"_",Table4[[#This Row],[Ext Finish Name (Short)]],"_",Table4[[#This Row],[Int Finish Name (Short)]])</f>
        <v>0_0_0</v>
      </c>
      <c r="E425">
        <f>_xlfn.XLOOKUP(Table4[[#This Row],[Base System]],BASE_SYSTEM_TABLE[System Name],BASE_SYSTEM_TABLE[System Name (Short)],FALSE)</f>
        <v>0</v>
      </c>
      <c r="F425">
        <f>_xlfn.XLOOKUP(Table4[[#This Row],[Base System]],BASE_SYSTEM_TABLE[System Name],BASE_SYSTEM_TABLE[System Type],FALSE)</f>
        <v>0</v>
      </c>
      <c r="G425">
        <f>_xlfn.XLOOKUP(Table4[[#This Row],[Base System]],BASE_SYSTEM_TABLE[System Name],BASE_SYSTEM_TABLE[System Subtype],FALSE)</f>
        <v>0</v>
      </c>
      <c r="H425">
        <f>_xlfn.XLOOKUP(Table4[[#This Row],[Base System]],BASE_SYSTEM_TABLE[System Name],BASE_SYSTEM_TABLE[Construction Type (Framed or Planar)],FALSE)</f>
        <v>0</v>
      </c>
      <c r="I425" t="e">
        <f>GETPIVOTDATA("Sum of A1-A3 Fossil kg CO2e/m^2 wall area",'COMPONENT PIVOT REF'!$A$3,"System Name",Table4[[#This Row],[Base System]])</f>
        <v>#REF!</v>
      </c>
      <c r="J425" t="e">
        <f>GETPIVOTDATA("Sum of  R value (m^2-K/W)",'COMPONENT PIVOT REF'!$A$3,"System Name",Table4[[#This Row],[Base System]])</f>
        <v>#REF!</v>
      </c>
      <c r="K425" t="e">
        <f>GETPIVOTDATA("Sum of Total Mass per m^2 (kg)",'COMPONENT PIVOT REF'!$A$3,"System Name",Table4[[#This Row],[Base System]])</f>
        <v>#REF!</v>
      </c>
      <c r="M425">
        <f>_xlfn.XLOOKUP(Table4[[#This Row],[Ext Finish]],Master_Table4[System Name],Master_Table4[System Name (Short)],FALSE)</f>
        <v>0</v>
      </c>
      <c r="N425">
        <f>_xlfn.XLOOKUP(Table4[[#This Row],[Ext Finish]],Master_Table4[System Name],Master_Table4[Compatible Systems],FALSE)</f>
        <v>0</v>
      </c>
      <c r="O425" t="str">
        <f>IF(ISNUMBER(SEARCH(Table4[[#This Row],[MMC Method]],Table4[[#This Row],[Compatible Systems]])),"YES","NO")</f>
        <v>YES</v>
      </c>
      <c r="P425" t="e">
        <f>GETPIVOTDATA("Sum of A1-A3 Fossil kg CO2e/m^2 wall area",'COMPONENT PIVOT REF'!$I$3,"System Name",Table4[[#This Row],[Ext Finish]])</f>
        <v>#REF!</v>
      </c>
      <c r="Q425" t="e">
        <f>GETPIVOTDATA("Sum of  R value (m^2-K/W)",'COMPONENT PIVOT REF'!$I$3,"System Name",Table4[[#This Row],[Ext Finish]])</f>
        <v>#REF!</v>
      </c>
      <c r="R425" t="e">
        <f>GETPIVOTDATA("Sum of Total Mass per m^2 (kg)",'COMPONENT PIVOT REF'!$I$3,"System Name",Table4[[#This Row],[Ext Finish]])</f>
        <v>#REF!</v>
      </c>
      <c r="T425">
        <f>_xlfn.XLOOKUP(Table4[[#This Row],[Int Finish]],Master_Table6[System Name],Master_Table6[System Name (Short)],FALSE)</f>
        <v>0</v>
      </c>
      <c r="U425" t="e">
        <f>GETPIVOTDATA("Sum of A1-A3 Fossil kg CO2e/m^2 wall area",'COMPONENT PIVOT REF'!$P$3,"System Name",Table4[[#This Row],[Int Finish]])</f>
        <v>#REF!</v>
      </c>
      <c r="V425" t="e">
        <f>GETPIVOTDATA("Sum of  R value (m^2-K/W)",'COMPONENT PIVOT REF'!$P$3,"System Name",Table4[[#This Row],[Int Finish]])</f>
        <v>#REF!</v>
      </c>
      <c r="W425" t="e">
        <f>GETPIVOTDATA("Sum of Total Mass per m^2 (kg)",'COMPONENT PIVOT REF'!$P$3,"System Name",Table4[[#This Row],[Int Finish]])</f>
        <v>#REF!</v>
      </c>
      <c r="X425" t="e">
        <f>Table4[[#This Row],[Ext Finish GWP]]+Table4[[#This Row],[Base GWP]]+Table4[[#This Row],[Int Finish GWP]]</f>
        <v>#REF!</v>
      </c>
      <c r="Y425" t="e">
        <f>Table4[[#This Row],[Ext Finish R Value]]+Table4[[#This Row],[Base R Value]]+Table4[[#This Row],[Int Finish R Value]]</f>
        <v>#REF!</v>
      </c>
      <c r="Z425" t="e">
        <f>1/Table4[[#This Row],[Total R value]]</f>
        <v>#REF!</v>
      </c>
      <c r="AA425" t="e">
        <f>Table4[[#This Row],[Int Finish Mass]]+Table4[[#This Row],[Ext Finish Mass]]+Table4[[#This Row],[Base Mass]]</f>
        <v>#REF!</v>
      </c>
    </row>
    <row r="426" spans="3:27" x14ac:dyDescent="0.35">
      <c r="C426" t="str">
        <f>_xlfn.CONCAT(Table4[[#This Row],[System Name (Short)]],"_",Table4[[#This Row],[Ext Finish Name (Short)]],"_",Table4[[#This Row],[Int Finish Name (Short)]])</f>
        <v>0_0_0</v>
      </c>
      <c r="E426">
        <f>_xlfn.XLOOKUP(Table4[[#This Row],[Base System]],BASE_SYSTEM_TABLE[System Name],BASE_SYSTEM_TABLE[System Name (Short)],FALSE)</f>
        <v>0</v>
      </c>
      <c r="F426">
        <f>_xlfn.XLOOKUP(Table4[[#This Row],[Base System]],BASE_SYSTEM_TABLE[System Name],BASE_SYSTEM_TABLE[System Type],FALSE)</f>
        <v>0</v>
      </c>
      <c r="G426">
        <f>_xlfn.XLOOKUP(Table4[[#This Row],[Base System]],BASE_SYSTEM_TABLE[System Name],BASE_SYSTEM_TABLE[System Subtype],FALSE)</f>
        <v>0</v>
      </c>
      <c r="H426">
        <f>_xlfn.XLOOKUP(Table4[[#This Row],[Base System]],BASE_SYSTEM_TABLE[System Name],BASE_SYSTEM_TABLE[Construction Type (Framed or Planar)],FALSE)</f>
        <v>0</v>
      </c>
      <c r="I426" t="e">
        <f>GETPIVOTDATA("Sum of A1-A3 Fossil kg CO2e/m^2 wall area",'COMPONENT PIVOT REF'!$A$3,"System Name",Table4[[#This Row],[Base System]])</f>
        <v>#REF!</v>
      </c>
      <c r="J426" t="e">
        <f>GETPIVOTDATA("Sum of  R value (m^2-K/W)",'COMPONENT PIVOT REF'!$A$3,"System Name",Table4[[#This Row],[Base System]])</f>
        <v>#REF!</v>
      </c>
      <c r="K426" t="e">
        <f>GETPIVOTDATA("Sum of Total Mass per m^2 (kg)",'COMPONENT PIVOT REF'!$A$3,"System Name",Table4[[#This Row],[Base System]])</f>
        <v>#REF!</v>
      </c>
      <c r="M426">
        <f>_xlfn.XLOOKUP(Table4[[#This Row],[Ext Finish]],Master_Table4[System Name],Master_Table4[System Name (Short)],FALSE)</f>
        <v>0</v>
      </c>
      <c r="N426">
        <f>_xlfn.XLOOKUP(Table4[[#This Row],[Ext Finish]],Master_Table4[System Name],Master_Table4[Compatible Systems],FALSE)</f>
        <v>0</v>
      </c>
      <c r="O426" t="str">
        <f>IF(ISNUMBER(SEARCH(Table4[[#This Row],[MMC Method]],Table4[[#This Row],[Compatible Systems]])),"YES","NO")</f>
        <v>YES</v>
      </c>
      <c r="P426" t="e">
        <f>GETPIVOTDATA("Sum of A1-A3 Fossil kg CO2e/m^2 wall area",'COMPONENT PIVOT REF'!$I$3,"System Name",Table4[[#This Row],[Ext Finish]])</f>
        <v>#REF!</v>
      </c>
      <c r="Q426" t="e">
        <f>GETPIVOTDATA("Sum of  R value (m^2-K/W)",'COMPONENT PIVOT REF'!$I$3,"System Name",Table4[[#This Row],[Ext Finish]])</f>
        <v>#REF!</v>
      </c>
      <c r="R426" t="e">
        <f>GETPIVOTDATA("Sum of Total Mass per m^2 (kg)",'COMPONENT PIVOT REF'!$I$3,"System Name",Table4[[#This Row],[Ext Finish]])</f>
        <v>#REF!</v>
      </c>
      <c r="T426">
        <f>_xlfn.XLOOKUP(Table4[[#This Row],[Int Finish]],Master_Table6[System Name],Master_Table6[System Name (Short)],FALSE)</f>
        <v>0</v>
      </c>
      <c r="U426" t="e">
        <f>GETPIVOTDATA("Sum of A1-A3 Fossil kg CO2e/m^2 wall area",'COMPONENT PIVOT REF'!$P$3,"System Name",Table4[[#This Row],[Int Finish]])</f>
        <v>#REF!</v>
      </c>
      <c r="V426" t="e">
        <f>GETPIVOTDATA("Sum of  R value (m^2-K/W)",'COMPONENT PIVOT REF'!$P$3,"System Name",Table4[[#This Row],[Int Finish]])</f>
        <v>#REF!</v>
      </c>
      <c r="W426" t="e">
        <f>GETPIVOTDATA("Sum of Total Mass per m^2 (kg)",'COMPONENT PIVOT REF'!$P$3,"System Name",Table4[[#This Row],[Int Finish]])</f>
        <v>#REF!</v>
      </c>
      <c r="X426" t="e">
        <f>Table4[[#This Row],[Ext Finish GWP]]+Table4[[#This Row],[Base GWP]]+Table4[[#This Row],[Int Finish GWP]]</f>
        <v>#REF!</v>
      </c>
      <c r="Y426" t="e">
        <f>Table4[[#This Row],[Ext Finish R Value]]+Table4[[#This Row],[Base R Value]]+Table4[[#This Row],[Int Finish R Value]]</f>
        <v>#REF!</v>
      </c>
      <c r="Z426" t="e">
        <f>1/Table4[[#This Row],[Total R value]]</f>
        <v>#REF!</v>
      </c>
      <c r="AA426" t="e">
        <f>Table4[[#This Row],[Int Finish Mass]]+Table4[[#This Row],[Ext Finish Mass]]+Table4[[#This Row],[Base Mass]]</f>
        <v>#REF!</v>
      </c>
    </row>
    <row r="427" spans="3:27" x14ac:dyDescent="0.35">
      <c r="C427" t="str">
        <f>_xlfn.CONCAT(Table4[[#This Row],[System Name (Short)]],"_",Table4[[#This Row],[Ext Finish Name (Short)]],"_",Table4[[#This Row],[Int Finish Name (Short)]])</f>
        <v>0_0_0</v>
      </c>
      <c r="E427">
        <f>_xlfn.XLOOKUP(Table4[[#This Row],[Base System]],BASE_SYSTEM_TABLE[System Name],BASE_SYSTEM_TABLE[System Name (Short)],FALSE)</f>
        <v>0</v>
      </c>
      <c r="F427">
        <f>_xlfn.XLOOKUP(Table4[[#This Row],[Base System]],BASE_SYSTEM_TABLE[System Name],BASE_SYSTEM_TABLE[System Type],FALSE)</f>
        <v>0</v>
      </c>
      <c r="G427">
        <f>_xlfn.XLOOKUP(Table4[[#This Row],[Base System]],BASE_SYSTEM_TABLE[System Name],BASE_SYSTEM_TABLE[System Subtype],FALSE)</f>
        <v>0</v>
      </c>
      <c r="H427">
        <f>_xlfn.XLOOKUP(Table4[[#This Row],[Base System]],BASE_SYSTEM_TABLE[System Name],BASE_SYSTEM_TABLE[Construction Type (Framed or Planar)],FALSE)</f>
        <v>0</v>
      </c>
      <c r="I427" t="e">
        <f>GETPIVOTDATA("Sum of A1-A3 Fossil kg CO2e/m^2 wall area",'COMPONENT PIVOT REF'!$A$3,"System Name",Table4[[#This Row],[Base System]])</f>
        <v>#REF!</v>
      </c>
      <c r="J427" t="e">
        <f>GETPIVOTDATA("Sum of  R value (m^2-K/W)",'COMPONENT PIVOT REF'!$A$3,"System Name",Table4[[#This Row],[Base System]])</f>
        <v>#REF!</v>
      </c>
      <c r="K427" t="e">
        <f>GETPIVOTDATA("Sum of Total Mass per m^2 (kg)",'COMPONENT PIVOT REF'!$A$3,"System Name",Table4[[#This Row],[Base System]])</f>
        <v>#REF!</v>
      </c>
      <c r="M427">
        <f>_xlfn.XLOOKUP(Table4[[#This Row],[Ext Finish]],Master_Table4[System Name],Master_Table4[System Name (Short)],FALSE)</f>
        <v>0</v>
      </c>
      <c r="N427">
        <f>_xlfn.XLOOKUP(Table4[[#This Row],[Ext Finish]],Master_Table4[System Name],Master_Table4[Compatible Systems],FALSE)</f>
        <v>0</v>
      </c>
      <c r="O427" t="str">
        <f>IF(ISNUMBER(SEARCH(Table4[[#This Row],[MMC Method]],Table4[[#This Row],[Compatible Systems]])),"YES","NO")</f>
        <v>YES</v>
      </c>
      <c r="P427" t="e">
        <f>GETPIVOTDATA("Sum of A1-A3 Fossil kg CO2e/m^2 wall area",'COMPONENT PIVOT REF'!$I$3,"System Name",Table4[[#This Row],[Ext Finish]])</f>
        <v>#REF!</v>
      </c>
      <c r="Q427" t="e">
        <f>GETPIVOTDATA("Sum of  R value (m^2-K/W)",'COMPONENT PIVOT REF'!$I$3,"System Name",Table4[[#This Row],[Ext Finish]])</f>
        <v>#REF!</v>
      </c>
      <c r="R427" t="e">
        <f>GETPIVOTDATA("Sum of Total Mass per m^2 (kg)",'COMPONENT PIVOT REF'!$I$3,"System Name",Table4[[#This Row],[Ext Finish]])</f>
        <v>#REF!</v>
      </c>
      <c r="T427">
        <f>_xlfn.XLOOKUP(Table4[[#This Row],[Int Finish]],Master_Table6[System Name],Master_Table6[System Name (Short)],FALSE)</f>
        <v>0</v>
      </c>
      <c r="U427" t="e">
        <f>GETPIVOTDATA("Sum of A1-A3 Fossil kg CO2e/m^2 wall area",'COMPONENT PIVOT REF'!$P$3,"System Name",Table4[[#This Row],[Int Finish]])</f>
        <v>#REF!</v>
      </c>
      <c r="V427" t="e">
        <f>GETPIVOTDATA("Sum of  R value (m^2-K/W)",'COMPONENT PIVOT REF'!$P$3,"System Name",Table4[[#This Row],[Int Finish]])</f>
        <v>#REF!</v>
      </c>
      <c r="W427" t="e">
        <f>GETPIVOTDATA("Sum of Total Mass per m^2 (kg)",'COMPONENT PIVOT REF'!$P$3,"System Name",Table4[[#This Row],[Int Finish]])</f>
        <v>#REF!</v>
      </c>
      <c r="X427" t="e">
        <f>Table4[[#This Row],[Ext Finish GWP]]+Table4[[#This Row],[Base GWP]]+Table4[[#This Row],[Int Finish GWP]]</f>
        <v>#REF!</v>
      </c>
      <c r="Y427" t="e">
        <f>Table4[[#This Row],[Ext Finish R Value]]+Table4[[#This Row],[Base R Value]]+Table4[[#This Row],[Int Finish R Value]]</f>
        <v>#REF!</v>
      </c>
      <c r="Z427" t="e">
        <f>1/Table4[[#This Row],[Total R value]]</f>
        <v>#REF!</v>
      </c>
      <c r="AA427" t="e">
        <f>Table4[[#This Row],[Int Finish Mass]]+Table4[[#This Row],[Ext Finish Mass]]+Table4[[#This Row],[Base Mass]]</f>
        <v>#REF!</v>
      </c>
    </row>
    <row r="428" spans="3:27" x14ac:dyDescent="0.35">
      <c r="C428" t="str">
        <f>_xlfn.CONCAT(Table4[[#This Row],[System Name (Short)]],"_",Table4[[#This Row],[Ext Finish Name (Short)]],"_",Table4[[#This Row],[Int Finish Name (Short)]])</f>
        <v>0_0_0</v>
      </c>
      <c r="E428">
        <f>_xlfn.XLOOKUP(Table4[[#This Row],[Base System]],BASE_SYSTEM_TABLE[System Name],BASE_SYSTEM_TABLE[System Name (Short)],FALSE)</f>
        <v>0</v>
      </c>
      <c r="F428">
        <f>_xlfn.XLOOKUP(Table4[[#This Row],[Base System]],BASE_SYSTEM_TABLE[System Name],BASE_SYSTEM_TABLE[System Type],FALSE)</f>
        <v>0</v>
      </c>
      <c r="G428">
        <f>_xlfn.XLOOKUP(Table4[[#This Row],[Base System]],BASE_SYSTEM_TABLE[System Name],BASE_SYSTEM_TABLE[System Subtype],FALSE)</f>
        <v>0</v>
      </c>
      <c r="H428">
        <f>_xlfn.XLOOKUP(Table4[[#This Row],[Base System]],BASE_SYSTEM_TABLE[System Name],BASE_SYSTEM_TABLE[Construction Type (Framed or Planar)],FALSE)</f>
        <v>0</v>
      </c>
      <c r="I428" t="e">
        <f>GETPIVOTDATA("Sum of A1-A3 Fossil kg CO2e/m^2 wall area",'COMPONENT PIVOT REF'!$A$3,"System Name",Table4[[#This Row],[Base System]])</f>
        <v>#REF!</v>
      </c>
      <c r="J428" t="e">
        <f>GETPIVOTDATA("Sum of  R value (m^2-K/W)",'COMPONENT PIVOT REF'!$A$3,"System Name",Table4[[#This Row],[Base System]])</f>
        <v>#REF!</v>
      </c>
      <c r="K428" t="e">
        <f>GETPIVOTDATA("Sum of Total Mass per m^2 (kg)",'COMPONENT PIVOT REF'!$A$3,"System Name",Table4[[#This Row],[Base System]])</f>
        <v>#REF!</v>
      </c>
      <c r="M428">
        <f>_xlfn.XLOOKUP(Table4[[#This Row],[Ext Finish]],Master_Table4[System Name],Master_Table4[System Name (Short)],FALSE)</f>
        <v>0</v>
      </c>
      <c r="N428">
        <f>_xlfn.XLOOKUP(Table4[[#This Row],[Ext Finish]],Master_Table4[System Name],Master_Table4[Compatible Systems],FALSE)</f>
        <v>0</v>
      </c>
      <c r="O428" t="str">
        <f>IF(ISNUMBER(SEARCH(Table4[[#This Row],[MMC Method]],Table4[[#This Row],[Compatible Systems]])),"YES","NO")</f>
        <v>YES</v>
      </c>
      <c r="P428" t="e">
        <f>GETPIVOTDATA("Sum of A1-A3 Fossil kg CO2e/m^2 wall area",'COMPONENT PIVOT REF'!$I$3,"System Name",Table4[[#This Row],[Ext Finish]])</f>
        <v>#REF!</v>
      </c>
      <c r="Q428" t="e">
        <f>GETPIVOTDATA("Sum of  R value (m^2-K/W)",'COMPONENT PIVOT REF'!$I$3,"System Name",Table4[[#This Row],[Ext Finish]])</f>
        <v>#REF!</v>
      </c>
      <c r="R428" t="e">
        <f>GETPIVOTDATA("Sum of Total Mass per m^2 (kg)",'COMPONENT PIVOT REF'!$I$3,"System Name",Table4[[#This Row],[Ext Finish]])</f>
        <v>#REF!</v>
      </c>
      <c r="T428">
        <f>_xlfn.XLOOKUP(Table4[[#This Row],[Int Finish]],Master_Table6[System Name],Master_Table6[System Name (Short)],FALSE)</f>
        <v>0</v>
      </c>
      <c r="U428" t="e">
        <f>GETPIVOTDATA("Sum of A1-A3 Fossil kg CO2e/m^2 wall area",'COMPONENT PIVOT REF'!$P$3,"System Name",Table4[[#This Row],[Int Finish]])</f>
        <v>#REF!</v>
      </c>
      <c r="V428" t="e">
        <f>GETPIVOTDATA("Sum of  R value (m^2-K/W)",'COMPONENT PIVOT REF'!$P$3,"System Name",Table4[[#This Row],[Int Finish]])</f>
        <v>#REF!</v>
      </c>
      <c r="W428" t="e">
        <f>GETPIVOTDATA("Sum of Total Mass per m^2 (kg)",'COMPONENT PIVOT REF'!$P$3,"System Name",Table4[[#This Row],[Int Finish]])</f>
        <v>#REF!</v>
      </c>
      <c r="X428" t="e">
        <f>Table4[[#This Row],[Ext Finish GWP]]+Table4[[#This Row],[Base GWP]]+Table4[[#This Row],[Int Finish GWP]]</f>
        <v>#REF!</v>
      </c>
      <c r="Y428" t="e">
        <f>Table4[[#This Row],[Ext Finish R Value]]+Table4[[#This Row],[Base R Value]]+Table4[[#This Row],[Int Finish R Value]]</f>
        <v>#REF!</v>
      </c>
      <c r="Z428" t="e">
        <f>1/Table4[[#This Row],[Total R value]]</f>
        <v>#REF!</v>
      </c>
      <c r="AA428" t="e">
        <f>Table4[[#This Row],[Int Finish Mass]]+Table4[[#This Row],[Ext Finish Mass]]+Table4[[#This Row],[Base Mass]]</f>
        <v>#REF!</v>
      </c>
    </row>
    <row r="429" spans="3:27" x14ac:dyDescent="0.35">
      <c r="C429" t="str">
        <f>_xlfn.CONCAT(Table4[[#This Row],[System Name (Short)]],"_",Table4[[#This Row],[Ext Finish Name (Short)]],"_",Table4[[#This Row],[Int Finish Name (Short)]])</f>
        <v>0_0_0</v>
      </c>
      <c r="E429">
        <f>_xlfn.XLOOKUP(Table4[[#This Row],[Base System]],BASE_SYSTEM_TABLE[System Name],BASE_SYSTEM_TABLE[System Name (Short)],FALSE)</f>
        <v>0</v>
      </c>
      <c r="F429">
        <f>_xlfn.XLOOKUP(Table4[[#This Row],[Base System]],BASE_SYSTEM_TABLE[System Name],BASE_SYSTEM_TABLE[System Type],FALSE)</f>
        <v>0</v>
      </c>
      <c r="G429">
        <f>_xlfn.XLOOKUP(Table4[[#This Row],[Base System]],BASE_SYSTEM_TABLE[System Name],BASE_SYSTEM_TABLE[System Subtype],FALSE)</f>
        <v>0</v>
      </c>
      <c r="H429">
        <f>_xlfn.XLOOKUP(Table4[[#This Row],[Base System]],BASE_SYSTEM_TABLE[System Name],BASE_SYSTEM_TABLE[Construction Type (Framed or Planar)],FALSE)</f>
        <v>0</v>
      </c>
      <c r="I429" t="e">
        <f>GETPIVOTDATA("Sum of A1-A3 Fossil kg CO2e/m^2 wall area",'COMPONENT PIVOT REF'!$A$3,"System Name",Table4[[#This Row],[Base System]])</f>
        <v>#REF!</v>
      </c>
      <c r="J429" t="e">
        <f>GETPIVOTDATA("Sum of  R value (m^2-K/W)",'COMPONENT PIVOT REF'!$A$3,"System Name",Table4[[#This Row],[Base System]])</f>
        <v>#REF!</v>
      </c>
      <c r="K429" t="e">
        <f>GETPIVOTDATA("Sum of Total Mass per m^2 (kg)",'COMPONENT PIVOT REF'!$A$3,"System Name",Table4[[#This Row],[Base System]])</f>
        <v>#REF!</v>
      </c>
      <c r="M429">
        <f>_xlfn.XLOOKUP(Table4[[#This Row],[Ext Finish]],Master_Table4[System Name],Master_Table4[System Name (Short)],FALSE)</f>
        <v>0</v>
      </c>
      <c r="N429">
        <f>_xlfn.XLOOKUP(Table4[[#This Row],[Ext Finish]],Master_Table4[System Name],Master_Table4[Compatible Systems],FALSE)</f>
        <v>0</v>
      </c>
      <c r="O429" t="str">
        <f>IF(ISNUMBER(SEARCH(Table4[[#This Row],[MMC Method]],Table4[[#This Row],[Compatible Systems]])),"YES","NO")</f>
        <v>YES</v>
      </c>
      <c r="P429" t="e">
        <f>GETPIVOTDATA("Sum of A1-A3 Fossil kg CO2e/m^2 wall area",'COMPONENT PIVOT REF'!$I$3,"System Name",Table4[[#This Row],[Ext Finish]])</f>
        <v>#REF!</v>
      </c>
      <c r="Q429" t="e">
        <f>GETPIVOTDATA("Sum of  R value (m^2-K/W)",'COMPONENT PIVOT REF'!$I$3,"System Name",Table4[[#This Row],[Ext Finish]])</f>
        <v>#REF!</v>
      </c>
      <c r="R429" t="e">
        <f>GETPIVOTDATA("Sum of Total Mass per m^2 (kg)",'COMPONENT PIVOT REF'!$I$3,"System Name",Table4[[#This Row],[Ext Finish]])</f>
        <v>#REF!</v>
      </c>
      <c r="T429">
        <f>_xlfn.XLOOKUP(Table4[[#This Row],[Int Finish]],Master_Table6[System Name],Master_Table6[System Name (Short)],FALSE)</f>
        <v>0</v>
      </c>
      <c r="U429" t="e">
        <f>GETPIVOTDATA("Sum of A1-A3 Fossil kg CO2e/m^2 wall area",'COMPONENT PIVOT REF'!$P$3,"System Name",Table4[[#This Row],[Int Finish]])</f>
        <v>#REF!</v>
      </c>
      <c r="V429" t="e">
        <f>GETPIVOTDATA("Sum of  R value (m^2-K/W)",'COMPONENT PIVOT REF'!$P$3,"System Name",Table4[[#This Row],[Int Finish]])</f>
        <v>#REF!</v>
      </c>
      <c r="W429" t="e">
        <f>GETPIVOTDATA("Sum of Total Mass per m^2 (kg)",'COMPONENT PIVOT REF'!$P$3,"System Name",Table4[[#This Row],[Int Finish]])</f>
        <v>#REF!</v>
      </c>
      <c r="X429" t="e">
        <f>Table4[[#This Row],[Ext Finish GWP]]+Table4[[#This Row],[Base GWP]]+Table4[[#This Row],[Int Finish GWP]]</f>
        <v>#REF!</v>
      </c>
      <c r="Y429" t="e">
        <f>Table4[[#This Row],[Ext Finish R Value]]+Table4[[#This Row],[Base R Value]]+Table4[[#This Row],[Int Finish R Value]]</f>
        <v>#REF!</v>
      </c>
      <c r="Z429" t="e">
        <f>1/Table4[[#This Row],[Total R value]]</f>
        <v>#REF!</v>
      </c>
      <c r="AA429" t="e">
        <f>Table4[[#This Row],[Int Finish Mass]]+Table4[[#This Row],[Ext Finish Mass]]+Table4[[#This Row],[Base Mass]]</f>
        <v>#REF!</v>
      </c>
    </row>
    <row r="430" spans="3:27" x14ac:dyDescent="0.35">
      <c r="C430" t="str">
        <f>_xlfn.CONCAT(Table4[[#This Row],[System Name (Short)]],"_",Table4[[#This Row],[Ext Finish Name (Short)]],"_",Table4[[#This Row],[Int Finish Name (Short)]])</f>
        <v>0_0_0</v>
      </c>
      <c r="E430">
        <f>_xlfn.XLOOKUP(Table4[[#This Row],[Base System]],BASE_SYSTEM_TABLE[System Name],BASE_SYSTEM_TABLE[System Name (Short)],FALSE)</f>
        <v>0</v>
      </c>
      <c r="F430">
        <f>_xlfn.XLOOKUP(Table4[[#This Row],[Base System]],BASE_SYSTEM_TABLE[System Name],BASE_SYSTEM_TABLE[System Type],FALSE)</f>
        <v>0</v>
      </c>
      <c r="G430">
        <f>_xlfn.XLOOKUP(Table4[[#This Row],[Base System]],BASE_SYSTEM_TABLE[System Name],BASE_SYSTEM_TABLE[System Subtype],FALSE)</f>
        <v>0</v>
      </c>
      <c r="H430">
        <f>_xlfn.XLOOKUP(Table4[[#This Row],[Base System]],BASE_SYSTEM_TABLE[System Name],BASE_SYSTEM_TABLE[Construction Type (Framed or Planar)],FALSE)</f>
        <v>0</v>
      </c>
      <c r="I430" t="e">
        <f>GETPIVOTDATA("Sum of A1-A3 Fossil kg CO2e/m^2 wall area",'COMPONENT PIVOT REF'!$A$3,"System Name",Table4[[#This Row],[Base System]])</f>
        <v>#REF!</v>
      </c>
      <c r="J430" t="e">
        <f>GETPIVOTDATA("Sum of  R value (m^2-K/W)",'COMPONENT PIVOT REF'!$A$3,"System Name",Table4[[#This Row],[Base System]])</f>
        <v>#REF!</v>
      </c>
      <c r="K430" t="e">
        <f>GETPIVOTDATA("Sum of Total Mass per m^2 (kg)",'COMPONENT PIVOT REF'!$A$3,"System Name",Table4[[#This Row],[Base System]])</f>
        <v>#REF!</v>
      </c>
      <c r="M430">
        <f>_xlfn.XLOOKUP(Table4[[#This Row],[Ext Finish]],Master_Table4[System Name],Master_Table4[System Name (Short)],FALSE)</f>
        <v>0</v>
      </c>
      <c r="N430">
        <f>_xlfn.XLOOKUP(Table4[[#This Row],[Ext Finish]],Master_Table4[System Name],Master_Table4[Compatible Systems],FALSE)</f>
        <v>0</v>
      </c>
      <c r="O430" t="str">
        <f>IF(ISNUMBER(SEARCH(Table4[[#This Row],[MMC Method]],Table4[[#This Row],[Compatible Systems]])),"YES","NO")</f>
        <v>YES</v>
      </c>
      <c r="P430" t="e">
        <f>GETPIVOTDATA("Sum of A1-A3 Fossil kg CO2e/m^2 wall area",'COMPONENT PIVOT REF'!$I$3,"System Name",Table4[[#This Row],[Ext Finish]])</f>
        <v>#REF!</v>
      </c>
      <c r="Q430" t="e">
        <f>GETPIVOTDATA("Sum of  R value (m^2-K/W)",'COMPONENT PIVOT REF'!$I$3,"System Name",Table4[[#This Row],[Ext Finish]])</f>
        <v>#REF!</v>
      </c>
      <c r="R430" t="e">
        <f>GETPIVOTDATA("Sum of Total Mass per m^2 (kg)",'COMPONENT PIVOT REF'!$I$3,"System Name",Table4[[#This Row],[Ext Finish]])</f>
        <v>#REF!</v>
      </c>
      <c r="T430">
        <f>_xlfn.XLOOKUP(Table4[[#This Row],[Int Finish]],Master_Table6[System Name],Master_Table6[System Name (Short)],FALSE)</f>
        <v>0</v>
      </c>
      <c r="U430" t="e">
        <f>GETPIVOTDATA("Sum of A1-A3 Fossil kg CO2e/m^2 wall area",'COMPONENT PIVOT REF'!$P$3,"System Name",Table4[[#This Row],[Int Finish]])</f>
        <v>#REF!</v>
      </c>
      <c r="V430" t="e">
        <f>GETPIVOTDATA("Sum of  R value (m^2-K/W)",'COMPONENT PIVOT REF'!$P$3,"System Name",Table4[[#This Row],[Int Finish]])</f>
        <v>#REF!</v>
      </c>
      <c r="W430" t="e">
        <f>GETPIVOTDATA("Sum of Total Mass per m^2 (kg)",'COMPONENT PIVOT REF'!$P$3,"System Name",Table4[[#This Row],[Int Finish]])</f>
        <v>#REF!</v>
      </c>
      <c r="X430" t="e">
        <f>Table4[[#This Row],[Ext Finish GWP]]+Table4[[#This Row],[Base GWP]]+Table4[[#This Row],[Int Finish GWP]]</f>
        <v>#REF!</v>
      </c>
      <c r="Y430" t="e">
        <f>Table4[[#This Row],[Ext Finish R Value]]+Table4[[#This Row],[Base R Value]]+Table4[[#This Row],[Int Finish R Value]]</f>
        <v>#REF!</v>
      </c>
      <c r="Z430" t="e">
        <f>1/Table4[[#This Row],[Total R value]]</f>
        <v>#REF!</v>
      </c>
      <c r="AA430" t="e">
        <f>Table4[[#This Row],[Int Finish Mass]]+Table4[[#This Row],[Ext Finish Mass]]+Table4[[#This Row],[Base Mass]]</f>
        <v>#REF!</v>
      </c>
    </row>
    <row r="431" spans="3:27" x14ac:dyDescent="0.35">
      <c r="C431" t="str">
        <f>_xlfn.CONCAT(Table4[[#This Row],[System Name (Short)]],"_",Table4[[#This Row],[Ext Finish Name (Short)]],"_",Table4[[#This Row],[Int Finish Name (Short)]])</f>
        <v>0_0_0</v>
      </c>
      <c r="E431">
        <f>_xlfn.XLOOKUP(Table4[[#This Row],[Base System]],BASE_SYSTEM_TABLE[System Name],BASE_SYSTEM_TABLE[System Name (Short)],FALSE)</f>
        <v>0</v>
      </c>
      <c r="F431">
        <f>_xlfn.XLOOKUP(Table4[[#This Row],[Base System]],BASE_SYSTEM_TABLE[System Name],BASE_SYSTEM_TABLE[System Type],FALSE)</f>
        <v>0</v>
      </c>
      <c r="G431">
        <f>_xlfn.XLOOKUP(Table4[[#This Row],[Base System]],BASE_SYSTEM_TABLE[System Name],BASE_SYSTEM_TABLE[System Subtype],FALSE)</f>
        <v>0</v>
      </c>
      <c r="H431">
        <f>_xlfn.XLOOKUP(Table4[[#This Row],[Base System]],BASE_SYSTEM_TABLE[System Name],BASE_SYSTEM_TABLE[Construction Type (Framed or Planar)],FALSE)</f>
        <v>0</v>
      </c>
      <c r="I431" t="e">
        <f>GETPIVOTDATA("Sum of A1-A3 Fossil kg CO2e/m^2 wall area",'COMPONENT PIVOT REF'!$A$3,"System Name",Table4[[#This Row],[Base System]])</f>
        <v>#REF!</v>
      </c>
      <c r="J431" t="e">
        <f>GETPIVOTDATA("Sum of  R value (m^2-K/W)",'COMPONENT PIVOT REF'!$A$3,"System Name",Table4[[#This Row],[Base System]])</f>
        <v>#REF!</v>
      </c>
      <c r="K431" t="e">
        <f>GETPIVOTDATA("Sum of Total Mass per m^2 (kg)",'COMPONENT PIVOT REF'!$A$3,"System Name",Table4[[#This Row],[Base System]])</f>
        <v>#REF!</v>
      </c>
      <c r="M431">
        <f>_xlfn.XLOOKUP(Table4[[#This Row],[Ext Finish]],Master_Table4[System Name],Master_Table4[System Name (Short)],FALSE)</f>
        <v>0</v>
      </c>
      <c r="N431">
        <f>_xlfn.XLOOKUP(Table4[[#This Row],[Ext Finish]],Master_Table4[System Name],Master_Table4[Compatible Systems],FALSE)</f>
        <v>0</v>
      </c>
      <c r="O431" t="str">
        <f>IF(ISNUMBER(SEARCH(Table4[[#This Row],[MMC Method]],Table4[[#This Row],[Compatible Systems]])),"YES","NO")</f>
        <v>YES</v>
      </c>
      <c r="P431" t="e">
        <f>GETPIVOTDATA("Sum of A1-A3 Fossil kg CO2e/m^2 wall area",'COMPONENT PIVOT REF'!$I$3,"System Name",Table4[[#This Row],[Ext Finish]])</f>
        <v>#REF!</v>
      </c>
      <c r="Q431" t="e">
        <f>GETPIVOTDATA("Sum of  R value (m^2-K/W)",'COMPONENT PIVOT REF'!$I$3,"System Name",Table4[[#This Row],[Ext Finish]])</f>
        <v>#REF!</v>
      </c>
      <c r="R431" t="e">
        <f>GETPIVOTDATA("Sum of Total Mass per m^2 (kg)",'COMPONENT PIVOT REF'!$I$3,"System Name",Table4[[#This Row],[Ext Finish]])</f>
        <v>#REF!</v>
      </c>
      <c r="T431">
        <f>_xlfn.XLOOKUP(Table4[[#This Row],[Int Finish]],Master_Table6[System Name],Master_Table6[System Name (Short)],FALSE)</f>
        <v>0</v>
      </c>
      <c r="U431" t="e">
        <f>GETPIVOTDATA("Sum of A1-A3 Fossil kg CO2e/m^2 wall area",'COMPONENT PIVOT REF'!$P$3,"System Name",Table4[[#This Row],[Int Finish]])</f>
        <v>#REF!</v>
      </c>
      <c r="V431" t="e">
        <f>GETPIVOTDATA("Sum of  R value (m^2-K/W)",'COMPONENT PIVOT REF'!$P$3,"System Name",Table4[[#This Row],[Int Finish]])</f>
        <v>#REF!</v>
      </c>
      <c r="W431" t="e">
        <f>GETPIVOTDATA("Sum of Total Mass per m^2 (kg)",'COMPONENT PIVOT REF'!$P$3,"System Name",Table4[[#This Row],[Int Finish]])</f>
        <v>#REF!</v>
      </c>
      <c r="X431" t="e">
        <f>Table4[[#This Row],[Ext Finish GWP]]+Table4[[#This Row],[Base GWP]]+Table4[[#This Row],[Int Finish GWP]]</f>
        <v>#REF!</v>
      </c>
      <c r="Y431" t="e">
        <f>Table4[[#This Row],[Ext Finish R Value]]+Table4[[#This Row],[Base R Value]]+Table4[[#This Row],[Int Finish R Value]]</f>
        <v>#REF!</v>
      </c>
      <c r="Z431" t="e">
        <f>1/Table4[[#This Row],[Total R value]]</f>
        <v>#REF!</v>
      </c>
      <c r="AA431" t="e">
        <f>Table4[[#This Row],[Int Finish Mass]]+Table4[[#This Row],[Ext Finish Mass]]+Table4[[#This Row],[Base Mass]]</f>
        <v>#REF!</v>
      </c>
    </row>
    <row r="432" spans="3:27" x14ac:dyDescent="0.35">
      <c r="C432" t="str">
        <f>_xlfn.CONCAT(Table4[[#This Row],[System Name (Short)]],"_",Table4[[#This Row],[Ext Finish Name (Short)]],"_",Table4[[#This Row],[Int Finish Name (Short)]])</f>
        <v>0_0_0</v>
      </c>
      <c r="E432">
        <f>_xlfn.XLOOKUP(Table4[[#This Row],[Base System]],BASE_SYSTEM_TABLE[System Name],BASE_SYSTEM_TABLE[System Name (Short)],FALSE)</f>
        <v>0</v>
      </c>
      <c r="F432">
        <f>_xlfn.XLOOKUP(Table4[[#This Row],[Base System]],BASE_SYSTEM_TABLE[System Name],BASE_SYSTEM_TABLE[System Type],FALSE)</f>
        <v>0</v>
      </c>
      <c r="G432">
        <f>_xlfn.XLOOKUP(Table4[[#This Row],[Base System]],BASE_SYSTEM_TABLE[System Name],BASE_SYSTEM_TABLE[System Subtype],FALSE)</f>
        <v>0</v>
      </c>
      <c r="H432">
        <f>_xlfn.XLOOKUP(Table4[[#This Row],[Base System]],BASE_SYSTEM_TABLE[System Name],BASE_SYSTEM_TABLE[Construction Type (Framed or Planar)],FALSE)</f>
        <v>0</v>
      </c>
      <c r="I432" t="e">
        <f>GETPIVOTDATA("Sum of A1-A3 Fossil kg CO2e/m^2 wall area",'COMPONENT PIVOT REF'!$A$3,"System Name",Table4[[#This Row],[Base System]])</f>
        <v>#REF!</v>
      </c>
      <c r="J432" t="e">
        <f>GETPIVOTDATA("Sum of  R value (m^2-K/W)",'COMPONENT PIVOT REF'!$A$3,"System Name",Table4[[#This Row],[Base System]])</f>
        <v>#REF!</v>
      </c>
      <c r="K432" t="e">
        <f>GETPIVOTDATA("Sum of Total Mass per m^2 (kg)",'COMPONENT PIVOT REF'!$A$3,"System Name",Table4[[#This Row],[Base System]])</f>
        <v>#REF!</v>
      </c>
      <c r="M432">
        <f>_xlfn.XLOOKUP(Table4[[#This Row],[Ext Finish]],Master_Table4[System Name],Master_Table4[System Name (Short)],FALSE)</f>
        <v>0</v>
      </c>
      <c r="N432">
        <f>_xlfn.XLOOKUP(Table4[[#This Row],[Ext Finish]],Master_Table4[System Name],Master_Table4[Compatible Systems],FALSE)</f>
        <v>0</v>
      </c>
      <c r="O432" t="str">
        <f>IF(ISNUMBER(SEARCH(Table4[[#This Row],[MMC Method]],Table4[[#This Row],[Compatible Systems]])),"YES","NO")</f>
        <v>YES</v>
      </c>
      <c r="P432" t="e">
        <f>GETPIVOTDATA("Sum of A1-A3 Fossil kg CO2e/m^2 wall area",'COMPONENT PIVOT REF'!$I$3,"System Name",Table4[[#This Row],[Ext Finish]])</f>
        <v>#REF!</v>
      </c>
      <c r="Q432" t="e">
        <f>GETPIVOTDATA("Sum of  R value (m^2-K/W)",'COMPONENT PIVOT REF'!$I$3,"System Name",Table4[[#This Row],[Ext Finish]])</f>
        <v>#REF!</v>
      </c>
      <c r="R432" t="e">
        <f>GETPIVOTDATA("Sum of Total Mass per m^2 (kg)",'COMPONENT PIVOT REF'!$I$3,"System Name",Table4[[#This Row],[Ext Finish]])</f>
        <v>#REF!</v>
      </c>
      <c r="T432">
        <f>_xlfn.XLOOKUP(Table4[[#This Row],[Int Finish]],Master_Table6[System Name],Master_Table6[System Name (Short)],FALSE)</f>
        <v>0</v>
      </c>
      <c r="U432" t="e">
        <f>GETPIVOTDATA("Sum of A1-A3 Fossil kg CO2e/m^2 wall area",'COMPONENT PIVOT REF'!$P$3,"System Name",Table4[[#This Row],[Int Finish]])</f>
        <v>#REF!</v>
      </c>
      <c r="V432" t="e">
        <f>GETPIVOTDATA("Sum of  R value (m^2-K/W)",'COMPONENT PIVOT REF'!$P$3,"System Name",Table4[[#This Row],[Int Finish]])</f>
        <v>#REF!</v>
      </c>
      <c r="W432" t="e">
        <f>GETPIVOTDATA("Sum of Total Mass per m^2 (kg)",'COMPONENT PIVOT REF'!$P$3,"System Name",Table4[[#This Row],[Int Finish]])</f>
        <v>#REF!</v>
      </c>
      <c r="X432" t="e">
        <f>Table4[[#This Row],[Ext Finish GWP]]+Table4[[#This Row],[Base GWP]]+Table4[[#This Row],[Int Finish GWP]]</f>
        <v>#REF!</v>
      </c>
      <c r="Y432" t="e">
        <f>Table4[[#This Row],[Ext Finish R Value]]+Table4[[#This Row],[Base R Value]]+Table4[[#This Row],[Int Finish R Value]]</f>
        <v>#REF!</v>
      </c>
      <c r="Z432" t="e">
        <f>1/Table4[[#This Row],[Total R value]]</f>
        <v>#REF!</v>
      </c>
      <c r="AA432" t="e">
        <f>Table4[[#This Row],[Int Finish Mass]]+Table4[[#This Row],[Ext Finish Mass]]+Table4[[#This Row],[Base Mass]]</f>
        <v>#REF!</v>
      </c>
    </row>
    <row r="433" spans="3:27" x14ac:dyDescent="0.35">
      <c r="C433" t="str">
        <f>_xlfn.CONCAT(Table4[[#This Row],[System Name (Short)]],"_",Table4[[#This Row],[Ext Finish Name (Short)]],"_",Table4[[#This Row],[Int Finish Name (Short)]])</f>
        <v>0_0_0</v>
      </c>
      <c r="E433">
        <f>_xlfn.XLOOKUP(Table4[[#This Row],[Base System]],BASE_SYSTEM_TABLE[System Name],BASE_SYSTEM_TABLE[System Name (Short)],FALSE)</f>
        <v>0</v>
      </c>
      <c r="F433">
        <f>_xlfn.XLOOKUP(Table4[[#This Row],[Base System]],BASE_SYSTEM_TABLE[System Name],BASE_SYSTEM_TABLE[System Type],FALSE)</f>
        <v>0</v>
      </c>
      <c r="G433">
        <f>_xlfn.XLOOKUP(Table4[[#This Row],[Base System]],BASE_SYSTEM_TABLE[System Name],BASE_SYSTEM_TABLE[System Subtype],FALSE)</f>
        <v>0</v>
      </c>
      <c r="H433">
        <f>_xlfn.XLOOKUP(Table4[[#This Row],[Base System]],BASE_SYSTEM_TABLE[System Name],BASE_SYSTEM_TABLE[Construction Type (Framed or Planar)],FALSE)</f>
        <v>0</v>
      </c>
      <c r="I433" t="e">
        <f>GETPIVOTDATA("Sum of A1-A3 Fossil kg CO2e/m^2 wall area",'COMPONENT PIVOT REF'!$A$3,"System Name",Table4[[#This Row],[Base System]])</f>
        <v>#REF!</v>
      </c>
      <c r="J433" t="e">
        <f>GETPIVOTDATA("Sum of  R value (m^2-K/W)",'COMPONENT PIVOT REF'!$A$3,"System Name",Table4[[#This Row],[Base System]])</f>
        <v>#REF!</v>
      </c>
      <c r="K433" t="e">
        <f>GETPIVOTDATA("Sum of Total Mass per m^2 (kg)",'COMPONENT PIVOT REF'!$A$3,"System Name",Table4[[#This Row],[Base System]])</f>
        <v>#REF!</v>
      </c>
      <c r="M433">
        <f>_xlfn.XLOOKUP(Table4[[#This Row],[Ext Finish]],Master_Table4[System Name],Master_Table4[System Name (Short)],FALSE)</f>
        <v>0</v>
      </c>
      <c r="N433">
        <f>_xlfn.XLOOKUP(Table4[[#This Row],[Ext Finish]],Master_Table4[System Name],Master_Table4[Compatible Systems],FALSE)</f>
        <v>0</v>
      </c>
      <c r="O433" t="str">
        <f>IF(ISNUMBER(SEARCH(Table4[[#This Row],[MMC Method]],Table4[[#This Row],[Compatible Systems]])),"YES","NO")</f>
        <v>YES</v>
      </c>
      <c r="P433" t="e">
        <f>GETPIVOTDATA("Sum of A1-A3 Fossil kg CO2e/m^2 wall area",'COMPONENT PIVOT REF'!$I$3,"System Name",Table4[[#This Row],[Ext Finish]])</f>
        <v>#REF!</v>
      </c>
      <c r="Q433" t="e">
        <f>GETPIVOTDATA("Sum of  R value (m^2-K/W)",'COMPONENT PIVOT REF'!$I$3,"System Name",Table4[[#This Row],[Ext Finish]])</f>
        <v>#REF!</v>
      </c>
      <c r="R433" t="e">
        <f>GETPIVOTDATA("Sum of Total Mass per m^2 (kg)",'COMPONENT PIVOT REF'!$I$3,"System Name",Table4[[#This Row],[Ext Finish]])</f>
        <v>#REF!</v>
      </c>
      <c r="T433">
        <f>_xlfn.XLOOKUP(Table4[[#This Row],[Int Finish]],Master_Table6[System Name],Master_Table6[System Name (Short)],FALSE)</f>
        <v>0</v>
      </c>
      <c r="U433" t="e">
        <f>GETPIVOTDATA("Sum of A1-A3 Fossil kg CO2e/m^2 wall area",'COMPONENT PIVOT REF'!$P$3,"System Name",Table4[[#This Row],[Int Finish]])</f>
        <v>#REF!</v>
      </c>
      <c r="V433" t="e">
        <f>GETPIVOTDATA("Sum of  R value (m^2-K/W)",'COMPONENT PIVOT REF'!$P$3,"System Name",Table4[[#This Row],[Int Finish]])</f>
        <v>#REF!</v>
      </c>
      <c r="W433" t="e">
        <f>GETPIVOTDATA("Sum of Total Mass per m^2 (kg)",'COMPONENT PIVOT REF'!$P$3,"System Name",Table4[[#This Row],[Int Finish]])</f>
        <v>#REF!</v>
      </c>
      <c r="X433" t="e">
        <f>Table4[[#This Row],[Ext Finish GWP]]+Table4[[#This Row],[Base GWP]]+Table4[[#This Row],[Int Finish GWP]]</f>
        <v>#REF!</v>
      </c>
      <c r="Y433" t="e">
        <f>Table4[[#This Row],[Ext Finish R Value]]+Table4[[#This Row],[Base R Value]]+Table4[[#This Row],[Int Finish R Value]]</f>
        <v>#REF!</v>
      </c>
      <c r="Z433" t="e">
        <f>1/Table4[[#This Row],[Total R value]]</f>
        <v>#REF!</v>
      </c>
      <c r="AA433" t="e">
        <f>Table4[[#This Row],[Int Finish Mass]]+Table4[[#This Row],[Ext Finish Mass]]+Table4[[#This Row],[Base Mass]]</f>
        <v>#REF!</v>
      </c>
    </row>
    <row r="434" spans="3:27" x14ac:dyDescent="0.35">
      <c r="C434" t="str">
        <f>_xlfn.CONCAT(Table4[[#This Row],[System Name (Short)]],"_",Table4[[#This Row],[Ext Finish Name (Short)]],"_",Table4[[#This Row],[Int Finish Name (Short)]])</f>
        <v>0_0_0</v>
      </c>
      <c r="E434">
        <f>_xlfn.XLOOKUP(Table4[[#This Row],[Base System]],BASE_SYSTEM_TABLE[System Name],BASE_SYSTEM_TABLE[System Name (Short)],FALSE)</f>
        <v>0</v>
      </c>
      <c r="F434">
        <f>_xlfn.XLOOKUP(Table4[[#This Row],[Base System]],BASE_SYSTEM_TABLE[System Name],BASE_SYSTEM_TABLE[System Type],FALSE)</f>
        <v>0</v>
      </c>
      <c r="G434">
        <f>_xlfn.XLOOKUP(Table4[[#This Row],[Base System]],BASE_SYSTEM_TABLE[System Name],BASE_SYSTEM_TABLE[System Subtype],FALSE)</f>
        <v>0</v>
      </c>
      <c r="H434">
        <f>_xlfn.XLOOKUP(Table4[[#This Row],[Base System]],BASE_SYSTEM_TABLE[System Name],BASE_SYSTEM_TABLE[Construction Type (Framed or Planar)],FALSE)</f>
        <v>0</v>
      </c>
      <c r="I434" t="e">
        <f>GETPIVOTDATA("Sum of A1-A3 Fossil kg CO2e/m^2 wall area",'COMPONENT PIVOT REF'!$A$3,"System Name",Table4[[#This Row],[Base System]])</f>
        <v>#REF!</v>
      </c>
      <c r="J434" t="e">
        <f>GETPIVOTDATA("Sum of  R value (m^2-K/W)",'COMPONENT PIVOT REF'!$A$3,"System Name",Table4[[#This Row],[Base System]])</f>
        <v>#REF!</v>
      </c>
      <c r="K434" t="e">
        <f>GETPIVOTDATA("Sum of Total Mass per m^2 (kg)",'COMPONENT PIVOT REF'!$A$3,"System Name",Table4[[#This Row],[Base System]])</f>
        <v>#REF!</v>
      </c>
      <c r="M434">
        <f>_xlfn.XLOOKUP(Table4[[#This Row],[Ext Finish]],Master_Table4[System Name],Master_Table4[System Name (Short)],FALSE)</f>
        <v>0</v>
      </c>
      <c r="N434">
        <f>_xlfn.XLOOKUP(Table4[[#This Row],[Ext Finish]],Master_Table4[System Name],Master_Table4[Compatible Systems],FALSE)</f>
        <v>0</v>
      </c>
      <c r="O434" t="str">
        <f>IF(ISNUMBER(SEARCH(Table4[[#This Row],[MMC Method]],Table4[[#This Row],[Compatible Systems]])),"YES","NO")</f>
        <v>YES</v>
      </c>
      <c r="P434" t="e">
        <f>GETPIVOTDATA("Sum of A1-A3 Fossil kg CO2e/m^2 wall area",'COMPONENT PIVOT REF'!$I$3,"System Name",Table4[[#This Row],[Ext Finish]])</f>
        <v>#REF!</v>
      </c>
      <c r="Q434" t="e">
        <f>GETPIVOTDATA("Sum of  R value (m^2-K/W)",'COMPONENT PIVOT REF'!$I$3,"System Name",Table4[[#This Row],[Ext Finish]])</f>
        <v>#REF!</v>
      </c>
      <c r="R434" t="e">
        <f>GETPIVOTDATA("Sum of Total Mass per m^2 (kg)",'COMPONENT PIVOT REF'!$I$3,"System Name",Table4[[#This Row],[Ext Finish]])</f>
        <v>#REF!</v>
      </c>
      <c r="T434">
        <f>_xlfn.XLOOKUP(Table4[[#This Row],[Int Finish]],Master_Table6[System Name],Master_Table6[System Name (Short)],FALSE)</f>
        <v>0</v>
      </c>
      <c r="U434" t="e">
        <f>GETPIVOTDATA("Sum of A1-A3 Fossil kg CO2e/m^2 wall area",'COMPONENT PIVOT REF'!$P$3,"System Name",Table4[[#This Row],[Int Finish]])</f>
        <v>#REF!</v>
      </c>
      <c r="V434" t="e">
        <f>GETPIVOTDATA("Sum of  R value (m^2-K/W)",'COMPONENT PIVOT REF'!$P$3,"System Name",Table4[[#This Row],[Int Finish]])</f>
        <v>#REF!</v>
      </c>
      <c r="W434" t="e">
        <f>GETPIVOTDATA("Sum of Total Mass per m^2 (kg)",'COMPONENT PIVOT REF'!$P$3,"System Name",Table4[[#This Row],[Int Finish]])</f>
        <v>#REF!</v>
      </c>
      <c r="X434" t="e">
        <f>Table4[[#This Row],[Ext Finish GWP]]+Table4[[#This Row],[Base GWP]]+Table4[[#This Row],[Int Finish GWP]]</f>
        <v>#REF!</v>
      </c>
      <c r="Y434" t="e">
        <f>Table4[[#This Row],[Ext Finish R Value]]+Table4[[#This Row],[Base R Value]]+Table4[[#This Row],[Int Finish R Value]]</f>
        <v>#REF!</v>
      </c>
      <c r="Z434" t="e">
        <f>1/Table4[[#This Row],[Total R value]]</f>
        <v>#REF!</v>
      </c>
      <c r="AA434" t="e">
        <f>Table4[[#This Row],[Int Finish Mass]]+Table4[[#This Row],[Ext Finish Mass]]+Table4[[#This Row],[Base Mass]]</f>
        <v>#REF!</v>
      </c>
    </row>
    <row r="435" spans="3:27" x14ac:dyDescent="0.35">
      <c r="C435" t="str">
        <f>_xlfn.CONCAT(Table4[[#This Row],[System Name (Short)]],"_",Table4[[#This Row],[Ext Finish Name (Short)]],"_",Table4[[#This Row],[Int Finish Name (Short)]])</f>
        <v>0_0_0</v>
      </c>
      <c r="E435">
        <f>_xlfn.XLOOKUP(Table4[[#This Row],[Base System]],BASE_SYSTEM_TABLE[System Name],BASE_SYSTEM_TABLE[System Name (Short)],FALSE)</f>
        <v>0</v>
      </c>
      <c r="F435">
        <f>_xlfn.XLOOKUP(Table4[[#This Row],[Base System]],BASE_SYSTEM_TABLE[System Name],BASE_SYSTEM_TABLE[System Type],FALSE)</f>
        <v>0</v>
      </c>
      <c r="G435">
        <f>_xlfn.XLOOKUP(Table4[[#This Row],[Base System]],BASE_SYSTEM_TABLE[System Name],BASE_SYSTEM_TABLE[System Subtype],FALSE)</f>
        <v>0</v>
      </c>
      <c r="H435">
        <f>_xlfn.XLOOKUP(Table4[[#This Row],[Base System]],BASE_SYSTEM_TABLE[System Name],BASE_SYSTEM_TABLE[Construction Type (Framed or Planar)],FALSE)</f>
        <v>0</v>
      </c>
      <c r="I435" t="e">
        <f>GETPIVOTDATA("Sum of A1-A3 Fossil kg CO2e/m^2 wall area",'COMPONENT PIVOT REF'!$A$3,"System Name",Table4[[#This Row],[Base System]])</f>
        <v>#REF!</v>
      </c>
      <c r="J435" t="e">
        <f>GETPIVOTDATA("Sum of  R value (m^2-K/W)",'COMPONENT PIVOT REF'!$A$3,"System Name",Table4[[#This Row],[Base System]])</f>
        <v>#REF!</v>
      </c>
      <c r="K435" t="e">
        <f>GETPIVOTDATA("Sum of Total Mass per m^2 (kg)",'COMPONENT PIVOT REF'!$A$3,"System Name",Table4[[#This Row],[Base System]])</f>
        <v>#REF!</v>
      </c>
      <c r="M435">
        <f>_xlfn.XLOOKUP(Table4[[#This Row],[Ext Finish]],Master_Table4[System Name],Master_Table4[System Name (Short)],FALSE)</f>
        <v>0</v>
      </c>
      <c r="N435">
        <f>_xlfn.XLOOKUP(Table4[[#This Row],[Ext Finish]],Master_Table4[System Name],Master_Table4[Compatible Systems],FALSE)</f>
        <v>0</v>
      </c>
      <c r="O435" t="str">
        <f>IF(ISNUMBER(SEARCH(Table4[[#This Row],[MMC Method]],Table4[[#This Row],[Compatible Systems]])),"YES","NO")</f>
        <v>YES</v>
      </c>
      <c r="P435" t="e">
        <f>GETPIVOTDATA("Sum of A1-A3 Fossil kg CO2e/m^2 wall area",'COMPONENT PIVOT REF'!$I$3,"System Name",Table4[[#This Row],[Ext Finish]])</f>
        <v>#REF!</v>
      </c>
      <c r="Q435" t="e">
        <f>GETPIVOTDATA("Sum of  R value (m^2-K/W)",'COMPONENT PIVOT REF'!$I$3,"System Name",Table4[[#This Row],[Ext Finish]])</f>
        <v>#REF!</v>
      </c>
      <c r="R435" t="e">
        <f>GETPIVOTDATA("Sum of Total Mass per m^2 (kg)",'COMPONENT PIVOT REF'!$I$3,"System Name",Table4[[#This Row],[Ext Finish]])</f>
        <v>#REF!</v>
      </c>
      <c r="T435">
        <f>_xlfn.XLOOKUP(Table4[[#This Row],[Int Finish]],Master_Table6[System Name],Master_Table6[System Name (Short)],FALSE)</f>
        <v>0</v>
      </c>
      <c r="U435" t="e">
        <f>GETPIVOTDATA("Sum of A1-A3 Fossil kg CO2e/m^2 wall area",'COMPONENT PIVOT REF'!$P$3,"System Name",Table4[[#This Row],[Int Finish]])</f>
        <v>#REF!</v>
      </c>
      <c r="V435" t="e">
        <f>GETPIVOTDATA("Sum of  R value (m^2-K/W)",'COMPONENT PIVOT REF'!$P$3,"System Name",Table4[[#This Row],[Int Finish]])</f>
        <v>#REF!</v>
      </c>
      <c r="W435" t="e">
        <f>GETPIVOTDATA("Sum of Total Mass per m^2 (kg)",'COMPONENT PIVOT REF'!$P$3,"System Name",Table4[[#This Row],[Int Finish]])</f>
        <v>#REF!</v>
      </c>
      <c r="X435" t="e">
        <f>Table4[[#This Row],[Ext Finish GWP]]+Table4[[#This Row],[Base GWP]]+Table4[[#This Row],[Int Finish GWP]]</f>
        <v>#REF!</v>
      </c>
      <c r="Y435" t="e">
        <f>Table4[[#This Row],[Ext Finish R Value]]+Table4[[#This Row],[Base R Value]]+Table4[[#This Row],[Int Finish R Value]]</f>
        <v>#REF!</v>
      </c>
      <c r="Z435" t="e">
        <f>1/Table4[[#This Row],[Total R value]]</f>
        <v>#REF!</v>
      </c>
      <c r="AA435" t="e">
        <f>Table4[[#This Row],[Int Finish Mass]]+Table4[[#This Row],[Ext Finish Mass]]+Table4[[#This Row],[Base Mass]]</f>
        <v>#REF!</v>
      </c>
    </row>
    <row r="436" spans="3:27" x14ac:dyDescent="0.35">
      <c r="C436" t="str">
        <f>_xlfn.CONCAT(Table4[[#This Row],[System Name (Short)]],"_",Table4[[#This Row],[Ext Finish Name (Short)]],"_",Table4[[#This Row],[Int Finish Name (Short)]])</f>
        <v>0_0_0</v>
      </c>
      <c r="E436">
        <f>_xlfn.XLOOKUP(Table4[[#This Row],[Base System]],BASE_SYSTEM_TABLE[System Name],BASE_SYSTEM_TABLE[System Name (Short)],FALSE)</f>
        <v>0</v>
      </c>
      <c r="F436">
        <f>_xlfn.XLOOKUP(Table4[[#This Row],[Base System]],BASE_SYSTEM_TABLE[System Name],BASE_SYSTEM_TABLE[System Type],FALSE)</f>
        <v>0</v>
      </c>
      <c r="G436">
        <f>_xlfn.XLOOKUP(Table4[[#This Row],[Base System]],BASE_SYSTEM_TABLE[System Name],BASE_SYSTEM_TABLE[System Subtype],FALSE)</f>
        <v>0</v>
      </c>
      <c r="H436">
        <f>_xlfn.XLOOKUP(Table4[[#This Row],[Base System]],BASE_SYSTEM_TABLE[System Name],BASE_SYSTEM_TABLE[Construction Type (Framed or Planar)],FALSE)</f>
        <v>0</v>
      </c>
      <c r="I436" t="e">
        <f>GETPIVOTDATA("Sum of A1-A3 Fossil kg CO2e/m^2 wall area",'COMPONENT PIVOT REF'!$A$3,"System Name",Table4[[#This Row],[Base System]])</f>
        <v>#REF!</v>
      </c>
      <c r="J436" t="e">
        <f>GETPIVOTDATA("Sum of  R value (m^2-K/W)",'COMPONENT PIVOT REF'!$A$3,"System Name",Table4[[#This Row],[Base System]])</f>
        <v>#REF!</v>
      </c>
      <c r="K436" t="e">
        <f>GETPIVOTDATA("Sum of Total Mass per m^2 (kg)",'COMPONENT PIVOT REF'!$A$3,"System Name",Table4[[#This Row],[Base System]])</f>
        <v>#REF!</v>
      </c>
      <c r="M436">
        <f>_xlfn.XLOOKUP(Table4[[#This Row],[Ext Finish]],Master_Table4[System Name],Master_Table4[System Name (Short)],FALSE)</f>
        <v>0</v>
      </c>
      <c r="N436">
        <f>_xlfn.XLOOKUP(Table4[[#This Row],[Ext Finish]],Master_Table4[System Name],Master_Table4[Compatible Systems],FALSE)</f>
        <v>0</v>
      </c>
      <c r="O436" t="str">
        <f>IF(ISNUMBER(SEARCH(Table4[[#This Row],[MMC Method]],Table4[[#This Row],[Compatible Systems]])),"YES","NO")</f>
        <v>YES</v>
      </c>
      <c r="P436" t="e">
        <f>GETPIVOTDATA("Sum of A1-A3 Fossil kg CO2e/m^2 wall area",'COMPONENT PIVOT REF'!$I$3,"System Name",Table4[[#This Row],[Ext Finish]])</f>
        <v>#REF!</v>
      </c>
      <c r="Q436" t="e">
        <f>GETPIVOTDATA("Sum of  R value (m^2-K/W)",'COMPONENT PIVOT REF'!$I$3,"System Name",Table4[[#This Row],[Ext Finish]])</f>
        <v>#REF!</v>
      </c>
      <c r="R436" t="e">
        <f>GETPIVOTDATA("Sum of Total Mass per m^2 (kg)",'COMPONENT PIVOT REF'!$I$3,"System Name",Table4[[#This Row],[Ext Finish]])</f>
        <v>#REF!</v>
      </c>
      <c r="T436">
        <f>_xlfn.XLOOKUP(Table4[[#This Row],[Int Finish]],Master_Table6[System Name],Master_Table6[System Name (Short)],FALSE)</f>
        <v>0</v>
      </c>
      <c r="U436" t="e">
        <f>GETPIVOTDATA("Sum of A1-A3 Fossil kg CO2e/m^2 wall area",'COMPONENT PIVOT REF'!$P$3,"System Name",Table4[[#This Row],[Int Finish]])</f>
        <v>#REF!</v>
      </c>
      <c r="V436" t="e">
        <f>GETPIVOTDATA("Sum of  R value (m^2-K/W)",'COMPONENT PIVOT REF'!$P$3,"System Name",Table4[[#This Row],[Int Finish]])</f>
        <v>#REF!</v>
      </c>
      <c r="W436" t="e">
        <f>GETPIVOTDATA("Sum of Total Mass per m^2 (kg)",'COMPONENT PIVOT REF'!$P$3,"System Name",Table4[[#This Row],[Int Finish]])</f>
        <v>#REF!</v>
      </c>
      <c r="X436" t="e">
        <f>Table4[[#This Row],[Ext Finish GWP]]+Table4[[#This Row],[Base GWP]]+Table4[[#This Row],[Int Finish GWP]]</f>
        <v>#REF!</v>
      </c>
      <c r="Y436" t="e">
        <f>Table4[[#This Row],[Ext Finish R Value]]+Table4[[#This Row],[Base R Value]]+Table4[[#This Row],[Int Finish R Value]]</f>
        <v>#REF!</v>
      </c>
      <c r="Z436" t="e">
        <f>1/Table4[[#This Row],[Total R value]]</f>
        <v>#REF!</v>
      </c>
      <c r="AA436" t="e">
        <f>Table4[[#This Row],[Int Finish Mass]]+Table4[[#This Row],[Ext Finish Mass]]+Table4[[#This Row],[Base Mass]]</f>
        <v>#REF!</v>
      </c>
    </row>
    <row r="437" spans="3:27" x14ac:dyDescent="0.35">
      <c r="C437" t="str">
        <f>_xlfn.CONCAT(Table4[[#This Row],[System Name (Short)]],"_",Table4[[#This Row],[Ext Finish Name (Short)]],"_",Table4[[#This Row],[Int Finish Name (Short)]])</f>
        <v>0_0_0</v>
      </c>
      <c r="E437">
        <f>_xlfn.XLOOKUP(Table4[[#This Row],[Base System]],BASE_SYSTEM_TABLE[System Name],BASE_SYSTEM_TABLE[System Name (Short)],FALSE)</f>
        <v>0</v>
      </c>
      <c r="F437">
        <f>_xlfn.XLOOKUP(Table4[[#This Row],[Base System]],BASE_SYSTEM_TABLE[System Name],BASE_SYSTEM_TABLE[System Type],FALSE)</f>
        <v>0</v>
      </c>
      <c r="G437">
        <f>_xlfn.XLOOKUP(Table4[[#This Row],[Base System]],BASE_SYSTEM_TABLE[System Name],BASE_SYSTEM_TABLE[System Subtype],FALSE)</f>
        <v>0</v>
      </c>
      <c r="H437">
        <f>_xlfn.XLOOKUP(Table4[[#This Row],[Base System]],BASE_SYSTEM_TABLE[System Name],BASE_SYSTEM_TABLE[Construction Type (Framed or Planar)],FALSE)</f>
        <v>0</v>
      </c>
      <c r="I437" t="e">
        <f>GETPIVOTDATA("Sum of A1-A3 Fossil kg CO2e/m^2 wall area",'COMPONENT PIVOT REF'!$A$3,"System Name",Table4[[#This Row],[Base System]])</f>
        <v>#REF!</v>
      </c>
      <c r="J437" t="e">
        <f>GETPIVOTDATA("Sum of  R value (m^2-K/W)",'COMPONENT PIVOT REF'!$A$3,"System Name",Table4[[#This Row],[Base System]])</f>
        <v>#REF!</v>
      </c>
      <c r="K437" t="e">
        <f>GETPIVOTDATA("Sum of Total Mass per m^2 (kg)",'COMPONENT PIVOT REF'!$A$3,"System Name",Table4[[#This Row],[Base System]])</f>
        <v>#REF!</v>
      </c>
      <c r="M437">
        <f>_xlfn.XLOOKUP(Table4[[#This Row],[Ext Finish]],Master_Table4[System Name],Master_Table4[System Name (Short)],FALSE)</f>
        <v>0</v>
      </c>
      <c r="N437">
        <f>_xlfn.XLOOKUP(Table4[[#This Row],[Ext Finish]],Master_Table4[System Name],Master_Table4[Compatible Systems],FALSE)</f>
        <v>0</v>
      </c>
      <c r="O437" t="str">
        <f>IF(ISNUMBER(SEARCH(Table4[[#This Row],[MMC Method]],Table4[[#This Row],[Compatible Systems]])),"YES","NO")</f>
        <v>YES</v>
      </c>
      <c r="P437" t="e">
        <f>GETPIVOTDATA("Sum of A1-A3 Fossil kg CO2e/m^2 wall area",'COMPONENT PIVOT REF'!$I$3,"System Name",Table4[[#This Row],[Ext Finish]])</f>
        <v>#REF!</v>
      </c>
      <c r="Q437" t="e">
        <f>GETPIVOTDATA("Sum of  R value (m^2-K/W)",'COMPONENT PIVOT REF'!$I$3,"System Name",Table4[[#This Row],[Ext Finish]])</f>
        <v>#REF!</v>
      </c>
      <c r="R437" t="e">
        <f>GETPIVOTDATA("Sum of Total Mass per m^2 (kg)",'COMPONENT PIVOT REF'!$I$3,"System Name",Table4[[#This Row],[Ext Finish]])</f>
        <v>#REF!</v>
      </c>
      <c r="T437">
        <f>_xlfn.XLOOKUP(Table4[[#This Row],[Int Finish]],Master_Table6[System Name],Master_Table6[System Name (Short)],FALSE)</f>
        <v>0</v>
      </c>
      <c r="U437" t="e">
        <f>GETPIVOTDATA("Sum of A1-A3 Fossil kg CO2e/m^2 wall area",'COMPONENT PIVOT REF'!$P$3,"System Name",Table4[[#This Row],[Int Finish]])</f>
        <v>#REF!</v>
      </c>
      <c r="V437" t="e">
        <f>GETPIVOTDATA("Sum of  R value (m^2-K/W)",'COMPONENT PIVOT REF'!$P$3,"System Name",Table4[[#This Row],[Int Finish]])</f>
        <v>#REF!</v>
      </c>
      <c r="W437" t="e">
        <f>GETPIVOTDATA("Sum of Total Mass per m^2 (kg)",'COMPONENT PIVOT REF'!$P$3,"System Name",Table4[[#This Row],[Int Finish]])</f>
        <v>#REF!</v>
      </c>
      <c r="X437" t="e">
        <f>Table4[[#This Row],[Ext Finish GWP]]+Table4[[#This Row],[Base GWP]]+Table4[[#This Row],[Int Finish GWP]]</f>
        <v>#REF!</v>
      </c>
      <c r="Y437" t="e">
        <f>Table4[[#This Row],[Ext Finish R Value]]+Table4[[#This Row],[Base R Value]]+Table4[[#This Row],[Int Finish R Value]]</f>
        <v>#REF!</v>
      </c>
      <c r="Z437" t="e">
        <f>1/Table4[[#This Row],[Total R value]]</f>
        <v>#REF!</v>
      </c>
      <c r="AA437" t="e">
        <f>Table4[[#This Row],[Int Finish Mass]]+Table4[[#This Row],[Ext Finish Mass]]+Table4[[#This Row],[Base Mass]]</f>
        <v>#REF!</v>
      </c>
    </row>
    <row r="438" spans="3:27" x14ac:dyDescent="0.35">
      <c r="C438" t="str">
        <f>_xlfn.CONCAT(Table4[[#This Row],[System Name (Short)]],"_",Table4[[#This Row],[Ext Finish Name (Short)]],"_",Table4[[#This Row],[Int Finish Name (Short)]])</f>
        <v>0_0_0</v>
      </c>
      <c r="E438">
        <f>_xlfn.XLOOKUP(Table4[[#This Row],[Base System]],BASE_SYSTEM_TABLE[System Name],BASE_SYSTEM_TABLE[System Name (Short)],FALSE)</f>
        <v>0</v>
      </c>
      <c r="F438">
        <f>_xlfn.XLOOKUP(Table4[[#This Row],[Base System]],BASE_SYSTEM_TABLE[System Name],BASE_SYSTEM_TABLE[System Type],FALSE)</f>
        <v>0</v>
      </c>
      <c r="G438">
        <f>_xlfn.XLOOKUP(Table4[[#This Row],[Base System]],BASE_SYSTEM_TABLE[System Name],BASE_SYSTEM_TABLE[System Subtype],FALSE)</f>
        <v>0</v>
      </c>
      <c r="H438">
        <f>_xlfn.XLOOKUP(Table4[[#This Row],[Base System]],BASE_SYSTEM_TABLE[System Name],BASE_SYSTEM_TABLE[Construction Type (Framed or Planar)],FALSE)</f>
        <v>0</v>
      </c>
      <c r="I438" t="e">
        <f>GETPIVOTDATA("Sum of A1-A3 Fossil kg CO2e/m^2 wall area",'COMPONENT PIVOT REF'!$A$3,"System Name",Table4[[#This Row],[Base System]])</f>
        <v>#REF!</v>
      </c>
      <c r="J438" t="e">
        <f>GETPIVOTDATA("Sum of  R value (m^2-K/W)",'COMPONENT PIVOT REF'!$A$3,"System Name",Table4[[#This Row],[Base System]])</f>
        <v>#REF!</v>
      </c>
      <c r="K438" t="e">
        <f>GETPIVOTDATA("Sum of Total Mass per m^2 (kg)",'COMPONENT PIVOT REF'!$A$3,"System Name",Table4[[#This Row],[Base System]])</f>
        <v>#REF!</v>
      </c>
      <c r="M438">
        <f>_xlfn.XLOOKUP(Table4[[#This Row],[Ext Finish]],Master_Table4[System Name],Master_Table4[System Name (Short)],FALSE)</f>
        <v>0</v>
      </c>
      <c r="N438">
        <f>_xlfn.XLOOKUP(Table4[[#This Row],[Ext Finish]],Master_Table4[System Name],Master_Table4[Compatible Systems],FALSE)</f>
        <v>0</v>
      </c>
      <c r="O438" t="str">
        <f>IF(ISNUMBER(SEARCH(Table4[[#This Row],[MMC Method]],Table4[[#This Row],[Compatible Systems]])),"YES","NO")</f>
        <v>YES</v>
      </c>
      <c r="P438" t="e">
        <f>GETPIVOTDATA("Sum of A1-A3 Fossil kg CO2e/m^2 wall area",'COMPONENT PIVOT REF'!$I$3,"System Name",Table4[[#This Row],[Ext Finish]])</f>
        <v>#REF!</v>
      </c>
      <c r="Q438" t="e">
        <f>GETPIVOTDATA("Sum of  R value (m^2-K/W)",'COMPONENT PIVOT REF'!$I$3,"System Name",Table4[[#This Row],[Ext Finish]])</f>
        <v>#REF!</v>
      </c>
      <c r="R438" t="e">
        <f>GETPIVOTDATA("Sum of Total Mass per m^2 (kg)",'COMPONENT PIVOT REF'!$I$3,"System Name",Table4[[#This Row],[Ext Finish]])</f>
        <v>#REF!</v>
      </c>
      <c r="T438">
        <f>_xlfn.XLOOKUP(Table4[[#This Row],[Int Finish]],Master_Table6[System Name],Master_Table6[System Name (Short)],FALSE)</f>
        <v>0</v>
      </c>
      <c r="U438" t="e">
        <f>GETPIVOTDATA("Sum of A1-A3 Fossil kg CO2e/m^2 wall area",'COMPONENT PIVOT REF'!$P$3,"System Name",Table4[[#This Row],[Int Finish]])</f>
        <v>#REF!</v>
      </c>
      <c r="V438" t="e">
        <f>GETPIVOTDATA("Sum of  R value (m^2-K/W)",'COMPONENT PIVOT REF'!$P$3,"System Name",Table4[[#This Row],[Int Finish]])</f>
        <v>#REF!</v>
      </c>
      <c r="W438" t="e">
        <f>GETPIVOTDATA("Sum of Total Mass per m^2 (kg)",'COMPONENT PIVOT REF'!$P$3,"System Name",Table4[[#This Row],[Int Finish]])</f>
        <v>#REF!</v>
      </c>
      <c r="X438" t="e">
        <f>Table4[[#This Row],[Ext Finish GWP]]+Table4[[#This Row],[Base GWP]]+Table4[[#This Row],[Int Finish GWP]]</f>
        <v>#REF!</v>
      </c>
      <c r="Y438" t="e">
        <f>Table4[[#This Row],[Ext Finish R Value]]+Table4[[#This Row],[Base R Value]]+Table4[[#This Row],[Int Finish R Value]]</f>
        <v>#REF!</v>
      </c>
      <c r="Z438" t="e">
        <f>1/Table4[[#This Row],[Total R value]]</f>
        <v>#REF!</v>
      </c>
      <c r="AA438" t="e">
        <f>Table4[[#This Row],[Int Finish Mass]]+Table4[[#This Row],[Ext Finish Mass]]+Table4[[#This Row],[Base Mass]]</f>
        <v>#REF!</v>
      </c>
    </row>
    <row r="439" spans="3:27" x14ac:dyDescent="0.35">
      <c r="C439" t="str">
        <f>_xlfn.CONCAT(Table4[[#This Row],[System Name (Short)]],"_",Table4[[#This Row],[Ext Finish Name (Short)]],"_",Table4[[#This Row],[Int Finish Name (Short)]])</f>
        <v>0_0_0</v>
      </c>
      <c r="E439">
        <f>_xlfn.XLOOKUP(Table4[[#This Row],[Base System]],BASE_SYSTEM_TABLE[System Name],BASE_SYSTEM_TABLE[System Name (Short)],FALSE)</f>
        <v>0</v>
      </c>
      <c r="F439">
        <f>_xlfn.XLOOKUP(Table4[[#This Row],[Base System]],BASE_SYSTEM_TABLE[System Name],BASE_SYSTEM_TABLE[System Type],FALSE)</f>
        <v>0</v>
      </c>
      <c r="G439">
        <f>_xlfn.XLOOKUP(Table4[[#This Row],[Base System]],BASE_SYSTEM_TABLE[System Name],BASE_SYSTEM_TABLE[System Subtype],FALSE)</f>
        <v>0</v>
      </c>
      <c r="H439">
        <f>_xlfn.XLOOKUP(Table4[[#This Row],[Base System]],BASE_SYSTEM_TABLE[System Name],BASE_SYSTEM_TABLE[Construction Type (Framed or Planar)],FALSE)</f>
        <v>0</v>
      </c>
      <c r="I439" t="e">
        <f>GETPIVOTDATA("Sum of A1-A3 Fossil kg CO2e/m^2 wall area",'COMPONENT PIVOT REF'!$A$3,"System Name",Table4[[#This Row],[Base System]])</f>
        <v>#REF!</v>
      </c>
      <c r="J439" t="e">
        <f>GETPIVOTDATA("Sum of  R value (m^2-K/W)",'COMPONENT PIVOT REF'!$A$3,"System Name",Table4[[#This Row],[Base System]])</f>
        <v>#REF!</v>
      </c>
      <c r="K439" t="e">
        <f>GETPIVOTDATA("Sum of Total Mass per m^2 (kg)",'COMPONENT PIVOT REF'!$A$3,"System Name",Table4[[#This Row],[Base System]])</f>
        <v>#REF!</v>
      </c>
      <c r="M439">
        <f>_xlfn.XLOOKUP(Table4[[#This Row],[Ext Finish]],Master_Table4[System Name],Master_Table4[System Name (Short)],FALSE)</f>
        <v>0</v>
      </c>
      <c r="N439">
        <f>_xlfn.XLOOKUP(Table4[[#This Row],[Ext Finish]],Master_Table4[System Name],Master_Table4[Compatible Systems],FALSE)</f>
        <v>0</v>
      </c>
      <c r="O439" t="str">
        <f>IF(ISNUMBER(SEARCH(Table4[[#This Row],[MMC Method]],Table4[[#This Row],[Compatible Systems]])),"YES","NO")</f>
        <v>YES</v>
      </c>
      <c r="P439" t="e">
        <f>GETPIVOTDATA("Sum of A1-A3 Fossil kg CO2e/m^2 wall area",'COMPONENT PIVOT REF'!$I$3,"System Name",Table4[[#This Row],[Ext Finish]])</f>
        <v>#REF!</v>
      </c>
      <c r="Q439" t="e">
        <f>GETPIVOTDATA("Sum of  R value (m^2-K/W)",'COMPONENT PIVOT REF'!$I$3,"System Name",Table4[[#This Row],[Ext Finish]])</f>
        <v>#REF!</v>
      </c>
      <c r="R439" t="e">
        <f>GETPIVOTDATA("Sum of Total Mass per m^2 (kg)",'COMPONENT PIVOT REF'!$I$3,"System Name",Table4[[#This Row],[Ext Finish]])</f>
        <v>#REF!</v>
      </c>
      <c r="T439">
        <f>_xlfn.XLOOKUP(Table4[[#This Row],[Int Finish]],Master_Table6[System Name],Master_Table6[System Name (Short)],FALSE)</f>
        <v>0</v>
      </c>
      <c r="U439" t="e">
        <f>GETPIVOTDATA("Sum of A1-A3 Fossil kg CO2e/m^2 wall area",'COMPONENT PIVOT REF'!$P$3,"System Name",Table4[[#This Row],[Int Finish]])</f>
        <v>#REF!</v>
      </c>
      <c r="V439" t="e">
        <f>GETPIVOTDATA("Sum of  R value (m^2-K/W)",'COMPONENT PIVOT REF'!$P$3,"System Name",Table4[[#This Row],[Int Finish]])</f>
        <v>#REF!</v>
      </c>
      <c r="W439" t="e">
        <f>GETPIVOTDATA("Sum of Total Mass per m^2 (kg)",'COMPONENT PIVOT REF'!$P$3,"System Name",Table4[[#This Row],[Int Finish]])</f>
        <v>#REF!</v>
      </c>
      <c r="X439" t="e">
        <f>Table4[[#This Row],[Ext Finish GWP]]+Table4[[#This Row],[Base GWP]]+Table4[[#This Row],[Int Finish GWP]]</f>
        <v>#REF!</v>
      </c>
      <c r="Y439" t="e">
        <f>Table4[[#This Row],[Ext Finish R Value]]+Table4[[#This Row],[Base R Value]]+Table4[[#This Row],[Int Finish R Value]]</f>
        <v>#REF!</v>
      </c>
      <c r="Z439" t="e">
        <f>1/Table4[[#This Row],[Total R value]]</f>
        <v>#REF!</v>
      </c>
      <c r="AA439" t="e">
        <f>Table4[[#This Row],[Int Finish Mass]]+Table4[[#This Row],[Ext Finish Mass]]+Table4[[#This Row],[Base Mass]]</f>
        <v>#REF!</v>
      </c>
    </row>
    <row r="440" spans="3:27" x14ac:dyDescent="0.35">
      <c r="C440" t="str">
        <f>_xlfn.CONCAT(Table4[[#This Row],[System Name (Short)]],"_",Table4[[#This Row],[Ext Finish Name (Short)]],"_",Table4[[#This Row],[Int Finish Name (Short)]])</f>
        <v>0_0_0</v>
      </c>
      <c r="E440">
        <f>_xlfn.XLOOKUP(Table4[[#This Row],[Base System]],BASE_SYSTEM_TABLE[System Name],BASE_SYSTEM_TABLE[System Name (Short)],FALSE)</f>
        <v>0</v>
      </c>
      <c r="F440">
        <f>_xlfn.XLOOKUP(Table4[[#This Row],[Base System]],BASE_SYSTEM_TABLE[System Name],BASE_SYSTEM_TABLE[System Type],FALSE)</f>
        <v>0</v>
      </c>
      <c r="G440">
        <f>_xlfn.XLOOKUP(Table4[[#This Row],[Base System]],BASE_SYSTEM_TABLE[System Name],BASE_SYSTEM_TABLE[System Subtype],FALSE)</f>
        <v>0</v>
      </c>
      <c r="H440">
        <f>_xlfn.XLOOKUP(Table4[[#This Row],[Base System]],BASE_SYSTEM_TABLE[System Name],BASE_SYSTEM_TABLE[Construction Type (Framed or Planar)],FALSE)</f>
        <v>0</v>
      </c>
      <c r="I440" t="e">
        <f>GETPIVOTDATA("Sum of A1-A3 Fossil kg CO2e/m^2 wall area",'COMPONENT PIVOT REF'!$A$3,"System Name",Table4[[#This Row],[Base System]])</f>
        <v>#REF!</v>
      </c>
      <c r="J440" t="e">
        <f>GETPIVOTDATA("Sum of  R value (m^2-K/W)",'COMPONENT PIVOT REF'!$A$3,"System Name",Table4[[#This Row],[Base System]])</f>
        <v>#REF!</v>
      </c>
      <c r="K440" t="e">
        <f>GETPIVOTDATA("Sum of Total Mass per m^2 (kg)",'COMPONENT PIVOT REF'!$A$3,"System Name",Table4[[#This Row],[Base System]])</f>
        <v>#REF!</v>
      </c>
      <c r="M440">
        <f>_xlfn.XLOOKUP(Table4[[#This Row],[Ext Finish]],Master_Table4[System Name],Master_Table4[System Name (Short)],FALSE)</f>
        <v>0</v>
      </c>
      <c r="N440">
        <f>_xlfn.XLOOKUP(Table4[[#This Row],[Ext Finish]],Master_Table4[System Name],Master_Table4[Compatible Systems],FALSE)</f>
        <v>0</v>
      </c>
      <c r="O440" t="str">
        <f>IF(ISNUMBER(SEARCH(Table4[[#This Row],[MMC Method]],Table4[[#This Row],[Compatible Systems]])),"YES","NO")</f>
        <v>YES</v>
      </c>
      <c r="P440" t="e">
        <f>GETPIVOTDATA("Sum of A1-A3 Fossil kg CO2e/m^2 wall area",'COMPONENT PIVOT REF'!$I$3,"System Name",Table4[[#This Row],[Ext Finish]])</f>
        <v>#REF!</v>
      </c>
      <c r="Q440" t="e">
        <f>GETPIVOTDATA("Sum of  R value (m^2-K/W)",'COMPONENT PIVOT REF'!$I$3,"System Name",Table4[[#This Row],[Ext Finish]])</f>
        <v>#REF!</v>
      </c>
      <c r="R440" t="e">
        <f>GETPIVOTDATA("Sum of Total Mass per m^2 (kg)",'COMPONENT PIVOT REF'!$I$3,"System Name",Table4[[#This Row],[Ext Finish]])</f>
        <v>#REF!</v>
      </c>
      <c r="T440">
        <f>_xlfn.XLOOKUP(Table4[[#This Row],[Int Finish]],Master_Table6[System Name],Master_Table6[System Name (Short)],FALSE)</f>
        <v>0</v>
      </c>
      <c r="U440" t="e">
        <f>GETPIVOTDATA("Sum of A1-A3 Fossil kg CO2e/m^2 wall area",'COMPONENT PIVOT REF'!$P$3,"System Name",Table4[[#This Row],[Int Finish]])</f>
        <v>#REF!</v>
      </c>
      <c r="V440" t="e">
        <f>GETPIVOTDATA("Sum of  R value (m^2-K/W)",'COMPONENT PIVOT REF'!$P$3,"System Name",Table4[[#This Row],[Int Finish]])</f>
        <v>#REF!</v>
      </c>
      <c r="W440" t="e">
        <f>GETPIVOTDATA("Sum of Total Mass per m^2 (kg)",'COMPONENT PIVOT REF'!$P$3,"System Name",Table4[[#This Row],[Int Finish]])</f>
        <v>#REF!</v>
      </c>
      <c r="X440" t="e">
        <f>Table4[[#This Row],[Ext Finish GWP]]+Table4[[#This Row],[Base GWP]]+Table4[[#This Row],[Int Finish GWP]]</f>
        <v>#REF!</v>
      </c>
      <c r="Y440" t="e">
        <f>Table4[[#This Row],[Ext Finish R Value]]+Table4[[#This Row],[Base R Value]]+Table4[[#This Row],[Int Finish R Value]]</f>
        <v>#REF!</v>
      </c>
      <c r="Z440" t="e">
        <f>1/Table4[[#This Row],[Total R value]]</f>
        <v>#REF!</v>
      </c>
      <c r="AA440" t="e">
        <f>Table4[[#This Row],[Int Finish Mass]]+Table4[[#This Row],[Ext Finish Mass]]+Table4[[#This Row],[Base Mass]]</f>
        <v>#REF!</v>
      </c>
    </row>
    <row r="441" spans="3:27" x14ac:dyDescent="0.35">
      <c r="C441" t="str">
        <f>_xlfn.CONCAT(Table4[[#This Row],[System Name (Short)]],"_",Table4[[#This Row],[Ext Finish Name (Short)]],"_",Table4[[#This Row],[Int Finish Name (Short)]])</f>
        <v>0_0_0</v>
      </c>
      <c r="E441">
        <f>_xlfn.XLOOKUP(Table4[[#This Row],[Base System]],BASE_SYSTEM_TABLE[System Name],BASE_SYSTEM_TABLE[System Name (Short)],FALSE)</f>
        <v>0</v>
      </c>
      <c r="F441">
        <f>_xlfn.XLOOKUP(Table4[[#This Row],[Base System]],BASE_SYSTEM_TABLE[System Name],BASE_SYSTEM_TABLE[System Type],FALSE)</f>
        <v>0</v>
      </c>
      <c r="G441">
        <f>_xlfn.XLOOKUP(Table4[[#This Row],[Base System]],BASE_SYSTEM_TABLE[System Name],BASE_SYSTEM_TABLE[System Subtype],FALSE)</f>
        <v>0</v>
      </c>
      <c r="H441">
        <f>_xlfn.XLOOKUP(Table4[[#This Row],[Base System]],BASE_SYSTEM_TABLE[System Name],BASE_SYSTEM_TABLE[Construction Type (Framed or Planar)],FALSE)</f>
        <v>0</v>
      </c>
      <c r="I441" t="e">
        <f>GETPIVOTDATA("Sum of A1-A3 Fossil kg CO2e/m^2 wall area",'COMPONENT PIVOT REF'!$A$3,"System Name",Table4[[#This Row],[Base System]])</f>
        <v>#REF!</v>
      </c>
      <c r="J441" t="e">
        <f>GETPIVOTDATA("Sum of  R value (m^2-K/W)",'COMPONENT PIVOT REF'!$A$3,"System Name",Table4[[#This Row],[Base System]])</f>
        <v>#REF!</v>
      </c>
      <c r="K441" t="e">
        <f>GETPIVOTDATA("Sum of Total Mass per m^2 (kg)",'COMPONENT PIVOT REF'!$A$3,"System Name",Table4[[#This Row],[Base System]])</f>
        <v>#REF!</v>
      </c>
      <c r="M441">
        <f>_xlfn.XLOOKUP(Table4[[#This Row],[Ext Finish]],Master_Table4[System Name],Master_Table4[System Name (Short)],FALSE)</f>
        <v>0</v>
      </c>
      <c r="N441">
        <f>_xlfn.XLOOKUP(Table4[[#This Row],[Ext Finish]],Master_Table4[System Name],Master_Table4[Compatible Systems],FALSE)</f>
        <v>0</v>
      </c>
      <c r="O441" t="str">
        <f>IF(ISNUMBER(SEARCH(Table4[[#This Row],[MMC Method]],Table4[[#This Row],[Compatible Systems]])),"YES","NO")</f>
        <v>YES</v>
      </c>
      <c r="P441" t="e">
        <f>GETPIVOTDATA("Sum of A1-A3 Fossil kg CO2e/m^2 wall area",'COMPONENT PIVOT REF'!$I$3,"System Name",Table4[[#This Row],[Ext Finish]])</f>
        <v>#REF!</v>
      </c>
      <c r="Q441" t="e">
        <f>GETPIVOTDATA("Sum of  R value (m^2-K/W)",'COMPONENT PIVOT REF'!$I$3,"System Name",Table4[[#This Row],[Ext Finish]])</f>
        <v>#REF!</v>
      </c>
      <c r="R441" t="e">
        <f>GETPIVOTDATA("Sum of Total Mass per m^2 (kg)",'COMPONENT PIVOT REF'!$I$3,"System Name",Table4[[#This Row],[Ext Finish]])</f>
        <v>#REF!</v>
      </c>
      <c r="T441">
        <f>_xlfn.XLOOKUP(Table4[[#This Row],[Int Finish]],Master_Table6[System Name],Master_Table6[System Name (Short)],FALSE)</f>
        <v>0</v>
      </c>
      <c r="U441" t="e">
        <f>GETPIVOTDATA("Sum of A1-A3 Fossil kg CO2e/m^2 wall area",'COMPONENT PIVOT REF'!$P$3,"System Name",Table4[[#This Row],[Int Finish]])</f>
        <v>#REF!</v>
      </c>
      <c r="V441" t="e">
        <f>GETPIVOTDATA("Sum of  R value (m^2-K/W)",'COMPONENT PIVOT REF'!$P$3,"System Name",Table4[[#This Row],[Int Finish]])</f>
        <v>#REF!</v>
      </c>
      <c r="W441" t="e">
        <f>GETPIVOTDATA("Sum of Total Mass per m^2 (kg)",'COMPONENT PIVOT REF'!$P$3,"System Name",Table4[[#This Row],[Int Finish]])</f>
        <v>#REF!</v>
      </c>
      <c r="X441" t="e">
        <f>Table4[[#This Row],[Ext Finish GWP]]+Table4[[#This Row],[Base GWP]]+Table4[[#This Row],[Int Finish GWP]]</f>
        <v>#REF!</v>
      </c>
      <c r="Y441" t="e">
        <f>Table4[[#This Row],[Ext Finish R Value]]+Table4[[#This Row],[Base R Value]]+Table4[[#This Row],[Int Finish R Value]]</f>
        <v>#REF!</v>
      </c>
      <c r="Z441" t="e">
        <f>1/Table4[[#This Row],[Total R value]]</f>
        <v>#REF!</v>
      </c>
      <c r="AA441" t="e">
        <f>Table4[[#This Row],[Int Finish Mass]]+Table4[[#This Row],[Ext Finish Mass]]+Table4[[#This Row],[Base Mass]]</f>
        <v>#REF!</v>
      </c>
    </row>
    <row r="442" spans="3:27" x14ac:dyDescent="0.35">
      <c r="C442" t="str">
        <f>_xlfn.CONCAT(Table4[[#This Row],[System Name (Short)]],"_",Table4[[#This Row],[Ext Finish Name (Short)]],"_",Table4[[#This Row],[Int Finish Name (Short)]])</f>
        <v>0_0_0</v>
      </c>
      <c r="E442">
        <f>_xlfn.XLOOKUP(Table4[[#This Row],[Base System]],BASE_SYSTEM_TABLE[System Name],BASE_SYSTEM_TABLE[System Name (Short)],FALSE)</f>
        <v>0</v>
      </c>
      <c r="F442">
        <f>_xlfn.XLOOKUP(Table4[[#This Row],[Base System]],BASE_SYSTEM_TABLE[System Name],BASE_SYSTEM_TABLE[System Type],FALSE)</f>
        <v>0</v>
      </c>
      <c r="G442">
        <f>_xlfn.XLOOKUP(Table4[[#This Row],[Base System]],BASE_SYSTEM_TABLE[System Name],BASE_SYSTEM_TABLE[System Subtype],FALSE)</f>
        <v>0</v>
      </c>
      <c r="H442">
        <f>_xlfn.XLOOKUP(Table4[[#This Row],[Base System]],BASE_SYSTEM_TABLE[System Name],BASE_SYSTEM_TABLE[Construction Type (Framed or Planar)],FALSE)</f>
        <v>0</v>
      </c>
      <c r="I442" t="e">
        <f>GETPIVOTDATA("Sum of A1-A3 Fossil kg CO2e/m^2 wall area",'COMPONENT PIVOT REF'!$A$3,"System Name",Table4[[#This Row],[Base System]])</f>
        <v>#REF!</v>
      </c>
      <c r="J442" t="e">
        <f>GETPIVOTDATA("Sum of  R value (m^2-K/W)",'COMPONENT PIVOT REF'!$A$3,"System Name",Table4[[#This Row],[Base System]])</f>
        <v>#REF!</v>
      </c>
      <c r="K442" t="e">
        <f>GETPIVOTDATA("Sum of Total Mass per m^2 (kg)",'COMPONENT PIVOT REF'!$A$3,"System Name",Table4[[#This Row],[Base System]])</f>
        <v>#REF!</v>
      </c>
      <c r="M442">
        <f>_xlfn.XLOOKUP(Table4[[#This Row],[Ext Finish]],Master_Table4[System Name],Master_Table4[System Name (Short)],FALSE)</f>
        <v>0</v>
      </c>
      <c r="N442">
        <f>_xlfn.XLOOKUP(Table4[[#This Row],[Ext Finish]],Master_Table4[System Name],Master_Table4[Compatible Systems],FALSE)</f>
        <v>0</v>
      </c>
      <c r="O442" t="str">
        <f>IF(ISNUMBER(SEARCH(Table4[[#This Row],[MMC Method]],Table4[[#This Row],[Compatible Systems]])),"YES","NO")</f>
        <v>YES</v>
      </c>
      <c r="P442" t="e">
        <f>GETPIVOTDATA("Sum of A1-A3 Fossil kg CO2e/m^2 wall area",'COMPONENT PIVOT REF'!$I$3,"System Name",Table4[[#This Row],[Ext Finish]])</f>
        <v>#REF!</v>
      </c>
      <c r="Q442" t="e">
        <f>GETPIVOTDATA("Sum of  R value (m^2-K/W)",'COMPONENT PIVOT REF'!$I$3,"System Name",Table4[[#This Row],[Ext Finish]])</f>
        <v>#REF!</v>
      </c>
      <c r="R442" t="e">
        <f>GETPIVOTDATA("Sum of Total Mass per m^2 (kg)",'COMPONENT PIVOT REF'!$I$3,"System Name",Table4[[#This Row],[Ext Finish]])</f>
        <v>#REF!</v>
      </c>
      <c r="T442">
        <f>_xlfn.XLOOKUP(Table4[[#This Row],[Int Finish]],Master_Table6[System Name],Master_Table6[System Name (Short)],FALSE)</f>
        <v>0</v>
      </c>
      <c r="U442" t="e">
        <f>GETPIVOTDATA("Sum of A1-A3 Fossil kg CO2e/m^2 wall area",'COMPONENT PIVOT REF'!$P$3,"System Name",Table4[[#This Row],[Int Finish]])</f>
        <v>#REF!</v>
      </c>
      <c r="V442" t="e">
        <f>GETPIVOTDATA("Sum of  R value (m^2-K/W)",'COMPONENT PIVOT REF'!$P$3,"System Name",Table4[[#This Row],[Int Finish]])</f>
        <v>#REF!</v>
      </c>
      <c r="W442" t="e">
        <f>GETPIVOTDATA("Sum of Total Mass per m^2 (kg)",'COMPONENT PIVOT REF'!$P$3,"System Name",Table4[[#This Row],[Int Finish]])</f>
        <v>#REF!</v>
      </c>
      <c r="X442" t="e">
        <f>Table4[[#This Row],[Ext Finish GWP]]+Table4[[#This Row],[Base GWP]]+Table4[[#This Row],[Int Finish GWP]]</f>
        <v>#REF!</v>
      </c>
      <c r="Y442" t="e">
        <f>Table4[[#This Row],[Ext Finish R Value]]+Table4[[#This Row],[Base R Value]]+Table4[[#This Row],[Int Finish R Value]]</f>
        <v>#REF!</v>
      </c>
      <c r="Z442" t="e">
        <f>1/Table4[[#This Row],[Total R value]]</f>
        <v>#REF!</v>
      </c>
      <c r="AA442" t="e">
        <f>Table4[[#This Row],[Int Finish Mass]]+Table4[[#This Row],[Ext Finish Mass]]+Table4[[#This Row],[Base Mass]]</f>
        <v>#REF!</v>
      </c>
    </row>
    <row r="443" spans="3:27" x14ac:dyDescent="0.35">
      <c r="C443" t="str">
        <f>_xlfn.CONCAT(Table4[[#This Row],[System Name (Short)]],"_",Table4[[#This Row],[Ext Finish Name (Short)]],"_",Table4[[#This Row],[Int Finish Name (Short)]])</f>
        <v>0_0_0</v>
      </c>
      <c r="E443">
        <f>_xlfn.XLOOKUP(Table4[[#This Row],[Base System]],BASE_SYSTEM_TABLE[System Name],BASE_SYSTEM_TABLE[System Name (Short)],FALSE)</f>
        <v>0</v>
      </c>
      <c r="F443">
        <f>_xlfn.XLOOKUP(Table4[[#This Row],[Base System]],BASE_SYSTEM_TABLE[System Name],BASE_SYSTEM_TABLE[System Type],FALSE)</f>
        <v>0</v>
      </c>
      <c r="G443">
        <f>_xlfn.XLOOKUP(Table4[[#This Row],[Base System]],BASE_SYSTEM_TABLE[System Name],BASE_SYSTEM_TABLE[System Subtype],FALSE)</f>
        <v>0</v>
      </c>
      <c r="H443">
        <f>_xlfn.XLOOKUP(Table4[[#This Row],[Base System]],BASE_SYSTEM_TABLE[System Name],BASE_SYSTEM_TABLE[Construction Type (Framed or Planar)],FALSE)</f>
        <v>0</v>
      </c>
      <c r="I443" t="e">
        <f>GETPIVOTDATA("Sum of A1-A3 Fossil kg CO2e/m^2 wall area",'COMPONENT PIVOT REF'!$A$3,"System Name",Table4[[#This Row],[Base System]])</f>
        <v>#REF!</v>
      </c>
      <c r="J443" t="e">
        <f>GETPIVOTDATA("Sum of  R value (m^2-K/W)",'COMPONENT PIVOT REF'!$A$3,"System Name",Table4[[#This Row],[Base System]])</f>
        <v>#REF!</v>
      </c>
      <c r="K443" t="e">
        <f>GETPIVOTDATA("Sum of Total Mass per m^2 (kg)",'COMPONENT PIVOT REF'!$A$3,"System Name",Table4[[#This Row],[Base System]])</f>
        <v>#REF!</v>
      </c>
      <c r="M443">
        <f>_xlfn.XLOOKUP(Table4[[#This Row],[Ext Finish]],Master_Table4[System Name],Master_Table4[System Name (Short)],FALSE)</f>
        <v>0</v>
      </c>
      <c r="N443">
        <f>_xlfn.XLOOKUP(Table4[[#This Row],[Ext Finish]],Master_Table4[System Name],Master_Table4[Compatible Systems],FALSE)</f>
        <v>0</v>
      </c>
      <c r="O443" t="str">
        <f>IF(ISNUMBER(SEARCH(Table4[[#This Row],[MMC Method]],Table4[[#This Row],[Compatible Systems]])),"YES","NO")</f>
        <v>YES</v>
      </c>
      <c r="P443" t="e">
        <f>GETPIVOTDATA("Sum of A1-A3 Fossil kg CO2e/m^2 wall area",'COMPONENT PIVOT REF'!$I$3,"System Name",Table4[[#This Row],[Ext Finish]])</f>
        <v>#REF!</v>
      </c>
      <c r="Q443" t="e">
        <f>GETPIVOTDATA("Sum of  R value (m^2-K/W)",'COMPONENT PIVOT REF'!$I$3,"System Name",Table4[[#This Row],[Ext Finish]])</f>
        <v>#REF!</v>
      </c>
      <c r="R443" t="e">
        <f>GETPIVOTDATA("Sum of Total Mass per m^2 (kg)",'COMPONENT PIVOT REF'!$I$3,"System Name",Table4[[#This Row],[Ext Finish]])</f>
        <v>#REF!</v>
      </c>
      <c r="T443">
        <f>_xlfn.XLOOKUP(Table4[[#This Row],[Int Finish]],Master_Table6[System Name],Master_Table6[System Name (Short)],FALSE)</f>
        <v>0</v>
      </c>
      <c r="U443" t="e">
        <f>GETPIVOTDATA("Sum of A1-A3 Fossil kg CO2e/m^2 wall area",'COMPONENT PIVOT REF'!$P$3,"System Name",Table4[[#This Row],[Int Finish]])</f>
        <v>#REF!</v>
      </c>
      <c r="V443" t="e">
        <f>GETPIVOTDATA("Sum of  R value (m^2-K/W)",'COMPONENT PIVOT REF'!$P$3,"System Name",Table4[[#This Row],[Int Finish]])</f>
        <v>#REF!</v>
      </c>
      <c r="W443" t="e">
        <f>GETPIVOTDATA("Sum of Total Mass per m^2 (kg)",'COMPONENT PIVOT REF'!$P$3,"System Name",Table4[[#This Row],[Int Finish]])</f>
        <v>#REF!</v>
      </c>
      <c r="X443" t="e">
        <f>Table4[[#This Row],[Ext Finish GWP]]+Table4[[#This Row],[Base GWP]]+Table4[[#This Row],[Int Finish GWP]]</f>
        <v>#REF!</v>
      </c>
      <c r="Y443" t="e">
        <f>Table4[[#This Row],[Ext Finish R Value]]+Table4[[#This Row],[Base R Value]]+Table4[[#This Row],[Int Finish R Value]]</f>
        <v>#REF!</v>
      </c>
      <c r="Z443" t="e">
        <f>1/Table4[[#This Row],[Total R value]]</f>
        <v>#REF!</v>
      </c>
      <c r="AA443" t="e">
        <f>Table4[[#This Row],[Int Finish Mass]]+Table4[[#This Row],[Ext Finish Mass]]+Table4[[#This Row],[Base Mass]]</f>
        <v>#REF!</v>
      </c>
    </row>
    <row r="444" spans="3:27" x14ac:dyDescent="0.35">
      <c r="C444" t="str">
        <f>_xlfn.CONCAT(Table4[[#This Row],[System Name (Short)]],"_",Table4[[#This Row],[Ext Finish Name (Short)]],"_",Table4[[#This Row],[Int Finish Name (Short)]])</f>
        <v>0_0_0</v>
      </c>
      <c r="E444">
        <f>_xlfn.XLOOKUP(Table4[[#This Row],[Base System]],BASE_SYSTEM_TABLE[System Name],BASE_SYSTEM_TABLE[System Name (Short)],FALSE)</f>
        <v>0</v>
      </c>
      <c r="F444">
        <f>_xlfn.XLOOKUP(Table4[[#This Row],[Base System]],BASE_SYSTEM_TABLE[System Name],BASE_SYSTEM_TABLE[System Type],FALSE)</f>
        <v>0</v>
      </c>
      <c r="G444">
        <f>_xlfn.XLOOKUP(Table4[[#This Row],[Base System]],BASE_SYSTEM_TABLE[System Name],BASE_SYSTEM_TABLE[System Subtype],FALSE)</f>
        <v>0</v>
      </c>
      <c r="H444">
        <f>_xlfn.XLOOKUP(Table4[[#This Row],[Base System]],BASE_SYSTEM_TABLE[System Name],BASE_SYSTEM_TABLE[Construction Type (Framed or Planar)],FALSE)</f>
        <v>0</v>
      </c>
      <c r="I444" t="e">
        <f>GETPIVOTDATA("Sum of A1-A3 Fossil kg CO2e/m^2 wall area",'COMPONENT PIVOT REF'!$A$3,"System Name",Table4[[#This Row],[Base System]])</f>
        <v>#REF!</v>
      </c>
      <c r="J444" t="e">
        <f>GETPIVOTDATA("Sum of  R value (m^2-K/W)",'COMPONENT PIVOT REF'!$A$3,"System Name",Table4[[#This Row],[Base System]])</f>
        <v>#REF!</v>
      </c>
      <c r="K444" t="e">
        <f>GETPIVOTDATA("Sum of Total Mass per m^2 (kg)",'COMPONENT PIVOT REF'!$A$3,"System Name",Table4[[#This Row],[Base System]])</f>
        <v>#REF!</v>
      </c>
      <c r="M444">
        <f>_xlfn.XLOOKUP(Table4[[#This Row],[Ext Finish]],Master_Table4[System Name],Master_Table4[System Name (Short)],FALSE)</f>
        <v>0</v>
      </c>
      <c r="N444">
        <f>_xlfn.XLOOKUP(Table4[[#This Row],[Ext Finish]],Master_Table4[System Name],Master_Table4[Compatible Systems],FALSE)</f>
        <v>0</v>
      </c>
      <c r="O444" t="str">
        <f>IF(ISNUMBER(SEARCH(Table4[[#This Row],[MMC Method]],Table4[[#This Row],[Compatible Systems]])),"YES","NO")</f>
        <v>YES</v>
      </c>
      <c r="P444" t="e">
        <f>GETPIVOTDATA("Sum of A1-A3 Fossil kg CO2e/m^2 wall area",'COMPONENT PIVOT REF'!$I$3,"System Name",Table4[[#This Row],[Ext Finish]])</f>
        <v>#REF!</v>
      </c>
      <c r="Q444" t="e">
        <f>GETPIVOTDATA("Sum of  R value (m^2-K/W)",'COMPONENT PIVOT REF'!$I$3,"System Name",Table4[[#This Row],[Ext Finish]])</f>
        <v>#REF!</v>
      </c>
      <c r="R444" t="e">
        <f>GETPIVOTDATA("Sum of Total Mass per m^2 (kg)",'COMPONENT PIVOT REF'!$I$3,"System Name",Table4[[#This Row],[Ext Finish]])</f>
        <v>#REF!</v>
      </c>
      <c r="T444">
        <f>_xlfn.XLOOKUP(Table4[[#This Row],[Int Finish]],Master_Table6[System Name],Master_Table6[System Name (Short)],FALSE)</f>
        <v>0</v>
      </c>
      <c r="U444" t="e">
        <f>GETPIVOTDATA("Sum of A1-A3 Fossil kg CO2e/m^2 wall area",'COMPONENT PIVOT REF'!$P$3,"System Name",Table4[[#This Row],[Int Finish]])</f>
        <v>#REF!</v>
      </c>
      <c r="V444" t="e">
        <f>GETPIVOTDATA("Sum of  R value (m^2-K/W)",'COMPONENT PIVOT REF'!$P$3,"System Name",Table4[[#This Row],[Int Finish]])</f>
        <v>#REF!</v>
      </c>
      <c r="W444" t="e">
        <f>GETPIVOTDATA("Sum of Total Mass per m^2 (kg)",'COMPONENT PIVOT REF'!$P$3,"System Name",Table4[[#This Row],[Int Finish]])</f>
        <v>#REF!</v>
      </c>
      <c r="X444" t="e">
        <f>Table4[[#This Row],[Ext Finish GWP]]+Table4[[#This Row],[Base GWP]]+Table4[[#This Row],[Int Finish GWP]]</f>
        <v>#REF!</v>
      </c>
      <c r="Y444" t="e">
        <f>Table4[[#This Row],[Ext Finish R Value]]+Table4[[#This Row],[Base R Value]]+Table4[[#This Row],[Int Finish R Value]]</f>
        <v>#REF!</v>
      </c>
      <c r="Z444" t="e">
        <f>1/Table4[[#This Row],[Total R value]]</f>
        <v>#REF!</v>
      </c>
      <c r="AA444" t="e">
        <f>Table4[[#This Row],[Int Finish Mass]]+Table4[[#This Row],[Ext Finish Mass]]+Table4[[#This Row],[Base Mass]]</f>
        <v>#REF!</v>
      </c>
    </row>
    <row r="445" spans="3:27" x14ac:dyDescent="0.35">
      <c r="C445" t="str">
        <f>_xlfn.CONCAT(Table4[[#This Row],[System Name (Short)]],"_",Table4[[#This Row],[Ext Finish Name (Short)]],"_",Table4[[#This Row],[Int Finish Name (Short)]])</f>
        <v>0_0_0</v>
      </c>
      <c r="E445">
        <f>_xlfn.XLOOKUP(Table4[[#This Row],[Base System]],BASE_SYSTEM_TABLE[System Name],BASE_SYSTEM_TABLE[System Name (Short)],FALSE)</f>
        <v>0</v>
      </c>
      <c r="F445">
        <f>_xlfn.XLOOKUP(Table4[[#This Row],[Base System]],BASE_SYSTEM_TABLE[System Name],BASE_SYSTEM_TABLE[System Type],FALSE)</f>
        <v>0</v>
      </c>
      <c r="G445">
        <f>_xlfn.XLOOKUP(Table4[[#This Row],[Base System]],BASE_SYSTEM_TABLE[System Name],BASE_SYSTEM_TABLE[System Subtype],FALSE)</f>
        <v>0</v>
      </c>
      <c r="H445">
        <f>_xlfn.XLOOKUP(Table4[[#This Row],[Base System]],BASE_SYSTEM_TABLE[System Name],BASE_SYSTEM_TABLE[Construction Type (Framed or Planar)],FALSE)</f>
        <v>0</v>
      </c>
      <c r="I445" t="e">
        <f>GETPIVOTDATA("Sum of A1-A3 Fossil kg CO2e/m^2 wall area",'COMPONENT PIVOT REF'!$A$3,"System Name",Table4[[#This Row],[Base System]])</f>
        <v>#REF!</v>
      </c>
      <c r="J445" t="e">
        <f>GETPIVOTDATA("Sum of  R value (m^2-K/W)",'COMPONENT PIVOT REF'!$A$3,"System Name",Table4[[#This Row],[Base System]])</f>
        <v>#REF!</v>
      </c>
      <c r="K445" t="e">
        <f>GETPIVOTDATA("Sum of Total Mass per m^2 (kg)",'COMPONENT PIVOT REF'!$A$3,"System Name",Table4[[#This Row],[Base System]])</f>
        <v>#REF!</v>
      </c>
      <c r="M445">
        <f>_xlfn.XLOOKUP(Table4[[#This Row],[Ext Finish]],Master_Table4[System Name],Master_Table4[System Name (Short)],FALSE)</f>
        <v>0</v>
      </c>
      <c r="N445">
        <f>_xlfn.XLOOKUP(Table4[[#This Row],[Ext Finish]],Master_Table4[System Name],Master_Table4[Compatible Systems],FALSE)</f>
        <v>0</v>
      </c>
      <c r="O445" t="str">
        <f>IF(ISNUMBER(SEARCH(Table4[[#This Row],[MMC Method]],Table4[[#This Row],[Compatible Systems]])),"YES","NO")</f>
        <v>YES</v>
      </c>
      <c r="P445" t="e">
        <f>GETPIVOTDATA("Sum of A1-A3 Fossil kg CO2e/m^2 wall area",'COMPONENT PIVOT REF'!$I$3,"System Name",Table4[[#This Row],[Ext Finish]])</f>
        <v>#REF!</v>
      </c>
      <c r="Q445" t="e">
        <f>GETPIVOTDATA("Sum of  R value (m^2-K/W)",'COMPONENT PIVOT REF'!$I$3,"System Name",Table4[[#This Row],[Ext Finish]])</f>
        <v>#REF!</v>
      </c>
      <c r="R445" t="e">
        <f>GETPIVOTDATA("Sum of Total Mass per m^2 (kg)",'COMPONENT PIVOT REF'!$I$3,"System Name",Table4[[#This Row],[Ext Finish]])</f>
        <v>#REF!</v>
      </c>
      <c r="T445">
        <f>_xlfn.XLOOKUP(Table4[[#This Row],[Int Finish]],Master_Table6[System Name],Master_Table6[System Name (Short)],FALSE)</f>
        <v>0</v>
      </c>
      <c r="U445" t="e">
        <f>GETPIVOTDATA("Sum of A1-A3 Fossil kg CO2e/m^2 wall area",'COMPONENT PIVOT REF'!$P$3,"System Name",Table4[[#This Row],[Int Finish]])</f>
        <v>#REF!</v>
      </c>
      <c r="V445" t="e">
        <f>GETPIVOTDATA("Sum of  R value (m^2-K/W)",'COMPONENT PIVOT REF'!$P$3,"System Name",Table4[[#This Row],[Int Finish]])</f>
        <v>#REF!</v>
      </c>
      <c r="W445" t="e">
        <f>GETPIVOTDATA("Sum of Total Mass per m^2 (kg)",'COMPONENT PIVOT REF'!$P$3,"System Name",Table4[[#This Row],[Int Finish]])</f>
        <v>#REF!</v>
      </c>
      <c r="X445" t="e">
        <f>Table4[[#This Row],[Ext Finish GWP]]+Table4[[#This Row],[Base GWP]]+Table4[[#This Row],[Int Finish GWP]]</f>
        <v>#REF!</v>
      </c>
      <c r="Y445" t="e">
        <f>Table4[[#This Row],[Ext Finish R Value]]+Table4[[#This Row],[Base R Value]]+Table4[[#This Row],[Int Finish R Value]]</f>
        <v>#REF!</v>
      </c>
      <c r="Z445" t="e">
        <f>1/Table4[[#This Row],[Total R value]]</f>
        <v>#REF!</v>
      </c>
      <c r="AA445" t="e">
        <f>Table4[[#This Row],[Int Finish Mass]]+Table4[[#This Row],[Ext Finish Mass]]+Table4[[#This Row],[Base Mass]]</f>
        <v>#REF!</v>
      </c>
    </row>
    <row r="446" spans="3:27" x14ac:dyDescent="0.35">
      <c r="C446" t="str">
        <f>_xlfn.CONCAT(Table4[[#This Row],[System Name (Short)]],"_",Table4[[#This Row],[Ext Finish Name (Short)]],"_",Table4[[#This Row],[Int Finish Name (Short)]])</f>
        <v>0_0_0</v>
      </c>
      <c r="E446">
        <f>_xlfn.XLOOKUP(Table4[[#This Row],[Base System]],BASE_SYSTEM_TABLE[System Name],BASE_SYSTEM_TABLE[System Name (Short)],FALSE)</f>
        <v>0</v>
      </c>
      <c r="F446">
        <f>_xlfn.XLOOKUP(Table4[[#This Row],[Base System]],BASE_SYSTEM_TABLE[System Name],BASE_SYSTEM_TABLE[System Type],FALSE)</f>
        <v>0</v>
      </c>
      <c r="G446">
        <f>_xlfn.XLOOKUP(Table4[[#This Row],[Base System]],BASE_SYSTEM_TABLE[System Name],BASE_SYSTEM_TABLE[System Subtype],FALSE)</f>
        <v>0</v>
      </c>
      <c r="H446">
        <f>_xlfn.XLOOKUP(Table4[[#This Row],[Base System]],BASE_SYSTEM_TABLE[System Name],BASE_SYSTEM_TABLE[Construction Type (Framed or Planar)],FALSE)</f>
        <v>0</v>
      </c>
      <c r="I446" t="e">
        <f>GETPIVOTDATA("Sum of A1-A3 Fossil kg CO2e/m^2 wall area",'COMPONENT PIVOT REF'!$A$3,"System Name",Table4[[#This Row],[Base System]])</f>
        <v>#REF!</v>
      </c>
      <c r="J446" t="e">
        <f>GETPIVOTDATA("Sum of  R value (m^2-K/W)",'COMPONENT PIVOT REF'!$A$3,"System Name",Table4[[#This Row],[Base System]])</f>
        <v>#REF!</v>
      </c>
      <c r="K446" t="e">
        <f>GETPIVOTDATA("Sum of Total Mass per m^2 (kg)",'COMPONENT PIVOT REF'!$A$3,"System Name",Table4[[#This Row],[Base System]])</f>
        <v>#REF!</v>
      </c>
      <c r="M446">
        <f>_xlfn.XLOOKUP(Table4[[#This Row],[Ext Finish]],Master_Table4[System Name],Master_Table4[System Name (Short)],FALSE)</f>
        <v>0</v>
      </c>
      <c r="N446">
        <f>_xlfn.XLOOKUP(Table4[[#This Row],[Ext Finish]],Master_Table4[System Name],Master_Table4[Compatible Systems],FALSE)</f>
        <v>0</v>
      </c>
      <c r="O446" t="str">
        <f>IF(ISNUMBER(SEARCH(Table4[[#This Row],[MMC Method]],Table4[[#This Row],[Compatible Systems]])),"YES","NO")</f>
        <v>YES</v>
      </c>
      <c r="P446" t="e">
        <f>GETPIVOTDATA("Sum of A1-A3 Fossil kg CO2e/m^2 wall area",'COMPONENT PIVOT REF'!$I$3,"System Name",Table4[[#This Row],[Ext Finish]])</f>
        <v>#REF!</v>
      </c>
      <c r="Q446" t="e">
        <f>GETPIVOTDATA("Sum of  R value (m^2-K/W)",'COMPONENT PIVOT REF'!$I$3,"System Name",Table4[[#This Row],[Ext Finish]])</f>
        <v>#REF!</v>
      </c>
      <c r="R446" t="e">
        <f>GETPIVOTDATA("Sum of Total Mass per m^2 (kg)",'COMPONENT PIVOT REF'!$I$3,"System Name",Table4[[#This Row],[Ext Finish]])</f>
        <v>#REF!</v>
      </c>
      <c r="T446">
        <f>_xlfn.XLOOKUP(Table4[[#This Row],[Int Finish]],Master_Table6[System Name],Master_Table6[System Name (Short)],FALSE)</f>
        <v>0</v>
      </c>
      <c r="U446" t="e">
        <f>GETPIVOTDATA("Sum of A1-A3 Fossil kg CO2e/m^2 wall area",'COMPONENT PIVOT REF'!$P$3,"System Name",Table4[[#This Row],[Int Finish]])</f>
        <v>#REF!</v>
      </c>
      <c r="V446" t="e">
        <f>GETPIVOTDATA("Sum of  R value (m^2-K/W)",'COMPONENT PIVOT REF'!$P$3,"System Name",Table4[[#This Row],[Int Finish]])</f>
        <v>#REF!</v>
      </c>
      <c r="W446" t="e">
        <f>GETPIVOTDATA("Sum of Total Mass per m^2 (kg)",'COMPONENT PIVOT REF'!$P$3,"System Name",Table4[[#This Row],[Int Finish]])</f>
        <v>#REF!</v>
      </c>
      <c r="X446" t="e">
        <f>Table4[[#This Row],[Ext Finish GWP]]+Table4[[#This Row],[Base GWP]]+Table4[[#This Row],[Int Finish GWP]]</f>
        <v>#REF!</v>
      </c>
      <c r="Y446" t="e">
        <f>Table4[[#This Row],[Ext Finish R Value]]+Table4[[#This Row],[Base R Value]]+Table4[[#This Row],[Int Finish R Value]]</f>
        <v>#REF!</v>
      </c>
      <c r="Z446" t="e">
        <f>1/Table4[[#This Row],[Total R value]]</f>
        <v>#REF!</v>
      </c>
      <c r="AA446" t="e">
        <f>Table4[[#This Row],[Int Finish Mass]]+Table4[[#This Row],[Ext Finish Mass]]+Table4[[#This Row],[Base Mass]]</f>
        <v>#REF!</v>
      </c>
    </row>
    <row r="447" spans="3:27" x14ac:dyDescent="0.35">
      <c r="C447" t="str">
        <f>_xlfn.CONCAT(Table4[[#This Row],[System Name (Short)]],"_",Table4[[#This Row],[Ext Finish Name (Short)]],"_",Table4[[#This Row],[Int Finish Name (Short)]])</f>
        <v>0_0_0</v>
      </c>
      <c r="E447">
        <f>_xlfn.XLOOKUP(Table4[[#This Row],[Base System]],BASE_SYSTEM_TABLE[System Name],BASE_SYSTEM_TABLE[System Name (Short)],FALSE)</f>
        <v>0</v>
      </c>
      <c r="F447">
        <f>_xlfn.XLOOKUP(Table4[[#This Row],[Base System]],BASE_SYSTEM_TABLE[System Name],BASE_SYSTEM_TABLE[System Type],FALSE)</f>
        <v>0</v>
      </c>
      <c r="G447">
        <f>_xlfn.XLOOKUP(Table4[[#This Row],[Base System]],BASE_SYSTEM_TABLE[System Name],BASE_SYSTEM_TABLE[System Subtype],FALSE)</f>
        <v>0</v>
      </c>
      <c r="H447">
        <f>_xlfn.XLOOKUP(Table4[[#This Row],[Base System]],BASE_SYSTEM_TABLE[System Name],BASE_SYSTEM_TABLE[Construction Type (Framed or Planar)],FALSE)</f>
        <v>0</v>
      </c>
      <c r="I447" t="e">
        <f>GETPIVOTDATA("Sum of A1-A3 Fossil kg CO2e/m^2 wall area",'COMPONENT PIVOT REF'!$A$3,"System Name",Table4[[#This Row],[Base System]])</f>
        <v>#REF!</v>
      </c>
      <c r="J447" t="e">
        <f>GETPIVOTDATA("Sum of  R value (m^2-K/W)",'COMPONENT PIVOT REF'!$A$3,"System Name",Table4[[#This Row],[Base System]])</f>
        <v>#REF!</v>
      </c>
      <c r="K447" t="e">
        <f>GETPIVOTDATA("Sum of Total Mass per m^2 (kg)",'COMPONENT PIVOT REF'!$A$3,"System Name",Table4[[#This Row],[Base System]])</f>
        <v>#REF!</v>
      </c>
      <c r="M447">
        <f>_xlfn.XLOOKUP(Table4[[#This Row],[Ext Finish]],Master_Table4[System Name],Master_Table4[System Name (Short)],FALSE)</f>
        <v>0</v>
      </c>
      <c r="N447">
        <f>_xlfn.XLOOKUP(Table4[[#This Row],[Ext Finish]],Master_Table4[System Name],Master_Table4[Compatible Systems],FALSE)</f>
        <v>0</v>
      </c>
      <c r="O447" t="str">
        <f>IF(ISNUMBER(SEARCH(Table4[[#This Row],[MMC Method]],Table4[[#This Row],[Compatible Systems]])),"YES","NO")</f>
        <v>YES</v>
      </c>
      <c r="P447" t="e">
        <f>GETPIVOTDATA("Sum of A1-A3 Fossil kg CO2e/m^2 wall area",'COMPONENT PIVOT REF'!$I$3,"System Name",Table4[[#This Row],[Ext Finish]])</f>
        <v>#REF!</v>
      </c>
      <c r="Q447" t="e">
        <f>GETPIVOTDATA("Sum of  R value (m^2-K/W)",'COMPONENT PIVOT REF'!$I$3,"System Name",Table4[[#This Row],[Ext Finish]])</f>
        <v>#REF!</v>
      </c>
      <c r="R447" t="e">
        <f>GETPIVOTDATA("Sum of Total Mass per m^2 (kg)",'COMPONENT PIVOT REF'!$I$3,"System Name",Table4[[#This Row],[Ext Finish]])</f>
        <v>#REF!</v>
      </c>
      <c r="T447">
        <f>_xlfn.XLOOKUP(Table4[[#This Row],[Int Finish]],Master_Table6[System Name],Master_Table6[System Name (Short)],FALSE)</f>
        <v>0</v>
      </c>
      <c r="U447" t="e">
        <f>GETPIVOTDATA("Sum of A1-A3 Fossil kg CO2e/m^2 wall area",'COMPONENT PIVOT REF'!$P$3,"System Name",Table4[[#This Row],[Int Finish]])</f>
        <v>#REF!</v>
      </c>
      <c r="V447" t="e">
        <f>GETPIVOTDATA("Sum of  R value (m^2-K/W)",'COMPONENT PIVOT REF'!$P$3,"System Name",Table4[[#This Row],[Int Finish]])</f>
        <v>#REF!</v>
      </c>
      <c r="W447" t="e">
        <f>GETPIVOTDATA("Sum of Total Mass per m^2 (kg)",'COMPONENT PIVOT REF'!$P$3,"System Name",Table4[[#This Row],[Int Finish]])</f>
        <v>#REF!</v>
      </c>
      <c r="X447" t="e">
        <f>Table4[[#This Row],[Ext Finish GWP]]+Table4[[#This Row],[Base GWP]]+Table4[[#This Row],[Int Finish GWP]]</f>
        <v>#REF!</v>
      </c>
      <c r="Y447" t="e">
        <f>Table4[[#This Row],[Ext Finish R Value]]+Table4[[#This Row],[Base R Value]]+Table4[[#This Row],[Int Finish R Value]]</f>
        <v>#REF!</v>
      </c>
      <c r="Z447" t="e">
        <f>1/Table4[[#This Row],[Total R value]]</f>
        <v>#REF!</v>
      </c>
      <c r="AA447" t="e">
        <f>Table4[[#This Row],[Int Finish Mass]]+Table4[[#This Row],[Ext Finish Mass]]+Table4[[#This Row],[Base Mass]]</f>
        <v>#REF!</v>
      </c>
    </row>
    <row r="448" spans="3:27" x14ac:dyDescent="0.35">
      <c r="C448" t="str">
        <f>_xlfn.CONCAT(Table4[[#This Row],[System Name (Short)]],"_",Table4[[#This Row],[Ext Finish Name (Short)]],"_",Table4[[#This Row],[Int Finish Name (Short)]])</f>
        <v>0_0_0</v>
      </c>
      <c r="E448">
        <f>_xlfn.XLOOKUP(Table4[[#This Row],[Base System]],BASE_SYSTEM_TABLE[System Name],BASE_SYSTEM_TABLE[System Name (Short)],FALSE)</f>
        <v>0</v>
      </c>
      <c r="F448">
        <f>_xlfn.XLOOKUP(Table4[[#This Row],[Base System]],BASE_SYSTEM_TABLE[System Name],BASE_SYSTEM_TABLE[System Type],FALSE)</f>
        <v>0</v>
      </c>
      <c r="G448">
        <f>_xlfn.XLOOKUP(Table4[[#This Row],[Base System]],BASE_SYSTEM_TABLE[System Name],BASE_SYSTEM_TABLE[System Subtype],FALSE)</f>
        <v>0</v>
      </c>
      <c r="H448">
        <f>_xlfn.XLOOKUP(Table4[[#This Row],[Base System]],BASE_SYSTEM_TABLE[System Name],BASE_SYSTEM_TABLE[Construction Type (Framed or Planar)],FALSE)</f>
        <v>0</v>
      </c>
      <c r="I448" t="e">
        <f>GETPIVOTDATA("Sum of A1-A3 Fossil kg CO2e/m^2 wall area",'COMPONENT PIVOT REF'!$A$3,"System Name",Table4[[#This Row],[Base System]])</f>
        <v>#REF!</v>
      </c>
      <c r="J448" t="e">
        <f>GETPIVOTDATA("Sum of  R value (m^2-K/W)",'COMPONENT PIVOT REF'!$A$3,"System Name",Table4[[#This Row],[Base System]])</f>
        <v>#REF!</v>
      </c>
      <c r="K448" t="e">
        <f>GETPIVOTDATA("Sum of Total Mass per m^2 (kg)",'COMPONENT PIVOT REF'!$A$3,"System Name",Table4[[#This Row],[Base System]])</f>
        <v>#REF!</v>
      </c>
      <c r="M448">
        <f>_xlfn.XLOOKUP(Table4[[#This Row],[Ext Finish]],Master_Table4[System Name],Master_Table4[System Name (Short)],FALSE)</f>
        <v>0</v>
      </c>
      <c r="N448">
        <f>_xlfn.XLOOKUP(Table4[[#This Row],[Ext Finish]],Master_Table4[System Name],Master_Table4[Compatible Systems],FALSE)</f>
        <v>0</v>
      </c>
      <c r="O448" t="str">
        <f>IF(ISNUMBER(SEARCH(Table4[[#This Row],[MMC Method]],Table4[[#This Row],[Compatible Systems]])),"YES","NO")</f>
        <v>YES</v>
      </c>
      <c r="P448" t="e">
        <f>GETPIVOTDATA("Sum of A1-A3 Fossil kg CO2e/m^2 wall area",'COMPONENT PIVOT REF'!$I$3,"System Name",Table4[[#This Row],[Ext Finish]])</f>
        <v>#REF!</v>
      </c>
      <c r="Q448" t="e">
        <f>GETPIVOTDATA("Sum of  R value (m^2-K/W)",'COMPONENT PIVOT REF'!$I$3,"System Name",Table4[[#This Row],[Ext Finish]])</f>
        <v>#REF!</v>
      </c>
      <c r="R448" t="e">
        <f>GETPIVOTDATA("Sum of Total Mass per m^2 (kg)",'COMPONENT PIVOT REF'!$I$3,"System Name",Table4[[#This Row],[Ext Finish]])</f>
        <v>#REF!</v>
      </c>
      <c r="T448">
        <f>_xlfn.XLOOKUP(Table4[[#This Row],[Int Finish]],Master_Table6[System Name],Master_Table6[System Name (Short)],FALSE)</f>
        <v>0</v>
      </c>
      <c r="U448" t="e">
        <f>GETPIVOTDATA("Sum of A1-A3 Fossil kg CO2e/m^2 wall area",'COMPONENT PIVOT REF'!$P$3,"System Name",Table4[[#This Row],[Int Finish]])</f>
        <v>#REF!</v>
      </c>
      <c r="V448" t="e">
        <f>GETPIVOTDATA("Sum of  R value (m^2-K/W)",'COMPONENT PIVOT REF'!$P$3,"System Name",Table4[[#This Row],[Int Finish]])</f>
        <v>#REF!</v>
      </c>
      <c r="W448" t="e">
        <f>GETPIVOTDATA("Sum of Total Mass per m^2 (kg)",'COMPONENT PIVOT REF'!$P$3,"System Name",Table4[[#This Row],[Int Finish]])</f>
        <v>#REF!</v>
      </c>
      <c r="X448" t="e">
        <f>Table4[[#This Row],[Ext Finish GWP]]+Table4[[#This Row],[Base GWP]]+Table4[[#This Row],[Int Finish GWP]]</f>
        <v>#REF!</v>
      </c>
      <c r="Y448" t="e">
        <f>Table4[[#This Row],[Ext Finish R Value]]+Table4[[#This Row],[Base R Value]]+Table4[[#This Row],[Int Finish R Value]]</f>
        <v>#REF!</v>
      </c>
      <c r="Z448" t="e">
        <f>1/Table4[[#This Row],[Total R value]]</f>
        <v>#REF!</v>
      </c>
      <c r="AA448" t="e">
        <f>Table4[[#This Row],[Int Finish Mass]]+Table4[[#This Row],[Ext Finish Mass]]+Table4[[#This Row],[Base Mass]]</f>
        <v>#REF!</v>
      </c>
    </row>
    <row r="449" spans="3:27" x14ac:dyDescent="0.35">
      <c r="C449" t="str">
        <f>_xlfn.CONCAT(Table4[[#This Row],[System Name (Short)]],"_",Table4[[#This Row],[Ext Finish Name (Short)]],"_",Table4[[#This Row],[Int Finish Name (Short)]])</f>
        <v>0_0_0</v>
      </c>
      <c r="E449">
        <f>_xlfn.XLOOKUP(Table4[[#This Row],[Base System]],BASE_SYSTEM_TABLE[System Name],BASE_SYSTEM_TABLE[System Name (Short)],FALSE)</f>
        <v>0</v>
      </c>
      <c r="F449">
        <f>_xlfn.XLOOKUP(Table4[[#This Row],[Base System]],BASE_SYSTEM_TABLE[System Name],BASE_SYSTEM_TABLE[System Type],FALSE)</f>
        <v>0</v>
      </c>
      <c r="G449">
        <f>_xlfn.XLOOKUP(Table4[[#This Row],[Base System]],BASE_SYSTEM_TABLE[System Name],BASE_SYSTEM_TABLE[System Subtype],FALSE)</f>
        <v>0</v>
      </c>
      <c r="H449">
        <f>_xlfn.XLOOKUP(Table4[[#This Row],[Base System]],BASE_SYSTEM_TABLE[System Name],BASE_SYSTEM_TABLE[Construction Type (Framed or Planar)],FALSE)</f>
        <v>0</v>
      </c>
      <c r="I449" t="e">
        <f>GETPIVOTDATA("Sum of A1-A3 Fossil kg CO2e/m^2 wall area",'COMPONENT PIVOT REF'!$A$3,"System Name",Table4[[#This Row],[Base System]])</f>
        <v>#REF!</v>
      </c>
      <c r="J449" t="e">
        <f>GETPIVOTDATA("Sum of  R value (m^2-K/W)",'COMPONENT PIVOT REF'!$A$3,"System Name",Table4[[#This Row],[Base System]])</f>
        <v>#REF!</v>
      </c>
      <c r="K449" t="e">
        <f>GETPIVOTDATA("Sum of Total Mass per m^2 (kg)",'COMPONENT PIVOT REF'!$A$3,"System Name",Table4[[#This Row],[Base System]])</f>
        <v>#REF!</v>
      </c>
      <c r="M449">
        <f>_xlfn.XLOOKUP(Table4[[#This Row],[Ext Finish]],Master_Table4[System Name],Master_Table4[System Name (Short)],FALSE)</f>
        <v>0</v>
      </c>
      <c r="N449">
        <f>_xlfn.XLOOKUP(Table4[[#This Row],[Ext Finish]],Master_Table4[System Name],Master_Table4[Compatible Systems],FALSE)</f>
        <v>0</v>
      </c>
      <c r="O449" t="str">
        <f>IF(ISNUMBER(SEARCH(Table4[[#This Row],[MMC Method]],Table4[[#This Row],[Compatible Systems]])),"YES","NO")</f>
        <v>YES</v>
      </c>
      <c r="P449" t="e">
        <f>GETPIVOTDATA("Sum of A1-A3 Fossil kg CO2e/m^2 wall area",'COMPONENT PIVOT REF'!$I$3,"System Name",Table4[[#This Row],[Ext Finish]])</f>
        <v>#REF!</v>
      </c>
      <c r="Q449" t="e">
        <f>GETPIVOTDATA("Sum of  R value (m^2-K/W)",'COMPONENT PIVOT REF'!$I$3,"System Name",Table4[[#This Row],[Ext Finish]])</f>
        <v>#REF!</v>
      </c>
      <c r="R449" t="e">
        <f>GETPIVOTDATA("Sum of Total Mass per m^2 (kg)",'COMPONENT PIVOT REF'!$I$3,"System Name",Table4[[#This Row],[Ext Finish]])</f>
        <v>#REF!</v>
      </c>
      <c r="T449">
        <f>_xlfn.XLOOKUP(Table4[[#This Row],[Int Finish]],Master_Table6[System Name],Master_Table6[System Name (Short)],FALSE)</f>
        <v>0</v>
      </c>
      <c r="U449" t="e">
        <f>GETPIVOTDATA("Sum of A1-A3 Fossil kg CO2e/m^2 wall area",'COMPONENT PIVOT REF'!$P$3,"System Name",Table4[[#This Row],[Int Finish]])</f>
        <v>#REF!</v>
      </c>
      <c r="V449" t="e">
        <f>GETPIVOTDATA("Sum of  R value (m^2-K/W)",'COMPONENT PIVOT REF'!$P$3,"System Name",Table4[[#This Row],[Int Finish]])</f>
        <v>#REF!</v>
      </c>
      <c r="W449" t="e">
        <f>GETPIVOTDATA("Sum of Total Mass per m^2 (kg)",'COMPONENT PIVOT REF'!$P$3,"System Name",Table4[[#This Row],[Int Finish]])</f>
        <v>#REF!</v>
      </c>
      <c r="X449" t="e">
        <f>Table4[[#This Row],[Ext Finish GWP]]+Table4[[#This Row],[Base GWP]]+Table4[[#This Row],[Int Finish GWP]]</f>
        <v>#REF!</v>
      </c>
      <c r="Y449" t="e">
        <f>Table4[[#This Row],[Ext Finish R Value]]+Table4[[#This Row],[Base R Value]]+Table4[[#This Row],[Int Finish R Value]]</f>
        <v>#REF!</v>
      </c>
      <c r="Z449" t="e">
        <f>1/Table4[[#This Row],[Total R value]]</f>
        <v>#REF!</v>
      </c>
      <c r="AA449" t="e">
        <f>Table4[[#This Row],[Int Finish Mass]]+Table4[[#This Row],[Ext Finish Mass]]+Table4[[#This Row],[Base Mass]]</f>
        <v>#REF!</v>
      </c>
    </row>
    <row r="450" spans="3:27" x14ac:dyDescent="0.35">
      <c r="C450" t="str">
        <f>_xlfn.CONCAT(Table4[[#This Row],[System Name (Short)]],"_",Table4[[#This Row],[Ext Finish Name (Short)]],"_",Table4[[#This Row],[Int Finish Name (Short)]])</f>
        <v>0_0_0</v>
      </c>
      <c r="E450">
        <f>_xlfn.XLOOKUP(Table4[[#This Row],[Base System]],BASE_SYSTEM_TABLE[System Name],BASE_SYSTEM_TABLE[System Name (Short)],FALSE)</f>
        <v>0</v>
      </c>
      <c r="F450">
        <f>_xlfn.XLOOKUP(Table4[[#This Row],[Base System]],BASE_SYSTEM_TABLE[System Name],BASE_SYSTEM_TABLE[System Type],FALSE)</f>
        <v>0</v>
      </c>
      <c r="G450">
        <f>_xlfn.XLOOKUP(Table4[[#This Row],[Base System]],BASE_SYSTEM_TABLE[System Name],BASE_SYSTEM_TABLE[System Subtype],FALSE)</f>
        <v>0</v>
      </c>
      <c r="H450">
        <f>_xlfn.XLOOKUP(Table4[[#This Row],[Base System]],BASE_SYSTEM_TABLE[System Name],BASE_SYSTEM_TABLE[Construction Type (Framed or Planar)],FALSE)</f>
        <v>0</v>
      </c>
      <c r="I450" t="e">
        <f>GETPIVOTDATA("Sum of A1-A3 Fossil kg CO2e/m^2 wall area",'COMPONENT PIVOT REF'!$A$3,"System Name",Table4[[#This Row],[Base System]])</f>
        <v>#REF!</v>
      </c>
      <c r="J450" t="e">
        <f>GETPIVOTDATA("Sum of  R value (m^2-K/W)",'COMPONENT PIVOT REF'!$A$3,"System Name",Table4[[#This Row],[Base System]])</f>
        <v>#REF!</v>
      </c>
      <c r="K450" t="e">
        <f>GETPIVOTDATA("Sum of Total Mass per m^2 (kg)",'COMPONENT PIVOT REF'!$A$3,"System Name",Table4[[#This Row],[Base System]])</f>
        <v>#REF!</v>
      </c>
      <c r="M450">
        <f>_xlfn.XLOOKUP(Table4[[#This Row],[Ext Finish]],Master_Table4[System Name],Master_Table4[System Name (Short)],FALSE)</f>
        <v>0</v>
      </c>
      <c r="N450">
        <f>_xlfn.XLOOKUP(Table4[[#This Row],[Ext Finish]],Master_Table4[System Name],Master_Table4[Compatible Systems],FALSE)</f>
        <v>0</v>
      </c>
      <c r="O450" t="str">
        <f>IF(ISNUMBER(SEARCH(Table4[[#This Row],[MMC Method]],Table4[[#This Row],[Compatible Systems]])),"YES","NO")</f>
        <v>YES</v>
      </c>
      <c r="P450" t="e">
        <f>GETPIVOTDATA("Sum of A1-A3 Fossil kg CO2e/m^2 wall area",'COMPONENT PIVOT REF'!$I$3,"System Name",Table4[[#This Row],[Ext Finish]])</f>
        <v>#REF!</v>
      </c>
      <c r="Q450" t="e">
        <f>GETPIVOTDATA("Sum of  R value (m^2-K/W)",'COMPONENT PIVOT REF'!$I$3,"System Name",Table4[[#This Row],[Ext Finish]])</f>
        <v>#REF!</v>
      </c>
      <c r="R450" t="e">
        <f>GETPIVOTDATA("Sum of Total Mass per m^2 (kg)",'COMPONENT PIVOT REF'!$I$3,"System Name",Table4[[#This Row],[Ext Finish]])</f>
        <v>#REF!</v>
      </c>
      <c r="T450">
        <f>_xlfn.XLOOKUP(Table4[[#This Row],[Int Finish]],Master_Table6[System Name],Master_Table6[System Name (Short)],FALSE)</f>
        <v>0</v>
      </c>
      <c r="U450" t="e">
        <f>GETPIVOTDATA("Sum of A1-A3 Fossil kg CO2e/m^2 wall area",'COMPONENT PIVOT REF'!$P$3,"System Name",Table4[[#This Row],[Int Finish]])</f>
        <v>#REF!</v>
      </c>
      <c r="V450" t="e">
        <f>GETPIVOTDATA("Sum of  R value (m^2-K/W)",'COMPONENT PIVOT REF'!$P$3,"System Name",Table4[[#This Row],[Int Finish]])</f>
        <v>#REF!</v>
      </c>
      <c r="W450" t="e">
        <f>GETPIVOTDATA("Sum of Total Mass per m^2 (kg)",'COMPONENT PIVOT REF'!$P$3,"System Name",Table4[[#This Row],[Int Finish]])</f>
        <v>#REF!</v>
      </c>
      <c r="X450" t="e">
        <f>Table4[[#This Row],[Ext Finish GWP]]+Table4[[#This Row],[Base GWP]]+Table4[[#This Row],[Int Finish GWP]]</f>
        <v>#REF!</v>
      </c>
      <c r="Y450" t="e">
        <f>Table4[[#This Row],[Ext Finish R Value]]+Table4[[#This Row],[Base R Value]]+Table4[[#This Row],[Int Finish R Value]]</f>
        <v>#REF!</v>
      </c>
      <c r="Z450" t="e">
        <f>1/Table4[[#This Row],[Total R value]]</f>
        <v>#REF!</v>
      </c>
      <c r="AA450" t="e">
        <f>Table4[[#This Row],[Int Finish Mass]]+Table4[[#This Row],[Ext Finish Mass]]+Table4[[#This Row],[Base Mass]]</f>
        <v>#REF!</v>
      </c>
    </row>
    <row r="451" spans="3:27" x14ac:dyDescent="0.35">
      <c r="C451" t="str">
        <f>_xlfn.CONCAT(Table4[[#This Row],[System Name (Short)]],"_",Table4[[#This Row],[Ext Finish Name (Short)]],"_",Table4[[#This Row],[Int Finish Name (Short)]])</f>
        <v>0_0_0</v>
      </c>
      <c r="E451">
        <f>_xlfn.XLOOKUP(Table4[[#This Row],[Base System]],BASE_SYSTEM_TABLE[System Name],BASE_SYSTEM_TABLE[System Name (Short)],FALSE)</f>
        <v>0</v>
      </c>
      <c r="F451">
        <f>_xlfn.XLOOKUP(Table4[[#This Row],[Base System]],BASE_SYSTEM_TABLE[System Name],BASE_SYSTEM_TABLE[System Type],FALSE)</f>
        <v>0</v>
      </c>
      <c r="G451">
        <f>_xlfn.XLOOKUP(Table4[[#This Row],[Base System]],BASE_SYSTEM_TABLE[System Name],BASE_SYSTEM_TABLE[System Subtype],FALSE)</f>
        <v>0</v>
      </c>
      <c r="H451">
        <f>_xlfn.XLOOKUP(Table4[[#This Row],[Base System]],BASE_SYSTEM_TABLE[System Name],BASE_SYSTEM_TABLE[Construction Type (Framed or Planar)],FALSE)</f>
        <v>0</v>
      </c>
      <c r="I451" t="e">
        <f>GETPIVOTDATA("Sum of A1-A3 Fossil kg CO2e/m^2 wall area",'COMPONENT PIVOT REF'!$A$3,"System Name",Table4[[#This Row],[Base System]])</f>
        <v>#REF!</v>
      </c>
      <c r="J451" t="e">
        <f>GETPIVOTDATA("Sum of  R value (m^2-K/W)",'COMPONENT PIVOT REF'!$A$3,"System Name",Table4[[#This Row],[Base System]])</f>
        <v>#REF!</v>
      </c>
      <c r="K451" t="e">
        <f>GETPIVOTDATA("Sum of Total Mass per m^2 (kg)",'COMPONENT PIVOT REF'!$A$3,"System Name",Table4[[#This Row],[Base System]])</f>
        <v>#REF!</v>
      </c>
      <c r="M451">
        <f>_xlfn.XLOOKUP(Table4[[#This Row],[Ext Finish]],Master_Table4[System Name],Master_Table4[System Name (Short)],FALSE)</f>
        <v>0</v>
      </c>
      <c r="N451">
        <f>_xlfn.XLOOKUP(Table4[[#This Row],[Ext Finish]],Master_Table4[System Name],Master_Table4[Compatible Systems],FALSE)</f>
        <v>0</v>
      </c>
      <c r="O451" t="str">
        <f>IF(ISNUMBER(SEARCH(Table4[[#This Row],[MMC Method]],Table4[[#This Row],[Compatible Systems]])),"YES","NO")</f>
        <v>YES</v>
      </c>
      <c r="P451" t="e">
        <f>GETPIVOTDATA("Sum of A1-A3 Fossil kg CO2e/m^2 wall area",'COMPONENT PIVOT REF'!$I$3,"System Name",Table4[[#This Row],[Ext Finish]])</f>
        <v>#REF!</v>
      </c>
      <c r="Q451" t="e">
        <f>GETPIVOTDATA("Sum of  R value (m^2-K/W)",'COMPONENT PIVOT REF'!$I$3,"System Name",Table4[[#This Row],[Ext Finish]])</f>
        <v>#REF!</v>
      </c>
      <c r="R451" t="e">
        <f>GETPIVOTDATA("Sum of Total Mass per m^2 (kg)",'COMPONENT PIVOT REF'!$I$3,"System Name",Table4[[#This Row],[Ext Finish]])</f>
        <v>#REF!</v>
      </c>
      <c r="T451">
        <f>_xlfn.XLOOKUP(Table4[[#This Row],[Int Finish]],Master_Table6[System Name],Master_Table6[System Name (Short)],FALSE)</f>
        <v>0</v>
      </c>
      <c r="U451" t="e">
        <f>GETPIVOTDATA("Sum of A1-A3 Fossil kg CO2e/m^2 wall area",'COMPONENT PIVOT REF'!$P$3,"System Name",Table4[[#This Row],[Int Finish]])</f>
        <v>#REF!</v>
      </c>
      <c r="V451" t="e">
        <f>GETPIVOTDATA("Sum of  R value (m^2-K/W)",'COMPONENT PIVOT REF'!$P$3,"System Name",Table4[[#This Row],[Int Finish]])</f>
        <v>#REF!</v>
      </c>
      <c r="W451" t="e">
        <f>GETPIVOTDATA("Sum of Total Mass per m^2 (kg)",'COMPONENT PIVOT REF'!$P$3,"System Name",Table4[[#This Row],[Int Finish]])</f>
        <v>#REF!</v>
      </c>
      <c r="X451" t="e">
        <f>Table4[[#This Row],[Ext Finish GWP]]+Table4[[#This Row],[Base GWP]]+Table4[[#This Row],[Int Finish GWP]]</f>
        <v>#REF!</v>
      </c>
      <c r="Y451" t="e">
        <f>Table4[[#This Row],[Ext Finish R Value]]+Table4[[#This Row],[Base R Value]]+Table4[[#This Row],[Int Finish R Value]]</f>
        <v>#REF!</v>
      </c>
      <c r="Z451" t="e">
        <f>1/Table4[[#This Row],[Total R value]]</f>
        <v>#REF!</v>
      </c>
      <c r="AA451" t="e">
        <f>Table4[[#This Row],[Int Finish Mass]]+Table4[[#This Row],[Ext Finish Mass]]+Table4[[#This Row],[Base Mass]]</f>
        <v>#REF!</v>
      </c>
    </row>
    <row r="452" spans="3:27" x14ac:dyDescent="0.35">
      <c r="C452" t="str">
        <f>_xlfn.CONCAT(Table4[[#This Row],[System Name (Short)]],"_",Table4[[#This Row],[Ext Finish Name (Short)]],"_",Table4[[#This Row],[Int Finish Name (Short)]])</f>
        <v>0_0_0</v>
      </c>
      <c r="E452">
        <f>_xlfn.XLOOKUP(Table4[[#This Row],[Base System]],BASE_SYSTEM_TABLE[System Name],BASE_SYSTEM_TABLE[System Name (Short)],FALSE)</f>
        <v>0</v>
      </c>
      <c r="F452">
        <f>_xlfn.XLOOKUP(Table4[[#This Row],[Base System]],BASE_SYSTEM_TABLE[System Name],BASE_SYSTEM_TABLE[System Type],FALSE)</f>
        <v>0</v>
      </c>
      <c r="G452">
        <f>_xlfn.XLOOKUP(Table4[[#This Row],[Base System]],BASE_SYSTEM_TABLE[System Name],BASE_SYSTEM_TABLE[System Subtype],FALSE)</f>
        <v>0</v>
      </c>
      <c r="H452">
        <f>_xlfn.XLOOKUP(Table4[[#This Row],[Base System]],BASE_SYSTEM_TABLE[System Name],BASE_SYSTEM_TABLE[Construction Type (Framed or Planar)],FALSE)</f>
        <v>0</v>
      </c>
      <c r="I452" t="e">
        <f>GETPIVOTDATA("Sum of A1-A3 Fossil kg CO2e/m^2 wall area",'COMPONENT PIVOT REF'!$A$3,"System Name",Table4[[#This Row],[Base System]])</f>
        <v>#REF!</v>
      </c>
      <c r="J452" t="e">
        <f>GETPIVOTDATA("Sum of  R value (m^2-K/W)",'COMPONENT PIVOT REF'!$A$3,"System Name",Table4[[#This Row],[Base System]])</f>
        <v>#REF!</v>
      </c>
      <c r="K452" t="e">
        <f>GETPIVOTDATA("Sum of Total Mass per m^2 (kg)",'COMPONENT PIVOT REF'!$A$3,"System Name",Table4[[#This Row],[Base System]])</f>
        <v>#REF!</v>
      </c>
      <c r="M452">
        <f>_xlfn.XLOOKUP(Table4[[#This Row],[Ext Finish]],Master_Table4[System Name],Master_Table4[System Name (Short)],FALSE)</f>
        <v>0</v>
      </c>
      <c r="N452">
        <f>_xlfn.XLOOKUP(Table4[[#This Row],[Ext Finish]],Master_Table4[System Name],Master_Table4[Compatible Systems],FALSE)</f>
        <v>0</v>
      </c>
      <c r="O452" t="str">
        <f>IF(ISNUMBER(SEARCH(Table4[[#This Row],[MMC Method]],Table4[[#This Row],[Compatible Systems]])),"YES","NO")</f>
        <v>YES</v>
      </c>
      <c r="P452" t="e">
        <f>GETPIVOTDATA("Sum of A1-A3 Fossil kg CO2e/m^2 wall area",'COMPONENT PIVOT REF'!$I$3,"System Name",Table4[[#This Row],[Ext Finish]])</f>
        <v>#REF!</v>
      </c>
      <c r="Q452" t="e">
        <f>GETPIVOTDATA("Sum of  R value (m^2-K/W)",'COMPONENT PIVOT REF'!$I$3,"System Name",Table4[[#This Row],[Ext Finish]])</f>
        <v>#REF!</v>
      </c>
      <c r="R452" t="e">
        <f>GETPIVOTDATA("Sum of Total Mass per m^2 (kg)",'COMPONENT PIVOT REF'!$I$3,"System Name",Table4[[#This Row],[Ext Finish]])</f>
        <v>#REF!</v>
      </c>
      <c r="T452">
        <f>_xlfn.XLOOKUP(Table4[[#This Row],[Int Finish]],Master_Table6[System Name],Master_Table6[System Name (Short)],FALSE)</f>
        <v>0</v>
      </c>
      <c r="U452" t="e">
        <f>GETPIVOTDATA("Sum of A1-A3 Fossil kg CO2e/m^2 wall area",'COMPONENT PIVOT REF'!$P$3,"System Name",Table4[[#This Row],[Int Finish]])</f>
        <v>#REF!</v>
      </c>
      <c r="V452" t="e">
        <f>GETPIVOTDATA("Sum of  R value (m^2-K/W)",'COMPONENT PIVOT REF'!$P$3,"System Name",Table4[[#This Row],[Int Finish]])</f>
        <v>#REF!</v>
      </c>
      <c r="W452" t="e">
        <f>GETPIVOTDATA("Sum of Total Mass per m^2 (kg)",'COMPONENT PIVOT REF'!$P$3,"System Name",Table4[[#This Row],[Int Finish]])</f>
        <v>#REF!</v>
      </c>
      <c r="X452" t="e">
        <f>Table4[[#This Row],[Ext Finish GWP]]+Table4[[#This Row],[Base GWP]]+Table4[[#This Row],[Int Finish GWP]]</f>
        <v>#REF!</v>
      </c>
      <c r="Y452" t="e">
        <f>Table4[[#This Row],[Ext Finish R Value]]+Table4[[#This Row],[Base R Value]]+Table4[[#This Row],[Int Finish R Value]]</f>
        <v>#REF!</v>
      </c>
      <c r="Z452" t="e">
        <f>1/Table4[[#This Row],[Total R value]]</f>
        <v>#REF!</v>
      </c>
      <c r="AA452" t="e">
        <f>Table4[[#This Row],[Int Finish Mass]]+Table4[[#This Row],[Ext Finish Mass]]+Table4[[#This Row],[Base Mass]]</f>
        <v>#REF!</v>
      </c>
    </row>
    <row r="453" spans="3:27" x14ac:dyDescent="0.35">
      <c r="C453" t="str">
        <f>_xlfn.CONCAT(Table4[[#This Row],[System Name (Short)]],"_",Table4[[#This Row],[Ext Finish Name (Short)]],"_",Table4[[#This Row],[Int Finish Name (Short)]])</f>
        <v>0_0_0</v>
      </c>
      <c r="E453">
        <f>_xlfn.XLOOKUP(Table4[[#This Row],[Base System]],BASE_SYSTEM_TABLE[System Name],BASE_SYSTEM_TABLE[System Name (Short)],FALSE)</f>
        <v>0</v>
      </c>
      <c r="F453">
        <f>_xlfn.XLOOKUP(Table4[[#This Row],[Base System]],BASE_SYSTEM_TABLE[System Name],BASE_SYSTEM_TABLE[System Type],FALSE)</f>
        <v>0</v>
      </c>
      <c r="G453">
        <f>_xlfn.XLOOKUP(Table4[[#This Row],[Base System]],BASE_SYSTEM_TABLE[System Name],BASE_SYSTEM_TABLE[System Subtype],FALSE)</f>
        <v>0</v>
      </c>
      <c r="H453">
        <f>_xlfn.XLOOKUP(Table4[[#This Row],[Base System]],BASE_SYSTEM_TABLE[System Name],BASE_SYSTEM_TABLE[Construction Type (Framed or Planar)],FALSE)</f>
        <v>0</v>
      </c>
      <c r="I453" t="e">
        <f>GETPIVOTDATA("Sum of A1-A3 Fossil kg CO2e/m^2 wall area",'COMPONENT PIVOT REF'!$A$3,"System Name",Table4[[#This Row],[Base System]])</f>
        <v>#REF!</v>
      </c>
      <c r="J453" t="e">
        <f>GETPIVOTDATA("Sum of  R value (m^2-K/W)",'COMPONENT PIVOT REF'!$A$3,"System Name",Table4[[#This Row],[Base System]])</f>
        <v>#REF!</v>
      </c>
      <c r="K453" t="e">
        <f>GETPIVOTDATA("Sum of Total Mass per m^2 (kg)",'COMPONENT PIVOT REF'!$A$3,"System Name",Table4[[#This Row],[Base System]])</f>
        <v>#REF!</v>
      </c>
      <c r="M453">
        <f>_xlfn.XLOOKUP(Table4[[#This Row],[Ext Finish]],Master_Table4[System Name],Master_Table4[System Name (Short)],FALSE)</f>
        <v>0</v>
      </c>
      <c r="N453">
        <f>_xlfn.XLOOKUP(Table4[[#This Row],[Ext Finish]],Master_Table4[System Name],Master_Table4[Compatible Systems],FALSE)</f>
        <v>0</v>
      </c>
      <c r="O453" t="str">
        <f>IF(ISNUMBER(SEARCH(Table4[[#This Row],[MMC Method]],Table4[[#This Row],[Compatible Systems]])),"YES","NO")</f>
        <v>YES</v>
      </c>
      <c r="P453" t="e">
        <f>GETPIVOTDATA("Sum of A1-A3 Fossil kg CO2e/m^2 wall area",'COMPONENT PIVOT REF'!$I$3,"System Name",Table4[[#This Row],[Ext Finish]])</f>
        <v>#REF!</v>
      </c>
      <c r="Q453" t="e">
        <f>GETPIVOTDATA("Sum of  R value (m^2-K/W)",'COMPONENT PIVOT REF'!$I$3,"System Name",Table4[[#This Row],[Ext Finish]])</f>
        <v>#REF!</v>
      </c>
      <c r="R453" t="e">
        <f>GETPIVOTDATA("Sum of Total Mass per m^2 (kg)",'COMPONENT PIVOT REF'!$I$3,"System Name",Table4[[#This Row],[Ext Finish]])</f>
        <v>#REF!</v>
      </c>
      <c r="T453">
        <f>_xlfn.XLOOKUP(Table4[[#This Row],[Int Finish]],Master_Table6[System Name],Master_Table6[System Name (Short)],FALSE)</f>
        <v>0</v>
      </c>
      <c r="U453" t="e">
        <f>GETPIVOTDATA("Sum of A1-A3 Fossil kg CO2e/m^2 wall area",'COMPONENT PIVOT REF'!$P$3,"System Name",Table4[[#This Row],[Int Finish]])</f>
        <v>#REF!</v>
      </c>
      <c r="V453" t="e">
        <f>GETPIVOTDATA("Sum of  R value (m^2-K/W)",'COMPONENT PIVOT REF'!$P$3,"System Name",Table4[[#This Row],[Int Finish]])</f>
        <v>#REF!</v>
      </c>
      <c r="W453" t="e">
        <f>GETPIVOTDATA("Sum of Total Mass per m^2 (kg)",'COMPONENT PIVOT REF'!$P$3,"System Name",Table4[[#This Row],[Int Finish]])</f>
        <v>#REF!</v>
      </c>
      <c r="X453" t="e">
        <f>Table4[[#This Row],[Ext Finish GWP]]+Table4[[#This Row],[Base GWP]]+Table4[[#This Row],[Int Finish GWP]]</f>
        <v>#REF!</v>
      </c>
      <c r="Y453" t="e">
        <f>Table4[[#This Row],[Ext Finish R Value]]+Table4[[#This Row],[Base R Value]]+Table4[[#This Row],[Int Finish R Value]]</f>
        <v>#REF!</v>
      </c>
      <c r="Z453" t="e">
        <f>1/Table4[[#This Row],[Total R value]]</f>
        <v>#REF!</v>
      </c>
      <c r="AA453" t="e">
        <f>Table4[[#This Row],[Int Finish Mass]]+Table4[[#This Row],[Ext Finish Mass]]+Table4[[#This Row],[Base Mass]]</f>
        <v>#REF!</v>
      </c>
    </row>
    <row r="454" spans="3:27" x14ac:dyDescent="0.35">
      <c r="C454" t="str">
        <f>_xlfn.CONCAT(Table4[[#This Row],[System Name (Short)]],"_",Table4[[#This Row],[Ext Finish Name (Short)]],"_",Table4[[#This Row],[Int Finish Name (Short)]])</f>
        <v>0_0_0</v>
      </c>
      <c r="E454">
        <f>_xlfn.XLOOKUP(Table4[[#This Row],[Base System]],BASE_SYSTEM_TABLE[System Name],BASE_SYSTEM_TABLE[System Name (Short)],FALSE)</f>
        <v>0</v>
      </c>
      <c r="F454">
        <f>_xlfn.XLOOKUP(Table4[[#This Row],[Base System]],BASE_SYSTEM_TABLE[System Name],BASE_SYSTEM_TABLE[System Type],FALSE)</f>
        <v>0</v>
      </c>
      <c r="G454">
        <f>_xlfn.XLOOKUP(Table4[[#This Row],[Base System]],BASE_SYSTEM_TABLE[System Name],BASE_SYSTEM_TABLE[System Subtype],FALSE)</f>
        <v>0</v>
      </c>
      <c r="H454">
        <f>_xlfn.XLOOKUP(Table4[[#This Row],[Base System]],BASE_SYSTEM_TABLE[System Name],BASE_SYSTEM_TABLE[Construction Type (Framed or Planar)],FALSE)</f>
        <v>0</v>
      </c>
      <c r="I454" t="e">
        <f>GETPIVOTDATA("Sum of A1-A3 Fossil kg CO2e/m^2 wall area",'COMPONENT PIVOT REF'!$A$3,"System Name",Table4[[#This Row],[Base System]])</f>
        <v>#REF!</v>
      </c>
      <c r="J454" t="e">
        <f>GETPIVOTDATA("Sum of  R value (m^2-K/W)",'COMPONENT PIVOT REF'!$A$3,"System Name",Table4[[#This Row],[Base System]])</f>
        <v>#REF!</v>
      </c>
      <c r="K454" t="e">
        <f>GETPIVOTDATA("Sum of Total Mass per m^2 (kg)",'COMPONENT PIVOT REF'!$A$3,"System Name",Table4[[#This Row],[Base System]])</f>
        <v>#REF!</v>
      </c>
      <c r="M454">
        <f>_xlfn.XLOOKUP(Table4[[#This Row],[Ext Finish]],Master_Table4[System Name],Master_Table4[System Name (Short)],FALSE)</f>
        <v>0</v>
      </c>
      <c r="N454">
        <f>_xlfn.XLOOKUP(Table4[[#This Row],[Ext Finish]],Master_Table4[System Name],Master_Table4[Compatible Systems],FALSE)</f>
        <v>0</v>
      </c>
      <c r="O454" t="str">
        <f>IF(ISNUMBER(SEARCH(Table4[[#This Row],[MMC Method]],Table4[[#This Row],[Compatible Systems]])),"YES","NO")</f>
        <v>YES</v>
      </c>
      <c r="P454" t="e">
        <f>GETPIVOTDATA("Sum of A1-A3 Fossil kg CO2e/m^2 wall area",'COMPONENT PIVOT REF'!$I$3,"System Name",Table4[[#This Row],[Ext Finish]])</f>
        <v>#REF!</v>
      </c>
      <c r="Q454" t="e">
        <f>GETPIVOTDATA("Sum of  R value (m^2-K/W)",'COMPONENT PIVOT REF'!$I$3,"System Name",Table4[[#This Row],[Ext Finish]])</f>
        <v>#REF!</v>
      </c>
      <c r="R454" t="e">
        <f>GETPIVOTDATA("Sum of Total Mass per m^2 (kg)",'COMPONENT PIVOT REF'!$I$3,"System Name",Table4[[#This Row],[Ext Finish]])</f>
        <v>#REF!</v>
      </c>
      <c r="T454">
        <f>_xlfn.XLOOKUP(Table4[[#This Row],[Int Finish]],Master_Table6[System Name],Master_Table6[System Name (Short)],FALSE)</f>
        <v>0</v>
      </c>
      <c r="U454" t="e">
        <f>GETPIVOTDATA("Sum of A1-A3 Fossil kg CO2e/m^2 wall area",'COMPONENT PIVOT REF'!$P$3,"System Name",Table4[[#This Row],[Int Finish]])</f>
        <v>#REF!</v>
      </c>
      <c r="V454" t="e">
        <f>GETPIVOTDATA("Sum of  R value (m^2-K/W)",'COMPONENT PIVOT REF'!$P$3,"System Name",Table4[[#This Row],[Int Finish]])</f>
        <v>#REF!</v>
      </c>
      <c r="W454" t="e">
        <f>GETPIVOTDATA("Sum of Total Mass per m^2 (kg)",'COMPONENT PIVOT REF'!$P$3,"System Name",Table4[[#This Row],[Int Finish]])</f>
        <v>#REF!</v>
      </c>
      <c r="X454" t="e">
        <f>Table4[[#This Row],[Ext Finish GWP]]+Table4[[#This Row],[Base GWP]]+Table4[[#This Row],[Int Finish GWP]]</f>
        <v>#REF!</v>
      </c>
      <c r="Y454" t="e">
        <f>Table4[[#This Row],[Ext Finish R Value]]+Table4[[#This Row],[Base R Value]]+Table4[[#This Row],[Int Finish R Value]]</f>
        <v>#REF!</v>
      </c>
      <c r="Z454" t="e">
        <f>1/Table4[[#This Row],[Total R value]]</f>
        <v>#REF!</v>
      </c>
      <c r="AA454" t="e">
        <f>Table4[[#This Row],[Int Finish Mass]]+Table4[[#This Row],[Ext Finish Mass]]+Table4[[#This Row],[Base Mass]]</f>
        <v>#REF!</v>
      </c>
    </row>
    <row r="455" spans="3:27" x14ac:dyDescent="0.35">
      <c r="C455" t="str">
        <f>_xlfn.CONCAT(Table4[[#This Row],[System Name (Short)]],"_",Table4[[#This Row],[Ext Finish Name (Short)]],"_",Table4[[#This Row],[Int Finish Name (Short)]])</f>
        <v>0_0_0</v>
      </c>
      <c r="E455">
        <f>_xlfn.XLOOKUP(Table4[[#This Row],[Base System]],BASE_SYSTEM_TABLE[System Name],BASE_SYSTEM_TABLE[System Name (Short)],FALSE)</f>
        <v>0</v>
      </c>
      <c r="F455">
        <f>_xlfn.XLOOKUP(Table4[[#This Row],[Base System]],BASE_SYSTEM_TABLE[System Name],BASE_SYSTEM_TABLE[System Type],FALSE)</f>
        <v>0</v>
      </c>
      <c r="G455">
        <f>_xlfn.XLOOKUP(Table4[[#This Row],[Base System]],BASE_SYSTEM_TABLE[System Name],BASE_SYSTEM_TABLE[System Subtype],FALSE)</f>
        <v>0</v>
      </c>
      <c r="H455">
        <f>_xlfn.XLOOKUP(Table4[[#This Row],[Base System]],BASE_SYSTEM_TABLE[System Name],BASE_SYSTEM_TABLE[Construction Type (Framed or Planar)],FALSE)</f>
        <v>0</v>
      </c>
      <c r="I455" t="e">
        <f>GETPIVOTDATA("Sum of A1-A3 Fossil kg CO2e/m^2 wall area",'COMPONENT PIVOT REF'!$A$3,"System Name",Table4[[#This Row],[Base System]])</f>
        <v>#REF!</v>
      </c>
      <c r="J455" t="e">
        <f>GETPIVOTDATA("Sum of  R value (m^2-K/W)",'COMPONENT PIVOT REF'!$A$3,"System Name",Table4[[#This Row],[Base System]])</f>
        <v>#REF!</v>
      </c>
      <c r="K455" t="e">
        <f>GETPIVOTDATA("Sum of Total Mass per m^2 (kg)",'COMPONENT PIVOT REF'!$A$3,"System Name",Table4[[#This Row],[Base System]])</f>
        <v>#REF!</v>
      </c>
      <c r="M455">
        <f>_xlfn.XLOOKUP(Table4[[#This Row],[Ext Finish]],Master_Table4[System Name],Master_Table4[System Name (Short)],FALSE)</f>
        <v>0</v>
      </c>
      <c r="N455">
        <f>_xlfn.XLOOKUP(Table4[[#This Row],[Ext Finish]],Master_Table4[System Name],Master_Table4[Compatible Systems],FALSE)</f>
        <v>0</v>
      </c>
      <c r="O455" t="str">
        <f>IF(ISNUMBER(SEARCH(Table4[[#This Row],[MMC Method]],Table4[[#This Row],[Compatible Systems]])),"YES","NO")</f>
        <v>YES</v>
      </c>
      <c r="P455" t="e">
        <f>GETPIVOTDATA("Sum of A1-A3 Fossil kg CO2e/m^2 wall area",'COMPONENT PIVOT REF'!$I$3,"System Name",Table4[[#This Row],[Ext Finish]])</f>
        <v>#REF!</v>
      </c>
      <c r="Q455" t="e">
        <f>GETPIVOTDATA("Sum of  R value (m^2-K/W)",'COMPONENT PIVOT REF'!$I$3,"System Name",Table4[[#This Row],[Ext Finish]])</f>
        <v>#REF!</v>
      </c>
      <c r="R455" t="e">
        <f>GETPIVOTDATA("Sum of Total Mass per m^2 (kg)",'COMPONENT PIVOT REF'!$I$3,"System Name",Table4[[#This Row],[Ext Finish]])</f>
        <v>#REF!</v>
      </c>
      <c r="T455">
        <f>_xlfn.XLOOKUP(Table4[[#This Row],[Int Finish]],Master_Table6[System Name],Master_Table6[System Name (Short)],FALSE)</f>
        <v>0</v>
      </c>
      <c r="U455" t="e">
        <f>GETPIVOTDATA("Sum of A1-A3 Fossil kg CO2e/m^2 wall area",'COMPONENT PIVOT REF'!$P$3,"System Name",Table4[[#This Row],[Int Finish]])</f>
        <v>#REF!</v>
      </c>
      <c r="V455" t="e">
        <f>GETPIVOTDATA("Sum of  R value (m^2-K/W)",'COMPONENT PIVOT REF'!$P$3,"System Name",Table4[[#This Row],[Int Finish]])</f>
        <v>#REF!</v>
      </c>
      <c r="W455" t="e">
        <f>GETPIVOTDATA("Sum of Total Mass per m^2 (kg)",'COMPONENT PIVOT REF'!$P$3,"System Name",Table4[[#This Row],[Int Finish]])</f>
        <v>#REF!</v>
      </c>
      <c r="X455" t="e">
        <f>Table4[[#This Row],[Ext Finish GWP]]+Table4[[#This Row],[Base GWP]]+Table4[[#This Row],[Int Finish GWP]]</f>
        <v>#REF!</v>
      </c>
      <c r="Y455" t="e">
        <f>Table4[[#This Row],[Ext Finish R Value]]+Table4[[#This Row],[Base R Value]]+Table4[[#This Row],[Int Finish R Value]]</f>
        <v>#REF!</v>
      </c>
      <c r="Z455" t="e">
        <f>1/Table4[[#This Row],[Total R value]]</f>
        <v>#REF!</v>
      </c>
      <c r="AA455" t="e">
        <f>Table4[[#This Row],[Int Finish Mass]]+Table4[[#This Row],[Ext Finish Mass]]+Table4[[#This Row],[Base Mass]]</f>
        <v>#REF!</v>
      </c>
    </row>
    <row r="456" spans="3:27" x14ac:dyDescent="0.35">
      <c r="C456" t="str">
        <f>_xlfn.CONCAT(Table4[[#This Row],[System Name (Short)]],"_",Table4[[#This Row],[Ext Finish Name (Short)]],"_",Table4[[#This Row],[Int Finish Name (Short)]])</f>
        <v>0_0_0</v>
      </c>
      <c r="E456">
        <f>_xlfn.XLOOKUP(Table4[[#This Row],[Base System]],BASE_SYSTEM_TABLE[System Name],BASE_SYSTEM_TABLE[System Name (Short)],FALSE)</f>
        <v>0</v>
      </c>
      <c r="F456">
        <f>_xlfn.XLOOKUP(Table4[[#This Row],[Base System]],BASE_SYSTEM_TABLE[System Name],BASE_SYSTEM_TABLE[System Type],FALSE)</f>
        <v>0</v>
      </c>
      <c r="G456">
        <f>_xlfn.XLOOKUP(Table4[[#This Row],[Base System]],BASE_SYSTEM_TABLE[System Name],BASE_SYSTEM_TABLE[System Subtype],FALSE)</f>
        <v>0</v>
      </c>
      <c r="H456">
        <f>_xlfn.XLOOKUP(Table4[[#This Row],[Base System]],BASE_SYSTEM_TABLE[System Name],BASE_SYSTEM_TABLE[Construction Type (Framed or Planar)],FALSE)</f>
        <v>0</v>
      </c>
      <c r="I456" t="e">
        <f>GETPIVOTDATA("Sum of A1-A3 Fossil kg CO2e/m^2 wall area",'COMPONENT PIVOT REF'!$A$3,"System Name",Table4[[#This Row],[Base System]])</f>
        <v>#REF!</v>
      </c>
      <c r="J456" t="e">
        <f>GETPIVOTDATA("Sum of  R value (m^2-K/W)",'COMPONENT PIVOT REF'!$A$3,"System Name",Table4[[#This Row],[Base System]])</f>
        <v>#REF!</v>
      </c>
      <c r="K456" t="e">
        <f>GETPIVOTDATA("Sum of Total Mass per m^2 (kg)",'COMPONENT PIVOT REF'!$A$3,"System Name",Table4[[#This Row],[Base System]])</f>
        <v>#REF!</v>
      </c>
      <c r="M456">
        <f>_xlfn.XLOOKUP(Table4[[#This Row],[Ext Finish]],Master_Table4[System Name],Master_Table4[System Name (Short)],FALSE)</f>
        <v>0</v>
      </c>
      <c r="N456">
        <f>_xlfn.XLOOKUP(Table4[[#This Row],[Ext Finish]],Master_Table4[System Name],Master_Table4[Compatible Systems],FALSE)</f>
        <v>0</v>
      </c>
      <c r="O456" t="str">
        <f>IF(ISNUMBER(SEARCH(Table4[[#This Row],[MMC Method]],Table4[[#This Row],[Compatible Systems]])),"YES","NO")</f>
        <v>YES</v>
      </c>
      <c r="P456" t="e">
        <f>GETPIVOTDATA("Sum of A1-A3 Fossil kg CO2e/m^2 wall area",'COMPONENT PIVOT REF'!$I$3,"System Name",Table4[[#This Row],[Ext Finish]])</f>
        <v>#REF!</v>
      </c>
      <c r="Q456" t="e">
        <f>GETPIVOTDATA("Sum of  R value (m^2-K/W)",'COMPONENT PIVOT REF'!$I$3,"System Name",Table4[[#This Row],[Ext Finish]])</f>
        <v>#REF!</v>
      </c>
      <c r="R456" t="e">
        <f>GETPIVOTDATA("Sum of Total Mass per m^2 (kg)",'COMPONENT PIVOT REF'!$I$3,"System Name",Table4[[#This Row],[Ext Finish]])</f>
        <v>#REF!</v>
      </c>
      <c r="T456">
        <f>_xlfn.XLOOKUP(Table4[[#This Row],[Int Finish]],Master_Table6[System Name],Master_Table6[System Name (Short)],FALSE)</f>
        <v>0</v>
      </c>
      <c r="U456" t="e">
        <f>GETPIVOTDATA("Sum of A1-A3 Fossil kg CO2e/m^2 wall area",'COMPONENT PIVOT REF'!$P$3,"System Name",Table4[[#This Row],[Int Finish]])</f>
        <v>#REF!</v>
      </c>
      <c r="V456" t="e">
        <f>GETPIVOTDATA("Sum of  R value (m^2-K/W)",'COMPONENT PIVOT REF'!$P$3,"System Name",Table4[[#This Row],[Int Finish]])</f>
        <v>#REF!</v>
      </c>
      <c r="W456" t="e">
        <f>GETPIVOTDATA("Sum of Total Mass per m^2 (kg)",'COMPONENT PIVOT REF'!$P$3,"System Name",Table4[[#This Row],[Int Finish]])</f>
        <v>#REF!</v>
      </c>
      <c r="X456" t="e">
        <f>Table4[[#This Row],[Ext Finish GWP]]+Table4[[#This Row],[Base GWP]]+Table4[[#This Row],[Int Finish GWP]]</f>
        <v>#REF!</v>
      </c>
      <c r="Y456" t="e">
        <f>Table4[[#This Row],[Ext Finish R Value]]+Table4[[#This Row],[Base R Value]]+Table4[[#This Row],[Int Finish R Value]]</f>
        <v>#REF!</v>
      </c>
      <c r="Z456" t="e">
        <f>1/Table4[[#This Row],[Total R value]]</f>
        <v>#REF!</v>
      </c>
      <c r="AA456" t="e">
        <f>Table4[[#This Row],[Int Finish Mass]]+Table4[[#This Row],[Ext Finish Mass]]+Table4[[#This Row],[Base Mass]]</f>
        <v>#REF!</v>
      </c>
    </row>
    <row r="457" spans="3:27" x14ac:dyDescent="0.35">
      <c r="C457" t="str">
        <f>_xlfn.CONCAT(Table4[[#This Row],[System Name (Short)]],"_",Table4[[#This Row],[Ext Finish Name (Short)]],"_",Table4[[#This Row],[Int Finish Name (Short)]])</f>
        <v>0_0_0</v>
      </c>
      <c r="E457">
        <f>_xlfn.XLOOKUP(Table4[[#This Row],[Base System]],BASE_SYSTEM_TABLE[System Name],BASE_SYSTEM_TABLE[System Name (Short)],FALSE)</f>
        <v>0</v>
      </c>
      <c r="F457">
        <f>_xlfn.XLOOKUP(Table4[[#This Row],[Base System]],BASE_SYSTEM_TABLE[System Name],BASE_SYSTEM_TABLE[System Type],FALSE)</f>
        <v>0</v>
      </c>
      <c r="G457">
        <f>_xlfn.XLOOKUP(Table4[[#This Row],[Base System]],BASE_SYSTEM_TABLE[System Name],BASE_SYSTEM_TABLE[System Subtype],FALSE)</f>
        <v>0</v>
      </c>
      <c r="H457">
        <f>_xlfn.XLOOKUP(Table4[[#This Row],[Base System]],BASE_SYSTEM_TABLE[System Name],BASE_SYSTEM_TABLE[Construction Type (Framed or Planar)],FALSE)</f>
        <v>0</v>
      </c>
      <c r="I457" t="e">
        <f>GETPIVOTDATA("Sum of A1-A3 Fossil kg CO2e/m^2 wall area",'COMPONENT PIVOT REF'!$A$3,"System Name",Table4[[#This Row],[Base System]])</f>
        <v>#REF!</v>
      </c>
      <c r="J457" t="e">
        <f>GETPIVOTDATA("Sum of  R value (m^2-K/W)",'COMPONENT PIVOT REF'!$A$3,"System Name",Table4[[#This Row],[Base System]])</f>
        <v>#REF!</v>
      </c>
      <c r="K457" t="e">
        <f>GETPIVOTDATA("Sum of Total Mass per m^2 (kg)",'COMPONENT PIVOT REF'!$A$3,"System Name",Table4[[#This Row],[Base System]])</f>
        <v>#REF!</v>
      </c>
      <c r="M457">
        <f>_xlfn.XLOOKUP(Table4[[#This Row],[Ext Finish]],Master_Table4[System Name],Master_Table4[System Name (Short)],FALSE)</f>
        <v>0</v>
      </c>
      <c r="N457">
        <f>_xlfn.XLOOKUP(Table4[[#This Row],[Ext Finish]],Master_Table4[System Name],Master_Table4[Compatible Systems],FALSE)</f>
        <v>0</v>
      </c>
      <c r="O457" t="str">
        <f>IF(ISNUMBER(SEARCH(Table4[[#This Row],[MMC Method]],Table4[[#This Row],[Compatible Systems]])),"YES","NO")</f>
        <v>YES</v>
      </c>
      <c r="P457" t="e">
        <f>GETPIVOTDATA("Sum of A1-A3 Fossil kg CO2e/m^2 wall area",'COMPONENT PIVOT REF'!$I$3,"System Name",Table4[[#This Row],[Ext Finish]])</f>
        <v>#REF!</v>
      </c>
      <c r="Q457" t="e">
        <f>GETPIVOTDATA("Sum of  R value (m^2-K/W)",'COMPONENT PIVOT REF'!$I$3,"System Name",Table4[[#This Row],[Ext Finish]])</f>
        <v>#REF!</v>
      </c>
      <c r="R457" t="e">
        <f>GETPIVOTDATA("Sum of Total Mass per m^2 (kg)",'COMPONENT PIVOT REF'!$I$3,"System Name",Table4[[#This Row],[Ext Finish]])</f>
        <v>#REF!</v>
      </c>
      <c r="T457">
        <f>_xlfn.XLOOKUP(Table4[[#This Row],[Int Finish]],Master_Table6[System Name],Master_Table6[System Name (Short)],FALSE)</f>
        <v>0</v>
      </c>
      <c r="U457" t="e">
        <f>GETPIVOTDATA("Sum of A1-A3 Fossil kg CO2e/m^2 wall area",'COMPONENT PIVOT REF'!$P$3,"System Name",Table4[[#This Row],[Int Finish]])</f>
        <v>#REF!</v>
      </c>
      <c r="V457" t="e">
        <f>GETPIVOTDATA("Sum of  R value (m^2-K/W)",'COMPONENT PIVOT REF'!$P$3,"System Name",Table4[[#This Row],[Int Finish]])</f>
        <v>#REF!</v>
      </c>
      <c r="W457" t="e">
        <f>GETPIVOTDATA("Sum of Total Mass per m^2 (kg)",'COMPONENT PIVOT REF'!$P$3,"System Name",Table4[[#This Row],[Int Finish]])</f>
        <v>#REF!</v>
      </c>
      <c r="X457" t="e">
        <f>Table4[[#This Row],[Ext Finish GWP]]+Table4[[#This Row],[Base GWP]]+Table4[[#This Row],[Int Finish GWP]]</f>
        <v>#REF!</v>
      </c>
      <c r="Y457" t="e">
        <f>Table4[[#This Row],[Ext Finish R Value]]+Table4[[#This Row],[Base R Value]]+Table4[[#This Row],[Int Finish R Value]]</f>
        <v>#REF!</v>
      </c>
      <c r="Z457" t="e">
        <f>1/Table4[[#This Row],[Total R value]]</f>
        <v>#REF!</v>
      </c>
      <c r="AA457" t="e">
        <f>Table4[[#This Row],[Int Finish Mass]]+Table4[[#This Row],[Ext Finish Mass]]+Table4[[#This Row],[Base Mass]]</f>
        <v>#REF!</v>
      </c>
    </row>
    <row r="458" spans="3:27" x14ac:dyDescent="0.35">
      <c r="C458" t="str">
        <f>_xlfn.CONCAT(Table4[[#This Row],[System Name (Short)]],"_",Table4[[#This Row],[Ext Finish Name (Short)]],"_",Table4[[#This Row],[Int Finish Name (Short)]])</f>
        <v>0_0_0</v>
      </c>
      <c r="E458">
        <f>_xlfn.XLOOKUP(Table4[[#This Row],[Base System]],BASE_SYSTEM_TABLE[System Name],BASE_SYSTEM_TABLE[System Name (Short)],FALSE)</f>
        <v>0</v>
      </c>
      <c r="F458">
        <f>_xlfn.XLOOKUP(Table4[[#This Row],[Base System]],BASE_SYSTEM_TABLE[System Name],BASE_SYSTEM_TABLE[System Type],FALSE)</f>
        <v>0</v>
      </c>
      <c r="G458">
        <f>_xlfn.XLOOKUP(Table4[[#This Row],[Base System]],BASE_SYSTEM_TABLE[System Name],BASE_SYSTEM_TABLE[System Subtype],FALSE)</f>
        <v>0</v>
      </c>
      <c r="H458">
        <f>_xlfn.XLOOKUP(Table4[[#This Row],[Base System]],BASE_SYSTEM_TABLE[System Name],BASE_SYSTEM_TABLE[Construction Type (Framed or Planar)],FALSE)</f>
        <v>0</v>
      </c>
      <c r="I458" t="e">
        <f>GETPIVOTDATA("Sum of A1-A3 Fossil kg CO2e/m^2 wall area",'COMPONENT PIVOT REF'!$A$3,"System Name",Table4[[#This Row],[Base System]])</f>
        <v>#REF!</v>
      </c>
      <c r="J458" t="e">
        <f>GETPIVOTDATA("Sum of  R value (m^2-K/W)",'COMPONENT PIVOT REF'!$A$3,"System Name",Table4[[#This Row],[Base System]])</f>
        <v>#REF!</v>
      </c>
      <c r="K458" t="e">
        <f>GETPIVOTDATA("Sum of Total Mass per m^2 (kg)",'COMPONENT PIVOT REF'!$A$3,"System Name",Table4[[#This Row],[Base System]])</f>
        <v>#REF!</v>
      </c>
      <c r="M458">
        <f>_xlfn.XLOOKUP(Table4[[#This Row],[Ext Finish]],Master_Table4[System Name],Master_Table4[System Name (Short)],FALSE)</f>
        <v>0</v>
      </c>
      <c r="N458">
        <f>_xlfn.XLOOKUP(Table4[[#This Row],[Ext Finish]],Master_Table4[System Name],Master_Table4[Compatible Systems],FALSE)</f>
        <v>0</v>
      </c>
      <c r="O458" t="str">
        <f>IF(ISNUMBER(SEARCH(Table4[[#This Row],[MMC Method]],Table4[[#This Row],[Compatible Systems]])),"YES","NO")</f>
        <v>YES</v>
      </c>
      <c r="P458" t="e">
        <f>GETPIVOTDATA("Sum of A1-A3 Fossil kg CO2e/m^2 wall area",'COMPONENT PIVOT REF'!$I$3,"System Name",Table4[[#This Row],[Ext Finish]])</f>
        <v>#REF!</v>
      </c>
      <c r="Q458" t="e">
        <f>GETPIVOTDATA("Sum of  R value (m^2-K/W)",'COMPONENT PIVOT REF'!$I$3,"System Name",Table4[[#This Row],[Ext Finish]])</f>
        <v>#REF!</v>
      </c>
      <c r="R458" t="e">
        <f>GETPIVOTDATA("Sum of Total Mass per m^2 (kg)",'COMPONENT PIVOT REF'!$I$3,"System Name",Table4[[#This Row],[Ext Finish]])</f>
        <v>#REF!</v>
      </c>
      <c r="T458">
        <f>_xlfn.XLOOKUP(Table4[[#This Row],[Int Finish]],Master_Table6[System Name],Master_Table6[System Name (Short)],FALSE)</f>
        <v>0</v>
      </c>
      <c r="U458" t="e">
        <f>GETPIVOTDATA("Sum of A1-A3 Fossil kg CO2e/m^2 wall area",'COMPONENT PIVOT REF'!$P$3,"System Name",Table4[[#This Row],[Int Finish]])</f>
        <v>#REF!</v>
      </c>
      <c r="V458" t="e">
        <f>GETPIVOTDATA("Sum of  R value (m^2-K/W)",'COMPONENT PIVOT REF'!$P$3,"System Name",Table4[[#This Row],[Int Finish]])</f>
        <v>#REF!</v>
      </c>
      <c r="W458" t="e">
        <f>GETPIVOTDATA("Sum of Total Mass per m^2 (kg)",'COMPONENT PIVOT REF'!$P$3,"System Name",Table4[[#This Row],[Int Finish]])</f>
        <v>#REF!</v>
      </c>
      <c r="X458" t="e">
        <f>Table4[[#This Row],[Ext Finish GWP]]+Table4[[#This Row],[Base GWP]]+Table4[[#This Row],[Int Finish GWP]]</f>
        <v>#REF!</v>
      </c>
      <c r="Y458" t="e">
        <f>Table4[[#This Row],[Ext Finish R Value]]+Table4[[#This Row],[Base R Value]]+Table4[[#This Row],[Int Finish R Value]]</f>
        <v>#REF!</v>
      </c>
      <c r="Z458" t="e">
        <f>1/Table4[[#This Row],[Total R value]]</f>
        <v>#REF!</v>
      </c>
      <c r="AA458" t="e">
        <f>Table4[[#This Row],[Int Finish Mass]]+Table4[[#This Row],[Ext Finish Mass]]+Table4[[#This Row],[Base Mass]]</f>
        <v>#REF!</v>
      </c>
    </row>
    <row r="459" spans="3:27" x14ac:dyDescent="0.35">
      <c r="C459" t="str">
        <f>_xlfn.CONCAT(Table4[[#This Row],[System Name (Short)]],"_",Table4[[#This Row],[Ext Finish Name (Short)]],"_",Table4[[#This Row],[Int Finish Name (Short)]])</f>
        <v>0_0_0</v>
      </c>
      <c r="E459">
        <f>_xlfn.XLOOKUP(Table4[[#This Row],[Base System]],BASE_SYSTEM_TABLE[System Name],BASE_SYSTEM_TABLE[System Name (Short)],FALSE)</f>
        <v>0</v>
      </c>
      <c r="F459">
        <f>_xlfn.XLOOKUP(Table4[[#This Row],[Base System]],BASE_SYSTEM_TABLE[System Name],BASE_SYSTEM_TABLE[System Type],FALSE)</f>
        <v>0</v>
      </c>
      <c r="G459">
        <f>_xlfn.XLOOKUP(Table4[[#This Row],[Base System]],BASE_SYSTEM_TABLE[System Name],BASE_SYSTEM_TABLE[System Subtype],FALSE)</f>
        <v>0</v>
      </c>
      <c r="H459">
        <f>_xlfn.XLOOKUP(Table4[[#This Row],[Base System]],BASE_SYSTEM_TABLE[System Name],BASE_SYSTEM_TABLE[Construction Type (Framed or Planar)],FALSE)</f>
        <v>0</v>
      </c>
      <c r="I459" t="e">
        <f>GETPIVOTDATA("Sum of A1-A3 Fossil kg CO2e/m^2 wall area",'COMPONENT PIVOT REF'!$A$3,"System Name",Table4[[#This Row],[Base System]])</f>
        <v>#REF!</v>
      </c>
      <c r="J459" t="e">
        <f>GETPIVOTDATA("Sum of  R value (m^2-K/W)",'COMPONENT PIVOT REF'!$A$3,"System Name",Table4[[#This Row],[Base System]])</f>
        <v>#REF!</v>
      </c>
      <c r="K459" t="e">
        <f>GETPIVOTDATA("Sum of Total Mass per m^2 (kg)",'COMPONENT PIVOT REF'!$A$3,"System Name",Table4[[#This Row],[Base System]])</f>
        <v>#REF!</v>
      </c>
      <c r="M459">
        <f>_xlfn.XLOOKUP(Table4[[#This Row],[Ext Finish]],Master_Table4[System Name],Master_Table4[System Name (Short)],FALSE)</f>
        <v>0</v>
      </c>
      <c r="N459">
        <f>_xlfn.XLOOKUP(Table4[[#This Row],[Ext Finish]],Master_Table4[System Name],Master_Table4[Compatible Systems],FALSE)</f>
        <v>0</v>
      </c>
      <c r="O459" t="str">
        <f>IF(ISNUMBER(SEARCH(Table4[[#This Row],[MMC Method]],Table4[[#This Row],[Compatible Systems]])),"YES","NO")</f>
        <v>YES</v>
      </c>
      <c r="P459" t="e">
        <f>GETPIVOTDATA("Sum of A1-A3 Fossil kg CO2e/m^2 wall area",'COMPONENT PIVOT REF'!$I$3,"System Name",Table4[[#This Row],[Ext Finish]])</f>
        <v>#REF!</v>
      </c>
      <c r="Q459" t="e">
        <f>GETPIVOTDATA("Sum of  R value (m^2-K/W)",'COMPONENT PIVOT REF'!$I$3,"System Name",Table4[[#This Row],[Ext Finish]])</f>
        <v>#REF!</v>
      </c>
      <c r="R459" t="e">
        <f>GETPIVOTDATA("Sum of Total Mass per m^2 (kg)",'COMPONENT PIVOT REF'!$I$3,"System Name",Table4[[#This Row],[Ext Finish]])</f>
        <v>#REF!</v>
      </c>
      <c r="T459">
        <f>_xlfn.XLOOKUP(Table4[[#This Row],[Int Finish]],Master_Table6[System Name],Master_Table6[System Name (Short)],FALSE)</f>
        <v>0</v>
      </c>
      <c r="U459" t="e">
        <f>GETPIVOTDATA("Sum of A1-A3 Fossil kg CO2e/m^2 wall area",'COMPONENT PIVOT REF'!$P$3,"System Name",Table4[[#This Row],[Int Finish]])</f>
        <v>#REF!</v>
      </c>
      <c r="V459" t="e">
        <f>GETPIVOTDATA("Sum of  R value (m^2-K/W)",'COMPONENT PIVOT REF'!$P$3,"System Name",Table4[[#This Row],[Int Finish]])</f>
        <v>#REF!</v>
      </c>
      <c r="W459" t="e">
        <f>GETPIVOTDATA("Sum of Total Mass per m^2 (kg)",'COMPONENT PIVOT REF'!$P$3,"System Name",Table4[[#This Row],[Int Finish]])</f>
        <v>#REF!</v>
      </c>
      <c r="X459" t="e">
        <f>Table4[[#This Row],[Ext Finish GWP]]+Table4[[#This Row],[Base GWP]]+Table4[[#This Row],[Int Finish GWP]]</f>
        <v>#REF!</v>
      </c>
      <c r="Y459" t="e">
        <f>Table4[[#This Row],[Ext Finish R Value]]+Table4[[#This Row],[Base R Value]]+Table4[[#This Row],[Int Finish R Value]]</f>
        <v>#REF!</v>
      </c>
      <c r="Z459" t="e">
        <f>1/Table4[[#This Row],[Total R value]]</f>
        <v>#REF!</v>
      </c>
      <c r="AA459" t="e">
        <f>Table4[[#This Row],[Int Finish Mass]]+Table4[[#This Row],[Ext Finish Mass]]+Table4[[#This Row],[Base Mass]]</f>
        <v>#REF!</v>
      </c>
    </row>
    <row r="460" spans="3:27" x14ac:dyDescent="0.35">
      <c r="C460" t="str">
        <f>_xlfn.CONCAT(Table4[[#This Row],[System Name (Short)]],"_",Table4[[#This Row],[Ext Finish Name (Short)]],"_",Table4[[#This Row],[Int Finish Name (Short)]])</f>
        <v>0_0_0</v>
      </c>
      <c r="E460">
        <f>_xlfn.XLOOKUP(Table4[[#This Row],[Base System]],BASE_SYSTEM_TABLE[System Name],BASE_SYSTEM_TABLE[System Name (Short)],FALSE)</f>
        <v>0</v>
      </c>
      <c r="F460">
        <f>_xlfn.XLOOKUP(Table4[[#This Row],[Base System]],BASE_SYSTEM_TABLE[System Name],BASE_SYSTEM_TABLE[System Type],FALSE)</f>
        <v>0</v>
      </c>
      <c r="G460">
        <f>_xlfn.XLOOKUP(Table4[[#This Row],[Base System]],BASE_SYSTEM_TABLE[System Name],BASE_SYSTEM_TABLE[System Subtype],FALSE)</f>
        <v>0</v>
      </c>
      <c r="H460">
        <f>_xlfn.XLOOKUP(Table4[[#This Row],[Base System]],BASE_SYSTEM_TABLE[System Name],BASE_SYSTEM_TABLE[Construction Type (Framed or Planar)],FALSE)</f>
        <v>0</v>
      </c>
      <c r="I460" t="e">
        <f>GETPIVOTDATA("Sum of A1-A3 Fossil kg CO2e/m^2 wall area",'COMPONENT PIVOT REF'!$A$3,"System Name",Table4[[#This Row],[Base System]])</f>
        <v>#REF!</v>
      </c>
      <c r="J460" t="e">
        <f>GETPIVOTDATA("Sum of  R value (m^2-K/W)",'COMPONENT PIVOT REF'!$A$3,"System Name",Table4[[#This Row],[Base System]])</f>
        <v>#REF!</v>
      </c>
      <c r="K460" t="e">
        <f>GETPIVOTDATA("Sum of Total Mass per m^2 (kg)",'COMPONENT PIVOT REF'!$A$3,"System Name",Table4[[#This Row],[Base System]])</f>
        <v>#REF!</v>
      </c>
      <c r="M460">
        <f>_xlfn.XLOOKUP(Table4[[#This Row],[Ext Finish]],Master_Table4[System Name],Master_Table4[System Name (Short)],FALSE)</f>
        <v>0</v>
      </c>
      <c r="N460">
        <f>_xlfn.XLOOKUP(Table4[[#This Row],[Ext Finish]],Master_Table4[System Name],Master_Table4[Compatible Systems],FALSE)</f>
        <v>0</v>
      </c>
      <c r="O460" t="str">
        <f>IF(ISNUMBER(SEARCH(Table4[[#This Row],[MMC Method]],Table4[[#This Row],[Compatible Systems]])),"YES","NO")</f>
        <v>YES</v>
      </c>
      <c r="P460" t="e">
        <f>GETPIVOTDATA("Sum of A1-A3 Fossil kg CO2e/m^2 wall area",'COMPONENT PIVOT REF'!$I$3,"System Name",Table4[[#This Row],[Ext Finish]])</f>
        <v>#REF!</v>
      </c>
      <c r="Q460" t="e">
        <f>GETPIVOTDATA("Sum of  R value (m^2-K/W)",'COMPONENT PIVOT REF'!$I$3,"System Name",Table4[[#This Row],[Ext Finish]])</f>
        <v>#REF!</v>
      </c>
      <c r="R460" t="e">
        <f>GETPIVOTDATA("Sum of Total Mass per m^2 (kg)",'COMPONENT PIVOT REF'!$I$3,"System Name",Table4[[#This Row],[Ext Finish]])</f>
        <v>#REF!</v>
      </c>
      <c r="T460">
        <f>_xlfn.XLOOKUP(Table4[[#This Row],[Int Finish]],Master_Table6[System Name],Master_Table6[System Name (Short)],FALSE)</f>
        <v>0</v>
      </c>
      <c r="U460" t="e">
        <f>GETPIVOTDATA("Sum of A1-A3 Fossil kg CO2e/m^2 wall area",'COMPONENT PIVOT REF'!$P$3,"System Name",Table4[[#This Row],[Int Finish]])</f>
        <v>#REF!</v>
      </c>
      <c r="V460" t="e">
        <f>GETPIVOTDATA("Sum of  R value (m^2-K/W)",'COMPONENT PIVOT REF'!$P$3,"System Name",Table4[[#This Row],[Int Finish]])</f>
        <v>#REF!</v>
      </c>
      <c r="W460" t="e">
        <f>GETPIVOTDATA("Sum of Total Mass per m^2 (kg)",'COMPONENT PIVOT REF'!$P$3,"System Name",Table4[[#This Row],[Int Finish]])</f>
        <v>#REF!</v>
      </c>
      <c r="X460" t="e">
        <f>Table4[[#This Row],[Ext Finish GWP]]+Table4[[#This Row],[Base GWP]]+Table4[[#This Row],[Int Finish GWP]]</f>
        <v>#REF!</v>
      </c>
      <c r="Y460" t="e">
        <f>Table4[[#This Row],[Ext Finish R Value]]+Table4[[#This Row],[Base R Value]]+Table4[[#This Row],[Int Finish R Value]]</f>
        <v>#REF!</v>
      </c>
      <c r="Z460" t="e">
        <f>1/Table4[[#This Row],[Total R value]]</f>
        <v>#REF!</v>
      </c>
      <c r="AA460" t="e">
        <f>Table4[[#This Row],[Int Finish Mass]]+Table4[[#This Row],[Ext Finish Mass]]+Table4[[#This Row],[Base Mass]]</f>
        <v>#REF!</v>
      </c>
    </row>
    <row r="461" spans="3:27" x14ac:dyDescent="0.35">
      <c r="C461" t="str">
        <f>_xlfn.CONCAT(Table4[[#This Row],[System Name (Short)]],"_",Table4[[#This Row],[Ext Finish Name (Short)]],"_",Table4[[#This Row],[Int Finish Name (Short)]])</f>
        <v>0_0_0</v>
      </c>
      <c r="E461">
        <f>_xlfn.XLOOKUP(Table4[[#This Row],[Base System]],BASE_SYSTEM_TABLE[System Name],BASE_SYSTEM_TABLE[System Name (Short)],FALSE)</f>
        <v>0</v>
      </c>
      <c r="F461">
        <f>_xlfn.XLOOKUP(Table4[[#This Row],[Base System]],BASE_SYSTEM_TABLE[System Name],BASE_SYSTEM_TABLE[System Type],FALSE)</f>
        <v>0</v>
      </c>
      <c r="G461">
        <f>_xlfn.XLOOKUP(Table4[[#This Row],[Base System]],BASE_SYSTEM_TABLE[System Name],BASE_SYSTEM_TABLE[System Subtype],FALSE)</f>
        <v>0</v>
      </c>
      <c r="H461">
        <f>_xlfn.XLOOKUP(Table4[[#This Row],[Base System]],BASE_SYSTEM_TABLE[System Name],BASE_SYSTEM_TABLE[Construction Type (Framed or Planar)],FALSE)</f>
        <v>0</v>
      </c>
      <c r="I461" t="e">
        <f>GETPIVOTDATA("Sum of A1-A3 Fossil kg CO2e/m^2 wall area",'COMPONENT PIVOT REF'!$A$3,"System Name",Table4[[#This Row],[Base System]])</f>
        <v>#REF!</v>
      </c>
      <c r="J461" t="e">
        <f>GETPIVOTDATA("Sum of  R value (m^2-K/W)",'COMPONENT PIVOT REF'!$A$3,"System Name",Table4[[#This Row],[Base System]])</f>
        <v>#REF!</v>
      </c>
      <c r="K461" t="e">
        <f>GETPIVOTDATA("Sum of Total Mass per m^2 (kg)",'COMPONENT PIVOT REF'!$A$3,"System Name",Table4[[#This Row],[Base System]])</f>
        <v>#REF!</v>
      </c>
      <c r="M461">
        <f>_xlfn.XLOOKUP(Table4[[#This Row],[Ext Finish]],Master_Table4[System Name],Master_Table4[System Name (Short)],FALSE)</f>
        <v>0</v>
      </c>
      <c r="N461">
        <f>_xlfn.XLOOKUP(Table4[[#This Row],[Ext Finish]],Master_Table4[System Name],Master_Table4[Compatible Systems],FALSE)</f>
        <v>0</v>
      </c>
      <c r="O461" t="str">
        <f>IF(ISNUMBER(SEARCH(Table4[[#This Row],[MMC Method]],Table4[[#This Row],[Compatible Systems]])),"YES","NO")</f>
        <v>YES</v>
      </c>
      <c r="P461" t="e">
        <f>GETPIVOTDATA("Sum of A1-A3 Fossil kg CO2e/m^2 wall area",'COMPONENT PIVOT REF'!$I$3,"System Name",Table4[[#This Row],[Ext Finish]])</f>
        <v>#REF!</v>
      </c>
      <c r="Q461" t="e">
        <f>GETPIVOTDATA("Sum of  R value (m^2-K/W)",'COMPONENT PIVOT REF'!$I$3,"System Name",Table4[[#This Row],[Ext Finish]])</f>
        <v>#REF!</v>
      </c>
      <c r="R461" t="e">
        <f>GETPIVOTDATA("Sum of Total Mass per m^2 (kg)",'COMPONENT PIVOT REF'!$I$3,"System Name",Table4[[#This Row],[Ext Finish]])</f>
        <v>#REF!</v>
      </c>
      <c r="T461">
        <f>_xlfn.XLOOKUP(Table4[[#This Row],[Int Finish]],Master_Table6[System Name],Master_Table6[System Name (Short)],FALSE)</f>
        <v>0</v>
      </c>
      <c r="U461" t="e">
        <f>GETPIVOTDATA("Sum of A1-A3 Fossil kg CO2e/m^2 wall area",'COMPONENT PIVOT REF'!$P$3,"System Name",Table4[[#This Row],[Int Finish]])</f>
        <v>#REF!</v>
      </c>
      <c r="V461" t="e">
        <f>GETPIVOTDATA("Sum of  R value (m^2-K/W)",'COMPONENT PIVOT REF'!$P$3,"System Name",Table4[[#This Row],[Int Finish]])</f>
        <v>#REF!</v>
      </c>
      <c r="W461" t="e">
        <f>GETPIVOTDATA("Sum of Total Mass per m^2 (kg)",'COMPONENT PIVOT REF'!$P$3,"System Name",Table4[[#This Row],[Int Finish]])</f>
        <v>#REF!</v>
      </c>
      <c r="X461" t="e">
        <f>Table4[[#This Row],[Ext Finish GWP]]+Table4[[#This Row],[Base GWP]]+Table4[[#This Row],[Int Finish GWP]]</f>
        <v>#REF!</v>
      </c>
      <c r="Y461" t="e">
        <f>Table4[[#This Row],[Ext Finish R Value]]+Table4[[#This Row],[Base R Value]]+Table4[[#This Row],[Int Finish R Value]]</f>
        <v>#REF!</v>
      </c>
      <c r="Z461" t="e">
        <f>1/Table4[[#This Row],[Total R value]]</f>
        <v>#REF!</v>
      </c>
      <c r="AA461" t="e">
        <f>Table4[[#This Row],[Int Finish Mass]]+Table4[[#This Row],[Ext Finish Mass]]+Table4[[#This Row],[Base Mass]]</f>
        <v>#REF!</v>
      </c>
    </row>
    <row r="462" spans="3:27" x14ac:dyDescent="0.35">
      <c r="C462" t="str">
        <f>_xlfn.CONCAT(Table4[[#This Row],[System Name (Short)]],"_",Table4[[#This Row],[Ext Finish Name (Short)]],"_",Table4[[#This Row],[Int Finish Name (Short)]])</f>
        <v>0_0_0</v>
      </c>
      <c r="E462">
        <f>_xlfn.XLOOKUP(Table4[[#This Row],[Base System]],BASE_SYSTEM_TABLE[System Name],BASE_SYSTEM_TABLE[System Name (Short)],FALSE)</f>
        <v>0</v>
      </c>
      <c r="F462">
        <f>_xlfn.XLOOKUP(Table4[[#This Row],[Base System]],BASE_SYSTEM_TABLE[System Name],BASE_SYSTEM_TABLE[System Type],FALSE)</f>
        <v>0</v>
      </c>
      <c r="G462">
        <f>_xlfn.XLOOKUP(Table4[[#This Row],[Base System]],BASE_SYSTEM_TABLE[System Name],BASE_SYSTEM_TABLE[System Subtype],FALSE)</f>
        <v>0</v>
      </c>
      <c r="H462">
        <f>_xlfn.XLOOKUP(Table4[[#This Row],[Base System]],BASE_SYSTEM_TABLE[System Name],BASE_SYSTEM_TABLE[Construction Type (Framed or Planar)],FALSE)</f>
        <v>0</v>
      </c>
      <c r="I462" t="e">
        <f>GETPIVOTDATA("Sum of A1-A3 Fossil kg CO2e/m^2 wall area",'COMPONENT PIVOT REF'!$A$3,"System Name",Table4[[#This Row],[Base System]])</f>
        <v>#REF!</v>
      </c>
      <c r="J462" t="e">
        <f>GETPIVOTDATA("Sum of  R value (m^2-K/W)",'COMPONENT PIVOT REF'!$A$3,"System Name",Table4[[#This Row],[Base System]])</f>
        <v>#REF!</v>
      </c>
      <c r="K462" t="e">
        <f>GETPIVOTDATA("Sum of Total Mass per m^2 (kg)",'COMPONENT PIVOT REF'!$A$3,"System Name",Table4[[#This Row],[Base System]])</f>
        <v>#REF!</v>
      </c>
      <c r="M462">
        <f>_xlfn.XLOOKUP(Table4[[#This Row],[Ext Finish]],Master_Table4[System Name],Master_Table4[System Name (Short)],FALSE)</f>
        <v>0</v>
      </c>
      <c r="N462">
        <f>_xlfn.XLOOKUP(Table4[[#This Row],[Ext Finish]],Master_Table4[System Name],Master_Table4[Compatible Systems],FALSE)</f>
        <v>0</v>
      </c>
      <c r="O462" t="str">
        <f>IF(ISNUMBER(SEARCH(Table4[[#This Row],[MMC Method]],Table4[[#This Row],[Compatible Systems]])),"YES","NO")</f>
        <v>YES</v>
      </c>
      <c r="P462" t="e">
        <f>GETPIVOTDATA("Sum of A1-A3 Fossil kg CO2e/m^2 wall area",'COMPONENT PIVOT REF'!$I$3,"System Name",Table4[[#This Row],[Ext Finish]])</f>
        <v>#REF!</v>
      </c>
      <c r="Q462" t="e">
        <f>GETPIVOTDATA("Sum of  R value (m^2-K/W)",'COMPONENT PIVOT REF'!$I$3,"System Name",Table4[[#This Row],[Ext Finish]])</f>
        <v>#REF!</v>
      </c>
      <c r="R462" t="e">
        <f>GETPIVOTDATA("Sum of Total Mass per m^2 (kg)",'COMPONENT PIVOT REF'!$I$3,"System Name",Table4[[#This Row],[Ext Finish]])</f>
        <v>#REF!</v>
      </c>
      <c r="T462">
        <f>_xlfn.XLOOKUP(Table4[[#This Row],[Int Finish]],Master_Table6[System Name],Master_Table6[System Name (Short)],FALSE)</f>
        <v>0</v>
      </c>
      <c r="U462" t="e">
        <f>GETPIVOTDATA("Sum of A1-A3 Fossil kg CO2e/m^2 wall area",'COMPONENT PIVOT REF'!$P$3,"System Name",Table4[[#This Row],[Int Finish]])</f>
        <v>#REF!</v>
      </c>
      <c r="V462" t="e">
        <f>GETPIVOTDATA("Sum of  R value (m^2-K/W)",'COMPONENT PIVOT REF'!$P$3,"System Name",Table4[[#This Row],[Int Finish]])</f>
        <v>#REF!</v>
      </c>
      <c r="W462" t="e">
        <f>GETPIVOTDATA("Sum of Total Mass per m^2 (kg)",'COMPONENT PIVOT REF'!$P$3,"System Name",Table4[[#This Row],[Int Finish]])</f>
        <v>#REF!</v>
      </c>
      <c r="X462" t="e">
        <f>Table4[[#This Row],[Ext Finish GWP]]+Table4[[#This Row],[Base GWP]]+Table4[[#This Row],[Int Finish GWP]]</f>
        <v>#REF!</v>
      </c>
      <c r="Y462" t="e">
        <f>Table4[[#This Row],[Ext Finish R Value]]+Table4[[#This Row],[Base R Value]]+Table4[[#This Row],[Int Finish R Value]]</f>
        <v>#REF!</v>
      </c>
      <c r="Z462" t="e">
        <f>1/Table4[[#This Row],[Total R value]]</f>
        <v>#REF!</v>
      </c>
      <c r="AA462" t="e">
        <f>Table4[[#This Row],[Int Finish Mass]]+Table4[[#This Row],[Ext Finish Mass]]+Table4[[#This Row],[Base Mass]]</f>
        <v>#REF!</v>
      </c>
    </row>
    <row r="463" spans="3:27" x14ac:dyDescent="0.35">
      <c r="C463" t="str">
        <f>_xlfn.CONCAT(Table4[[#This Row],[System Name (Short)]],"_",Table4[[#This Row],[Ext Finish Name (Short)]],"_",Table4[[#This Row],[Int Finish Name (Short)]])</f>
        <v>0_0_0</v>
      </c>
      <c r="E463">
        <f>_xlfn.XLOOKUP(Table4[[#This Row],[Base System]],BASE_SYSTEM_TABLE[System Name],BASE_SYSTEM_TABLE[System Name (Short)],FALSE)</f>
        <v>0</v>
      </c>
      <c r="F463">
        <f>_xlfn.XLOOKUP(Table4[[#This Row],[Base System]],BASE_SYSTEM_TABLE[System Name],BASE_SYSTEM_TABLE[System Type],FALSE)</f>
        <v>0</v>
      </c>
      <c r="G463">
        <f>_xlfn.XLOOKUP(Table4[[#This Row],[Base System]],BASE_SYSTEM_TABLE[System Name],BASE_SYSTEM_TABLE[System Subtype],FALSE)</f>
        <v>0</v>
      </c>
      <c r="H463">
        <f>_xlfn.XLOOKUP(Table4[[#This Row],[Base System]],BASE_SYSTEM_TABLE[System Name],BASE_SYSTEM_TABLE[Construction Type (Framed or Planar)],FALSE)</f>
        <v>0</v>
      </c>
      <c r="I463" t="e">
        <f>GETPIVOTDATA("Sum of A1-A3 Fossil kg CO2e/m^2 wall area",'COMPONENT PIVOT REF'!$A$3,"System Name",Table4[[#This Row],[Base System]])</f>
        <v>#REF!</v>
      </c>
      <c r="J463" t="e">
        <f>GETPIVOTDATA("Sum of  R value (m^2-K/W)",'COMPONENT PIVOT REF'!$A$3,"System Name",Table4[[#This Row],[Base System]])</f>
        <v>#REF!</v>
      </c>
      <c r="K463" t="e">
        <f>GETPIVOTDATA("Sum of Total Mass per m^2 (kg)",'COMPONENT PIVOT REF'!$A$3,"System Name",Table4[[#This Row],[Base System]])</f>
        <v>#REF!</v>
      </c>
      <c r="M463">
        <f>_xlfn.XLOOKUP(Table4[[#This Row],[Ext Finish]],Master_Table4[System Name],Master_Table4[System Name (Short)],FALSE)</f>
        <v>0</v>
      </c>
      <c r="N463">
        <f>_xlfn.XLOOKUP(Table4[[#This Row],[Ext Finish]],Master_Table4[System Name],Master_Table4[Compatible Systems],FALSE)</f>
        <v>0</v>
      </c>
      <c r="O463" t="str">
        <f>IF(ISNUMBER(SEARCH(Table4[[#This Row],[MMC Method]],Table4[[#This Row],[Compatible Systems]])),"YES","NO")</f>
        <v>YES</v>
      </c>
      <c r="P463" t="e">
        <f>GETPIVOTDATA("Sum of A1-A3 Fossil kg CO2e/m^2 wall area",'COMPONENT PIVOT REF'!$I$3,"System Name",Table4[[#This Row],[Ext Finish]])</f>
        <v>#REF!</v>
      </c>
      <c r="Q463" t="e">
        <f>GETPIVOTDATA("Sum of  R value (m^2-K/W)",'COMPONENT PIVOT REF'!$I$3,"System Name",Table4[[#This Row],[Ext Finish]])</f>
        <v>#REF!</v>
      </c>
      <c r="R463" t="e">
        <f>GETPIVOTDATA("Sum of Total Mass per m^2 (kg)",'COMPONENT PIVOT REF'!$I$3,"System Name",Table4[[#This Row],[Ext Finish]])</f>
        <v>#REF!</v>
      </c>
      <c r="T463">
        <f>_xlfn.XLOOKUP(Table4[[#This Row],[Int Finish]],Master_Table6[System Name],Master_Table6[System Name (Short)],FALSE)</f>
        <v>0</v>
      </c>
      <c r="U463" t="e">
        <f>GETPIVOTDATA("Sum of A1-A3 Fossil kg CO2e/m^2 wall area",'COMPONENT PIVOT REF'!$P$3,"System Name",Table4[[#This Row],[Int Finish]])</f>
        <v>#REF!</v>
      </c>
      <c r="V463" t="e">
        <f>GETPIVOTDATA("Sum of  R value (m^2-K/W)",'COMPONENT PIVOT REF'!$P$3,"System Name",Table4[[#This Row],[Int Finish]])</f>
        <v>#REF!</v>
      </c>
      <c r="W463" t="e">
        <f>GETPIVOTDATA("Sum of Total Mass per m^2 (kg)",'COMPONENT PIVOT REF'!$P$3,"System Name",Table4[[#This Row],[Int Finish]])</f>
        <v>#REF!</v>
      </c>
      <c r="X463" t="e">
        <f>Table4[[#This Row],[Ext Finish GWP]]+Table4[[#This Row],[Base GWP]]+Table4[[#This Row],[Int Finish GWP]]</f>
        <v>#REF!</v>
      </c>
      <c r="Y463" t="e">
        <f>Table4[[#This Row],[Ext Finish R Value]]+Table4[[#This Row],[Base R Value]]+Table4[[#This Row],[Int Finish R Value]]</f>
        <v>#REF!</v>
      </c>
      <c r="Z463" t="e">
        <f>1/Table4[[#This Row],[Total R value]]</f>
        <v>#REF!</v>
      </c>
      <c r="AA463" t="e">
        <f>Table4[[#This Row],[Int Finish Mass]]+Table4[[#This Row],[Ext Finish Mass]]+Table4[[#This Row],[Base Mass]]</f>
        <v>#REF!</v>
      </c>
    </row>
    <row r="464" spans="3:27" x14ac:dyDescent="0.35">
      <c r="C464" t="str">
        <f>_xlfn.CONCAT(Table4[[#This Row],[System Name (Short)]],"_",Table4[[#This Row],[Ext Finish Name (Short)]],"_",Table4[[#This Row],[Int Finish Name (Short)]])</f>
        <v>0_0_0</v>
      </c>
      <c r="E464">
        <f>_xlfn.XLOOKUP(Table4[[#This Row],[Base System]],BASE_SYSTEM_TABLE[System Name],BASE_SYSTEM_TABLE[System Name (Short)],FALSE)</f>
        <v>0</v>
      </c>
      <c r="F464">
        <f>_xlfn.XLOOKUP(Table4[[#This Row],[Base System]],BASE_SYSTEM_TABLE[System Name],BASE_SYSTEM_TABLE[System Type],FALSE)</f>
        <v>0</v>
      </c>
      <c r="G464">
        <f>_xlfn.XLOOKUP(Table4[[#This Row],[Base System]],BASE_SYSTEM_TABLE[System Name],BASE_SYSTEM_TABLE[System Subtype],FALSE)</f>
        <v>0</v>
      </c>
      <c r="H464">
        <f>_xlfn.XLOOKUP(Table4[[#This Row],[Base System]],BASE_SYSTEM_TABLE[System Name],BASE_SYSTEM_TABLE[Construction Type (Framed or Planar)],FALSE)</f>
        <v>0</v>
      </c>
      <c r="I464" t="e">
        <f>GETPIVOTDATA("Sum of A1-A3 Fossil kg CO2e/m^2 wall area",'COMPONENT PIVOT REF'!$A$3,"System Name",Table4[[#This Row],[Base System]])</f>
        <v>#REF!</v>
      </c>
      <c r="J464" t="e">
        <f>GETPIVOTDATA("Sum of  R value (m^2-K/W)",'COMPONENT PIVOT REF'!$A$3,"System Name",Table4[[#This Row],[Base System]])</f>
        <v>#REF!</v>
      </c>
      <c r="K464" t="e">
        <f>GETPIVOTDATA("Sum of Total Mass per m^2 (kg)",'COMPONENT PIVOT REF'!$A$3,"System Name",Table4[[#This Row],[Base System]])</f>
        <v>#REF!</v>
      </c>
      <c r="M464">
        <f>_xlfn.XLOOKUP(Table4[[#This Row],[Ext Finish]],Master_Table4[System Name],Master_Table4[System Name (Short)],FALSE)</f>
        <v>0</v>
      </c>
      <c r="N464">
        <f>_xlfn.XLOOKUP(Table4[[#This Row],[Ext Finish]],Master_Table4[System Name],Master_Table4[Compatible Systems],FALSE)</f>
        <v>0</v>
      </c>
      <c r="O464" t="str">
        <f>IF(ISNUMBER(SEARCH(Table4[[#This Row],[MMC Method]],Table4[[#This Row],[Compatible Systems]])),"YES","NO")</f>
        <v>YES</v>
      </c>
      <c r="P464" t="e">
        <f>GETPIVOTDATA("Sum of A1-A3 Fossil kg CO2e/m^2 wall area",'COMPONENT PIVOT REF'!$I$3,"System Name",Table4[[#This Row],[Ext Finish]])</f>
        <v>#REF!</v>
      </c>
      <c r="Q464" t="e">
        <f>GETPIVOTDATA("Sum of  R value (m^2-K/W)",'COMPONENT PIVOT REF'!$I$3,"System Name",Table4[[#This Row],[Ext Finish]])</f>
        <v>#REF!</v>
      </c>
      <c r="R464" t="e">
        <f>GETPIVOTDATA("Sum of Total Mass per m^2 (kg)",'COMPONENT PIVOT REF'!$I$3,"System Name",Table4[[#This Row],[Ext Finish]])</f>
        <v>#REF!</v>
      </c>
      <c r="T464">
        <f>_xlfn.XLOOKUP(Table4[[#This Row],[Int Finish]],Master_Table6[System Name],Master_Table6[System Name (Short)],FALSE)</f>
        <v>0</v>
      </c>
      <c r="U464" t="e">
        <f>GETPIVOTDATA("Sum of A1-A3 Fossil kg CO2e/m^2 wall area",'COMPONENT PIVOT REF'!$P$3,"System Name",Table4[[#This Row],[Int Finish]])</f>
        <v>#REF!</v>
      </c>
      <c r="V464" t="e">
        <f>GETPIVOTDATA("Sum of  R value (m^2-K/W)",'COMPONENT PIVOT REF'!$P$3,"System Name",Table4[[#This Row],[Int Finish]])</f>
        <v>#REF!</v>
      </c>
      <c r="W464" t="e">
        <f>GETPIVOTDATA("Sum of Total Mass per m^2 (kg)",'COMPONENT PIVOT REF'!$P$3,"System Name",Table4[[#This Row],[Int Finish]])</f>
        <v>#REF!</v>
      </c>
      <c r="X464" t="e">
        <f>Table4[[#This Row],[Ext Finish GWP]]+Table4[[#This Row],[Base GWP]]+Table4[[#This Row],[Int Finish GWP]]</f>
        <v>#REF!</v>
      </c>
      <c r="Y464" t="e">
        <f>Table4[[#This Row],[Ext Finish R Value]]+Table4[[#This Row],[Base R Value]]+Table4[[#This Row],[Int Finish R Value]]</f>
        <v>#REF!</v>
      </c>
      <c r="Z464" t="e">
        <f>1/Table4[[#This Row],[Total R value]]</f>
        <v>#REF!</v>
      </c>
      <c r="AA464" t="e">
        <f>Table4[[#This Row],[Int Finish Mass]]+Table4[[#This Row],[Ext Finish Mass]]+Table4[[#This Row],[Base Mass]]</f>
        <v>#REF!</v>
      </c>
    </row>
    <row r="465" spans="3:27" x14ac:dyDescent="0.35">
      <c r="C465" t="str">
        <f>_xlfn.CONCAT(Table4[[#This Row],[System Name (Short)]],"_",Table4[[#This Row],[Ext Finish Name (Short)]],"_",Table4[[#This Row],[Int Finish Name (Short)]])</f>
        <v>0_0_0</v>
      </c>
      <c r="E465">
        <f>_xlfn.XLOOKUP(Table4[[#This Row],[Base System]],BASE_SYSTEM_TABLE[System Name],BASE_SYSTEM_TABLE[System Name (Short)],FALSE)</f>
        <v>0</v>
      </c>
      <c r="F465">
        <f>_xlfn.XLOOKUP(Table4[[#This Row],[Base System]],BASE_SYSTEM_TABLE[System Name],BASE_SYSTEM_TABLE[System Type],FALSE)</f>
        <v>0</v>
      </c>
      <c r="G465">
        <f>_xlfn.XLOOKUP(Table4[[#This Row],[Base System]],BASE_SYSTEM_TABLE[System Name],BASE_SYSTEM_TABLE[System Subtype],FALSE)</f>
        <v>0</v>
      </c>
      <c r="H465">
        <f>_xlfn.XLOOKUP(Table4[[#This Row],[Base System]],BASE_SYSTEM_TABLE[System Name],BASE_SYSTEM_TABLE[Construction Type (Framed or Planar)],FALSE)</f>
        <v>0</v>
      </c>
      <c r="I465" t="e">
        <f>GETPIVOTDATA("Sum of A1-A3 Fossil kg CO2e/m^2 wall area",'COMPONENT PIVOT REF'!$A$3,"System Name",Table4[[#This Row],[Base System]])</f>
        <v>#REF!</v>
      </c>
      <c r="J465" t="e">
        <f>GETPIVOTDATA("Sum of  R value (m^2-K/W)",'COMPONENT PIVOT REF'!$A$3,"System Name",Table4[[#This Row],[Base System]])</f>
        <v>#REF!</v>
      </c>
      <c r="K465" t="e">
        <f>GETPIVOTDATA("Sum of Total Mass per m^2 (kg)",'COMPONENT PIVOT REF'!$A$3,"System Name",Table4[[#This Row],[Base System]])</f>
        <v>#REF!</v>
      </c>
      <c r="M465">
        <f>_xlfn.XLOOKUP(Table4[[#This Row],[Ext Finish]],Master_Table4[System Name],Master_Table4[System Name (Short)],FALSE)</f>
        <v>0</v>
      </c>
      <c r="N465">
        <f>_xlfn.XLOOKUP(Table4[[#This Row],[Ext Finish]],Master_Table4[System Name],Master_Table4[Compatible Systems],FALSE)</f>
        <v>0</v>
      </c>
      <c r="O465" t="str">
        <f>IF(ISNUMBER(SEARCH(Table4[[#This Row],[MMC Method]],Table4[[#This Row],[Compatible Systems]])),"YES","NO")</f>
        <v>YES</v>
      </c>
      <c r="P465" t="e">
        <f>GETPIVOTDATA("Sum of A1-A3 Fossil kg CO2e/m^2 wall area",'COMPONENT PIVOT REF'!$I$3,"System Name",Table4[[#This Row],[Ext Finish]])</f>
        <v>#REF!</v>
      </c>
      <c r="Q465" t="e">
        <f>GETPIVOTDATA("Sum of  R value (m^2-K/W)",'COMPONENT PIVOT REF'!$I$3,"System Name",Table4[[#This Row],[Ext Finish]])</f>
        <v>#REF!</v>
      </c>
      <c r="R465" t="e">
        <f>GETPIVOTDATA("Sum of Total Mass per m^2 (kg)",'COMPONENT PIVOT REF'!$I$3,"System Name",Table4[[#This Row],[Ext Finish]])</f>
        <v>#REF!</v>
      </c>
      <c r="T465">
        <f>_xlfn.XLOOKUP(Table4[[#This Row],[Int Finish]],Master_Table6[System Name],Master_Table6[System Name (Short)],FALSE)</f>
        <v>0</v>
      </c>
      <c r="U465" t="e">
        <f>GETPIVOTDATA("Sum of A1-A3 Fossil kg CO2e/m^2 wall area",'COMPONENT PIVOT REF'!$P$3,"System Name",Table4[[#This Row],[Int Finish]])</f>
        <v>#REF!</v>
      </c>
      <c r="V465" t="e">
        <f>GETPIVOTDATA("Sum of  R value (m^2-K/W)",'COMPONENT PIVOT REF'!$P$3,"System Name",Table4[[#This Row],[Int Finish]])</f>
        <v>#REF!</v>
      </c>
      <c r="W465" t="e">
        <f>GETPIVOTDATA("Sum of Total Mass per m^2 (kg)",'COMPONENT PIVOT REF'!$P$3,"System Name",Table4[[#This Row],[Int Finish]])</f>
        <v>#REF!</v>
      </c>
      <c r="X465" t="e">
        <f>Table4[[#This Row],[Ext Finish GWP]]+Table4[[#This Row],[Base GWP]]+Table4[[#This Row],[Int Finish GWP]]</f>
        <v>#REF!</v>
      </c>
      <c r="Y465" t="e">
        <f>Table4[[#This Row],[Ext Finish R Value]]+Table4[[#This Row],[Base R Value]]+Table4[[#This Row],[Int Finish R Value]]</f>
        <v>#REF!</v>
      </c>
      <c r="Z465" t="e">
        <f>1/Table4[[#This Row],[Total R value]]</f>
        <v>#REF!</v>
      </c>
      <c r="AA465" t="e">
        <f>Table4[[#This Row],[Int Finish Mass]]+Table4[[#This Row],[Ext Finish Mass]]+Table4[[#This Row],[Base Mass]]</f>
        <v>#REF!</v>
      </c>
    </row>
    <row r="466" spans="3:27" x14ac:dyDescent="0.35">
      <c r="C466" t="str">
        <f>_xlfn.CONCAT(Table4[[#This Row],[System Name (Short)]],"_",Table4[[#This Row],[Ext Finish Name (Short)]],"_",Table4[[#This Row],[Int Finish Name (Short)]])</f>
        <v>0_0_0</v>
      </c>
      <c r="E466">
        <f>_xlfn.XLOOKUP(Table4[[#This Row],[Base System]],BASE_SYSTEM_TABLE[System Name],BASE_SYSTEM_TABLE[System Name (Short)],FALSE)</f>
        <v>0</v>
      </c>
      <c r="F466">
        <f>_xlfn.XLOOKUP(Table4[[#This Row],[Base System]],BASE_SYSTEM_TABLE[System Name],BASE_SYSTEM_TABLE[System Type],FALSE)</f>
        <v>0</v>
      </c>
      <c r="G466">
        <f>_xlfn.XLOOKUP(Table4[[#This Row],[Base System]],BASE_SYSTEM_TABLE[System Name],BASE_SYSTEM_TABLE[System Subtype],FALSE)</f>
        <v>0</v>
      </c>
      <c r="H466">
        <f>_xlfn.XLOOKUP(Table4[[#This Row],[Base System]],BASE_SYSTEM_TABLE[System Name],BASE_SYSTEM_TABLE[Construction Type (Framed or Planar)],FALSE)</f>
        <v>0</v>
      </c>
      <c r="I466" t="e">
        <f>GETPIVOTDATA("Sum of A1-A3 Fossil kg CO2e/m^2 wall area",'COMPONENT PIVOT REF'!$A$3,"System Name",Table4[[#This Row],[Base System]])</f>
        <v>#REF!</v>
      </c>
      <c r="J466" t="e">
        <f>GETPIVOTDATA("Sum of  R value (m^2-K/W)",'COMPONENT PIVOT REF'!$A$3,"System Name",Table4[[#This Row],[Base System]])</f>
        <v>#REF!</v>
      </c>
      <c r="K466" t="e">
        <f>GETPIVOTDATA("Sum of Total Mass per m^2 (kg)",'COMPONENT PIVOT REF'!$A$3,"System Name",Table4[[#This Row],[Base System]])</f>
        <v>#REF!</v>
      </c>
      <c r="M466">
        <f>_xlfn.XLOOKUP(Table4[[#This Row],[Ext Finish]],Master_Table4[System Name],Master_Table4[System Name (Short)],FALSE)</f>
        <v>0</v>
      </c>
      <c r="N466">
        <f>_xlfn.XLOOKUP(Table4[[#This Row],[Ext Finish]],Master_Table4[System Name],Master_Table4[Compatible Systems],FALSE)</f>
        <v>0</v>
      </c>
      <c r="O466" t="str">
        <f>IF(ISNUMBER(SEARCH(Table4[[#This Row],[MMC Method]],Table4[[#This Row],[Compatible Systems]])),"YES","NO")</f>
        <v>YES</v>
      </c>
      <c r="P466" t="e">
        <f>GETPIVOTDATA("Sum of A1-A3 Fossil kg CO2e/m^2 wall area",'COMPONENT PIVOT REF'!$I$3,"System Name",Table4[[#This Row],[Ext Finish]])</f>
        <v>#REF!</v>
      </c>
      <c r="Q466" t="e">
        <f>GETPIVOTDATA("Sum of  R value (m^2-K/W)",'COMPONENT PIVOT REF'!$I$3,"System Name",Table4[[#This Row],[Ext Finish]])</f>
        <v>#REF!</v>
      </c>
      <c r="R466" t="e">
        <f>GETPIVOTDATA("Sum of Total Mass per m^2 (kg)",'COMPONENT PIVOT REF'!$I$3,"System Name",Table4[[#This Row],[Ext Finish]])</f>
        <v>#REF!</v>
      </c>
      <c r="T466">
        <f>_xlfn.XLOOKUP(Table4[[#This Row],[Int Finish]],Master_Table6[System Name],Master_Table6[System Name (Short)],FALSE)</f>
        <v>0</v>
      </c>
      <c r="U466" t="e">
        <f>GETPIVOTDATA("Sum of A1-A3 Fossil kg CO2e/m^2 wall area",'COMPONENT PIVOT REF'!$P$3,"System Name",Table4[[#This Row],[Int Finish]])</f>
        <v>#REF!</v>
      </c>
      <c r="V466" t="e">
        <f>GETPIVOTDATA("Sum of  R value (m^2-K/W)",'COMPONENT PIVOT REF'!$P$3,"System Name",Table4[[#This Row],[Int Finish]])</f>
        <v>#REF!</v>
      </c>
      <c r="W466" t="e">
        <f>GETPIVOTDATA("Sum of Total Mass per m^2 (kg)",'COMPONENT PIVOT REF'!$P$3,"System Name",Table4[[#This Row],[Int Finish]])</f>
        <v>#REF!</v>
      </c>
      <c r="X466" t="e">
        <f>Table4[[#This Row],[Ext Finish GWP]]+Table4[[#This Row],[Base GWP]]+Table4[[#This Row],[Int Finish GWP]]</f>
        <v>#REF!</v>
      </c>
      <c r="Y466" t="e">
        <f>Table4[[#This Row],[Ext Finish R Value]]+Table4[[#This Row],[Base R Value]]+Table4[[#This Row],[Int Finish R Value]]</f>
        <v>#REF!</v>
      </c>
      <c r="Z466" t="e">
        <f>1/Table4[[#This Row],[Total R value]]</f>
        <v>#REF!</v>
      </c>
      <c r="AA466" t="e">
        <f>Table4[[#This Row],[Int Finish Mass]]+Table4[[#This Row],[Ext Finish Mass]]+Table4[[#This Row],[Base Mass]]</f>
        <v>#REF!</v>
      </c>
    </row>
    <row r="467" spans="3:27" x14ac:dyDescent="0.35">
      <c r="C467" t="str">
        <f>_xlfn.CONCAT(Table4[[#This Row],[System Name (Short)]],"_",Table4[[#This Row],[Ext Finish Name (Short)]],"_",Table4[[#This Row],[Int Finish Name (Short)]])</f>
        <v>0_0_0</v>
      </c>
      <c r="E467">
        <f>_xlfn.XLOOKUP(Table4[[#This Row],[Base System]],BASE_SYSTEM_TABLE[System Name],BASE_SYSTEM_TABLE[System Name (Short)],FALSE)</f>
        <v>0</v>
      </c>
      <c r="F467">
        <f>_xlfn.XLOOKUP(Table4[[#This Row],[Base System]],BASE_SYSTEM_TABLE[System Name],BASE_SYSTEM_TABLE[System Type],FALSE)</f>
        <v>0</v>
      </c>
      <c r="G467">
        <f>_xlfn.XLOOKUP(Table4[[#This Row],[Base System]],BASE_SYSTEM_TABLE[System Name],BASE_SYSTEM_TABLE[System Subtype],FALSE)</f>
        <v>0</v>
      </c>
      <c r="H467">
        <f>_xlfn.XLOOKUP(Table4[[#This Row],[Base System]],BASE_SYSTEM_TABLE[System Name],BASE_SYSTEM_TABLE[Construction Type (Framed or Planar)],FALSE)</f>
        <v>0</v>
      </c>
      <c r="I467" t="e">
        <f>GETPIVOTDATA("Sum of A1-A3 Fossil kg CO2e/m^2 wall area",'COMPONENT PIVOT REF'!$A$3,"System Name",Table4[[#This Row],[Base System]])</f>
        <v>#REF!</v>
      </c>
      <c r="J467" t="e">
        <f>GETPIVOTDATA("Sum of  R value (m^2-K/W)",'COMPONENT PIVOT REF'!$A$3,"System Name",Table4[[#This Row],[Base System]])</f>
        <v>#REF!</v>
      </c>
      <c r="K467" t="e">
        <f>GETPIVOTDATA("Sum of Total Mass per m^2 (kg)",'COMPONENT PIVOT REF'!$A$3,"System Name",Table4[[#This Row],[Base System]])</f>
        <v>#REF!</v>
      </c>
      <c r="M467">
        <f>_xlfn.XLOOKUP(Table4[[#This Row],[Ext Finish]],Master_Table4[System Name],Master_Table4[System Name (Short)],FALSE)</f>
        <v>0</v>
      </c>
      <c r="N467">
        <f>_xlfn.XLOOKUP(Table4[[#This Row],[Ext Finish]],Master_Table4[System Name],Master_Table4[Compatible Systems],FALSE)</f>
        <v>0</v>
      </c>
      <c r="O467" t="str">
        <f>IF(ISNUMBER(SEARCH(Table4[[#This Row],[MMC Method]],Table4[[#This Row],[Compatible Systems]])),"YES","NO")</f>
        <v>YES</v>
      </c>
      <c r="P467" t="e">
        <f>GETPIVOTDATA("Sum of A1-A3 Fossil kg CO2e/m^2 wall area",'COMPONENT PIVOT REF'!$I$3,"System Name",Table4[[#This Row],[Ext Finish]])</f>
        <v>#REF!</v>
      </c>
      <c r="Q467" t="e">
        <f>GETPIVOTDATA("Sum of  R value (m^2-K/W)",'COMPONENT PIVOT REF'!$I$3,"System Name",Table4[[#This Row],[Ext Finish]])</f>
        <v>#REF!</v>
      </c>
      <c r="R467" t="e">
        <f>GETPIVOTDATA("Sum of Total Mass per m^2 (kg)",'COMPONENT PIVOT REF'!$I$3,"System Name",Table4[[#This Row],[Ext Finish]])</f>
        <v>#REF!</v>
      </c>
      <c r="T467">
        <f>_xlfn.XLOOKUP(Table4[[#This Row],[Int Finish]],Master_Table6[System Name],Master_Table6[System Name (Short)],FALSE)</f>
        <v>0</v>
      </c>
      <c r="U467" t="e">
        <f>GETPIVOTDATA("Sum of A1-A3 Fossil kg CO2e/m^2 wall area",'COMPONENT PIVOT REF'!$P$3,"System Name",Table4[[#This Row],[Int Finish]])</f>
        <v>#REF!</v>
      </c>
      <c r="V467" t="e">
        <f>GETPIVOTDATA("Sum of  R value (m^2-K/W)",'COMPONENT PIVOT REF'!$P$3,"System Name",Table4[[#This Row],[Int Finish]])</f>
        <v>#REF!</v>
      </c>
      <c r="W467" t="e">
        <f>GETPIVOTDATA("Sum of Total Mass per m^2 (kg)",'COMPONENT PIVOT REF'!$P$3,"System Name",Table4[[#This Row],[Int Finish]])</f>
        <v>#REF!</v>
      </c>
      <c r="X467" t="e">
        <f>Table4[[#This Row],[Ext Finish GWP]]+Table4[[#This Row],[Base GWP]]+Table4[[#This Row],[Int Finish GWP]]</f>
        <v>#REF!</v>
      </c>
      <c r="Y467" t="e">
        <f>Table4[[#This Row],[Ext Finish R Value]]+Table4[[#This Row],[Base R Value]]+Table4[[#This Row],[Int Finish R Value]]</f>
        <v>#REF!</v>
      </c>
      <c r="Z467" t="e">
        <f>1/Table4[[#This Row],[Total R value]]</f>
        <v>#REF!</v>
      </c>
      <c r="AA467" t="e">
        <f>Table4[[#This Row],[Int Finish Mass]]+Table4[[#This Row],[Ext Finish Mass]]+Table4[[#This Row],[Base Mass]]</f>
        <v>#REF!</v>
      </c>
    </row>
    <row r="468" spans="3:27" x14ac:dyDescent="0.35">
      <c r="C468" t="str">
        <f>_xlfn.CONCAT(Table4[[#This Row],[System Name (Short)]],"_",Table4[[#This Row],[Ext Finish Name (Short)]],"_",Table4[[#This Row],[Int Finish Name (Short)]])</f>
        <v>0_0_0</v>
      </c>
      <c r="E468">
        <f>_xlfn.XLOOKUP(Table4[[#This Row],[Base System]],BASE_SYSTEM_TABLE[System Name],BASE_SYSTEM_TABLE[System Name (Short)],FALSE)</f>
        <v>0</v>
      </c>
      <c r="F468">
        <f>_xlfn.XLOOKUP(Table4[[#This Row],[Base System]],BASE_SYSTEM_TABLE[System Name],BASE_SYSTEM_TABLE[System Type],FALSE)</f>
        <v>0</v>
      </c>
      <c r="G468">
        <f>_xlfn.XLOOKUP(Table4[[#This Row],[Base System]],BASE_SYSTEM_TABLE[System Name],BASE_SYSTEM_TABLE[System Subtype],FALSE)</f>
        <v>0</v>
      </c>
      <c r="H468">
        <f>_xlfn.XLOOKUP(Table4[[#This Row],[Base System]],BASE_SYSTEM_TABLE[System Name],BASE_SYSTEM_TABLE[Construction Type (Framed or Planar)],FALSE)</f>
        <v>0</v>
      </c>
      <c r="I468" t="e">
        <f>GETPIVOTDATA("Sum of A1-A3 Fossil kg CO2e/m^2 wall area",'COMPONENT PIVOT REF'!$A$3,"System Name",Table4[[#This Row],[Base System]])</f>
        <v>#REF!</v>
      </c>
      <c r="J468" t="e">
        <f>GETPIVOTDATA("Sum of  R value (m^2-K/W)",'COMPONENT PIVOT REF'!$A$3,"System Name",Table4[[#This Row],[Base System]])</f>
        <v>#REF!</v>
      </c>
      <c r="K468" t="e">
        <f>GETPIVOTDATA("Sum of Total Mass per m^2 (kg)",'COMPONENT PIVOT REF'!$A$3,"System Name",Table4[[#This Row],[Base System]])</f>
        <v>#REF!</v>
      </c>
      <c r="M468">
        <f>_xlfn.XLOOKUP(Table4[[#This Row],[Ext Finish]],Master_Table4[System Name],Master_Table4[System Name (Short)],FALSE)</f>
        <v>0</v>
      </c>
      <c r="N468">
        <f>_xlfn.XLOOKUP(Table4[[#This Row],[Ext Finish]],Master_Table4[System Name],Master_Table4[Compatible Systems],FALSE)</f>
        <v>0</v>
      </c>
      <c r="O468" t="str">
        <f>IF(ISNUMBER(SEARCH(Table4[[#This Row],[MMC Method]],Table4[[#This Row],[Compatible Systems]])),"YES","NO")</f>
        <v>YES</v>
      </c>
      <c r="P468" t="e">
        <f>GETPIVOTDATA("Sum of A1-A3 Fossil kg CO2e/m^2 wall area",'COMPONENT PIVOT REF'!$I$3,"System Name",Table4[[#This Row],[Ext Finish]])</f>
        <v>#REF!</v>
      </c>
      <c r="Q468" t="e">
        <f>GETPIVOTDATA("Sum of  R value (m^2-K/W)",'COMPONENT PIVOT REF'!$I$3,"System Name",Table4[[#This Row],[Ext Finish]])</f>
        <v>#REF!</v>
      </c>
      <c r="R468" t="e">
        <f>GETPIVOTDATA("Sum of Total Mass per m^2 (kg)",'COMPONENT PIVOT REF'!$I$3,"System Name",Table4[[#This Row],[Ext Finish]])</f>
        <v>#REF!</v>
      </c>
      <c r="T468">
        <f>_xlfn.XLOOKUP(Table4[[#This Row],[Int Finish]],Master_Table6[System Name],Master_Table6[System Name (Short)],FALSE)</f>
        <v>0</v>
      </c>
      <c r="U468" t="e">
        <f>GETPIVOTDATA("Sum of A1-A3 Fossil kg CO2e/m^2 wall area",'COMPONENT PIVOT REF'!$P$3,"System Name",Table4[[#This Row],[Int Finish]])</f>
        <v>#REF!</v>
      </c>
      <c r="V468" t="e">
        <f>GETPIVOTDATA("Sum of  R value (m^2-K/W)",'COMPONENT PIVOT REF'!$P$3,"System Name",Table4[[#This Row],[Int Finish]])</f>
        <v>#REF!</v>
      </c>
      <c r="W468" t="e">
        <f>GETPIVOTDATA("Sum of Total Mass per m^2 (kg)",'COMPONENT PIVOT REF'!$P$3,"System Name",Table4[[#This Row],[Int Finish]])</f>
        <v>#REF!</v>
      </c>
      <c r="X468" t="e">
        <f>Table4[[#This Row],[Ext Finish GWP]]+Table4[[#This Row],[Base GWP]]+Table4[[#This Row],[Int Finish GWP]]</f>
        <v>#REF!</v>
      </c>
      <c r="Y468" t="e">
        <f>Table4[[#This Row],[Ext Finish R Value]]+Table4[[#This Row],[Base R Value]]+Table4[[#This Row],[Int Finish R Value]]</f>
        <v>#REF!</v>
      </c>
      <c r="Z468" t="e">
        <f>1/Table4[[#This Row],[Total R value]]</f>
        <v>#REF!</v>
      </c>
      <c r="AA468" t="e">
        <f>Table4[[#This Row],[Int Finish Mass]]+Table4[[#This Row],[Ext Finish Mass]]+Table4[[#This Row],[Base Mass]]</f>
        <v>#REF!</v>
      </c>
    </row>
    <row r="469" spans="3:27" x14ac:dyDescent="0.35">
      <c r="C469" t="str">
        <f>_xlfn.CONCAT(Table4[[#This Row],[System Name (Short)]],"_",Table4[[#This Row],[Ext Finish Name (Short)]],"_",Table4[[#This Row],[Int Finish Name (Short)]])</f>
        <v>0_0_0</v>
      </c>
      <c r="E469">
        <f>_xlfn.XLOOKUP(Table4[[#This Row],[Base System]],BASE_SYSTEM_TABLE[System Name],BASE_SYSTEM_TABLE[System Name (Short)],FALSE)</f>
        <v>0</v>
      </c>
      <c r="F469">
        <f>_xlfn.XLOOKUP(Table4[[#This Row],[Base System]],BASE_SYSTEM_TABLE[System Name],BASE_SYSTEM_TABLE[System Type],FALSE)</f>
        <v>0</v>
      </c>
      <c r="G469">
        <f>_xlfn.XLOOKUP(Table4[[#This Row],[Base System]],BASE_SYSTEM_TABLE[System Name],BASE_SYSTEM_TABLE[System Subtype],FALSE)</f>
        <v>0</v>
      </c>
      <c r="H469">
        <f>_xlfn.XLOOKUP(Table4[[#This Row],[Base System]],BASE_SYSTEM_TABLE[System Name],BASE_SYSTEM_TABLE[Construction Type (Framed or Planar)],FALSE)</f>
        <v>0</v>
      </c>
      <c r="I469" t="e">
        <f>GETPIVOTDATA("Sum of A1-A3 Fossil kg CO2e/m^2 wall area",'COMPONENT PIVOT REF'!$A$3,"System Name",Table4[[#This Row],[Base System]])</f>
        <v>#REF!</v>
      </c>
      <c r="J469" t="e">
        <f>GETPIVOTDATA("Sum of  R value (m^2-K/W)",'COMPONENT PIVOT REF'!$A$3,"System Name",Table4[[#This Row],[Base System]])</f>
        <v>#REF!</v>
      </c>
      <c r="K469" t="e">
        <f>GETPIVOTDATA("Sum of Total Mass per m^2 (kg)",'COMPONENT PIVOT REF'!$A$3,"System Name",Table4[[#This Row],[Base System]])</f>
        <v>#REF!</v>
      </c>
      <c r="M469">
        <f>_xlfn.XLOOKUP(Table4[[#This Row],[Ext Finish]],Master_Table4[System Name],Master_Table4[System Name (Short)],FALSE)</f>
        <v>0</v>
      </c>
      <c r="N469">
        <f>_xlfn.XLOOKUP(Table4[[#This Row],[Ext Finish]],Master_Table4[System Name],Master_Table4[Compatible Systems],FALSE)</f>
        <v>0</v>
      </c>
      <c r="O469" t="str">
        <f>IF(ISNUMBER(SEARCH(Table4[[#This Row],[MMC Method]],Table4[[#This Row],[Compatible Systems]])),"YES","NO")</f>
        <v>YES</v>
      </c>
      <c r="P469" t="e">
        <f>GETPIVOTDATA("Sum of A1-A3 Fossil kg CO2e/m^2 wall area",'COMPONENT PIVOT REF'!$I$3,"System Name",Table4[[#This Row],[Ext Finish]])</f>
        <v>#REF!</v>
      </c>
      <c r="Q469" t="e">
        <f>GETPIVOTDATA("Sum of  R value (m^2-K/W)",'COMPONENT PIVOT REF'!$I$3,"System Name",Table4[[#This Row],[Ext Finish]])</f>
        <v>#REF!</v>
      </c>
      <c r="R469" t="e">
        <f>GETPIVOTDATA("Sum of Total Mass per m^2 (kg)",'COMPONENT PIVOT REF'!$I$3,"System Name",Table4[[#This Row],[Ext Finish]])</f>
        <v>#REF!</v>
      </c>
      <c r="T469">
        <f>_xlfn.XLOOKUP(Table4[[#This Row],[Int Finish]],Master_Table6[System Name],Master_Table6[System Name (Short)],FALSE)</f>
        <v>0</v>
      </c>
      <c r="U469" t="e">
        <f>GETPIVOTDATA("Sum of A1-A3 Fossil kg CO2e/m^2 wall area",'COMPONENT PIVOT REF'!$P$3,"System Name",Table4[[#This Row],[Int Finish]])</f>
        <v>#REF!</v>
      </c>
      <c r="V469" t="e">
        <f>GETPIVOTDATA("Sum of  R value (m^2-K/W)",'COMPONENT PIVOT REF'!$P$3,"System Name",Table4[[#This Row],[Int Finish]])</f>
        <v>#REF!</v>
      </c>
      <c r="W469" t="e">
        <f>GETPIVOTDATA("Sum of Total Mass per m^2 (kg)",'COMPONENT PIVOT REF'!$P$3,"System Name",Table4[[#This Row],[Int Finish]])</f>
        <v>#REF!</v>
      </c>
      <c r="X469" t="e">
        <f>Table4[[#This Row],[Ext Finish GWP]]+Table4[[#This Row],[Base GWP]]+Table4[[#This Row],[Int Finish GWP]]</f>
        <v>#REF!</v>
      </c>
      <c r="Y469" t="e">
        <f>Table4[[#This Row],[Ext Finish R Value]]+Table4[[#This Row],[Base R Value]]+Table4[[#This Row],[Int Finish R Value]]</f>
        <v>#REF!</v>
      </c>
      <c r="Z469" t="e">
        <f>1/Table4[[#This Row],[Total R value]]</f>
        <v>#REF!</v>
      </c>
      <c r="AA469" t="e">
        <f>Table4[[#This Row],[Int Finish Mass]]+Table4[[#This Row],[Ext Finish Mass]]+Table4[[#This Row],[Base Mass]]</f>
        <v>#REF!</v>
      </c>
    </row>
    <row r="470" spans="3:27" x14ac:dyDescent="0.35">
      <c r="C470" t="str">
        <f>_xlfn.CONCAT(Table4[[#This Row],[System Name (Short)]],"_",Table4[[#This Row],[Ext Finish Name (Short)]],"_",Table4[[#This Row],[Int Finish Name (Short)]])</f>
        <v>0_0_0</v>
      </c>
      <c r="E470">
        <f>_xlfn.XLOOKUP(Table4[[#This Row],[Base System]],BASE_SYSTEM_TABLE[System Name],BASE_SYSTEM_TABLE[System Name (Short)],FALSE)</f>
        <v>0</v>
      </c>
      <c r="F470">
        <f>_xlfn.XLOOKUP(Table4[[#This Row],[Base System]],BASE_SYSTEM_TABLE[System Name],BASE_SYSTEM_TABLE[System Type],FALSE)</f>
        <v>0</v>
      </c>
      <c r="G470">
        <f>_xlfn.XLOOKUP(Table4[[#This Row],[Base System]],BASE_SYSTEM_TABLE[System Name],BASE_SYSTEM_TABLE[System Subtype],FALSE)</f>
        <v>0</v>
      </c>
      <c r="H470">
        <f>_xlfn.XLOOKUP(Table4[[#This Row],[Base System]],BASE_SYSTEM_TABLE[System Name],BASE_SYSTEM_TABLE[Construction Type (Framed or Planar)],FALSE)</f>
        <v>0</v>
      </c>
      <c r="I470" t="e">
        <f>GETPIVOTDATA("Sum of A1-A3 Fossil kg CO2e/m^2 wall area",'COMPONENT PIVOT REF'!$A$3,"System Name",Table4[[#This Row],[Base System]])</f>
        <v>#REF!</v>
      </c>
      <c r="J470" t="e">
        <f>GETPIVOTDATA("Sum of  R value (m^2-K/W)",'COMPONENT PIVOT REF'!$A$3,"System Name",Table4[[#This Row],[Base System]])</f>
        <v>#REF!</v>
      </c>
      <c r="K470" t="e">
        <f>GETPIVOTDATA("Sum of Total Mass per m^2 (kg)",'COMPONENT PIVOT REF'!$A$3,"System Name",Table4[[#This Row],[Base System]])</f>
        <v>#REF!</v>
      </c>
      <c r="M470">
        <f>_xlfn.XLOOKUP(Table4[[#This Row],[Ext Finish]],Master_Table4[System Name],Master_Table4[System Name (Short)],FALSE)</f>
        <v>0</v>
      </c>
      <c r="N470">
        <f>_xlfn.XLOOKUP(Table4[[#This Row],[Ext Finish]],Master_Table4[System Name],Master_Table4[Compatible Systems],FALSE)</f>
        <v>0</v>
      </c>
      <c r="O470" t="str">
        <f>IF(ISNUMBER(SEARCH(Table4[[#This Row],[MMC Method]],Table4[[#This Row],[Compatible Systems]])),"YES","NO")</f>
        <v>YES</v>
      </c>
      <c r="P470" t="e">
        <f>GETPIVOTDATA("Sum of A1-A3 Fossil kg CO2e/m^2 wall area",'COMPONENT PIVOT REF'!$I$3,"System Name",Table4[[#This Row],[Ext Finish]])</f>
        <v>#REF!</v>
      </c>
      <c r="Q470" t="e">
        <f>GETPIVOTDATA("Sum of  R value (m^2-K/W)",'COMPONENT PIVOT REF'!$I$3,"System Name",Table4[[#This Row],[Ext Finish]])</f>
        <v>#REF!</v>
      </c>
      <c r="R470" t="e">
        <f>GETPIVOTDATA("Sum of Total Mass per m^2 (kg)",'COMPONENT PIVOT REF'!$I$3,"System Name",Table4[[#This Row],[Ext Finish]])</f>
        <v>#REF!</v>
      </c>
      <c r="T470">
        <f>_xlfn.XLOOKUP(Table4[[#This Row],[Int Finish]],Master_Table6[System Name],Master_Table6[System Name (Short)],FALSE)</f>
        <v>0</v>
      </c>
      <c r="U470" t="e">
        <f>GETPIVOTDATA("Sum of A1-A3 Fossil kg CO2e/m^2 wall area",'COMPONENT PIVOT REF'!$P$3,"System Name",Table4[[#This Row],[Int Finish]])</f>
        <v>#REF!</v>
      </c>
      <c r="V470" t="e">
        <f>GETPIVOTDATA("Sum of  R value (m^2-K/W)",'COMPONENT PIVOT REF'!$P$3,"System Name",Table4[[#This Row],[Int Finish]])</f>
        <v>#REF!</v>
      </c>
      <c r="W470" t="e">
        <f>GETPIVOTDATA("Sum of Total Mass per m^2 (kg)",'COMPONENT PIVOT REF'!$P$3,"System Name",Table4[[#This Row],[Int Finish]])</f>
        <v>#REF!</v>
      </c>
      <c r="X470" t="e">
        <f>Table4[[#This Row],[Ext Finish GWP]]+Table4[[#This Row],[Base GWP]]+Table4[[#This Row],[Int Finish GWP]]</f>
        <v>#REF!</v>
      </c>
      <c r="Y470" t="e">
        <f>Table4[[#This Row],[Ext Finish R Value]]+Table4[[#This Row],[Base R Value]]+Table4[[#This Row],[Int Finish R Value]]</f>
        <v>#REF!</v>
      </c>
      <c r="Z470" t="e">
        <f>1/Table4[[#This Row],[Total R value]]</f>
        <v>#REF!</v>
      </c>
      <c r="AA470" t="e">
        <f>Table4[[#This Row],[Int Finish Mass]]+Table4[[#This Row],[Ext Finish Mass]]+Table4[[#This Row],[Base Mass]]</f>
        <v>#REF!</v>
      </c>
    </row>
    <row r="471" spans="3:27" x14ac:dyDescent="0.35">
      <c r="C471" t="str">
        <f>_xlfn.CONCAT(Table4[[#This Row],[System Name (Short)]],"_",Table4[[#This Row],[Ext Finish Name (Short)]],"_",Table4[[#This Row],[Int Finish Name (Short)]])</f>
        <v>0_0_0</v>
      </c>
      <c r="E471">
        <f>_xlfn.XLOOKUP(Table4[[#This Row],[Base System]],BASE_SYSTEM_TABLE[System Name],BASE_SYSTEM_TABLE[System Name (Short)],FALSE)</f>
        <v>0</v>
      </c>
      <c r="F471">
        <f>_xlfn.XLOOKUP(Table4[[#This Row],[Base System]],BASE_SYSTEM_TABLE[System Name],BASE_SYSTEM_TABLE[System Type],FALSE)</f>
        <v>0</v>
      </c>
      <c r="G471">
        <f>_xlfn.XLOOKUP(Table4[[#This Row],[Base System]],BASE_SYSTEM_TABLE[System Name],BASE_SYSTEM_TABLE[System Subtype],FALSE)</f>
        <v>0</v>
      </c>
      <c r="H471">
        <f>_xlfn.XLOOKUP(Table4[[#This Row],[Base System]],BASE_SYSTEM_TABLE[System Name],BASE_SYSTEM_TABLE[Construction Type (Framed or Planar)],FALSE)</f>
        <v>0</v>
      </c>
      <c r="I471" t="e">
        <f>GETPIVOTDATA("Sum of A1-A3 Fossil kg CO2e/m^2 wall area",'COMPONENT PIVOT REF'!$A$3,"System Name",Table4[[#This Row],[Base System]])</f>
        <v>#REF!</v>
      </c>
      <c r="J471" t="e">
        <f>GETPIVOTDATA("Sum of  R value (m^2-K/W)",'COMPONENT PIVOT REF'!$A$3,"System Name",Table4[[#This Row],[Base System]])</f>
        <v>#REF!</v>
      </c>
      <c r="K471" t="e">
        <f>GETPIVOTDATA("Sum of Total Mass per m^2 (kg)",'COMPONENT PIVOT REF'!$A$3,"System Name",Table4[[#This Row],[Base System]])</f>
        <v>#REF!</v>
      </c>
      <c r="M471">
        <f>_xlfn.XLOOKUP(Table4[[#This Row],[Ext Finish]],Master_Table4[System Name],Master_Table4[System Name (Short)],FALSE)</f>
        <v>0</v>
      </c>
      <c r="N471">
        <f>_xlfn.XLOOKUP(Table4[[#This Row],[Ext Finish]],Master_Table4[System Name],Master_Table4[Compatible Systems],FALSE)</f>
        <v>0</v>
      </c>
      <c r="O471" t="str">
        <f>IF(ISNUMBER(SEARCH(Table4[[#This Row],[MMC Method]],Table4[[#This Row],[Compatible Systems]])),"YES","NO")</f>
        <v>YES</v>
      </c>
      <c r="P471" t="e">
        <f>GETPIVOTDATA("Sum of A1-A3 Fossil kg CO2e/m^2 wall area",'COMPONENT PIVOT REF'!$I$3,"System Name",Table4[[#This Row],[Ext Finish]])</f>
        <v>#REF!</v>
      </c>
      <c r="Q471" t="e">
        <f>GETPIVOTDATA("Sum of  R value (m^2-K/W)",'COMPONENT PIVOT REF'!$I$3,"System Name",Table4[[#This Row],[Ext Finish]])</f>
        <v>#REF!</v>
      </c>
      <c r="R471" t="e">
        <f>GETPIVOTDATA("Sum of Total Mass per m^2 (kg)",'COMPONENT PIVOT REF'!$I$3,"System Name",Table4[[#This Row],[Ext Finish]])</f>
        <v>#REF!</v>
      </c>
      <c r="T471">
        <f>_xlfn.XLOOKUP(Table4[[#This Row],[Int Finish]],Master_Table6[System Name],Master_Table6[System Name (Short)],FALSE)</f>
        <v>0</v>
      </c>
      <c r="U471" t="e">
        <f>GETPIVOTDATA("Sum of A1-A3 Fossil kg CO2e/m^2 wall area",'COMPONENT PIVOT REF'!$P$3,"System Name",Table4[[#This Row],[Int Finish]])</f>
        <v>#REF!</v>
      </c>
      <c r="V471" t="e">
        <f>GETPIVOTDATA("Sum of  R value (m^2-K/W)",'COMPONENT PIVOT REF'!$P$3,"System Name",Table4[[#This Row],[Int Finish]])</f>
        <v>#REF!</v>
      </c>
      <c r="W471" t="e">
        <f>GETPIVOTDATA("Sum of Total Mass per m^2 (kg)",'COMPONENT PIVOT REF'!$P$3,"System Name",Table4[[#This Row],[Int Finish]])</f>
        <v>#REF!</v>
      </c>
      <c r="X471" t="e">
        <f>Table4[[#This Row],[Ext Finish GWP]]+Table4[[#This Row],[Base GWP]]+Table4[[#This Row],[Int Finish GWP]]</f>
        <v>#REF!</v>
      </c>
      <c r="Y471" t="e">
        <f>Table4[[#This Row],[Ext Finish R Value]]+Table4[[#This Row],[Base R Value]]+Table4[[#This Row],[Int Finish R Value]]</f>
        <v>#REF!</v>
      </c>
      <c r="Z471" t="e">
        <f>1/Table4[[#This Row],[Total R value]]</f>
        <v>#REF!</v>
      </c>
      <c r="AA471" t="e">
        <f>Table4[[#This Row],[Int Finish Mass]]+Table4[[#This Row],[Ext Finish Mass]]+Table4[[#This Row],[Base Mass]]</f>
        <v>#REF!</v>
      </c>
    </row>
    <row r="472" spans="3:27" x14ac:dyDescent="0.35">
      <c r="C472" t="str">
        <f>_xlfn.CONCAT(Table4[[#This Row],[System Name (Short)]],"_",Table4[[#This Row],[Ext Finish Name (Short)]],"_",Table4[[#This Row],[Int Finish Name (Short)]])</f>
        <v>0_0_0</v>
      </c>
      <c r="E472">
        <f>_xlfn.XLOOKUP(Table4[[#This Row],[Base System]],BASE_SYSTEM_TABLE[System Name],BASE_SYSTEM_TABLE[System Name (Short)],FALSE)</f>
        <v>0</v>
      </c>
      <c r="F472">
        <f>_xlfn.XLOOKUP(Table4[[#This Row],[Base System]],BASE_SYSTEM_TABLE[System Name],BASE_SYSTEM_TABLE[System Type],FALSE)</f>
        <v>0</v>
      </c>
      <c r="G472">
        <f>_xlfn.XLOOKUP(Table4[[#This Row],[Base System]],BASE_SYSTEM_TABLE[System Name],BASE_SYSTEM_TABLE[System Subtype],FALSE)</f>
        <v>0</v>
      </c>
      <c r="H472">
        <f>_xlfn.XLOOKUP(Table4[[#This Row],[Base System]],BASE_SYSTEM_TABLE[System Name],BASE_SYSTEM_TABLE[Construction Type (Framed or Planar)],FALSE)</f>
        <v>0</v>
      </c>
      <c r="I472" t="e">
        <f>GETPIVOTDATA("Sum of A1-A3 Fossil kg CO2e/m^2 wall area",'COMPONENT PIVOT REF'!$A$3,"System Name",Table4[[#This Row],[Base System]])</f>
        <v>#REF!</v>
      </c>
      <c r="J472" t="e">
        <f>GETPIVOTDATA("Sum of  R value (m^2-K/W)",'COMPONENT PIVOT REF'!$A$3,"System Name",Table4[[#This Row],[Base System]])</f>
        <v>#REF!</v>
      </c>
      <c r="K472" t="e">
        <f>GETPIVOTDATA("Sum of Total Mass per m^2 (kg)",'COMPONENT PIVOT REF'!$A$3,"System Name",Table4[[#This Row],[Base System]])</f>
        <v>#REF!</v>
      </c>
      <c r="M472">
        <f>_xlfn.XLOOKUP(Table4[[#This Row],[Ext Finish]],Master_Table4[System Name],Master_Table4[System Name (Short)],FALSE)</f>
        <v>0</v>
      </c>
      <c r="N472">
        <f>_xlfn.XLOOKUP(Table4[[#This Row],[Ext Finish]],Master_Table4[System Name],Master_Table4[Compatible Systems],FALSE)</f>
        <v>0</v>
      </c>
      <c r="O472" t="str">
        <f>IF(ISNUMBER(SEARCH(Table4[[#This Row],[MMC Method]],Table4[[#This Row],[Compatible Systems]])),"YES","NO")</f>
        <v>YES</v>
      </c>
      <c r="P472" t="e">
        <f>GETPIVOTDATA("Sum of A1-A3 Fossil kg CO2e/m^2 wall area",'COMPONENT PIVOT REF'!$I$3,"System Name",Table4[[#This Row],[Ext Finish]])</f>
        <v>#REF!</v>
      </c>
      <c r="Q472" t="e">
        <f>GETPIVOTDATA("Sum of  R value (m^2-K/W)",'COMPONENT PIVOT REF'!$I$3,"System Name",Table4[[#This Row],[Ext Finish]])</f>
        <v>#REF!</v>
      </c>
      <c r="R472" t="e">
        <f>GETPIVOTDATA("Sum of Total Mass per m^2 (kg)",'COMPONENT PIVOT REF'!$I$3,"System Name",Table4[[#This Row],[Ext Finish]])</f>
        <v>#REF!</v>
      </c>
      <c r="T472">
        <f>_xlfn.XLOOKUP(Table4[[#This Row],[Int Finish]],Master_Table6[System Name],Master_Table6[System Name (Short)],FALSE)</f>
        <v>0</v>
      </c>
      <c r="U472" t="e">
        <f>GETPIVOTDATA("Sum of A1-A3 Fossil kg CO2e/m^2 wall area",'COMPONENT PIVOT REF'!$P$3,"System Name",Table4[[#This Row],[Int Finish]])</f>
        <v>#REF!</v>
      </c>
      <c r="V472" t="e">
        <f>GETPIVOTDATA("Sum of  R value (m^2-K/W)",'COMPONENT PIVOT REF'!$P$3,"System Name",Table4[[#This Row],[Int Finish]])</f>
        <v>#REF!</v>
      </c>
      <c r="W472" t="e">
        <f>GETPIVOTDATA("Sum of Total Mass per m^2 (kg)",'COMPONENT PIVOT REF'!$P$3,"System Name",Table4[[#This Row],[Int Finish]])</f>
        <v>#REF!</v>
      </c>
      <c r="X472" t="e">
        <f>Table4[[#This Row],[Ext Finish GWP]]+Table4[[#This Row],[Base GWP]]+Table4[[#This Row],[Int Finish GWP]]</f>
        <v>#REF!</v>
      </c>
      <c r="Y472" t="e">
        <f>Table4[[#This Row],[Ext Finish R Value]]+Table4[[#This Row],[Base R Value]]+Table4[[#This Row],[Int Finish R Value]]</f>
        <v>#REF!</v>
      </c>
      <c r="Z472" t="e">
        <f>1/Table4[[#This Row],[Total R value]]</f>
        <v>#REF!</v>
      </c>
      <c r="AA472" t="e">
        <f>Table4[[#This Row],[Int Finish Mass]]+Table4[[#This Row],[Ext Finish Mass]]+Table4[[#This Row],[Base Mass]]</f>
        <v>#REF!</v>
      </c>
    </row>
    <row r="473" spans="3:27" x14ac:dyDescent="0.35">
      <c r="C473" t="str">
        <f>_xlfn.CONCAT(Table4[[#This Row],[System Name (Short)]],"_",Table4[[#This Row],[Ext Finish Name (Short)]],"_",Table4[[#This Row],[Int Finish Name (Short)]])</f>
        <v>0_0_0</v>
      </c>
      <c r="E473">
        <f>_xlfn.XLOOKUP(Table4[[#This Row],[Base System]],BASE_SYSTEM_TABLE[System Name],BASE_SYSTEM_TABLE[System Name (Short)],FALSE)</f>
        <v>0</v>
      </c>
      <c r="F473">
        <f>_xlfn.XLOOKUP(Table4[[#This Row],[Base System]],BASE_SYSTEM_TABLE[System Name],BASE_SYSTEM_TABLE[System Type],FALSE)</f>
        <v>0</v>
      </c>
      <c r="G473">
        <f>_xlfn.XLOOKUP(Table4[[#This Row],[Base System]],BASE_SYSTEM_TABLE[System Name],BASE_SYSTEM_TABLE[System Subtype],FALSE)</f>
        <v>0</v>
      </c>
      <c r="H473">
        <f>_xlfn.XLOOKUP(Table4[[#This Row],[Base System]],BASE_SYSTEM_TABLE[System Name],BASE_SYSTEM_TABLE[Construction Type (Framed or Planar)],FALSE)</f>
        <v>0</v>
      </c>
      <c r="I473" t="e">
        <f>GETPIVOTDATA("Sum of A1-A3 Fossil kg CO2e/m^2 wall area",'COMPONENT PIVOT REF'!$A$3,"System Name",Table4[[#This Row],[Base System]])</f>
        <v>#REF!</v>
      </c>
      <c r="J473" t="e">
        <f>GETPIVOTDATA("Sum of  R value (m^2-K/W)",'COMPONENT PIVOT REF'!$A$3,"System Name",Table4[[#This Row],[Base System]])</f>
        <v>#REF!</v>
      </c>
      <c r="K473" t="e">
        <f>GETPIVOTDATA("Sum of Total Mass per m^2 (kg)",'COMPONENT PIVOT REF'!$A$3,"System Name",Table4[[#This Row],[Base System]])</f>
        <v>#REF!</v>
      </c>
      <c r="M473">
        <f>_xlfn.XLOOKUP(Table4[[#This Row],[Ext Finish]],Master_Table4[System Name],Master_Table4[System Name (Short)],FALSE)</f>
        <v>0</v>
      </c>
      <c r="N473">
        <f>_xlfn.XLOOKUP(Table4[[#This Row],[Ext Finish]],Master_Table4[System Name],Master_Table4[Compatible Systems],FALSE)</f>
        <v>0</v>
      </c>
      <c r="O473" t="str">
        <f>IF(ISNUMBER(SEARCH(Table4[[#This Row],[MMC Method]],Table4[[#This Row],[Compatible Systems]])),"YES","NO")</f>
        <v>YES</v>
      </c>
      <c r="P473" t="e">
        <f>GETPIVOTDATA("Sum of A1-A3 Fossil kg CO2e/m^2 wall area",'COMPONENT PIVOT REF'!$I$3,"System Name",Table4[[#This Row],[Ext Finish]])</f>
        <v>#REF!</v>
      </c>
      <c r="Q473" t="e">
        <f>GETPIVOTDATA("Sum of  R value (m^2-K/W)",'COMPONENT PIVOT REF'!$I$3,"System Name",Table4[[#This Row],[Ext Finish]])</f>
        <v>#REF!</v>
      </c>
      <c r="R473" t="e">
        <f>GETPIVOTDATA("Sum of Total Mass per m^2 (kg)",'COMPONENT PIVOT REF'!$I$3,"System Name",Table4[[#This Row],[Ext Finish]])</f>
        <v>#REF!</v>
      </c>
      <c r="T473">
        <f>_xlfn.XLOOKUP(Table4[[#This Row],[Int Finish]],Master_Table6[System Name],Master_Table6[System Name (Short)],FALSE)</f>
        <v>0</v>
      </c>
      <c r="U473" t="e">
        <f>GETPIVOTDATA("Sum of A1-A3 Fossil kg CO2e/m^2 wall area",'COMPONENT PIVOT REF'!$P$3,"System Name",Table4[[#This Row],[Int Finish]])</f>
        <v>#REF!</v>
      </c>
      <c r="V473" t="e">
        <f>GETPIVOTDATA("Sum of  R value (m^2-K/W)",'COMPONENT PIVOT REF'!$P$3,"System Name",Table4[[#This Row],[Int Finish]])</f>
        <v>#REF!</v>
      </c>
      <c r="W473" t="e">
        <f>GETPIVOTDATA("Sum of Total Mass per m^2 (kg)",'COMPONENT PIVOT REF'!$P$3,"System Name",Table4[[#This Row],[Int Finish]])</f>
        <v>#REF!</v>
      </c>
      <c r="X473" t="e">
        <f>Table4[[#This Row],[Ext Finish GWP]]+Table4[[#This Row],[Base GWP]]+Table4[[#This Row],[Int Finish GWP]]</f>
        <v>#REF!</v>
      </c>
      <c r="Y473" t="e">
        <f>Table4[[#This Row],[Ext Finish R Value]]+Table4[[#This Row],[Base R Value]]+Table4[[#This Row],[Int Finish R Value]]</f>
        <v>#REF!</v>
      </c>
      <c r="Z473" t="e">
        <f>1/Table4[[#This Row],[Total R value]]</f>
        <v>#REF!</v>
      </c>
      <c r="AA473" t="e">
        <f>Table4[[#This Row],[Int Finish Mass]]+Table4[[#This Row],[Ext Finish Mass]]+Table4[[#This Row],[Base Mass]]</f>
        <v>#REF!</v>
      </c>
    </row>
    <row r="474" spans="3:27" x14ac:dyDescent="0.35">
      <c r="C474" t="str">
        <f>_xlfn.CONCAT(Table4[[#This Row],[System Name (Short)]],"_",Table4[[#This Row],[Ext Finish Name (Short)]],"_",Table4[[#This Row],[Int Finish Name (Short)]])</f>
        <v>0_0_0</v>
      </c>
      <c r="E474">
        <f>_xlfn.XLOOKUP(Table4[[#This Row],[Base System]],BASE_SYSTEM_TABLE[System Name],BASE_SYSTEM_TABLE[System Name (Short)],FALSE)</f>
        <v>0</v>
      </c>
      <c r="F474">
        <f>_xlfn.XLOOKUP(Table4[[#This Row],[Base System]],BASE_SYSTEM_TABLE[System Name],BASE_SYSTEM_TABLE[System Type],FALSE)</f>
        <v>0</v>
      </c>
      <c r="G474">
        <f>_xlfn.XLOOKUP(Table4[[#This Row],[Base System]],BASE_SYSTEM_TABLE[System Name],BASE_SYSTEM_TABLE[System Subtype],FALSE)</f>
        <v>0</v>
      </c>
      <c r="H474">
        <f>_xlfn.XLOOKUP(Table4[[#This Row],[Base System]],BASE_SYSTEM_TABLE[System Name],BASE_SYSTEM_TABLE[Construction Type (Framed or Planar)],FALSE)</f>
        <v>0</v>
      </c>
      <c r="I474" t="e">
        <f>GETPIVOTDATA("Sum of A1-A3 Fossil kg CO2e/m^2 wall area",'COMPONENT PIVOT REF'!$A$3,"System Name",Table4[[#This Row],[Base System]])</f>
        <v>#REF!</v>
      </c>
      <c r="J474" t="e">
        <f>GETPIVOTDATA("Sum of  R value (m^2-K/W)",'COMPONENT PIVOT REF'!$A$3,"System Name",Table4[[#This Row],[Base System]])</f>
        <v>#REF!</v>
      </c>
      <c r="K474" t="e">
        <f>GETPIVOTDATA("Sum of Total Mass per m^2 (kg)",'COMPONENT PIVOT REF'!$A$3,"System Name",Table4[[#This Row],[Base System]])</f>
        <v>#REF!</v>
      </c>
      <c r="M474">
        <f>_xlfn.XLOOKUP(Table4[[#This Row],[Ext Finish]],Master_Table4[System Name],Master_Table4[System Name (Short)],FALSE)</f>
        <v>0</v>
      </c>
      <c r="N474">
        <f>_xlfn.XLOOKUP(Table4[[#This Row],[Ext Finish]],Master_Table4[System Name],Master_Table4[Compatible Systems],FALSE)</f>
        <v>0</v>
      </c>
      <c r="O474" t="str">
        <f>IF(ISNUMBER(SEARCH(Table4[[#This Row],[MMC Method]],Table4[[#This Row],[Compatible Systems]])),"YES","NO")</f>
        <v>YES</v>
      </c>
      <c r="P474" t="e">
        <f>GETPIVOTDATA("Sum of A1-A3 Fossil kg CO2e/m^2 wall area",'COMPONENT PIVOT REF'!$I$3,"System Name",Table4[[#This Row],[Ext Finish]])</f>
        <v>#REF!</v>
      </c>
      <c r="Q474" t="e">
        <f>GETPIVOTDATA("Sum of  R value (m^2-K/W)",'COMPONENT PIVOT REF'!$I$3,"System Name",Table4[[#This Row],[Ext Finish]])</f>
        <v>#REF!</v>
      </c>
      <c r="R474" t="e">
        <f>GETPIVOTDATA("Sum of Total Mass per m^2 (kg)",'COMPONENT PIVOT REF'!$I$3,"System Name",Table4[[#This Row],[Ext Finish]])</f>
        <v>#REF!</v>
      </c>
      <c r="T474">
        <f>_xlfn.XLOOKUP(Table4[[#This Row],[Int Finish]],Master_Table6[System Name],Master_Table6[System Name (Short)],FALSE)</f>
        <v>0</v>
      </c>
      <c r="U474" t="e">
        <f>GETPIVOTDATA("Sum of A1-A3 Fossil kg CO2e/m^2 wall area",'COMPONENT PIVOT REF'!$P$3,"System Name",Table4[[#This Row],[Int Finish]])</f>
        <v>#REF!</v>
      </c>
      <c r="V474" t="e">
        <f>GETPIVOTDATA("Sum of  R value (m^2-K/W)",'COMPONENT PIVOT REF'!$P$3,"System Name",Table4[[#This Row],[Int Finish]])</f>
        <v>#REF!</v>
      </c>
      <c r="W474" t="e">
        <f>GETPIVOTDATA("Sum of Total Mass per m^2 (kg)",'COMPONENT PIVOT REF'!$P$3,"System Name",Table4[[#This Row],[Int Finish]])</f>
        <v>#REF!</v>
      </c>
      <c r="X474" t="e">
        <f>Table4[[#This Row],[Ext Finish GWP]]+Table4[[#This Row],[Base GWP]]+Table4[[#This Row],[Int Finish GWP]]</f>
        <v>#REF!</v>
      </c>
      <c r="Y474" t="e">
        <f>Table4[[#This Row],[Ext Finish R Value]]+Table4[[#This Row],[Base R Value]]+Table4[[#This Row],[Int Finish R Value]]</f>
        <v>#REF!</v>
      </c>
      <c r="Z474" t="e">
        <f>1/Table4[[#This Row],[Total R value]]</f>
        <v>#REF!</v>
      </c>
      <c r="AA474" t="e">
        <f>Table4[[#This Row],[Int Finish Mass]]+Table4[[#This Row],[Ext Finish Mass]]+Table4[[#This Row],[Base Mass]]</f>
        <v>#REF!</v>
      </c>
    </row>
    <row r="475" spans="3:27" x14ac:dyDescent="0.35">
      <c r="C475" t="str">
        <f>_xlfn.CONCAT(Table4[[#This Row],[System Name (Short)]],"_",Table4[[#This Row],[Ext Finish Name (Short)]],"_",Table4[[#This Row],[Int Finish Name (Short)]])</f>
        <v>0_0_0</v>
      </c>
      <c r="E475">
        <f>_xlfn.XLOOKUP(Table4[[#This Row],[Base System]],BASE_SYSTEM_TABLE[System Name],BASE_SYSTEM_TABLE[System Name (Short)],FALSE)</f>
        <v>0</v>
      </c>
      <c r="F475">
        <f>_xlfn.XLOOKUP(Table4[[#This Row],[Base System]],BASE_SYSTEM_TABLE[System Name],BASE_SYSTEM_TABLE[System Type],FALSE)</f>
        <v>0</v>
      </c>
      <c r="G475">
        <f>_xlfn.XLOOKUP(Table4[[#This Row],[Base System]],BASE_SYSTEM_TABLE[System Name],BASE_SYSTEM_TABLE[System Subtype],FALSE)</f>
        <v>0</v>
      </c>
      <c r="H475">
        <f>_xlfn.XLOOKUP(Table4[[#This Row],[Base System]],BASE_SYSTEM_TABLE[System Name],BASE_SYSTEM_TABLE[Construction Type (Framed or Planar)],FALSE)</f>
        <v>0</v>
      </c>
      <c r="I475" t="e">
        <f>GETPIVOTDATA("Sum of A1-A3 Fossil kg CO2e/m^2 wall area",'COMPONENT PIVOT REF'!$A$3,"System Name",Table4[[#This Row],[Base System]])</f>
        <v>#REF!</v>
      </c>
      <c r="J475" t="e">
        <f>GETPIVOTDATA("Sum of  R value (m^2-K/W)",'COMPONENT PIVOT REF'!$A$3,"System Name",Table4[[#This Row],[Base System]])</f>
        <v>#REF!</v>
      </c>
      <c r="K475" t="e">
        <f>GETPIVOTDATA("Sum of Total Mass per m^2 (kg)",'COMPONENT PIVOT REF'!$A$3,"System Name",Table4[[#This Row],[Base System]])</f>
        <v>#REF!</v>
      </c>
      <c r="M475">
        <f>_xlfn.XLOOKUP(Table4[[#This Row],[Ext Finish]],Master_Table4[System Name],Master_Table4[System Name (Short)],FALSE)</f>
        <v>0</v>
      </c>
      <c r="N475">
        <f>_xlfn.XLOOKUP(Table4[[#This Row],[Ext Finish]],Master_Table4[System Name],Master_Table4[Compatible Systems],FALSE)</f>
        <v>0</v>
      </c>
      <c r="O475" t="str">
        <f>IF(ISNUMBER(SEARCH(Table4[[#This Row],[MMC Method]],Table4[[#This Row],[Compatible Systems]])),"YES","NO")</f>
        <v>YES</v>
      </c>
      <c r="P475" t="e">
        <f>GETPIVOTDATA("Sum of A1-A3 Fossil kg CO2e/m^2 wall area",'COMPONENT PIVOT REF'!$I$3,"System Name",Table4[[#This Row],[Ext Finish]])</f>
        <v>#REF!</v>
      </c>
      <c r="Q475" t="e">
        <f>GETPIVOTDATA("Sum of  R value (m^2-K/W)",'COMPONENT PIVOT REF'!$I$3,"System Name",Table4[[#This Row],[Ext Finish]])</f>
        <v>#REF!</v>
      </c>
      <c r="R475" t="e">
        <f>GETPIVOTDATA("Sum of Total Mass per m^2 (kg)",'COMPONENT PIVOT REF'!$I$3,"System Name",Table4[[#This Row],[Ext Finish]])</f>
        <v>#REF!</v>
      </c>
      <c r="T475">
        <f>_xlfn.XLOOKUP(Table4[[#This Row],[Int Finish]],Master_Table6[System Name],Master_Table6[System Name (Short)],FALSE)</f>
        <v>0</v>
      </c>
      <c r="U475" t="e">
        <f>GETPIVOTDATA("Sum of A1-A3 Fossil kg CO2e/m^2 wall area",'COMPONENT PIVOT REF'!$P$3,"System Name",Table4[[#This Row],[Int Finish]])</f>
        <v>#REF!</v>
      </c>
      <c r="V475" t="e">
        <f>GETPIVOTDATA("Sum of  R value (m^2-K/W)",'COMPONENT PIVOT REF'!$P$3,"System Name",Table4[[#This Row],[Int Finish]])</f>
        <v>#REF!</v>
      </c>
      <c r="W475" t="e">
        <f>GETPIVOTDATA("Sum of Total Mass per m^2 (kg)",'COMPONENT PIVOT REF'!$P$3,"System Name",Table4[[#This Row],[Int Finish]])</f>
        <v>#REF!</v>
      </c>
      <c r="X475" t="e">
        <f>Table4[[#This Row],[Ext Finish GWP]]+Table4[[#This Row],[Base GWP]]+Table4[[#This Row],[Int Finish GWP]]</f>
        <v>#REF!</v>
      </c>
      <c r="Y475" t="e">
        <f>Table4[[#This Row],[Ext Finish R Value]]+Table4[[#This Row],[Base R Value]]+Table4[[#This Row],[Int Finish R Value]]</f>
        <v>#REF!</v>
      </c>
      <c r="Z475" t="e">
        <f>1/Table4[[#This Row],[Total R value]]</f>
        <v>#REF!</v>
      </c>
      <c r="AA475" t="e">
        <f>Table4[[#This Row],[Int Finish Mass]]+Table4[[#This Row],[Ext Finish Mass]]+Table4[[#This Row],[Base Mass]]</f>
        <v>#REF!</v>
      </c>
    </row>
    <row r="476" spans="3:27" x14ac:dyDescent="0.35">
      <c r="C476" t="str">
        <f>_xlfn.CONCAT(Table4[[#This Row],[System Name (Short)]],"_",Table4[[#This Row],[Ext Finish Name (Short)]],"_",Table4[[#This Row],[Int Finish Name (Short)]])</f>
        <v>0_0_0</v>
      </c>
      <c r="E476">
        <f>_xlfn.XLOOKUP(Table4[[#This Row],[Base System]],BASE_SYSTEM_TABLE[System Name],BASE_SYSTEM_TABLE[System Name (Short)],FALSE)</f>
        <v>0</v>
      </c>
      <c r="F476">
        <f>_xlfn.XLOOKUP(Table4[[#This Row],[Base System]],BASE_SYSTEM_TABLE[System Name],BASE_SYSTEM_TABLE[System Type],FALSE)</f>
        <v>0</v>
      </c>
      <c r="G476">
        <f>_xlfn.XLOOKUP(Table4[[#This Row],[Base System]],BASE_SYSTEM_TABLE[System Name],BASE_SYSTEM_TABLE[System Subtype],FALSE)</f>
        <v>0</v>
      </c>
      <c r="H476">
        <f>_xlfn.XLOOKUP(Table4[[#This Row],[Base System]],BASE_SYSTEM_TABLE[System Name],BASE_SYSTEM_TABLE[Construction Type (Framed or Planar)],FALSE)</f>
        <v>0</v>
      </c>
      <c r="I476" t="e">
        <f>GETPIVOTDATA("Sum of A1-A3 Fossil kg CO2e/m^2 wall area",'COMPONENT PIVOT REF'!$A$3,"System Name",Table4[[#This Row],[Base System]])</f>
        <v>#REF!</v>
      </c>
      <c r="J476" t="e">
        <f>GETPIVOTDATA("Sum of  R value (m^2-K/W)",'COMPONENT PIVOT REF'!$A$3,"System Name",Table4[[#This Row],[Base System]])</f>
        <v>#REF!</v>
      </c>
      <c r="K476" t="e">
        <f>GETPIVOTDATA("Sum of Total Mass per m^2 (kg)",'COMPONENT PIVOT REF'!$A$3,"System Name",Table4[[#This Row],[Base System]])</f>
        <v>#REF!</v>
      </c>
      <c r="M476">
        <f>_xlfn.XLOOKUP(Table4[[#This Row],[Ext Finish]],Master_Table4[System Name],Master_Table4[System Name (Short)],FALSE)</f>
        <v>0</v>
      </c>
      <c r="N476">
        <f>_xlfn.XLOOKUP(Table4[[#This Row],[Ext Finish]],Master_Table4[System Name],Master_Table4[Compatible Systems],FALSE)</f>
        <v>0</v>
      </c>
      <c r="O476" t="str">
        <f>IF(ISNUMBER(SEARCH(Table4[[#This Row],[MMC Method]],Table4[[#This Row],[Compatible Systems]])),"YES","NO")</f>
        <v>YES</v>
      </c>
      <c r="P476" t="e">
        <f>GETPIVOTDATA("Sum of A1-A3 Fossil kg CO2e/m^2 wall area",'COMPONENT PIVOT REF'!$I$3,"System Name",Table4[[#This Row],[Ext Finish]])</f>
        <v>#REF!</v>
      </c>
      <c r="Q476" t="e">
        <f>GETPIVOTDATA("Sum of  R value (m^2-K/W)",'COMPONENT PIVOT REF'!$I$3,"System Name",Table4[[#This Row],[Ext Finish]])</f>
        <v>#REF!</v>
      </c>
      <c r="R476" t="e">
        <f>GETPIVOTDATA("Sum of Total Mass per m^2 (kg)",'COMPONENT PIVOT REF'!$I$3,"System Name",Table4[[#This Row],[Ext Finish]])</f>
        <v>#REF!</v>
      </c>
      <c r="T476">
        <f>_xlfn.XLOOKUP(Table4[[#This Row],[Int Finish]],Master_Table6[System Name],Master_Table6[System Name (Short)],FALSE)</f>
        <v>0</v>
      </c>
      <c r="U476" t="e">
        <f>GETPIVOTDATA("Sum of A1-A3 Fossil kg CO2e/m^2 wall area",'COMPONENT PIVOT REF'!$P$3,"System Name",Table4[[#This Row],[Int Finish]])</f>
        <v>#REF!</v>
      </c>
      <c r="V476" t="e">
        <f>GETPIVOTDATA("Sum of  R value (m^2-K/W)",'COMPONENT PIVOT REF'!$P$3,"System Name",Table4[[#This Row],[Int Finish]])</f>
        <v>#REF!</v>
      </c>
      <c r="W476" t="e">
        <f>GETPIVOTDATA("Sum of Total Mass per m^2 (kg)",'COMPONENT PIVOT REF'!$P$3,"System Name",Table4[[#This Row],[Int Finish]])</f>
        <v>#REF!</v>
      </c>
      <c r="X476" t="e">
        <f>Table4[[#This Row],[Ext Finish GWP]]+Table4[[#This Row],[Base GWP]]+Table4[[#This Row],[Int Finish GWP]]</f>
        <v>#REF!</v>
      </c>
      <c r="Y476" t="e">
        <f>Table4[[#This Row],[Ext Finish R Value]]+Table4[[#This Row],[Base R Value]]+Table4[[#This Row],[Int Finish R Value]]</f>
        <v>#REF!</v>
      </c>
      <c r="Z476" t="e">
        <f>1/Table4[[#This Row],[Total R value]]</f>
        <v>#REF!</v>
      </c>
      <c r="AA476" t="e">
        <f>Table4[[#This Row],[Int Finish Mass]]+Table4[[#This Row],[Ext Finish Mass]]+Table4[[#This Row],[Base Mass]]</f>
        <v>#REF!</v>
      </c>
    </row>
    <row r="477" spans="3:27" x14ac:dyDescent="0.35">
      <c r="C477" t="str">
        <f>_xlfn.CONCAT(Table4[[#This Row],[System Name (Short)]],"_",Table4[[#This Row],[Ext Finish Name (Short)]],"_",Table4[[#This Row],[Int Finish Name (Short)]])</f>
        <v>0_0_0</v>
      </c>
      <c r="E477">
        <f>_xlfn.XLOOKUP(Table4[[#This Row],[Base System]],BASE_SYSTEM_TABLE[System Name],BASE_SYSTEM_TABLE[System Name (Short)],FALSE)</f>
        <v>0</v>
      </c>
      <c r="F477">
        <f>_xlfn.XLOOKUP(Table4[[#This Row],[Base System]],BASE_SYSTEM_TABLE[System Name],BASE_SYSTEM_TABLE[System Type],FALSE)</f>
        <v>0</v>
      </c>
      <c r="G477">
        <f>_xlfn.XLOOKUP(Table4[[#This Row],[Base System]],BASE_SYSTEM_TABLE[System Name],BASE_SYSTEM_TABLE[System Subtype],FALSE)</f>
        <v>0</v>
      </c>
      <c r="H477">
        <f>_xlfn.XLOOKUP(Table4[[#This Row],[Base System]],BASE_SYSTEM_TABLE[System Name],BASE_SYSTEM_TABLE[Construction Type (Framed or Planar)],FALSE)</f>
        <v>0</v>
      </c>
      <c r="I477" t="e">
        <f>GETPIVOTDATA("Sum of A1-A3 Fossil kg CO2e/m^2 wall area",'COMPONENT PIVOT REF'!$A$3,"System Name",Table4[[#This Row],[Base System]])</f>
        <v>#REF!</v>
      </c>
      <c r="J477" t="e">
        <f>GETPIVOTDATA("Sum of  R value (m^2-K/W)",'COMPONENT PIVOT REF'!$A$3,"System Name",Table4[[#This Row],[Base System]])</f>
        <v>#REF!</v>
      </c>
      <c r="K477" t="e">
        <f>GETPIVOTDATA("Sum of Total Mass per m^2 (kg)",'COMPONENT PIVOT REF'!$A$3,"System Name",Table4[[#This Row],[Base System]])</f>
        <v>#REF!</v>
      </c>
      <c r="M477">
        <f>_xlfn.XLOOKUP(Table4[[#This Row],[Ext Finish]],Master_Table4[System Name],Master_Table4[System Name (Short)],FALSE)</f>
        <v>0</v>
      </c>
      <c r="N477">
        <f>_xlfn.XLOOKUP(Table4[[#This Row],[Ext Finish]],Master_Table4[System Name],Master_Table4[Compatible Systems],FALSE)</f>
        <v>0</v>
      </c>
      <c r="O477" t="str">
        <f>IF(ISNUMBER(SEARCH(Table4[[#This Row],[MMC Method]],Table4[[#This Row],[Compatible Systems]])),"YES","NO")</f>
        <v>YES</v>
      </c>
      <c r="P477" t="e">
        <f>GETPIVOTDATA("Sum of A1-A3 Fossil kg CO2e/m^2 wall area",'COMPONENT PIVOT REF'!$I$3,"System Name",Table4[[#This Row],[Ext Finish]])</f>
        <v>#REF!</v>
      </c>
      <c r="Q477" t="e">
        <f>GETPIVOTDATA("Sum of  R value (m^2-K/W)",'COMPONENT PIVOT REF'!$I$3,"System Name",Table4[[#This Row],[Ext Finish]])</f>
        <v>#REF!</v>
      </c>
      <c r="R477" t="e">
        <f>GETPIVOTDATA("Sum of Total Mass per m^2 (kg)",'COMPONENT PIVOT REF'!$I$3,"System Name",Table4[[#This Row],[Ext Finish]])</f>
        <v>#REF!</v>
      </c>
      <c r="T477">
        <f>_xlfn.XLOOKUP(Table4[[#This Row],[Int Finish]],Master_Table6[System Name],Master_Table6[System Name (Short)],FALSE)</f>
        <v>0</v>
      </c>
      <c r="U477" t="e">
        <f>GETPIVOTDATA("Sum of A1-A3 Fossil kg CO2e/m^2 wall area",'COMPONENT PIVOT REF'!$P$3,"System Name",Table4[[#This Row],[Int Finish]])</f>
        <v>#REF!</v>
      </c>
      <c r="V477" t="e">
        <f>GETPIVOTDATA("Sum of  R value (m^2-K/W)",'COMPONENT PIVOT REF'!$P$3,"System Name",Table4[[#This Row],[Int Finish]])</f>
        <v>#REF!</v>
      </c>
      <c r="W477" t="e">
        <f>GETPIVOTDATA("Sum of Total Mass per m^2 (kg)",'COMPONENT PIVOT REF'!$P$3,"System Name",Table4[[#This Row],[Int Finish]])</f>
        <v>#REF!</v>
      </c>
      <c r="X477" t="e">
        <f>Table4[[#This Row],[Ext Finish GWP]]+Table4[[#This Row],[Base GWP]]+Table4[[#This Row],[Int Finish GWP]]</f>
        <v>#REF!</v>
      </c>
      <c r="Y477" t="e">
        <f>Table4[[#This Row],[Ext Finish R Value]]+Table4[[#This Row],[Base R Value]]+Table4[[#This Row],[Int Finish R Value]]</f>
        <v>#REF!</v>
      </c>
      <c r="Z477" t="e">
        <f>1/Table4[[#This Row],[Total R value]]</f>
        <v>#REF!</v>
      </c>
      <c r="AA477" t="e">
        <f>Table4[[#This Row],[Int Finish Mass]]+Table4[[#This Row],[Ext Finish Mass]]+Table4[[#This Row],[Base Mass]]</f>
        <v>#REF!</v>
      </c>
    </row>
    <row r="478" spans="3:27" x14ac:dyDescent="0.35">
      <c r="C478" t="str">
        <f>_xlfn.CONCAT(Table4[[#This Row],[System Name (Short)]],"_",Table4[[#This Row],[Ext Finish Name (Short)]],"_",Table4[[#This Row],[Int Finish Name (Short)]])</f>
        <v>0_0_0</v>
      </c>
      <c r="E478">
        <f>_xlfn.XLOOKUP(Table4[[#This Row],[Base System]],BASE_SYSTEM_TABLE[System Name],BASE_SYSTEM_TABLE[System Name (Short)],FALSE)</f>
        <v>0</v>
      </c>
      <c r="F478">
        <f>_xlfn.XLOOKUP(Table4[[#This Row],[Base System]],BASE_SYSTEM_TABLE[System Name],BASE_SYSTEM_TABLE[System Type],FALSE)</f>
        <v>0</v>
      </c>
      <c r="G478">
        <f>_xlfn.XLOOKUP(Table4[[#This Row],[Base System]],BASE_SYSTEM_TABLE[System Name],BASE_SYSTEM_TABLE[System Subtype],FALSE)</f>
        <v>0</v>
      </c>
      <c r="H478">
        <f>_xlfn.XLOOKUP(Table4[[#This Row],[Base System]],BASE_SYSTEM_TABLE[System Name],BASE_SYSTEM_TABLE[Construction Type (Framed or Planar)],FALSE)</f>
        <v>0</v>
      </c>
      <c r="I478" t="e">
        <f>GETPIVOTDATA("Sum of A1-A3 Fossil kg CO2e/m^2 wall area",'COMPONENT PIVOT REF'!$A$3,"System Name",Table4[[#This Row],[Base System]])</f>
        <v>#REF!</v>
      </c>
      <c r="J478" t="e">
        <f>GETPIVOTDATA("Sum of  R value (m^2-K/W)",'COMPONENT PIVOT REF'!$A$3,"System Name",Table4[[#This Row],[Base System]])</f>
        <v>#REF!</v>
      </c>
      <c r="K478" t="e">
        <f>GETPIVOTDATA("Sum of Total Mass per m^2 (kg)",'COMPONENT PIVOT REF'!$A$3,"System Name",Table4[[#This Row],[Base System]])</f>
        <v>#REF!</v>
      </c>
      <c r="M478">
        <f>_xlfn.XLOOKUP(Table4[[#This Row],[Ext Finish]],Master_Table4[System Name],Master_Table4[System Name (Short)],FALSE)</f>
        <v>0</v>
      </c>
      <c r="N478">
        <f>_xlfn.XLOOKUP(Table4[[#This Row],[Ext Finish]],Master_Table4[System Name],Master_Table4[Compatible Systems],FALSE)</f>
        <v>0</v>
      </c>
      <c r="O478" t="str">
        <f>IF(ISNUMBER(SEARCH(Table4[[#This Row],[MMC Method]],Table4[[#This Row],[Compatible Systems]])),"YES","NO")</f>
        <v>YES</v>
      </c>
      <c r="P478" t="e">
        <f>GETPIVOTDATA("Sum of A1-A3 Fossil kg CO2e/m^2 wall area",'COMPONENT PIVOT REF'!$I$3,"System Name",Table4[[#This Row],[Ext Finish]])</f>
        <v>#REF!</v>
      </c>
      <c r="Q478" t="e">
        <f>GETPIVOTDATA("Sum of  R value (m^2-K/W)",'COMPONENT PIVOT REF'!$I$3,"System Name",Table4[[#This Row],[Ext Finish]])</f>
        <v>#REF!</v>
      </c>
      <c r="R478" t="e">
        <f>GETPIVOTDATA("Sum of Total Mass per m^2 (kg)",'COMPONENT PIVOT REF'!$I$3,"System Name",Table4[[#This Row],[Ext Finish]])</f>
        <v>#REF!</v>
      </c>
      <c r="T478">
        <f>_xlfn.XLOOKUP(Table4[[#This Row],[Int Finish]],Master_Table6[System Name],Master_Table6[System Name (Short)],FALSE)</f>
        <v>0</v>
      </c>
      <c r="U478" t="e">
        <f>GETPIVOTDATA("Sum of A1-A3 Fossil kg CO2e/m^2 wall area",'COMPONENT PIVOT REF'!$P$3,"System Name",Table4[[#This Row],[Int Finish]])</f>
        <v>#REF!</v>
      </c>
      <c r="V478" t="e">
        <f>GETPIVOTDATA("Sum of  R value (m^2-K/W)",'COMPONENT PIVOT REF'!$P$3,"System Name",Table4[[#This Row],[Int Finish]])</f>
        <v>#REF!</v>
      </c>
      <c r="W478" t="e">
        <f>GETPIVOTDATA("Sum of Total Mass per m^2 (kg)",'COMPONENT PIVOT REF'!$P$3,"System Name",Table4[[#This Row],[Int Finish]])</f>
        <v>#REF!</v>
      </c>
      <c r="X478" t="e">
        <f>Table4[[#This Row],[Ext Finish GWP]]+Table4[[#This Row],[Base GWP]]+Table4[[#This Row],[Int Finish GWP]]</f>
        <v>#REF!</v>
      </c>
      <c r="Y478" t="e">
        <f>Table4[[#This Row],[Ext Finish R Value]]+Table4[[#This Row],[Base R Value]]+Table4[[#This Row],[Int Finish R Value]]</f>
        <v>#REF!</v>
      </c>
      <c r="Z478" t="e">
        <f>1/Table4[[#This Row],[Total R value]]</f>
        <v>#REF!</v>
      </c>
      <c r="AA478" t="e">
        <f>Table4[[#This Row],[Int Finish Mass]]+Table4[[#This Row],[Ext Finish Mass]]+Table4[[#This Row],[Base Mass]]</f>
        <v>#REF!</v>
      </c>
    </row>
    <row r="479" spans="3:27" x14ac:dyDescent="0.35">
      <c r="C479" t="str">
        <f>_xlfn.CONCAT(Table4[[#This Row],[System Name (Short)]],"_",Table4[[#This Row],[Ext Finish Name (Short)]],"_",Table4[[#This Row],[Int Finish Name (Short)]])</f>
        <v>0_0_0</v>
      </c>
      <c r="E479">
        <f>_xlfn.XLOOKUP(Table4[[#This Row],[Base System]],BASE_SYSTEM_TABLE[System Name],BASE_SYSTEM_TABLE[System Name (Short)],FALSE)</f>
        <v>0</v>
      </c>
      <c r="F479">
        <f>_xlfn.XLOOKUP(Table4[[#This Row],[Base System]],BASE_SYSTEM_TABLE[System Name],BASE_SYSTEM_TABLE[System Type],FALSE)</f>
        <v>0</v>
      </c>
      <c r="G479">
        <f>_xlfn.XLOOKUP(Table4[[#This Row],[Base System]],BASE_SYSTEM_TABLE[System Name],BASE_SYSTEM_TABLE[System Subtype],FALSE)</f>
        <v>0</v>
      </c>
      <c r="H479">
        <f>_xlfn.XLOOKUP(Table4[[#This Row],[Base System]],BASE_SYSTEM_TABLE[System Name],BASE_SYSTEM_TABLE[Construction Type (Framed or Planar)],FALSE)</f>
        <v>0</v>
      </c>
      <c r="I479" t="e">
        <f>GETPIVOTDATA("Sum of A1-A3 Fossil kg CO2e/m^2 wall area",'COMPONENT PIVOT REF'!$A$3,"System Name",Table4[[#This Row],[Base System]])</f>
        <v>#REF!</v>
      </c>
      <c r="J479" t="e">
        <f>GETPIVOTDATA("Sum of  R value (m^2-K/W)",'COMPONENT PIVOT REF'!$A$3,"System Name",Table4[[#This Row],[Base System]])</f>
        <v>#REF!</v>
      </c>
      <c r="K479" t="e">
        <f>GETPIVOTDATA("Sum of Total Mass per m^2 (kg)",'COMPONENT PIVOT REF'!$A$3,"System Name",Table4[[#This Row],[Base System]])</f>
        <v>#REF!</v>
      </c>
      <c r="M479">
        <f>_xlfn.XLOOKUP(Table4[[#This Row],[Ext Finish]],Master_Table4[System Name],Master_Table4[System Name (Short)],FALSE)</f>
        <v>0</v>
      </c>
      <c r="N479">
        <f>_xlfn.XLOOKUP(Table4[[#This Row],[Ext Finish]],Master_Table4[System Name],Master_Table4[Compatible Systems],FALSE)</f>
        <v>0</v>
      </c>
      <c r="O479" t="str">
        <f>IF(ISNUMBER(SEARCH(Table4[[#This Row],[MMC Method]],Table4[[#This Row],[Compatible Systems]])),"YES","NO")</f>
        <v>YES</v>
      </c>
      <c r="P479" t="e">
        <f>GETPIVOTDATA("Sum of A1-A3 Fossil kg CO2e/m^2 wall area",'COMPONENT PIVOT REF'!$I$3,"System Name",Table4[[#This Row],[Ext Finish]])</f>
        <v>#REF!</v>
      </c>
      <c r="Q479" t="e">
        <f>GETPIVOTDATA("Sum of  R value (m^2-K/W)",'COMPONENT PIVOT REF'!$I$3,"System Name",Table4[[#This Row],[Ext Finish]])</f>
        <v>#REF!</v>
      </c>
      <c r="R479" t="e">
        <f>GETPIVOTDATA("Sum of Total Mass per m^2 (kg)",'COMPONENT PIVOT REF'!$I$3,"System Name",Table4[[#This Row],[Ext Finish]])</f>
        <v>#REF!</v>
      </c>
      <c r="T479">
        <f>_xlfn.XLOOKUP(Table4[[#This Row],[Int Finish]],Master_Table6[System Name],Master_Table6[System Name (Short)],FALSE)</f>
        <v>0</v>
      </c>
      <c r="U479" t="e">
        <f>GETPIVOTDATA("Sum of A1-A3 Fossil kg CO2e/m^2 wall area",'COMPONENT PIVOT REF'!$P$3,"System Name",Table4[[#This Row],[Int Finish]])</f>
        <v>#REF!</v>
      </c>
      <c r="V479" t="e">
        <f>GETPIVOTDATA("Sum of  R value (m^2-K/W)",'COMPONENT PIVOT REF'!$P$3,"System Name",Table4[[#This Row],[Int Finish]])</f>
        <v>#REF!</v>
      </c>
      <c r="W479" t="e">
        <f>GETPIVOTDATA("Sum of Total Mass per m^2 (kg)",'COMPONENT PIVOT REF'!$P$3,"System Name",Table4[[#This Row],[Int Finish]])</f>
        <v>#REF!</v>
      </c>
      <c r="X479" t="e">
        <f>Table4[[#This Row],[Ext Finish GWP]]+Table4[[#This Row],[Base GWP]]+Table4[[#This Row],[Int Finish GWP]]</f>
        <v>#REF!</v>
      </c>
      <c r="Y479" t="e">
        <f>Table4[[#This Row],[Ext Finish R Value]]+Table4[[#This Row],[Base R Value]]+Table4[[#This Row],[Int Finish R Value]]</f>
        <v>#REF!</v>
      </c>
      <c r="Z479" t="e">
        <f>1/Table4[[#This Row],[Total R value]]</f>
        <v>#REF!</v>
      </c>
      <c r="AA479" t="e">
        <f>Table4[[#This Row],[Int Finish Mass]]+Table4[[#This Row],[Ext Finish Mass]]+Table4[[#This Row],[Base Mass]]</f>
        <v>#REF!</v>
      </c>
    </row>
    <row r="480" spans="3:27" x14ac:dyDescent="0.35">
      <c r="C480" t="str">
        <f>_xlfn.CONCAT(Table4[[#This Row],[System Name (Short)]],"_",Table4[[#This Row],[Ext Finish Name (Short)]],"_",Table4[[#This Row],[Int Finish Name (Short)]])</f>
        <v>0_0_0</v>
      </c>
      <c r="E480">
        <f>_xlfn.XLOOKUP(Table4[[#This Row],[Base System]],BASE_SYSTEM_TABLE[System Name],BASE_SYSTEM_TABLE[System Name (Short)],FALSE)</f>
        <v>0</v>
      </c>
      <c r="F480">
        <f>_xlfn.XLOOKUP(Table4[[#This Row],[Base System]],BASE_SYSTEM_TABLE[System Name],BASE_SYSTEM_TABLE[System Type],FALSE)</f>
        <v>0</v>
      </c>
      <c r="G480">
        <f>_xlfn.XLOOKUP(Table4[[#This Row],[Base System]],BASE_SYSTEM_TABLE[System Name],BASE_SYSTEM_TABLE[System Subtype],FALSE)</f>
        <v>0</v>
      </c>
      <c r="H480">
        <f>_xlfn.XLOOKUP(Table4[[#This Row],[Base System]],BASE_SYSTEM_TABLE[System Name],BASE_SYSTEM_TABLE[Construction Type (Framed or Planar)],FALSE)</f>
        <v>0</v>
      </c>
      <c r="I480" t="e">
        <f>GETPIVOTDATA("Sum of A1-A3 Fossil kg CO2e/m^2 wall area",'COMPONENT PIVOT REF'!$A$3,"System Name",Table4[[#This Row],[Base System]])</f>
        <v>#REF!</v>
      </c>
      <c r="J480" t="e">
        <f>GETPIVOTDATA("Sum of  R value (m^2-K/W)",'COMPONENT PIVOT REF'!$A$3,"System Name",Table4[[#This Row],[Base System]])</f>
        <v>#REF!</v>
      </c>
      <c r="K480" t="e">
        <f>GETPIVOTDATA("Sum of Total Mass per m^2 (kg)",'COMPONENT PIVOT REF'!$A$3,"System Name",Table4[[#This Row],[Base System]])</f>
        <v>#REF!</v>
      </c>
      <c r="M480">
        <f>_xlfn.XLOOKUP(Table4[[#This Row],[Ext Finish]],Master_Table4[System Name],Master_Table4[System Name (Short)],FALSE)</f>
        <v>0</v>
      </c>
      <c r="N480">
        <f>_xlfn.XLOOKUP(Table4[[#This Row],[Ext Finish]],Master_Table4[System Name],Master_Table4[Compatible Systems],FALSE)</f>
        <v>0</v>
      </c>
      <c r="O480" t="str">
        <f>IF(ISNUMBER(SEARCH(Table4[[#This Row],[MMC Method]],Table4[[#This Row],[Compatible Systems]])),"YES","NO")</f>
        <v>YES</v>
      </c>
      <c r="P480" t="e">
        <f>GETPIVOTDATA("Sum of A1-A3 Fossil kg CO2e/m^2 wall area",'COMPONENT PIVOT REF'!$I$3,"System Name",Table4[[#This Row],[Ext Finish]])</f>
        <v>#REF!</v>
      </c>
      <c r="Q480" t="e">
        <f>GETPIVOTDATA("Sum of  R value (m^2-K/W)",'COMPONENT PIVOT REF'!$I$3,"System Name",Table4[[#This Row],[Ext Finish]])</f>
        <v>#REF!</v>
      </c>
      <c r="R480" t="e">
        <f>GETPIVOTDATA("Sum of Total Mass per m^2 (kg)",'COMPONENT PIVOT REF'!$I$3,"System Name",Table4[[#This Row],[Ext Finish]])</f>
        <v>#REF!</v>
      </c>
      <c r="T480">
        <f>_xlfn.XLOOKUP(Table4[[#This Row],[Int Finish]],Master_Table6[System Name],Master_Table6[System Name (Short)],FALSE)</f>
        <v>0</v>
      </c>
      <c r="U480" t="e">
        <f>GETPIVOTDATA("Sum of A1-A3 Fossil kg CO2e/m^2 wall area",'COMPONENT PIVOT REF'!$P$3,"System Name",Table4[[#This Row],[Int Finish]])</f>
        <v>#REF!</v>
      </c>
      <c r="V480" t="e">
        <f>GETPIVOTDATA("Sum of  R value (m^2-K/W)",'COMPONENT PIVOT REF'!$P$3,"System Name",Table4[[#This Row],[Int Finish]])</f>
        <v>#REF!</v>
      </c>
      <c r="W480" t="e">
        <f>GETPIVOTDATA("Sum of Total Mass per m^2 (kg)",'COMPONENT PIVOT REF'!$P$3,"System Name",Table4[[#This Row],[Int Finish]])</f>
        <v>#REF!</v>
      </c>
      <c r="X480" t="e">
        <f>Table4[[#This Row],[Ext Finish GWP]]+Table4[[#This Row],[Base GWP]]+Table4[[#This Row],[Int Finish GWP]]</f>
        <v>#REF!</v>
      </c>
      <c r="Y480" t="e">
        <f>Table4[[#This Row],[Ext Finish R Value]]+Table4[[#This Row],[Base R Value]]+Table4[[#This Row],[Int Finish R Value]]</f>
        <v>#REF!</v>
      </c>
      <c r="Z480" t="e">
        <f>1/Table4[[#This Row],[Total R value]]</f>
        <v>#REF!</v>
      </c>
      <c r="AA480" t="e">
        <f>Table4[[#This Row],[Int Finish Mass]]+Table4[[#This Row],[Ext Finish Mass]]+Table4[[#This Row],[Base Mass]]</f>
        <v>#REF!</v>
      </c>
    </row>
    <row r="481" spans="3:27" x14ac:dyDescent="0.35">
      <c r="C481" t="str">
        <f>_xlfn.CONCAT(Table4[[#This Row],[System Name (Short)]],"_",Table4[[#This Row],[Ext Finish Name (Short)]],"_",Table4[[#This Row],[Int Finish Name (Short)]])</f>
        <v>0_0_0</v>
      </c>
      <c r="E481">
        <f>_xlfn.XLOOKUP(Table4[[#This Row],[Base System]],BASE_SYSTEM_TABLE[System Name],BASE_SYSTEM_TABLE[System Name (Short)],FALSE)</f>
        <v>0</v>
      </c>
      <c r="F481">
        <f>_xlfn.XLOOKUP(Table4[[#This Row],[Base System]],BASE_SYSTEM_TABLE[System Name],BASE_SYSTEM_TABLE[System Type],FALSE)</f>
        <v>0</v>
      </c>
      <c r="G481">
        <f>_xlfn.XLOOKUP(Table4[[#This Row],[Base System]],BASE_SYSTEM_TABLE[System Name],BASE_SYSTEM_TABLE[System Subtype],FALSE)</f>
        <v>0</v>
      </c>
      <c r="H481">
        <f>_xlfn.XLOOKUP(Table4[[#This Row],[Base System]],BASE_SYSTEM_TABLE[System Name],BASE_SYSTEM_TABLE[Construction Type (Framed or Planar)],FALSE)</f>
        <v>0</v>
      </c>
      <c r="I481" t="e">
        <f>GETPIVOTDATA("Sum of A1-A3 Fossil kg CO2e/m^2 wall area",'COMPONENT PIVOT REF'!$A$3,"System Name",Table4[[#This Row],[Base System]])</f>
        <v>#REF!</v>
      </c>
      <c r="J481" t="e">
        <f>GETPIVOTDATA("Sum of  R value (m^2-K/W)",'COMPONENT PIVOT REF'!$A$3,"System Name",Table4[[#This Row],[Base System]])</f>
        <v>#REF!</v>
      </c>
      <c r="K481" t="e">
        <f>GETPIVOTDATA("Sum of Total Mass per m^2 (kg)",'COMPONENT PIVOT REF'!$A$3,"System Name",Table4[[#This Row],[Base System]])</f>
        <v>#REF!</v>
      </c>
      <c r="M481">
        <f>_xlfn.XLOOKUP(Table4[[#This Row],[Ext Finish]],Master_Table4[System Name],Master_Table4[System Name (Short)],FALSE)</f>
        <v>0</v>
      </c>
      <c r="N481">
        <f>_xlfn.XLOOKUP(Table4[[#This Row],[Ext Finish]],Master_Table4[System Name],Master_Table4[Compatible Systems],FALSE)</f>
        <v>0</v>
      </c>
      <c r="O481" t="str">
        <f>IF(ISNUMBER(SEARCH(Table4[[#This Row],[MMC Method]],Table4[[#This Row],[Compatible Systems]])),"YES","NO")</f>
        <v>YES</v>
      </c>
      <c r="P481" t="e">
        <f>GETPIVOTDATA("Sum of A1-A3 Fossil kg CO2e/m^2 wall area",'COMPONENT PIVOT REF'!$I$3,"System Name",Table4[[#This Row],[Ext Finish]])</f>
        <v>#REF!</v>
      </c>
      <c r="Q481" t="e">
        <f>GETPIVOTDATA("Sum of  R value (m^2-K/W)",'COMPONENT PIVOT REF'!$I$3,"System Name",Table4[[#This Row],[Ext Finish]])</f>
        <v>#REF!</v>
      </c>
      <c r="R481" t="e">
        <f>GETPIVOTDATA("Sum of Total Mass per m^2 (kg)",'COMPONENT PIVOT REF'!$I$3,"System Name",Table4[[#This Row],[Ext Finish]])</f>
        <v>#REF!</v>
      </c>
      <c r="T481">
        <f>_xlfn.XLOOKUP(Table4[[#This Row],[Int Finish]],Master_Table6[System Name],Master_Table6[System Name (Short)],FALSE)</f>
        <v>0</v>
      </c>
      <c r="U481" t="e">
        <f>GETPIVOTDATA("Sum of A1-A3 Fossil kg CO2e/m^2 wall area",'COMPONENT PIVOT REF'!$P$3,"System Name",Table4[[#This Row],[Int Finish]])</f>
        <v>#REF!</v>
      </c>
      <c r="V481" t="e">
        <f>GETPIVOTDATA("Sum of  R value (m^2-K/W)",'COMPONENT PIVOT REF'!$P$3,"System Name",Table4[[#This Row],[Int Finish]])</f>
        <v>#REF!</v>
      </c>
      <c r="W481" t="e">
        <f>GETPIVOTDATA("Sum of Total Mass per m^2 (kg)",'COMPONENT PIVOT REF'!$P$3,"System Name",Table4[[#This Row],[Int Finish]])</f>
        <v>#REF!</v>
      </c>
      <c r="X481" t="e">
        <f>Table4[[#This Row],[Ext Finish GWP]]+Table4[[#This Row],[Base GWP]]+Table4[[#This Row],[Int Finish GWP]]</f>
        <v>#REF!</v>
      </c>
      <c r="Y481" t="e">
        <f>Table4[[#This Row],[Ext Finish R Value]]+Table4[[#This Row],[Base R Value]]+Table4[[#This Row],[Int Finish R Value]]</f>
        <v>#REF!</v>
      </c>
      <c r="Z481" t="e">
        <f>1/Table4[[#This Row],[Total R value]]</f>
        <v>#REF!</v>
      </c>
      <c r="AA481" t="e">
        <f>Table4[[#This Row],[Int Finish Mass]]+Table4[[#This Row],[Ext Finish Mass]]+Table4[[#This Row],[Base Mass]]</f>
        <v>#REF!</v>
      </c>
    </row>
    <row r="482" spans="3:27" x14ac:dyDescent="0.35">
      <c r="C482" t="str">
        <f>_xlfn.CONCAT(Table4[[#This Row],[System Name (Short)]],"_",Table4[[#This Row],[Ext Finish Name (Short)]],"_",Table4[[#This Row],[Int Finish Name (Short)]])</f>
        <v>0_0_0</v>
      </c>
      <c r="E482">
        <f>_xlfn.XLOOKUP(Table4[[#This Row],[Base System]],BASE_SYSTEM_TABLE[System Name],BASE_SYSTEM_TABLE[System Name (Short)],FALSE)</f>
        <v>0</v>
      </c>
      <c r="F482">
        <f>_xlfn.XLOOKUP(Table4[[#This Row],[Base System]],BASE_SYSTEM_TABLE[System Name],BASE_SYSTEM_TABLE[System Type],FALSE)</f>
        <v>0</v>
      </c>
      <c r="G482">
        <f>_xlfn.XLOOKUP(Table4[[#This Row],[Base System]],BASE_SYSTEM_TABLE[System Name],BASE_SYSTEM_TABLE[System Subtype],FALSE)</f>
        <v>0</v>
      </c>
      <c r="H482">
        <f>_xlfn.XLOOKUP(Table4[[#This Row],[Base System]],BASE_SYSTEM_TABLE[System Name],BASE_SYSTEM_TABLE[Construction Type (Framed or Planar)],FALSE)</f>
        <v>0</v>
      </c>
      <c r="I482" t="e">
        <f>GETPIVOTDATA("Sum of A1-A3 Fossil kg CO2e/m^2 wall area",'COMPONENT PIVOT REF'!$A$3,"System Name",Table4[[#This Row],[Base System]])</f>
        <v>#REF!</v>
      </c>
      <c r="J482" t="e">
        <f>GETPIVOTDATA("Sum of  R value (m^2-K/W)",'COMPONENT PIVOT REF'!$A$3,"System Name",Table4[[#This Row],[Base System]])</f>
        <v>#REF!</v>
      </c>
      <c r="K482" t="e">
        <f>GETPIVOTDATA("Sum of Total Mass per m^2 (kg)",'COMPONENT PIVOT REF'!$A$3,"System Name",Table4[[#This Row],[Base System]])</f>
        <v>#REF!</v>
      </c>
      <c r="M482">
        <f>_xlfn.XLOOKUP(Table4[[#This Row],[Ext Finish]],Master_Table4[System Name],Master_Table4[System Name (Short)],FALSE)</f>
        <v>0</v>
      </c>
      <c r="N482">
        <f>_xlfn.XLOOKUP(Table4[[#This Row],[Ext Finish]],Master_Table4[System Name],Master_Table4[Compatible Systems],FALSE)</f>
        <v>0</v>
      </c>
      <c r="O482" t="str">
        <f>IF(ISNUMBER(SEARCH(Table4[[#This Row],[MMC Method]],Table4[[#This Row],[Compatible Systems]])),"YES","NO")</f>
        <v>YES</v>
      </c>
      <c r="P482" t="e">
        <f>GETPIVOTDATA("Sum of A1-A3 Fossil kg CO2e/m^2 wall area",'COMPONENT PIVOT REF'!$I$3,"System Name",Table4[[#This Row],[Ext Finish]])</f>
        <v>#REF!</v>
      </c>
      <c r="Q482" t="e">
        <f>GETPIVOTDATA("Sum of  R value (m^2-K/W)",'COMPONENT PIVOT REF'!$I$3,"System Name",Table4[[#This Row],[Ext Finish]])</f>
        <v>#REF!</v>
      </c>
      <c r="R482" t="e">
        <f>GETPIVOTDATA("Sum of Total Mass per m^2 (kg)",'COMPONENT PIVOT REF'!$I$3,"System Name",Table4[[#This Row],[Ext Finish]])</f>
        <v>#REF!</v>
      </c>
      <c r="T482">
        <f>_xlfn.XLOOKUP(Table4[[#This Row],[Int Finish]],Master_Table6[System Name],Master_Table6[System Name (Short)],FALSE)</f>
        <v>0</v>
      </c>
      <c r="U482" t="e">
        <f>GETPIVOTDATA("Sum of A1-A3 Fossil kg CO2e/m^2 wall area",'COMPONENT PIVOT REF'!$P$3,"System Name",Table4[[#This Row],[Int Finish]])</f>
        <v>#REF!</v>
      </c>
      <c r="V482" t="e">
        <f>GETPIVOTDATA("Sum of  R value (m^2-K/W)",'COMPONENT PIVOT REF'!$P$3,"System Name",Table4[[#This Row],[Int Finish]])</f>
        <v>#REF!</v>
      </c>
      <c r="W482" t="e">
        <f>GETPIVOTDATA("Sum of Total Mass per m^2 (kg)",'COMPONENT PIVOT REF'!$P$3,"System Name",Table4[[#This Row],[Int Finish]])</f>
        <v>#REF!</v>
      </c>
      <c r="X482" t="e">
        <f>Table4[[#This Row],[Ext Finish GWP]]+Table4[[#This Row],[Base GWP]]+Table4[[#This Row],[Int Finish GWP]]</f>
        <v>#REF!</v>
      </c>
      <c r="Y482" t="e">
        <f>Table4[[#This Row],[Ext Finish R Value]]+Table4[[#This Row],[Base R Value]]+Table4[[#This Row],[Int Finish R Value]]</f>
        <v>#REF!</v>
      </c>
      <c r="Z482" t="e">
        <f>1/Table4[[#This Row],[Total R value]]</f>
        <v>#REF!</v>
      </c>
      <c r="AA482" t="e">
        <f>Table4[[#This Row],[Int Finish Mass]]+Table4[[#This Row],[Ext Finish Mass]]+Table4[[#This Row],[Base Mass]]</f>
        <v>#REF!</v>
      </c>
    </row>
    <row r="483" spans="3:27" x14ac:dyDescent="0.35">
      <c r="C483" t="str">
        <f>_xlfn.CONCAT(Table4[[#This Row],[System Name (Short)]],"_",Table4[[#This Row],[Ext Finish Name (Short)]],"_",Table4[[#This Row],[Int Finish Name (Short)]])</f>
        <v>0_0_0</v>
      </c>
      <c r="E483">
        <f>_xlfn.XLOOKUP(Table4[[#This Row],[Base System]],BASE_SYSTEM_TABLE[System Name],BASE_SYSTEM_TABLE[System Name (Short)],FALSE)</f>
        <v>0</v>
      </c>
      <c r="F483">
        <f>_xlfn.XLOOKUP(Table4[[#This Row],[Base System]],BASE_SYSTEM_TABLE[System Name],BASE_SYSTEM_TABLE[System Type],FALSE)</f>
        <v>0</v>
      </c>
      <c r="G483">
        <f>_xlfn.XLOOKUP(Table4[[#This Row],[Base System]],BASE_SYSTEM_TABLE[System Name],BASE_SYSTEM_TABLE[System Subtype],FALSE)</f>
        <v>0</v>
      </c>
      <c r="H483">
        <f>_xlfn.XLOOKUP(Table4[[#This Row],[Base System]],BASE_SYSTEM_TABLE[System Name],BASE_SYSTEM_TABLE[Construction Type (Framed or Planar)],FALSE)</f>
        <v>0</v>
      </c>
      <c r="I483" t="e">
        <f>GETPIVOTDATA("Sum of A1-A3 Fossil kg CO2e/m^2 wall area",'COMPONENT PIVOT REF'!$A$3,"System Name",Table4[[#This Row],[Base System]])</f>
        <v>#REF!</v>
      </c>
      <c r="J483" t="e">
        <f>GETPIVOTDATA("Sum of  R value (m^2-K/W)",'COMPONENT PIVOT REF'!$A$3,"System Name",Table4[[#This Row],[Base System]])</f>
        <v>#REF!</v>
      </c>
      <c r="K483" t="e">
        <f>GETPIVOTDATA("Sum of Total Mass per m^2 (kg)",'COMPONENT PIVOT REF'!$A$3,"System Name",Table4[[#This Row],[Base System]])</f>
        <v>#REF!</v>
      </c>
      <c r="M483">
        <f>_xlfn.XLOOKUP(Table4[[#This Row],[Ext Finish]],Master_Table4[System Name],Master_Table4[System Name (Short)],FALSE)</f>
        <v>0</v>
      </c>
      <c r="N483">
        <f>_xlfn.XLOOKUP(Table4[[#This Row],[Ext Finish]],Master_Table4[System Name],Master_Table4[Compatible Systems],FALSE)</f>
        <v>0</v>
      </c>
      <c r="O483" t="str">
        <f>IF(ISNUMBER(SEARCH(Table4[[#This Row],[MMC Method]],Table4[[#This Row],[Compatible Systems]])),"YES","NO")</f>
        <v>YES</v>
      </c>
      <c r="P483" t="e">
        <f>GETPIVOTDATA("Sum of A1-A3 Fossil kg CO2e/m^2 wall area",'COMPONENT PIVOT REF'!$I$3,"System Name",Table4[[#This Row],[Ext Finish]])</f>
        <v>#REF!</v>
      </c>
      <c r="Q483" t="e">
        <f>GETPIVOTDATA("Sum of  R value (m^2-K/W)",'COMPONENT PIVOT REF'!$I$3,"System Name",Table4[[#This Row],[Ext Finish]])</f>
        <v>#REF!</v>
      </c>
      <c r="R483" t="e">
        <f>GETPIVOTDATA("Sum of Total Mass per m^2 (kg)",'COMPONENT PIVOT REF'!$I$3,"System Name",Table4[[#This Row],[Ext Finish]])</f>
        <v>#REF!</v>
      </c>
      <c r="T483">
        <f>_xlfn.XLOOKUP(Table4[[#This Row],[Int Finish]],Master_Table6[System Name],Master_Table6[System Name (Short)],FALSE)</f>
        <v>0</v>
      </c>
      <c r="U483" t="e">
        <f>GETPIVOTDATA("Sum of A1-A3 Fossil kg CO2e/m^2 wall area",'COMPONENT PIVOT REF'!$P$3,"System Name",Table4[[#This Row],[Int Finish]])</f>
        <v>#REF!</v>
      </c>
      <c r="V483" t="e">
        <f>GETPIVOTDATA("Sum of  R value (m^2-K/W)",'COMPONENT PIVOT REF'!$P$3,"System Name",Table4[[#This Row],[Int Finish]])</f>
        <v>#REF!</v>
      </c>
      <c r="W483" t="e">
        <f>GETPIVOTDATA("Sum of Total Mass per m^2 (kg)",'COMPONENT PIVOT REF'!$P$3,"System Name",Table4[[#This Row],[Int Finish]])</f>
        <v>#REF!</v>
      </c>
      <c r="X483" t="e">
        <f>Table4[[#This Row],[Ext Finish GWP]]+Table4[[#This Row],[Base GWP]]+Table4[[#This Row],[Int Finish GWP]]</f>
        <v>#REF!</v>
      </c>
      <c r="Y483" t="e">
        <f>Table4[[#This Row],[Ext Finish R Value]]+Table4[[#This Row],[Base R Value]]+Table4[[#This Row],[Int Finish R Value]]</f>
        <v>#REF!</v>
      </c>
      <c r="Z483" t="e">
        <f>1/Table4[[#This Row],[Total R value]]</f>
        <v>#REF!</v>
      </c>
      <c r="AA483" t="e">
        <f>Table4[[#This Row],[Int Finish Mass]]+Table4[[#This Row],[Ext Finish Mass]]+Table4[[#This Row],[Base Mass]]</f>
        <v>#REF!</v>
      </c>
    </row>
    <row r="484" spans="3:27" x14ac:dyDescent="0.35">
      <c r="C484" t="str">
        <f>_xlfn.CONCAT(Table4[[#This Row],[System Name (Short)]],"_",Table4[[#This Row],[Ext Finish Name (Short)]],"_",Table4[[#This Row],[Int Finish Name (Short)]])</f>
        <v>0_0_0</v>
      </c>
      <c r="E484">
        <f>_xlfn.XLOOKUP(Table4[[#This Row],[Base System]],BASE_SYSTEM_TABLE[System Name],BASE_SYSTEM_TABLE[System Name (Short)],FALSE)</f>
        <v>0</v>
      </c>
      <c r="F484">
        <f>_xlfn.XLOOKUP(Table4[[#This Row],[Base System]],BASE_SYSTEM_TABLE[System Name],BASE_SYSTEM_TABLE[System Type],FALSE)</f>
        <v>0</v>
      </c>
      <c r="G484">
        <f>_xlfn.XLOOKUP(Table4[[#This Row],[Base System]],BASE_SYSTEM_TABLE[System Name],BASE_SYSTEM_TABLE[System Subtype],FALSE)</f>
        <v>0</v>
      </c>
      <c r="H484">
        <f>_xlfn.XLOOKUP(Table4[[#This Row],[Base System]],BASE_SYSTEM_TABLE[System Name],BASE_SYSTEM_TABLE[Construction Type (Framed or Planar)],FALSE)</f>
        <v>0</v>
      </c>
      <c r="I484" t="e">
        <f>GETPIVOTDATA("Sum of A1-A3 Fossil kg CO2e/m^2 wall area",'COMPONENT PIVOT REF'!$A$3,"System Name",Table4[[#This Row],[Base System]])</f>
        <v>#REF!</v>
      </c>
      <c r="J484" t="e">
        <f>GETPIVOTDATA("Sum of  R value (m^2-K/W)",'COMPONENT PIVOT REF'!$A$3,"System Name",Table4[[#This Row],[Base System]])</f>
        <v>#REF!</v>
      </c>
      <c r="K484" t="e">
        <f>GETPIVOTDATA("Sum of Total Mass per m^2 (kg)",'COMPONENT PIVOT REF'!$A$3,"System Name",Table4[[#This Row],[Base System]])</f>
        <v>#REF!</v>
      </c>
      <c r="M484">
        <f>_xlfn.XLOOKUP(Table4[[#This Row],[Ext Finish]],Master_Table4[System Name],Master_Table4[System Name (Short)],FALSE)</f>
        <v>0</v>
      </c>
      <c r="N484">
        <f>_xlfn.XLOOKUP(Table4[[#This Row],[Ext Finish]],Master_Table4[System Name],Master_Table4[Compatible Systems],FALSE)</f>
        <v>0</v>
      </c>
      <c r="O484" t="str">
        <f>IF(ISNUMBER(SEARCH(Table4[[#This Row],[MMC Method]],Table4[[#This Row],[Compatible Systems]])),"YES","NO")</f>
        <v>YES</v>
      </c>
      <c r="P484" t="e">
        <f>GETPIVOTDATA("Sum of A1-A3 Fossil kg CO2e/m^2 wall area",'COMPONENT PIVOT REF'!$I$3,"System Name",Table4[[#This Row],[Ext Finish]])</f>
        <v>#REF!</v>
      </c>
      <c r="Q484" t="e">
        <f>GETPIVOTDATA("Sum of  R value (m^2-K/W)",'COMPONENT PIVOT REF'!$I$3,"System Name",Table4[[#This Row],[Ext Finish]])</f>
        <v>#REF!</v>
      </c>
      <c r="R484" t="e">
        <f>GETPIVOTDATA("Sum of Total Mass per m^2 (kg)",'COMPONENT PIVOT REF'!$I$3,"System Name",Table4[[#This Row],[Ext Finish]])</f>
        <v>#REF!</v>
      </c>
      <c r="T484">
        <f>_xlfn.XLOOKUP(Table4[[#This Row],[Int Finish]],Master_Table6[System Name],Master_Table6[System Name (Short)],FALSE)</f>
        <v>0</v>
      </c>
      <c r="U484" t="e">
        <f>GETPIVOTDATA("Sum of A1-A3 Fossil kg CO2e/m^2 wall area",'COMPONENT PIVOT REF'!$P$3,"System Name",Table4[[#This Row],[Int Finish]])</f>
        <v>#REF!</v>
      </c>
      <c r="V484" t="e">
        <f>GETPIVOTDATA("Sum of  R value (m^2-K/W)",'COMPONENT PIVOT REF'!$P$3,"System Name",Table4[[#This Row],[Int Finish]])</f>
        <v>#REF!</v>
      </c>
      <c r="W484" t="e">
        <f>GETPIVOTDATA("Sum of Total Mass per m^2 (kg)",'COMPONENT PIVOT REF'!$P$3,"System Name",Table4[[#This Row],[Int Finish]])</f>
        <v>#REF!</v>
      </c>
      <c r="X484" t="e">
        <f>Table4[[#This Row],[Ext Finish GWP]]+Table4[[#This Row],[Base GWP]]+Table4[[#This Row],[Int Finish GWP]]</f>
        <v>#REF!</v>
      </c>
      <c r="Y484" t="e">
        <f>Table4[[#This Row],[Ext Finish R Value]]+Table4[[#This Row],[Base R Value]]+Table4[[#This Row],[Int Finish R Value]]</f>
        <v>#REF!</v>
      </c>
      <c r="Z484" t="e">
        <f>1/Table4[[#This Row],[Total R value]]</f>
        <v>#REF!</v>
      </c>
      <c r="AA484" t="e">
        <f>Table4[[#This Row],[Int Finish Mass]]+Table4[[#This Row],[Ext Finish Mass]]+Table4[[#This Row],[Base Mass]]</f>
        <v>#REF!</v>
      </c>
    </row>
    <row r="485" spans="3:27" x14ac:dyDescent="0.35">
      <c r="C485" t="str">
        <f>_xlfn.CONCAT(Table4[[#This Row],[System Name (Short)]],"_",Table4[[#This Row],[Ext Finish Name (Short)]],"_",Table4[[#This Row],[Int Finish Name (Short)]])</f>
        <v>0_0_0</v>
      </c>
      <c r="E485">
        <f>_xlfn.XLOOKUP(Table4[[#This Row],[Base System]],BASE_SYSTEM_TABLE[System Name],BASE_SYSTEM_TABLE[System Name (Short)],FALSE)</f>
        <v>0</v>
      </c>
      <c r="F485">
        <f>_xlfn.XLOOKUP(Table4[[#This Row],[Base System]],BASE_SYSTEM_TABLE[System Name],BASE_SYSTEM_TABLE[System Type],FALSE)</f>
        <v>0</v>
      </c>
      <c r="G485">
        <f>_xlfn.XLOOKUP(Table4[[#This Row],[Base System]],BASE_SYSTEM_TABLE[System Name],BASE_SYSTEM_TABLE[System Subtype],FALSE)</f>
        <v>0</v>
      </c>
      <c r="H485">
        <f>_xlfn.XLOOKUP(Table4[[#This Row],[Base System]],BASE_SYSTEM_TABLE[System Name],BASE_SYSTEM_TABLE[Construction Type (Framed or Planar)],FALSE)</f>
        <v>0</v>
      </c>
      <c r="I485" t="e">
        <f>GETPIVOTDATA("Sum of A1-A3 Fossil kg CO2e/m^2 wall area",'COMPONENT PIVOT REF'!$A$3,"System Name",Table4[[#This Row],[Base System]])</f>
        <v>#REF!</v>
      </c>
      <c r="J485" t="e">
        <f>GETPIVOTDATA("Sum of  R value (m^2-K/W)",'COMPONENT PIVOT REF'!$A$3,"System Name",Table4[[#This Row],[Base System]])</f>
        <v>#REF!</v>
      </c>
      <c r="K485" t="e">
        <f>GETPIVOTDATA("Sum of Total Mass per m^2 (kg)",'COMPONENT PIVOT REF'!$A$3,"System Name",Table4[[#This Row],[Base System]])</f>
        <v>#REF!</v>
      </c>
      <c r="M485">
        <f>_xlfn.XLOOKUP(Table4[[#This Row],[Ext Finish]],Master_Table4[System Name],Master_Table4[System Name (Short)],FALSE)</f>
        <v>0</v>
      </c>
      <c r="N485">
        <f>_xlfn.XLOOKUP(Table4[[#This Row],[Ext Finish]],Master_Table4[System Name],Master_Table4[Compatible Systems],FALSE)</f>
        <v>0</v>
      </c>
      <c r="O485" t="str">
        <f>IF(ISNUMBER(SEARCH(Table4[[#This Row],[MMC Method]],Table4[[#This Row],[Compatible Systems]])),"YES","NO")</f>
        <v>YES</v>
      </c>
      <c r="P485" t="e">
        <f>GETPIVOTDATA("Sum of A1-A3 Fossil kg CO2e/m^2 wall area",'COMPONENT PIVOT REF'!$I$3,"System Name",Table4[[#This Row],[Ext Finish]])</f>
        <v>#REF!</v>
      </c>
      <c r="Q485" t="e">
        <f>GETPIVOTDATA("Sum of  R value (m^2-K/W)",'COMPONENT PIVOT REF'!$I$3,"System Name",Table4[[#This Row],[Ext Finish]])</f>
        <v>#REF!</v>
      </c>
      <c r="R485" t="e">
        <f>GETPIVOTDATA("Sum of Total Mass per m^2 (kg)",'COMPONENT PIVOT REF'!$I$3,"System Name",Table4[[#This Row],[Ext Finish]])</f>
        <v>#REF!</v>
      </c>
      <c r="T485">
        <f>_xlfn.XLOOKUP(Table4[[#This Row],[Int Finish]],Master_Table6[System Name],Master_Table6[System Name (Short)],FALSE)</f>
        <v>0</v>
      </c>
      <c r="U485" t="e">
        <f>GETPIVOTDATA("Sum of A1-A3 Fossil kg CO2e/m^2 wall area",'COMPONENT PIVOT REF'!$P$3,"System Name",Table4[[#This Row],[Int Finish]])</f>
        <v>#REF!</v>
      </c>
      <c r="V485" t="e">
        <f>GETPIVOTDATA("Sum of  R value (m^2-K/W)",'COMPONENT PIVOT REF'!$P$3,"System Name",Table4[[#This Row],[Int Finish]])</f>
        <v>#REF!</v>
      </c>
      <c r="W485" t="e">
        <f>GETPIVOTDATA("Sum of Total Mass per m^2 (kg)",'COMPONENT PIVOT REF'!$P$3,"System Name",Table4[[#This Row],[Int Finish]])</f>
        <v>#REF!</v>
      </c>
      <c r="X485" t="e">
        <f>Table4[[#This Row],[Ext Finish GWP]]+Table4[[#This Row],[Base GWP]]+Table4[[#This Row],[Int Finish GWP]]</f>
        <v>#REF!</v>
      </c>
      <c r="Y485" t="e">
        <f>Table4[[#This Row],[Ext Finish R Value]]+Table4[[#This Row],[Base R Value]]+Table4[[#This Row],[Int Finish R Value]]</f>
        <v>#REF!</v>
      </c>
      <c r="Z485" t="e">
        <f>1/Table4[[#This Row],[Total R value]]</f>
        <v>#REF!</v>
      </c>
      <c r="AA485" t="e">
        <f>Table4[[#This Row],[Int Finish Mass]]+Table4[[#This Row],[Ext Finish Mass]]+Table4[[#This Row],[Base Mass]]</f>
        <v>#REF!</v>
      </c>
    </row>
    <row r="486" spans="3:27" x14ac:dyDescent="0.35">
      <c r="C486" t="str">
        <f>_xlfn.CONCAT(Table4[[#This Row],[System Name (Short)]],"_",Table4[[#This Row],[Ext Finish Name (Short)]],"_",Table4[[#This Row],[Int Finish Name (Short)]])</f>
        <v>0_0_0</v>
      </c>
      <c r="E486">
        <f>_xlfn.XLOOKUP(Table4[[#This Row],[Base System]],BASE_SYSTEM_TABLE[System Name],BASE_SYSTEM_TABLE[System Name (Short)],FALSE)</f>
        <v>0</v>
      </c>
      <c r="F486">
        <f>_xlfn.XLOOKUP(Table4[[#This Row],[Base System]],BASE_SYSTEM_TABLE[System Name],BASE_SYSTEM_TABLE[System Type],FALSE)</f>
        <v>0</v>
      </c>
      <c r="G486">
        <f>_xlfn.XLOOKUP(Table4[[#This Row],[Base System]],BASE_SYSTEM_TABLE[System Name],BASE_SYSTEM_TABLE[System Subtype],FALSE)</f>
        <v>0</v>
      </c>
      <c r="H486">
        <f>_xlfn.XLOOKUP(Table4[[#This Row],[Base System]],BASE_SYSTEM_TABLE[System Name],BASE_SYSTEM_TABLE[Construction Type (Framed or Planar)],FALSE)</f>
        <v>0</v>
      </c>
      <c r="I486" t="e">
        <f>GETPIVOTDATA("Sum of A1-A3 Fossil kg CO2e/m^2 wall area",'COMPONENT PIVOT REF'!$A$3,"System Name",Table4[[#This Row],[Base System]])</f>
        <v>#REF!</v>
      </c>
      <c r="J486" t="e">
        <f>GETPIVOTDATA("Sum of  R value (m^2-K/W)",'COMPONENT PIVOT REF'!$A$3,"System Name",Table4[[#This Row],[Base System]])</f>
        <v>#REF!</v>
      </c>
      <c r="K486" t="e">
        <f>GETPIVOTDATA("Sum of Total Mass per m^2 (kg)",'COMPONENT PIVOT REF'!$A$3,"System Name",Table4[[#This Row],[Base System]])</f>
        <v>#REF!</v>
      </c>
      <c r="M486">
        <f>_xlfn.XLOOKUP(Table4[[#This Row],[Ext Finish]],Master_Table4[System Name],Master_Table4[System Name (Short)],FALSE)</f>
        <v>0</v>
      </c>
      <c r="N486">
        <f>_xlfn.XLOOKUP(Table4[[#This Row],[Ext Finish]],Master_Table4[System Name],Master_Table4[Compatible Systems],FALSE)</f>
        <v>0</v>
      </c>
      <c r="O486" t="str">
        <f>IF(ISNUMBER(SEARCH(Table4[[#This Row],[MMC Method]],Table4[[#This Row],[Compatible Systems]])),"YES","NO")</f>
        <v>YES</v>
      </c>
      <c r="P486" t="e">
        <f>GETPIVOTDATA("Sum of A1-A3 Fossil kg CO2e/m^2 wall area",'COMPONENT PIVOT REF'!$I$3,"System Name",Table4[[#This Row],[Ext Finish]])</f>
        <v>#REF!</v>
      </c>
      <c r="Q486" t="e">
        <f>GETPIVOTDATA("Sum of  R value (m^2-K/W)",'COMPONENT PIVOT REF'!$I$3,"System Name",Table4[[#This Row],[Ext Finish]])</f>
        <v>#REF!</v>
      </c>
      <c r="R486" t="e">
        <f>GETPIVOTDATA("Sum of Total Mass per m^2 (kg)",'COMPONENT PIVOT REF'!$I$3,"System Name",Table4[[#This Row],[Ext Finish]])</f>
        <v>#REF!</v>
      </c>
      <c r="T486">
        <f>_xlfn.XLOOKUP(Table4[[#This Row],[Int Finish]],Master_Table6[System Name],Master_Table6[System Name (Short)],FALSE)</f>
        <v>0</v>
      </c>
      <c r="U486" t="e">
        <f>GETPIVOTDATA("Sum of A1-A3 Fossil kg CO2e/m^2 wall area",'COMPONENT PIVOT REF'!$P$3,"System Name",Table4[[#This Row],[Int Finish]])</f>
        <v>#REF!</v>
      </c>
      <c r="V486" t="e">
        <f>GETPIVOTDATA("Sum of  R value (m^2-K/W)",'COMPONENT PIVOT REF'!$P$3,"System Name",Table4[[#This Row],[Int Finish]])</f>
        <v>#REF!</v>
      </c>
      <c r="W486" t="e">
        <f>GETPIVOTDATA("Sum of Total Mass per m^2 (kg)",'COMPONENT PIVOT REF'!$P$3,"System Name",Table4[[#This Row],[Int Finish]])</f>
        <v>#REF!</v>
      </c>
      <c r="X486" t="e">
        <f>Table4[[#This Row],[Ext Finish GWP]]+Table4[[#This Row],[Base GWP]]+Table4[[#This Row],[Int Finish GWP]]</f>
        <v>#REF!</v>
      </c>
      <c r="Y486" t="e">
        <f>Table4[[#This Row],[Ext Finish R Value]]+Table4[[#This Row],[Base R Value]]+Table4[[#This Row],[Int Finish R Value]]</f>
        <v>#REF!</v>
      </c>
      <c r="Z486" t="e">
        <f>1/Table4[[#This Row],[Total R value]]</f>
        <v>#REF!</v>
      </c>
      <c r="AA486" t="e">
        <f>Table4[[#This Row],[Int Finish Mass]]+Table4[[#This Row],[Ext Finish Mass]]+Table4[[#This Row],[Base Mass]]</f>
        <v>#REF!</v>
      </c>
    </row>
    <row r="487" spans="3:27" x14ac:dyDescent="0.35">
      <c r="C487" t="str">
        <f>_xlfn.CONCAT(Table4[[#This Row],[System Name (Short)]],"_",Table4[[#This Row],[Ext Finish Name (Short)]],"_",Table4[[#This Row],[Int Finish Name (Short)]])</f>
        <v>0_0_0</v>
      </c>
      <c r="E487">
        <f>_xlfn.XLOOKUP(Table4[[#This Row],[Base System]],BASE_SYSTEM_TABLE[System Name],BASE_SYSTEM_TABLE[System Name (Short)],FALSE)</f>
        <v>0</v>
      </c>
      <c r="F487">
        <f>_xlfn.XLOOKUP(Table4[[#This Row],[Base System]],BASE_SYSTEM_TABLE[System Name],BASE_SYSTEM_TABLE[System Type],FALSE)</f>
        <v>0</v>
      </c>
      <c r="G487">
        <f>_xlfn.XLOOKUP(Table4[[#This Row],[Base System]],BASE_SYSTEM_TABLE[System Name],BASE_SYSTEM_TABLE[System Subtype],FALSE)</f>
        <v>0</v>
      </c>
      <c r="H487">
        <f>_xlfn.XLOOKUP(Table4[[#This Row],[Base System]],BASE_SYSTEM_TABLE[System Name],BASE_SYSTEM_TABLE[Construction Type (Framed or Planar)],FALSE)</f>
        <v>0</v>
      </c>
      <c r="I487" t="e">
        <f>GETPIVOTDATA("Sum of A1-A3 Fossil kg CO2e/m^2 wall area",'COMPONENT PIVOT REF'!$A$3,"System Name",Table4[[#This Row],[Base System]])</f>
        <v>#REF!</v>
      </c>
      <c r="J487" t="e">
        <f>GETPIVOTDATA("Sum of  R value (m^2-K/W)",'COMPONENT PIVOT REF'!$A$3,"System Name",Table4[[#This Row],[Base System]])</f>
        <v>#REF!</v>
      </c>
      <c r="K487" t="e">
        <f>GETPIVOTDATA("Sum of Total Mass per m^2 (kg)",'COMPONENT PIVOT REF'!$A$3,"System Name",Table4[[#This Row],[Base System]])</f>
        <v>#REF!</v>
      </c>
      <c r="M487">
        <f>_xlfn.XLOOKUP(Table4[[#This Row],[Ext Finish]],Master_Table4[System Name],Master_Table4[System Name (Short)],FALSE)</f>
        <v>0</v>
      </c>
      <c r="N487">
        <f>_xlfn.XLOOKUP(Table4[[#This Row],[Ext Finish]],Master_Table4[System Name],Master_Table4[Compatible Systems],FALSE)</f>
        <v>0</v>
      </c>
      <c r="O487" t="str">
        <f>IF(ISNUMBER(SEARCH(Table4[[#This Row],[MMC Method]],Table4[[#This Row],[Compatible Systems]])),"YES","NO")</f>
        <v>YES</v>
      </c>
      <c r="P487" t="e">
        <f>GETPIVOTDATA("Sum of A1-A3 Fossil kg CO2e/m^2 wall area",'COMPONENT PIVOT REF'!$I$3,"System Name",Table4[[#This Row],[Ext Finish]])</f>
        <v>#REF!</v>
      </c>
      <c r="Q487" t="e">
        <f>GETPIVOTDATA("Sum of  R value (m^2-K/W)",'COMPONENT PIVOT REF'!$I$3,"System Name",Table4[[#This Row],[Ext Finish]])</f>
        <v>#REF!</v>
      </c>
      <c r="R487" t="e">
        <f>GETPIVOTDATA("Sum of Total Mass per m^2 (kg)",'COMPONENT PIVOT REF'!$I$3,"System Name",Table4[[#This Row],[Ext Finish]])</f>
        <v>#REF!</v>
      </c>
      <c r="T487">
        <f>_xlfn.XLOOKUP(Table4[[#This Row],[Int Finish]],Master_Table6[System Name],Master_Table6[System Name (Short)],FALSE)</f>
        <v>0</v>
      </c>
      <c r="U487" t="e">
        <f>GETPIVOTDATA("Sum of A1-A3 Fossil kg CO2e/m^2 wall area",'COMPONENT PIVOT REF'!$P$3,"System Name",Table4[[#This Row],[Int Finish]])</f>
        <v>#REF!</v>
      </c>
      <c r="V487" t="e">
        <f>GETPIVOTDATA("Sum of  R value (m^2-K/W)",'COMPONENT PIVOT REF'!$P$3,"System Name",Table4[[#This Row],[Int Finish]])</f>
        <v>#REF!</v>
      </c>
      <c r="W487" t="e">
        <f>GETPIVOTDATA("Sum of Total Mass per m^2 (kg)",'COMPONENT PIVOT REF'!$P$3,"System Name",Table4[[#This Row],[Int Finish]])</f>
        <v>#REF!</v>
      </c>
      <c r="X487" t="e">
        <f>Table4[[#This Row],[Ext Finish GWP]]+Table4[[#This Row],[Base GWP]]+Table4[[#This Row],[Int Finish GWP]]</f>
        <v>#REF!</v>
      </c>
      <c r="Y487" t="e">
        <f>Table4[[#This Row],[Ext Finish R Value]]+Table4[[#This Row],[Base R Value]]+Table4[[#This Row],[Int Finish R Value]]</f>
        <v>#REF!</v>
      </c>
      <c r="Z487" t="e">
        <f>1/Table4[[#This Row],[Total R value]]</f>
        <v>#REF!</v>
      </c>
      <c r="AA487" t="e">
        <f>Table4[[#This Row],[Int Finish Mass]]+Table4[[#This Row],[Ext Finish Mass]]+Table4[[#This Row],[Base Mass]]</f>
        <v>#REF!</v>
      </c>
    </row>
    <row r="488" spans="3:27" x14ac:dyDescent="0.35">
      <c r="C488" t="str">
        <f>_xlfn.CONCAT(Table4[[#This Row],[System Name (Short)]],"_",Table4[[#This Row],[Ext Finish Name (Short)]],"_",Table4[[#This Row],[Int Finish Name (Short)]])</f>
        <v>0_0_0</v>
      </c>
      <c r="E488">
        <f>_xlfn.XLOOKUP(Table4[[#This Row],[Base System]],BASE_SYSTEM_TABLE[System Name],BASE_SYSTEM_TABLE[System Name (Short)],FALSE)</f>
        <v>0</v>
      </c>
      <c r="F488">
        <f>_xlfn.XLOOKUP(Table4[[#This Row],[Base System]],BASE_SYSTEM_TABLE[System Name],BASE_SYSTEM_TABLE[System Type],FALSE)</f>
        <v>0</v>
      </c>
      <c r="G488">
        <f>_xlfn.XLOOKUP(Table4[[#This Row],[Base System]],BASE_SYSTEM_TABLE[System Name],BASE_SYSTEM_TABLE[System Subtype],FALSE)</f>
        <v>0</v>
      </c>
      <c r="H488">
        <f>_xlfn.XLOOKUP(Table4[[#This Row],[Base System]],BASE_SYSTEM_TABLE[System Name],BASE_SYSTEM_TABLE[Construction Type (Framed or Planar)],FALSE)</f>
        <v>0</v>
      </c>
      <c r="I488" t="e">
        <f>GETPIVOTDATA("Sum of A1-A3 Fossil kg CO2e/m^2 wall area",'COMPONENT PIVOT REF'!$A$3,"System Name",Table4[[#This Row],[Base System]])</f>
        <v>#REF!</v>
      </c>
      <c r="J488" t="e">
        <f>GETPIVOTDATA("Sum of  R value (m^2-K/W)",'COMPONENT PIVOT REF'!$A$3,"System Name",Table4[[#This Row],[Base System]])</f>
        <v>#REF!</v>
      </c>
      <c r="K488" t="e">
        <f>GETPIVOTDATA("Sum of Total Mass per m^2 (kg)",'COMPONENT PIVOT REF'!$A$3,"System Name",Table4[[#This Row],[Base System]])</f>
        <v>#REF!</v>
      </c>
      <c r="M488">
        <f>_xlfn.XLOOKUP(Table4[[#This Row],[Ext Finish]],Master_Table4[System Name],Master_Table4[System Name (Short)],FALSE)</f>
        <v>0</v>
      </c>
      <c r="N488">
        <f>_xlfn.XLOOKUP(Table4[[#This Row],[Ext Finish]],Master_Table4[System Name],Master_Table4[Compatible Systems],FALSE)</f>
        <v>0</v>
      </c>
      <c r="O488" t="str">
        <f>IF(ISNUMBER(SEARCH(Table4[[#This Row],[MMC Method]],Table4[[#This Row],[Compatible Systems]])),"YES","NO")</f>
        <v>YES</v>
      </c>
      <c r="P488" t="e">
        <f>GETPIVOTDATA("Sum of A1-A3 Fossil kg CO2e/m^2 wall area",'COMPONENT PIVOT REF'!$I$3,"System Name",Table4[[#This Row],[Ext Finish]])</f>
        <v>#REF!</v>
      </c>
      <c r="Q488" t="e">
        <f>GETPIVOTDATA("Sum of  R value (m^2-K/W)",'COMPONENT PIVOT REF'!$I$3,"System Name",Table4[[#This Row],[Ext Finish]])</f>
        <v>#REF!</v>
      </c>
      <c r="R488" t="e">
        <f>GETPIVOTDATA("Sum of Total Mass per m^2 (kg)",'COMPONENT PIVOT REF'!$I$3,"System Name",Table4[[#This Row],[Ext Finish]])</f>
        <v>#REF!</v>
      </c>
      <c r="T488">
        <f>_xlfn.XLOOKUP(Table4[[#This Row],[Int Finish]],Master_Table6[System Name],Master_Table6[System Name (Short)],FALSE)</f>
        <v>0</v>
      </c>
      <c r="U488" t="e">
        <f>GETPIVOTDATA("Sum of A1-A3 Fossil kg CO2e/m^2 wall area",'COMPONENT PIVOT REF'!$P$3,"System Name",Table4[[#This Row],[Int Finish]])</f>
        <v>#REF!</v>
      </c>
      <c r="V488" t="e">
        <f>GETPIVOTDATA("Sum of  R value (m^2-K/W)",'COMPONENT PIVOT REF'!$P$3,"System Name",Table4[[#This Row],[Int Finish]])</f>
        <v>#REF!</v>
      </c>
      <c r="W488" t="e">
        <f>GETPIVOTDATA("Sum of Total Mass per m^2 (kg)",'COMPONENT PIVOT REF'!$P$3,"System Name",Table4[[#This Row],[Int Finish]])</f>
        <v>#REF!</v>
      </c>
      <c r="X488" t="e">
        <f>Table4[[#This Row],[Ext Finish GWP]]+Table4[[#This Row],[Base GWP]]+Table4[[#This Row],[Int Finish GWP]]</f>
        <v>#REF!</v>
      </c>
      <c r="Y488" t="e">
        <f>Table4[[#This Row],[Ext Finish R Value]]+Table4[[#This Row],[Base R Value]]+Table4[[#This Row],[Int Finish R Value]]</f>
        <v>#REF!</v>
      </c>
      <c r="Z488" t="e">
        <f>1/Table4[[#This Row],[Total R value]]</f>
        <v>#REF!</v>
      </c>
      <c r="AA488" t="e">
        <f>Table4[[#This Row],[Int Finish Mass]]+Table4[[#This Row],[Ext Finish Mass]]+Table4[[#This Row],[Base Mass]]</f>
        <v>#REF!</v>
      </c>
    </row>
    <row r="489" spans="3:27" x14ac:dyDescent="0.35">
      <c r="C489" t="str">
        <f>_xlfn.CONCAT(Table4[[#This Row],[System Name (Short)]],"_",Table4[[#This Row],[Ext Finish Name (Short)]],"_",Table4[[#This Row],[Int Finish Name (Short)]])</f>
        <v>0_0_0</v>
      </c>
      <c r="E489">
        <f>_xlfn.XLOOKUP(Table4[[#This Row],[Base System]],BASE_SYSTEM_TABLE[System Name],BASE_SYSTEM_TABLE[System Name (Short)],FALSE)</f>
        <v>0</v>
      </c>
      <c r="F489">
        <f>_xlfn.XLOOKUP(Table4[[#This Row],[Base System]],BASE_SYSTEM_TABLE[System Name],BASE_SYSTEM_TABLE[System Type],FALSE)</f>
        <v>0</v>
      </c>
      <c r="G489">
        <f>_xlfn.XLOOKUP(Table4[[#This Row],[Base System]],BASE_SYSTEM_TABLE[System Name],BASE_SYSTEM_TABLE[System Subtype],FALSE)</f>
        <v>0</v>
      </c>
      <c r="H489">
        <f>_xlfn.XLOOKUP(Table4[[#This Row],[Base System]],BASE_SYSTEM_TABLE[System Name],BASE_SYSTEM_TABLE[Construction Type (Framed or Planar)],FALSE)</f>
        <v>0</v>
      </c>
      <c r="I489" t="e">
        <f>GETPIVOTDATA("Sum of A1-A3 Fossil kg CO2e/m^2 wall area",'COMPONENT PIVOT REF'!$A$3,"System Name",Table4[[#This Row],[Base System]])</f>
        <v>#REF!</v>
      </c>
      <c r="J489" t="e">
        <f>GETPIVOTDATA("Sum of  R value (m^2-K/W)",'COMPONENT PIVOT REF'!$A$3,"System Name",Table4[[#This Row],[Base System]])</f>
        <v>#REF!</v>
      </c>
      <c r="K489" t="e">
        <f>GETPIVOTDATA("Sum of Total Mass per m^2 (kg)",'COMPONENT PIVOT REF'!$A$3,"System Name",Table4[[#This Row],[Base System]])</f>
        <v>#REF!</v>
      </c>
      <c r="M489">
        <f>_xlfn.XLOOKUP(Table4[[#This Row],[Ext Finish]],Master_Table4[System Name],Master_Table4[System Name (Short)],FALSE)</f>
        <v>0</v>
      </c>
      <c r="N489">
        <f>_xlfn.XLOOKUP(Table4[[#This Row],[Ext Finish]],Master_Table4[System Name],Master_Table4[Compatible Systems],FALSE)</f>
        <v>0</v>
      </c>
      <c r="O489" t="str">
        <f>IF(ISNUMBER(SEARCH(Table4[[#This Row],[MMC Method]],Table4[[#This Row],[Compatible Systems]])),"YES","NO")</f>
        <v>YES</v>
      </c>
      <c r="P489" t="e">
        <f>GETPIVOTDATA("Sum of A1-A3 Fossil kg CO2e/m^2 wall area",'COMPONENT PIVOT REF'!$I$3,"System Name",Table4[[#This Row],[Ext Finish]])</f>
        <v>#REF!</v>
      </c>
      <c r="Q489" t="e">
        <f>GETPIVOTDATA("Sum of  R value (m^2-K/W)",'COMPONENT PIVOT REF'!$I$3,"System Name",Table4[[#This Row],[Ext Finish]])</f>
        <v>#REF!</v>
      </c>
      <c r="R489" t="e">
        <f>GETPIVOTDATA("Sum of Total Mass per m^2 (kg)",'COMPONENT PIVOT REF'!$I$3,"System Name",Table4[[#This Row],[Ext Finish]])</f>
        <v>#REF!</v>
      </c>
      <c r="T489">
        <f>_xlfn.XLOOKUP(Table4[[#This Row],[Int Finish]],Master_Table6[System Name],Master_Table6[System Name (Short)],FALSE)</f>
        <v>0</v>
      </c>
      <c r="U489" t="e">
        <f>GETPIVOTDATA("Sum of A1-A3 Fossil kg CO2e/m^2 wall area",'COMPONENT PIVOT REF'!$P$3,"System Name",Table4[[#This Row],[Int Finish]])</f>
        <v>#REF!</v>
      </c>
      <c r="V489" t="e">
        <f>GETPIVOTDATA("Sum of  R value (m^2-K/W)",'COMPONENT PIVOT REF'!$P$3,"System Name",Table4[[#This Row],[Int Finish]])</f>
        <v>#REF!</v>
      </c>
      <c r="W489" t="e">
        <f>GETPIVOTDATA("Sum of Total Mass per m^2 (kg)",'COMPONENT PIVOT REF'!$P$3,"System Name",Table4[[#This Row],[Int Finish]])</f>
        <v>#REF!</v>
      </c>
      <c r="X489" t="e">
        <f>Table4[[#This Row],[Ext Finish GWP]]+Table4[[#This Row],[Base GWP]]+Table4[[#This Row],[Int Finish GWP]]</f>
        <v>#REF!</v>
      </c>
      <c r="Y489" t="e">
        <f>Table4[[#This Row],[Ext Finish R Value]]+Table4[[#This Row],[Base R Value]]+Table4[[#This Row],[Int Finish R Value]]</f>
        <v>#REF!</v>
      </c>
      <c r="Z489" t="e">
        <f>1/Table4[[#This Row],[Total R value]]</f>
        <v>#REF!</v>
      </c>
      <c r="AA489" t="e">
        <f>Table4[[#This Row],[Int Finish Mass]]+Table4[[#This Row],[Ext Finish Mass]]+Table4[[#This Row],[Base Mass]]</f>
        <v>#REF!</v>
      </c>
    </row>
    <row r="490" spans="3:27" x14ac:dyDescent="0.35">
      <c r="C490" t="str">
        <f>_xlfn.CONCAT(Table4[[#This Row],[System Name (Short)]],"_",Table4[[#This Row],[Ext Finish Name (Short)]],"_",Table4[[#This Row],[Int Finish Name (Short)]])</f>
        <v>0_0_0</v>
      </c>
      <c r="E490">
        <f>_xlfn.XLOOKUP(Table4[[#This Row],[Base System]],BASE_SYSTEM_TABLE[System Name],BASE_SYSTEM_TABLE[System Name (Short)],FALSE)</f>
        <v>0</v>
      </c>
      <c r="F490">
        <f>_xlfn.XLOOKUP(Table4[[#This Row],[Base System]],BASE_SYSTEM_TABLE[System Name],BASE_SYSTEM_TABLE[System Type],FALSE)</f>
        <v>0</v>
      </c>
      <c r="G490">
        <f>_xlfn.XLOOKUP(Table4[[#This Row],[Base System]],BASE_SYSTEM_TABLE[System Name],BASE_SYSTEM_TABLE[System Subtype],FALSE)</f>
        <v>0</v>
      </c>
      <c r="H490">
        <f>_xlfn.XLOOKUP(Table4[[#This Row],[Base System]],BASE_SYSTEM_TABLE[System Name],BASE_SYSTEM_TABLE[Construction Type (Framed or Planar)],FALSE)</f>
        <v>0</v>
      </c>
      <c r="I490" t="e">
        <f>GETPIVOTDATA("Sum of A1-A3 Fossil kg CO2e/m^2 wall area",'COMPONENT PIVOT REF'!$A$3,"System Name",Table4[[#This Row],[Base System]])</f>
        <v>#REF!</v>
      </c>
      <c r="J490" t="e">
        <f>GETPIVOTDATA("Sum of  R value (m^2-K/W)",'COMPONENT PIVOT REF'!$A$3,"System Name",Table4[[#This Row],[Base System]])</f>
        <v>#REF!</v>
      </c>
      <c r="K490" t="e">
        <f>GETPIVOTDATA("Sum of Total Mass per m^2 (kg)",'COMPONENT PIVOT REF'!$A$3,"System Name",Table4[[#This Row],[Base System]])</f>
        <v>#REF!</v>
      </c>
      <c r="M490">
        <f>_xlfn.XLOOKUP(Table4[[#This Row],[Ext Finish]],Master_Table4[System Name],Master_Table4[System Name (Short)],FALSE)</f>
        <v>0</v>
      </c>
      <c r="N490">
        <f>_xlfn.XLOOKUP(Table4[[#This Row],[Ext Finish]],Master_Table4[System Name],Master_Table4[Compatible Systems],FALSE)</f>
        <v>0</v>
      </c>
      <c r="O490" t="str">
        <f>IF(ISNUMBER(SEARCH(Table4[[#This Row],[MMC Method]],Table4[[#This Row],[Compatible Systems]])),"YES","NO")</f>
        <v>YES</v>
      </c>
      <c r="P490" t="e">
        <f>GETPIVOTDATA("Sum of A1-A3 Fossil kg CO2e/m^2 wall area",'COMPONENT PIVOT REF'!$I$3,"System Name",Table4[[#This Row],[Ext Finish]])</f>
        <v>#REF!</v>
      </c>
      <c r="Q490" t="e">
        <f>GETPIVOTDATA("Sum of  R value (m^2-K/W)",'COMPONENT PIVOT REF'!$I$3,"System Name",Table4[[#This Row],[Ext Finish]])</f>
        <v>#REF!</v>
      </c>
      <c r="R490" t="e">
        <f>GETPIVOTDATA("Sum of Total Mass per m^2 (kg)",'COMPONENT PIVOT REF'!$I$3,"System Name",Table4[[#This Row],[Ext Finish]])</f>
        <v>#REF!</v>
      </c>
      <c r="T490">
        <f>_xlfn.XLOOKUP(Table4[[#This Row],[Int Finish]],Master_Table6[System Name],Master_Table6[System Name (Short)],FALSE)</f>
        <v>0</v>
      </c>
      <c r="U490" t="e">
        <f>GETPIVOTDATA("Sum of A1-A3 Fossil kg CO2e/m^2 wall area",'COMPONENT PIVOT REF'!$P$3,"System Name",Table4[[#This Row],[Int Finish]])</f>
        <v>#REF!</v>
      </c>
      <c r="V490" t="e">
        <f>GETPIVOTDATA("Sum of  R value (m^2-K/W)",'COMPONENT PIVOT REF'!$P$3,"System Name",Table4[[#This Row],[Int Finish]])</f>
        <v>#REF!</v>
      </c>
      <c r="W490" t="e">
        <f>GETPIVOTDATA("Sum of Total Mass per m^2 (kg)",'COMPONENT PIVOT REF'!$P$3,"System Name",Table4[[#This Row],[Int Finish]])</f>
        <v>#REF!</v>
      </c>
      <c r="X490" t="e">
        <f>Table4[[#This Row],[Ext Finish GWP]]+Table4[[#This Row],[Base GWP]]+Table4[[#This Row],[Int Finish GWP]]</f>
        <v>#REF!</v>
      </c>
      <c r="Y490" t="e">
        <f>Table4[[#This Row],[Ext Finish R Value]]+Table4[[#This Row],[Base R Value]]+Table4[[#This Row],[Int Finish R Value]]</f>
        <v>#REF!</v>
      </c>
      <c r="Z490" t="e">
        <f>1/Table4[[#This Row],[Total R value]]</f>
        <v>#REF!</v>
      </c>
      <c r="AA490" t="e">
        <f>Table4[[#This Row],[Int Finish Mass]]+Table4[[#This Row],[Ext Finish Mass]]+Table4[[#This Row],[Base Mass]]</f>
        <v>#REF!</v>
      </c>
    </row>
    <row r="491" spans="3:27" x14ac:dyDescent="0.35">
      <c r="C491" t="str">
        <f>_xlfn.CONCAT(Table4[[#This Row],[System Name (Short)]],"_",Table4[[#This Row],[Ext Finish Name (Short)]],"_",Table4[[#This Row],[Int Finish Name (Short)]])</f>
        <v>0_0_0</v>
      </c>
      <c r="E491">
        <f>_xlfn.XLOOKUP(Table4[[#This Row],[Base System]],BASE_SYSTEM_TABLE[System Name],BASE_SYSTEM_TABLE[System Name (Short)],FALSE)</f>
        <v>0</v>
      </c>
      <c r="F491">
        <f>_xlfn.XLOOKUP(Table4[[#This Row],[Base System]],BASE_SYSTEM_TABLE[System Name],BASE_SYSTEM_TABLE[System Type],FALSE)</f>
        <v>0</v>
      </c>
      <c r="G491">
        <f>_xlfn.XLOOKUP(Table4[[#This Row],[Base System]],BASE_SYSTEM_TABLE[System Name],BASE_SYSTEM_TABLE[System Subtype],FALSE)</f>
        <v>0</v>
      </c>
      <c r="H491">
        <f>_xlfn.XLOOKUP(Table4[[#This Row],[Base System]],BASE_SYSTEM_TABLE[System Name],BASE_SYSTEM_TABLE[Construction Type (Framed or Planar)],FALSE)</f>
        <v>0</v>
      </c>
      <c r="I491" t="e">
        <f>GETPIVOTDATA("Sum of A1-A3 Fossil kg CO2e/m^2 wall area",'COMPONENT PIVOT REF'!$A$3,"System Name",Table4[[#This Row],[Base System]])</f>
        <v>#REF!</v>
      </c>
      <c r="J491" t="e">
        <f>GETPIVOTDATA("Sum of  R value (m^2-K/W)",'COMPONENT PIVOT REF'!$A$3,"System Name",Table4[[#This Row],[Base System]])</f>
        <v>#REF!</v>
      </c>
      <c r="K491" t="e">
        <f>GETPIVOTDATA("Sum of Total Mass per m^2 (kg)",'COMPONENT PIVOT REF'!$A$3,"System Name",Table4[[#This Row],[Base System]])</f>
        <v>#REF!</v>
      </c>
      <c r="M491">
        <f>_xlfn.XLOOKUP(Table4[[#This Row],[Ext Finish]],Master_Table4[System Name],Master_Table4[System Name (Short)],FALSE)</f>
        <v>0</v>
      </c>
      <c r="N491">
        <f>_xlfn.XLOOKUP(Table4[[#This Row],[Ext Finish]],Master_Table4[System Name],Master_Table4[Compatible Systems],FALSE)</f>
        <v>0</v>
      </c>
      <c r="O491" t="str">
        <f>IF(ISNUMBER(SEARCH(Table4[[#This Row],[MMC Method]],Table4[[#This Row],[Compatible Systems]])),"YES","NO")</f>
        <v>YES</v>
      </c>
      <c r="P491" t="e">
        <f>GETPIVOTDATA("Sum of A1-A3 Fossil kg CO2e/m^2 wall area",'COMPONENT PIVOT REF'!$I$3,"System Name",Table4[[#This Row],[Ext Finish]])</f>
        <v>#REF!</v>
      </c>
      <c r="Q491" t="e">
        <f>GETPIVOTDATA("Sum of  R value (m^2-K/W)",'COMPONENT PIVOT REF'!$I$3,"System Name",Table4[[#This Row],[Ext Finish]])</f>
        <v>#REF!</v>
      </c>
      <c r="R491" t="e">
        <f>GETPIVOTDATA("Sum of Total Mass per m^2 (kg)",'COMPONENT PIVOT REF'!$I$3,"System Name",Table4[[#This Row],[Ext Finish]])</f>
        <v>#REF!</v>
      </c>
      <c r="T491">
        <f>_xlfn.XLOOKUP(Table4[[#This Row],[Int Finish]],Master_Table6[System Name],Master_Table6[System Name (Short)],FALSE)</f>
        <v>0</v>
      </c>
      <c r="U491" t="e">
        <f>GETPIVOTDATA("Sum of A1-A3 Fossil kg CO2e/m^2 wall area",'COMPONENT PIVOT REF'!$P$3,"System Name",Table4[[#This Row],[Int Finish]])</f>
        <v>#REF!</v>
      </c>
      <c r="V491" t="e">
        <f>GETPIVOTDATA("Sum of  R value (m^2-K/W)",'COMPONENT PIVOT REF'!$P$3,"System Name",Table4[[#This Row],[Int Finish]])</f>
        <v>#REF!</v>
      </c>
      <c r="W491" t="e">
        <f>GETPIVOTDATA("Sum of Total Mass per m^2 (kg)",'COMPONENT PIVOT REF'!$P$3,"System Name",Table4[[#This Row],[Int Finish]])</f>
        <v>#REF!</v>
      </c>
      <c r="X491" t="e">
        <f>Table4[[#This Row],[Ext Finish GWP]]+Table4[[#This Row],[Base GWP]]+Table4[[#This Row],[Int Finish GWP]]</f>
        <v>#REF!</v>
      </c>
      <c r="Y491" t="e">
        <f>Table4[[#This Row],[Ext Finish R Value]]+Table4[[#This Row],[Base R Value]]+Table4[[#This Row],[Int Finish R Value]]</f>
        <v>#REF!</v>
      </c>
      <c r="Z491" t="e">
        <f>1/Table4[[#This Row],[Total R value]]</f>
        <v>#REF!</v>
      </c>
      <c r="AA491" t="e">
        <f>Table4[[#This Row],[Int Finish Mass]]+Table4[[#This Row],[Ext Finish Mass]]+Table4[[#This Row],[Base Mass]]</f>
        <v>#REF!</v>
      </c>
    </row>
  </sheetData>
  <conditionalFormatting sqref="O4:O491">
    <cfRule type="containsText" dxfId="61" priority="1" operator="containsText" text="Yes">
      <formula>NOT(ISERROR(SEARCH("Yes",O4)))</formula>
    </cfRule>
    <cfRule type="containsText" dxfId="60" priority="2" operator="containsText" text="No">
      <formula>NOT(ISERROR(SEARCH("No",O4)))</formula>
    </cfRule>
  </conditionalFormatting>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3">
        <x14:dataValidation type="list" allowBlank="1" showInputMessage="1" showErrorMessage="1" xr:uid="{344A7C4B-B914-40C0-A296-623B450E3AD4}">
          <x14:formula1>
            <xm:f>'BASE SYSTEMS'!$B$4:$B$840</xm:f>
          </x14:formula1>
          <xm:sqref>D29:D30 D4:D5 D79:D491 D54:D55</xm:sqref>
        </x14:dataValidation>
        <x14:dataValidation type="list" allowBlank="1" showInputMessage="1" showErrorMessage="1" xr:uid="{78D8F5BE-6216-430E-89C7-DC2D10004A0E}">
          <x14:formula1>
            <xm:f>'INT FINISH'!$B$4:$B$1015</xm:f>
          </x14:formula1>
          <xm:sqref>S4:S491</xm:sqref>
        </x14:dataValidation>
        <x14:dataValidation type="list" allowBlank="1" showInputMessage="1" showErrorMessage="1" xr:uid="{2FEC1B04-04C1-4B8A-A689-0937B71155DA}">
          <x14:formula1>
            <xm:f>'EXT FINISH'!$B$4:$B$769</xm:f>
          </x14:formula1>
          <xm:sqref>L4:L491</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BE534-72C9-41C4-B85F-2F237B94C351}">
  <sheetPr codeName="Sheet10">
    <tabColor rgb="FFFFFF00"/>
  </sheetPr>
  <dimension ref="A3:S30"/>
  <sheetViews>
    <sheetView zoomScale="80" workbookViewId="0">
      <selection activeCell="D34" sqref="D34"/>
    </sheetView>
  </sheetViews>
  <sheetFormatPr defaultRowHeight="14.5" x14ac:dyDescent="0.35"/>
  <cols>
    <col min="1" max="1" width="43.26953125" bestFit="1" customWidth="1"/>
    <col min="2" max="2" width="24.7265625" bestFit="1" customWidth="1"/>
    <col min="3" max="3" width="38.81640625" bestFit="1" customWidth="1"/>
    <col min="4" max="4" width="28.6328125" bestFit="1" customWidth="1"/>
    <col min="5" max="5" width="14.6328125" bestFit="1" customWidth="1"/>
    <col min="6" max="6" width="6.81640625" bestFit="1" customWidth="1"/>
    <col min="7" max="8" width="11.81640625" bestFit="1" customWidth="1"/>
    <col min="9" max="9" width="19.08984375" bestFit="1" customWidth="1"/>
    <col min="10" max="10" width="38.81640625" bestFit="1" customWidth="1"/>
    <col min="11" max="11" width="24.7265625" bestFit="1" customWidth="1"/>
    <col min="12" max="12" width="28.6328125" bestFit="1" customWidth="1"/>
    <col min="13" max="13" width="10.81640625" bestFit="1" customWidth="1"/>
    <col min="14" max="15" width="11.81640625" bestFit="1" customWidth="1"/>
    <col min="16" max="16" width="18.90625" bestFit="1" customWidth="1"/>
    <col min="17" max="17" width="38.81640625" bestFit="1" customWidth="1"/>
    <col min="18" max="18" width="28.6328125" bestFit="1" customWidth="1"/>
    <col min="19" max="19" width="24.7265625" bestFit="1" customWidth="1"/>
    <col min="20" max="20" width="4.81640625" bestFit="1" customWidth="1"/>
    <col min="21" max="21" width="11.81640625" bestFit="1" customWidth="1"/>
    <col min="22" max="23" width="4.81640625" bestFit="1" customWidth="1"/>
    <col min="24" max="25" width="11.81640625" bestFit="1" customWidth="1"/>
    <col min="26" max="26" width="4.81640625" bestFit="1" customWidth="1"/>
    <col min="27" max="27" width="1.81640625" bestFit="1" customWidth="1"/>
    <col min="28" max="31" width="11.81640625" bestFit="1" customWidth="1"/>
    <col min="32" max="33" width="3.81640625" bestFit="1" customWidth="1"/>
    <col min="34" max="34" width="11.81640625" bestFit="1" customWidth="1"/>
    <col min="35" max="35" width="3.81640625" bestFit="1" customWidth="1"/>
    <col min="36" max="36" width="4.81640625" bestFit="1" customWidth="1"/>
    <col min="37" max="37" width="1.81640625" bestFit="1" customWidth="1"/>
    <col min="38" max="38" width="4.81640625" bestFit="1" customWidth="1"/>
    <col min="39" max="40" width="10.81640625" bestFit="1" customWidth="1"/>
    <col min="41" max="41" width="11.81640625" bestFit="1" customWidth="1"/>
    <col min="42" max="42" width="4.81640625" bestFit="1" customWidth="1"/>
    <col min="43" max="43" width="11.81640625" bestFit="1" customWidth="1"/>
    <col min="44" max="44" width="4.81640625" bestFit="1" customWidth="1"/>
    <col min="45" max="45" width="3.81640625" bestFit="1" customWidth="1"/>
    <col min="46" max="46" width="4.81640625" bestFit="1" customWidth="1"/>
    <col min="47" max="47" width="5.453125" bestFit="1" customWidth="1"/>
    <col min="48" max="48" width="6.7265625" bestFit="1" customWidth="1"/>
    <col min="49" max="49" width="10.7265625" bestFit="1" customWidth="1"/>
  </cols>
  <sheetData>
    <row r="3" spans="1:19" x14ac:dyDescent="0.35">
      <c r="A3" s="118" t="s">
        <v>588</v>
      </c>
      <c r="B3" t="s">
        <v>594</v>
      </c>
      <c r="C3" t="s">
        <v>593</v>
      </c>
      <c r="D3" t="s">
        <v>623</v>
      </c>
      <c r="E3" t="s">
        <v>848</v>
      </c>
      <c r="I3" s="118" t="s">
        <v>588</v>
      </c>
      <c r="J3" t="s">
        <v>593</v>
      </c>
      <c r="K3" t="s">
        <v>594</v>
      </c>
      <c r="L3" t="s">
        <v>623</v>
      </c>
      <c r="P3" s="118" t="s">
        <v>588</v>
      </c>
      <c r="Q3" t="s">
        <v>593</v>
      </c>
      <c r="R3" t="s">
        <v>623</v>
      </c>
      <c r="S3" t="s">
        <v>594</v>
      </c>
    </row>
    <row r="4" spans="1:19" x14ac:dyDescent="0.35">
      <c r="A4" s="119" t="s">
        <v>826</v>
      </c>
      <c r="B4" s="180">
        <v>4.3247142857142853</v>
      </c>
      <c r="C4" s="180">
        <v>65.159097222222215</v>
      </c>
      <c r="D4" s="180">
        <v>371.87777777777774</v>
      </c>
      <c r="E4" s="180">
        <v>0.23122914808575301</v>
      </c>
      <c r="I4" s="119" t="s">
        <v>851</v>
      </c>
      <c r="J4" s="180">
        <v>22</v>
      </c>
      <c r="K4" s="180">
        <v>2.4699999999999998</v>
      </c>
      <c r="L4" s="180">
        <v>0.16999999999999998</v>
      </c>
      <c r="P4" s="119" t="s">
        <v>854</v>
      </c>
      <c r="Q4" s="180">
        <v>3.839</v>
      </c>
      <c r="R4" s="180">
        <v>9.3850000000000016</v>
      </c>
      <c r="S4" s="180">
        <v>0.56578947368421051</v>
      </c>
    </row>
    <row r="5" spans="1:19" x14ac:dyDescent="0.35">
      <c r="A5" s="119" t="s">
        <v>827</v>
      </c>
      <c r="B5" s="180">
        <v>3.1643571428571429</v>
      </c>
      <c r="C5" s="180">
        <v>61.320257166666671</v>
      </c>
      <c r="D5" s="180">
        <v>211.67099999999999</v>
      </c>
      <c r="E5" s="180">
        <v>0.31601995440283515</v>
      </c>
      <c r="I5" s="119" t="s">
        <v>852</v>
      </c>
      <c r="J5" s="180">
        <v>47.801724999999998</v>
      </c>
      <c r="K5" s="180">
        <v>2.1626984126984126</v>
      </c>
      <c r="L5" s="180">
        <v>233.095</v>
      </c>
      <c r="P5" s="119" t="s">
        <v>819</v>
      </c>
      <c r="Q5" s="180"/>
      <c r="R5" s="180"/>
      <c r="S5" s="180"/>
    </row>
    <row r="6" spans="1:19" x14ac:dyDescent="0.35">
      <c r="A6" s="119" t="s">
        <v>828</v>
      </c>
      <c r="B6" s="180">
        <v>3.2743571428571427</v>
      </c>
      <c r="C6" s="180">
        <v>64.639147666666673</v>
      </c>
      <c r="D6" s="180">
        <v>196.62100000000001</v>
      </c>
      <c r="E6" s="180">
        <v>0.30540345978490874</v>
      </c>
      <c r="I6" s="119" t="s">
        <v>853</v>
      </c>
      <c r="J6" s="180">
        <v>47.384999999999998</v>
      </c>
      <c r="K6" s="180">
        <v>2.1298701298701297</v>
      </c>
      <c r="L6" s="180">
        <v>231.17000000000002</v>
      </c>
      <c r="P6" s="119" t="s">
        <v>591</v>
      </c>
      <c r="Q6" s="180">
        <v>3.839</v>
      </c>
      <c r="R6" s="180">
        <v>9.3850000000000016</v>
      </c>
      <c r="S6" s="180">
        <v>0.56578947368421051</v>
      </c>
    </row>
    <row r="7" spans="1:19" x14ac:dyDescent="0.35">
      <c r="A7" s="119" t="s">
        <v>829</v>
      </c>
      <c r="B7" s="180">
        <v>3.4043571428571431</v>
      </c>
      <c r="C7" s="180">
        <v>57.220594166666672</v>
      </c>
      <c r="D7" s="180">
        <v>172.971</v>
      </c>
      <c r="E7" s="180">
        <v>0.29374121399047437</v>
      </c>
      <c r="I7" s="119" t="s">
        <v>819</v>
      </c>
      <c r="J7" s="180"/>
      <c r="K7" s="180"/>
      <c r="L7" s="180"/>
    </row>
    <row r="8" spans="1:19" x14ac:dyDescent="0.35">
      <c r="A8" s="119" t="s">
        <v>830</v>
      </c>
      <c r="B8" s="180">
        <v>3.2200714285714289</v>
      </c>
      <c r="C8" s="180">
        <v>45.97165566666667</v>
      </c>
      <c r="D8" s="180">
        <v>135.79599999999999</v>
      </c>
      <c r="E8" s="180">
        <v>0.31055211729997112</v>
      </c>
      <c r="I8" s="119" t="s">
        <v>591</v>
      </c>
      <c r="J8" s="180">
        <v>117.186725</v>
      </c>
      <c r="K8" s="180">
        <v>6.7625685425685411</v>
      </c>
      <c r="L8" s="180">
        <v>464.435</v>
      </c>
    </row>
    <row r="9" spans="1:19" x14ac:dyDescent="0.35">
      <c r="A9" s="119" t="s">
        <v>831</v>
      </c>
      <c r="B9" s="180">
        <v>5.237970588235294</v>
      </c>
      <c r="C9" s="180">
        <v>67.737194444444441</v>
      </c>
      <c r="D9" s="180">
        <v>368.17</v>
      </c>
      <c r="E9" s="180">
        <v>0.19091363404102396</v>
      </c>
      <c r="G9" s="119"/>
    </row>
    <row r="10" spans="1:19" x14ac:dyDescent="0.35">
      <c r="A10" s="119" t="s">
        <v>832</v>
      </c>
      <c r="B10" s="180">
        <v>6.3779705882352946</v>
      </c>
      <c r="C10" s="180">
        <v>73.102194444444436</v>
      </c>
      <c r="D10" s="180">
        <v>369.54</v>
      </c>
      <c r="E10" s="180">
        <v>0.15678968508330604</v>
      </c>
    </row>
    <row r="11" spans="1:19" x14ac:dyDescent="0.35">
      <c r="A11" s="119" t="s">
        <v>833</v>
      </c>
      <c r="B11" s="180">
        <v>5</v>
      </c>
      <c r="C11" s="180">
        <v>27.8</v>
      </c>
      <c r="D11" s="180">
        <v>31.66</v>
      </c>
      <c r="E11" s="180">
        <v>0.2</v>
      </c>
    </row>
    <row r="12" spans="1:19" x14ac:dyDescent="0.35">
      <c r="A12" s="119" t="s">
        <v>834</v>
      </c>
      <c r="B12" s="180">
        <v>5</v>
      </c>
      <c r="C12" s="180">
        <v>21.7</v>
      </c>
      <c r="D12" s="180">
        <v>23.75</v>
      </c>
      <c r="E12" s="180">
        <v>0.2</v>
      </c>
    </row>
    <row r="13" spans="1:19" x14ac:dyDescent="0.35">
      <c r="A13" s="119" t="s">
        <v>835</v>
      </c>
      <c r="B13" s="180">
        <v>5.0679675602175607</v>
      </c>
      <c r="C13" s="180">
        <v>31.89873166666667</v>
      </c>
      <c r="D13" s="180">
        <v>33.260763888888889</v>
      </c>
      <c r="E13" s="180">
        <v>0.19731775867110551</v>
      </c>
    </row>
    <row r="14" spans="1:19" x14ac:dyDescent="0.35">
      <c r="A14" s="119" t="s">
        <v>836</v>
      </c>
      <c r="B14" s="180">
        <v>5.0694675602175607</v>
      </c>
      <c r="C14" s="180">
        <v>18.8</v>
      </c>
      <c r="D14" s="180">
        <v>23.57</v>
      </c>
      <c r="E14" s="180">
        <v>0.19725937450462433</v>
      </c>
    </row>
    <row r="15" spans="1:19" x14ac:dyDescent="0.35">
      <c r="A15" s="119" t="s">
        <v>837</v>
      </c>
      <c r="B15" s="180">
        <v>4.6750207935064942</v>
      </c>
      <c r="C15" s="180">
        <v>27.159351666666669</v>
      </c>
      <c r="D15" s="180">
        <v>14.836</v>
      </c>
      <c r="E15" s="180">
        <v>0.21390279191677158</v>
      </c>
    </row>
    <row r="16" spans="1:19" x14ac:dyDescent="0.35">
      <c r="A16" s="119" t="s">
        <v>838</v>
      </c>
      <c r="B16" s="180">
        <v>5.1615000000000002</v>
      </c>
      <c r="C16" s="180">
        <v>44.652291666666663</v>
      </c>
      <c r="D16" s="180">
        <v>23.545999999999999</v>
      </c>
      <c r="E16" s="180">
        <v>0.19374212922600018</v>
      </c>
    </row>
    <row r="17" spans="1:5" x14ac:dyDescent="0.35">
      <c r="A17" s="119" t="s">
        <v>839</v>
      </c>
      <c r="B17" s="180">
        <v>4.3779705882352946</v>
      </c>
      <c r="C17" s="180">
        <v>62.455284534534528</v>
      </c>
      <c r="D17" s="180">
        <v>368.01900000000001</v>
      </c>
      <c r="E17" s="180">
        <v>0.22841633579888612</v>
      </c>
    </row>
    <row r="18" spans="1:5" x14ac:dyDescent="0.35">
      <c r="A18" s="119" t="s">
        <v>840</v>
      </c>
      <c r="B18" s="180">
        <v>4.5015000000000001</v>
      </c>
      <c r="C18" s="180">
        <v>40.252291666666665</v>
      </c>
      <c r="D18" s="180">
        <v>24.045999999999999</v>
      </c>
      <c r="E18" s="180">
        <v>0.22214817283127847</v>
      </c>
    </row>
    <row r="19" spans="1:5" x14ac:dyDescent="0.35">
      <c r="A19" s="119" t="s">
        <v>841</v>
      </c>
      <c r="B19" s="180">
        <v>3.0540974025974026</v>
      </c>
      <c r="C19" s="180">
        <v>34.02279166666667</v>
      </c>
      <c r="D19" s="180">
        <v>137.04599999999999</v>
      </c>
      <c r="E19" s="180">
        <v>0.32742898086666622</v>
      </c>
    </row>
    <row r="20" spans="1:5" x14ac:dyDescent="0.35">
      <c r="A20" s="119" t="s">
        <v>842</v>
      </c>
      <c r="B20" s="180">
        <v>4.6750207935064942</v>
      </c>
      <c r="C20" s="180">
        <v>32.532631666666667</v>
      </c>
      <c r="D20" s="180">
        <v>14.836</v>
      </c>
      <c r="E20" s="180">
        <v>0.21390279191677158</v>
      </c>
    </row>
    <row r="21" spans="1:5" x14ac:dyDescent="0.35">
      <c r="A21" s="119" t="s">
        <v>843</v>
      </c>
      <c r="B21" s="180">
        <v>5.5555555555555554</v>
      </c>
      <c r="C21" s="180">
        <v>24.7</v>
      </c>
      <c r="D21" s="180">
        <v>45.2</v>
      </c>
      <c r="E21" s="180">
        <v>0.18</v>
      </c>
    </row>
    <row r="22" spans="1:5" x14ac:dyDescent="0.35">
      <c r="A22" s="119" t="s">
        <v>844</v>
      </c>
      <c r="B22" s="180">
        <v>4.9815000000000005</v>
      </c>
      <c r="C22" s="180">
        <v>19.752291666666668</v>
      </c>
      <c r="D22" s="180">
        <v>21.655999999999999</v>
      </c>
      <c r="E22" s="180">
        <v>0.20074274816822241</v>
      </c>
    </row>
    <row r="23" spans="1:5" x14ac:dyDescent="0.35">
      <c r="A23" s="119" t="s">
        <v>845</v>
      </c>
      <c r="B23" s="180">
        <v>6.9714999999999998</v>
      </c>
      <c r="C23" s="180">
        <v>24.85229166666667</v>
      </c>
      <c r="D23" s="180">
        <v>22.436</v>
      </c>
      <c r="E23" s="180">
        <v>0.14344115326687226</v>
      </c>
    </row>
    <row r="24" spans="1:5" x14ac:dyDescent="0.35">
      <c r="A24" s="119" t="s">
        <v>846</v>
      </c>
      <c r="B24" s="180">
        <v>6.1379705882352944</v>
      </c>
      <c r="C24" s="180">
        <v>73.503194444444446</v>
      </c>
      <c r="D24" s="180">
        <v>369.98</v>
      </c>
      <c r="E24" s="180">
        <v>0.16292029843165254</v>
      </c>
    </row>
    <row r="25" spans="1:5" x14ac:dyDescent="0.35">
      <c r="A25" s="119" t="s">
        <v>847</v>
      </c>
      <c r="B25" s="180">
        <v>3.7015000000000002</v>
      </c>
      <c r="C25" s="180">
        <v>23.35229166666667</v>
      </c>
      <c r="D25" s="180">
        <v>18.946000000000002</v>
      </c>
      <c r="E25" s="180">
        <v>0.27016074564365794</v>
      </c>
    </row>
    <row r="26" spans="1:5" x14ac:dyDescent="0.35">
      <c r="A26" s="119" t="s">
        <v>912</v>
      </c>
      <c r="B26" s="180">
        <v>4.6750208135064941</v>
      </c>
      <c r="C26" s="180">
        <v>32.295684666666659</v>
      </c>
      <c r="D26" s="180">
        <v>15.690799999999998</v>
      </c>
      <c r="E26" s="180">
        <v>0.2139027910016835</v>
      </c>
    </row>
    <row r="27" spans="1:5" x14ac:dyDescent="0.35">
      <c r="A27" s="119" t="s">
        <v>913</v>
      </c>
      <c r="B27" s="180">
        <v>5.0679675602175607</v>
      </c>
      <c r="C27" s="180">
        <v>22.028526875000001</v>
      </c>
      <c r="D27" s="180">
        <v>26.570555555555558</v>
      </c>
      <c r="E27" s="180">
        <v>0.19731775867110551</v>
      </c>
    </row>
    <row r="28" spans="1:5" x14ac:dyDescent="0.35">
      <c r="A28" s="119" t="s">
        <v>914</v>
      </c>
      <c r="B28" s="180">
        <v>5.0679675602175607</v>
      </c>
      <c r="C28" s="180">
        <v>22.028526875000001</v>
      </c>
      <c r="D28" s="180">
        <v>26.570555555555558</v>
      </c>
      <c r="E28" s="180">
        <v>0.19731775867110551</v>
      </c>
    </row>
    <row r="29" spans="1:5" x14ac:dyDescent="0.35">
      <c r="A29" s="119" t="s">
        <v>915</v>
      </c>
      <c r="B29" s="180">
        <v>5.1371983294483297</v>
      </c>
      <c r="C29" s="180">
        <v>25.485526875000001</v>
      </c>
      <c r="D29" s="180">
        <v>32.143472222222222</v>
      </c>
      <c r="E29" s="180">
        <v>0.1946586321706967</v>
      </c>
    </row>
    <row r="30" spans="1:5" x14ac:dyDescent="0.35">
      <c r="A30" s="119" t="s">
        <v>591</v>
      </c>
      <c r="B30" s="180">
        <v>122.88252342478933</v>
      </c>
      <c r="C30" s="180">
        <v>1044.4218500484235</v>
      </c>
      <c r="D30" s="180">
        <v>3100.409924999999</v>
      </c>
      <c r="E30" s="180">
        <v>8.1378537169449813E-3</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7277A3-C40E-4003-9E6C-2F3212D4FD6B}">
  <sheetPr codeName="Sheet11">
    <tabColor rgb="FFFFFF00"/>
  </sheetPr>
  <dimension ref="A1:AE1015"/>
  <sheetViews>
    <sheetView topLeftCell="A798" zoomScale="80" workbookViewId="0">
      <selection activeCell="J988" sqref="J988:J994"/>
    </sheetView>
  </sheetViews>
  <sheetFormatPr defaultRowHeight="14.5" x14ac:dyDescent="0.35"/>
  <cols>
    <col min="1" max="1" width="10.81640625" bestFit="1" customWidth="1"/>
    <col min="2" max="2" width="25.54296875" bestFit="1" customWidth="1"/>
    <col min="3" max="3" width="15.90625" customWidth="1"/>
    <col min="4" max="4" width="15.453125" bestFit="1" customWidth="1"/>
    <col min="5" max="5" width="14" customWidth="1"/>
    <col min="6" max="10" width="37.6328125" customWidth="1"/>
    <col min="11" max="11" width="27.7265625" bestFit="1" customWidth="1"/>
    <col min="12" max="12" width="27.7265625" customWidth="1"/>
    <col min="13" max="13" width="15.26953125" bestFit="1" customWidth="1"/>
    <col min="14" max="14" width="20.08984375" bestFit="1" customWidth="1"/>
    <col min="15" max="15" width="22.26953125" bestFit="1" customWidth="1"/>
    <col min="16" max="16" width="42" customWidth="1"/>
    <col min="17" max="18" width="21.90625" customWidth="1"/>
    <col min="19" max="19" width="18.90625" style="106" customWidth="1"/>
    <col min="20" max="20" width="32.453125" style="12" customWidth="1"/>
    <col min="21" max="21" width="27.36328125" customWidth="1"/>
    <col min="22" max="22" width="22.6328125" customWidth="1"/>
    <col min="23" max="23" width="11.7265625" customWidth="1"/>
    <col min="24" max="24" width="11.54296875" customWidth="1"/>
    <col min="25" max="25" width="14.1796875" customWidth="1"/>
    <col min="26" max="26" width="21.81640625" customWidth="1"/>
    <col min="27" max="27" width="24.54296875" customWidth="1"/>
    <col min="28" max="28" width="19.26953125" customWidth="1"/>
    <col min="29" max="29" width="24.453125" customWidth="1"/>
    <col min="31" max="31" width="12.08984375" customWidth="1"/>
  </cols>
  <sheetData>
    <row r="1" spans="1:31" s="11" customFormat="1" x14ac:dyDescent="0.35">
      <c r="F1"/>
      <c r="G1"/>
      <c r="H1"/>
      <c r="I1"/>
      <c r="J1"/>
    </row>
    <row r="2" spans="1:31" s="11" customFormat="1" ht="116" x14ac:dyDescent="0.35">
      <c r="A2" s="11" t="s">
        <v>518</v>
      </c>
      <c r="D2" s="11" t="s">
        <v>535</v>
      </c>
      <c r="F2"/>
      <c r="G2"/>
      <c r="H2" s="11" t="s">
        <v>669</v>
      </c>
      <c r="J2"/>
      <c r="N2" s="11" t="s">
        <v>525</v>
      </c>
      <c r="S2" s="11" t="s">
        <v>555</v>
      </c>
      <c r="W2" s="11" t="s">
        <v>587</v>
      </c>
      <c r="AB2" s="11" t="s">
        <v>586</v>
      </c>
    </row>
    <row r="3" spans="1:31" s="63" customFormat="1" ht="68.5" customHeight="1" x14ac:dyDescent="0.35">
      <c r="B3" s="63" t="s">
        <v>451</v>
      </c>
      <c r="C3" s="63" t="s">
        <v>869</v>
      </c>
      <c r="D3" s="63" t="s">
        <v>534</v>
      </c>
      <c r="E3" s="63" t="s">
        <v>856</v>
      </c>
      <c r="F3" s="110" t="s">
        <v>883</v>
      </c>
      <c r="G3" s="110" t="s">
        <v>823</v>
      </c>
      <c r="H3" s="110" t="s">
        <v>661</v>
      </c>
      <c r="I3" s="110" t="s">
        <v>658</v>
      </c>
      <c r="J3" s="110" t="s">
        <v>662</v>
      </c>
      <c r="K3" s="63" t="s">
        <v>521</v>
      </c>
      <c r="L3" s="63" t="s">
        <v>818</v>
      </c>
      <c r="M3" s="63" t="s">
        <v>531</v>
      </c>
      <c r="N3" s="63" t="s">
        <v>524</v>
      </c>
      <c r="O3" s="63" t="s">
        <v>526</v>
      </c>
      <c r="P3" s="63" t="s">
        <v>540</v>
      </c>
      <c r="Q3" s="63" t="s">
        <v>522</v>
      </c>
      <c r="R3" s="63" t="s">
        <v>570</v>
      </c>
      <c r="S3" s="63" t="s">
        <v>523</v>
      </c>
      <c r="T3" s="63" t="s">
        <v>541</v>
      </c>
      <c r="U3" s="63" t="s">
        <v>527</v>
      </c>
      <c r="V3" s="63" t="s">
        <v>528</v>
      </c>
      <c r="W3" s="63" t="s">
        <v>547</v>
      </c>
      <c r="X3" s="63" t="s">
        <v>7</v>
      </c>
      <c r="Y3" s="63" t="s">
        <v>8</v>
      </c>
      <c r="Z3" s="63" t="s">
        <v>537</v>
      </c>
      <c r="AA3" s="63" t="s">
        <v>538</v>
      </c>
      <c r="AB3" s="63" t="s">
        <v>544</v>
      </c>
      <c r="AC3" s="63" t="s">
        <v>546</v>
      </c>
      <c r="AD3" s="63" t="s">
        <v>565</v>
      </c>
      <c r="AE3" s="63" t="s">
        <v>567</v>
      </c>
    </row>
    <row r="4" spans="1:31" x14ac:dyDescent="0.35">
      <c r="B4" s="115" t="str">
        <f>_xlfn.CONCAT(Master_Table6[[#This Row],[Internal Finish Type]])</f>
        <v>Gypsum Plasterboard</v>
      </c>
      <c r="C4" s="129" t="s">
        <v>854</v>
      </c>
      <c r="D4" s="129" t="s">
        <v>550</v>
      </c>
      <c r="E4" s="129" t="s">
        <v>884</v>
      </c>
      <c r="F4" s="129" t="s">
        <v>599</v>
      </c>
      <c r="G4" s="129" t="s">
        <v>822</v>
      </c>
      <c r="H4" s="110" t="s">
        <v>663</v>
      </c>
      <c r="I4" s="129"/>
      <c r="J4" t="s">
        <v>351</v>
      </c>
      <c r="K4" s="134" t="s">
        <v>349</v>
      </c>
      <c r="L4" s="134" t="s">
        <v>663</v>
      </c>
      <c r="M4" s="134" t="s">
        <v>347</v>
      </c>
      <c r="N4" t="s">
        <v>351</v>
      </c>
      <c r="O4" s="134" t="s">
        <v>582</v>
      </c>
      <c r="P4" s="134" t="s">
        <v>578</v>
      </c>
      <c r="Q4" t="s">
        <v>352</v>
      </c>
      <c r="R4" s="129" t="s">
        <v>334</v>
      </c>
      <c r="S4" s="140">
        <v>6.5789473684210523E-2</v>
      </c>
      <c r="T4" s="138">
        <v>1.839</v>
      </c>
      <c r="U4" s="147">
        <v>0</v>
      </c>
      <c r="V4" s="129" t="s">
        <v>545</v>
      </c>
      <c r="W4" s="129">
        <v>1</v>
      </c>
      <c r="X4" s="129">
        <v>1</v>
      </c>
      <c r="Y4" s="129">
        <v>1.4999999999999999E-2</v>
      </c>
      <c r="Z4" s="115">
        <f>Master_Table6[[#This Row],[Length (m) (on wall)]]*Master_Table6[[#This Row],[Height (m)]]*Master_Table6[[#This Row],[Thickness (m)]]</f>
        <v>1.4999999999999999E-2</v>
      </c>
      <c r="AA4" s="129">
        <v>1</v>
      </c>
      <c r="AB4" s="149">
        <v>1</v>
      </c>
      <c r="AC4" s="147">
        <v>615</v>
      </c>
      <c r="AD4" s="147">
        <f>Master_Table6[[#This Row],[Material Density (kg/m^3)]]*Master_Table6[[#This Row],[Thickness (m)]]</f>
        <v>9.2249999999999996</v>
      </c>
      <c r="AE4" s="147">
        <v>0.19</v>
      </c>
    </row>
    <row r="5" spans="1:31" x14ac:dyDescent="0.35">
      <c r="B5" s="115" t="str">
        <f>_xlfn.CONCAT(Master_Table6[[#This Row],[Internal Finish Type]])</f>
        <v>Gypsum Plasterboard</v>
      </c>
      <c r="C5" s="129" t="s">
        <v>854</v>
      </c>
      <c r="D5" s="129" t="s">
        <v>550</v>
      </c>
      <c r="E5" s="129" t="s">
        <v>884</v>
      </c>
      <c r="F5" s="129" t="s">
        <v>599</v>
      </c>
      <c r="G5" s="129" t="s">
        <v>822</v>
      </c>
      <c r="H5" s="110" t="s">
        <v>663</v>
      </c>
      <c r="I5" s="129"/>
      <c r="J5" t="s">
        <v>351</v>
      </c>
      <c r="K5" s="134" t="s">
        <v>566</v>
      </c>
      <c r="L5" s="134" t="s">
        <v>663</v>
      </c>
      <c r="M5" s="134" t="s">
        <v>347</v>
      </c>
      <c r="N5" t="s">
        <v>351</v>
      </c>
      <c r="O5" s="134" t="s">
        <v>566</v>
      </c>
      <c r="P5" s="134" t="s">
        <v>580</v>
      </c>
      <c r="Q5" t="s">
        <v>352</v>
      </c>
      <c r="R5" s="129" t="s">
        <v>334</v>
      </c>
      <c r="S5" s="140">
        <v>0</v>
      </c>
      <c r="T5" s="138">
        <v>1</v>
      </c>
      <c r="U5" s="147">
        <v>0</v>
      </c>
      <c r="V5" s="129" t="s">
        <v>545</v>
      </c>
      <c r="W5" s="134">
        <v>1</v>
      </c>
      <c r="X5" s="134">
        <v>1</v>
      </c>
      <c r="Y5" s="134">
        <v>1</v>
      </c>
      <c r="Z5" s="115">
        <f>Master_Table6[[#This Row],[Length (m) (on wall)]]*Master_Table6[[#This Row],[Height (m)]]*Master_Table6[[#This Row],[Thickness (m)]]</f>
        <v>1</v>
      </c>
      <c r="AA5" s="134">
        <v>1</v>
      </c>
      <c r="AB5" s="152">
        <v>1</v>
      </c>
      <c r="AC5" s="134">
        <v>0</v>
      </c>
      <c r="AD5" s="134">
        <v>0.05</v>
      </c>
      <c r="AE5" s="134">
        <v>0</v>
      </c>
    </row>
    <row r="6" spans="1:31" x14ac:dyDescent="0.35">
      <c r="B6" s="115" t="str">
        <f>_xlfn.CONCAT(Master_Table6[[#This Row],[Internal Finish Type]])</f>
        <v>Gypsum Plasterboard</v>
      </c>
      <c r="C6" s="129" t="s">
        <v>854</v>
      </c>
      <c r="D6" s="129" t="s">
        <v>550</v>
      </c>
      <c r="E6" s="129" t="s">
        <v>884</v>
      </c>
      <c r="F6" s="129" t="s">
        <v>599</v>
      </c>
      <c r="G6" s="129" t="s">
        <v>822</v>
      </c>
      <c r="H6" s="110" t="s">
        <v>663</v>
      </c>
      <c r="I6" s="129"/>
      <c r="J6" t="s">
        <v>351</v>
      </c>
      <c r="K6" s="129" t="s">
        <v>355</v>
      </c>
      <c r="L6" s="134" t="s">
        <v>663</v>
      </c>
      <c r="M6" s="129" t="s">
        <v>347</v>
      </c>
      <c r="N6" t="s">
        <v>351</v>
      </c>
      <c r="O6" s="129" t="s">
        <v>581</v>
      </c>
      <c r="P6" s="129" t="s">
        <v>579</v>
      </c>
      <c r="Q6" t="s">
        <v>352</v>
      </c>
      <c r="R6" s="129" t="s">
        <v>334</v>
      </c>
      <c r="S6" s="140">
        <v>0.5</v>
      </c>
      <c r="T6" s="148">
        <v>0</v>
      </c>
      <c r="U6" s="129">
        <v>0</v>
      </c>
      <c r="V6" s="129" t="s">
        <v>545</v>
      </c>
      <c r="W6" s="129">
        <v>1</v>
      </c>
      <c r="X6" s="129">
        <v>1</v>
      </c>
      <c r="Y6" s="134">
        <v>0.05</v>
      </c>
      <c r="Z6" s="115">
        <f>Master_Table6[[#This Row],[Length (m) (on wall)]]*Master_Table6[[#This Row],[Height (m)]]*Master_Table6[[#This Row],[Thickness (m)]]</f>
        <v>0.05</v>
      </c>
      <c r="AA6" s="129">
        <v>1</v>
      </c>
      <c r="AB6" s="149">
        <v>1</v>
      </c>
      <c r="AC6" s="129">
        <v>1.2</v>
      </c>
      <c r="AD6" s="129">
        <f>Master_Table6[[#This Row],[Material Density (kg/m^3)]]*Master_Table6[[#This Row],[Thickness (m)]]</f>
        <v>0.06</v>
      </c>
      <c r="AE6" s="129">
        <v>2.5000000000000001E-2</v>
      </c>
    </row>
    <row r="7" spans="1:31" x14ac:dyDescent="0.35">
      <c r="B7" s="115" t="str">
        <f>_xlfn.CONCAT(Master_Table6[[#This Row],[Internal Finish Type]])</f>
        <v>Gypsum Plasterboard</v>
      </c>
      <c r="C7" s="129" t="s">
        <v>854</v>
      </c>
      <c r="D7" s="129" t="s">
        <v>550</v>
      </c>
      <c r="E7" s="129" t="s">
        <v>884</v>
      </c>
      <c r="F7" s="129" t="s">
        <v>599</v>
      </c>
      <c r="G7" s="129" t="s">
        <v>822</v>
      </c>
      <c r="H7" s="110" t="s">
        <v>663</v>
      </c>
      <c r="I7" s="129" t="s">
        <v>809</v>
      </c>
      <c r="J7" s="179" t="s">
        <v>351</v>
      </c>
      <c r="K7" s="178" t="s">
        <v>810</v>
      </c>
      <c r="L7" s="134" t="s">
        <v>663</v>
      </c>
      <c r="M7" s="129" t="s">
        <v>811</v>
      </c>
      <c r="N7" t="s">
        <v>352</v>
      </c>
      <c r="O7" s="178" t="s">
        <v>812</v>
      </c>
      <c r="P7" s="129"/>
      <c r="Q7" t="s">
        <v>351</v>
      </c>
      <c r="R7" s="129" t="s">
        <v>813</v>
      </c>
      <c r="S7" s="140">
        <v>0</v>
      </c>
      <c r="T7" s="138">
        <v>1</v>
      </c>
      <c r="U7" s="147">
        <v>0</v>
      </c>
      <c r="V7" s="129"/>
      <c r="W7" s="134">
        <v>1</v>
      </c>
      <c r="X7" s="134">
        <v>1</v>
      </c>
      <c r="Y7" s="134">
        <v>1</v>
      </c>
      <c r="Z7" s="115">
        <f>Master_Table6[[#This Row],[Length (m) (on wall)]]*Master_Table6[[#This Row],[Height (m)]]*Master_Table6[[#This Row],[Thickness (m)]]</f>
        <v>1</v>
      </c>
      <c r="AA7" s="134">
        <v>1</v>
      </c>
      <c r="AB7" s="152">
        <v>1</v>
      </c>
      <c r="AC7" s="134">
        <v>0</v>
      </c>
      <c r="AD7" s="134">
        <v>0.05</v>
      </c>
      <c r="AE7" s="134">
        <v>0</v>
      </c>
    </row>
    <row r="8" spans="1:31" x14ac:dyDescent="0.35">
      <c r="B8" s="115"/>
      <c r="C8" s="129"/>
      <c r="D8" s="129"/>
      <c r="E8" s="129"/>
      <c r="F8" s="129"/>
      <c r="G8" s="129"/>
      <c r="H8" s="110"/>
      <c r="I8" s="129"/>
      <c r="K8" s="135"/>
      <c r="L8" s="135"/>
      <c r="M8" s="129"/>
      <c r="O8" s="129"/>
      <c r="P8" s="129"/>
      <c r="R8" s="129"/>
      <c r="S8" s="138"/>
      <c r="T8" s="124"/>
      <c r="U8" s="125"/>
      <c r="V8" s="129"/>
      <c r="W8" s="129"/>
      <c r="X8" s="129"/>
      <c r="Y8" s="129"/>
      <c r="Z8" s="115"/>
      <c r="AA8" s="129"/>
      <c r="AB8" s="129"/>
      <c r="AC8" s="151"/>
      <c r="AD8" s="154"/>
      <c r="AE8" s="147"/>
    </row>
    <row r="9" spans="1:31" x14ac:dyDescent="0.35">
      <c r="B9" s="115"/>
      <c r="C9" s="129"/>
      <c r="D9" s="129"/>
      <c r="E9" s="129"/>
      <c r="F9" s="129"/>
      <c r="G9" s="129"/>
      <c r="H9" s="110"/>
      <c r="I9" s="129"/>
      <c r="K9" s="136"/>
      <c r="L9" s="129"/>
      <c r="M9" s="129"/>
      <c r="O9" s="129"/>
      <c r="P9" s="129"/>
      <c r="R9" s="129"/>
      <c r="S9" s="141"/>
      <c r="T9" s="139"/>
      <c r="U9" s="129"/>
      <c r="V9" s="129"/>
      <c r="W9" s="129"/>
      <c r="X9" s="129"/>
      <c r="Y9" s="129"/>
      <c r="Z9" s="115"/>
      <c r="AA9" s="129"/>
      <c r="AB9" s="149"/>
      <c r="AC9" s="129"/>
      <c r="AD9" s="129"/>
      <c r="AE9" s="129"/>
    </row>
    <row r="10" spans="1:31" x14ac:dyDescent="0.35">
      <c r="B10" s="115"/>
      <c r="C10" s="129"/>
      <c r="D10" s="129"/>
      <c r="E10" s="129"/>
      <c r="F10" s="129"/>
      <c r="G10" s="129"/>
      <c r="H10" s="110"/>
      <c r="I10" s="129"/>
      <c r="K10" s="79"/>
      <c r="L10" s="134"/>
      <c r="M10" s="134"/>
      <c r="O10" s="134"/>
      <c r="P10" s="129"/>
      <c r="R10" s="129"/>
      <c r="S10" s="140"/>
      <c r="T10" s="124"/>
      <c r="U10" s="125"/>
      <c r="V10" s="129"/>
      <c r="W10" s="129"/>
      <c r="X10" s="129"/>
      <c r="Y10" s="129"/>
      <c r="Z10" s="115"/>
      <c r="AA10" s="129"/>
      <c r="AB10" s="149"/>
      <c r="AC10" s="147"/>
      <c r="AD10" s="129"/>
      <c r="AE10" s="147"/>
    </row>
    <row r="11" spans="1:31" x14ac:dyDescent="0.35">
      <c r="B11" s="115"/>
      <c r="C11" s="129"/>
      <c r="D11" s="129"/>
      <c r="E11" s="129"/>
      <c r="F11" s="129"/>
      <c r="G11" s="129"/>
      <c r="H11" s="110"/>
      <c r="I11" s="129"/>
      <c r="K11" s="129"/>
      <c r="L11" s="129"/>
      <c r="M11" s="129"/>
      <c r="O11" s="129"/>
      <c r="P11" s="129"/>
      <c r="R11" s="129"/>
      <c r="S11" s="140"/>
      <c r="T11" s="138"/>
      <c r="U11" s="147"/>
      <c r="V11" s="129"/>
      <c r="W11" s="129"/>
      <c r="X11" s="129"/>
      <c r="Y11" s="129"/>
      <c r="Z11" s="115"/>
      <c r="AA11" s="129"/>
      <c r="AB11" s="149"/>
      <c r="AC11" s="129"/>
      <c r="AD11" s="129"/>
      <c r="AE11" s="129"/>
    </row>
    <row r="12" spans="1:31" x14ac:dyDescent="0.35">
      <c r="B12" s="115"/>
      <c r="C12" s="129"/>
      <c r="D12" s="129"/>
      <c r="E12" s="129"/>
      <c r="F12" s="129"/>
      <c r="G12" s="129"/>
      <c r="H12" s="110"/>
      <c r="I12" s="129"/>
      <c r="K12" s="134"/>
      <c r="L12" s="129"/>
      <c r="M12" s="134"/>
      <c r="O12" s="134"/>
      <c r="P12" s="134"/>
      <c r="R12" s="129"/>
      <c r="S12" s="140"/>
      <c r="T12" s="138"/>
      <c r="U12" s="147"/>
      <c r="V12" s="129"/>
      <c r="W12" s="129"/>
      <c r="X12" s="129"/>
      <c r="Y12" s="129"/>
      <c r="Z12" s="115"/>
      <c r="AA12" s="129"/>
      <c r="AB12" s="149"/>
      <c r="AC12" s="147"/>
      <c r="AD12" s="147"/>
      <c r="AE12" s="147"/>
    </row>
    <row r="13" spans="1:31" x14ac:dyDescent="0.35">
      <c r="B13" s="115"/>
      <c r="C13" s="129"/>
      <c r="D13" s="129"/>
      <c r="E13" s="129"/>
      <c r="F13" s="129"/>
      <c r="G13" s="129"/>
      <c r="H13" s="110"/>
      <c r="I13" s="129"/>
      <c r="K13" s="134"/>
      <c r="L13" s="129"/>
      <c r="M13" s="134"/>
      <c r="O13" s="134"/>
      <c r="P13" s="134"/>
      <c r="R13" s="129"/>
      <c r="S13" s="140"/>
      <c r="T13" s="138"/>
      <c r="U13" s="147"/>
      <c r="V13" s="129"/>
      <c r="W13" s="134"/>
      <c r="X13" s="134"/>
      <c r="Y13" s="134"/>
      <c r="Z13" s="115"/>
      <c r="AA13" s="134"/>
      <c r="AB13" s="152"/>
      <c r="AC13" s="134"/>
      <c r="AD13" s="134"/>
      <c r="AE13" s="134"/>
    </row>
    <row r="14" spans="1:31" x14ac:dyDescent="0.35">
      <c r="B14" s="115"/>
      <c r="C14" s="129"/>
      <c r="D14" s="129"/>
      <c r="E14" s="129"/>
      <c r="F14" s="129"/>
      <c r="G14" s="129"/>
      <c r="H14" s="110"/>
      <c r="I14" s="129"/>
      <c r="K14" s="129"/>
      <c r="L14" s="129"/>
      <c r="M14" s="129"/>
      <c r="O14" s="129"/>
      <c r="P14" s="129"/>
      <c r="R14" s="129"/>
      <c r="S14" s="140"/>
      <c r="T14" s="148"/>
      <c r="U14" s="129"/>
      <c r="V14" s="129"/>
      <c r="W14" s="129"/>
      <c r="X14" s="129"/>
      <c r="Y14" s="134"/>
      <c r="Z14" s="115"/>
      <c r="AA14" s="129"/>
      <c r="AB14" s="149"/>
      <c r="AC14" s="129"/>
      <c r="AD14" s="129"/>
      <c r="AE14" s="129"/>
    </row>
    <row r="15" spans="1:31" x14ac:dyDescent="0.35">
      <c r="B15" s="115"/>
      <c r="C15" s="129"/>
      <c r="D15" s="129"/>
      <c r="E15" s="129"/>
      <c r="F15" s="129"/>
      <c r="G15" s="129"/>
      <c r="H15" s="110"/>
      <c r="I15" s="129"/>
      <c r="K15" s="133"/>
      <c r="L15" s="129"/>
      <c r="M15" s="129"/>
      <c r="O15" s="129"/>
      <c r="P15" s="129"/>
      <c r="R15" s="129"/>
      <c r="S15" s="139"/>
      <c r="T15" s="139"/>
      <c r="U15" s="129"/>
      <c r="V15" s="129"/>
      <c r="W15" s="103"/>
      <c r="X15" s="145"/>
      <c r="Y15" s="145"/>
      <c r="Z15" s="115"/>
      <c r="AA15" s="129"/>
      <c r="AB15" s="149"/>
      <c r="AC15" s="150"/>
      <c r="AD15" s="150"/>
      <c r="AE15" s="147"/>
    </row>
    <row r="16" spans="1:31" x14ac:dyDescent="0.35">
      <c r="B16" s="115"/>
      <c r="C16" s="129"/>
      <c r="D16" s="129"/>
      <c r="E16" s="129"/>
      <c r="F16" s="129"/>
      <c r="G16" s="129"/>
      <c r="H16" s="110"/>
      <c r="I16" s="129"/>
      <c r="K16" s="133"/>
      <c r="L16" s="129"/>
      <c r="M16" s="129"/>
      <c r="O16" s="129"/>
      <c r="P16" s="129"/>
      <c r="R16" s="129"/>
      <c r="S16" s="139"/>
      <c r="T16" s="139"/>
      <c r="U16" s="129"/>
      <c r="V16" s="129"/>
      <c r="W16" s="145"/>
      <c r="X16" s="145"/>
      <c r="Y16" s="145"/>
      <c r="Z16" s="115"/>
      <c r="AA16" s="129"/>
      <c r="AB16" s="149"/>
      <c r="AC16" s="150"/>
      <c r="AD16" s="150"/>
      <c r="AE16" s="147"/>
    </row>
    <row r="17" spans="2:31" x14ac:dyDescent="0.35">
      <c r="B17" s="115"/>
      <c r="C17" s="129"/>
      <c r="D17" s="129"/>
      <c r="E17" s="129"/>
      <c r="F17" s="129"/>
      <c r="G17" s="129"/>
      <c r="H17" s="110"/>
      <c r="I17" s="129"/>
      <c r="K17" s="133"/>
      <c r="L17" s="129"/>
      <c r="M17" s="129"/>
      <c r="O17" s="129"/>
      <c r="P17" s="129"/>
      <c r="R17" s="129"/>
      <c r="S17" s="138"/>
      <c r="T17" s="139"/>
      <c r="U17" s="129"/>
      <c r="V17" s="129"/>
      <c r="W17" s="129"/>
      <c r="X17" s="129"/>
      <c r="Y17" s="129"/>
      <c r="Z17" s="115"/>
      <c r="AA17" s="129"/>
      <c r="AB17" s="149"/>
      <c r="AC17" s="151"/>
      <c r="AD17" s="151"/>
      <c r="AE17" s="147"/>
    </row>
    <row r="18" spans="2:31" x14ac:dyDescent="0.35">
      <c r="B18" s="115"/>
      <c r="C18" s="129"/>
      <c r="D18" s="129"/>
      <c r="E18" s="129"/>
      <c r="F18" s="129"/>
      <c r="G18" s="129"/>
      <c r="H18" s="110"/>
      <c r="I18" s="129"/>
      <c r="J18" s="179"/>
      <c r="K18" s="178"/>
      <c r="L18" s="129"/>
      <c r="M18" s="129"/>
      <c r="O18" s="178"/>
      <c r="P18" s="129"/>
      <c r="R18" s="129"/>
      <c r="S18" s="140"/>
      <c r="T18" s="138"/>
      <c r="U18" s="147"/>
      <c r="V18" s="129"/>
      <c r="W18" s="134"/>
      <c r="X18" s="134"/>
      <c r="Y18" s="134"/>
      <c r="Z18" s="115"/>
      <c r="AA18" s="134"/>
      <c r="AB18" s="152"/>
      <c r="AC18" s="134"/>
      <c r="AD18" s="134"/>
      <c r="AE18" s="134"/>
    </row>
    <row r="19" spans="2:31" x14ac:dyDescent="0.35">
      <c r="B19" s="115"/>
      <c r="C19" s="129"/>
      <c r="D19" s="129"/>
      <c r="E19" s="129"/>
      <c r="F19" s="129"/>
      <c r="G19" s="129"/>
      <c r="H19" s="110"/>
      <c r="I19" s="129"/>
      <c r="K19" s="137"/>
      <c r="L19" s="135"/>
      <c r="M19" s="129"/>
      <c r="O19" s="129"/>
      <c r="P19" s="129"/>
      <c r="R19" s="129"/>
      <c r="S19" s="138"/>
      <c r="T19" s="139"/>
      <c r="U19" s="129"/>
      <c r="V19" s="129"/>
      <c r="W19" s="129"/>
      <c r="X19" s="129"/>
      <c r="Y19" s="129"/>
      <c r="Z19" s="115"/>
      <c r="AA19" s="129"/>
      <c r="AB19" s="129"/>
      <c r="AC19" s="151"/>
      <c r="AD19" s="154"/>
      <c r="AE19" s="147"/>
    </row>
    <row r="20" spans="2:31" x14ac:dyDescent="0.35">
      <c r="B20" s="115"/>
      <c r="C20" s="129"/>
      <c r="D20" s="129"/>
      <c r="E20" s="129"/>
      <c r="F20" s="129"/>
      <c r="G20" s="129"/>
      <c r="H20" s="110"/>
      <c r="I20" s="129"/>
      <c r="K20" s="136"/>
      <c r="L20" s="129"/>
      <c r="M20" s="129"/>
      <c r="O20" s="129"/>
      <c r="P20" s="129"/>
      <c r="R20" s="129"/>
      <c r="S20" s="141"/>
      <c r="T20" s="139"/>
      <c r="U20" s="129"/>
      <c r="V20" s="129"/>
      <c r="W20" s="129"/>
      <c r="X20" s="129"/>
      <c r="Y20" s="129"/>
      <c r="Z20" s="115"/>
      <c r="AA20" s="129"/>
      <c r="AB20" s="149"/>
      <c r="AC20" s="129"/>
      <c r="AD20" s="129"/>
      <c r="AE20" s="129"/>
    </row>
    <row r="21" spans="2:31" x14ac:dyDescent="0.35">
      <c r="B21" s="115"/>
      <c r="C21" s="129"/>
      <c r="D21" s="129"/>
      <c r="E21" s="129"/>
      <c r="F21" s="129"/>
      <c r="G21" s="129"/>
      <c r="H21" s="110"/>
      <c r="I21" s="129"/>
      <c r="K21" s="79"/>
      <c r="L21" s="134"/>
      <c r="M21" s="134"/>
      <c r="O21" s="134"/>
      <c r="P21" s="129"/>
      <c r="R21" s="129"/>
      <c r="S21" s="140"/>
      <c r="T21" s="124"/>
      <c r="U21" s="125"/>
      <c r="V21" s="129"/>
      <c r="W21" s="129"/>
      <c r="X21" s="129"/>
      <c r="Y21" s="129"/>
      <c r="Z21" s="115"/>
      <c r="AA21" s="129"/>
      <c r="AB21" s="149"/>
      <c r="AC21" s="147"/>
      <c r="AD21" s="129"/>
      <c r="AE21" s="147"/>
    </row>
    <row r="22" spans="2:31" x14ac:dyDescent="0.35">
      <c r="B22" s="115"/>
      <c r="C22" s="129"/>
      <c r="D22" s="129"/>
      <c r="E22" s="129"/>
      <c r="F22" s="129"/>
      <c r="G22" s="129"/>
      <c r="H22" s="110"/>
      <c r="I22" s="129"/>
      <c r="K22" s="129"/>
      <c r="L22" s="129"/>
      <c r="M22" s="129"/>
      <c r="O22" s="129"/>
      <c r="P22" s="129"/>
      <c r="R22" s="129"/>
      <c r="S22" s="140"/>
      <c r="T22" s="138"/>
      <c r="U22" s="147"/>
      <c r="V22" s="129"/>
      <c r="W22" s="129"/>
      <c r="X22" s="129"/>
      <c r="Y22" s="129"/>
      <c r="Z22" s="115"/>
      <c r="AA22" s="129"/>
      <c r="AB22" s="149"/>
      <c r="AC22" s="129"/>
      <c r="AD22" s="129"/>
      <c r="AE22" s="129"/>
    </row>
    <row r="23" spans="2:31" x14ac:dyDescent="0.35">
      <c r="B23" s="115"/>
      <c r="C23" s="129"/>
      <c r="D23" s="129"/>
      <c r="E23" s="129"/>
      <c r="F23" s="129"/>
      <c r="G23" s="129"/>
      <c r="H23" s="110"/>
      <c r="I23" s="129"/>
      <c r="K23" s="134"/>
      <c r="L23" s="129"/>
      <c r="M23" s="134"/>
      <c r="O23" s="134"/>
      <c r="P23" s="134"/>
      <c r="R23" s="129"/>
      <c r="S23" s="140"/>
      <c r="T23" s="138"/>
      <c r="U23" s="147"/>
      <c r="V23" s="129"/>
      <c r="W23" s="129"/>
      <c r="X23" s="129"/>
      <c r="Y23" s="129"/>
      <c r="Z23" s="115"/>
      <c r="AA23" s="129"/>
      <c r="AB23" s="149"/>
      <c r="AC23" s="147"/>
      <c r="AD23" s="147"/>
      <c r="AE23" s="147"/>
    </row>
    <row r="24" spans="2:31" x14ac:dyDescent="0.35">
      <c r="B24" s="115"/>
      <c r="C24" s="129"/>
      <c r="D24" s="129"/>
      <c r="E24" s="129"/>
      <c r="F24" s="129"/>
      <c r="G24" s="129"/>
      <c r="H24" s="110"/>
      <c r="I24" s="129"/>
      <c r="K24" s="134"/>
      <c r="L24" s="129"/>
      <c r="M24" s="134"/>
      <c r="O24" s="134"/>
      <c r="P24" s="134"/>
      <c r="R24" s="129"/>
      <c r="S24" s="140"/>
      <c r="T24" s="138"/>
      <c r="U24" s="147"/>
      <c r="V24" s="129"/>
      <c r="W24" s="134"/>
      <c r="X24" s="134"/>
      <c r="Y24" s="134"/>
      <c r="Z24" s="115"/>
      <c r="AA24" s="134"/>
      <c r="AB24" s="152"/>
      <c r="AC24" s="134"/>
      <c r="AD24" s="134"/>
      <c r="AE24" s="134"/>
    </row>
    <row r="25" spans="2:31" x14ac:dyDescent="0.35">
      <c r="B25" s="115"/>
      <c r="C25" s="129"/>
      <c r="D25" s="129"/>
      <c r="E25" s="129"/>
      <c r="F25" s="129"/>
      <c r="G25" s="129"/>
      <c r="H25" s="110"/>
      <c r="I25" s="129"/>
      <c r="K25" s="129"/>
      <c r="L25" s="129"/>
      <c r="M25" s="129"/>
      <c r="O25" s="129"/>
      <c r="P25" s="129"/>
      <c r="R25" s="129"/>
      <c r="S25" s="140"/>
      <c r="T25" s="148"/>
      <c r="U25" s="129"/>
      <c r="V25" s="129"/>
      <c r="W25" s="129"/>
      <c r="X25" s="129"/>
      <c r="Y25" s="134"/>
      <c r="Z25" s="115"/>
      <c r="AA25" s="129"/>
      <c r="AB25" s="149"/>
      <c r="AC25" s="129"/>
      <c r="AD25" s="129"/>
      <c r="AE25" s="129"/>
    </row>
    <row r="26" spans="2:31" x14ac:dyDescent="0.35">
      <c r="B26" s="115"/>
      <c r="C26" s="129"/>
      <c r="D26" s="129"/>
      <c r="E26" s="129"/>
      <c r="F26" s="129"/>
      <c r="G26" s="129"/>
      <c r="H26" s="110"/>
      <c r="I26" s="129"/>
      <c r="K26" s="133"/>
      <c r="L26" s="129"/>
      <c r="M26" s="129"/>
      <c r="O26" s="129"/>
      <c r="P26" s="129"/>
      <c r="R26" s="129"/>
      <c r="S26" s="139"/>
      <c r="T26" s="139"/>
      <c r="U26" s="129"/>
      <c r="V26" s="129"/>
      <c r="W26" s="103"/>
      <c r="X26" s="145"/>
      <c r="Y26" s="145"/>
      <c r="Z26" s="115"/>
      <c r="AA26" s="129"/>
      <c r="AB26" s="149"/>
      <c r="AC26" s="150"/>
      <c r="AD26" s="150"/>
      <c r="AE26" s="147"/>
    </row>
    <row r="27" spans="2:31" x14ac:dyDescent="0.35">
      <c r="B27" s="115"/>
      <c r="C27" s="129"/>
      <c r="D27" s="129"/>
      <c r="E27" s="129"/>
      <c r="F27" s="129"/>
      <c r="G27" s="129"/>
      <c r="H27" s="110"/>
      <c r="I27" s="129"/>
      <c r="K27" s="133"/>
      <c r="L27" s="129"/>
      <c r="M27" s="129"/>
      <c r="O27" s="129"/>
      <c r="P27" s="129"/>
      <c r="R27" s="129"/>
      <c r="S27" s="139"/>
      <c r="T27" s="139"/>
      <c r="U27" s="129"/>
      <c r="V27" s="129"/>
      <c r="W27" s="145"/>
      <c r="X27" s="145"/>
      <c r="Y27" s="145"/>
      <c r="Z27" s="115"/>
      <c r="AA27" s="129"/>
      <c r="AB27" s="149"/>
      <c r="AC27" s="150"/>
      <c r="AD27" s="150"/>
      <c r="AE27" s="147"/>
    </row>
    <row r="28" spans="2:31" x14ac:dyDescent="0.35">
      <c r="B28" s="115"/>
      <c r="C28" s="129"/>
      <c r="D28" s="129"/>
      <c r="E28" s="129"/>
      <c r="F28" s="129"/>
      <c r="G28" s="129"/>
      <c r="H28" s="110"/>
      <c r="I28" s="129"/>
      <c r="K28" s="133"/>
      <c r="L28" s="129"/>
      <c r="M28" s="129"/>
      <c r="O28" s="129"/>
      <c r="P28" s="129"/>
      <c r="R28" s="129"/>
      <c r="S28" s="138"/>
      <c r="T28" s="139"/>
      <c r="U28" s="129"/>
      <c r="V28" s="129"/>
      <c r="W28" s="129"/>
      <c r="X28" s="129"/>
      <c r="Y28" s="129"/>
      <c r="Z28" s="115"/>
      <c r="AA28" s="129"/>
      <c r="AB28" s="149"/>
      <c r="AC28" s="151"/>
      <c r="AD28" s="151"/>
      <c r="AE28" s="147"/>
    </row>
    <row r="29" spans="2:31" x14ac:dyDescent="0.35">
      <c r="B29" s="115"/>
      <c r="C29" s="129"/>
      <c r="D29" s="129"/>
      <c r="E29" s="129"/>
      <c r="F29" s="129"/>
      <c r="G29" s="129"/>
      <c r="H29" s="110"/>
      <c r="I29" s="129"/>
      <c r="J29" s="179"/>
      <c r="K29" s="178"/>
      <c r="L29" s="129"/>
      <c r="M29" s="129"/>
      <c r="O29" s="178"/>
      <c r="P29" s="129"/>
      <c r="R29" s="129"/>
      <c r="S29" s="140"/>
      <c r="T29" s="138"/>
      <c r="U29" s="147"/>
      <c r="V29" s="129"/>
      <c r="W29" s="134"/>
      <c r="X29" s="134"/>
      <c r="Y29" s="134"/>
      <c r="Z29" s="115"/>
      <c r="AA29" s="134"/>
      <c r="AB29" s="152"/>
      <c r="AC29" s="134"/>
      <c r="AD29" s="134"/>
      <c r="AE29" s="134"/>
    </row>
    <row r="30" spans="2:31" x14ac:dyDescent="0.35">
      <c r="B30" s="115"/>
      <c r="C30" s="129"/>
      <c r="D30" s="129"/>
      <c r="E30" s="129"/>
      <c r="F30" s="129"/>
      <c r="G30" s="129"/>
      <c r="H30" s="110"/>
      <c r="I30" s="129"/>
      <c r="K30" s="132"/>
      <c r="L30" s="129"/>
      <c r="M30" s="129"/>
      <c r="O30" s="129"/>
      <c r="P30" s="129"/>
      <c r="R30" s="129"/>
      <c r="S30" s="138"/>
      <c r="T30" s="139"/>
      <c r="U30" s="129"/>
      <c r="V30" s="129"/>
      <c r="W30" s="129"/>
      <c r="X30" s="129"/>
      <c r="Y30" s="129"/>
      <c r="Z30" s="115"/>
      <c r="AA30" s="155"/>
      <c r="AB30" s="149"/>
      <c r="AC30" s="156"/>
      <c r="AD30" s="139"/>
      <c r="AE30" s="157"/>
    </row>
    <row r="31" spans="2:31" x14ac:dyDescent="0.35">
      <c r="B31" s="115"/>
      <c r="C31" s="129"/>
      <c r="D31" s="129"/>
      <c r="E31" s="129"/>
      <c r="F31" s="129"/>
      <c r="G31" s="129"/>
      <c r="H31" s="110"/>
      <c r="I31" s="129"/>
      <c r="K31" s="132"/>
      <c r="L31" s="129"/>
      <c r="M31" s="129"/>
      <c r="O31" s="129"/>
      <c r="P31" s="129"/>
      <c r="R31" s="129"/>
      <c r="S31" s="138"/>
      <c r="T31" s="139"/>
      <c r="U31" s="129"/>
      <c r="V31" s="129"/>
      <c r="W31" s="129"/>
      <c r="X31" s="129"/>
      <c r="Y31" s="129"/>
      <c r="Z31" s="115"/>
      <c r="AA31" s="155"/>
      <c r="AB31" s="149"/>
      <c r="AC31" s="156"/>
      <c r="AD31" s="139"/>
      <c r="AE31" s="157"/>
    </row>
    <row r="32" spans="2:31" x14ac:dyDescent="0.35">
      <c r="B32" s="115"/>
      <c r="C32" s="129"/>
      <c r="D32" s="129"/>
      <c r="E32" s="129"/>
      <c r="F32" s="129"/>
      <c r="G32" s="129"/>
      <c r="H32" s="110"/>
      <c r="I32" s="129"/>
      <c r="K32" s="132"/>
      <c r="L32" s="129"/>
      <c r="M32" s="129"/>
      <c r="O32" s="129"/>
      <c r="P32" s="129"/>
      <c r="R32" s="129"/>
      <c r="S32" s="138"/>
      <c r="T32" s="139"/>
      <c r="U32" s="129"/>
      <c r="V32" s="129"/>
      <c r="W32" s="129"/>
      <c r="X32" s="129"/>
      <c r="Y32" s="129"/>
      <c r="Z32" s="115"/>
      <c r="AA32" s="155"/>
      <c r="AB32" s="149"/>
      <c r="AC32" s="156"/>
      <c r="AD32" s="139"/>
      <c r="AE32" s="157"/>
    </row>
    <row r="33" spans="2:31" x14ac:dyDescent="0.35">
      <c r="B33" s="115"/>
      <c r="C33" s="129"/>
      <c r="D33" s="129"/>
      <c r="E33" s="129"/>
      <c r="F33" s="129"/>
      <c r="G33" s="129"/>
      <c r="H33" s="110"/>
      <c r="I33" s="129"/>
      <c r="K33" s="132"/>
      <c r="L33" s="129"/>
      <c r="M33" s="129"/>
      <c r="O33" s="129"/>
      <c r="P33" s="129"/>
      <c r="R33" s="129"/>
      <c r="S33" s="138"/>
      <c r="T33" s="139"/>
      <c r="U33" s="129"/>
      <c r="V33" s="129"/>
      <c r="W33" s="129"/>
      <c r="X33" s="129"/>
      <c r="Y33" s="129"/>
      <c r="Z33" s="115"/>
      <c r="AA33" s="155"/>
      <c r="AB33" s="149"/>
      <c r="AC33" s="156"/>
      <c r="AD33" s="139"/>
      <c r="AE33" s="157"/>
    </row>
    <row r="34" spans="2:31" x14ac:dyDescent="0.35">
      <c r="B34" s="115"/>
      <c r="C34" s="129"/>
      <c r="D34" s="129"/>
      <c r="E34" s="129"/>
      <c r="F34" s="129"/>
      <c r="G34" s="129"/>
      <c r="H34" s="110"/>
      <c r="I34" s="129"/>
      <c r="K34" s="132"/>
      <c r="L34" s="129"/>
      <c r="M34" s="129"/>
      <c r="O34" s="129"/>
      <c r="P34" s="129"/>
      <c r="R34" s="129"/>
      <c r="S34" s="138"/>
      <c r="T34" s="139"/>
      <c r="U34" s="129"/>
      <c r="V34" s="129"/>
      <c r="W34" s="129"/>
      <c r="X34" s="129"/>
      <c r="Y34" s="129"/>
      <c r="Z34" s="115"/>
      <c r="AA34" s="155"/>
      <c r="AB34" s="149"/>
      <c r="AC34" s="129"/>
      <c r="AD34" s="139"/>
      <c r="AE34" s="157"/>
    </row>
    <row r="35" spans="2:31" x14ac:dyDescent="0.35">
      <c r="B35" s="115"/>
      <c r="C35" s="129"/>
      <c r="D35" s="129"/>
      <c r="E35" s="129"/>
      <c r="F35" s="129"/>
      <c r="G35" s="129"/>
      <c r="H35" s="110"/>
      <c r="I35" s="129"/>
      <c r="K35" s="132"/>
      <c r="L35" s="129"/>
      <c r="M35" s="129"/>
      <c r="O35" s="129"/>
      <c r="P35" s="129"/>
      <c r="R35" s="129"/>
      <c r="S35" s="138"/>
      <c r="T35" s="139"/>
      <c r="U35" s="129"/>
      <c r="V35" s="129"/>
      <c r="W35" s="129"/>
      <c r="X35" s="129"/>
      <c r="Y35" s="129"/>
      <c r="Z35" s="115"/>
      <c r="AA35" s="155"/>
      <c r="AB35" s="149"/>
      <c r="AC35" s="129"/>
      <c r="AD35" s="139"/>
      <c r="AE35" s="157"/>
    </row>
    <row r="36" spans="2:31" x14ac:dyDescent="0.35">
      <c r="B36" s="115"/>
      <c r="C36" s="129"/>
      <c r="D36" s="129"/>
      <c r="E36" s="129"/>
      <c r="F36" s="129"/>
      <c r="G36" s="129"/>
      <c r="H36" s="110"/>
      <c r="I36" s="129"/>
      <c r="K36" s="132"/>
      <c r="L36" s="129"/>
      <c r="M36" s="129"/>
      <c r="O36" s="129"/>
      <c r="P36" s="129"/>
      <c r="R36" s="129"/>
      <c r="S36" s="138"/>
      <c r="T36" s="139"/>
      <c r="U36" s="129"/>
      <c r="V36" s="129"/>
      <c r="W36" s="129"/>
      <c r="X36" s="129"/>
      <c r="Y36" s="129"/>
      <c r="Z36" s="115"/>
      <c r="AA36" s="129"/>
      <c r="AB36" s="149"/>
      <c r="AC36" s="129"/>
      <c r="AD36" s="139"/>
      <c r="AE36" s="157"/>
    </row>
    <row r="37" spans="2:31" x14ac:dyDescent="0.35">
      <c r="B37" s="115"/>
      <c r="C37" s="129"/>
      <c r="D37" s="129"/>
      <c r="E37" s="129"/>
      <c r="F37" s="129"/>
      <c r="G37" s="129"/>
      <c r="H37" s="110"/>
      <c r="I37" s="129"/>
      <c r="K37" s="130"/>
      <c r="L37" s="134"/>
      <c r="M37" s="129"/>
      <c r="O37" s="129"/>
      <c r="P37" s="129"/>
      <c r="R37" s="129"/>
      <c r="S37" s="140"/>
      <c r="T37" s="138"/>
      <c r="U37" s="134"/>
      <c r="V37" s="134"/>
      <c r="W37" s="134"/>
      <c r="X37" s="134"/>
      <c r="Y37" s="134"/>
      <c r="Z37" s="115"/>
      <c r="AA37" s="134"/>
      <c r="AB37" s="152"/>
      <c r="AC37" s="153"/>
      <c r="AD37" s="150"/>
      <c r="AE37" s="129"/>
    </row>
    <row r="38" spans="2:31" x14ac:dyDescent="0.35">
      <c r="B38" s="115"/>
      <c r="C38" s="129"/>
      <c r="D38" s="129"/>
      <c r="E38" s="129"/>
      <c r="F38" s="129"/>
      <c r="G38" s="129"/>
      <c r="H38" s="110"/>
      <c r="I38" s="129"/>
      <c r="K38" s="79"/>
      <c r="L38" s="134"/>
      <c r="M38" s="134"/>
      <c r="O38" s="134"/>
      <c r="P38" s="129"/>
      <c r="R38" s="129"/>
      <c r="S38" s="140"/>
      <c r="T38" s="124"/>
      <c r="U38" s="125"/>
      <c r="V38" s="129"/>
      <c r="W38" s="129"/>
      <c r="X38" s="129"/>
      <c r="Y38" s="129"/>
      <c r="Z38" s="115"/>
      <c r="AA38" s="129"/>
      <c r="AB38" s="149"/>
      <c r="AC38" s="147"/>
      <c r="AD38" s="129"/>
      <c r="AE38" s="147"/>
    </row>
    <row r="39" spans="2:31" x14ac:dyDescent="0.35">
      <c r="B39" s="115"/>
      <c r="C39" s="129"/>
      <c r="D39" s="129"/>
      <c r="E39" s="129"/>
      <c r="F39" s="129"/>
      <c r="G39" s="129"/>
      <c r="H39" s="110"/>
      <c r="I39" s="129"/>
      <c r="K39" s="129"/>
      <c r="L39" s="129"/>
      <c r="M39" s="129"/>
      <c r="O39" s="129"/>
      <c r="P39" s="129"/>
      <c r="R39" s="129"/>
      <c r="S39" s="140"/>
      <c r="T39" s="138"/>
      <c r="U39" s="147"/>
      <c r="V39" s="129"/>
      <c r="W39" s="129"/>
      <c r="X39" s="129"/>
      <c r="Y39" s="129"/>
      <c r="Z39" s="115"/>
      <c r="AA39" s="129"/>
      <c r="AB39" s="149"/>
      <c r="AC39" s="129"/>
      <c r="AD39" s="129"/>
      <c r="AE39" s="129"/>
    </row>
    <row r="40" spans="2:31" x14ac:dyDescent="0.35">
      <c r="B40" s="115"/>
      <c r="C40" s="129"/>
      <c r="D40" s="129"/>
      <c r="E40" s="129"/>
      <c r="F40" s="129"/>
      <c r="G40" s="129"/>
      <c r="H40" s="110"/>
      <c r="I40" s="129"/>
      <c r="K40" s="134"/>
      <c r="L40" s="129"/>
      <c r="M40" s="134"/>
      <c r="O40" s="134"/>
      <c r="P40" s="134"/>
      <c r="R40" s="129"/>
      <c r="S40" s="140"/>
      <c r="T40" s="138"/>
      <c r="U40" s="147"/>
      <c r="V40" s="129"/>
      <c r="W40" s="129"/>
      <c r="X40" s="129"/>
      <c r="Y40" s="129"/>
      <c r="Z40" s="115"/>
      <c r="AA40" s="129"/>
      <c r="AB40" s="149"/>
      <c r="AC40" s="147"/>
      <c r="AD40" s="147"/>
      <c r="AE40" s="147"/>
    </row>
    <row r="41" spans="2:31" x14ac:dyDescent="0.35">
      <c r="B41" s="115"/>
      <c r="C41" s="129"/>
      <c r="D41" s="129"/>
      <c r="E41" s="129"/>
      <c r="F41" s="129"/>
      <c r="G41" s="129"/>
      <c r="H41" s="110"/>
      <c r="I41" s="129"/>
      <c r="K41" s="134"/>
      <c r="L41" s="129"/>
      <c r="M41" s="134"/>
      <c r="O41" s="134"/>
      <c r="P41" s="134"/>
      <c r="R41" s="129"/>
      <c r="S41" s="140"/>
      <c r="T41" s="138"/>
      <c r="U41" s="147"/>
      <c r="V41" s="129"/>
      <c r="W41" s="134"/>
      <c r="X41" s="134"/>
      <c r="Y41" s="134"/>
      <c r="Z41" s="115"/>
      <c r="AA41" s="134"/>
      <c r="AB41" s="152"/>
      <c r="AC41" s="134"/>
      <c r="AD41" s="134"/>
      <c r="AE41" s="134"/>
    </row>
    <row r="42" spans="2:31" x14ac:dyDescent="0.35">
      <c r="B42" s="115"/>
      <c r="C42" s="129"/>
      <c r="D42" s="129"/>
      <c r="E42" s="129"/>
      <c r="F42" s="129"/>
      <c r="G42" s="129"/>
      <c r="H42" s="110"/>
      <c r="I42" s="129"/>
      <c r="K42" s="129"/>
      <c r="L42" s="129"/>
      <c r="M42" s="129"/>
      <c r="O42" s="129"/>
      <c r="P42" s="129"/>
      <c r="R42" s="129"/>
      <c r="S42" s="140"/>
      <c r="T42" s="148"/>
      <c r="U42" s="129"/>
      <c r="V42" s="129"/>
      <c r="W42" s="129"/>
      <c r="X42" s="129"/>
      <c r="Y42" s="134"/>
      <c r="Z42" s="115"/>
      <c r="AA42" s="129"/>
      <c r="AB42" s="149"/>
      <c r="AC42" s="129"/>
      <c r="AD42" s="129"/>
      <c r="AE42" s="129"/>
    </row>
    <row r="43" spans="2:31" x14ac:dyDescent="0.35">
      <c r="B43" s="115"/>
      <c r="C43" s="129"/>
      <c r="D43" s="129"/>
      <c r="E43" s="129"/>
      <c r="F43" s="129"/>
      <c r="G43" s="129"/>
      <c r="H43" s="110"/>
      <c r="I43" s="129"/>
      <c r="J43" s="179"/>
      <c r="K43" s="178"/>
      <c r="L43" s="129"/>
      <c r="M43" s="129"/>
      <c r="O43" s="178"/>
      <c r="P43" s="129"/>
      <c r="R43" s="129"/>
      <c r="S43" s="140"/>
      <c r="T43" s="138"/>
      <c r="U43" s="147"/>
      <c r="V43" s="129"/>
      <c r="W43" s="134"/>
      <c r="X43" s="134"/>
      <c r="Y43" s="134"/>
      <c r="Z43" s="115"/>
      <c r="AA43" s="134"/>
      <c r="AB43" s="152"/>
      <c r="AC43" s="134"/>
      <c r="AD43" s="134"/>
      <c r="AE43" s="134"/>
    </row>
    <row r="44" spans="2:31" x14ac:dyDescent="0.35">
      <c r="B44" s="115"/>
      <c r="C44" s="129"/>
      <c r="D44" s="129"/>
      <c r="E44" s="129"/>
      <c r="F44" s="129"/>
      <c r="G44" s="129"/>
      <c r="H44" s="110"/>
      <c r="I44" s="129"/>
      <c r="K44" s="129"/>
      <c r="L44" s="129"/>
      <c r="M44" s="129"/>
      <c r="O44" s="129"/>
      <c r="P44" s="129"/>
      <c r="R44" s="129"/>
      <c r="S44" s="141"/>
      <c r="T44" s="141"/>
      <c r="U44" s="141"/>
      <c r="V44" s="129"/>
      <c r="W44" s="129"/>
      <c r="X44" s="129"/>
      <c r="Y44" s="129"/>
      <c r="Z44" s="115"/>
      <c r="AA44" s="129"/>
      <c r="AB44" s="129"/>
      <c r="AC44" s="129"/>
      <c r="AD44" s="141"/>
      <c r="AE44" s="129"/>
    </row>
    <row r="45" spans="2:31" x14ac:dyDescent="0.35">
      <c r="B45" s="115"/>
      <c r="C45" s="129"/>
      <c r="D45" s="129"/>
      <c r="E45" s="129"/>
      <c r="F45" s="129"/>
      <c r="G45" s="129"/>
      <c r="H45" s="110"/>
      <c r="I45" s="129"/>
      <c r="K45" s="130"/>
      <c r="L45" s="129"/>
      <c r="M45" s="129"/>
      <c r="O45" s="129"/>
      <c r="P45" s="129"/>
      <c r="R45" s="129"/>
      <c r="S45" s="140"/>
      <c r="T45" s="138"/>
      <c r="U45" s="134"/>
      <c r="V45" s="134"/>
      <c r="W45" s="134"/>
      <c r="X45" s="134"/>
      <c r="Y45" s="134"/>
      <c r="Z45" s="115"/>
      <c r="AA45" s="134"/>
      <c r="AB45" s="152"/>
      <c r="AC45" s="153"/>
      <c r="AD45" s="150"/>
      <c r="AE45" s="129"/>
    </row>
    <row r="46" spans="2:31" x14ac:dyDescent="0.35">
      <c r="B46" s="115"/>
      <c r="C46" s="129"/>
      <c r="D46" s="129"/>
      <c r="E46" s="129"/>
      <c r="F46" s="129"/>
      <c r="G46" s="129"/>
      <c r="H46" s="110"/>
      <c r="I46" s="129"/>
      <c r="K46" s="79"/>
      <c r="L46" s="134"/>
      <c r="M46" s="134"/>
      <c r="O46" s="134"/>
      <c r="P46" s="129"/>
      <c r="R46" s="129"/>
      <c r="S46" s="140"/>
      <c r="T46" s="124"/>
      <c r="U46" s="125"/>
      <c r="V46" s="129"/>
      <c r="W46" s="129"/>
      <c r="X46" s="129"/>
      <c r="Y46" s="129"/>
      <c r="Z46" s="115"/>
      <c r="AA46" s="129"/>
      <c r="AB46" s="149"/>
      <c r="AC46" s="147"/>
      <c r="AD46" s="129"/>
      <c r="AE46" s="147"/>
    </row>
    <row r="47" spans="2:31" x14ac:dyDescent="0.35">
      <c r="B47" s="115"/>
      <c r="C47" s="129"/>
      <c r="D47" s="129"/>
      <c r="E47" s="129"/>
      <c r="F47" s="129"/>
      <c r="G47" s="129"/>
      <c r="H47" s="110"/>
      <c r="I47" s="129"/>
      <c r="K47" s="129"/>
      <c r="L47" s="129"/>
      <c r="M47" s="129"/>
      <c r="O47" s="129"/>
      <c r="P47" s="129"/>
      <c r="R47" s="129"/>
      <c r="S47" s="140"/>
      <c r="T47" s="138"/>
      <c r="U47" s="147"/>
      <c r="V47" s="129"/>
      <c r="W47" s="129"/>
      <c r="X47" s="129"/>
      <c r="Y47" s="129"/>
      <c r="Z47" s="115"/>
      <c r="AA47" s="129"/>
      <c r="AB47" s="149"/>
      <c r="AC47" s="129"/>
      <c r="AD47" s="129"/>
      <c r="AE47" s="129"/>
    </row>
    <row r="48" spans="2:31" x14ac:dyDescent="0.35">
      <c r="B48" s="115"/>
      <c r="C48" s="129"/>
      <c r="D48" s="129"/>
      <c r="E48" s="129"/>
      <c r="F48" s="129"/>
      <c r="G48" s="129"/>
      <c r="H48" s="110"/>
      <c r="I48" s="129"/>
      <c r="K48" s="134"/>
      <c r="L48" s="129"/>
      <c r="M48" s="134"/>
      <c r="O48" s="134"/>
      <c r="P48" s="134"/>
      <c r="R48" s="129"/>
      <c r="S48" s="140"/>
      <c r="T48" s="138"/>
      <c r="U48" s="147"/>
      <c r="V48" s="129"/>
      <c r="W48" s="129"/>
      <c r="X48" s="129"/>
      <c r="Y48" s="129"/>
      <c r="Z48" s="115"/>
      <c r="AA48" s="129"/>
      <c r="AB48" s="149"/>
      <c r="AC48" s="147"/>
      <c r="AD48" s="147"/>
      <c r="AE48" s="147"/>
    </row>
    <row r="49" spans="2:31" x14ac:dyDescent="0.35">
      <c r="B49" s="115"/>
      <c r="C49" s="129"/>
      <c r="D49" s="129"/>
      <c r="E49" s="129"/>
      <c r="F49" s="129"/>
      <c r="G49" s="129"/>
      <c r="H49" s="110"/>
      <c r="I49" s="129"/>
      <c r="K49" s="134"/>
      <c r="L49" s="129"/>
      <c r="M49" s="134"/>
      <c r="O49" s="134"/>
      <c r="P49" s="134"/>
      <c r="R49" s="129"/>
      <c r="S49" s="140"/>
      <c r="T49" s="138"/>
      <c r="U49" s="147"/>
      <c r="V49" s="129"/>
      <c r="W49" s="134"/>
      <c r="X49" s="134"/>
      <c r="Y49" s="134"/>
      <c r="Z49" s="115"/>
      <c r="AA49" s="134"/>
      <c r="AB49" s="152"/>
      <c r="AC49" s="134"/>
      <c r="AD49" s="134"/>
      <c r="AE49" s="134"/>
    </row>
    <row r="50" spans="2:31" x14ac:dyDescent="0.35">
      <c r="B50" s="115"/>
      <c r="C50" s="129"/>
      <c r="D50" s="129"/>
      <c r="E50" s="129"/>
      <c r="F50" s="129"/>
      <c r="G50" s="129"/>
      <c r="H50" s="110"/>
      <c r="I50" s="129"/>
      <c r="K50" s="129"/>
      <c r="L50" s="129"/>
      <c r="M50" s="129"/>
      <c r="O50" s="129"/>
      <c r="P50" s="129"/>
      <c r="R50" s="129"/>
      <c r="S50" s="140"/>
      <c r="T50" s="148"/>
      <c r="U50" s="129"/>
      <c r="V50" s="129"/>
      <c r="W50" s="129"/>
      <c r="X50" s="129"/>
      <c r="Y50" s="134"/>
      <c r="Z50" s="115"/>
      <c r="AA50" s="129"/>
      <c r="AB50" s="149"/>
      <c r="AC50" s="129"/>
      <c r="AD50" s="129"/>
      <c r="AE50" s="129"/>
    </row>
    <row r="51" spans="2:31" x14ac:dyDescent="0.35">
      <c r="B51" s="115"/>
      <c r="C51" s="129"/>
      <c r="D51" s="129"/>
      <c r="E51" s="129"/>
      <c r="F51" s="129"/>
      <c r="G51" s="129"/>
      <c r="H51" s="110"/>
      <c r="I51" s="129"/>
      <c r="J51" s="179"/>
      <c r="K51" s="178"/>
      <c r="L51" s="129"/>
      <c r="M51" s="129"/>
      <c r="O51" s="178"/>
      <c r="P51" s="129"/>
      <c r="R51" s="129"/>
      <c r="S51" s="140"/>
      <c r="T51" s="138"/>
      <c r="U51" s="147"/>
      <c r="V51" s="129"/>
      <c r="W51" s="134"/>
      <c r="X51" s="134"/>
      <c r="Y51" s="134"/>
      <c r="Z51" s="115"/>
      <c r="AA51" s="134"/>
      <c r="AB51" s="152"/>
      <c r="AC51" s="134"/>
      <c r="AD51" s="134"/>
      <c r="AE51" s="134"/>
    </row>
    <row r="52" spans="2:31" x14ac:dyDescent="0.35">
      <c r="B52" s="115"/>
      <c r="C52" s="129"/>
      <c r="D52" s="129"/>
      <c r="E52" s="129"/>
      <c r="F52" s="129"/>
      <c r="G52" s="129"/>
      <c r="H52" s="110"/>
      <c r="I52" s="129"/>
      <c r="K52" s="130"/>
      <c r="L52" s="129"/>
      <c r="M52" s="129"/>
      <c r="O52" s="129"/>
      <c r="P52" s="129"/>
      <c r="R52" s="129"/>
      <c r="S52" s="142"/>
      <c r="T52" s="124"/>
      <c r="U52" s="125"/>
      <c r="V52" s="129"/>
      <c r="W52" s="129"/>
      <c r="X52" s="129"/>
      <c r="Y52" s="129"/>
      <c r="Z52" s="115"/>
      <c r="AA52" s="129"/>
      <c r="AB52" s="129"/>
      <c r="AC52" s="129"/>
      <c r="AD52" s="129"/>
      <c r="AE52" s="129"/>
    </row>
    <row r="53" spans="2:31" x14ac:dyDescent="0.35">
      <c r="B53" s="115"/>
      <c r="C53" s="129"/>
      <c r="D53" s="129"/>
      <c r="E53" s="129"/>
      <c r="F53" s="129"/>
      <c r="G53" s="129"/>
      <c r="H53" s="110"/>
      <c r="I53" s="129"/>
      <c r="K53" s="132"/>
      <c r="L53" s="129"/>
      <c r="M53" s="129"/>
      <c r="O53" s="129"/>
      <c r="P53" s="129"/>
      <c r="R53" s="129"/>
      <c r="S53" s="138"/>
      <c r="T53" s="139"/>
      <c r="U53" s="129"/>
      <c r="V53" s="129"/>
      <c r="W53" s="129"/>
      <c r="X53" s="129"/>
      <c r="Y53" s="129"/>
      <c r="Z53" s="115"/>
      <c r="AA53" s="155"/>
      <c r="AB53" s="149"/>
      <c r="AC53" s="129"/>
      <c r="AD53" s="139"/>
      <c r="AE53" s="157"/>
    </row>
    <row r="54" spans="2:31" x14ac:dyDescent="0.35">
      <c r="B54" s="115"/>
      <c r="C54" s="129"/>
      <c r="D54" s="129"/>
      <c r="E54" s="129"/>
      <c r="F54" s="129"/>
      <c r="G54" s="129"/>
      <c r="H54" s="110"/>
      <c r="I54" s="129"/>
      <c r="K54" s="132"/>
      <c r="L54" s="129"/>
      <c r="M54" s="129"/>
      <c r="O54" s="129"/>
      <c r="P54" s="129"/>
      <c r="R54" s="129"/>
      <c r="S54" s="138"/>
      <c r="T54" s="139"/>
      <c r="U54" s="129"/>
      <c r="V54" s="129"/>
      <c r="W54" s="129"/>
      <c r="X54" s="129"/>
      <c r="Y54" s="129"/>
      <c r="Z54" s="115"/>
      <c r="AA54" s="155"/>
      <c r="AB54" s="149"/>
      <c r="AC54" s="129"/>
      <c r="AD54" s="139"/>
      <c r="AE54" s="157"/>
    </row>
    <row r="55" spans="2:31" x14ac:dyDescent="0.35">
      <c r="B55" s="115"/>
      <c r="C55" s="129"/>
      <c r="D55" s="129"/>
      <c r="E55" s="129"/>
      <c r="F55" s="129"/>
      <c r="G55" s="129"/>
      <c r="H55" s="110"/>
      <c r="I55" s="129"/>
      <c r="K55" s="132"/>
      <c r="L55" s="129"/>
      <c r="M55" s="129"/>
      <c r="O55" s="129"/>
      <c r="P55" s="129"/>
      <c r="R55" s="129"/>
      <c r="S55" s="138"/>
      <c r="T55" s="139"/>
      <c r="U55" s="129"/>
      <c r="V55" s="129"/>
      <c r="W55" s="129"/>
      <c r="X55" s="129"/>
      <c r="Y55" s="129"/>
      <c r="Z55" s="115"/>
      <c r="AA55" s="129"/>
      <c r="AB55" s="149"/>
      <c r="AC55" s="129"/>
      <c r="AD55" s="139"/>
      <c r="AE55" s="157"/>
    </row>
    <row r="56" spans="2:31" x14ac:dyDescent="0.35">
      <c r="B56" s="115"/>
      <c r="C56" s="129"/>
      <c r="D56" s="129"/>
      <c r="E56" s="129"/>
      <c r="F56" s="129"/>
      <c r="G56" s="129"/>
      <c r="H56" s="110"/>
      <c r="I56" s="129"/>
      <c r="K56" s="136"/>
      <c r="L56" s="129"/>
      <c r="M56" s="129"/>
      <c r="O56" s="129"/>
      <c r="P56" s="129"/>
      <c r="R56" s="129"/>
      <c r="S56" s="141"/>
      <c r="T56" s="139"/>
      <c r="U56" s="129"/>
      <c r="V56" s="129"/>
      <c r="W56" s="129"/>
      <c r="X56" s="129"/>
      <c r="Y56" s="129"/>
      <c r="Z56" s="115"/>
      <c r="AA56" s="129"/>
      <c r="AB56" s="149"/>
      <c r="AC56" s="129"/>
      <c r="AD56" s="129"/>
      <c r="AE56" s="129"/>
    </row>
    <row r="57" spans="2:31" x14ac:dyDescent="0.35">
      <c r="B57" s="115"/>
      <c r="C57" s="129"/>
      <c r="D57" s="129"/>
      <c r="E57" s="129"/>
      <c r="F57" s="129"/>
      <c r="G57" s="129"/>
      <c r="H57" s="110"/>
      <c r="I57" s="129"/>
      <c r="K57" s="79"/>
      <c r="L57" s="134"/>
      <c r="M57" s="134"/>
      <c r="O57" s="134"/>
      <c r="P57" s="129"/>
      <c r="R57" s="129"/>
      <c r="S57" s="140"/>
      <c r="T57" s="124"/>
      <c r="U57" s="125"/>
      <c r="V57" s="129"/>
      <c r="W57" s="129"/>
      <c r="X57" s="129"/>
      <c r="Y57" s="129"/>
      <c r="Z57" s="115"/>
      <c r="AA57" s="129"/>
      <c r="AB57" s="149"/>
      <c r="AC57" s="147"/>
      <c r="AD57" s="129"/>
      <c r="AE57" s="147"/>
    </row>
    <row r="58" spans="2:31" x14ac:dyDescent="0.35">
      <c r="B58" s="115"/>
      <c r="C58" s="129"/>
      <c r="D58" s="129"/>
      <c r="E58" s="129"/>
      <c r="F58" s="129"/>
      <c r="G58" s="129"/>
      <c r="H58" s="110"/>
      <c r="I58" s="129"/>
      <c r="K58" s="129"/>
      <c r="L58" s="129"/>
      <c r="M58" s="129"/>
      <c r="O58" s="129"/>
      <c r="P58" s="129"/>
      <c r="R58" s="129"/>
      <c r="S58" s="140"/>
      <c r="T58" s="138"/>
      <c r="U58" s="147"/>
      <c r="V58" s="129"/>
      <c r="W58" s="129"/>
      <c r="X58" s="129"/>
      <c r="Y58" s="129"/>
      <c r="Z58" s="115"/>
      <c r="AA58" s="129"/>
      <c r="AB58" s="149"/>
      <c r="AC58" s="129"/>
      <c r="AD58" s="129"/>
      <c r="AE58" s="129"/>
    </row>
    <row r="59" spans="2:31" x14ac:dyDescent="0.35">
      <c r="B59" s="115"/>
      <c r="C59" s="129"/>
      <c r="D59" s="129"/>
      <c r="E59" s="129"/>
      <c r="F59" s="129"/>
      <c r="G59" s="129"/>
      <c r="H59" s="110"/>
      <c r="I59" s="129"/>
      <c r="K59" s="134"/>
      <c r="L59" s="129"/>
      <c r="M59" s="134"/>
      <c r="O59" s="134"/>
      <c r="P59" s="134"/>
      <c r="R59" s="129"/>
      <c r="S59" s="140"/>
      <c r="T59" s="138"/>
      <c r="U59" s="147"/>
      <c r="V59" s="129"/>
      <c r="W59" s="129"/>
      <c r="X59" s="129"/>
      <c r="Y59" s="129"/>
      <c r="Z59" s="115"/>
      <c r="AA59" s="129"/>
      <c r="AB59" s="149"/>
      <c r="AC59" s="147"/>
      <c r="AD59" s="147"/>
      <c r="AE59" s="147"/>
    </row>
    <row r="60" spans="2:31" x14ac:dyDescent="0.35">
      <c r="B60" s="115"/>
      <c r="C60" s="129"/>
      <c r="D60" s="129"/>
      <c r="E60" s="129"/>
      <c r="F60" s="129"/>
      <c r="G60" s="129"/>
      <c r="H60" s="110"/>
      <c r="I60" s="129"/>
      <c r="K60" s="134"/>
      <c r="L60" s="129"/>
      <c r="M60" s="134"/>
      <c r="O60" s="134"/>
      <c r="P60" s="134"/>
      <c r="R60" s="129"/>
      <c r="S60" s="140"/>
      <c r="T60" s="138"/>
      <c r="U60" s="147"/>
      <c r="V60" s="129"/>
      <c r="W60" s="134"/>
      <c r="X60" s="134"/>
      <c r="Y60" s="134"/>
      <c r="Z60" s="115"/>
      <c r="AA60" s="134"/>
      <c r="AB60" s="152"/>
      <c r="AC60" s="134"/>
      <c r="AD60" s="134"/>
      <c r="AE60" s="134"/>
    </row>
    <row r="61" spans="2:31" x14ac:dyDescent="0.35">
      <c r="B61" s="115"/>
      <c r="C61" s="129"/>
      <c r="D61" s="129"/>
      <c r="E61" s="129"/>
      <c r="F61" s="129"/>
      <c r="G61" s="129"/>
      <c r="H61" s="110"/>
      <c r="I61" s="129"/>
      <c r="K61" s="129"/>
      <c r="L61" s="129"/>
      <c r="M61" s="129"/>
      <c r="O61" s="129"/>
      <c r="P61" s="129"/>
      <c r="R61" s="129"/>
      <c r="S61" s="140"/>
      <c r="T61" s="148"/>
      <c r="U61" s="129"/>
      <c r="V61" s="129"/>
      <c r="W61" s="129"/>
      <c r="X61" s="129"/>
      <c r="Y61" s="134"/>
      <c r="Z61" s="115"/>
      <c r="AA61" s="129"/>
      <c r="AB61" s="149"/>
      <c r="AC61" s="129"/>
      <c r="AD61" s="129"/>
      <c r="AE61" s="129"/>
    </row>
    <row r="62" spans="2:31" x14ac:dyDescent="0.35">
      <c r="B62" s="115"/>
      <c r="C62" s="129"/>
      <c r="D62" s="129"/>
      <c r="E62" s="129"/>
      <c r="F62" s="129"/>
      <c r="G62" s="129"/>
      <c r="H62" s="110"/>
      <c r="I62" s="129"/>
      <c r="J62" s="179"/>
      <c r="K62" s="178"/>
      <c r="L62" s="129"/>
      <c r="M62" s="129"/>
      <c r="O62" s="178"/>
      <c r="P62" s="129"/>
      <c r="R62" s="129"/>
      <c r="S62" s="140"/>
      <c r="T62" s="138"/>
      <c r="U62" s="147"/>
      <c r="V62" s="129"/>
      <c r="W62" s="134"/>
      <c r="X62" s="134"/>
      <c r="Y62" s="134"/>
      <c r="Z62" s="115"/>
      <c r="AA62" s="134"/>
      <c r="AB62" s="152"/>
      <c r="AC62" s="134"/>
      <c r="AD62" s="134"/>
      <c r="AE62" s="134"/>
    </row>
    <row r="63" spans="2:31" x14ac:dyDescent="0.35">
      <c r="B63" s="115"/>
      <c r="C63" s="129"/>
      <c r="D63" s="129"/>
      <c r="E63" s="129"/>
      <c r="F63" s="129"/>
      <c r="G63" s="129"/>
      <c r="H63" s="110"/>
      <c r="I63" s="129"/>
      <c r="K63" s="137"/>
      <c r="L63" s="129"/>
      <c r="M63" s="129"/>
      <c r="O63" s="129"/>
      <c r="P63" s="129"/>
      <c r="R63" s="129"/>
      <c r="S63" s="142"/>
      <c r="T63" s="124"/>
      <c r="U63" s="125"/>
      <c r="V63" s="129"/>
      <c r="W63" s="129"/>
      <c r="X63" s="129"/>
      <c r="Y63" s="129"/>
      <c r="Z63" s="115"/>
      <c r="AA63" s="129"/>
      <c r="AB63" s="129"/>
      <c r="AC63" s="129"/>
      <c r="AD63" s="129"/>
      <c r="AE63" s="129"/>
    </row>
    <row r="64" spans="2:31" x14ac:dyDescent="0.35">
      <c r="B64" s="115"/>
      <c r="C64" s="129"/>
      <c r="D64" s="129"/>
      <c r="E64" s="129"/>
      <c r="F64" s="129"/>
      <c r="G64" s="129"/>
      <c r="H64" s="110"/>
      <c r="I64" s="129"/>
      <c r="K64" s="136"/>
      <c r="L64" s="129"/>
      <c r="M64" s="129"/>
      <c r="O64" s="129"/>
      <c r="P64" s="129"/>
      <c r="R64" s="129"/>
      <c r="S64" s="141"/>
      <c r="T64" s="139"/>
      <c r="U64" s="129"/>
      <c r="V64" s="129"/>
      <c r="W64" s="129"/>
      <c r="X64" s="129"/>
      <c r="Y64" s="129"/>
      <c r="Z64" s="115"/>
      <c r="AA64" s="129"/>
      <c r="AB64" s="149"/>
      <c r="AC64" s="129"/>
      <c r="AD64" s="129"/>
      <c r="AE64" s="129"/>
    </row>
    <row r="65" spans="2:31" x14ac:dyDescent="0.35">
      <c r="B65" s="115"/>
      <c r="C65" s="129"/>
      <c r="D65" s="129"/>
      <c r="E65" s="129"/>
      <c r="F65" s="129"/>
      <c r="G65" s="129"/>
      <c r="H65" s="110"/>
      <c r="I65" s="129"/>
      <c r="K65" s="79"/>
      <c r="L65" s="134"/>
      <c r="M65" s="134"/>
      <c r="O65" s="134"/>
      <c r="P65" s="129"/>
      <c r="R65" s="129"/>
      <c r="S65" s="140"/>
      <c r="T65" s="124"/>
      <c r="U65" s="125"/>
      <c r="V65" s="129"/>
      <c r="W65" s="129"/>
      <c r="X65" s="129"/>
      <c r="Y65" s="129"/>
      <c r="Z65" s="115"/>
      <c r="AA65" s="129"/>
      <c r="AB65" s="149"/>
      <c r="AC65" s="147"/>
      <c r="AD65" s="129"/>
      <c r="AE65" s="147"/>
    </row>
    <row r="66" spans="2:31" x14ac:dyDescent="0.35">
      <c r="B66" s="115"/>
      <c r="C66" s="129"/>
      <c r="D66" s="129"/>
      <c r="E66" s="129"/>
      <c r="F66" s="129"/>
      <c r="G66" s="129"/>
      <c r="H66" s="110"/>
      <c r="I66" s="129"/>
      <c r="K66" s="129"/>
      <c r="L66" s="129"/>
      <c r="M66" s="129"/>
      <c r="O66" s="129"/>
      <c r="P66" s="129"/>
      <c r="R66" s="129"/>
      <c r="S66" s="140"/>
      <c r="T66" s="138"/>
      <c r="U66" s="147"/>
      <c r="V66" s="129"/>
      <c r="W66" s="129"/>
      <c r="X66" s="129"/>
      <c r="Y66" s="129"/>
      <c r="Z66" s="115"/>
      <c r="AA66" s="129"/>
      <c r="AB66" s="149"/>
      <c r="AC66" s="129"/>
      <c r="AD66" s="129"/>
      <c r="AE66" s="129"/>
    </row>
    <row r="67" spans="2:31" x14ac:dyDescent="0.35">
      <c r="B67" s="115"/>
      <c r="C67" s="129"/>
      <c r="D67" s="129"/>
      <c r="E67" s="129"/>
      <c r="F67" s="129"/>
      <c r="G67" s="129"/>
      <c r="H67" s="110"/>
      <c r="I67" s="129"/>
      <c r="K67" s="134"/>
      <c r="L67" s="129"/>
      <c r="M67" s="134"/>
      <c r="O67" s="134"/>
      <c r="P67" s="134"/>
      <c r="R67" s="129"/>
      <c r="S67" s="140"/>
      <c r="T67" s="138"/>
      <c r="U67" s="147"/>
      <c r="V67" s="129"/>
      <c r="W67" s="129"/>
      <c r="X67" s="129"/>
      <c r="Y67" s="129"/>
      <c r="Z67" s="115"/>
      <c r="AA67" s="129"/>
      <c r="AB67" s="149"/>
      <c r="AC67" s="147"/>
      <c r="AD67" s="147"/>
      <c r="AE67" s="147"/>
    </row>
    <row r="68" spans="2:31" x14ac:dyDescent="0.35">
      <c r="B68" s="115"/>
      <c r="C68" s="129"/>
      <c r="D68" s="129"/>
      <c r="E68" s="129"/>
      <c r="F68" s="129"/>
      <c r="G68" s="129"/>
      <c r="H68" s="110"/>
      <c r="I68" s="129"/>
      <c r="K68" s="134"/>
      <c r="L68" s="129"/>
      <c r="M68" s="134"/>
      <c r="O68" s="134"/>
      <c r="P68" s="134"/>
      <c r="R68" s="129"/>
      <c r="S68" s="140"/>
      <c r="T68" s="138"/>
      <c r="U68" s="147"/>
      <c r="V68" s="129"/>
      <c r="W68" s="134"/>
      <c r="X68" s="134"/>
      <c r="Y68" s="134"/>
      <c r="Z68" s="115"/>
      <c r="AA68" s="134"/>
      <c r="AB68" s="152"/>
      <c r="AC68" s="134"/>
      <c r="AD68" s="134"/>
      <c r="AE68" s="134"/>
    </row>
    <row r="69" spans="2:31" x14ac:dyDescent="0.35">
      <c r="B69" s="115"/>
      <c r="C69" s="129"/>
      <c r="D69" s="129"/>
      <c r="E69" s="129"/>
      <c r="F69" s="129"/>
      <c r="G69" s="129"/>
      <c r="H69" s="110"/>
      <c r="I69" s="129"/>
      <c r="K69" s="129"/>
      <c r="L69" s="129"/>
      <c r="M69" s="129"/>
      <c r="O69" s="129"/>
      <c r="P69" s="129"/>
      <c r="R69" s="129"/>
      <c r="S69" s="140"/>
      <c r="T69" s="148"/>
      <c r="U69" s="129"/>
      <c r="V69" s="129"/>
      <c r="W69" s="129"/>
      <c r="X69" s="129"/>
      <c r="Y69" s="134"/>
      <c r="Z69" s="115"/>
      <c r="AA69" s="129"/>
      <c r="AB69" s="149"/>
      <c r="AC69" s="129"/>
      <c r="AD69" s="129"/>
      <c r="AE69" s="129"/>
    </row>
    <row r="70" spans="2:31" x14ac:dyDescent="0.35">
      <c r="B70" s="115"/>
      <c r="C70" s="129"/>
      <c r="D70" s="129"/>
      <c r="E70" s="129"/>
      <c r="F70" s="129"/>
      <c r="G70" s="129"/>
      <c r="H70" s="110"/>
      <c r="I70" s="129"/>
      <c r="J70" s="179"/>
      <c r="K70" s="178"/>
      <c r="L70" s="129"/>
      <c r="M70" s="129"/>
      <c r="O70" s="178"/>
      <c r="P70" s="129"/>
      <c r="R70" s="129"/>
      <c r="S70" s="140"/>
      <c r="T70" s="138"/>
      <c r="U70" s="147"/>
      <c r="V70" s="129"/>
      <c r="W70" s="134"/>
      <c r="X70" s="134"/>
      <c r="Y70" s="134"/>
      <c r="Z70" s="115"/>
      <c r="AA70" s="134"/>
      <c r="AB70" s="152"/>
      <c r="AC70" s="134"/>
      <c r="AD70" s="134"/>
      <c r="AE70" s="134"/>
    </row>
    <row r="71" spans="2:31" x14ac:dyDescent="0.35">
      <c r="B71" s="115"/>
      <c r="C71" s="129"/>
      <c r="D71" s="129"/>
      <c r="E71" s="129"/>
      <c r="F71" s="129"/>
      <c r="G71" s="129"/>
      <c r="H71" s="110"/>
      <c r="I71" s="129"/>
      <c r="K71" s="133"/>
      <c r="L71" s="129"/>
      <c r="M71" s="129"/>
      <c r="O71" s="129"/>
      <c r="P71" s="129"/>
      <c r="R71" s="129"/>
      <c r="S71" s="141"/>
      <c r="T71" s="139"/>
      <c r="U71" s="129"/>
      <c r="V71" s="129"/>
      <c r="W71" s="129"/>
      <c r="X71" s="129"/>
      <c r="Y71" s="129"/>
      <c r="Z71" s="115"/>
      <c r="AA71" s="129"/>
      <c r="AB71" s="149"/>
      <c r="AC71" s="129"/>
      <c r="AD71" s="139"/>
      <c r="AE71" s="129"/>
    </row>
    <row r="72" spans="2:31" x14ac:dyDescent="0.35">
      <c r="B72" s="115"/>
      <c r="C72" s="129"/>
      <c r="D72" s="129"/>
      <c r="E72" s="129"/>
      <c r="F72" s="129"/>
      <c r="G72" s="129"/>
      <c r="H72" s="110"/>
      <c r="I72" s="129"/>
      <c r="K72" s="133"/>
      <c r="L72" s="129"/>
      <c r="M72" s="129"/>
      <c r="O72" s="129"/>
      <c r="P72" s="129"/>
      <c r="R72" s="129"/>
      <c r="S72" s="141"/>
      <c r="T72" s="139"/>
      <c r="U72" s="129"/>
      <c r="V72" s="129"/>
      <c r="W72" s="129"/>
      <c r="X72" s="129"/>
      <c r="Y72" s="129"/>
      <c r="Z72" s="115"/>
      <c r="AA72" s="129"/>
      <c r="AB72" s="149"/>
      <c r="AC72" s="129"/>
      <c r="AD72" s="139"/>
      <c r="AE72" s="129"/>
    </row>
    <row r="73" spans="2:31" x14ac:dyDescent="0.35">
      <c r="B73" s="115"/>
      <c r="C73" s="129"/>
      <c r="D73" s="129"/>
      <c r="E73" s="129"/>
      <c r="F73" s="129"/>
      <c r="G73" s="129"/>
      <c r="H73" s="110"/>
      <c r="I73" s="129"/>
      <c r="K73" s="133"/>
      <c r="L73" s="129"/>
      <c r="M73" s="129"/>
      <c r="O73" s="129"/>
      <c r="P73" s="129"/>
      <c r="R73" s="129"/>
      <c r="S73" s="141"/>
      <c r="T73" s="139"/>
      <c r="U73" s="129"/>
      <c r="V73" s="129"/>
      <c r="W73" s="129"/>
      <c r="X73" s="129"/>
      <c r="Y73" s="129"/>
      <c r="Z73" s="115"/>
      <c r="AA73" s="129"/>
      <c r="AB73" s="149"/>
      <c r="AC73" s="129"/>
      <c r="AD73" s="139"/>
      <c r="AE73" s="129"/>
    </row>
    <row r="74" spans="2:31" x14ac:dyDescent="0.35">
      <c r="B74" s="115"/>
      <c r="C74" s="129"/>
      <c r="D74" s="129"/>
      <c r="E74" s="129"/>
      <c r="F74" s="129"/>
      <c r="G74" s="129"/>
      <c r="H74" s="110"/>
      <c r="I74" s="129"/>
      <c r="K74" s="133"/>
      <c r="L74" s="129"/>
      <c r="M74" s="129"/>
      <c r="O74" s="129"/>
      <c r="P74" s="129"/>
      <c r="R74" s="129"/>
      <c r="S74" s="141"/>
      <c r="T74" s="139"/>
      <c r="U74" s="129"/>
      <c r="V74" s="129"/>
      <c r="W74" s="129"/>
      <c r="X74" s="129"/>
      <c r="Y74" s="129"/>
      <c r="Z74" s="115"/>
      <c r="AA74" s="129"/>
      <c r="AB74" s="149"/>
      <c r="AC74" s="129"/>
      <c r="AD74" s="139"/>
      <c r="AE74" s="129"/>
    </row>
    <row r="75" spans="2:31" x14ac:dyDescent="0.35">
      <c r="B75" s="115"/>
      <c r="C75" s="129"/>
      <c r="D75" s="129"/>
      <c r="E75" s="129"/>
      <c r="F75" s="129"/>
      <c r="G75" s="129"/>
      <c r="H75" s="110"/>
      <c r="I75" s="129"/>
      <c r="K75" s="133"/>
      <c r="L75" s="129"/>
      <c r="M75" s="129"/>
      <c r="O75" s="129"/>
      <c r="P75" s="129"/>
      <c r="R75" s="129"/>
      <c r="S75" s="141"/>
      <c r="T75" s="139"/>
      <c r="U75" s="129"/>
      <c r="V75" s="129"/>
      <c r="W75" s="129"/>
      <c r="X75" s="129"/>
      <c r="Y75" s="129"/>
      <c r="Z75" s="115"/>
      <c r="AA75" s="129"/>
      <c r="AB75" s="149"/>
      <c r="AC75" s="129"/>
      <c r="AD75" s="139"/>
      <c r="AE75" s="129"/>
    </row>
    <row r="76" spans="2:31" x14ac:dyDescent="0.35">
      <c r="B76" s="115"/>
      <c r="C76" s="129"/>
      <c r="D76" s="129"/>
      <c r="E76" s="129"/>
      <c r="F76" s="129"/>
      <c r="G76" s="129"/>
      <c r="H76" s="110"/>
      <c r="I76" s="129"/>
      <c r="K76" s="130"/>
      <c r="L76" s="129"/>
      <c r="M76" s="129"/>
      <c r="O76" s="129"/>
      <c r="P76" s="129"/>
      <c r="R76" s="129"/>
      <c r="S76" s="140"/>
      <c r="T76" s="138"/>
      <c r="U76" s="134"/>
      <c r="V76" s="134"/>
      <c r="W76" s="134"/>
      <c r="X76" s="134"/>
      <c r="Y76" s="134"/>
      <c r="Z76" s="115"/>
      <c r="AA76" s="134"/>
      <c r="AB76" s="152"/>
      <c r="AC76" s="153"/>
      <c r="AD76" s="150"/>
      <c r="AE76" s="129"/>
    </row>
    <row r="77" spans="2:31" x14ac:dyDescent="0.35">
      <c r="B77" s="115"/>
      <c r="C77" s="129"/>
      <c r="D77" s="129"/>
      <c r="E77" s="129"/>
      <c r="F77" s="129"/>
      <c r="G77" s="129"/>
      <c r="H77" s="110"/>
      <c r="I77" s="129"/>
      <c r="K77" s="79"/>
      <c r="L77" s="134"/>
      <c r="M77" s="134"/>
      <c r="O77" s="134"/>
      <c r="P77" s="129"/>
      <c r="R77" s="129"/>
      <c r="S77" s="140"/>
      <c r="T77" s="124"/>
      <c r="U77" s="125"/>
      <c r="V77" s="129"/>
      <c r="W77" s="129"/>
      <c r="X77" s="129"/>
      <c r="Y77" s="129"/>
      <c r="Z77" s="115"/>
      <c r="AA77" s="129"/>
      <c r="AB77" s="149"/>
      <c r="AC77" s="147"/>
      <c r="AD77" s="129"/>
      <c r="AE77" s="147"/>
    </row>
    <row r="78" spans="2:31" x14ac:dyDescent="0.35">
      <c r="B78" s="115"/>
      <c r="C78" s="129"/>
      <c r="D78" s="129"/>
      <c r="E78" s="129"/>
      <c r="F78" s="129"/>
      <c r="G78" s="129"/>
      <c r="H78" s="110"/>
      <c r="I78" s="129"/>
      <c r="K78" s="129"/>
      <c r="L78" s="129"/>
      <c r="M78" s="129"/>
      <c r="O78" s="129"/>
      <c r="P78" s="129"/>
      <c r="R78" s="129"/>
      <c r="S78" s="140"/>
      <c r="T78" s="138"/>
      <c r="U78" s="147"/>
      <c r="V78" s="129"/>
      <c r="W78" s="129"/>
      <c r="X78" s="129"/>
      <c r="Y78" s="129"/>
      <c r="Z78" s="115"/>
      <c r="AA78" s="129"/>
      <c r="AB78" s="149"/>
      <c r="AC78" s="129"/>
      <c r="AD78" s="129"/>
      <c r="AE78" s="129"/>
    </row>
    <row r="79" spans="2:31" x14ac:dyDescent="0.35">
      <c r="B79" s="115"/>
      <c r="C79" s="129"/>
      <c r="D79" s="129"/>
      <c r="E79" s="129"/>
      <c r="F79" s="129"/>
      <c r="G79" s="129"/>
      <c r="H79" s="110"/>
      <c r="I79" s="129"/>
      <c r="K79" s="134"/>
      <c r="L79" s="129"/>
      <c r="M79" s="134"/>
      <c r="O79" s="134"/>
      <c r="P79" s="134"/>
      <c r="R79" s="129"/>
      <c r="S79" s="140"/>
      <c r="T79" s="138"/>
      <c r="U79" s="147"/>
      <c r="V79" s="129"/>
      <c r="W79" s="129"/>
      <c r="X79" s="129"/>
      <c r="Y79" s="129"/>
      <c r="Z79" s="115"/>
      <c r="AA79" s="129"/>
      <c r="AB79" s="149"/>
      <c r="AC79" s="147"/>
      <c r="AD79" s="147"/>
      <c r="AE79" s="147"/>
    </row>
    <row r="80" spans="2:31" x14ac:dyDescent="0.35">
      <c r="B80" s="115"/>
      <c r="C80" s="129"/>
      <c r="D80" s="129"/>
      <c r="E80" s="129"/>
      <c r="F80" s="129"/>
      <c r="G80" s="129"/>
      <c r="H80" s="110"/>
      <c r="I80" s="129"/>
      <c r="K80" s="134"/>
      <c r="L80" s="129"/>
      <c r="M80" s="134"/>
      <c r="O80" s="134"/>
      <c r="P80" s="134"/>
      <c r="R80" s="129"/>
      <c r="S80" s="140"/>
      <c r="T80" s="138"/>
      <c r="U80" s="147"/>
      <c r="V80" s="129"/>
      <c r="W80" s="134"/>
      <c r="X80" s="134"/>
      <c r="Y80" s="134"/>
      <c r="Z80" s="115"/>
      <c r="AA80" s="134"/>
      <c r="AB80" s="152"/>
      <c r="AC80" s="134"/>
      <c r="AD80" s="134"/>
      <c r="AE80" s="134"/>
    </row>
    <row r="81" spans="2:31" x14ac:dyDescent="0.35">
      <c r="B81" s="115"/>
      <c r="C81" s="129"/>
      <c r="D81" s="129"/>
      <c r="E81" s="129"/>
      <c r="F81" s="129"/>
      <c r="G81" s="129"/>
      <c r="H81" s="110"/>
      <c r="I81" s="129"/>
      <c r="K81" s="129"/>
      <c r="L81" s="129"/>
      <c r="M81" s="129"/>
      <c r="O81" s="129"/>
      <c r="P81" s="129"/>
      <c r="R81" s="129"/>
      <c r="S81" s="140"/>
      <c r="T81" s="148"/>
      <c r="U81" s="129"/>
      <c r="V81" s="129"/>
      <c r="W81" s="129"/>
      <c r="X81" s="129"/>
      <c r="Y81" s="134"/>
      <c r="Z81" s="115"/>
      <c r="AA81" s="129"/>
      <c r="AB81" s="149"/>
      <c r="AC81" s="129"/>
      <c r="AD81" s="129"/>
      <c r="AE81" s="129"/>
    </row>
    <row r="82" spans="2:31" x14ac:dyDescent="0.35">
      <c r="B82" s="115"/>
      <c r="C82" s="129"/>
      <c r="D82" s="129"/>
      <c r="E82" s="129"/>
      <c r="F82" s="129"/>
      <c r="G82" s="129"/>
      <c r="H82" s="110"/>
      <c r="I82" s="129"/>
      <c r="J82" s="179"/>
      <c r="K82" s="178"/>
      <c r="L82" s="129"/>
      <c r="M82" s="129"/>
      <c r="O82" s="178"/>
      <c r="P82" s="129"/>
      <c r="R82" s="129"/>
      <c r="S82" s="140"/>
      <c r="T82" s="138"/>
      <c r="U82" s="147"/>
      <c r="V82" s="129"/>
      <c r="W82" s="134"/>
      <c r="X82" s="134"/>
      <c r="Y82" s="134"/>
      <c r="Z82" s="115"/>
      <c r="AA82" s="134"/>
      <c r="AB82" s="152"/>
      <c r="AC82" s="134"/>
      <c r="AD82" s="134"/>
      <c r="AE82" s="134"/>
    </row>
    <row r="83" spans="2:31" x14ac:dyDescent="0.35">
      <c r="B83" s="115"/>
      <c r="C83" s="129"/>
      <c r="D83" s="129"/>
      <c r="E83" s="129"/>
      <c r="F83" s="129"/>
      <c r="G83" s="129"/>
      <c r="H83" s="110"/>
      <c r="I83" s="129"/>
      <c r="K83" s="137"/>
      <c r="L83" s="129"/>
      <c r="M83" s="129"/>
      <c r="O83" s="129"/>
      <c r="P83" s="129"/>
      <c r="R83" s="129"/>
      <c r="S83" s="141"/>
      <c r="T83" s="124"/>
      <c r="U83" s="125"/>
      <c r="V83" s="129"/>
      <c r="W83" s="129"/>
      <c r="X83" s="129"/>
      <c r="Y83" s="129"/>
      <c r="Z83" s="115"/>
      <c r="AA83" s="129"/>
      <c r="AB83" s="149"/>
      <c r="AC83" s="129"/>
      <c r="AD83" s="129"/>
      <c r="AE83" s="129"/>
    </row>
    <row r="84" spans="2:31" x14ac:dyDescent="0.35">
      <c r="B84" s="115"/>
      <c r="C84" s="129"/>
      <c r="D84" s="129"/>
      <c r="E84" s="129"/>
      <c r="F84" s="129"/>
      <c r="G84" s="129"/>
      <c r="H84" s="110"/>
      <c r="I84" s="129"/>
      <c r="K84" s="137"/>
      <c r="L84" s="129"/>
      <c r="M84" s="129"/>
      <c r="O84" s="129"/>
      <c r="P84" s="129"/>
      <c r="R84" s="129"/>
      <c r="S84" s="141"/>
      <c r="T84" s="124"/>
      <c r="U84" s="125"/>
      <c r="V84" s="129"/>
      <c r="W84" s="129"/>
      <c r="X84" s="129"/>
      <c r="Y84" s="129"/>
      <c r="Z84" s="115"/>
      <c r="AA84" s="129"/>
      <c r="AB84" s="149"/>
      <c r="AC84" s="129"/>
      <c r="AD84" s="129"/>
      <c r="AE84" s="129"/>
    </row>
    <row r="85" spans="2:31" x14ac:dyDescent="0.35">
      <c r="B85" s="115"/>
      <c r="C85" s="129"/>
      <c r="D85" s="129"/>
      <c r="E85" s="129"/>
      <c r="F85" s="129"/>
      <c r="G85" s="129"/>
      <c r="H85" s="110"/>
      <c r="I85" s="129"/>
      <c r="K85" s="133"/>
      <c r="L85" s="129"/>
      <c r="M85" s="129"/>
      <c r="O85" s="129"/>
      <c r="P85" s="129"/>
      <c r="R85" s="129"/>
      <c r="S85" s="141"/>
      <c r="T85" s="139"/>
      <c r="U85" s="129"/>
      <c r="V85" s="129"/>
      <c r="W85" s="129"/>
      <c r="X85" s="129"/>
      <c r="Y85" s="129"/>
      <c r="Z85" s="115"/>
      <c r="AA85" s="129"/>
      <c r="AB85" s="149"/>
      <c r="AC85" s="129"/>
      <c r="AD85" s="139"/>
      <c r="AE85" s="129"/>
    </row>
    <row r="86" spans="2:31" x14ac:dyDescent="0.35">
      <c r="B86" s="115"/>
      <c r="C86" s="129"/>
      <c r="D86" s="129"/>
      <c r="E86" s="129"/>
      <c r="F86" s="129"/>
      <c r="G86" s="129"/>
      <c r="H86" s="110"/>
      <c r="I86" s="129"/>
      <c r="K86" s="133"/>
      <c r="L86" s="129"/>
      <c r="M86" s="129"/>
      <c r="O86" s="129"/>
      <c r="P86" s="129"/>
      <c r="R86" s="129"/>
      <c r="S86" s="141"/>
      <c r="T86" s="139"/>
      <c r="U86" s="129"/>
      <c r="V86" s="129"/>
      <c r="W86" s="129"/>
      <c r="X86" s="129"/>
      <c r="Y86" s="129"/>
      <c r="Z86" s="115"/>
      <c r="AA86" s="129"/>
      <c r="AB86" s="149"/>
      <c r="AC86" s="129"/>
      <c r="AD86" s="139"/>
      <c r="AE86" s="129"/>
    </row>
    <row r="87" spans="2:31" x14ac:dyDescent="0.35">
      <c r="B87" s="115"/>
      <c r="C87" s="129"/>
      <c r="D87" s="129"/>
      <c r="E87" s="129"/>
      <c r="F87" s="129"/>
      <c r="G87" s="129"/>
      <c r="H87" s="110"/>
      <c r="I87" s="129"/>
      <c r="K87" s="130"/>
      <c r="L87" s="129"/>
      <c r="M87" s="129"/>
      <c r="O87" s="129"/>
      <c r="P87" s="129"/>
      <c r="R87" s="129"/>
      <c r="S87" s="140"/>
      <c r="T87" s="138"/>
      <c r="U87" s="134"/>
      <c r="V87" s="134"/>
      <c r="W87" s="134"/>
      <c r="X87" s="134"/>
      <c r="Y87" s="134"/>
      <c r="Z87" s="115"/>
      <c r="AA87" s="134"/>
      <c r="AB87" s="152"/>
      <c r="AC87" s="153"/>
      <c r="AD87" s="150"/>
      <c r="AE87" s="129"/>
    </row>
    <row r="88" spans="2:31" x14ac:dyDescent="0.35">
      <c r="B88" s="115"/>
      <c r="C88" s="129"/>
      <c r="D88" s="129"/>
      <c r="E88" s="129"/>
      <c r="F88" s="129"/>
      <c r="G88" s="129"/>
      <c r="H88" s="110"/>
      <c r="I88" s="129"/>
      <c r="K88" s="79"/>
      <c r="L88" s="134"/>
      <c r="M88" s="134"/>
      <c r="O88" s="134"/>
      <c r="P88" s="129"/>
      <c r="R88" s="129"/>
      <c r="S88" s="140"/>
      <c r="T88" s="124"/>
      <c r="U88" s="125"/>
      <c r="V88" s="129"/>
      <c r="W88" s="129"/>
      <c r="X88" s="129"/>
      <c r="Y88" s="129"/>
      <c r="Z88" s="115"/>
      <c r="AA88" s="129"/>
      <c r="AB88" s="149"/>
      <c r="AC88" s="147"/>
      <c r="AD88" s="129"/>
      <c r="AE88" s="147"/>
    </row>
    <row r="89" spans="2:31" x14ac:dyDescent="0.35">
      <c r="B89" s="115"/>
      <c r="C89" s="129"/>
      <c r="D89" s="129"/>
      <c r="E89" s="129"/>
      <c r="F89" s="129"/>
      <c r="G89" s="129"/>
      <c r="H89" s="110"/>
      <c r="I89" s="129"/>
      <c r="K89" s="129"/>
      <c r="L89" s="129"/>
      <c r="M89" s="129"/>
      <c r="O89" s="129"/>
      <c r="P89" s="129"/>
      <c r="R89" s="129"/>
      <c r="S89" s="140"/>
      <c r="T89" s="138"/>
      <c r="U89" s="147"/>
      <c r="V89" s="129"/>
      <c r="W89" s="129"/>
      <c r="X89" s="129"/>
      <c r="Y89" s="129"/>
      <c r="Z89" s="115"/>
      <c r="AA89" s="129"/>
      <c r="AB89" s="149"/>
      <c r="AC89" s="129"/>
      <c r="AD89" s="129"/>
      <c r="AE89" s="129"/>
    </row>
    <row r="90" spans="2:31" x14ac:dyDescent="0.35">
      <c r="B90" s="115"/>
      <c r="C90" s="129"/>
      <c r="D90" s="129"/>
      <c r="E90" s="129"/>
      <c r="F90" s="129"/>
      <c r="G90" s="129"/>
      <c r="H90" s="110"/>
      <c r="I90" s="129"/>
      <c r="K90" s="134"/>
      <c r="L90" s="129"/>
      <c r="M90" s="134"/>
      <c r="O90" s="134"/>
      <c r="P90" s="134"/>
      <c r="R90" s="129"/>
      <c r="S90" s="140"/>
      <c r="T90" s="138"/>
      <c r="U90" s="147"/>
      <c r="V90" s="129"/>
      <c r="W90" s="129"/>
      <c r="X90" s="129"/>
      <c r="Y90" s="129"/>
      <c r="Z90" s="115"/>
      <c r="AA90" s="129"/>
      <c r="AB90" s="149"/>
      <c r="AC90" s="147"/>
      <c r="AD90" s="147"/>
      <c r="AE90" s="147"/>
    </row>
    <row r="91" spans="2:31" x14ac:dyDescent="0.35">
      <c r="B91" s="115"/>
      <c r="C91" s="129"/>
      <c r="D91" s="129"/>
      <c r="E91" s="129"/>
      <c r="F91" s="129"/>
      <c r="G91" s="129"/>
      <c r="H91" s="110"/>
      <c r="I91" s="129"/>
      <c r="K91" s="134"/>
      <c r="L91" s="129"/>
      <c r="M91" s="134"/>
      <c r="O91" s="134"/>
      <c r="P91" s="134"/>
      <c r="R91" s="129"/>
      <c r="S91" s="140"/>
      <c r="T91" s="138"/>
      <c r="U91" s="147"/>
      <c r="V91" s="129"/>
      <c r="W91" s="134"/>
      <c r="X91" s="134"/>
      <c r="Y91" s="134"/>
      <c r="Z91" s="115"/>
      <c r="AA91" s="134"/>
      <c r="AB91" s="152"/>
      <c r="AC91" s="134"/>
      <c r="AD91" s="134"/>
      <c r="AE91" s="134"/>
    </row>
    <row r="92" spans="2:31" x14ac:dyDescent="0.35">
      <c r="B92" s="115"/>
      <c r="C92" s="129"/>
      <c r="D92" s="129"/>
      <c r="E92" s="129"/>
      <c r="F92" s="129"/>
      <c r="G92" s="129"/>
      <c r="H92" s="110"/>
      <c r="I92" s="129"/>
      <c r="K92" s="129"/>
      <c r="L92" s="129"/>
      <c r="M92" s="129"/>
      <c r="O92" s="129"/>
      <c r="P92" s="129"/>
      <c r="R92" s="129"/>
      <c r="S92" s="140"/>
      <c r="T92" s="148"/>
      <c r="U92" s="129"/>
      <c r="V92" s="129"/>
      <c r="W92" s="129"/>
      <c r="X92" s="129"/>
      <c r="Y92" s="134"/>
      <c r="Z92" s="115"/>
      <c r="AA92" s="129"/>
      <c r="AB92" s="149"/>
      <c r="AC92" s="129"/>
      <c r="AD92" s="129"/>
      <c r="AE92" s="129"/>
    </row>
    <row r="93" spans="2:31" x14ac:dyDescent="0.35">
      <c r="B93" s="115"/>
      <c r="C93" s="129"/>
      <c r="D93" s="129"/>
      <c r="E93" s="129"/>
      <c r="F93" s="129"/>
      <c r="G93" s="129"/>
      <c r="H93" s="110"/>
      <c r="I93" s="129"/>
      <c r="J93" s="179"/>
      <c r="K93" s="178"/>
      <c r="L93" s="129"/>
      <c r="M93" s="129"/>
      <c r="O93" s="178"/>
      <c r="P93" s="129"/>
      <c r="R93" s="129"/>
      <c r="S93" s="140"/>
      <c r="T93" s="138"/>
      <c r="U93" s="147"/>
      <c r="V93" s="129"/>
      <c r="W93" s="134"/>
      <c r="X93" s="134"/>
      <c r="Y93" s="134"/>
      <c r="Z93" s="115"/>
      <c r="AA93" s="134"/>
      <c r="AB93" s="152"/>
      <c r="AC93" s="134"/>
      <c r="AD93" s="134"/>
      <c r="AE93" s="134"/>
    </row>
    <row r="94" spans="2:31" x14ac:dyDescent="0.35">
      <c r="B94" s="115"/>
      <c r="C94" s="129"/>
      <c r="D94" s="129"/>
      <c r="E94" s="129"/>
      <c r="F94" s="129"/>
      <c r="G94" s="129"/>
      <c r="H94" s="110"/>
      <c r="I94" s="129"/>
      <c r="K94" s="130"/>
      <c r="L94" s="129"/>
      <c r="M94" s="129"/>
      <c r="O94" s="129"/>
      <c r="P94" s="129"/>
      <c r="R94" s="129"/>
      <c r="S94" s="138"/>
      <c r="T94" s="139"/>
      <c r="U94" s="129"/>
      <c r="V94" s="129"/>
      <c r="W94" s="121"/>
      <c r="X94" s="121"/>
      <c r="Y94" s="122"/>
      <c r="Z94" s="115"/>
      <c r="AA94" s="129"/>
      <c r="AB94" s="149"/>
      <c r="AC94" s="150"/>
      <c r="AD94" s="150"/>
      <c r="AE94" s="147"/>
    </row>
    <row r="95" spans="2:31" x14ac:dyDescent="0.35">
      <c r="B95" s="115"/>
      <c r="C95" s="129"/>
      <c r="D95" s="129"/>
      <c r="E95" s="129"/>
      <c r="F95" s="129"/>
      <c r="G95" s="129"/>
      <c r="H95" s="110"/>
      <c r="I95" s="129"/>
      <c r="K95" s="131"/>
      <c r="L95" s="129"/>
      <c r="M95" s="129"/>
      <c r="O95" s="129"/>
      <c r="P95" s="129"/>
      <c r="R95" s="129"/>
      <c r="S95" s="138"/>
      <c r="T95" s="139"/>
      <c r="U95" s="129"/>
      <c r="V95" s="129"/>
      <c r="W95" s="103"/>
      <c r="X95" s="103"/>
      <c r="Y95" s="117"/>
      <c r="Z95" s="115"/>
      <c r="AA95" s="129"/>
      <c r="AB95" s="149"/>
      <c r="AC95" s="150"/>
      <c r="AD95" s="150"/>
      <c r="AE95" s="147"/>
    </row>
    <row r="96" spans="2:31" x14ac:dyDescent="0.35">
      <c r="B96" s="115"/>
      <c r="C96" s="129"/>
      <c r="D96" s="129"/>
      <c r="E96" s="129"/>
      <c r="F96" s="129"/>
      <c r="G96" s="129"/>
      <c r="H96" s="110"/>
      <c r="I96" s="129"/>
      <c r="K96" s="132"/>
      <c r="L96" s="129"/>
      <c r="M96" s="129"/>
      <c r="O96" s="129"/>
      <c r="P96" s="129"/>
      <c r="R96" s="129"/>
      <c r="S96" s="138"/>
      <c r="T96" s="139"/>
      <c r="U96" s="129"/>
      <c r="V96" s="129"/>
      <c r="W96" s="103"/>
      <c r="X96" s="103"/>
      <c r="Y96" s="117"/>
      <c r="Z96" s="115"/>
      <c r="AA96" s="129"/>
      <c r="AB96" s="149"/>
      <c r="AC96" s="150"/>
      <c r="AD96" s="150"/>
      <c r="AE96" s="147"/>
    </row>
    <row r="97" spans="2:31" x14ac:dyDescent="0.35">
      <c r="B97" s="115"/>
      <c r="C97" s="129"/>
      <c r="D97" s="129"/>
      <c r="E97" s="129"/>
      <c r="F97" s="129"/>
      <c r="G97" s="129"/>
      <c r="H97" s="110"/>
      <c r="I97" s="129"/>
      <c r="K97" s="133"/>
      <c r="L97" s="129"/>
      <c r="M97" s="129"/>
      <c r="O97" s="129"/>
      <c r="P97" s="129"/>
      <c r="R97" s="129"/>
      <c r="S97" s="139"/>
      <c r="T97" s="139"/>
      <c r="U97" s="129"/>
      <c r="V97" s="129"/>
      <c r="W97" s="103"/>
      <c r="X97" s="91"/>
      <c r="Y97" s="91"/>
      <c r="Z97" s="115"/>
      <c r="AA97" s="129"/>
      <c r="AB97" s="116"/>
      <c r="AC97" s="150"/>
      <c r="AD97" s="150"/>
      <c r="AE97" s="147"/>
    </row>
    <row r="98" spans="2:31" x14ac:dyDescent="0.35">
      <c r="B98" s="115"/>
      <c r="C98" s="129"/>
      <c r="D98" s="129"/>
      <c r="E98" s="129"/>
      <c r="F98" s="129"/>
      <c r="G98" s="129"/>
      <c r="H98" s="110"/>
      <c r="I98" s="129"/>
      <c r="K98" s="133"/>
      <c r="L98" s="129"/>
      <c r="M98" s="129"/>
      <c r="O98" s="129"/>
      <c r="P98" s="129"/>
      <c r="R98" s="129"/>
      <c r="S98" s="139"/>
      <c r="T98" s="139"/>
      <c r="U98" s="129"/>
      <c r="V98" s="129"/>
      <c r="W98" s="91"/>
      <c r="X98" s="91"/>
      <c r="Y98" s="91"/>
      <c r="Z98" s="115"/>
      <c r="AA98" s="129"/>
      <c r="AB98" s="149"/>
      <c r="AC98" s="150"/>
      <c r="AD98" s="150"/>
      <c r="AE98" s="147"/>
    </row>
    <row r="99" spans="2:31" x14ac:dyDescent="0.35">
      <c r="B99" s="115"/>
      <c r="C99" s="129"/>
      <c r="D99" s="129"/>
      <c r="E99" s="129"/>
      <c r="F99" s="129"/>
      <c r="G99" s="129"/>
      <c r="H99" s="110"/>
      <c r="I99" s="129"/>
      <c r="K99" s="133"/>
      <c r="L99" s="129"/>
      <c r="M99" s="129"/>
      <c r="O99" s="129"/>
      <c r="P99" s="129"/>
      <c r="R99" s="129"/>
      <c r="S99" s="138"/>
      <c r="T99" s="139"/>
      <c r="U99" s="129"/>
      <c r="V99" s="129"/>
      <c r="W99" s="130"/>
      <c r="X99" s="130"/>
      <c r="Y99" s="130"/>
      <c r="Z99" s="115"/>
      <c r="AA99" s="129"/>
      <c r="AB99" s="149"/>
      <c r="AC99" s="151"/>
      <c r="AD99" s="151"/>
      <c r="AE99" s="147"/>
    </row>
    <row r="100" spans="2:31" x14ac:dyDescent="0.35">
      <c r="B100" s="115"/>
      <c r="C100" s="129"/>
      <c r="D100" s="129"/>
      <c r="E100" s="129"/>
      <c r="F100" s="129"/>
      <c r="G100" s="129"/>
      <c r="H100" s="110"/>
      <c r="I100" s="129"/>
      <c r="K100" s="137"/>
      <c r="L100" s="129"/>
      <c r="M100" s="129"/>
      <c r="O100" s="129"/>
      <c r="P100" s="129"/>
      <c r="R100" s="129"/>
      <c r="S100" s="140"/>
      <c r="T100" s="124"/>
      <c r="U100" s="125"/>
      <c r="V100" s="129"/>
      <c r="W100" s="134"/>
      <c r="X100" s="134"/>
      <c r="Y100" s="134"/>
      <c r="Z100" s="115"/>
      <c r="AA100" s="134"/>
      <c r="AB100" s="152"/>
      <c r="AC100" s="153"/>
      <c r="AD100" s="150"/>
      <c r="AE100" s="129"/>
    </row>
    <row r="101" spans="2:31" x14ac:dyDescent="0.35">
      <c r="B101" s="115"/>
      <c r="C101" s="129"/>
      <c r="D101" s="129"/>
      <c r="E101" s="129"/>
      <c r="F101" s="129"/>
      <c r="G101" s="129"/>
      <c r="H101" s="110"/>
      <c r="I101" s="129"/>
      <c r="K101" s="129"/>
      <c r="L101" s="129"/>
      <c r="M101" s="129"/>
      <c r="O101" s="129"/>
      <c r="P101" s="129"/>
      <c r="R101" s="129"/>
      <c r="S101" s="140"/>
      <c r="T101" s="138"/>
      <c r="U101" s="147"/>
      <c r="V101" s="129"/>
      <c r="W101" s="129"/>
      <c r="X101" s="129"/>
      <c r="Y101" s="129"/>
      <c r="Z101" s="115"/>
      <c r="AA101" s="129"/>
      <c r="AB101" s="149"/>
      <c r="AC101" s="129"/>
      <c r="AD101" s="129"/>
      <c r="AE101" s="129"/>
    </row>
    <row r="102" spans="2:31" x14ac:dyDescent="0.35">
      <c r="B102" s="115"/>
      <c r="C102" s="129"/>
      <c r="D102" s="129"/>
      <c r="E102" s="129"/>
      <c r="F102" s="129"/>
      <c r="G102" s="129"/>
      <c r="H102" s="110"/>
      <c r="I102" s="129"/>
      <c r="K102" s="134"/>
      <c r="L102" s="129"/>
      <c r="M102" s="134"/>
      <c r="O102" s="134"/>
      <c r="P102" s="134"/>
      <c r="R102" s="129"/>
      <c r="S102" s="140"/>
      <c r="T102" s="138"/>
      <c r="U102" s="147"/>
      <c r="V102" s="129"/>
      <c r="W102" s="129"/>
      <c r="X102" s="129"/>
      <c r="Y102" s="129"/>
      <c r="Z102" s="115"/>
      <c r="AA102" s="129"/>
      <c r="AB102" s="149"/>
      <c r="AC102" s="147"/>
      <c r="AD102" s="147"/>
      <c r="AE102" s="147"/>
    </row>
    <row r="103" spans="2:31" x14ac:dyDescent="0.35">
      <c r="B103" s="115"/>
      <c r="C103" s="129"/>
      <c r="D103" s="129"/>
      <c r="E103" s="129"/>
      <c r="F103" s="129"/>
      <c r="G103" s="129"/>
      <c r="H103" s="110"/>
      <c r="I103" s="129"/>
      <c r="K103" s="134"/>
      <c r="L103" s="129"/>
      <c r="M103" s="134"/>
      <c r="O103" s="134"/>
      <c r="P103" s="134"/>
      <c r="R103" s="129"/>
      <c r="S103" s="140"/>
      <c r="T103" s="138"/>
      <c r="U103" s="147"/>
      <c r="V103" s="129"/>
      <c r="W103" s="134"/>
      <c r="X103" s="134"/>
      <c r="Y103" s="134"/>
      <c r="Z103" s="115"/>
      <c r="AA103" s="134"/>
      <c r="AB103" s="152"/>
      <c r="AC103" s="134"/>
      <c r="AD103" s="134"/>
      <c r="AE103" s="134"/>
    </row>
    <row r="104" spans="2:31" x14ac:dyDescent="0.35">
      <c r="B104" s="115"/>
      <c r="C104" s="129"/>
      <c r="D104" s="129"/>
      <c r="E104" s="129"/>
      <c r="F104" s="129"/>
      <c r="G104" s="129"/>
      <c r="H104" s="110"/>
      <c r="I104" s="129"/>
      <c r="K104" s="129"/>
      <c r="L104" s="129"/>
      <c r="M104" s="129"/>
      <c r="O104" s="129"/>
      <c r="P104" s="129"/>
      <c r="R104" s="129"/>
      <c r="S104" s="140"/>
      <c r="T104" s="148"/>
      <c r="U104" s="129"/>
      <c r="V104" s="129"/>
      <c r="W104" s="129"/>
      <c r="X104" s="129"/>
      <c r="Y104" s="134"/>
      <c r="Z104" s="115"/>
      <c r="AA104" s="129"/>
      <c r="AB104" s="149"/>
      <c r="AC104" s="129"/>
      <c r="AD104" s="129"/>
      <c r="AE104" s="129"/>
    </row>
    <row r="105" spans="2:31" x14ac:dyDescent="0.35">
      <c r="B105" s="115"/>
      <c r="C105" s="129"/>
      <c r="D105" s="129"/>
      <c r="E105" s="129"/>
      <c r="F105" s="129"/>
      <c r="G105" s="129"/>
      <c r="H105" s="110"/>
      <c r="I105" s="129"/>
      <c r="J105" s="179"/>
      <c r="K105" s="178"/>
      <c r="L105" s="129"/>
      <c r="M105" s="129"/>
      <c r="O105" s="178"/>
      <c r="P105" s="129"/>
      <c r="R105" s="129"/>
      <c r="S105" s="140"/>
      <c r="T105" s="138"/>
      <c r="U105" s="147"/>
      <c r="V105" s="129"/>
      <c r="W105" s="134"/>
      <c r="X105" s="134"/>
      <c r="Y105" s="134"/>
      <c r="Z105" s="115"/>
      <c r="AA105" s="134"/>
      <c r="AB105" s="152"/>
      <c r="AC105" s="134"/>
      <c r="AD105" s="134"/>
      <c r="AE105" s="134"/>
    </row>
    <row r="106" spans="2:31" x14ac:dyDescent="0.35">
      <c r="B106" s="115"/>
      <c r="C106" s="129"/>
      <c r="D106" s="129"/>
      <c r="E106" s="129"/>
      <c r="F106" s="129"/>
      <c r="G106" s="129"/>
      <c r="H106" s="110"/>
      <c r="I106" s="129"/>
      <c r="K106" s="137"/>
      <c r="L106" s="129"/>
      <c r="M106" s="129"/>
      <c r="O106" s="129"/>
      <c r="P106" s="129"/>
      <c r="R106" s="129"/>
      <c r="S106" s="141"/>
      <c r="T106" s="124"/>
      <c r="U106" s="125"/>
      <c r="V106" s="129"/>
      <c r="W106" s="129"/>
      <c r="X106" s="129"/>
      <c r="Y106" s="129"/>
      <c r="Z106" s="115"/>
      <c r="AA106" s="129"/>
      <c r="AB106" s="149"/>
      <c r="AC106" s="129"/>
      <c r="AD106" s="129"/>
      <c r="AE106" s="129"/>
    </row>
    <row r="107" spans="2:31" x14ac:dyDescent="0.35">
      <c r="B107" s="115"/>
      <c r="C107" s="129"/>
      <c r="D107" s="129"/>
      <c r="E107" s="129"/>
      <c r="F107" s="129"/>
      <c r="G107" s="129"/>
      <c r="H107" s="110"/>
      <c r="I107" s="129"/>
      <c r="K107" s="134"/>
      <c r="L107" s="134"/>
      <c r="M107" s="134"/>
      <c r="O107" s="134"/>
      <c r="P107" s="134"/>
      <c r="R107" s="129"/>
      <c r="S107" s="140"/>
      <c r="T107" s="138"/>
      <c r="U107" s="147"/>
      <c r="V107" s="129"/>
      <c r="W107" s="129"/>
      <c r="X107" s="129"/>
      <c r="Y107" s="129"/>
      <c r="Z107" s="115"/>
      <c r="AA107" s="129"/>
      <c r="AB107" s="149"/>
      <c r="AC107" s="147"/>
      <c r="AD107" s="147"/>
      <c r="AE107" s="147"/>
    </row>
    <row r="108" spans="2:31" x14ac:dyDescent="0.35">
      <c r="B108" s="115"/>
      <c r="C108" s="129"/>
      <c r="D108" s="129"/>
      <c r="E108" s="129"/>
      <c r="F108" s="129"/>
      <c r="G108" s="129"/>
      <c r="H108" s="110"/>
      <c r="I108" s="129"/>
      <c r="K108" s="134"/>
      <c r="L108" s="134"/>
      <c r="M108" s="134"/>
      <c r="O108" s="134"/>
      <c r="P108" s="134"/>
      <c r="R108" s="129"/>
      <c r="S108" s="140"/>
      <c r="T108" s="138"/>
      <c r="U108" s="147"/>
      <c r="V108" s="129"/>
      <c r="W108" s="134"/>
      <c r="X108" s="134"/>
      <c r="Y108" s="134"/>
      <c r="Z108" s="115"/>
      <c r="AA108" s="134"/>
      <c r="AB108" s="152"/>
      <c r="AC108" s="134"/>
      <c r="AD108" s="134"/>
      <c r="AE108" s="134"/>
    </row>
    <row r="109" spans="2:31" x14ac:dyDescent="0.35">
      <c r="B109" s="115"/>
      <c r="C109" s="129"/>
      <c r="D109" s="129"/>
      <c r="E109" s="129"/>
      <c r="F109" s="129"/>
      <c r="G109" s="129"/>
      <c r="H109" s="110"/>
      <c r="I109" s="129"/>
      <c r="K109" s="129"/>
      <c r="L109" s="134"/>
      <c r="M109" s="129"/>
      <c r="O109" s="129"/>
      <c r="P109" s="129"/>
      <c r="R109" s="129"/>
      <c r="S109" s="140"/>
      <c r="T109" s="148"/>
      <c r="U109" s="129"/>
      <c r="V109" s="129"/>
      <c r="W109" s="129"/>
      <c r="X109" s="129"/>
      <c r="Y109" s="134"/>
      <c r="Z109" s="115"/>
      <c r="AA109" s="129"/>
      <c r="AB109" s="149"/>
      <c r="AC109" s="129"/>
      <c r="AD109" s="129"/>
      <c r="AE109" s="129"/>
    </row>
    <row r="110" spans="2:31" x14ac:dyDescent="0.35">
      <c r="B110" s="115"/>
      <c r="C110" s="129"/>
      <c r="D110" s="129"/>
      <c r="E110" s="129"/>
      <c r="F110" s="129"/>
      <c r="G110" s="129"/>
      <c r="H110" s="110"/>
      <c r="I110" s="129"/>
      <c r="K110" s="130"/>
      <c r="L110" s="134"/>
      <c r="M110" s="129"/>
      <c r="O110" s="129"/>
      <c r="P110" s="129"/>
      <c r="R110" s="129"/>
      <c r="S110" s="140"/>
      <c r="T110" s="138"/>
      <c r="U110" s="134"/>
      <c r="V110" s="134"/>
      <c r="W110" s="134"/>
      <c r="X110" s="134"/>
      <c r="Y110" s="134"/>
      <c r="Z110" s="115"/>
      <c r="AA110" s="134"/>
      <c r="AB110" s="152"/>
      <c r="AC110" s="153"/>
      <c r="AD110" s="150"/>
      <c r="AE110" s="129"/>
    </row>
    <row r="111" spans="2:31" x14ac:dyDescent="0.35">
      <c r="B111" s="115"/>
      <c r="C111" s="129"/>
      <c r="D111" s="129"/>
      <c r="E111" s="129"/>
      <c r="F111" s="129"/>
      <c r="G111" s="129"/>
      <c r="H111" s="110"/>
      <c r="I111" s="129"/>
      <c r="K111" s="79"/>
      <c r="L111" s="134"/>
      <c r="M111" s="134"/>
      <c r="O111" s="134"/>
      <c r="P111" s="129"/>
      <c r="R111" s="129"/>
      <c r="S111" s="140"/>
      <c r="T111" s="124"/>
      <c r="U111" s="125"/>
      <c r="V111" s="129"/>
      <c r="W111" s="129"/>
      <c r="X111" s="129"/>
      <c r="Y111" s="129"/>
      <c r="Z111" s="115"/>
      <c r="AA111" s="129"/>
      <c r="AB111" s="149"/>
      <c r="AC111" s="147"/>
      <c r="AD111" s="129"/>
      <c r="AE111" s="147"/>
    </row>
    <row r="112" spans="2:31" x14ac:dyDescent="0.35">
      <c r="B112" s="115"/>
      <c r="C112" s="129"/>
      <c r="D112" s="129"/>
      <c r="E112" s="129"/>
      <c r="F112" s="129"/>
      <c r="G112" s="129"/>
      <c r="H112" s="110"/>
      <c r="I112" s="129"/>
      <c r="K112" s="129"/>
      <c r="L112" s="129"/>
      <c r="M112" s="129"/>
      <c r="O112" s="129"/>
      <c r="P112" s="129"/>
      <c r="R112" s="129"/>
      <c r="S112" s="140"/>
      <c r="T112" s="138"/>
      <c r="U112" s="147"/>
      <c r="V112" s="129"/>
      <c r="W112" s="129"/>
      <c r="X112" s="129"/>
      <c r="Y112" s="129"/>
      <c r="Z112" s="115"/>
      <c r="AA112" s="129"/>
      <c r="AB112" s="149"/>
      <c r="AC112" s="129"/>
      <c r="AD112" s="129"/>
      <c r="AE112" s="129"/>
    </row>
    <row r="113" spans="2:31" x14ac:dyDescent="0.35">
      <c r="B113" s="115"/>
      <c r="C113" s="129"/>
      <c r="D113" s="129"/>
      <c r="E113" s="129"/>
      <c r="F113" s="129"/>
      <c r="G113" s="129"/>
      <c r="H113" s="110"/>
      <c r="I113" s="129"/>
      <c r="K113" s="133"/>
      <c r="L113" s="129"/>
      <c r="M113" s="129"/>
      <c r="O113" s="129"/>
      <c r="P113" s="129"/>
      <c r="R113" s="129"/>
      <c r="S113" s="138"/>
      <c r="T113" s="139"/>
      <c r="U113" s="129"/>
      <c r="V113" s="129"/>
      <c r="W113" s="130"/>
      <c r="X113" s="130"/>
      <c r="Y113" s="130"/>
      <c r="Z113" s="115"/>
      <c r="AA113" s="129"/>
      <c r="AB113" s="149"/>
      <c r="AC113" s="151"/>
      <c r="AD113" s="151"/>
      <c r="AE113" s="147"/>
    </row>
    <row r="114" spans="2:31" x14ac:dyDescent="0.35">
      <c r="B114" s="115"/>
      <c r="C114" s="129"/>
      <c r="D114" s="129"/>
      <c r="E114" s="129"/>
      <c r="F114" s="129"/>
      <c r="G114" s="129"/>
      <c r="H114" s="110"/>
      <c r="I114" s="129"/>
      <c r="K114" s="129"/>
      <c r="L114" s="129"/>
      <c r="M114" s="129"/>
      <c r="O114" s="129"/>
      <c r="P114" s="129"/>
      <c r="R114" s="129"/>
      <c r="S114" s="141"/>
      <c r="T114" s="139"/>
      <c r="U114" s="129"/>
      <c r="V114" s="129"/>
      <c r="W114" s="129"/>
      <c r="X114" s="129"/>
      <c r="Y114" s="129"/>
      <c r="Z114" s="115"/>
      <c r="AA114" s="129"/>
      <c r="AB114" s="149"/>
      <c r="AC114" s="156"/>
      <c r="AD114" s="139"/>
      <c r="AE114" s="157"/>
    </row>
    <row r="115" spans="2:31" x14ac:dyDescent="0.35">
      <c r="B115" s="115"/>
      <c r="C115" s="129"/>
      <c r="D115" s="129"/>
      <c r="E115" s="129"/>
      <c r="F115" s="129"/>
      <c r="G115" s="129"/>
      <c r="H115" s="110"/>
      <c r="I115" s="129"/>
      <c r="K115" s="79"/>
      <c r="L115" s="134"/>
      <c r="M115" s="134"/>
      <c r="O115" s="134"/>
      <c r="P115" s="129"/>
      <c r="R115" s="129"/>
      <c r="S115" s="140"/>
      <c r="T115" s="124"/>
      <c r="U115" s="125"/>
      <c r="V115" s="129"/>
      <c r="W115" s="129"/>
      <c r="X115" s="129"/>
      <c r="Y115" s="129"/>
      <c r="Z115" s="115"/>
      <c r="AA115" s="129"/>
      <c r="AB115" s="149"/>
      <c r="AC115" s="147"/>
      <c r="AD115" s="129"/>
      <c r="AE115" s="147"/>
    </row>
    <row r="116" spans="2:31" x14ac:dyDescent="0.35">
      <c r="B116" s="115"/>
      <c r="C116" s="129"/>
      <c r="D116" s="129"/>
      <c r="E116" s="129"/>
      <c r="F116" s="129"/>
      <c r="G116" s="129"/>
      <c r="H116" s="110"/>
      <c r="I116" s="129"/>
      <c r="J116" s="179"/>
      <c r="K116" s="178"/>
      <c r="L116" s="129"/>
      <c r="M116" s="129"/>
      <c r="O116" s="178"/>
      <c r="P116" s="129"/>
      <c r="R116" s="129"/>
      <c r="S116" s="140"/>
      <c r="T116" s="138"/>
      <c r="U116" s="147"/>
      <c r="V116" s="129"/>
      <c r="W116" s="134"/>
      <c r="X116" s="134"/>
      <c r="Y116" s="134"/>
      <c r="Z116" s="115"/>
      <c r="AA116" s="134"/>
      <c r="AB116" s="152"/>
      <c r="AC116" s="134"/>
      <c r="AD116" s="134"/>
      <c r="AE116" s="134"/>
    </row>
    <row r="117" spans="2:31" x14ac:dyDescent="0.35">
      <c r="B117" s="115"/>
      <c r="C117" s="129"/>
      <c r="D117" s="129"/>
      <c r="E117" s="129"/>
      <c r="F117" s="129"/>
      <c r="G117" s="129"/>
      <c r="H117" s="110"/>
      <c r="I117" s="129"/>
      <c r="K117" s="79"/>
      <c r="L117" s="129"/>
      <c r="M117" s="129"/>
      <c r="N117" s="129"/>
      <c r="O117" s="129"/>
      <c r="P117" s="129"/>
      <c r="Q117" s="129"/>
      <c r="R117" s="129"/>
      <c r="S117" s="141"/>
      <c r="T117" s="124"/>
      <c r="U117" s="125"/>
      <c r="V117" s="129"/>
      <c r="W117" s="129"/>
      <c r="X117" s="129"/>
      <c r="Y117" s="129"/>
      <c r="Z117" s="115"/>
      <c r="AA117" s="129"/>
      <c r="AB117" s="149"/>
      <c r="AC117" s="129"/>
      <c r="AD117" s="129"/>
      <c r="AE117" s="129"/>
    </row>
    <row r="118" spans="2:31" x14ac:dyDescent="0.35">
      <c r="B118" s="115"/>
      <c r="C118" s="129"/>
      <c r="D118" s="129"/>
      <c r="E118" s="129"/>
      <c r="F118" s="129"/>
      <c r="G118" s="129"/>
      <c r="H118" s="110"/>
      <c r="I118" s="129"/>
      <c r="K118" s="134"/>
      <c r="L118" s="134"/>
      <c r="M118" s="134"/>
      <c r="O118" s="134"/>
      <c r="P118" s="134"/>
      <c r="R118" s="129"/>
      <c r="S118" s="140"/>
      <c r="T118" s="138"/>
      <c r="U118" s="147"/>
      <c r="V118" s="129"/>
      <c r="W118" s="129"/>
      <c r="X118" s="129"/>
      <c r="Y118" s="129"/>
      <c r="Z118" s="115"/>
      <c r="AA118" s="129"/>
      <c r="AB118" s="149"/>
      <c r="AC118" s="147"/>
      <c r="AD118" s="147"/>
      <c r="AE118" s="147"/>
    </row>
    <row r="119" spans="2:31" x14ac:dyDescent="0.35">
      <c r="B119" s="115"/>
      <c r="C119" s="129"/>
      <c r="D119" s="129"/>
      <c r="E119" s="129"/>
      <c r="F119" s="129"/>
      <c r="G119" s="129"/>
      <c r="H119" s="110"/>
      <c r="I119" s="129"/>
      <c r="K119" s="134"/>
      <c r="L119" s="134"/>
      <c r="M119" s="134"/>
      <c r="O119" s="134"/>
      <c r="P119" s="134"/>
      <c r="R119" s="129"/>
      <c r="S119" s="140"/>
      <c r="T119" s="138"/>
      <c r="U119" s="147"/>
      <c r="V119" s="129"/>
      <c r="W119" s="134"/>
      <c r="X119" s="134"/>
      <c r="Y119" s="134"/>
      <c r="Z119" s="115"/>
      <c r="AA119" s="134"/>
      <c r="AB119" s="152"/>
      <c r="AC119" s="134"/>
      <c r="AD119" s="134"/>
      <c r="AE119" s="134"/>
    </row>
    <row r="120" spans="2:31" x14ac:dyDescent="0.35">
      <c r="B120" s="115"/>
      <c r="C120" s="129"/>
      <c r="D120" s="129"/>
      <c r="E120" s="129"/>
      <c r="F120" s="129"/>
      <c r="G120" s="129"/>
      <c r="H120" s="110"/>
      <c r="I120" s="129"/>
      <c r="K120" s="129"/>
      <c r="L120" s="134"/>
      <c r="M120" s="129"/>
      <c r="O120" s="129"/>
      <c r="P120" s="129"/>
      <c r="R120" s="129"/>
      <c r="S120" s="140"/>
      <c r="T120" s="148"/>
      <c r="U120" s="129"/>
      <c r="V120" s="129"/>
      <c r="W120" s="129"/>
      <c r="X120" s="129"/>
      <c r="Y120" s="134"/>
      <c r="Z120" s="115"/>
      <c r="AA120" s="129"/>
      <c r="AB120" s="149"/>
      <c r="AC120" s="129"/>
      <c r="AD120" s="129"/>
      <c r="AE120" s="129"/>
    </row>
    <row r="121" spans="2:31" x14ac:dyDescent="0.35">
      <c r="B121" s="115"/>
      <c r="C121" s="129"/>
      <c r="D121" s="129"/>
      <c r="E121" s="129"/>
      <c r="F121" s="129"/>
      <c r="G121" s="129"/>
      <c r="H121" s="110"/>
      <c r="I121" s="129"/>
      <c r="K121" s="130"/>
      <c r="L121" s="134"/>
      <c r="M121" s="129"/>
      <c r="O121" s="129"/>
      <c r="P121" s="129"/>
      <c r="R121" s="129"/>
      <c r="S121" s="140"/>
      <c r="T121" s="138"/>
      <c r="U121" s="134"/>
      <c r="V121" s="134"/>
      <c r="W121" s="134"/>
      <c r="X121" s="134"/>
      <c r="Y121" s="134"/>
      <c r="Z121" s="115"/>
      <c r="AA121" s="134"/>
      <c r="AB121" s="152"/>
      <c r="AC121" s="153"/>
      <c r="AD121" s="150"/>
      <c r="AE121" s="129"/>
    </row>
    <row r="122" spans="2:31" x14ac:dyDescent="0.35">
      <c r="B122" s="115"/>
      <c r="C122" s="129"/>
      <c r="D122" s="129"/>
      <c r="E122" s="129"/>
      <c r="F122" s="129"/>
      <c r="G122" s="129"/>
      <c r="H122" s="110"/>
      <c r="I122" s="129"/>
      <c r="K122" s="79"/>
      <c r="L122" s="134"/>
      <c r="M122" s="134"/>
      <c r="O122" s="134"/>
      <c r="P122" s="129"/>
      <c r="R122" s="129"/>
      <c r="S122" s="140"/>
      <c r="T122" s="124"/>
      <c r="U122" s="125"/>
      <c r="V122" s="129"/>
      <c r="W122" s="129"/>
      <c r="X122" s="129"/>
      <c r="Y122" s="129"/>
      <c r="Z122" s="115"/>
      <c r="AA122" s="129"/>
      <c r="AB122" s="149"/>
      <c r="AC122" s="147"/>
      <c r="AD122" s="129"/>
      <c r="AE122" s="147"/>
    </row>
    <row r="123" spans="2:31" x14ac:dyDescent="0.35">
      <c r="B123" s="115"/>
      <c r="C123" s="129"/>
      <c r="D123" s="129"/>
      <c r="E123" s="129"/>
      <c r="F123" s="129"/>
      <c r="G123" s="129"/>
      <c r="H123" s="110"/>
      <c r="I123" s="129"/>
      <c r="K123" s="129"/>
      <c r="L123" s="129"/>
      <c r="M123" s="129"/>
      <c r="O123" s="129"/>
      <c r="P123" s="129"/>
      <c r="R123" s="129"/>
      <c r="S123" s="140"/>
      <c r="T123" s="138"/>
      <c r="U123" s="147"/>
      <c r="V123" s="129"/>
      <c r="W123" s="129"/>
      <c r="X123" s="129"/>
      <c r="Y123" s="129"/>
      <c r="Z123" s="115"/>
      <c r="AA123" s="129"/>
      <c r="AB123" s="149"/>
      <c r="AC123" s="129"/>
      <c r="AD123" s="129"/>
      <c r="AE123" s="129"/>
    </row>
    <row r="124" spans="2:31" x14ac:dyDescent="0.35">
      <c r="B124" s="115"/>
      <c r="C124" s="129"/>
      <c r="D124" s="129"/>
      <c r="E124" s="129"/>
      <c r="F124" s="129"/>
      <c r="G124" s="129"/>
      <c r="H124" s="110"/>
      <c r="I124" s="129"/>
      <c r="K124" s="133"/>
      <c r="L124" s="129"/>
      <c r="M124" s="129"/>
      <c r="O124" s="129"/>
      <c r="P124" s="129"/>
      <c r="R124" s="129"/>
      <c r="S124" s="138"/>
      <c r="T124" s="139"/>
      <c r="U124" s="129"/>
      <c r="V124" s="129"/>
      <c r="W124" s="130"/>
      <c r="X124" s="130"/>
      <c r="Y124" s="130"/>
      <c r="Z124" s="115"/>
      <c r="AA124" s="129"/>
      <c r="AB124" s="149"/>
      <c r="AC124" s="151"/>
      <c r="AD124" s="151"/>
      <c r="AE124" s="147"/>
    </row>
    <row r="125" spans="2:31" x14ac:dyDescent="0.35">
      <c r="B125" s="115"/>
      <c r="C125" s="129"/>
      <c r="D125" s="129"/>
      <c r="E125" s="129"/>
      <c r="F125" s="129"/>
      <c r="G125" s="129"/>
      <c r="H125" s="110"/>
      <c r="I125" s="129"/>
      <c r="J125" s="179"/>
      <c r="K125" s="178"/>
      <c r="L125" s="129"/>
      <c r="M125" s="129"/>
      <c r="O125" s="178"/>
      <c r="P125" s="129"/>
      <c r="R125" s="129"/>
      <c r="S125" s="140"/>
      <c r="T125" s="138"/>
      <c r="U125" s="147"/>
      <c r="V125" s="129"/>
      <c r="W125" s="134"/>
      <c r="X125" s="134"/>
      <c r="Y125" s="134"/>
      <c r="Z125" s="115"/>
      <c r="AA125" s="134"/>
      <c r="AB125" s="152"/>
      <c r="AC125" s="134"/>
      <c r="AD125" s="134"/>
      <c r="AE125" s="134"/>
    </row>
    <row r="126" spans="2:31" x14ac:dyDescent="0.35">
      <c r="B126" s="115"/>
      <c r="C126" s="129"/>
      <c r="D126" s="129"/>
      <c r="E126" s="129"/>
      <c r="F126" s="129"/>
      <c r="G126" s="129"/>
      <c r="H126" s="110"/>
      <c r="I126" s="129"/>
      <c r="K126" s="79"/>
      <c r="L126" s="129"/>
      <c r="M126" s="129"/>
      <c r="N126" s="129"/>
      <c r="O126" s="129"/>
      <c r="P126" s="129"/>
      <c r="Q126" s="129"/>
      <c r="R126" s="129"/>
      <c r="S126" s="141"/>
      <c r="T126" s="124"/>
      <c r="U126" s="125"/>
      <c r="V126" s="129"/>
      <c r="W126" s="129"/>
      <c r="X126" s="129"/>
      <c r="Y126" s="129"/>
      <c r="Z126" s="115"/>
      <c r="AA126" s="129"/>
      <c r="AB126" s="149"/>
      <c r="AC126" s="129"/>
      <c r="AD126" s="129"/>
      <c r="AE126" s="129"/>
    </row>
    <row r="127" spans="2:31" x14ac:dyDescent="0.35">
      <c r="B127" s="115"/>
      <c r="C127" s="129"/>
      <c r="D127" s="129"/>
      <c r="E127" s="129"/>
      <c r="F127" s="129"/>
      <c r="G127" s="129"/>
      <c r="H127" s="110"/>
      <c r="I127" s="129"/>
      <c r="K127" s="134"/>
      <c r="L127" s="134"/>
      <c r="M127" s="134"/>
      <c r="O127" s="134"/>
      <c r="P127" s="134"/>
      <c r="R127" s="129"/>
      <c r="S127" s="140"/>
      <c r="T127" s="138"/>
      <c r="U127" s="147"/>
      <c r="V127" s="129"/>
      <c r="W127" s="129"/>
      <c r="X127" s="129"/>
      <c r="Y127" s="129"/>
      <c r="Z127" s="115"/>
      <c r="AA127" s="129"/>
      <c r="AB127" s="149"/>
      <c r="AC127" s="147"/>
      <c r="AD127" s="147"/>
      <c r="AE127" s="147"/>
    </row>
    <row r="128" spans="2:31" x14ac:dyDescent="0.35">
      <c r="B128" s="115"/>
      <c r="C128" s="129"/>
      <c r="D128" s="129"/>
      <c r="E128" s="129"/>
      <c r="F128" s="129"/>
      <c r="G128" s="129"/>
      <c r="H128" s="110"/>
      <c r="I128" s="129"/>
      <c r="K128" s="134"/>
      <c r="L128" s="134"/>
      <c r="M128" s="134"/>
      <c r="O128" s="134"/>
      <c r="P128" s="134"/>
      <c r="R128" s="129"/>
      <c r="S128" s="140"/>
      <c r="T128" s="138"/>
      <c r="U128" s="147"/>
      <c r="V128" s="129"/>
      <c r="W128" s="134"/>
      <c r="X128" s="134"/>
      <c r="Y128" s="134"/>
      <c r="Z128" s="115"/>
      <c r="AA128" s="134"/>
      <c r="AB128" s="152"/>
      <c r="AC128" s="134"/>
      <c r="AD128" s="134"/>
      <c r="AE128" s="134"/>
    </row>
    <row r="129" spans="2:31" x14ac:dyDescent="0.35">
      <c r="B129" s="115"/>
      <c r="C129" s="129"/>
      <c r="D129" s="129"/>
      <c r="E129" s="129"/>
      <c r="F129" s="129"/>
      <c r="G129" s="129"/>
      <c r="H129" s="110"/>
      <c r="I129" s="129"/>
      <c r="K129" s="129"/>
      <c r="L129" s="134"/>
      <c r="M129" s="129"/>
      <c r="O129" s="129"/>
      <c r="P129" s="129"/>
      <c r="R129" s="129"/>
      <c r="S129" s="140"/>
      <c r="T129" s="148"/>
      <c r="U129" s="129"/>
      <c r="V129" s="129"/>
      <c r="W129" s="129"/>
      <c r="X129" s="129"/>
      <c r="Y129" s="134"/>
      <c r="Z129" s="115"/>
      <c r="AA129" s="129"/>
      <c r="AB129" s="149"/>
      <c r="AC129" s="129"/>
      <c r="AD129" s="129"/>
      <c r="AE129" s="129"/>
    </row>
    <row r="130" spans="2:31" x14ac:dyDescent="0.35">
      <c r="B130" s="115"/>
      <c r="C130" s="129"/>
      <c r="D130" s="129"/>
      <c r="E130" s="129"/>
      <c r="F130" s="129"/>
      <c r="G130" s="129"/>
      <c r="H130" s="110"/>
      <c r="I130" s="129"/>
      <c r="K130" s="130"/>
      <c r="L130" s="134"/>
      <c r="M130" s="129"/>
      <c r="O130" s="129"/>
      <c r="P130" s="129"/>
      <c r="R130" s="129"/>
      <c r="S130" s="140"/>
      <c r="T130" s="138"/>
      <c r="U130" s="134"/>
      <c r="V130" s="134"/>
      <c r="W130" s="134"/>
      <c r="X130" s="134"/>
      <c r="Y130" s="134"/>
      <c r="Z130" s="115"/>
      <c r="AA130" s="134"/>
      <c r="AB130" s="152"/>
      <c r="AC130" s="153"/>
      <c r="AD130" s="150"/>
      <c r="AE130" s="129"/>
    </row>
    <row r="131" spans="2:31" x14ac:dyDescent="0.35">
      <c r="B131" s="115"/>
      <c r="C131" s="129"/>
      <c r="D131" s="129"/>
      <c r="E131" s="129"/>
      <c r="F131" s="129"/>
      <c r="G131" s="129"/>
      <c r="H131" s="110"/>
      <c r="I131" s="129"/>
      <c r="K131" s="79"/>
      <c r="L131" s="134"/>
      <c r="M131" s="134"/>
      <c r="O131" s="134"/>
      <c r="P131" s="129"/>
      <c r="R131" s="129"/>
      <c r="S131" s="140"/>
      <c r="T131" s="124"/>
      <c r="U131" s="125"/>
      <c r="V131" s="129"/>
      <c r="W131" s="129"/>
      <c r="X131" s="129"/>
      <c r="Y131" s="129"/>
      <c r="Z131" s="115"/>
      <c r="AA131" s="129"/>
      <c r="AB131" s="149"/>
      <c r="AC131" s="147"/>
      <c r="AD131" s="129"/>
      <c r="AE131" s="147"/>
    </row>
    <row r="132" spans="2:31" x14ac:dyDescent="0.35">
      <c r="B132" s="115"/>
      <c r="C132" s="129"/>
      <c r="D132" s="129"/>
      <c r="E132" s="129"/>
      <c r="F132" s="129"/>
      <c r="G132" s="129"/>
      <c r="H132" s="110"/>
      <c r="I132" s="129"/>
      <c r="K132" s="129"/>
      <c r="L132" s="129"/>
      <c r="M132" s="129"/>
      <c r="O132" s="129"/>
      <c r="P132" s="129"/>
      <c r="R132" s="129"/>
      <c r="S132" s="140"/>
      <c r="T132" s="138"/>
      <c r="U132" s="147"/>
      <c r="V132" s="129"/>
      <c r="W132" s="129"/>
      <c r="X132" s="129"/>
      <c r="Y132" s="129"/>
      <c r="Z132" s="115"/>
      <c r="AA132" s="129"/>
      <c r="AB132" s="149"/>
      <c r="AC132" s="129"/>
      <c r="AD132" s="129"/>
      <c r="AE132" s="129"/>
    </row>
    <row r="133" spans="2:31" x14ac:dyDescent="0.35">
      <c r="B133" s="115"/>
      <c r="C133" s="129"/>
      <c r="D133" s="129"/>
      <c r="E133" s="129"/>
      <c r="F133" s="129"/>
      <c r="G133" s="129"/>
      <c r="H133" s="110"/>
      <c r="I133" s="129"/>
      <c r="K133" s="133"/>
      <c r="L133" s="129"/>
      <c r="M133" s="129"/>
      <c r="O133" s="129"/>
      <c r="P133" s="129"/>
      <c r="R133" s="129"/>
      <c r="S133" s="138"/>
      <c r="T133" s="139"/>
      <c r="U133" s="129"/>
      <c r="V133" s="129"/>
      <c r="W133" s="130"/>
      <c r="X133" s="130"/>
      <c r="Y133" s="130"/>
      <c r="Z133" s="115"/>
      <c r="AA133" s="129"/>
      <c r="AB133" s="149"/>
      <c r="AC133" s="151"/>
      <c r="AD133" s="151"/>
      <c r="AE133" s="147"/>
    </row>
    <row r="134" spans="2:31" x14ac:dyDescent="0.35">
      <c r="B134" s="115"/>
      <c r="C134" s="129"/>
      <c r="D134" s="129"/>
      <c r="E134" s="129"/>
      <c r="F134" s="129"/>
      <c r="G134" s="129"/>
      <c r="H134" s="110"/>
      <c r="I134" s="129"/>
      <c r="J134" s="179"/>
      <c r="K134" s="178"/>
      <c r="L134" s="129"/>
      <c r="M134" s="129"/>
      <c r="O134" s="178"/>
      <c r="P134" s="129"/>
      <c r="R134" s="129"/>
      <c r="S134" s="140"/>
      <c r="T134" s="138"/>
      <c r="U134" s="147"/>
      <c r="V134" s="129"/>
      <c r="W134" s="134"/>
      <c r="X134" s="134"/>
      <c r="Y134" s="134"/>
      <c r="Z134" s="115"/>
      <c r="AA134" s="134"/>
      <c r="AB134" s="152"/>
      <c r="AC134" s="134"/>
      <c r="AD134" s="134"/>
      <c r="AE134" s="134"/>
    </row>
    <row r="135" spans="2:31" x14ac:dyDescent="0.35">
      <c r="B135" s="115"/>
      <c r="C135" s="129"/>
      <c r="D135" s="129"/>
      <c r="E135" s="129"/>
      <c r="F135" s="129"/>
      <c r="G135" s="129"/>
      <c r="H135" s="110"/>
      <c r="I135" s="129"/>
      <c r="K135" s="79"/>
      <c r="L135" s="129"/>
      <c r="M135" s="129"/>
      <c r="N135" s="129"/>
      <c r="O135" s="129"/>
      <c r="P135" s="129"/>
      <c r="Q135" s="129"/>
      <c r="R135" s="129"/>
      <c r="S135" s="141"/>
      <c r="T135" s="124"/>
      <c r="U135" s="125"/>
      <c r="V135" s="129"/>
      <c r="W135" s="129"/>
      <c r="X135" s="129"/>
      <c r="Y135" s="129"/>
      <c r="Z135" s="115"/>
      <c r="AA135" s="129"/>
      <c r="AB135" s="149"/>
      <c r="AC135" s="129"/>
      <c r="AD135" s="129"/>
      <c r="AE135" s="129"/>
    </row>
    <row r="136" spans="2:31" x14ac:dyDescent="0.35">
      <c r="B136" s="115"/>
      <c r="C136" s="129"/>
      <c r="D136" s="129"/>
      <c r="E136" s="129"/>
      <c r="F136" s="129"/>
      <c r="G136" s="129"/>
      <c r="H136" s="110"/>
      <c r="I136" s="129"/>
      <c r="K136" s="134"/>
      <c r="L136" s="134"/>
      <c r="M136" s="134"/>
      <c r="O136" s="134"/>
      <c r="P136" s="134"/>
      <c r="R136" s="129"/>
      <c r="S136" s="140"/>
      <c r="T136" s="138"/>
      <c r="U136" s="147"/>
      <c r="V136" s="129"/>
      <c r="W136" s="129"/>
      <c r="X136" s="129"/>
      <c r="Y136" s="129"/>
      <c r="Z136" s="115"/>
      <c r="AA136" s="129"/>
      <c r="AB136" s="149"/>
      <c r="AC136" s="147"/>
      <c r="AD136" s="147"/>
      <c r="AE136" s="147"/>
    </row>
    <row r="137" spans="2:31" x14ac:dyDescent="0.35">
      <c r="B137" s="115"/>
      <c r="C137" s="129"/>
      <c r="D137" s="129"/>
      <c r="E137" s="129"/>
      <c r="F137" s="129"/>
      <c r="G137" s="129"/>
      <c r="H137" s="110"/>
      <c r="I137" s="129"/>
      <c r="K137" s="134"/>
      <c r="L137" s="134"/>
      <c r="M137" s="134"/>
      <c r="O137" s="134"/>
      <c r="P137" s="134"/>
      <c r="R137" s="129"/>
      <c r="S137" s="140"/>
      <c r="T137" s="138"/>
      <c r="U137" s="147"/>
      <c r="V137" s="129"/>
      <c r="W137" s="134"/>
      <c r="X137" s="134"/>
      <c r="Y137" s="134"/>
      <c r="Z137" s="115"/>
      <c r="AA137" s="134"/>
      <c r="AB137" s="152"/>
      <c r="AC137" s="134"/>
      <c r="AD137" s="134"/>
      <c r="AE137" s="134"/>
    </row>
    <row r="138" spans="2:31" x14ac:dyDescent="0.35">
      <c r="B138" s="115"/>
      <c r="C138" s="129"/>
      <c r="D138" s="129"/>
      <c r="E138" s="129"/>
      <c r="F138" s="129"/>
      <c r="G138" s="129"/>
      <c r="H138" s="110"/>
      <c r="I138" s="129"/>
      <c r="K138" s="129"/>
      <c r="L138" s="129"/>
      <c r="M138" s="129"/>
      <c r="O138" s="129"/>
      <c r="P138" s="129"/>
      <c r="R138" s="129"/>
      <c r="S138" s="140"/>
      <c r="T138" s="148"/>
      <c r="U138" s="129"/>
      <c r="V138" s="129"/>
      <c r="W138" s="129"/>
      <c r="X138" s="129"/>
      <c r="Y138" s="134"/>
      <c r="Z138" s="115"/>
      <c r="AA138" s="129"/>
      <c r="AB138" s="149"/>
      <c r="AC138" s="129"/>
      <c r="AD138" s="129"/>
      <c r="AE138" s="129"/>
    </row>
    <row r="139" spans="2:31" x14ac:dyDescent="0.35">
      <c r="B139" s="115"/>
      <c r="C139" s="129"/>
      <c r="D139" s="129"/>
      <c r="E139" s="129"/>
      <c r="F139" s="129"/>
      <c r="G139" s="129"/>
      <c r="H139" s="110"/>
      <c r="I139" s="129"/>
      <c r="K139" s="130"/>
      <c r="L139" s="129"/>
      <c r="M139" s="129"/>
      <c r="O139" s="129"/>
      <c r="P139" s="129"/>
      <c r="R139" s="129"/>
      <c r="S139" s="140"/>
      <c r="T139" s="138"/>
      <c r="U139" s="134"/>
      <c r="V139" s="134"/>
      <c r="W139" s="134"/>
      <c r="X139" s="134"/>
      <c r="Y139" s="134"/>
      <c r="Z139" s="115"/>
      <c r="AA139" s="134"/>
      <c r="AB139" s="152"/>
      <c r="AC139" s="153"/>
      <c r="AD139" s="150"/>
      <c r="AE139" s="129"/>
    </row>
    <row r="140" spans="2:31" x14ac:dyDescent="0.35">
      <c r="B140" s="115"/>
      <c r="C140" s="129"/>
      <c r="D140" s="129"/>
      <c r="E140" s="129"/>
      <c r="F140" s="129"/>
      <c r="G140" s="129"/>
      <c r="H140" s="110"/>
      <c r="I140" s="129"/>
      <c r="K140" s="79"/>
      <c r="L140" s="134"/>
      <c r="M140" s="134"/>
      <c r="O140" s="134"/>
      <c r="P140" s="129"/>
      <c r="R140" s="129"/>
      <c r="S140" s="140"/>
      <c r="T140" s="124"/>
      <c r="U140" s="125"/>
      <c r="V140" s="129"/>
      <c r="W140" s="129"/>
      <c r="X140" s="129"/>
      <c r="Y140" s="129"/>
      <c r="Z140" s="115"/>
      <c r="AA140" s="129"/>
      <c r="AB140" s="149"/>
      <c r="AC140" s="147"/>
      <c r="AD140" s="129"/>
      <c r="AE140" s="147"/>
    </row>
    <row r="141" spans="2:31" x14ac:dyDescent="0.35">
      <c r="B141" s="115"/>
      <c r="C141" s="129"/>
      <c r="D141" s="129"/>
      <c r="E141" s="129"/>
      <c r="F141" s="129"/>
      <c r="G141" s="129"/>
      <c r="H141" s="110"/>
      <c r="I141" s="129"/>
      <c r="K141" s="129"/>
      <c r="L141" s="129"/>
      <c r="M141" s="129"/>
      <c r="O141" s="129"/>
      <c r="P141" s="129"/>
      <c r="R141" s="129"/>
      <c r="S141" s="140"/>
      <c r="T141" s="138"/>
      <c r="U141" s="147"/>
      <c r="V141" s="129"/>
      <c r="W141" s="129"/>
      <c r="X141" s="129"/>
      <c r="Y141" s="129"/>
      <c r="Z141" s="115"/>
      <c r="AA141" s="129"/>
      <c r="AB141" s="149"/>
      <c r="AC141" s="129"/>
      <c r="AD141" s="129"/>
      <c r="AE141" s="129"/>
    </row>
    <row r="142" spans="2:31" x14ac:dyDescent="0.35">
      <c r="B142" s="115"/>
      <c r="C142" s="129"/>
      <c r="D142" s="129"/>
      <c r="E142" s="129"/>
      <c r="F142" s="129"/>
      <c r="G142" s="129"/>
      <c r="H142" s="110"/>
      <c r="I142" s="129"/>
      <c r="K142" s="133"/>
      <c r="L142" s="129"/>
      <c r="M142" s="129"/>
      <c r="O142" s="129"/>
      <c r="P142" s="129"/>
      <c r="R142" s="129"/>
      <c r="S142" s="138"/>
      <c r="T142" s="139"/>
      <c r="U142" s="129"/>
      <c r="V142" s="129"/>
      <c r="W142" s="130"/>
      <c r="X142" s="130"/>
      <c r="Y142" s="130"/>
      <c r="Z142" s="115"/>
      <c r="AA142" s="129"/>
      <c r="AB142" s="149"/>
      <c r="AC142" s="151"/>
      <c r="AD142" s="151"/>
      <c r="AE142" s="147"/>
    </row>
    <row r="143" spans="2:31" x14ac:dyDescent="0.35">
      <c r="B143" s="115"/>
      <c r="C143" s="129"/>
      <c r="D143" s="129"/>
      <c r="E143" s="129"/>
      <c r="F143" s="129"/>
      <c r="G143" s="129"/>
      <c r="H143" s="110"/>
      <c r="I143" s="129"/>
      <c r="J143" s="179"/>
      <c r="K143" s="178"/>
      <c r="L143" s="129"/>
      <c r="M143" s="129"/>
      <c r="O143" s="178"/>
      <c r="P143" s="129"/>
      <c r="R143" s="129"/>
      <c r="S143" s="140"/>
      <c r="T143" s="138"/>
      <c r="U143" s="147"/>
      <c r="V143" s="129"/>
      <c r="W143" s="134"/>
      <c r="X143" s="134"/>
      <c r="Y143" s="134"/>
      <c r="Z143" s="115"/>
      <c r="AA143" s="134"/>
      <c r="AB143" s="152"/>
      <c r="AC143" s="134"/>
      <c r="AD143" s="134"/>
      <c r="AE143" s="134"/>
    </row>
    <row r="144" spans="2:31" x14ac:dyDescent="0.35">
      <c r="B144" s="115"/>
      <c r="C144" s="129"/>
      <c r="D144" s="129"/>
      <c r="E144" s="129"/>
      <c r="F144" s="129"/>
      <c r="G144" s="129"/>
      <c r="H144" s="110"/>
      <c r="I144" s="129"/>
      <c r="K144" s="79"/>
      <c r="L144" s="129"/>
      <c r="M144" s="129"/>
      <c r="N144" s="129"/>
      <c r="O144" s="129"/>
      <c r="P144" s="129"/>
      <c r="Q144" s="129"/>
      <c r="R144" s="129"/>
      <c r="S144" s="159"/>
      <c r="T144" s="124"/>
      <c r="U144" s="125"/>
      <c r="V144" s="129"/>
      <c r="W144" s="129"/>
      <c r="X144" s="129"/>
      <c r="Y144" s="129"/>
      <c r="Z144" s="115"/>
      <c r="AA144" s="129"/>
      <c r="AB144" s="149"/>
      <c r="AC144" s="129"/>
      <c r="AD144" s="129"/>
      <c r="AE144" s="129"/>
    </row>
    <row r="145" spans="2:31" x14ac:dyDescent="0.35">
      <c r="B145" s="115"/>
      <c r="C145" s="129"/>
      <c r="D145" s="129"/>
      <c r="E145" s="129"/>
      <c r="F145" s="129"/>
      <c r="G145" s="129"/>
      <c r="H145" s="110"/>
      <c r="I145" s="129"/>
      <c r="K145" s="134"/>
      <c r="L145" s="134"/>
      <c r="M145" s="134"/>
      <c r="O145" s="134"/>
      <c r="P145" s="134"/>
      <c r="R145" s="129"/>
      <c r="S145" s="140"/>
      <c r="T145" s="138"/>
      <c r="U145" s="147"/>
      <c r="V145" s="129"/>
      <c r="W145" s="129"/>
      <c r="X145" s="129"/>
      <c r="Y145" s="129"/>
      <c r="Z145" s="115"/>
      <c r="AA145" s="129"/>
      <c r="AB145" s="149"/>
      <c r="AC145" s="147"/>
      <c r="AD145" s="147"/>
      <c r="AE145" s="147"/>
    </row>
    <row r="146" spans="2:31" x14ac:dyDescent="0.35">
      <c r="B146" s="115"/>
      <c r="C146" s="129"/>
      <c r="D146" s="129"/>
      <c r="E146" s="129"/>
      <c r="F146" s="129"/>
      <c r="G146" s="129"/>
      <c r="H146" s="110"/>
      <c r="I146" s="129"/>
      <c r="K146" s="134"/>
      <c r="L146" s="134"/>
      <c r="M146" s="134"/>
      <c r="O146" s="134"/>
      <c r="P146" s="134"/>
      <c r="R146" s="129"/>
      <c r="S146" s="140"/>
      <c r="T146" s="138"/>
      <c r="U146" s="147"/>
      <c r="V146" s="129"/>
      <c r="W146" s="134"/>
      <c r="X146" s="134"/>
      <c r="Y146" s="134"/>
      <c r="Z146" s="115"/>
      <c r="AA146" s="134"/>
      <c r="AB146" s="152"/>
      <c r="AC146" s="134"/>
      <c r="AD146" s="134"/>
      <c r="AE146" s="134"/>
    </row>
    <row r="147" spans="2:31" x14ac:dyDescent="0.35">
      <c r="B147" s="115"/>
      <c r="C147" s="129"/>
      <c r="D147" s="129"/>
      <c r="E147" s="129"/>
      <c r="F147" s="129"/>
      <c r="G147" s="129"/>
      <c r="H147" s="110"/>
      <c r="I147" s="129"/>
      <c r="K147" s="129"/>
      <c r="L147" s="129"/>
      <c r="M147" s="129"/>
      <c r="O147" s="129"/>
      <c r="P147" s="129"/>
      <c r="R147" s="129"/>
      <c r="S147" s="140"/>
      <c r="T147" s="148"/>
      <c r="U147" s="129"/>
      <c r="V147" s="129"/>
      <c r="W147" s="129"/>
      <c r="X147" s="129"/>
      <c r="Y147" s="134"/>
      <c r="Z147" s="115"/>
      <c r="AA147" s="129"/>
      <c r="AB147" s="149"/>
      <c r="AC147" s="129"/>
      <c r="AD147" s="129"/>
      <c r="AE147" s="129"/>
    </row>
    <row r="148" spans="2:31" x14ac:dyDescent="0.35">
      <c r="B148" s="115"/>
      <c r="C148" s="129"/>
      <c r="D148" s="129"/>
      <c r="E148" s="129"/>
      <c r="F148" s="129"/>
      <c r="G148" s="129"/>
      <c r="H148" s="110"/>
      <c r="I148" s="129"/>
      <c r="K148" s="130"/>
      <c r="L148" s="129"/>
      <c r="M148" s="129"/>
      <c r="O148" s="129"/>
      <c r="P148" s="129"/>
      <c r="R148" s="129"/>
      <c r="S148" s="140"/>
      <c r="T148" s="138"/>
      <c r="U148" s="134"/>
      <c r="V148" s="134"/>
      <c r="W148" s="134"/>
      <c r="X148" s="134"/>
      <c r="Y148" s="134"/>
      <c r="Z148" s="115"/>
      <c r="AA148" s="134"/>
      <c r="AB148" s="152"/>
      <c r="AC148" s="153"/>
      <c r="AD148" s="150"/>
      <c r="AE148" s="129"/>
    </row>
    <row r="149" spans="2:31" x14ac:dyDescent="0.35">
      <c r="B149" s="115"/>
      <c r="C149" s="129"/>
      <c r="D149" s="129"/>
      <c r="E149" s="129"/>
      <c r="F149" s="129"/>
      <c r="G149" s="129"/>
      <c r="H149" s="110"/>
      <c r="I149" s="129"/>
      <c r="K149" s="79"/>
      <c r="L149" s="134"/>
      <c r="M149" s="134"/>
      <c r="O149" s="134"/>
      <c r="P149" s="129"/>
      <c r="R149" s="129"/>
      <c r="S149" s="140"/>
      <c r="T149" s="124"/>
      <c r="U149" s="125"/>
      <c r="V149" s="129"/>
      <c r="W149" s="129"/>
      <c r="X149" s="129"/>
      <c r="Y149" s="129"/>
      <c r="Z149" s="115"/>
      <c r="AA149" s="129"/>
      <c r="AB149" s="149"/>
      <c r="AC149" s="147"/>
      <c r="AD149" s="129"/>
      <c r="AE149" s="147"/>
    </row>
    <row r="150" spans="2:31" x14ac:dyDescent="0.35">
      <c r="B150" s="115"/>
      <c r="C150" s="129"/>
      <c r="D150" s="129"/>
      <c r="E150" s="129"/>
      <c r="F150" s="129"/>
      <c r="G150" s="129"/>
      <c r="H150" s="110"/>
      <c r="I150" s="129"/>
      <c r="K150" s="129"/>
      <c r="L150" s="129"/>
      <c r="M150" s="129"/>
      <c r="O150" s="129"/>
      <c r="P150" s="129"/>
      <c r="R150" s="129"/>
      <c r="S150" s="140"/>
      <c r="T150" s="138"/>
      <c r="U150" s="147"/>
      <c r="V150" s="129"/>
      <c r="W150" s="129"/>
      <c r="X150" s="129"/>
      <c r="Y150" s="129"/>
      <c r="Z150" s="115"/>
      <c r="AA150" s="129"/>
      <c r="AB150" s="149"/>
      <c r="AC150" s="129"/>
      <c r="AD150" s="129"/>
      <c r="AE150" s="129"/>
    </row>
    <row r="151" spans="2:31" x14ac:dyDescent="0.35">
      <c r="B151" s="115"/>
      <c r="C151" s="129"/>
      <c r="D151" s="129"/>
      <c r="E151" s="129"/>
      <c r="F151" s="129"/>
      <c r="G151" s="129"/>
      <c r="H151" s="110"/>
      <c r="I151" s="129"/>
      <c r="K151" s="133"/>
      <c r="L151" s="129"/>
      <c r="M151" s="129"/>
      <c r="O151" s="129"/>
      <c r="P151" s="129"/>
      <c r="R151" s="129"/>
      <c r="S151" s="138"/>
      <c r="T151" s="139"/>
      <c r="U151" s="129"/>
      <c r="V151" s="129"/>
      <c r="W151" s="130"/>
      <c r="X151" s="130"/>
      <c r="Y151" s="130"/>
      <c r="Z151" s="115"/>
      <c r="AA151" s="129"/>
      <c r="AB151" s="149"/>
      <c r="AC151" s="151"/>
      <c r="AD151" s="151"/>
      <c r="AE151" s="147"/>
    </row>
    <row r="152" spans="2:31" x14ac:dyDescent="0.35">
      <c r="B152" s="115"/>
      <c r="C152" s="129"/>
      <c r="D152" s="129"/>
      <c r="E152" s="129"/>
      <c r="F152" s="129"/>
      <c r="G152" s="129"/>
      <c r="H152" s="110"/>
      <c r="I152" s="129"/>
      <c r="J152" s="179"/>
      <c r="K152" s="178"/>
      <c r="L152" s="129"/>
      <c r="M152" s="129"/>
      <c r="O152" s="178"/>
      <c r="P152" s="129"/>
      <c r="R152" s="129"/>
      <c r="S152" s="140"/>
      <c r="T152" s="138"/>
      <c r="U152" s="147"/>
      <c r="V152" s="129"/>
      <c r="W152" s="134"/>
      <c r="X152" s="134"/>
      <c r="Y152" s="134"/>
      <c r="Z152" s="115"/>
      <c r="AA152" s="134"/>
      <c r="AB152" s="152"/>
      <c r="AC152" s="134"/>
      <c r="AD152" s="134"/>
      <c r="AE152" s="134"/>
    </row>
    <row r="153" spans="2:31" x14ac:dyDescent="0.35">
      <c r="B153" s="115"/>
      <c r="C153" s="129"/>
      <c r="D153" s="129"/>
      <c r="E153" s="129"/>
      <c r="F153" s="129"/>
      <c r="G153" s="129"/>
      <c r="H153" s="110"/>
      <c r="I153" s="129"/>
      <c r="K153" s="79"/>
      <c r="L153" s="129"/>
      <c r="M153" s="129"/>
      <c r="N153" s="129"/>
      <c r="O153" s="129"/>
      <c r="P153" s="129"/>
      <c r="Q153" s="129"/>
      <c r="R153" s="129"/>
      <c r="S153" s="159"/>
      <c r="T153" s="124"/>
      <c r="U153" s="125"/>
      <c r="V153" s="129"/>
      <c r="W153" s="129"/>
      <c r="X153" s="129"/>
      <c r="Y153" s="129"/>
      <c r="Z153" s="115"/>
      <c r="AA153" s="129"/>
      <c r="AB153" s="149"/>
      <c r="AC153" s="129"/>
      <c r="AD153" s="129"/>
      <c r="AE153" s="129"/>
    </row>
    <row r="154" spans="2:31" x14ac:dyDescent="0.35">
      <c r="B154" s="115"/>
      <c r="C154" s="129"/>
      <c r="D154" s="129"/>
      <c r="E154" s="129"/>
      <c r="F154" s="129"/>
      <c r="G154" s="129"/>
      <c r="H154" s="110"/>
      <c r="I154" s="129"/>
      <c r="K154" s="134"/>
      <c r="L154" s="134"/>
      <c r="M154" s="134"/>
      <c r="O154" s="134"/>
      <c r="P154" s="134"/>
      <c r="R154" s="129"/>
      <c r="S154" s="140"/>
      <c r="T154" s="138"/>
      <c r="U154" s="147"/>
      <c r="V154" s="129"/>
      <c r="W154" s="129"/>
      <c r="X154" s="129"/>
      <c r="Y154" s="129"/>
      <c r="Z154" s="115"/>
      <c r="AA154" s="129"/>
      <c r="AB154" s="149"/>
      <c r="AC154" s="147"/>
      <c r="AD154" s="147"/>
      <c r="AE154" s="147"/>
    </row>
    <row r="155" spans="2:31" x14ac:dyDescent="0.35">
      <c r="B155" s="115"/>
      <c r="C155" s="129"/>
      <c r="D155" s="129"/>
      <c r="E155" s="129"/>
      <c r="F155" s="129"/>
      <c r="G155" s="129"/>
      <c r="H155" s="110"/>
      <c r="I155" s="129"/>
      <c r="K155" s="134"/>
      <c r="L155" s="134"/>
      <c r="M155" s="134"/>
      <c r="O155" s="134"/>
      <c r="P155" s="134"/>
      <c r="R155" s="129"/>
      <c r="S155" s="140"/>
      <c r="T155" s="138"/>
      <c r="U155" s="147"/>
      <c r="V155" s="129"/>
      <c r="W155" s="134"/>
      <c r="X155" s="134"/>
      <c r="Y155" s="134"/>
      <c r="Z155" s="115"/>
      <c r="AA155" s="134"/>
      <c r="AB155" s="152"/>
      <c r="AC155" s="134"/>
      <c r="AD155" s="134"/>
      <c r="AE155" s="134"/>
    </row>
    <row r="156" spans="2:31" x14ac:dyDescent="0.35">
      <c r="B156" s="115"/>
      <c r="C156" s="129"/>
      <c r="D156" s="129"/>
      <c r="E156" s="129"/>
      <c r="F156" s="129"/>
      <c r="G156" s="129"/>
      <c r="H156" s="110"/>
      <c r="I156" s="129"/>
      <c r="K156" s="129"/>
      <c r="L156" s="129"/>
      <c r="M156" s="129"/>
      <c r="O156" s="129"/>
      <c r="P156" s="129"/>
      <c r="R156" s="129"/>
      <c r="S156" s="140"/>
      <c r="T156" s="148"/>
      <c r="U156" s="129"/>
      <c r="V156" s="129"/>
      <c r="W156" s="129"/>
      <c r="X156" s="129"/>
      <c r="Y156" s="134"/>
      <c r="Z156" s="115"/>
      <c r="AA156" s="129"/>
      <c r="AB156" s="149"/>
      <c r="AC156" s="129"/>
      <c r="AD156" s="129"/>
      <c r="AE156" s="129"/>
    </row>
    <row r="157" spans="2:31" x14ac:dyDescent="0.35">
      <c r="B157" s="115"/>
      <c r="C157" s="129"/>
      <c r="D157" s="129"/>
      <c r="E157" s="129"/>
      <c r="F157" s="129"/>
      <c r="G157" s="129"/>
      <c r="H157" s="110"/>
      <c r="I157" s="129"/>
      <c r="K157" s="130"/>
      <c r="L157" s="129"/>
      <c r="M157" s="129"/>
      <c r="O157" s="129"/>
      <c r="P157" s="129"/>
      <c r="R157" s="129"/>
      <c r="S157" s="140"/>
      <c r="T157" s="138"/>
      <c r="U157" s="134"/>
      <c r="V157" s="134"/>
      <c r="W157" s="134"/>
      <c r="X157" s="134"/>
      <c r="Y157" s="134"/>
      <c r="Z157" s="115"/>
      <c r="AA157" s="134"/>
      <c r="AB157" s="152"/>
      <c r="AC157" s="153"/>
      <c r="AD157" s="150"/>
      <c r="AE157" s="129"/>
    </row>
    <row r="158" spans="2:31" x14ac:dyDescent="0.35">
      <c r="B158" s="115"/>
      <c r="C158" s="129"/>
      <c r="D158" s="129"/>
      <c r="E158" s="129"/>
      <c r="F158" s="129"/>
      <c r="G158" s="129"/>
      <c r="H158" s="110"/>
      <c r="I158" s="129"/>
      <c r="K158" s="79"/>
      <c r="L158" s="134"/>
      <c r="M158" s="134"/>
      <c r="O158" s="134"/>
      <c r="P158" s="129"/>
      <c r="R158" s="129"/>
      <c r="S158" s="140"/>
      <c r="T158" s="124"/>
      <c r="U158" s="125"/>
      <c r="V158" s="129"/>
      <c r="W158" s="129"/>
      <c r="X158" s="129"/>
      <c r="Y158" s="129"/>
      <c r="Z158" s="115"/>
      <c r="AA158" s="129"/>
      <c r="AB158" s="149"/>
      <c r="AC158" s="147"/>
      <c r="AD158" s="129"/>
      <c r="AE158" s="147"/>
    </row>
    <row r="159" spans="2:31" x14ac:dyDescent="0.35">
      <c r="B159" s="115"/>
      <c r="C159" s="129"/>
      <c r="D159" s="129"/>
      <c r="E159" s="129"/>
      <c r="F159" s="129"/>
      <c r="G159" s="129"/>
      <c r="H159" s="110"/>
      <c r="I159" s="129"/>
      <c r="K159" s="129"/>
      <c r="L159" s="129"/>
      <c r="M159" s="129"/>
      <c r="O159" s="129"/>
      <c r="P159" s="129"/>
      <c r="R159" s="129"/>
      <c r="S159" s="140"/>
      <c r="T159" s="138"/>
      <c r="U159" s="147"/>
      <c r="V159" s="129"/>
      <c r="W159" s="129"/>
      <c r="X159" s="129"/>
      <c r="Y159" s="129"/>
      <c r="Z159" s="115"/>
      <c r="AA159" s="129"/>
      <c r="AB159" s="149"/>
      <c r="AC159" s="129"/>
      <c r="AD159" s="129"/>
      <c r="AE159" s="129"/>
    </row>
    <row r="160" spans="2:31" x14ac:dyDescent="0.35">
      <c r="B160" s="115"/>
      <c r="C160" s="129"/>
      <c r="D160" s="129"/>
      <c r="E160" s="129"/>
      <c r="F160" s="129"/>
      <c r="G160" s="129"/>
      <c r="H160" s="110"/>
      <c r="I160" s="129"/>
      <c r="K160" s="133"/>
      <c r="L160" s="129"/>
      <c r="M160" s="129"/>
      <c r="O160" s="129"/>
      <c r="P160" s="129"/>
      <c r="R160" s="129"/>
      <c r="S160" s="138"/>
      <c r="T160" s="139"/>
      <c r="U160" s="129"/>
      <c r="V160" s="129"/>
      <c r="W160" s="130"/>
      <c r="X160" s="130"/>
      <c r="Y160" s="130"/>
      <c r="Z160" s="115"/>
      <c r="AA160" s="129"/>
      <c r="AB160" s="149"/>
      <c r="AC160" s="151"/>
      <c r="AD160" s="151"/>
      <c r="AE160" s="147"/>
    </row>
    <row r="161" spans="2:31" x14ac:dyDescent="0.35">
      <c r="B161" s="115"/>
      <c r="C161" s="129"/>
      <c r="D161" s="129"/>
      <c r="E161" s="129"/>
      <c r="F161" s="129"/>
      <c r="G161" s="129"/>
      <c r="H161" s="110"/>
      <c r="I161" s="129"/>
      <c r="J161" s="179"/>
      <c r="K161" s="178"/>
      <c r="L161" s="129"/>
      <c r="M161" s="129"/>
      <c r="O161" s="178"/>
      <c r="P161" s="129"/>
      <c r="R161" s="129"/>
      <c r="S161" s="140"/>
      <c r="T161" s="138"/>
      <c r="U161" s="147"/>
      <c r="V161" s="129"/>
      <c r="W161" s="134"/>
      <c r="X161" s="134"/>
      <c r="Y161" s="134"/>
      <c r="Z161" s="115"/>
      <c r="AA161" s="134"/>
      <c r="AB161" s="152"/>
      <c r="AC161" s="134"/>
      <c r="AD161" s="134"/>
      <c r="AE161" s="134"/>
    </row>
    <row r="162" spans="2:31" x14ac:dyDescent="0.35">
      <c r="B162" s="115"/>
      <c r="C162" s="129"/>
      <c r="D162" s="129"/>
      <c r="E162" s="129"/>
      <c r="F162" s="129"/>
      <c r="G162" s="129"/>
      <c r="H162" s="110"/>
      <c r="I162" s="129"/>
      <c r="K162" s="79"/>
      <c r="L162" s="129"/>
      <c r="M162" s="129"/>
      <c r="O162" s="129"/>
      <c r="P162" s="129"/>
      <c r="R162" s="129"/>
      <c r="S162" s="141"/>
      <c r="T162" s="124"/>
      <c r="U162" s="125"/>
      <c r="V162" s="129"/>
      <c r="W162" s="129"/>
      <c r="X162" s="129"/>
      <c r="Y162" s="129"/>
      <c r="Z162" s="115"/>
      <c r="AA162" s="129"/>
      <c r="AB162" s="149"/>
      <c r="AC162" s="129"/>
      <c r="AD162" s="129"/>
      <c r="AE162" s="129"/>
    </row>
    <row r="163" spans="2:31" x14ac:dyDescent="0.35">
      <c r="B163" s="115"/>
      <c r="C163" s="129"/>
      <c r="D163" s="129"/>
      <c r="E163" s="129"/>
      <c r="F163" s="129"/>
      <c r="G163" s="129"/>
      <c r="H163" s="110"/>
      <c r="I163" s="129"/>
      <c r="K163" s="137"/>
      <c r="L163" s="129"/>
      <c r="M163" s="129"/>
      <c r="O163" s="129"/>
      <c r="P163" s="129"/>
      <c r="R163" s="129"/>
      <c r="S163" s="141"/>
      <c r="T163" s="124"/>
      <c r="U163" s="125"/>
      <c r="V163" s="129"/>
      <c r="W163" s="129"/>
      <c r="X163" s="129"/>
      <c r="Y163" s="129"/>
      <c r="Z163" s="115"/>
      <c r="AA163" s="129"/>
      <c r="AB163" s="149"/>
      <c r="AC163" s="129"/>
      <c r="AD163" s="129"/>
      <c r="AE163" s="129"/>
    </row>
    <row r="164" spans="2:31" x14ac:dyDescent="0.35">
      <c r="B164" s="115"/>
      <c r="C164" s="129"/>
      <c r="D164" s="129"/>
      <c r="E164" s="129"/>
      <c r="F164" s="129"/>
      <c r="G164" s="129"/>
      <c r="H164" s="110"/>
      <c r="I164" s="129"/>
      <c r="K164" s="133"/>
      <c r="L164" s="129"/>
      <c r="M164" s="129"/>
      <c r="O164" s="129"/>
      <c r="P164" s="129"/>
      <c r="R164" s="129"/>
      <c r="S164" s="141"/>
      <c r="T164" s="139"/>
      <c r="U164" s="129"/>
      <c r="V164" s="129"/>
      <c r="W164" s="129"/>
      <c r="X164" s="129"/>
      <c r="Y164" s="129"/>
      <c r="Z164" s="115"/>
      <c r="AA164" s="129"/>
      <c r="AB164" s="149"/>
      <c r="AC164" s="129"/>
      <c r="AD164" s="139"/>
      <c r="AE164" s="129"/>
    </row>
    <row r="165" spans="2:31" x14ac:dyDescent="0.35">
      <c r="B165" s="115"/>
      <c r="C165" s="129"/>
      <c r="D165" s="129"/>
      <c r="E165" s="129"/>
      <c r="F165" s="129"/>
      <c r="G165" s="129"/>
      <c r="H165" s="110"/>
      <c r="I165" s="129"/>
      <c r="K165" s="133"/>
      <c r="L165" s="129"/>
      <c r="M165" s="129"/>
      <c r="O165" s="129"/>
      <c r="P165" s="129"/>
      <c r="R165" s="129"/>
      <c r="S165" s="141"/>
      <c r="T165" s="139"/>
      <c r="U165" s="129"/>
      <c r="V165" s="129"/>
      <c r="W165" s="129"/>
      <c r="X165" s="129"/>
      <c r="Y165" s="129"/>
      <c r="Z165" s="115"/>
      <c r="AA165" s="129"/>
      <c r="AB165" s="149"/>
      <c r="AC165" s="129"/>
      <c r="AD165" s="139"/>
      <c r="AE165" s="129"/>
    </row>
    <row r="166" spans="2:31" x14ac:dyDescent="0.35">
      <c r="B166" s="115"/>
      <c r="C166" s="129"/>
      <c r="D166" s="129"/>
      <c r="E166" s="129"/>
      <c r="F166" s="129"/>
      <c r="G166" s="129"/>
      <c r="H166" s="110"/>
      <c r="I166" s="129"/>
      <c r="K166" s="130"/>
      <c r="L166" s="129"/>
      <c r="M166" s="129"/>
      <c r="O166" s="129"/>
      <c r="P166" s="129"/>
      <c r="R166" s="129"/>
      <c r="S166" s="140"/>
      <c r="T166" s="138"/>
      <c r="U166" s="134"/>
      <c r="V166" s="134"/>
      <c r="W166" s="134"/>
      <c r="X166" s="134"/>
      <c r="Y166" s="134"/>
      <c r="Z166" s="115"/>
      <c r="AA166" s="134"/>
      <c r="AB166" s="152"/>
      <c r="AC166" s="153"/>
      <c r="AD166" s="150"/>
      <c r="AE166" s="129"/>
    </row>
    <row r="167" spans="2:31" x14ac:dyDescent="0.35">
      <c r="B167" s="115"/>
      <c r="C167" s="129"/>
      <c r="D167" s="129"/>
      <c r="E167" s="129"/>
      <c r="F167" s="129"/>
      <c r="G167" s="129"/>
      <c r="H167" s="110"/>
      <c r="I167" s="129"/>
      <c r="K167" s="79"/>
      <c r="L167" s="134"/>
      <c r="M167" s="134"/>
      <c r="O167" s="134"/>
      <c r="P167" s="129"/>
      <c r="R167" s="129"/>
      <c r="S167" s="140"/>
      <c r="T167" s="124"/>
      <c r="U167" s="125"/>
      <c r="V167" s="129"/>
      <c r="W167" s="129"/>
      <c r="X167" s="129"/>
      <c r="Y167" s="129"/>
      <c r="Z167" s="115"/>
      <c r="AA167" s="129"/>
      <c r="AB167" s="149"/>
      <c r="AC167" s="147"/>
      <c r="AD167" s="129"/>
      <c r="AE167" s="147"/>
    </row>
    <row r="168" spans="2:31" x14ac:dyDescent="0.35">
      <c r="B168" s="115"/>
      <c r="C168" s="129"/>
      <c r="D168" s="129"/>
      <c r="E168" s="129"/>
      <c r="F168" s="129"/>
      <c r="G168" s="129"/>
      <c r="H168" s="110"/>
      <c r="I168" s="129"/>
      <c r="K168" s="129"/>
      <c r="L168" s="129"/>
      <c r="M168" s="129"/>
      <c r="O168" s="129"/>
      <c r="P168" s="129"/>
      <c r="R168" s="129"/>
      <c r="S168" s="140"/>
      <c r="T168" s="138"/>
      <c r="U168" s="147"/>
      <c r="V168" s="129"/>
      <c r="W168" s="129"/>
      <c r="X168" s="129"/>
      <c r="Y168" s="129"/>
      <c r="Z168" s="115"/>
      <c r="AA168" s="129"/>
      <c r="AB168" s="149"/>
      <c r="AC168" s="129"/>
      <c r="AD168" s="129"/>
      <c r="AE168" s="129"/>
    </row>
    <row r="169" spans="2:31" x14ac:dyDescent="0.35">
      <c r="B169" s="115"/>
      <c r="C169" s="129"/>
      <c r="D169" s="129"/>
      <c r="E169" s="129"/>
      <c r="F169" s="129"/>
      <c r="G169" s="129"/>
      <c r="H169" s="110"/>
      <c r="I169" s="129"/>
      <c r="K169" s="134"/>
      <c r="L169" s="134"/>
      <c r="M169" s="134"/>
      <c r="O169" s="134"/>
      <c r="P169" s="134"/>
      <c r="R169" s="129"/>
      <c r="S169" s="140"/>
      <c r="T169" s="138"/>
      <c r="U169" s="147"/>
      <c r="V169" s="129"/>
      <c r="W169" s="129"/>
      <c r="X169" s="129"/>
      <c r="Y169" s="129"/>
      <c r="Z169" s="115"/>
      <c r="AA169" s="129"/>
      <c r="AB169" s="149"/>
      <c r="AC169" s="147"/>
      <c r="AD169" s="147"/>
      <c r="AE169" s="147"/>
    </row>
    <row r="170" spans="2:31" x14ac:dyDescent="0.35">
      <c r="B170" s="115"/>
      <c r="C170" s="129"/>
      <c r="D170" s="129"/>
      <c r="E170" s="129"/>
      <c r="F170" s="129"/>
      <c r="G170" s="129"/>
      <c r="H170" s="110"/>
      <c r="I170" s="129"/>
      <c r="K170" s="134"/>
      <c r="L170" s="134"/>
      <c r="M170" s="134"/>
      <c r="O170" s="134"/>
      <c r="P170" s="134"/>
      <c r="R170" s="129"/>
      <c r="S170" s="140"/>
      <c r="T170" s="138"/>
      <c r="U170" s="147"/>
      <c r="V170" s="129"/>
      <c r="W170" s="134"/>
      <c r="X170" s="134"/>
      <c r="Y170" s="134"/>
      <c r="Z170" s="115"/>
      <c r="AA170" s="134"/>
      <c r="AB170" s="152"/>
      <c r="AC170" s="134"/>
      <c r="AD170" s="134"/>
      <c r="AE170" s="134"/>
    </row>
    <row r="171" spans="2:31" x14ac:dyDescent="0.35">
      <c r="B171" s="115"/>
      <c r="C171" s="129"/>
      <c r="D171" s="129"/>
      <c r="E171" s="129"/>
      <c r="F171" s="129"/>
      <c r="G171" s="129"/>
      <c r="H171" s="110"/>
      <c r="I171" s="129"/>
      <c r="K171" s="129"/>
      <c r="L171" s="129"/>
      <c r="M171" s="129"/>
      <c r="O171" s="129"/>
      <c r="P171" s="129"/>
      <c r="R171" s="129"/>
      <c r="S171" s="140"/>
      <c r="T171" s="148"/>
      <c r="U171" s="129"/>
      <c r="V171" s="129"/>
      <c r="W171" s="129"/>
      <c r="X171" s="129"/>
      <c r="Y171" s="134"/>
      <c r="Z171" s="115"/>
      <c r="AA171" s="129"/>
      <c r="AB171" s="149"/>
      <c r="AC171" s="129"/>
      <c r="AD171" s="129"/>
      <c r="AE171" s="129"/>
    </row>
    <row r="172" spans="2:31" x14ac:dyDescent="0.35">
      <c r="B172" s="115"/>
      <c r="C172" s="129"/>
      <c r="D172" s="129"/>
      <c r="E172" s="129"/>
      <c r="F172" s="129"/>
      <c r="G172" s="129"/>
      <c r="H172" s="110"/>
      <c r="I172" s="129"/>
      <c r="J172" s="179"/>
      <c r="K172" s="178"/>
      <c r="L172" s="129"/>
      <c r="M172" s="129"/>
      <c r="O172" s="178"/>
      <c r="P172" s="129"/>
      <c r="R172" s="129"/>
      <c r="S172" s="140"/>
      <c r="T172" s="138"/>
      <c r="U172" s="147"/>
      <c r="V172" s="129"/>
      <c r="W172" s="134"/>
      <c r="X172" s="134"/>
      <c r="Y172" s="134"/>
      <c r="Z172" s="115"/>
      <c r="AA172" s="134"/>
      <c r="AB172" s="152"/>
      <c r="AC172" s="134"/>
      <c r="AD172" s="134"/>
      <c r="AE172" s="134"/>
    </row>
    <row r="173" spans="2:31" x14ac:dyDescent="0.35">
      <c r="B173" s="115"/>
      <c r="C173" s="129"/>
      <c r="D173" s="129"/>
      <c r="E173" s="129"/>
      <c r="F173" s="129"/>
      <c r="G173" s="129"/>
      <c r="H173" s="110"/>
      <c r="I173" s="129"/>
      <c r="K173" s="79"/>
      <c r="L173" s="129"/>
      <c r="M173" s="129"/>
      <c r="O173" s="129"/>
      <c r="P173" s="129"/>
      <c r="R173" s="129"/>
      <c r="S173" s="141"/>
      <c r="T173" s="124"/>
      <c r="U173" s="125"/>
      <c r="V173" s="129"/>
      <c r="W173" s="129"/>
      <c r="X173" s="129"/>
      <c r="Y173" s="129"/>
      <c r="Z173" s="115"/>
      <c r="AA173" s="129"/>
      <c r="AB173" s="149"/>
      <c r="AC173" s="129"/>
      <c r="AD173" s="129"/>
      <c r="AE173" s="129"/>
    </row>
    <row r="174" spans="2:31" x14ac:dyDescent="0.35">
      <c r="B174" s="115"/>
      <c r="C174" s="129"/>
      <c r="D174" s="129"/>
      <c r="E174" s="129"/>
      <c r="F174" s="129"/>
      <c r="G174" s="129"/>
      <c r="H174" s="110"/>
      <c r="I174" s="129"/>
      <c r="K174" s="137"/>
      <c r="L174" s="129"/>
      <c r="M174" s="129"/>
      <c r="O174" s="129"/>
      <c r="P174" s="129"/>
      <c r="R174" s="129"/>
      <c r="S174" s="141"/>
      <c r="T174" s="124"/>
      <c r="U174" s="125"/>
      <c r="V174" s="129"/>
      <c r="W174" s="129"/>
      <c r="X174" s="129"/>
      <c r="Y174" s="129"/>
      <c r="Z174" s="115"/>
      <c r="AA174" s="129"/>
      <c r="AB174" s="149"/>
      <c r="AC174" s="129"/>
      <c r="AD174" s="129"/>
      <c r="AE174" s="129"/>
    </row>
    <row r="175" spans="2:31" x14ac:dyDescent="0.35">
      <c r="B175" s="115"/>
      <c r="C175" s="129"/>
      <c r="D175" s="129"/>
      <c r="E175" s="129"/>
      <c r="F175" s="129"/>
      <c r="G175" s="129"/>
      <c r="H175" s="110"/>
      <c r="I175" s="129"/>
      <c r="K175" s="133"/>
      <c r="L175" s="129"/>
      <c r="M175" s="129"/>
      <c r="O175" s="129"/>
      <c r="P175" s="129"/>
      <c r="R175" s="129"/>
      <c r="S175" s="141"/>
      <c r="T175" s="139"/>
      <c r="U175" s="129"/>
      <c r="V175" s="129"/>
      <c r="W175" s="129"/>
      <c r="X175" s="129"/>
      <c r="Y175" s="129"/>
      <c r="Z175" s="115"/>
      <c r="AA175" s="129"/>
      <c r="AB175" s="149"/>
      <c r="AC175" s="129"/>
      <c r="AD175" s="139"/>
      <c r="AE175" s="129"/>
    </row>
    <row r="176" spans="2:31" x14ac:dyDescent="0.35">
      <c r="B176" s="115"/>
      <c r="C176" s="129"/>
      <c r="D176" s="129"/>
      <c r="E176" s="129"/>
      <c r="F176" s="129"/>
      <c r="G176" s="129"/>
      <c r="H176" s="110"/>
      <c r="I176" s="129"/>
      <c r="K176" s="133"/>
      <c r="L176" s="129"/>
      <c r="M176" s="129"/>
      <c r="O176" s="129"/>
      <c r="P176" s="129"/>
      <c r="R176" s="129"/>
      <c r="S176" s="141"/>
      <c r="T176" s="139"/>
      <c r="U176" s="129"/>
      <c r="V176" s="129"/>
      <c r="W176" s="129"/>
      <c r="X176" s="129"/>
      <c r="Y176" s="129"/>
      <c r="Z176" s="115"/>
      <c r="AA176" s="129"/>
      <c r="AB176" s="149"/>
      <c r="AC176" s="129"/>
      <c r="AD176" s="139"/>
      <c r="AE176" s="129"/>
    </row>
    <row r="177" spans="2:31" x14ac:dyDescent="0.35">
      <c r="B177" s="115"/>
      <c r="C177" s="129"/>
      <c r="D177" s="129"/>
      <c r="E177" s="129"/>
      <c r="F177" s="129"/>
      <c r="G177" s="129"/>
      <c r="H177" s="110"/>
      <c r="I177" s="129"/>
      <c r="K177" s="130"/>
      <c r="L177" s="129"/>
      <c r="M177" s="129"/>
      <c r="O177" s="129"/>
      <c r="P177" s="129"/>
      <c r="R177" s="129"/>
      <c r="S177" s="140"/>
      <c r="T177" s="138"/>
      <c r="U177" s="134"/>
      <c r="V177" s="134"/>
      <c r="W177" s="134"/>
      <c r="X177" s="134"/>
      <c r="Y177" s="134"/>
      <c r="Z177" s="115"/>
      <c r="AA177" s="134"/>
      <c r="AB177" s="152"/>
      <c r="AC177" s="153"/>
      <c r="AD177" s="150"/>
      <c r="AE177" s="129"/>
    </row>
    <row r="178" spans="2:31" x14ac:dyDescent="0.35">
      <c r="B178" s="115"/>
      <c r="C178" s="129"/>
      <c r="D178" s="129"/>
      <c r="E178" s="129"/>
      <c r="F178" s="129"/>
      <c r="G178" s="129"/>
      <c r="H178" s="110"/>
      <c r="I178" s="129"/>
      <c r="K178" s="79"/>
      <c r="L178" s="134"/>
      <c r="M178" s="134"/>
      <c r="O178" s="134"/>
      <c r="P178" s="129"/>
      <c r="R178" s="129"/>
      <c r="S178" s="140"/>
      <c r="T178" s="124"/>
      <c r="U178" s="125"/>
      <c r="V178" s="129"/>
      <c r="W178" s="129"/>
      <c r="X178" s="129"/>
      <c r="Y178" s="129"/>
      <c r="Z178" s="115"/>
      <c r="AA178" s="129"/>
      <c r="AB178" s="149"/>
      <c r="AC178" s="147"/>
      <c r="AD178" s="129"/>
      <c r="AE178" s="147"/>
    </row>
    <row r="179" spans="2:31" x14ac:dyDescent="0.35">
      <c r="B179" s="115"/>
      <c r="C179" s="129"/>
      <c r="D179" s="129"/>
      <c r="E179" s="129"/>
      <c r="F179" s="129"/>
      <c r="G179" s="129"/>
      <c r="H179" s="110"/>
      <c r="I179" s="129"/>
      <c r="K179" s="129"/>
      <c r="L179" s="129"/>
      <c r="M179" s="129"/>
      <c r="O179" s="129"/>
      <c r="P179" s="129"/>
      <c r="R179" s="129"/>
      <c r="S179" s="140"/>
      <c r="T179" s="138"/>
      <c r="U179" s="147"/>
      <c r="V179" s="129"/>
      <c r="W179" s="129"/>
      <c r="X179" s="129"/>
      <c r="Y179" s="129"/>
      <c r="Z179" s="115"/>
      <c r="AA179" s="129"/>
      <c r="AB179" s="149"/>
      <c r="AC179" s="129"/>
      <c r="AD179" s="129"/>
      <c r="AE179" s="129"/>
    </row>
    <row r="180" spans="2:31" x14ac:dyDescent="0.35">
      <c r="B180" s="115"/>
      <c r="C180" s="129"/>
      <c r="D180" s="129"/>
      <c r="E180" s="129"/>
      <c r="F180" s="129"/>
      <c r="G180" s="129"/>
      <c r="H180" s="110"/>
      <c r="I180" s="129"/>
      <c r="K180" s="134"/>
      <c r="L180" s="134"/>
      <c r="M180" s="134"/>
      <c r="O180" s="134"/>
      <c r="P180" s="134"/>
      <c r="R180" s="129"/>
      <c r="S180" s="140"/>
      <c r="T180" s="138"/>
      <c r="U180" s="147"/>
      <c r="V180" s="129"/>
      <c r="W180" s="129"/>
      <c r="X180" s="129"/>
      <c r="Y180" s="129"/>
      <c r="Z180" s="115"/>
      <c r="AA180" s="129"/>
      <c r="AB180" s="149"/>
      <c r="AC180" s="147"/>
      <c r="AD180" s="147"/>
      <c r="AE180" s="147"/>
    </row>
    <row r="181" spans="2:31" x14ac:dyDescent="0.35">
      <c r="B181" s="115"/>
      <c r="C181" s="129"/>
      <c r="D181" s="129"/>
      <c r="E181" s="129"/>
      <c r="F181" s="129"/>
      <c r="G181" s="129"/>
      <c r="H181" s="110"/>
      <c r="I181" s="129"/>
      <c r="K181" s="134"/>
      <c r="L181" s="134"/>
      <c r="M181" s="134"/>
      <c r="O181" s="134"/>
      <c r="P181" s="134"/>
      <c r="R181" s="129"/>
      <c r="S181" s="140"/>
      <c r="T181" s="138"/>
      <c r="U181" s="147"/>
      <c r="V181" s="129"/>
      <c r="W181" s="134"/>
      <c r="X181" s="134"/>
      <c r="Y181" s="134"/>
      <c r="Z181" s="115"/>
      <c r="AA181" s="134"/>
      <c r="AB181" s="152"/>
      <c r="AC181" s="134"/>
      <c r="AD181" s="134"/>
      <c r="AE181" s="134"/>
    </row>
    <row r="182" spans="2:31" x14ac:dyDescent="0.35">
      <c r="B182" s="115"/>
      <c r="C182" s="129"/>
      <c r="D182" s="129"/>
      <c r="E182" s="129"/>
      <c r="F182" s="129"/>
      <c r="G182" s="129"/>
      <c r="H182" s="110"/>
      <c r="I182" s="129"/>
      <c r="K182" s="129"/>
      <c r="L182" s="129"/>
      <c r="M182" s="129"/>
      <c r="O182" s="129"/>
      <c r="P182" s="129"/>
      <c r="R182" s="129"/>
      <c r="S182" s="140"/>
      <c r="T182" s="148"/>
      <c r="U182" s="129"/>
      <c r="V182" s="129"/>
      <c r="W182" s="129"/>
      <c r="X182" s="129"/>
      <c r="Y182" s="134"/>
      <c r="Z182" s="115"/>
      <c r="AA182" s="129"/>
      <c r="AB182" s="149"/>
      <c r="AC182" s="129"/>
      <c r="AD182" s="129"/>
      <c r="AE182" s="129"/>
    </row>
    <row r="183" spans="2:31" x14ac:dyDescent="0.35">
      <c r="B183" s="115"/>
      <c r="C183" s="129"/>
      <c r="D183" s="129"/>
      <c r="E183" s="129"/>
      <c r="F183" s="129"/>
      <c r="G183" s="129"/>
      <c r="H183" s="110"/>
      <c r="I183" s="129"/>
      <c r="J183" s="179"/>
      <c r="K183" s="178"/>
      <c r="L183" s="129"/>
      <c r="M183" s="129"/>
      <c r="O183" s="178"/>
      <c r="P183" s="129"/>
      <c r="R183" s="129"/>
      <c r="S183" s="140"/>
      <c r="T183" s="138"/>
      <c r="U183" s="147"/>
      <c r="V183" s="129"/>
      <c r="W183" s="134"/>
      <c r="X183" s="134"/>
      <c r="Y183" s="134"/>
      <c r="Z183" s="115"/>
      <c r="AA183" s="134"/>
      <c r="AB183" s="152"/>
      <c r="AC183" s="134"/>
      <c r="AD183" s="134"/>
      <c r="AE183" s="134"/>
    </row>
    <row r="184" spans="2:31" x14ac:dyDescent="0.35">
      <c r="B184" s="115"/>
      <c r="C184" s="129"/>
      <c r="D184" s="129"/>
      <c r="E184" s="129"/>
      <c r="F184" s="129"/>
      <c r="G184" s="129"/>
      <c r="H184" s="110"/>
      <c r="I184" s="129"/>
      <c r="K184" s="79"/>
      <c r="L184" s="129"/>
      <c r="M184" s="129"/>
      <c r="O184" s="129"/>
      <c r="P184" s="129"/>
      <c r="R184" s="129"/>
      <c r="S184" s="141"/>
      <c r="T184" s="124"/>
      <c r="U184" s="125"/>
      <c r="V184" s="129"/>
      <c r="W184" s="129"/>
      <c r="X184" s="129"/>
      <c r="Y184" s="129"/>
      <c r="Z184" s="115"/>
      <c r="AA184" s="129"/>
      <c r="AB184" s="149"/>
      <c r="AC184" s="129"/>
      <c r="AD184" s="129"/>
      <c r="AE184" s="129"/>
    </row>
    <row r="185" spans="2:31" x14ac:dyDescent="0.35">
      <c r="B185" s="115"/>
      <c r="C185" s="129"/>
      <c r="D185" s="129"/>
      <c r="E185" s="129"/>
      <c r="F185" s="129"/>
      <c r="G185" s="129"/>
      <c r="H185" s="110"/>
      <c r="I185" s="129"/>
      <c r="K185" s="137"/>
      <c r="L185" s="129"/>
      <c r="M185" s="129"/>
      <c r="O185" s="129"/>
      <c r="P185" s="129"/>
      <c r="R185" s="129"/>
      <c r="S185" s="141"/>
      <c r="T185" s="124"/>
      <c r="U185" s="125"/>
      <c r="V185" s="129"/>
      <c r="W185" s="129"/>
      <c r="X185" s="129"/>
      <c r="Y185" s="129"/>
      <c r="Z185" s="115"/>
      <c r="AA185" s="129"/>
      <c r="AB185" s="149"/>
      <c r="AC185" s="129"/>
      <c r="AD185" s="129"/>
      <c r="AE185" s="129"/>
    </row>
    <row r="186" spans="2:31" x14ac:dyDescent="0.35">
      <c r="B186" s="115"/>
      <c r="C186" s="129"/>
      <c r="D186" s="129"/>
      <c r="E186" s="129"/>
      <c r="F186" s="129"/>
      <c r="G186" s="129"/>
      <c r="H186" s="110"/>
      <c r="I186" s="129"/>
      <c r="K186" s="133"/>
      <c r="L186" s="129"/>
      <c r="M186" s="129"/>
      <c r="O186" s="129"/>
      <c r="P186" s="129"/>
      <c r="R186" s="129"/>
      <c r="S186" s="141"/>
      <c r="T186" s="139"/>
      <c r="U186" s="129"/>
      <c r="V186" s="129"/>
      <c r="W186" s="129"/>
      <c r="X186" s="129"/>
      <c r="Y186" s="129"/>
      <c r="Z186" s="115"/>
      <c r="AA186" s="129"/>
      <c r="AB186" s="149"/>
      <c r="AC186" s="129"/>
      <c r="AD186" s="139"/>
      <c r="AE186" s="129"/>
    </row>
    <row r="187" spans="2:31" x14ac:dyDescent="0.35">
      <c r="B187" s="115"/>
      <c r="C187" s="129"/>
      <c r="D187" s="129"/>
      <c r="E187" s="129"/>
      <c r="F187" s="129"/>
      <c r="G187" s="129"/>
      <c r="H187" s="110"/>
      <c r="I187" s="129"/>
      <c r="K187" s="133"/>
      <c r="L187" s="129"/>
      <c r="M187" s="129"/>
      <c r="O187" s="129"/>
      <c r="P187" s="129"/>
      <c r="R187" s="129"/>
      <c r="S187" s="141"/>
      <c r="T187" s="139"/>
      <c r="U187" s="129"/>
      <c r="V187" s="129"/>
      <c r="W187" s="129"/>
      <c r="X187" s="129"/>
      <c r="Y187" s="129"/>
      <c r="Z187" s="115"/>
      <c r="AA187" s="129"/>
      <c r="AB187" s="149"/>
      <c r="AC187" s="129"/>
      <c r="AD187" s="139"/>
      <c r="AE187" s="129"/>
    </row>
    <row r="188" spans="2:31" x14ac:dyDescent="0.35">
      <c r="B188" s="115"/>
      <c r="C188" s="129"/>
      <c r="D188" s="129"/>
      <c r="E188" s="129"/>
      <c r="F188" s="129"/>
      <c r="G188" s="129"/>
      <c r="H188" s="110"/>
      <c r="I188" s="129"/>
      <c r="K188" s="130"/>
      <c r="L188" s="129"/>
      <c r="M188" s="129"/>
      <c r="O188" s="129"/>
      <c r="P188" s="129"/>
      <c r="R188" s="129"/>
      <c r="S188" s="140"/>
      <c r="T188" s="138"/>
      <c r="U188" s="134"/>
      <c r="V188" s="134"/>
      <c r="W188" s="134"/>
      <c r="X188" s="134"/>
      <c r="Y188" s="134"/>
      <c r="Z188" s="115"/>
      <c r="AA188" s="134"/>
      <c r="AB188" s="152"/>
      <c r="AC188" s="153"/>
      <c r="AD188" s="150"/>
      <c r="AE188" s="129"/>
    </row>
    <row r="189" spans="2:31" x14ac:dyDescent="0.35">
      <c r="B189" s="115"/>
      <c r="C189" s="129"/>
      <c r="D189" s="129"/>
      <c r="E189" s="129"/>
      <c r="F189" s="129"/>
      <c r="G189" s="129"/>
      <c r="H189" s="110"/>
      <c r="I189" s="129"/>
      <c r="K189" s="79"/>
      <c r="L189" s="134"/>
      <c r="M189" s="134"/>
      <c r="O189" s="134"/>
      <c r="P189" s="129"/>
      <c r="R189" s="129"/>
      <c r="S189" s="140"/>
      <c r="T189" s="124"/>
      <c r="U189" s="125"/>
      <c r="V189" s="129"/>
      <c r="W189" s="129"/>
      <c r="X189" s="129"/>
      <c r="Y189" s="129"/>
      <c r="Z189" s="115"/>
      <c r="AA189" s="129"/>
      <c r="AB189" s="149"/>
      <c r="AC189" s="147"/>
      <c r="AD189" s="129"/>
      <c r="AE189" s="147"/>
    </row>
    <row r="190" spans="2:31" x14ac:dyDescent="0.35">
      <c r="B190" s="115"/>
      <c r="C190" s="129"/>
      <c r="D190" s="129"/>
      <c r="E190" s="129"/>
      <c r="F190" s="129"/>
      <c r="G190" s="129"/>
      <c r="H190" s="110"/>
      <c r="I190" s="129"/>
      <c r="K190" s="129"/>
      <c r="L190" s="129"/>
      <c r="M190" s="129"/>
      <c r="O190" s="129"/>
      <c r="P190" s="129"/>
      <c r="R190" s="129"/>
      <c r="S190" s="140"/>
      <c r="T190" s="138"/>
      <c r="U190" s="147"/>
      <c r="V190" s="129"/>
      <c r="W190" s="129"/>
      <c r="X190" s="129"/>
      <c r="Y190" s="129"/>
      <c r="Z190" s="115"/>
      <c r="AA190" s="129"/>
      <c r="AB190" s="149"/>
      <c r="AC190" s="129"/>
      <c r="AD190" s="129"/>
      <c r="AE190" s="129"/>
    </row>
    <row r="191" spans="2:31" x14ac:dyDescent="0.35">
      <c r="B191" s="115"/>
      <c r="C191" s="129"/>
      <c r="D191" s="129"/>
      <c r="E191" s="129"/>
      <c r="F191" s="129"/>
      <c r="G191" s="129"/>
      <c r="H191" s="110"/>
      <c r="I191" s="129"/>
      <c r="K191" s="134"/>
      <c r="L191" s="134"/>
      <c r="M191" s="134"/>
      <c r="O191" s="134"/>
      <c r="P191" s="134"/>
      <c r="R191" s="129"/>
      <c r="S191" s="140"/>
      <c r="T191" s="138"/>
      <c r="U191" s="147"/>
      <c r="V191" s="129"/>
      <c r="W191" s="129"/>
      <c r="X191" s="129"/>
      <c r="Y191" s="129"/>
      <c r="Z191" s="115"/>
      <c r="AA191" s="129"/>
      <c r="AB191" s="149"/>
      <c r="AC191" s="147"/>
      <c r="AD191" s="147"/>
      <c r="AE191" s="147"/>
    </row>
    <row r="192" spans="2:31" x14ac:dyDescent="0.35">
      <c r="B192" s="115"/>
      <c r="C192" s="129"/>
      <c r="D192" s="129"/>
      <c r="E192" s="129"/>
      <c r="F192" s="129"/>
      <c r="G192" s="129"/>
      <c r="H192" s="110"/>
      <c r="I192" s="129"/>
      <c r="K192" s="134"/>
      <c r="L192" s="134"/>
      <c r="M192" s="134"/>
      <c r="O192" s="134"/>
      <c r="P192" s="134"/>
      <c r="R192" s="129"/>
      <c r="S192" s="140"/>
      <c r="T192" s="138"/>
      <c r="U192" s="147"/>
      <c r="V192" s="129"/>
      <c r="W192" s="134"/>
      <c r="X192" s="134"/>
      <c r="Y192" s="134"/>
      <c r="Z192" s="115"/>
      <c r="AA192" s="134"/>
      <c r="AB192" s="152"/>
      <c r="AC192" s="134"/>
      <c r="AD192" s="134"/>
      <c r="AE192" s="134"/>
    </row>
    <row r="193" spans="2:31" x14ac:dyDescent="0.35">
      <c r="B193" s="115"/>
      <c r="C193" s="129"/>
      <c r="D193" s="129"/>
      <c r="E193" s="129"/>
      <c r="F193" s="129"/>
      <c r="G193" s="129"/>
      <c r="H193" s="110"/>
      <c r="I193" s="129"/>
      <c r="K193" s="129"/>
      <c r="L193" s="129"/>
      <c r="M193" s="129"/>
      <c r="O193" s="129"/>
      <c r="P193" s="129"/>
      <c r="R193" s="129"/>
      <c r="S193" s="140"/>
      <c r="T193" s="148"/>
      <c r="U193" s="129"/>
      <c r="V193" s="129"/>
      <c r="W193" s="129"/>
      <c r="X193" s="129"/>
      <c r="Y193" s="134"/>
      <c r="Z193" s="115"/>
      <c r="AA193" s="129"/>
      <c r="AB193" s="149"/>
      <c r="AC193" s="129"/>
      <c r="AD193" s="129"/>
      <c r="AE193" s="129"/>
    </row>
    <row r="194" spans="2:31" x14ac:dyDescent="0.35">
      <c r="B194" s="115"/>
      <c r="C194" s="129"/>
      <c r="D194" s="129"/>
      <c r="E194" s="129"/>
      <c r="F194" s="129"/>
      <c r="G194" s="129"/>
      <c r="H194" s="110"/>
      <c r="I194" s="129"/>
      <c r="J194" s="179"/>
      <c r="K194" s="178"/>
      <c r="L194" s="129"/>
      <c r="M194" s="129"/>
      <c r="O194" s="178"/>
      <c r="P194" s="129"/>
      <c r="R194" s="129"/>
      <c r="S194" s="140"/>
      <c r="T194" s="138"/>
      <c r="U194" s="147"/>
      <c r="V194" s="129"/>
      <c r="W194" s="134"/>
      <c r="X194" s="134"/>
      <c r="Y194" s="134"/>
      <c r="Z194" s="115"/>
      <c r="AA194" s="134"/>
      <c r="AB194" s="152"/>
      <c r="AC194" s="134"/>
      <c r="AD194" s="134"/>
      <c r="AE194" s="134"/>
    </row>
    <row r="195" spans="2:31" x14ac:dyDescent="0.35">
      <c r="B195" s="115"/>
      <c r="C195" s="129"/>
      <c r="D195" s="129"/>
      <c r="E195" s="129"/>
      <c r="F195" s="129"/>
      <c r="G195" s="129"/>
      <c r="H195" s="110"/>
      <c r="I195" s="129"/>
      <c r="K195" s="129"/>
      <c r="L195" s="129"/>
      <c r="M195" s="129"/>
      <c r="O195" s="129"/>
      <c r="P195" s="129"/>
      <c r="R195" s="129"/>
      <c r="S195" s="141"/>
      <c r="T195" s="141"/>
      <c r="U195" s="141"/>
      <c r="V195" s="129"/>
      <c r="W195" s="129"/>
      <c r="X195" s="129"/>
      <c r="Y195" s="129"/>
      <c r="Z195" s="115"/>
      <c r="AA195" s="129"/>
      <c r="AB195" s="129"/>
      <c r="AC195" s="129"/>
      <c r="AD195" s="141"/>
      <c r="AE195" s="129"/>
    </row>
    <row r="196" spans="2:31" x14ac:dyDescent="0.35">
      <c r="B196" s="115"/>
      <c r="C196" s="129"/>
      <c r="D196" s="129"/>
      <c r="E196" s="129"/>
      <c r="F196" s="129"/>
      <c r="G196" s="129"/>
      <c r="H196" s="110"/>
      <c r="I196" s="129"/>
      <c r="K196" s="130"/>
      <c r="L196" s="129"/>
      <c r="M196" s="129"/>
      <c r="O196" s="129"/>
      <c r="P196" s="129"/>
      <c r="R196" s="129"/>
      <c r="S196" s="140"/>
      <c r="T196" s="138"/>
      <c r="U196" s="134"/>
      <c r="V196" s="134"/>
      <c r="W196" s="134"/>
      <c r="X196" s="134"/>
      <c r="Y196" s="134"/>
      <c r="Z196" s="115"/>
      <c r="AA196" s="134"/>
      <c r="AB196" s="152"/>
      <c r="AC196" s="153"/>
      <c r="AD196" s="150"/>
      <c r="AE196" s="129"/>
    </row>
    <row r="197" spans="2:31" x14ac:dyDescent="0.35">
      <c r="B197" s="115"/>
      <c r="C197" s="129"/>
      <c r="D197" s="129"/>
      <c r="E197" s="129"/>
      <c r="F197" s="129"/>
      <c r="G197" s="129"/>
      <c r="H197" s="110"/>
      <c r="I197" s="129"/>
      <c r="K197" s="79"/>
      <c r="L197" s="134"/>
      <c r="M197" s="134"/>
      <c r="O197" s="134"/>
      <c r="P197" s="129"/>
      <c r="R197" s="129"/>
      <c r="S197" s="140"/>
      <c r="T197" s="124"/>
      <c r="U197" s="125"/>
      <c r="V197" s="129"/>
      <c r="W197" s="129"/>
      <c r="X197" s="129"/>
      <c r="Y197" s="129"/>
      <c r="Z197" s="115"/>
      <c r="AA197" s="129"/>
      <c r="AB197" s="149"/>
      <c r="AC197" s="147"/>
      <c r="AD197" s="129"/>
      <c r="AE197" s="147"/>
    </row>
    <row r="198" spans="2:31" x14ac:dyDescent="0.35">
      <c r="B198" s="115"/>
      <c r="C198" s="129"/>
      <c r="D198" s="129"/>
      <c r="E198" s="129"/>
      <c r="F198" s="129"/>
      <c r="G198" s="129"/>
      <c r="H198" s="110"/>
      <c r="I198" s="129"/>
      <c r="K198" s="129"/>
      <c r="L198" s="129"/>
      <c r="M198" s="129"/>
      <c r="O198" s="129"/>
      <c r="P198" s="129"/>
      <c r="R198" s="129"/>
      <c r="S198" s="140"/>
      <c r="T198" s="138"/>
      <c r="U198" s="147"/>
      <c r="V198" s="129"/>
      <c r="W198" s="129"/>
      <c r="X198" s="129"/>
      <c r="Y198" s="129"/>
      <c r="Z198" s="115"/>
      <c r="AA198" s="129"/>
      <c r="AB198" s="149"/>
      <c r="AC198" s="129"/>
      <c r="AD198" s="129"/>
      <c r="AE198" s="129"/>
    </row>
    <row r="199" spans="2:31" x14ac:dyDescent="0.35">
      <c r="B199" s="115"/>
      <c r="C199" s="129"/>
      <c r="D199" s="129"/>
      <c r="E199" s="129"/>
      <c r="F199" s="129"/>
      <c r="G199" s="129"/>
      <c r="H199" s="110"/>
      <c r="I199" s="129"/>
      <c r="K199" s="134"/>
      <c r="L199" s="134"/>
      <c r="M199" s="134"/>
      <c r="O199" s="134"/>
      <c r="P199" s="134"/>
      <c r="R199" s="129"/>
      <c r="S199" s="140"/>
      <c r="T199" s="138"/>
      <c r="U199" s="147"/>
      <c r="V199" s="129"/>
      <c r="W199" s="129"/>
      <c r="X199" s="129"/>
      <c r="Y199" s="129"/>
      <c r="Z199" s="115"/>
      <c r="AA199" s="129"/>
      <c r="AB199" s="149"/>
      <c r="AC199" s="147"/>
      <c r="AD199" s="147"/>
      <c r="AE199" s="147"/>
    </row>
    <row r="200" spans="2:31" x14ac:dyDescent="0.35">
      <c r="B200" s="115"/>
      <c r="C200" s="129"/>
      <c r="D200" s="129"/>
      <c r="E200" s="129"/>
      <c r="F200" s="129"/>
      <c r="G200" s="129"/>
      <c r="H200" s="110"/>
      <c r="I200" s="129"/>
      <c r="K200" s="129"/>
      <c r="L200" s="129"/>
      <c r="M200" s="129"/>
      <c r="O200" s="129"/>
      <c r="P200" s="129"/>
      <c r="R200" s="129"/>
      <c r="S200" s="140"/>
      <c r="T200" s="148"/>
      <c r="U200" s="129"/>
      <c r="V200" s="129"/>
      <c r="W200" s="129"/>
      <c r="X200" s="129"/>
      <c r="Y200" s="134"/>
      <c r="Z200" s="115"/>
      <c r="AA200" s="129"/>
      <c r="AB200" s="149"/>
      <c r="AC200" s="129"/>
      <c r="AD200" s="129"/>
      <c r="AE200" s="129"/>
    </row>
    <row r="201" spans="2:31" x14ac:dyDescent="0.35">
      <c r="B201" s="115"/>
      <c r="C201" s="129"/>
      <c r="D201" s="129"/>
      <c r="E201" s="129"/>
      <c r="F201" s="129"/>
      <c r="G201" s="129"/>
      <c r="H201" s="110"/>
      <c r="I201" s="129"/>
      <c r="J201" s="179"/>
      <c r="K201" s="178"/>
      <c r="L201" s="129"/>
      <c r="M201" s="129"/>
      <c r="O201" s="178"/>
      <c r="P201" s="129"/>
      <c r="R201" s="129"/>
      <c r="S201" s="140"/>
      <c r="T201" s="138"/>
      <c r="U201" s="147"/>
      <c r="V201" s="129"/>
      <c r="W201" s="134"/>
      <c r="X201" s="134"/>
      <c r="Y201" s="134"/>
      <c r="Z201" s="115"/>
      <c r="AA201" s="134"/>
      <c r="AB201" s="152"/>
      <c r="AC201" s="134"/>
      <c r="AD201" s="134"/>
      <c r="AE201" s="134"/>
    </row>
    <row r="202" spans="2:31" x14ac:dyDescent="0.35">
      <c r="B202" s="115"/>
      <c r="C202" s="129"/>
      <c r="D202" s="129"/>
      <c r="E202" s="129"/>
      <c r="F202" s="129"/>
      <c r="G202" s="129"/>
      <c r="H202" s="110"/>
      <c r="I202" s="129"/>
      <c r="K202" s="137"/>
      <c r="L202" s="129"/>
      <c r="M202" s="129"/>
      <c r="O202" s="129"/>
      <c r="P202" s="129"/>
      <c r="R202" s="129"/>
      <c r="S202" s="142"/>
      <c r="T202" s="124"/>
      <c r="U202" s="125"/>
      <c r="V202" s="129"/>
      <c r="W202" s="129"/>
      <c r="X202" s="129"/>
      <c r="Y202" s="129"/>
      <c r="Z202" s="115"/>
      <c r="AA202" s="129"/>
      <c r="AB202" s="129"/>
      <c r="AC202" s="129"/>
      <c r="AD202" s="129"/>
      <c r="AE202" s="129"/>
    </row>
    <row r="203" spans="2:31" x14ac:dyDescent="0.35">
      <c r="B203" s="115"/>
      <c r="C203" s="129"/>
      <c r="D203" s="129"/>
      <c r="E203" s="129"/>
      <c r="F203" s="129"/>
      <c r="G203" s="129"/>
      <c r="H203" s="110"/>
      <c r="I203" s="129"/>
      <c r="K203" s="136"/>
      <c r="L203" s="129"/>
      <c r="M203" s="129"/>
      <c r="O203" s="129"/>
      <c r="P203" s="129"/>
      <c r="R203" s="129"/>
      <c r="S203" s="141"/>
      <c r="T203" s="139"/>
      <c r="U203" s="129"/>
      <c r="V203" s="129"/>
      <c r="W203" s="129"/>
      <c r="X203" s="129"/>
      <c r="Y203" s="129"/>
      <c r="Z203" s="115"/>
      <c r="AA203" s="129"/>
      <c r="AB203" s="149"/>
      <c r="AC203" s="129"/>
      <c r="AD203" s="129"/>
      <c r="AE203" s="129"/>
    </row>
    <row r="204" spans="2:31" x14ac:dyDescent="0.35">
      <c r="B204" s="115"/>
      <c r="C204" s="129"/>
      <c r="D204" s="129"/>
      <c r="E204" s="129"/>
      <c r="F204" s="129"/>
      <c r="G204" s="129"/>
      <c r="H204" s="110"/>
      <c r="I204" s="129"/>
      <c r="K204" s="79"/>
      <c r="L204" s="134"/>
      <c r="M204" s="134"/>
      <c r="O204" s="134"/>
      <c r="P204" s="129"/>
      <c r="R204" s="129"/>
      <c r="S204" s="140"/>
      <c r="T204" s="124"/>
      <c r="U204" s="125"/>
      <c r="V204" s="129"/>
      <c r="W204" s="129"/>
      <c r="X204" s="129"/>
      <c r="Y204" s="129"/>
      <c r="Z204" s="115"/>
      <c r="AA204" s="129"/>
      <c r="AB204" s="149"/>
      <c r="AC204" s="147"/>
      <c r="AD204" s="129"/>
      <c r="AE204" s="147"/>
    </row>
    <row r="205" spans="2:31" x14ac:dyDescent="0.35">
      <c r="B205" s="115"/>
      <c r="C205" s="129"/>
      <c r="D205" s="129"/>
      <c r="E205" s="129"/>
      <c r="F205" s="129"/>
      <c r="G205" s="129"/>
      <c r="H205" s="110"/>
      <c r="I205" s="129"/>
      <c r="K205" s="129"/>
      <c r="L205" s="129"/>
      <c r="M205" s="129"/>
      <c r="O205" s="129"/>
      <c r="P205" s="129"/>
      <c r="R205" s="129"/>
      <c r="S205" s="140"/>
      <c r="T205" s="138"/>
      <c r="U205" s="147"/>
      <c r="V205" s="129"/>
      <c r="W205" s="129"/>
      <c r="X205" s="129"/>
      <c r="Y205" s="129"/>
      <c r="Z205" s="115"/>
      <c r="AA205" s="129"/>
      <c r="AB205" s="149"/>
      <c r="AC205" s="129"/>
      <c r="AD205" s="129"/>
      <c r="AE205" s="129"/>
    </row>
    <row r="206" spans="2:31" x14ac:dyDescent="0.35">
      <c r="B206" s="115"/>
      <c r="C206" s="129"/>
      <c r="D206" s="129"/>
      <c r="E206" s="129"/>
      <c r="F206" s="129"/>
      <c r="G206" s="129"/>
      <c r="H206" s="110"/>
      <c r="I206" s="129"/>
      <c r="K206" s="134"/>
      <c r="L206" s="134"/>
      <c r="M206" s="134"/>
      <c r="O206" s="134"/>
      <c r="P206" s="134"/>
      <c r="R206" s="129"/>
      <c r="S206" s="140"/>
      <c r="T206" s="138"/>
      <c r="U206" s="147"/>
      <c r="V206" s="129"/>
      <c r="W206" s="129"/>
      <c r="X206" s="129"/>
      <c r="Y206" s="129"/>
      <c r="Z206" s="115"/>
      <c r="AA206" s="129"/>
      <c r="AB206" s="149"/>
      <c r="AC206" s="147"/>
      <c r="AD206" s="147"/>
      <c r="AE206" s="147"/>
    </row>
    <row r="207" spans="2:31" x14ac:dyDescent="0.35">
      <c r="B207" s="115"/>
      <c r="C207" s="129"/>
      <c r="D207" s="129"/>
      <c r="E207" s="129"/>
      <c r="F207" s="129"/>
      <c r="G207" s="129"/>
      <c r="H207" s="110"/>
      <c r="I207" s="129"/>
      <c r="K207" s="129"/>
      <c r="L207" s="129"/>
      <c r="M207" s="129"/>
      <c r="O207" s="129"/>
      <c r="P207" s="129"/>
      <c r="R207" s="129"/>
      <c r="S207" s="140"/>
      <c r="T207" s="148"/>
      <c r="U207" s="129"/>
      <c r="V207" s="129"/>
      <c r="W207" s="129"/>
      <c r="X207" s="129"/>
      <c r="Y207" s="134"/>
      <c r="Z207" s="115"/>
      <c r="AA207" s="129"/>
      <c r="AB207" s="149"/>
      <c r="AC207" s="129"/>
      <c r="AD207" s="129"/>
      <c r="AE207" s="129"/>
    </row>
    <row r="208" spans="2:31" x14ac:dyDescent="0.35">
      <c r="B208" s="115"/>
      <c r="C208" s="129"/>
      <c r="D208" s="129"/>
      <c r="E208" s="129"/>
      <c r="F208" s="129"/>
      <c r="G208" s="129"/>
      <c r="H208" s="110"/>
      <c r="I208" s="129"/>
      <c r="J208" s="179"/>
      <c r="K208" s="178"/>
      <c r="L208" s="129"/>
      <c r="M208" s="129"/>
      <c r="O208" s="178"/>
      <c r="P208" s="129"/>
      <c r="R208" s="129"/>
      <c r="S208" s="140"/>
      <c r="T208" s="138"/>
      <c r="U208" s="147"/>
      <c r="V208" s="129"/>
      <c r="W208" s="134"/>
      <c r="X208" s="134"/>
      <c r="Y208" s="134"/>
      <c r="Z208" s="115"/>
      <c r="AA208" s="134"/>
      <c r="AB208" s="152"/>
      <c r="AC208" s="134"/>
      <c r="AD208" s="134"/>
      <c r="AE208" s="134"/>
    </row>
    <row r="209" spans="2:31" x14ac:dyDescent="0.35">
      <c r="B209" s="115"/>
      <c r="C209" s="129"/>
      <c r="D209" s="129"/>
      <c r="E209" s="129"/>
      <c r="F209" s="129"/>
      <c r="G209" s="129"/>
      <c r="H209" s="110"/>
      <c r="I209" s="129"/>
      <c r="K209" s="137"/>
      <c r="L209" s="129"/>
      <c r="M209" s="129"/>
      <c r="O209" s="129"/>
      <c r="P209" s="129"/>
      <c r="R209" s="129"/>
      <c r="S209" s="161"/>
      <c r="T209" s="124"/>
      <c r="U209" s="125"/>
      <c r="V209" s="129"/>
      <c r="W209" s="129"/>
      <c r="X209" s="129"/>
      <c r="Y209" s="129"/>
      <c r="Z209" s="115"/>
      <c r="AA209" s="129"/>
      <c r="AB209" s="129"/>
      <c r="AC209" s="129"/>
      <c r="AD209" s="129"/>
      <c r="AE209" s="129"/>
    </row>
    <row r="210" spans="2:31" x14ac:dyDescent="0.35">
      <c r="B210" s="115"/>
      <c r="C210" s="129"/>
      <c r="D210" s="129"/>
      <c r="E210" s="129"/>
      <c r="F210" s="129"/>
      <c r="G210" s="129"/>
      <c r="H210" s="110"/>
      <c r="I210" s="129"/>
      <c r="K210" s="136"/>
      <c r="L210" s="129"/>
      <c r="M210" s="129"/>
      <c r="O210" s="129"/>
      <c r="P210" s="129"/>
      <c r="R210" s="129"/>
      <c r="S210" s="141"/>
      <c r="T210" s="139"/>
      <c r="U210" s="129"/>
      <c r="V210" s="129"/>
      <c r="W210" s="129"/>
      <c r="X210" s="129"/>
      <c r="Y210" s="129"/>
      <c r="Z210" s="115"/>
      <c r="AA210" s="129"/>
      <c r="AB210" s="149"/>
      <c r="AC210" s="129"/>
      <c r="AD210" s="129"/>
      <c r="AE210" s="129"/>
    </row>
    <row r="211" spans="2:31" x14ac:dyDescent="0.35">
      <c r="B211" s="115"/>
      <c r="C211" s="129"/>
      <c r="D211" s="129"/>
      <c r="E211" s="129"/>
      <c r="F211" s="129"/>
      <c r="G211" s="129"/>
      <c r="H211" s="110"/>
      <c r="I211" s="129"/>
      <c r="K211" s="79"/>
      <c r="L211" s="134"/>
      <c r="M211" s="134"/>
      <c r="O211" s="134"/>
      <c r="P211" s="129"/>
      <c r="R211" s="129"/>
      <c r="S211" s="140"/>
      <c r="T211" s="124"/>
      <c r="U211" s="125"/>
      <c r="V211" s="129"/>
      <c r="W211" s="129"/>
      <c r="X211" s="129"/>
      <c r="Y211" s="129"/>
      <c r="Z211" s="115"/>
      <c r="AA211" s="129"/>
      <c r="AB211" s="149"/>
      <c r="AC211" s="147"/>
      <c r="AD211" s="129"/>
      <c r="AE211" s="147"/>
    </row>
    <row r="212" spans="2:31" x14ac:dyDescent="0.35">
      <c r="B212" s="115"/>
      <c r="C212" s="129"/>
      <c r="D212" s="129"/>
      <c r="E212" s="129"/>
      <c r="F212" s="129"/>
      <c r="G212" s="129"/>
      <c r="H212" s="110"/>
      <c r="I212" s="129"/>
      <c r="K212" s="129"/>
      <c r="L212" s="129"/>
      <c r="M212" s="129"/>
      <c r="O212" s="129"/>
      <c r="P212" s="129"/>
      <c r="R212" s="129"/>
      <c r="S212" s="140"/>
      <c r="T212" s="138"/>
      <c r="U212" s="147"/>
      <c r="V212" s="129"/>
      <c r="W212" s="129"/>
      <c r="X212" s="129"/>
      <c r="Y212" s="129"/>
      <c r="Z212" s="115"/>
      <c r="AA212" s="129"/>
      <c r="AB212" s="149"/>
      <c r="AC212" s="129"/>
      <c r="AD212" s="129"/>
      <c r="AE212" s="129"/>
    </row>
    <row r="213" spans="2:31" x14ac:dyDescent="0.35">
      <c r="B213" s="115"/>
      <c r="C213" s="129"/>
      <c r="D213" s="129"/>
      <c r="E213" s="129"/>
      <c r="F213" s="129"/>
      <c r="G213" s="129"/>
      <c r="H213" s="110"/>
      <c r="I213" s="129"/>
      <c r="K213" s="134"/>
      <c r="L213" s="134"/>
      <c r="M213" s="134"/>
      <c r="O213" s="134"/>
      <c r="P213" s="134"/>
      <c r="R213" s="129"/>
      <c r="S213" s="140"/>
      <c r="T213" s="138"/>
      <c r="U213" s="147"/>
      <c r="V213" s="129"/>
      <c r="W213" s="129"/>
      <c r="X213" s="129"/>
      <c r="Y213" s="129"/>
      <c r="Z213" s="115"/>
      <c r="AA213" s="129"/>
      <c r="AB213" s="149"/>
      <c r="AC213" s="147"/>
      <c r="AD213" s="147"/>
      <c r="AE213" s="147"/>
    </row>
    <row r="214" spans="2:31" x14ac:dyDescent="0.35">
      <c r="B214" s="115"/>
      <c r="C214" s="129"/>
      <c r="D214" s="129"/>
      <c r="E214" s="129"/>
      <c r="F214" s="129"/>
      <c r="G214" s="129"/>
      <c r="H214" s="110"/>
      <c r="I214" s="129"/>
      <c r="K214" s="129"/>
      <c r="L214" s="129"/>
      <c r="M214" s="129"/>
      <c r="O214" s="129"/>
      <c r="P214" s="129"/>
      <c r="R214" s="129"/>
      <c r="S214" s="140"/>
      <c r="T214" s="148"/>
      <c r="U214" s="129"/>
      <c r="V214" s="129"/>
      <c r="W214" s="129"/>
      <c r="X214" s="129"/>
      <c r="Y214" s="134"/>
      <c r="Z214" s="115"/>
      <c r="AA214" s="129"/>
      <c r="AB214" s="149"/>
      <c r="AC214" s="129"/>
      <c r="AD214" s="129"/>
      <c r="AE214" s="129"/>
    </row>
    <row r="215" spans="2:31" x14ac:dyDescent="0.35">
      <c r="B215" s="115"/>
      <c r="C215" s="129"/>
      <c r="D215" s="129"/>
      <c r="E215" s="129"/>
      <c r="F215" s="129"/>
      <c r="G215" s="129"/>
      <c r="H215" s="110"/>
      <c r="I215" s="129"/>
      <c r="J215" s="179"/>
      <c r="K215" s="178"/>
      <c r="L215" s="129"/>
      <c r="M215" s="129"/>
      <c r="O215" s="178"/>
      <c r="P215" s="129"/>
      <c r="R215" s="129"/>
      <c r="S215" s="140"/>
      <c r="T215" s="138"/>
      <c r="U215" s="147"/>
      <c r="V215" s="129"/>
      <c r="W215" s="134"/>
      <c r="X215" s="134"/>
      <c r="Y215" s="134"/>
      <c r="Z215" s="115"/>
      <c r="AA215" s="134"/>
      <c r="AB215" s="152"/>
      <c r="AC215" s="134"/>
      <c r="AD215" s="134"/>
      <c r="AE215" s="134"/>
    </row>
    <row r="216" spans="2:31" x14ac:dyDescent="0.35">
      <c r="B216" s="115"/>
      <c r="C216" s="129"/>
      <c r="D216" s="129"/>
      <c r="E216" s="129"/>
      <c r="F216" s="129"/>
      <c r="G216" s="129"/>
      <c r="H216" s="110"/>
      <c r="I216" s="129"/>
      <c r="K216" s="137"/>
      <c r="L216" s="129"/>
      <c r="M216" s="129"/>
      <c r="O216" s="129"/>
      <c r="P216" s="129"/>
      <c r="R216" s="129"/>
      <c r="S216" s="161"/>
      <c r="T216" s="124"/>
      <c r="U216" s="125"/>
      <c r="V216" s="129"/>
      <c r="W216" s="129"/>
      <c r="X216" s="129"/>
      <c r="Y216" s="129"/>
      <c r="Z216" s="115"/>
      <c r="AA216" s="129"/>
      <c r="AB216" s="129"/>
      <c r="AC216" s="129"/>
      <c r="AD216" s="129"/>
      <c r="AE216" s="129"/>
    </row>
    <row r="217" spans="2:31" x14ac:dyDescent="0.35">
      <c r="B217" s="115"/>
      <c r="C217" s="129"/>
      <c r="D217" s="129"/>
      <c r="E217" s="129"/>
      <c r="F217" s="129"/>
      <c r="G217" s="129"/>
      <c r="H217" s="110"/>
      <c r="I217" s="129"/>
      <c r="K217" s="137"/>
      <c r="L217" s="129"/>
      <c r="M217" s="129"/>
      <c r="O217" s="129"/>
      <c r="P217" s="129"/>
      <c r="R217" s="129"/>
      <c r="S217" s="141"/>
      <c r="T217" s="124"/>
      <c r="U217" s="125"/>
      <c r="V217" s="129"/>
      <c r="W217" s="129"/>
      <c r="X217" s="129"/>
      <c r="Y217" s="129"/>
      <c r="Z217" s="115"/>
      <c r="AA217" s="129"/>
      <c r="AB217" s="149"/>
      <c r="AC217" s="129"/>
      <c r="AD217" s="129"/>
      <c r="AE217" s="129"/>
    </row>
    <row r="218" spans="2:31" x14ac:dyDescent="0.35">
      <c r="B218" s="115"/>
      <c r="C218" s="129"/>
      <c r="D218" s="129"/>
      <c r="E218" s="129"/>
      <c r="F218" s="129"/>
      <c r="G218" s="129"/>
      <c r="H218" s="110"/>
      <c r="I218" s="129"/>
      <c r="K218" s="134"/>
      <c r="L218" s="134"/>
      <c r="M218" s="134"/>
      <c r="O218" s="134"/>
      <c r="P218" s="134"/>
      <c r="R218" s="129"/>
      <c r="S218" s="140"/>
      <c r="T218" s="138"/>
      <c r="U218" s="147"/>
      <c r="V218" s="129"/>
      <c r="W218" s="129"/>
      <c r="X218" s="129"/>
      <c r="Y218" s="129"/>
      <c r="Z218" s="115"/>
      <c r="AA218" s="129"/>
      <c r="AB218" s="149"/>
      <c r="AC218" s="147"/>
      <c r="AD218" s="147"/>
      <c r="AE218" s="147"/>
    </row>
    <row r="219" spans="2:31" x14ac:dyDescent="0.35">
      <c r="B219" s="115"/>
      <c r="C219" s="129"/>
      <c r="D219" s="129"/>
      <c r="E219" s="129"/>
      <c r="F219" s="129"/>
      <c r="G219" s="129"/>
      <c r="H219" s="110"/>
      <c r="I219" s="129"/>
      <c r="K219" s="134"/>
      <c r="L219" s="134"/>
      <c r="M219" s="134"/>
      <c r="O219" s="134"/>
      <c r="P219" s="134"/>
      <c r="R219" s="129"/>
      <c r="S219" s="140"/>
      <c r="T219" s="138"/>
      <c r="U219" s="147"/>
      <c r="V219" s="129"/>
      <c r="W219" s="134"/>
      <c r="X219" s="134"/>
      <c r="Y219" s="134"/>
      <c r="Z219" s="115"/>
      <c r="AA219" s="134"/>
      <c r="AB219" s="152"/>
      <c r="AC219" s="134"/>
      <c r="AD219" s="134"/>
      <c r="AE219" s="134"/>
    </row>
    <row r="220" spans="2:31" x14ac:dyDescent="0.35">
      <c r="B220" s="115"/>
      <c r="C220" s="129"/>
      <c r="D220" s="129"/>
      <c r="E220" s="129"/>
      <c r="F220" s="129"/>
      <c r="G220" s="129"/>
      <c r="H220" s="110"/>
      <c r="I220" s="129"/>
      <c r="K220" s="129"/>
      <c r="L220" s="129"/>
      <c r="M220" s="129"/>
      <c r="O220" s="129"/>
      <c r="P220" s="129"/>
      <c r="R220" s="129"/>
      <c r="S220" s="140"/>
      <c r="T220" s="148"/>
      <c r="U220" s="129"/>
      <c r="V220" s="129"/>
      <c r="W220" s="129"/>
      <c r="X220" s="129"/>
      <c r="Y220" s="134"/>
      <c r="Z220" s="115"/>
      <c r="AA220" s="129"/>
      <c r="AB220" s="149"/>
      <c r="AC220" s="129"/>
      <c r="AD220" s="129"/>
      <c r="AE220" s="129"/>
    </row>
    <row r="221" spans="2:31" x14ac:dyDescent="0.35">
      <c r="B221" s="115"/>
      <c r="C221" s="129"/>
      <c r="D221" s="129"/>
      <c r="E221" s="129"/>
      <c r="F221" s="129"/>
      <c r="G221" s="129"/>
      <c r="H221" s="110"/>
      <c r="I221" s="129"/>
      <c r="K221" s="130"/>
      <c r="L221" s="129"/>
      <c r="M221" s="129"/>
      <c r="O221" s="129"/>
      <c r="P221" s="129"/>
      <c r="R221" s="129"/>
      <c r="S221" s="140"/>
      <c r="T221" s="138"/>
      <c r="U221" s="134"/>
      <c r="V221" s="134"/>
      <c r="W221" s="134"/>
      <c r="X221" s="134"/>
      <c r="Y221" s="134"/>
      <c r="Z221" s="115"/>
      <c r="AA221" s="134"/>
      <c r="AB221" s="152"/>
      <c r="AC221" s="153"/>
      <c r="AD221" s="150"/>
      <c r="AE221" s="129"/>
    </row>
    <row r="222" spans="2:31" x14ac:dyDescent="0.35">
      <c r="B222" s="115"/>
      <c r="C222" s="129"/>
      <c r="D222" s="129"/>
      <c r="E222" s="129"/>
      <c r="F222" s="129"/>
      <c r="G222" s="129"/>
      <c r="H222" s="110"/>
      <c r="I222" s="129"/>
      <c r="K222" s="79"/>
      <c r="L222" s="134"/>
      <c r="M222" s="134"/>
      <c r="O222" s="134"/>
      <c r="P222" s="129"/>
      <c r="R222" s="129"/>
      <c r="S222" s="140"/>
      <c r="T222" s="124"/>
      <c r="U222" s="125"/>
      <c r="V222" s="129"/>
      <c r="W222" s="129"/>
      <c r="X222" s="129"/>
      <c r="Y222" s="129"/>
      <c r="Z222" s="115"/>
      <c r="AA222" s="129"/>
      <c r="AB222" s="149"/>
      <c r="AC222" s="147"/>
      <c r="AD222" s="129"/>
      <c r="AE222" s="147"/>
    </row>
    <row r="223" spans="2:31" x14ac:dyDescent="0.35">
      <c r="B223" s="115"/>
      <c r="C223" s="129"/>
      <c r="D223" s="129"/>
      <c r="E223" s="129"/>
      <c r="F223" s="129"/>
      <c r="G223" s="129"/>
      <c r="H223" s="110"/>
      <c r="I223" s="129"/>
      <c r="K223" s="129"/>
      <c r="L223" s="129"/>
      <c r="M223" s="129"/>
      <c r="O223" s="129"/>
      <c r="P223" s="129"/>
      <c r="R223" s="129"/>
      <c r="S223" s="140"/>
      <c r="T223" s="138"/>
      <c r="U223" s="147"/>
      <c r="V223" s="129"/>
      <c r="W223" s="129"/>
      <c r="X223" s="129"/>
      <c r="Y223" s="129"/>
      <c r="Z223" s="115"/>
      <c r="AA223" s="129"/>
      <c r="AB223" s="149"/>
      <c r="AC223" s="129"/>
      <c r="AD223" s="129"/>
      <c r="AE223" s="129"/>
    </row>
    <row r="224" spans="2:31" x14ac:dyDescent="0.35">
      <c r="B224" s="115"/>
      <c r="C224" s="129"/>
      <c r="D224" s="129"/>
      <c r="E224" s="129"/>
      <c r="F224" s="129"/>
      <c r="G224" s="129"/>
      <c r="H224" s="110"/>
      <c r="I224" s="129"/>
      <c r="K224" s="133"/>
      <c r="L224" s="129"/>
      <c r="M224" s="129"/>
      <c r="O224" s="129"/>
      <c r="P224" s="129"/>
      <c r="R224" s="129"/>
      <c r="S224" s="138"/>
      <c r="T224" s="139"/>
      <c r="U224" s="129"/>
      <c r="V224" s="129"/>
      <c r="W224" s="130"/>
      <c r="X224" s="130"/>
      <c r="Y224" s="130"/>
      <c r="Z224" s="115"/>
      <c r="AA224" s="129"/>
      <c r="AB224" s="149"/>
      <c r="AC224" s="151"/>
      <c r="AD224" s="151"/>
      <c r="AE224" s="147"/>
    </row>
    <row r="225" spans="2:31" x14ac:dyDescent="0.35">
      <c r="B225" s="115"/>
      <c r="C225" s="129"/>
      <c r="D225" s="129"/>
      <c r="E225" s="129"/>
      <c r="F225" s="129"/>
      <c r="G225" s="129"/>
      <c r="H225" s="110"/>
      <c r="I225" s="129"/>
      <c r="K225" s="129"/>
      <c r="L225" s="129"/>
      <c r="M225" s="129"/>
      <c r="O225" s="129"/>
      <c r="P225" s="129"/>
      <c r="R225" s="129"/>
      <c r="S225" s="141"/>
      <c r="T225" s="139"/>
      <c r="U225" s="129"/>
      <c r="V225" s="129"/>
      <c r="W225" s="129"/>
      <c r="X225" s="129"/>
      <c r="Y225" s="129"/>
      <c r="Z225" s="115"/>
      <c r="AA225" s="129"/>
      <c r="AB225" s="149"/>
      <c r="AC225" s="156"/>
      <c r="AD225" s="139"/>
      <c r="AE225" s="157"/>
    </row>
    <row r="226" spans="2:31" x14ac:dyDescent="0.35">
      <c r="B226" s="115"/>
      <c r="C226" s="129"/>
      <c r="D226" s="129"/>
      <c r="E226" s="129"/>
      <c r="F226" s="129"/>
      <c r="G226" s="129"/>
      <c r="H226" s="110"/>
      <c r="I226" s="129"/>
      <c r="K226" s="79"/>
      <c r="L226" s="134"/>
      <c r="M226" s="134"/>
      <c r="O226" s="134"/>
      <c r="P226" s="129"/>
      <c r="R226" s="129"/>
      <c r="S226" s="140"/>
      <c r="T226" s="124"/>
      <c r="U226" s="125"/>
      <c r="V226" s="129"/>
      <c r="W226" s="129"/>
      <c r="X226" s="129"/>
      <c r="Y226" s="129"/>
      <c r="Z226" s="115"/>
      <c r="AA226" s="129"/>
      <c r="AB226" s="149"/>
      <c r="AC226" s="147"/>
      <c r="AD226" s="129"/>
      <c r="AE226" s="147"/>
    </row>
    <row r="227" spans="2:31" x14ac:dyDescent="0.35">
      <c r="B227" s="115"/>
      <c r="C227" s="129"/>
      <c r="D227" s="129"/>
      <c r="E227" s="129"/>
      <c r="F227" s="129"/>
      <c r="G227" s="129"/>
      <c r="H227" s="110"/>
      <c r="I227" s="129"/>
      <c r="J227" s="179"/>
      <c r="K227" s="178"/>
      <c r="L227" s="129"/>
      <c r="M227" s="129"/>
      <c r="O227" s="178"/>
      <c r="P227" s="129"/>
      <c r="R227" s="129"/>
      <c r="S227" s="140"/>
      <c r="T227" s="138"/>
      <c r="U227" s="147"/>
      <c r="V227" s="129"/>
      <c r="W227" s="134"/>
      <c r="X227" s="134"/>
      <c r="Y227" s="134"/>
      <c r="Z227" s="115"/>
      <c r="AA227" s="134"/>
      <c r="AB227" s="152"/>
      <c r="AC227" s="134"/>
      <c r="AD227" s="134"/>
      <c r="AE227" s="134"/>
    </row>
    <row r="228" spans="2:31" x14ac:dyDescent="0.35">
      <c r="B228" s="115"/>
      <c r="C228" s="129"/>
      <c r="D228" s="129"/>
      <c r="E228" s="129"/>
      <c r="F228" s="129"/>
      <c r="G228" s="129"/>
      <c r="H228" s="110"/>
      <c r="I228" s="129"/>
      <c r="K228" s="137"/>
      <c r="L228" s="129"/>
      <c r="M228" s="129"/>
      <c r="O228" s="129"/>
      <c r="P228" s="129"/>
      <c r="R228" s="129"/>
      <c r="S228" s="141"/>
      <c r="T228" s="124"/>
      <c r="U228" s="125"/>
      <c r="V228" s="129"/>
      <c r="W228" s="129"/>
      <c r="X228" s="129"/>
      <c r="Y228" s="129"/>
      <c r="Z228" s="115"/>
      <c r="AA228" s="129"/>
      <c r="AB228" s="149"/>
      <c r="AC228" s="129"/>
      <c r="AD228" s="129"/>
      <c r="AE228" s="129"/>
    </row>
    <row r="229" spans="2:31" x14ac:dyDescent="0.35">
      <c r="B229" s="115"/>
      <c r="C229" s="129"/>
      <c r="D229" s="129"/>
      <c r="E229" s="129"/>
      <c r="F229" s="129"/>
      <c r="G229" s="129"/>
      <c r="H229" s="110"/>
      <c r="I229" s="129"/>
      <c r="K229" s="134"/>
      <c r="L229" s="134"/>
      <c r="M229" s="134"/>
      <c r="O229" s="134"/>
      <c r="P229" s="134"/>
      <c r="R229" s="129"/>
      <c r="S229" s="140"/>
      <c r="T229" s="138"/>
      <c r="U229" s="147"/>
      <c r="V229" s="129"/>
      <c r="W229" s="129"/>
      <c r="X229" s="129"/>
      <c r="Y229" s="129"/>
      <c r="Z229" s="115"/>
      <c r="AA229" s="129"/>
      <c r="AB229" s="149"/>
      <c r="AC229" s="147"/>
      <c r="AD229" s="147"/>
      <c r="AE229" s="147"/>
    </row>
    <row r="230" spans="2:31" x14ac:dyDescent="0.35">
      <c r="B230" s="115"/>
      <c r="C230" s="129"/>
      <c r="D230" s="129"/>
      <c r="E230" s="129"/>
      <c r="F230" s="129"/>
      <c r="G230" s="129"/>
      <c r="H230" s="110"/>
      <c r="I230" s="129"/>
      <c r="K230" s="134"/>
      <c r="L230" s="134"/>
      <c r="M230" s="134"/>
      <c r="O230" s="134"/>
      <c r="P230" s="134"/>
      <c r="R230" s="129"/>
      <c r="S230" s="140"/>
      <c r="T230" s="138"/>
      <c r="U230" s="147"/>
      <c r="V230" s="129"/>
      <c r="W230" s="134"/>
      <c r="X230" s="134"/>
      <c r="Y230" s="134"/>
      <c r="Z230" s="115"/>
      <c r="AA230" s="134"/>
      <c r="AB230" s="152"/>
      <c r="AC230" s="134"/>
      <c r="AD230" s="134"/>
      <c r="AE230" s="134"/>
    </row>
    <row r="231" spans="2:31" x14ac:dyDescent="0.35">
      <c r="B231" s="115"/>
      <c r="C231" s="129"/>
      <c r="D231" s="129"/>
      <c r="E231" s="129"/>
      <c r="F231" s="129"/>
      <c r="G231" s="129"/>
      <c r="H231" s="110"/>
      <c r="I231" s="129"/>
      <c r="K231" s="129"/>
      <c r="L231" s="129"/>
      <c r="M231" s="129"/>
      <c r="O231" s="129"/>
      <c r="P231" s="129"/>
      <c r="R231" s="129"/>
      <c r="S231" s="140"/>
      <c r="T231" s="148"/>
      <c r="U231" s="129"/>
      <c r="V231" s="129"/>
      <c r="W231" s="129"/>
      <c r="X231" s="129"/>
      <c r="Y231" s="134"/>
      <c r="Z231" s="115"/>
      <c r="AA231" s="129"/>
      <c r="AB231" s="149"/>
      <c r="AC231" s="129"/>
      <c r="AD231" s="129"/>
      <c r="AE231" s="129"/>
    </row>
    <row r="232" spans="2:31" x14ac:dyDescent="0.35">
      <c r="B232" s="115"/>
      <c r="C232" s="129"/>
      <c r="D232" s="129"/>
      <c r="E232" s="129"/>
      <c r="F232" s="129"/>
      <c r="G232" s="129"/>
      <c r="H232" s="110"/>
      <c r="I232" s="129"/>
      <c r="K232" s="130"/>
      <c r="L232" s="129"/>
      <c r="M232" s="129"/>
      <c r="O232" s="129"/>
      <c r="P232" s="129"/>
      <c r="R232" s="129"/>
      <c r="S232" s="140"/>
      <c r="T232" s="138"/>
      <c r="U232" s="134"/>
      <c r="V232" s="134"/>
      <c r="W232" s="134"/>
      <c r="X232" s="134"/>
      <c r="Y232" s="134"/>
      <c r="Z232" s="115"/>
      <c r="AA232" s="134"/>
      <c r="AB232" s="152"/>
      <c r="AC232" s="153"/>
      <c r="AD232" s="150"/>
      <c r="AE232" s="129"/>
    </row>
    <row r="233" spans="2:31" x14ac:dyDescent="0.35">
      <c r="B233" s="115"/>
      <c r="C233" s="129"/>
      <c r="D233" s="129"/>
      <c r="E233" s="129"/>
      <c r="F233" s="129"/>
      <c r="G233" s="129"/>
      <c r="H233" s="110"/>
      <c r="I233" s="129"/>
      <c r="K233" s="79"/>
      <c r="L233" s="134"/>
      <c r="M233" s="134"/>
      <c r="O233" s="134"/>
      <c r="P233" s="129"/>
      <c r="R233" s="129"/>
      <c r="S233" s="140"/>
      <c r="T233" s="124"/>
      <c r="U233" s="125"/>
      <c r="V233" s="129"/>
      <c r="W233" s="129"/>
      <c r="X233" s="129"/>
      <c r="Y233" s="129"/>
      <c r="Z233" s="115"/>
      <c r="AA233" s="129"/>
      <c r="AB233" s="149"/>
      <c r="AC233" s="147"/>
      <c r="AD233" s="129"/>
      <c r="AE233" s="147"/>
    </row>
    <row r="234" spans="2:31" x14ac:dyDescent="0.35">
      <c r="B234" s="115"/>
      <c r="C234" s="129"/>
      <c r="D234" s="129"/>
      <c r="E234" s="129"/>
      <c r="F234" s="129"/>
      <c r="G234" s="129"/>
      <c r="H234" s="110"/>
      <c r="I234" s="129"/>
      <c r="K234" s="129"/>
      <c r="L234" s="129"/>
      <c r="M234" s="129"/>
      <c r="O234" s="129"/>
      <c r="P234" s="129"/>
      <c r="R234" s="129"/>
      <c r="S234" s="140"/>
      <c r="T234" s="138"/>
      <c r="U234" s="147"/>
      <c r="V234" s="129"/>
      <c r="W234" s="129"/>
      <c r="X234" s="129"/>
      <c r="Y234" s="129"/>
      <c r="Z234" s="115"/>
      <c r="AA234" s="129"/>
      <c r="AB234" s="149"/>
      <c r="AC234" s="129"/>
      <c r="AD234" s="129"/>
      <c r="AE234" s="129"/>
    </row>
    <row r="235" spans="2:31" x14ac:dyDescent="0.35">
      <c r="B235" s="115"/>
      <c r="C235" s="129"/>
      <c r="D235" s="129"/>
      <c r="E235" s="129"/>
      <c r="F235" s="129"/>
      <c r="G235" s="129"/>
      <c r="H235" s="110"/>
      <c r="I235" s="129"/>
      <c r="K235" s="133"/>
      <c r="L235" s="129"/>
      <c r="M235" s="129"/>
      <c r="O235" s="129"/>
      <c r="P235" s="129"/>
      <c r="R235" s="129"/>
      <c r="S235" s="138"/>
      <c r="T235" s="139"/>
      <c r="U235" s="129"/>
      <c r="V235" s="129"/>
      <c r="W235" s="130"/>
      <c r="X235" s="130"/>
      <c r="Y235" s="130"/>
      <c r="Z235" s="115"/>
      <c r="AA235" s="129"/>
      <c r="AB235" s="149"/>
      <c r="AC235" s="151"/>
      <c r="AD235" s="151"/>
      <c r="AE235" s="147"/>
    </row>
    <row r="236" spans="2:31" x14ac:dyDescent="0.35">
      <c r="B236" s="115"/>
      <c r="C236" s="129"/>
      <c r="D236" s="129"/>
      <c r="E236" s="129"/>
      <c r="F236" s="129"/>
      <c r="G236" s="129"/>
      <c r="H236" s="110"/>
      <c r="I236" s="129"/>
      <c r="K236" s="129"/>
      <c r="L236" s="129"/>
      <c r="M236" s="129"/>
      <c r="O236" s="129"/>
      <c r="P236" s="129"/>
      <c r="R236" s="129"/>
      <c r="S236" s="141"/>
      <c r="T236" s="139"/>
      <c r="U236" s="129"/>
      <c r="V236" s="129"/>
      <c r="W236" s="129"/>
      <c r="X236" s="129"/>
      <c r="Y236" s="129"/>
      <c r="Z236" s="115"/>
      <c r="AA236" s="129"/>
      <c r="AB236" s="149"/>
      <c r="AC236" s="156"/>
      <c r="AD236" s="139"/>
      <c r="AE236" s="157"/>
    </row>
    <row r="237" spans="2:31" x14ac:dyDescent="0.35">
      <c r="B237" s="115"/>
      <c r="C237" s="129"/>
      <c r="D237" s="129"/>
      <c r="E237" s="129"/>
      <c r="F237" s="129"/>
      <c r="G237" s="129"/>
      <c r="H237" s="110"/>
      <c r="I237" s="129"/>
      <c r="K237" s="79"/>
      <c r="L237" s="134"/>
      <c r="M237" s="134"/>
      <c r="O237" s="134"/>
      <c r="P237" s="129"/>
      <c r="R237" s="129"/>
      <c r="S237" s="140"/>
      <c r="T237" s="124"/>
      <c r="U237" s="125"/>
      <c r="V237" s="129"/>
      <c r="W237" s="129"/>
      <c r="X237" s="129"/>
      <c r="Y237" s="129"/>
      <c r="Z237" s="115"/>
      <c r="AA237" s="129"/>
      <c r="AB237" s="149"/>
      <c r="AC237" s="147"/>
      <c r="AD237" s="129"/>
      <c r="AE237" s="147"/>
    </row>
    <row r="238" spans="2:31" x14ac:dyDescent="0.35">
      <c r="B238" s="115"/>
      <c r="C238" s="129"/>
      <c r="D238" s="129"/>
      <c r="E238" s="129"/>
      <c r="F238" s="129"/>
      <c r="G238" s="129"/>
      <c r="H238" s="110"/>
      <c r="I238" s="129"/>
      <c r="J238" s="179"/>
      <c r="K238" s="178"/>
      <c r="L238" s="129"/>
      <c r="M238" s="129"/>
      <c r="O238" s="178"/>
      <c r="P238" s="129"/>
      <c r="R238" s="129"/>
      <c r="S238" s="140"/>
      <c r="T238" s="138"/>
      <c r="U238" s="147"/>
      <c r="V238" s="129"/>
      <c r="W238" s="134"/>
      <c r="X238" s="134"/>
      <c r="Y238" s="134"/>
      <c r="Z238" s="115"/>
      <c r="AA238" s="134"/>
      <c r="AB238" s="152"/>
      <c r="AC238" s="134"/>
      <c r="AD238" s="134"/>
      <c r="AE238" s="134"/>
    </row>
    <row r="239" spans="2:31" x14ac:dyDescent="0.35">
      <c r="B239" s="115"/>
      <c r="C239" s="129"/>
      <c r="D239" s="129"/>
      <c r="E239" s="129"/>
      <c r="F239" s="129"/>
      <c r="G239" s="129"/>
      <c r="H239" s="110"/>
      <c r="I239" s="129"/>
      <c r="K239" s="137"/>
      <c r="L239" s="129"/>
      <c r="M239" s="129"/>
      <c r="O239" s="129"/>
      <c r="P239" s="129"/>
      <c r="R239" s="129"/>
      <c r="S239" s="141"/>
      <c r="T239" s="124"/>
      <c r="U239" s="125"/>
      <c r="V239" s="129"/>
      <c r="W239" s="129"/>
      <c r="X239" s="129"/>
      <c r="Y239" s="129"/>
      <c r="Z239" s="115"/>
      <c r="AA239" s="129"/>
      <c r="AB239" s="149"/>
      <c r="AC239" s="129"/>
      <c r="AD239" s="129"/>
      <c r="AE239" s="129"/>
    </row>
    <row r="240" spans="2:31" x14ac:dyDescent="0.35">
      <c r="B240" s="115"/>
      <c r="C240" s="129"/>
      <c r="D240" s="129"/>
      <c r="E240" s="129"/>
      <c r="F240" s="129"/>
      <c r="G240" s="129"/>
      <c r="H240" s="110"/>
      <c r="I240" s="129"/>
      <c r="K240" s="134"/>
      <c r="L240" s="134"/>
      <c r="M240" s="134"/>
      <c r="O240" s="134"/>
      <c r="P240" s="134"/>
      <c r="R240" s="129"/>
      <c r="S240" s="140"/>
      <c r="T240" s="138"/>
      <c r="U240" s="147"/>
      <c r="V240" s="129"/>
      <c r="W240" s="129"/>
      <c r="X240" s="129"/>
      <c r="Y240" s="129"/>
      <c r="Z240" s="115"/>
      <c r="AA240" s="129"/>
      <c r="AB240" s="149"/>
      <c r="AC240" s="147"/>
      <c r="AD240" s="147"/>
      <c r="AE240" s="147"/>
    </row>
    <row r="241" spans="2:31" x14ac:dyDescent="0.35">
      <c r="B241" s="115"/>
      <c r="C241" s="129"/>
      <c r="D241" s="129"/>
      <c r="E241" s="129"/>
      <c r="F241" s="129"/>
      <c r="G241" s="129"/>
      <c r="H241" s="110"/>
      <c r="I241" s="129"/>
      <c r="K241" s="134"/>
      <c r="L241" s="134"/>
      <c r="M241" s="134"/>
      <c r="O241" s="134"/>
      <c r="P241" s="134"/>
      <c r="R241" s="129"/>
      <c r="S241" s="140"/>
      <c r="T241" s="138"/>
      <c r="U241" s="147"/>
      <c r="V241" s="129"/>
      <c r="W241" s="134"/>
      <c r="X241" s="134"/>
      <c r="Y241" s="134"/>
      <c r="Z241" s="115"/>
      <c r="AA241" s="134"/>
      <c r="AB241" s="152"/>
      <c r="AC241" s="134"/>
      <c r="AD241" s="134"/>
      <c r="AE241" s="134"/>
    </row>
    <row r="242" spans="2:31" x14ac:dyDescent="0.35">
      <c r="B242" s="115"/>
      <c r="C242" s="129"/>
      <c r="D242" s="129"/>
      <c r="E242" s="129"/>
      <c r="F242" s="129"/>
      <c r="G242" s="129"/>
      <c r="H242" s="110"/>
      <c r="I242" s="129"/>
      <c r="K242" s="129"/>
      <c r="L242" s="129"/>
      <c r="M242" s="129"/>
      <c r="O242" s="129"/>
      <c r="P242" s="129"/>
      <c r="R242" s="129"/>
      <c r="S242" s="140"/>
      <c r="T242" s="148"/>
      <c r="U242" s="129"/>
      <c r="V242" s="129"/>
      <c r="W242" s="129"/>
      <c r="X242" s="129"/>
      <c r="Y242" s="134"/>
      <c r="Z242" s="115"/>
      <c r="AA242" s="129"/>
      <c r="AB242" s="149"/>
      <c r="AC242" s="129"/>
      <c r="AD242" s="129"/>
      <c r="AE242" s="129"/>
    </row>
    <row r="243" spans="2:31" x14ac:dyDescent="0.35">
      <c r="B243" s="115"/>
      <c r="C243" s="129"/>
      <c r="D243" s="129"/>
      <c r="E243" s="129"/>
      <c r="F243" s="129"/>
      <c r="G243" s="129"/>
      <c r="H243" s="110"/>
      <c r="I243" s="129"/>
      <c r="K243" s="130"/>
      <c r="L243" s="129"/>
      <c r="M243" s="129"/>
      <c r="O243" s="129"/>
      <c r="P243" s="129"/>
      <c r="R243" s="129"/>
      <c r="S243" s="140"/>
      <c r="T243" s="138"/>
      <c r="U243" s="134"/>
      <c r="V243" s="134"/>
      <c r="W243" s="134"/>
      <c r="X243" s="134"/>
      <c r="Y243" s="134"/>
      <c r="Z243" s="115"/>
      <c r="AA243" s="134"/>
      <c r="AB243" s="152"/>
      <c r="AC243" s="153"/>
      <c r="AD243" s="150"/>
      <c r="AE243" s="129"/>
    </row>
    <row r="244" spans="2:31" x14ac:dyDescent="0.35">
      <c r="B244" s="115"/>
      <c r="C244" s="129"/>
      <c r="D244" s="129"/>
      <c r="E244" s="129"/>
      <c r="F244" s="129"/>
      <c r="G244" s="129"/>
      <c r="H244" s="110"/>
      <c r="I244" s="129"/>
      <c r="K244" s="79"/>
      <c r="L244" s="134"/>
      <c r="M244" s="134"/>
      <c r="O244" s="134"/>
      <c r="P244" s="129"/>
      <c r="R244" s="129"/>
      <c r="S244" s="140"/>
      <c r="T244" s="124"/>
      <c r="U244" s="125"/>
      <c r="V244" s="129"/>
      <c r="W244" s="129"/>
      <c r="X244" s="129"/>
      <c r="Y244" s="129"/>
      <c r="Z244" s="115"/>
      <c r="AA244" s="129"/>
      <c r="AB244" s="149"/>
      <c r="AC244" s="147"/>
      <c r="AD244" s="129"/>
      <c r="AE244" s="147"/>
    </row>
    <row r="245" spans="2:31" x14ac:dyDescent="0.35">
      <c r="B245" s="115"/>
      <c r="C245" s="129"/>
      <c r="D245" s="129"/>
      <c r="E245" s="129"/>
      <c r="F245" s="129"/>
      <c r="G245" s="129"/>
      <c r="H245" s="110"/>
      <c r="I245" s="129"/>
      <c r="K245" s="129"/>
      <c r="L245" s="129"/>
      <c r="M245" s="129"/>
      <c r="O245" s="129"/>
      <c r="P245" s="129"/>
      <c r="R245" s="129"/>
      <c r="S245" s="140"/>
      <c r="T245" s="138"/>
      <c r="U245" s="147"/>
      <c r="V245" s="129"/>
      <c r="W245" s="129"/>
      <c r="X245" s="129"/>
      <c r="Y245" s="129"/>
      <c r="Z245" s="115"/>
      <c r="AA245" s="129"/>
      <c r="AB245" s="149"/>
      <c r="AC245" s="129"/>
      <c r="AD245" s="129"/>
      <c r="AE245" s="129"/>
    </row>
    <row r="246" spans="2:31" x14ac:dyDescent="0.35">
      <c r="B246" s="115"/>
      <c r="C246" s="129"/>
      <c r="D246" s="129"/>
      <c r="E246" s="129"/>
      <c r="F246" s="129"/>
      <c r="G246" s="129"/>
      <c r="H246" s="110"/>
      <c r="I246" s="129"/>
      <c r="K246" s="133"/>
      <c r="L246" s="129"/>
      <c r="M246" s="129"/>
      <c r="O246" s="129"/>
      <c r="P246" s="129"/>
      <c r="R246" s="129"/>
      <c r="S246" s="138"/>
      <c r="T246" s="139"/>
      <c r="U246" s="129"/>
      <c r="V246" s="129"/>
      <c r="W246" s="130"/>
      <c r="X246" s="130"/>
      <c r="Y246" s="130"/>
      <c r="Z246" s="115"/>
      <c r="AA246" s="129"/>
      <c r="AB246" s="149"/>
      <c r="AC246" s="151"/>
      <c r="AD246" s="151"/>
      <c r="AE246" s="147"/>
    </row>
    <row r="247" spans="2:31" x14ac:dyDescent="0.35">
      <c r="B247" s="115"/>
      <c r="C247" s="129"/>
      <c r="D247" s="129"/>
      <c r="E247" s="129"/>
      <c r="F247" s="129"/>
      <c r="G247" s="129"/>
      <c r="H247" s="110"/>
      <c r="I247" s="129"/>
      <c r="K247" s="129"/>
      <c r="L247" s="129"/>
      <c r="M247" s="129"/>
      <c r="O247" s="129"/>
      <c r="P247" s="129"/>
      <c r="R247" s="129"/>
      <c r="S247" s="141"/>
      <c r="T247" s="139"/>
      <c r="U247" s="129"/>
      <c r="V247" s="129"/>
      <c r="W247" s="129"/>
      <c r="X247" s="129"/>
      <c r="Y247" s="129"/>
      <c r="Z247" s="115"/>
      <c r="AA247" s="129"/>
      <c r="AB247" s="149"/>
      <c r="AC247" s="156"/>
      <c r="AD247" s="139"/>
      <c r="AE247" s="157"/>
    </row>
    <row r="248" spans="2:31" x14ac:dyDescent="0.35">
      <c r="B248" s="115"/>
      <c r="C248" s="129"/>
      <c r="D248" s="129"/>
      <c r="E248" s="129"/>
      <c r="F248" s="129"/>
      <c r="G248" s="129"/>
      <c r="H248" s="110"/>
      <c r="I248" s="129"/>
      <c r="K248" s="79"/>
      <c r="L248" s="134"/>
      <c r="M248" s="134"/>
      <c r="O248" s="134"/>
      <c r="P248" s="129"/>
      <c r="R248" s="129"/>
      <c r="S248" s="140"/>
      <c r="T248" s="124"/>
      <c r="U248" s="125"/>
      <c r="V248" s="129"/>
      <c r="W248" s="129"/>
      <c r="X248" s="129"/>
      <c r="Y248" s="129"/>
      <c r="Z248" s="115"/>
      <c r="AA248" s="129"/>
      <c r="AB248" s="149"/>
      <c r="AC248" s="147"/>
      <c r="AD248" s="129"/>
      <c r="AE248" s="147"/>
    </row>
    <row r="249" spans="2:31" x14ac:dyDescent="0.35">
      <c r="B249" s="115"/>
      <c r="C249" s="129"/>
      <c r="D249" s="129"/>
      <c r="E249" s="129"/>
      <c r="F249" s="129"/>
      <c r="G249" s="129"/>
      <c r="H249" s="110"/>
      <c r="I249" s="129"/>
      <c r="J249" s="179"/>
      <c r="K249" s="178"/>
      <c r="L249" s="129"/>
      <c r="M249" s="129"/>
      <c r="O249" s="178"/>
      <c r="P249" s="129"/>
      <c r="R249" s="129"/>
      <c r="S249" s="140"/>
      <c r="T249" s="138"/>
      <c r="U249" s="147"/>
      <c r="V249" s="129"/>
      <c r="W249" s="134"/>
      <c r="X249" s="134"/>
      <c r="Y249" s="134"/>
      <c r="Z249" s="115"/>
      <c r="AA249" s="134"/>
      <c r="AB249" s="152"/>
      <c r="AC249" s="134"/>
      <c r="AD249" s="134"/>
      <c r="AE249" s="134"/>
    </row>
    <row r="250" spans="2:31" x14ac:dyDescent="0.35">
      <c r="B250" s="115"/>
      <c r="C250" s="129"/>
      <c r="D250" s="129"/>
      <c r="E250" s="129"/>
      <c r="F250" s="129"/>
      <c r="G250" s="129"/>
      <c r="H250" s="110"/>
      <c r="I250" s="129"/>
      <c r="K250" s="137"/>
      <c r="L250" s="129"/>
      <c r="M250" s="129"/>
      <c r="O250" s="129"/>
      <c r="P250" s="129"/>
      <c r="R250" s="129"/>
      <c r="S250" s="162"/>
      <c r="T250" s="124"/>
      <c r="U250" s="125"/>
      <c r="V250" s="129"/>
      <c r="W250" s="129"/>
      <c r="X250" s="129"/>
      <c r="Y250" s="129"/>
      <c r="Z250" s="115"/>
      <c r="AA250" s="129"/>
      <c r="AB250" s="149"/>
      <c r="AC250" s="129"/>
      <c r="AD250" s="129"/>
      <c r="AE250" s="129"/>
    </row>
    <row r="251" spans="2:31" x14ac:dyDescent="0.35">
      <c r="B251" s="115"/>
      <c r="C251" s="129"/>
      <c r="D251" s="129"/>
      <c r="E251" s="129"/>
      <c r="F251" s="129"/>
      <c r="G251" s="129"/>
      <c r="H251" s="110"/>
      <c r="I251" s="129"/>
      <c r="K251" s="134"/>
      <c r="L251" s="134"/>
      <c r="M251" s="134"/>
      <c r="O251" s="134"/>
      <c r="P251" s="134"/>
      <c r="R251" s="129"/>
      <c r="S251" s="140"/>
      <c r="T251" s="138"/>
      <c r="U251" s="147"/>
      <c r="V251" s="129"/>
      <c r="W251" s="129"/>
      <c r="X251" s="129"/>
      <c r="Y251" s="129"/>
      <c r="Z251" s="115"/>
      <c r="AA251" s="129"/>
      <c r="AB251" s="149"/>
      <c r="AC251" s="147"/>
      <c r="AD251" s="147"/>
      <c r="AE251" s="147"/>
    </row>
    <row r="252" spans="2:31" x14ac:dyDescent="0.35">
      <c r="B252" s="115"/>
      <c r="C252" s="129"/>
      <c r="D252" s="129"/>
      <c r="E252" s="129"/>
      <c r="F252" s="129"/>
      <c r="G252" s="129"/>
      <c r="H252" s="110"/>
      <c r="I252" s="129"/>
      <c r="K252" s="134"/>
      <c r="L252" s="134"/>
      <c r="M252" s="134"/>
      <c r="O252" s="134"/>
      <c r="P252" s="134"/>
      <c r="R252" s="129"/>
      <c r="S252" s="140"/>
      <c r="T252" s="138"/>
      <c r="U252" s="147"/>
      <c r="V252" s="129"/>
      <c r="W252" s="134"/>
      <c r="X252" s="134"/>
      <c r="Y252" s="134"/>
      <c r="Z252" s="115"/>
      <c r="AA252" s="134"/>
      <c r="AB252" s="152"/>
      <c r="AC252" s="134"/>
      <c r="AD252" s="134"/>
      <c r="AE252" s="134"/>
    </row>
    <row r="253" spans="2:31" x14ac:dyDescent="0.35">
      <c r="B253" s="115"/>
      <c r="C253" s="129"/>
      <c r="D253" s="129"/>
      <c r="E253" s="129"/>
      <c r="F253" s="129"/>
      <c r="G253" s="129"/>
      <c r="H253" s="110"/>
      <c r="I253" s="129"/>
      <c r="K253" s="129"/>
      <c r="L253" s="129"/>
      <c r="M253" s="129"/>
      <c r="O253" s="129"/>
      <c r="P253" s="129"/>
      <c r="R253" s="129"/>
      <c r="S253" s="140"/>
      <c r="T253" s="148"/>
      <c r="U253" s="129"/>
      <c r="V253" s="129"/>
      <c r="W253" s="129"/>
      <c r="X253" s="129"/>
      <c r="Y253" s="134"/>
      <c r="Z253" s="115"/>
      <c r="AA253" s="129"/>
      <c r="AB253" s="149"/>
      <c r="AC253" s="129"/>
      <c r="AD253" s="129"/>
      <c r="AE253" s="129"/>
    </row>
    <row r="254" spans="2:31" x14ac:dyDescent="0.35">
      <c r="B254" s="115"/>
      <c r="C254" s="129"/>
      <c r="D254" s="129"/>
      <c r="E254" s="129"/>
      <c r="F254" s="129"/>
      <c r="G254" s="129"/>
      <c r="H254" s="110"/>
      <c r="I254" s="129"/>
      <c r="K254" s="130"/>
      <c r="L254" s="129"/>
      <c r="M254" s="129"/>
      <c r="O254" s="129"/>
      <c r="P254" s="129"/>
      <c r="R254" s="129"/>
      <c r="S254" s="140"/>
      <c r="T254" s="138"/>
      <c r="U254" s="134"/>
      <c r="V254" s="134"/>
      <c r="W254" s="134"/>
      <c r="X254" s="134"/>
      <c r="Y254" s="134"/>
      <c r="Z254" s="115"/>
      <c r="AA254" s="134"/>
      <c r="AB254" s="152"/>
      <c r="AC254" s="153"/>
      <c r="AD254" s="150"/>
      <c r="AE254" s="129"/>
    </row>
    <row r="255" spans="2:31" x14ac:dyDescent="0.35">
      <c r="B255" s="115"/>
      <c r="C255" s="129"/>
      <c r="D255" s="129"/>
      <c r="E255" s="129"/>
      <c r="F255" s="129"/>
      <c r="G255" s="129"/>
      <c r="H255" s="110"/>
      <c r="I255" s="129"/>
      <c r="K255" s="79"/>
      <c r="L255" s="134"/>
      <c r="M255" s="134"/>
      <c r="O255" s="134"/>
      <c r="P255" s="129"/>
      <c r="R255" s="129"/>
      <c r="S255" s="140"/>
      <c r="T255" s="124"/>
      <c r="U255" s="125"/>
      <c r="V255" s="129"/>
      <c r="W255" s="129"/>
      <c r="X255" s="129"/>
      <c r="Y255" s="129"/>
      <c r="Z255" s="115"/>
      <c r="AA255" s="129"/>
      <c r="AB255" s="149"/>
      <c r="AC255" s="147"/>
      <c r="AD255" s="129"/>
      <c r="AE255" s="147"/>
    </row>
    <row r="256" spans="2:31" x14ac:dyDescent="0.35">
      <c r="B256" s="115"/>
      <c r="C256" s="129"/>
      <c r="D256" s="129"/>
      <c r="E256" s="129"/>
      <c r="F256" s="129"/>
      <c r="G256" s="129"/>
      <c r="H256" s="110"/>
      <c r="I256" s="129"/>
      <c r="K256" s="129"/>
      <c r="L256" s="129"/>
      <c r="M256" s="129"/>
      <c r="O256" s="129"/>
      <c r="P256" s="129"/>
      <c r="R256" s="129"/>
      <c r="S256" s="140"/>
      <c r="T256" s="138"/>
      <c r="U256" s="147"/>
      <c r="V256" s="129"/>
      <c r="W256" s="129"/>
      <c r="X256" s="129"/>
      <c r="Y256" s="129"/>
      <c r="Z256" s="115"/>
      <c r="AA256" s="129"/>
      <c r="AB256" s="149"/>
      <c r="AC256" s="129"/>
      <c r="AD256" s="129"/>
      <c r="AE256" s="129"/>
    </row>
    <row r="257" spans="2:31" x14ac:dyDescent="0.35">
      <c r="B257" s="115"/>
      <c r="C257" s="129"/>
      <c r="D257" s="129"/>
      <c r="E257" s="129"/>
      <c r="F257" s="129"/>
      <c r="G257" s="129"/>
      <c r="H257" s="110"/>
      <c r="I257" s="129"/>
      <c r="K257" s="133"/>
      <c r="L257" s="129"/>
      <c r="M257" s="129"/>
      <c r="O257" s="129"/>
      <c r="P257" s="129"/>
      <c r="R257" s="129"/>
      <c r="S257" s="138"/>
      <c r="T257" s="139"/>
      <c r="U257" s="129"/>
      <c r="V257" s="129"/>
      <c r="W257" s="130"/>
      <c r="X257" s="130"/>
      <c r="Y257" s="130"/>
      <c r="Z257" s="115"/>
      <c r="AA257" s="129"/>
      <c r="AB257" s="149"/>
      <c r="AC257" s="151"/>
      <c r="AD257" s="151"/>
      <c r="AE257" s="147"/>
    </row>
    <row r="258" spans="2:31" x14ac:dyDescent="0.35">
      <c r="B258" s="115"/>
      <c r="C258" s="129"/>
      <c r="D258" s="129"/>
      <c r="E258" s="129"/>
      <c r="F258" s="129"/>
      <c r="G258" s="129"/>
      <c r="H258" s="110"/>
      <c r="I258" s="129"/>
      <c r="K258" s="129"/>
      <c r="L258" s="129"/>
      <c r="M258" s="129"/>
      <c r="O258" s="129"/>
      <c r="P258" s="129"/>
      <c r="R258" s="129"/>
      <c r="S258" s="141"/>
      <c r="T258" s="139"/>
      <c r="U258" s="129"/>
      <c r="V258" s="129"/>
      <c r="W258" s="129"/>
      <c r="X258" s="129"/>
      <c r="Y258" s="129"/>
      <c r="Z258" s="115"/>
      <c r="AA258" s="129"/>
      <c r="AB258" s="149"/>
      <c r="AC258" s="156"/>
      <c r="AD258" s="139"/>
      <c r="AE258" s="157"/>
    </row>
    <row r="259" spans="2:31" x14ac:dyDescent="0.35">
      <c r="B259" s="115"/>
      <c r="C259" s="129"/>
      <c r="D259" s="129"/>
      <c r="E259" s="129"/>
      <c r="F259" s="129"/>
      <c r="G259" s="129"/>
      <c r="H259" s="110"/>
      <c r="I259" s="129"/>
      <c r="K259" s="79"/>
      <c r="L259" s="134"/>
      <c r="M259" s="134"/>
      <c r="O259" s="134"/>
      <c r="P259" s="129"/>
      <c r="R259" s="129"/>
      <c r="S259" s="140"/>
      <c r="T259" s="124"/>
      <c r="U259" s="125"/>
      <c r="V259" s="129"/>
      <c r="W259" s="129"/>
      <c r="X259" s="129"/>
      <c r="Y259" s="129"/>
      <c r="Z259" s="115"/>
      <c r="AA259" s="129"/>
      <c r="AB259" s="149"/>
      <c r="AC259" s="147"/>
      <c r="AD259" s="129"/>
      <c r="AE259" s="147"/>
    </row>
    <row r="260" spans="2:31" x14ac:dyDescent="0.35">
      <c r="B260" s="115"/>
      <c r="C260" s="129"/>
      <c r="D260" s="129"/>
      <c r="E260" s="129"/>
      <c r="F260" s="129"/>
      <c r="G260" s="129"/>
      <c r="H260" s="110"/>
      <c r="I260" s="129"/>
      <c r="J260" s="179"/>
      <c r="K260" s="178"/>
      <c r="L260" s="129"/>
      <c r="M260" s="129"/>
      <c r="O260" s="178"/>
      <c r="P260" s="129"/>
      <c r="R260" s="129"/>
      <c r="S260" s="140"/>
      <c r="T260" s="138"/>
      <c r="U260" s="147"/>
      <c r="V260" s="129"/>
      <c r="W260" s="134"/>
      <c r="X260" s="134"/>
      <c r="Y260" s="134"/>
      <c r="Z260" s="115"/>
      <c r="AA260" s="134"/>
      <c r="AB260" s="152"/>
      <c r="AC260" s="134"/>
      <c r="AD260" s="134"/>
      <c r="AE260" s="134"/>
    </row>
    <row r="261" spans="2:31" x14ac:dyDescent="0.35">
      <c r="C261" s="129"/>
      <c r="D261" s="129"/>
      <c r="E261" s="129"/>
      <c r="F261" s="129"/>
      <c r="G261" s="129"/>
      <c r="H261" s="110"/>
      <c r="I261" s="129"/>
      <c r="K261" s="129"/>
      <c r="L261" s="129"/>
      <c r="M261" s="129"/>
      <c r="N261" s="129"/>
      <c r="O261" s="129"/>
      <c r="P261" s="129"/>
      <c r="Q261" s="129"/>
      <c r="R261" s="129"/>
      <c r="S261" s="141"/>
      <c r="T261" s="139"/>
      <c r="U261" s="129"/>
      <c r="V261" s="129"/>
      <c r="W261" s="129"/>
      <c r="X261" s="129"/>
      <c r="Y261" s="129"/>
      <c r="Z261" s="115"/>
      <c r="AA261" s="129"/>
      <c r="AB261" s="149"/>
      <c r="AC261" s="129"/>
      <c r="AD261" s="129"/>
      <c r="AE261" s="129"/>
    </row>
    <row r="262" spans="2:31" x14ac:dyDescent="0.35">
      <c r="C262" s="129"/>
      <c r="D262" s="129"/>
      <c r="E262" s="129"/>
      <c r="F262" s="129"/>
      <c r="G262" s="129"/>
      <c r="H262" s="110"/>
      <c r="I262" s="129"/>
      <c r="J262" t="s">
        <v>351</v>
      </c>
      <c r="K262" s="129"/>
      <c r="L262" s="129"/>
      <c r="M262" s="129"/>
      <c r="N262" s="129"/>
      <c r="O262" s="129"/>
      <c r="P262" s="129"/>
      <c r="Q262" s="129"/>
      <c r="R262" s="129"/>
      <c r="S262" s="141"/>
      <c r="T262" s="139"/>
      <c r="U262" s="129"/>
      <c r="V262" s="129"/>
      <c r="W262" s="129"/>
      <c r="X262" s="129"/>
      <c r="Y262" s="129"/>
      <c r="Z262" s="115"/>
      <c r="AA262" s="129"/>
      <c r="AB262" s="149"/>
      <c r="AC262" s="129"/>
      <c r="AD262" s="129"/>
      <c r="AE262" s="129"/>
    </row>
    <row r="263" spans="2:31" x14ac:dyDescent="0.35">
      <c r="C263" s="129"/>
      <c r="D263" s="129"/>
      <c r="E263" s="129"/>
      <c r="F263" s="129"/>
      <c r="G263" s="129"/>
      <c r="H263" s="110"/>
      <c r="I263" s="129"/>
      <c r="J263" t="s">
        <v>351</v>
      </c>
      <c r="K263" s="129"/>
      <c r="L263" s="129"/>
      <c r="M263" s="129"/>
      <c r="N263" s="129"/>
      <c r="O263" s="129"/>
      <c r="P263" s="129"/>
      <c r="Q263" s="129"/>
      <c r="R263" s="129"/>
      <c r="S263" s="141"/>
      <c r="T263" s="139"/>
      <c r="U263" s="129"/>
      <c r="V263" s="129"/>
      <c r="W263" s="129"/>
      <c r="X263" s="129"/>
      <c r="Y263" s="129"/>
      <c r="Z263" s="115"/>
      <c r="AA263" s="129"/>
      <c r="AB263" s="149"/>
      <c r="AC263" s="129"/>
      <c r="AD263" s="129"/>
      <c r="AE263" s="129"/>
    </row>
    <row r="264" spans="2:31" x14ac:dyDescent="0.35">
      <c r="C264" s="129"/>
      <c r="D264" s="129"/>
      <c r="E264" s="129"/>
      <c r="F264" s="129"/>
      <c r="G264" s="129"/>
      <c r="H264" s="110"/>
      <c r="I264" s="129"/>
      <c r="J264" t="s">
        <v>351</v>
      </c>
      <c r="K264" s="129"/>
      <c r="L264" s="129"/>
      <c r="M264" s="129"/>
      <c r="N264" s="129"/>
      <c r="O264" s="129"/>
      <c r="P264" s="129"/>
      <c r="Q264" s="129"/>
      <c r="R264" s="129"/>
      <c r="S264" s="141"/>
      <c r="T264" s="139"/>
      <c r="U264" s="129"/>
      <c r="V264" s="129"/>
      <c r="W264" s="129"/>
      <c r="X264" s="129"/>
      <c r="Y264" s="129"/>
      <c r="Z264" s="115"/>
      <c r="AA264" s="129"/>
      <c r="AB264" s="149"/>
      <c r="AC264" s="129"/>
      <c r="AD264" s="129"/>
      <c r="AE264" s="129"/>
    </row>
    <row r="265" spans="2:31" x14ac:dyDescent="0.35">
      <c r="C265" s="129"/>
      <c r="D265" s="129"/>
      <c r="E265" s="129"/>
      <c r="F265" s="129"/>
      <c r="G265" s="129"/>
      <c r="H265" s="110"/>
      <c r="I265" s="129"/>
      <c r="J265" t="s">
        <v>351</v>
      </c>
      <c r="K265" s="129"/>
      <c r="L265" s="129"/>
      <c r="M265" s="129"/>
      <c r="N265" s="129"/>
      <c r="O265" s="129"/>
      <c r="P265" s="129"/>
      <c r="Q265" s="129"/>
      <c r="R265" s="129"/>
      <c r="S265" s="141"/>
      <c r="T265" s="139"/>
      <c r="U265" s="129"/>
      <c r="V265" s="129"/>
      <c r="W265" s="129"/>
      <c r="X265" s="129"/>
      <c r="Y265" s="129"/>
      <c r="Z265" s="115"/>
      <c r="AA265" s="129"/>
      <c r="AB265" s="149"/>
      <c r="AC265" s="129"/>
      <c r="AD265" s="129"/>
      <c r="AE265" s="129"/>
    </row>
    <row r="266" spans="2:31" x14ac:dyDescent="0.35">
      <c r="C266" s="129"/>
      <c r="D266" s="129"/>
      <c r="E266" s="129"/>
      <c r="F266" s="129"/>
      <c r="G266" s="129"/>
      <c r="H266" s="110"/>
      <c r="I266" s="129"/>
      <c r="J266" t="s">
        <v>351</v>
      </c>
      <c r="K266" s="129"/>
      <c r="L266" s="129"/>
      <c r="M266" s="129"/>
      <c r="N266" s="129"/>
      <c r="O266" s="129"/>
      <c r="P266" s="129"/>
      <c r="Q266" s="129"/>
      <c r="R266" s="129"/>
      <c r="S266" s="141"/>
      <c r="T266" s="139"/>
      <c r="U266" s="129"/>
      <c r="V266" s="129"/>
      <c r="W266" s="129"/>
      <c r="X266" s="129"/>
      <c r="Y266" s="129"/>
      <c r="Z266" s="115"/>
      <c r="AA266" s="129"/>
      <c r="AB266" s="149"/>
      <c r="AC266" s="129"/>
      <c r="AD266" s="129"/>
      <c r="AE266" s="129"/>
    </row>
    <row r="267" spans="2:31" x14ac:dyDescent="0.35">
      <c r="C267" s="129"/>
      <c r="D267" s="129"/>
      <c r="E267" s="129"/>
      <c r="F267" s="129"/>
      <c r="G267" s="129"/>
      <c r="H267" s="110"/>
      <c r="I267" s="129"/>
      <c r="J267" t="s">
        <v>351</v>
      </c>
      <c r="K267" s="129"/>
      <c r="L267" s="129"/>
      <c r="M267" s="129"/>
      <c r="N267" s="129"/>
      <c r="O267" s="129"/>
      <c r="P267" s="129"/>
      <c r="Q267" s="129"/>
      <c r="R267" s="129"/>
      <c r="S267" s="141"/>
      <c r="T267" s="139"/>
      <c r="U267" s="129"/>
      <c r="V267" s="129"/>
      <c r="W267" s="129"/>
      <c r="X267" s="129"/>
      <c r="Y267" s="129"/>
      <c r="Z267" s="115"/>
      <c r="AA267" s="129"/>
      <c r="AB267" s="149"/>
      <c r="AC267" s="129"/>
      <c r="AD267" s="129"/>
      <c r="AE267" s="129"/>
    </row>
    <row r="268" spans="2:31" x14ac:dyDescent="0.35">
      <c r="C268" s="129"/>
      <c r="D268" s="129"/>
      <c r="E268" s="129"/>
      <c r="F268" s="129"/>
      <c r="G268" s="129"/>
      <c r="H268" s="110"/>
      <c r="I268" s="129"/>
      <c r="J268" t="s">
        <v>351</v>
      </c>
      <c r="K268" s="129"/>
      <c r="L268" s="129"/>
      <c r="M268" s="129"/>
      <c r="N268" s="129"/>
      <c r="O268" s="129"/>
      <c r="P268" s="129"/>
      <c r="Q268" s="129"/>
      <c r="R268" s="129"/>
      <c r="S268" s="141"/>
      <c r="T268" s="139"/>
      <c r="U268" s="129"/>
      <c r="V268" s="129"/>
      <c r="W268" s="129"/>
      <c r="X268" s="129"/>
      <c r="Y268" s="129"/>
      <c r="Z268" s="115"/>
      <c r="AA268" s="129"/>
      <c r="AB268" s="149"/>
      <c r="AC268" s="129"/>
      <c r="AD268" s="129"/>
      <c r="AE268" s="129"/>
    </row>
    <row r="269" spans="2:31" x14ac:dyDescent="0.35">
      <c r="C269" s="129"/>
      <c r="D269" s="129"/>
      <c r="E269" s="129"/>
      <c r="F269" s="129"/>
      <c r="G269" s="129"/>
      <c r="H269" s="110"/>
      <c r="I269" s="129"/>
      <c r="J269" t="s">
        <v>351</v>
      </c>
      <c r="K269" s="129"/>
      <c r="L269" s="129"/>
      <c r="M269" s="129"/>
      <c r="N269" s="129"/>
      <c r="O269" s="129"/>
      <c r="P269" s="129"/>
      <c r="Q269" s="129"/>
      <c r="R269" s="129"/>
      <c r="S269" s="141"/>
      <c r="T269" s="139"/>
      <c r="U269" s="129"/>
      <c r="V269" s="129"/>
      <c r="W269" s="129"/>
      <c r="X269" s="129"/>
      <c r="Y269" s="129"/>
      <c r="Z269" s="115"/>
      <c r="AA269" s="129"/>
      <c r="AB269" s="149"/>
      <c r="AC269" s="129"/>
      <c r="AD269" s="129"/>
      <c r="AE269" s="129"/>
    </row>
    <row r="270" spans="2:31" x14ac:dyDescent="0.35">
      <c r="C270" s="129"/>
      <c r="D270" s="129"/>
      <c r="E270" s="129"/>
      <c r="F270" s="129"/>
      <c r="G270" s="129"/>
      <c r="H270" s="110"/>
      <c r="I270" s="129"/>
      <c r="J270" t="s">
        <v>351</v>
      </c>
      <c r="K270" s="129"/>
      <c r="L270" s="129"/>
      <c r="M270" s="129"/>
      <c r="N270" s="129"/>
      <c r="O270" s="129"/>
      <c r="P270" s="129"/>
      <c r="Q270" s="129"/>
      <c r="R270" s="129"/>
      <c r="S270" s="141"/>
      <c r="T270" s="139"/>
      <c r="U270" s="129"/>
      <c r="V270" s="129"/>
      <c r="W270" s="129"/>
      <c r="X270" s="129"/>
      <c r="Y270" s="129"/>
      <c r="Z270" s="115"/>
      <c r="AA270" s="129"/>
      <c r="AB270" s="149"/>
      <c r="AC270" s="129"/>
      <c r="AD270" s="129"/>
      <c r="AE270" s="129"/>
    </row>
    <row r="271" spans="2:31" x14ac:dyDescent="0.35">
      <c r="C271" s="129"/>
      <c r="D271" s="129"/>
      <c r="E271" s="129"/>
      <c r="F271" s="129"/>
      <c r="G271" s="129"/>
      <c r="H271" s="110"/>
      <c r="I271" s="129"/>
      <c r="J271" t="s">
        <v>351</v>
      </c>
      <c r="K271" s="129"/>
      <c r="L271" s="129"/>
      <c r="M271" s="129"/>
      <c r="N271" s="129"/>
      <c r="O271" s="129"/>
      <c r="P271" s="129"/>
      <c r="Q271" s="129"/>
      <c r="R271" s="129"/>
      <c r="S271" s="141"/>
      <c r="T271" s="139"/>
      <c r="U271" s="129"/>
      <c r="V271" s="129"/>
      <c r="W271" s="129"/>
      <c r="X271" s="129"/>
      <c r="Y271" s="129"/>
      <c r="Z271" s="115"/>
      <c r="AA271" s="129"/>
      <c r="AB271" s="149"/>
      <c r="AC271" s="129"/>
      <c r="AD271" s="129"/>
      <c r="AE271" s="129"/>
    </row>
    <row r="272" spans="2:31" x14ac:dyDescent="0.35">
      <c r="C272" s="129"/>
      <c r="D272" s="129"/>
      <c r="E272" s="129"/>
      <c r="F272" s="129"/>
      <c r="G272" s="129"/>
      <c r="H272" s="110"/>
      <c r="I272" s="129"/>
      <c r="J272" t="s">
        <v>351</v>
      </c>
      <c r="K272" s="129"/>
      <c r="L272" s="129"/>
      <c r="M272" s="129"/>
      <c r="N272" s="129"/>
      <c r="O272" s="129"/>
      <c r="P272" s="129"/>
      <c r="Q272" s="129"/>
      <c r="R272" s="129"/>
      <c r="S272" s="141"/>
      <c r="T272" s="139"/>
      <c r="U272" s="129"/>
      <c r="V272" s="129"/>
      <c r="W272" s="129"/>
      <c r="X272" s="129"/>
      <c r="Y272" s="129"/>
      <c r="Z272" s="115"/>
      <c r="AA272" s="129"/>
      <c r="AB272" s="149"/>
      <c r="AC272" s="129"/>
      <c r="AD272" s="129"/>
      <c r="AE272" s="129"/>
    </row>
    <row r="273" spans="3:31" x14ac:dyDescent="0.35">
      <c r="C273" s="129"/>
      <c r="D273" s="129"/>
      <c r="E273" s="129"/>
      <c r="F273" s="129"/>
      <c r="G273" s="129"/>
      <c r="H273" s="110"/>
      <c r="I273" s="129"/>
      <c r="J273" t="s">
        <v>351</v>
      </c>
      <c r="K273" s="129"/>
      <c r="L273" s="129"/>
      <c r="M273" s="129"/>
      <c r="N273" s="129"/>
      <c r="O273" s="129"/>
      <c r="P273" s="129"/>
      <c r="Q273" s="129"/>
      <c r="R273" s="129"/>
      <c r="S273" s="141"/>
      <c r="T273" s="139"/>
      <c r="U273" s="129"/>
      <c r="V273" s="129"/>
      <c r="W273" s="129"/>
      <c r="X273" s="129"/>
      <c r="Y273" s="129"/>
      <c r="Z273" s="115"/>
      <c r="AA273" s="129"/>
      <c r="AB273" s="149"/>
      <c r="AC273" s="129"/>
      <c r="AD273" s="129"/>
      <c r="AE273" s="129"/>
    </row>
    <row r="274" spans="3:31" x14ac:dyDescent="0.35">
      <c r="C274" s="129"/>
      <c r="D274" s="129"/>
      <c r="E274" s="129"/>
      <c r="F274" s="129"/>
      <c r="G274" s="129"/>
      <c r="H274" s="110"/>
      <c r="I274" s="129"/>
      <c r="J274" t="s">
        <v>351</v>
      </c>
      <c r="K274" s="129"/>
      <c r="L274" s="129"/>
      <c r="M274" s="129"/>
      <c r="N274" s="129"/>
      <c r="O274" s="129"/>
      <c r="P274" s="129"/>
      <c r="Q274" s="129"/>
      <c r="R274" s="129"/>
      <c r="S274" s="141"/>
      <c r="T274" s="139"/>
      <c r="U274" s="129"/>
      <c r="V274" s="129"/>
      <c r="W274" s="129"/>
      <c r="X274" s="129"/>
      <c r="Y274" s="129"/>
      <c r="Z274" s="115"/>
      <c r="AA274" s="129"/>
      <c r="AB274" s="149"/>
      <c r="AC274" s="129"/>
      <c r="AD274" s="129"/>
      <c r="AE274" s="129"/>
    </row>
    <row r="275" spans="3:31" x14ac:dyDescent="0.35">
      <c r="C275" s="129"/>
      <c r="D275" s="129"/>
      <c r="E275" s="129"/>
      <c r="F275" s="129"/>
      <c r="G275" s="129"/>
      <c r="H275" s="110"/>
      <c r="I275" s="129"/>
      <c r="J275" t="s">
        <v>351</v>
      </c>
      <c r="K275" s="129"/>
      <c r="L275" s="129"/>
      <c r="M275" s="129"/>
      <c r="N275" s="129"/>
      <c r="O275" s="129"/>
      <c r="P275" s="129"/>
      <c r="Q275" s="129"/>
      <c r="R275" s="129"/>
      <c r="S275" s="141"/>
      <c r="T275" s="139"/>
      <c r="U275" s="129"/>
      <c r="V275" s="129"/>
      <c r="W275" s="129"/>
      <c r="X275" s="129"/>
      <c r="Y275" s="129"/>
      <c r="Z275" s="115"/>
      <c r="AA275" s="129"/>
      <c r="AB275" s="149"/>
      <c r="AC275" s="129"/>
      <c r="AD275" s="129"/>
      <c r="AE275" s="129"/>
    </row>
    <row r="276" spans="3:31" x14ac:dyDescent="0.35">
      <c r="C276" s="129"/>
      <c r="D276" s="129"/>
      <c r="E276" s="129"/>
      <c r="F276" s="129"/>
      <c r="G276" s="129"/>
      <c r="H276" s="110"/>
      <c r="I276" s="129"/>
      <c r="J276" t="s">
        <v>351</v>
      </c>
      <c r="K276" s="129"/>
      <c r="L276" s="129"/>
      <c r="M276" s="129"/>
      <c r="N276" s="129"/>
      <c r="O276" s="129"/>
      <c r="P276" s="129"/>
      <c r="Q276" s="129"/>
      <c r="R276" s="129"/>
      <c r="S276" s="141"/>
      <c r="T276" s="139"/>
      <c r="U276" s="129"/>
      <c r="V276" s="129"/>
      <c r="W276" s="129"/>
      <c r="X276" s="129"/>
      <c r="Y276" s="129"/>
      <c r="Z276" s="115"/>
      <c r="AA276" s="129"/>
      <c r="AB276" s="149"/>
      <c r="AC276" s="129"/>
      <c r="AD276" s="129"/>
      <c r="AE276" s="129"/>
    </row>
    <row r="277" spans="3:31" x14ac:dyDescent="0.35">
      <c r="C277" s="129"/>
      <c r="D277" s="129"/>
      <c r="E277" s="129"/>
      <c r="F277" s="129"/>
      <c r="G277" s="129"/>
      <c r="H277" s="110"/>
      <c r="I277" s="129"/>
      <c r="J277" t="s">
        <v>351</v>
      </c>
      <c r="K277" s="129"/>
      <c r="L277" s="129"/>
      <c r="M277" s="129"/>
      <c r="N277" s="129"/>
      <c r="O277" s="129"/>
      <c r="P277" s="129"/>
      <c r="Q277" s="129"/>
      <c r="R277" s="129"/>
      <c r="S277" s="141"/>
      <c r="T277" s="139"/>
      <c r="U277" s="129"/>
      <c r="V277" s="129"/>
      <c r="W277" s="129"/>
      <c r="X277" s="129"/>
      <c r="Y277" s="129"/>
      <c r="Z277" s="115"/>
      <c r="AA277" s="129"/>
      <c r="AB277" s="149"/>
      <c r="AC277" s="129"/>
      <c r="AD277" s="129"/>
      <c r="AE277" s="129"/>
    </row>
    <row r="278" spans="3:31" x14ac:dyDescent="0.35">
      <c r="C278" s="129"/>
      <c r="D278" s="129"/>
      <c r="E278" s="129"/>
      <c r="F278" s="129"/>
      <c r="G278" s="129"/>
      <c r="H278" s="110"/>
      <c r="I278" s="129"/>
      <c r="J278" t="s">
        <v>351</v>
      </c>
      <c r="K278" s="129"/>
      <c r="L278" s="129"/>
      <c r="M278" s="129"/>
      <c r="N278" s="129"/>
      <c r="O278" s="129"/>
      <c r="P278" s="129"/>
      <c r="Q278" s="129"/>
      <c r="R278" s="129"/>
      <c r="S278" s="141"/>
      <c r="T278" s="139"/>
      <c r="U278" s="129"/>
      <c r="V278" s="129"/>
      <c r="W278" s="129"/>
      <c r="X278" s="129"/>
      <c r="Y278" s="129"/>
      <c r="Z278" s="115"/>
      <c r="AA278" s="129"/>
      <c r="AB278" s="149"/>
      <c r="AC278" s="129"/>
      <c r="AD278" s="129"/>
      <c r="AE278" s="129"/>
    </row>
    <row r="279" spans="3:31" x14ac:dyDescent="0.35">
      <c r="C279" s="129"/>
      <c r="D279" s="129"/>
      <c r="E279" s="129"/>
      <c r="F279" s="129"/>
      <c r="G279" s="129"/>
      <c r="H279" s="110"/>
      <c r="I279" s="129"/>
      <c r="J279" t="s">
        <v>351</v>
      </c>
      <c r="K279" s="129"/>
      <c r="L279" s="129"/>
      <c r="M279" s="129"/>
      <c r="N279" s="129"/>
      <c r="O279" s="129"/>
      <c r="P279" s="129"/>
      <c r="Q279" s="129"/>
      <c r="R279" s="129"/>
      <c r="S279" s="141"/>
      <c r="T279" s="139"/>
      <c r="U279" s="129"/>
      <c r="V279" s="129"/>
      <c r="W279" s="129"/>
      <c r="X279" s="129"/>
      <c r="Y279" s="129"/>
      <c r="Z279" s="115"/>
      <c r="AA279" s="129"/>
      <c r="AB279" s="149"/>
      <c r="AC279" s="129"/>
      <c r="AD279" s="129"/>
      <c r="AE279" s="129"/>
    </row>
    <row r="280" spans="3:31" x14ac:dyDescent="0.35">
      <c r="C280" s="129"/>
      <c r="D280" s="129"/>
      <c r="E280" s="129"/>
      <c r="F280" s="129"/>
      <c r="G280" s="129"/>
      <c r="H280" s="110"/>
      <c r="I280" s="129"/>
      <c r="J280" t="s">
        <v>351</v>
      </c>
      <c r="K280" s="129"/>
      <c r="L280" s="129"/>
      <c r="M280" s="129"/>
      <c r="N280" s="129"/>
      <c r="O280" s="129"/>
      <c r="P280" s="129"/>
      <c r="Q280" s="129"/>
      <c r="R280" s="129"/>
      <c r="S280" s="141"/>
      <c r="T280" s="139"/>
      <c r="U280" s="129"/>
      <c r="V280" s="129"/>
      <c r="W280" s="129"/>
      <c r="X280" s="129"/>
      <c r="Y280" s="129"/>
      <c r="Z280" s="115"/>
      <c r="AA280" s="129"/>
      <c r="AB280" s="149"/>
      <c r="AC280" s="129"/>
      <c r="AD280" s="129"/>
      <c r="AE280" s="129"/>
    </row>
    <row r="281" spans="3:31" x14ac:dyDescent="0.35">
      <c r="C281" s="129"/>
      <c r="D281" s="129"/>
      <c r="E281" s="129"/>
      <c r="F281" s="129"/>
      <c r="G281" s="129"/>
      <c r="H281" s="110"/>
      <c r="I281" s="129"/>
      <c r="J281" t="s">
        <v>351</v>
      </c>
      <c r="K281" s="129"/>
      <c r="L281" s="129"/>
      <c r="M281" s="129"/>
      <c r="N281" s="129"/>
      <c r="O281" s="129"/>
      <c r="P281" s="129"/>
      <c r="Q281" s="129"/>
      <c r="R281" s="129"/>
      <c r="S281" s="141"/>
      <c r="T281" s="139"/>
      <c r="U281" s="129"/>
      <c r="V281" s="129"/>
      <c r="W281" s="129"/>
      <c r="X281" s="129"/>
      <c r="Y281" s="129"/>
      <c r="Z281" s="115"/>
      <c r="AA281" s="129"/>
      <c r="AB281" s="149"/>
      <c r="AC281" s="129"/>
      <c r="AD281" s="129"/>
      <c r="AE281" s="129"/>
    </row>
    <row r="282" spans="3:31" x14ac:dyDescent="0.35">
      <c r="C282" s="129"/>
      <c r="D282" s="129"/>
      <c r="E282" s="129"/>
      <c r="F282" s="129"/>
      <c r="G282" s="129"/>
      <c r="H282" s="110"/>
      <c r="I282" s="129"/>
      <c r="J282" t="s">
        <v>351</v>
      </c>
      <c r="K282" s="129"/>
      <c r="L282" s="129"/>
      <c r="M282" s="129"/>
      <c r="N282" s="129"/>
      <c r="O282" s="129"/>
      <c r="P282" s="129"/>
      <c r="Q282" s="129"/>
      <c r="R282" s="129"/>
      <c r="S282" s="141"/>
      <c r="T282" s="139"/>
      <c r="U282" s="129"/>
      <c r="V282" s="129"/>
      <c r="W282" s="129"/>
      <c r="X282" s="129"/>
      <c r="Y282" s="129"/>
      <c r="Z282" s="115"/>
      <c r="AA282" s="129"/>
      <c r="AB282" s="149"/>
      <c r="AC282" s="129"/>
      <c r="AD282" s="129"/>
      <c r="AE282" s="129"/>
    </row>
    <row r="283" spans="3:31" x14ac:dyDescent="0.35">
      <c r="C283" s="129"/>
      <c r="D283" s="129"/>
      <c r="E283" s="129"/>
      <c r="F283" s="129"/>
      <c r="G283" s="129"/>
      <c r="H283" s="110"/>
      <c r="I283" s="129"/>
      <c r="J283" t="s">
        <v>351</v>
      </c>
      <c r="K283" s="129"/>
      <c r="L283" s="129"/>
      <c r="M283" s="129"/>
      <c r="N283" s="129"/>
      <c r="O283" s="129"/>
      <c r="P283" s="129"/>
      <c r="Q283" s="129"/>
      <c r="R283" s="129"/>
      <c r="S283" s="141"/>
      <c r="T283" s="139"/>
      <c r="U283" s="129"/>
      <c r="V283" s="129"/>
      <c r="W283" s="129"/>
      <c r="X283" s="129"/>
      <c r="Y283" s="129"/>
      <c r="Z283" s="115"/>
      <c r="AA283" s="129"/>
      <c r="AB283" s="149"/>
      <c r="AC283" s="129"/>
      <c r="AD283" s="129"/>
      <c r="AE283" s="129"/>
    </row>
    <row r="284" spans="3:31" x14ac:dyDescent="0.35">
      <c r="C284" s="129"/>
      <c r="D284" s="129"/>
      <c r="E284" s="129"/>
      <c r="F284" s="129"/>
      <c r="G284" s="129"/>
      <c r="H284" s="110"/>
      <c r="I284" s="129"/>
      <c r="J284" t="s">
        <v>351</v>
      </c>
      <c r="K284" s="129"/>
      <c r="L284" s="129"/>
      <c r="M284" s="129"/>
      <c r="N284" s="129"/>
      <c r="O284" s="129"/>
      <c r="P284" s="129"/>
      <c r="Q284" s="129"/>
      <c r="R284" s="129"/>
      <c r="S284" s="141"/>
      <c r="T284" s="139"/>
      <c r="U284" s="129"/>
      <c r="V284" s="129"/>
      <c r="W284" s="129"/>
      <c r="X284" s="129"/>
      <c r="Y284" s="129"/>
      <c r="Z284" s="115"/>
      <c r="AA284" s="129"/>
      <c r="AB284" s="149"/>
      <c r="AC284" s="129"/>
      <c r="AD284" s="129"/>
      <c r="AE284" s="129"/>
    </row>
    <row r="285" spans="3:31" x14ac:dyDescent="0.35">
      <c r="C285" s="129"/>
      <c r="D285" s="129"/>
      <c r="E285" s="129"/>
      <c r="F285" s="129"/>
      <c r="G285" s="129"/>
      <c r="H285" s="110"/>
      <c r="I285" s="129"/>
      <c r="J285" t="s">
        <v>351</v>
      </c>
      <c r="K285" s="129"/>
      <c r="L285" s="129"/>
      <c r="M285" s="129"/>
      <c r="N285" s="129"/>
      <c r="O285" s="129"/>
      <c r="P285" s="129"/>
      <c r="Q285" s="129"/>
      <c r="R285" s="129"/>
      <c r="S285" s="141"/>
      <c r="T285" s="139"/>
      <c r="U285" s="129"/>
      <c r="V285" s="129"/>
      <c r="W285" s="129"/>
      <c r="X285" s="129"/>
      <c r="Y285" s="129"/>
      <c r="Z285" s="115"/>
      <c r="AA285" s="129"/>
      <c r="AB285" s="149"/>
      <c r="AC285" s="129"/>
      <c r="AD285" s="129"/>
      <c r="AE285" s="129"/>
    </row>
    <row r="286" spans="3:31" x14ac:dyDescent="0.35">
      <c r="C286" s="129"/>
      <c r="D286" s="129"/>
      <c r="E286" s="129"/>
      <c r="F286" s="129"/>
      <c r="G286" s="129"/>
      <c r="H286" s="110"/>
      <c r="I286" s="129"/>
      <c r="J286" t="s">
        <v>351</v>
      </c>
      <c r="K286" s="129"/>
      <c r="L286" s="129"/>
      <c r="M286" s="129"/>
      <c r="N286" s="129"/>
      <c r="O286" s="129"/>
      <c r="P286" s="129"/>
      <c r="Q286" s="129"/>
      <c r="R286" s="129"/>
      <c r="S286" s="141"/>
      <c r="T286" s="139"/>
      <c r="U286" s="129"/>
      <c r="V286" s="129"/>
      <c r="W286" s="129"/>
      <c r="X286" s="129"/>
      <c r="Y286" s="129"/>
      <c r="Z286" s="115"/>
      <c r="AA286" s="129"/>
      <c r="AB286" s="149"/>
      <c r="AC286" s="129"/>
      <c r="AD286" s="129"/>
      <c r="AE286" s="129"/>
    </row>
    <row r="287" spans="3:31" x14ac:dyDescent="0.35">
      <c r="C287" s="129"/>
      <c r="D287" s="129"/>
      <c r="E287" s="129"/>
      <c r="F287" s="129"/>
      <c r="G287" s="129"/>
      <c r="H287" s="110"/>
      <c r="I287" s="129"/>
      <c r="J287" t="s">
        <v>351</v>
      </c>
      <c r="K287" s="129"/>
      <c r="L287" s="129"/>
      <c r="M287" s="129"/>
      <c r="N287" s="129"/>
      <c r="O287" s="129"/>
      <c r="P287" s="129"/>
      <c r="Q287" s="129"/>
      <c r="R287" s="129"/>
      <c r="S287" s="141"/>
      <c r="T287" s="139"/>
      <c r="U287" s="129"/>
      <c r="V287" s="129"/>
      <c r="W287" s="129"/>
      <c r="X287" s="129"/>
      <c r="Y287" s="129"/>
      <c r="Z287" s="115"/>
      <c r="AA287" s="129"/>
      <c r="AB287" s="149"/>
      <c r="AC287" s="129"/>
      <c r="AD287" s="129"/>
      <c r="AE287" s="129"/>
    </row>
    <row r="288" spans="3:31" x14ac:dyDescent="0.35">
      <c r="C288" s="129"/>
      <c r="D288" s="129"/>
      <c r="E288" s="129"/>
      <c r="F288" s="129"/>
      <c r="G288" s="129"/>
      <c r="H288" s="110"/>
      <c r="I288" s="129"/>
      <c r="J288" t="s">
        <v>351</v>
      </c>
      <c r="K288" s="129"/>
      <c r="L288" s="129"/>
      <c r="M288" s="129"/>
      <c r="N288" s="129"/>
      <c r="O288" s="129"/>
      <c r="P288" s="129"/>
      <c r="Q288" s="129"/>
      <c r="R288" s="129"/>
      <c r="S288" s="141"/>
      <c r="T288" s="139"/>
      <c r="U288" s="129"/>
      <c r="V288" s="129"/>
      <c r="W288" s="129"/>
      <c r="X288" s="129"/>
      <c r="Y288" s="129"/>
      <c r="Z288" s="115"/>
      <c r="AA288" s="129"/>
      <c r="AB288" s="149"/>
      <c r="AC288" s="129"/>
      <c r="AD288" s="129"/>
      <c r="AE288" s="129"/>
    </row>
    <row r="289" spans="3:31" x14ac:dyDescent="0.35">
      <c r="C289" s="129"/>
      <c r="D289" s="129"/>
      <c r="E289" s="129"/>
      <c r="F289" s="129"/>
      <c r="G289" s="129"/>
      <c r="H289" s="110"/>
      <c r="I289" s="129"/>
      <c r="J289" t="s">
        <v>351</v>
      </c>
      <c r="K289" s="129"/>
      <c r="L289" s="129"/>
      <c r="M289" s="129"/>
      <c r="N289" s="129"/>
      <c r="O289" s="129"/>
      <c r="P289" s="129"/>
      <c r="Q289" s="129"/>
      <c r="R289" s="129"/>
      <c r="S289" s="141"/>
      <c r="T289" s="139"/>
      <c r="U289" s="129"/>
      <c r="V289" s="129"/>
      <c r="W289" s="129"/>
      <c r="X289" s="129"/>
      <c r="Y289" s="129"/>
      <c r="Z289" s="115"/>
      <c r="AA289" s="129"/>
      <c r="AB289" s="149"/>
      <c r="AC289" s="129"/>
      <c r="AD289" s="129"/>
      <c r="AE289" s="129"/>
    </row>
    <row r="290" spans="3:31" x14ac:dyDescent="0.35">
      <c r="C290" s="129"/>
      <c r="D290" s="129"/>
      <c r="E290" s="129"/>
      <c r="F290" s="129"/>
      <c r="G290" s="129"/>
      <c r="H290" s="110"/>
      <c r="I290" s="129"/>
      <c r="J290" t="s">
        <v>351</v>
      </c>
      <c r="K290" s="129"/>
      <c r="L290" s="129"/>
      <c r="M290" s="129"/>
      <c r="N290" s="129"/>
      <c r="O290" s="129"/>
      <c r="P290" s="129"/>
      <c r="Q290" s="129"/>
      <c r="R290" s="129"/>
      <c r="S290" s="141"/>
      <c r="T290" s="139"/>
      <c r="U290" s="129"/>
      <c r="V290" s="129"/>
      <c r="W290" s="129"/>
      <c r="X290" s="129"/>
      <c r="Y290" s="129"/>
      <c r="Z290" s="115"/>
      <c r="AA290" s="129"/>
      <c r="AB290" s="149"/>
      <c r="AC290" s="129"/>
      <c r="AD290" s="129"/>
      <c r="AE290" s="129"/>
    </row>
    <row r="291" spans="3:31" x14ac:dyDescent="0.35">
      <c r="C291" s="129"/>
      <c r="D291" s="129"/>
      <c r="E291" s="129"/>
      <c r="F291" s="129"/>
      <c r="G291" s="129"/>
      <c r="H291" s="110"/>
      <c r="I291" s="129"/>
      <c r="J291" t="s">
        <v>351</v>
      </c>
      <c r="K291" s="129"/>
      <c r="L291" s="129"/>
      <c r="M291" s="129"/>
      <c r="N291" s="129"/>
      <c r="O291" s="129"/>
      <c r="P291" s="129"/>
      <c r="Q291" s="129"/>
      <c r="R291" s="129"/>
      <c r="S291" s="141"/>
      <c r="T291" s="139"/>
      <c r="U291" s="129"/>
      <c r="V291" s="129"/>
      <c r="W291" s="129"/>
      <c r="X291" s="129"/>
      <c r="Y291" s="129"/>
      <c r="Z291" s="115"/>
      <c r="AA291" s="129"/>
      <c r="AB291" s="149"/>
      <c r="AC291" s="129"/>
      <c r="AD291" s="129"/>
      <c r="AE291" s="129"/>
    </row>
    <row r="292" spans="3:31" x14ac:dyDescent="0.35">
      <c r="C292" s="129"/>
      <c r="D292" s="129"/>
      <c r="E292" s="129"/>
      <c r="F292" s="129"/>
      <c r="G292" s="129"/>
      <c r="H292" s="110"/>
      <c r="I292" s="129"/>
      <c r="J292" t="s">
        <v>351</v>
      </c>
      <c r="K292" s="129"/>
      <c r="L292" s="129"/>
      <c r="M292" s="129"/>
      <c r="N292" s="129"/>
      <c r="O292" s="129"/>
      <c r="P292" s="129"/>
      <c r="Q292" s="129"/>
      <c r="R292" s="129"/>
      <c r="S292" s="141"/>
      <c r="T292" s="139"/>
      <c r="U292" s="129"/>
      <c r="V292" s="129"/>
      <c r="W292" s="129"/>
      <c r="X292" s="129"/>
      <c r="Y292" s="129"/>
      <c r="Z292" s="115"/>
      <c r="AA292" s="129"/>
      <c r="AB292" s="149"/>
      <c r="AC292" s="129"/>
      <c r="AD292" s="129"/>
      <c r="AE292" s="129"/>
    </row>
    <row r="293" spans="3:31" x14ac:dyDescent="0.35">
      <c r="C293" s="129"/>
      <c r="D293" s="129"/>
      <c r="E293" s="129"/>
      <c r="F293" s="129"/>
      <c r="G293" s="129"/>
      <c r="H293" s="110"/>
      <c r="I293" s="129"/>
      <c r="J293" t="s">
        <v>351</v>
      </c>
      <c r="K293" s="129"/>
      <c r="L293" s="129"/>
      <c r="M293" s="129"/>
      <c r="N293" s="129"/>
      <c r="O293" s="129"/>
      <c r="P293" s="129"/>
      <c r="Q293" s="129"/>
      <c r="R293" s="129"/>
      <c r="S293" s="141"/>
      <c r="T293" s="139"/>
      <c r="U293" s="129"/>
      <c r="V293" s="129"/>
      <c r="W293" s="129"/>
      <c r="X293" s="129"/>
      <c r="Y293" s="129"/>
      <c r="Z293" s="115"/>
      <c r="AA293" s="129"/>
      <c r="AB293" s="149"/>
      <c r="AC293" s="129"/>
      <c r="AD293" s="129"/>
      <c r="AE293" s="129"/>
    </row>
    <row r="294" spans="3:31" x14ac:dyDescent="0.35">
      <c r="C294" s="129"/>
      <c r="D294" s="129"/>
      <c r="E294" s="129"/>
      <c r="F294" s="129"/>
      <c r="G294" s="129"/>
      <c r="H294" s="110"/>
      <c r="I294" s="129"/>
      <c r="J294" t="s">
        <v>351</v>
      </c>
      <c r="K294" s="129"/>
      <c r="L294" s="129"/>
      <c r="M294" s="129"/>
      <c r="N294" s="129"/>
      <c r="O294" s="129"/>
      <c r="P294" s="129"/>
      <c r="Q294" s="129"/>
      <c r="R294" s="129"/>
      <c r="S294" s="141"/>
      <c r="T294" s="139"/>
      <c r="U294" s="129"/>
      <c r="V294" s="129"/>
      <c r="W294" s="129"/>
      <c r="X294" s="129"/>
      <c r="Y294" s="129"/>
      <c r="Z294" s="115"/>
      <c r="AA294" s="129"/>
      <c r="AB294" s="149"/>
      <c r="AC294" s="129"/>
      <c r="AD294" s="129"/>
      <c r="AE294" s="129"/>
    </row>
    <row r="295" spans="3:31" x14ac:dyDescent="0.35">
      <c r="C295" s="129"/>
      <c r="D295" s="129"/>
      <c r="E295" s="129"/>
      <c r="F295" s="129"/>
      <c r="G295" s="129"/>
      <c r="H295" s="110"/>
      <c r="I295" s="129"/>
      <c r="J295" t="s">
        <v>351</v>
      </c>
      <c r="K295" s="129"/>
      <c r="L295" s="129"/>
      <c r="M295" s="129"/>
      <c r="N295" s="129"/>
      <c r="O295" s="129"/>
      <c r="P295" s="129"/>
      <c r="Q295" s="129"/>
      <c r="R295" s="129"/>
      <c r="S295" s="141"/>
      <c r="T295" s="139"/>
      <c r="U295" s="129"/>
      <c r="V295" s="129"/>
      <c r="W295" s="129"/>
      <c r="X295" s="129"/>
      <c r="Y295" s="129"/>
      <c r="Z295" s="115"/>
      <c r="AA295" s="129"/>
      <c r="AB295" s="149"/>
      <c r="AC295" s="129"/>
      <c r="AD295" s="129"/>
      <c r="AE295" s="129"/>
    </row>
    <row r="296" spans="3:31" x14ac:dyDescent="0.35">
      <c r="C296" s="129"/>
      <c r="D296" s="129"/>
      <c r="E296" s="129"/>
      <c r="F296" s="129"/>
      <c r="G296" s="129"/>
      <c r="H296" s="110"/>
      <c r="I296" s="129"/>
      <c r="J296" t="s">
        <v>351</v>
      </c>
      <c r="K296" s="129"/>
      <c r="L296" s="129"/>
      <c r="M296" s="129"/>
      <c r="N296" s="129"/>
      <c r="O296" s="129"/>
      <c r="P296" s="129"/>
      <c r="Q296" s="129"/>
      <c r="R296" s="129"/>
      <c r="S296" s="141"/>
      <c r="T296" s="139"/>
      <c r="U296" s="129"/>
      <c r="V296" s="129"/>
      <c r="W296" s="129"/>
      <c r="X296" s="129"/>
      <c r="Y296" s="129"/>
      <c r="Z296" s="115"/>
      <c r="AA296" s="129"/>
      <c r="AB296" s="149"/>
      <c r="AC296" s="129"/>
      <c r="AD296" s="129"/>
      <c r="AE296" s="129"/>
    </row>
    <row r="297" spans="3:31" x14ac:dyDescent="0.35">
      <c r="C297" s="129"/>
      <c r="D297" s="129"/>
      <c r="E297" s="129"/>
      <c r="F297" s="129"/>
      <c r="G297" s="129"/>
      <c r="H297" s="110"/>
      <c r="I297" s="129"/>
      <c r="J297" t="s">
        <v>351</v>
      </c>
      <c r="K297" s="129"/>
      <c r="L297" s="129"/>
      <c r="M297" s="129"/>
      <c r="N297" s="129"/>
      <c r="O297" s="129"/>
      <c r="P297" s="129"/>
      <c r="Q297" s="129"/>
      <c r="R297" s="129"/>
      <c r="S297" s="141"/>
      <c r="T297" s="139"/>
      <c r="U297" s="129"/>
      <c r="V297" s="129"/>
      <c r="W297" s="129"/>
      <c r="X297" s="129"/>
      <c r="Y297" s="129"/>
      <c r="Z297" s="115"/>
      <c r="AA297" s="129"/>
      <c r="AB297" s="149"/>
      <c r="AC297" s="129"/>
      <c r="AD297" s="129"/>
      <c r="AE297" s="129"/>
    </row>
    <row r="298" spans="3:31" x14ac:dyDescent="0.35">
      <c r="C298" s="129"/>
      <c r="D298" s="129"/>
      <c r="E298" s="129"/>
      <c r="F298" s="129"/>
      <c r="G298" s="129"/>
      <c r="H298" s="110"/>
      <c r="I298" s="129"/>
      <c r="J298" t="s">
        <v>351</v>
      </c>
      <c r="K298" s="129"/>
      <c r="L298" s="129"/>
      <c r="M298" s="129"/>
      <c r="N298" s="129"/>
      <c r="O298" s="129"/>
      <c r="P298" s="129"/>
      <c r="Q298" s="129"/>
      <c r="R298" s="129"/>
      <c r="S298" s="141"/>
      <c r="T298" s="139"/>
      <c r="U298" s="129"/>
      <c r="V298" s="129"/>
      <c r="W298" s="129"/>
      <c r="X298" s="129"/>
      <c r="Y298" s="129"/>
      <c r="Z298" s="115"/>
      <c r="AA298" s="129"/>
      <c r="AB298" s="149"/>
      <c r="AC298" s="129"/>
      <c r="AD298" s="129"/>
      <c r="AE298" s="129"/>
    </row>
    <row r="299" spans="3:31" x14ac:dyDescent="0.35">
      <c r="C299" s="129"/>
      <c r="D299" s="129"/>
      <c r="E299" s="129"/>
      <c r="F299" s="129"/>
      <c r="G299" s="129"/>
      <c r="H299" s="110"/>
      <c r="I299" s="129"/>
      <c r="J299" t="s">
        <v>351</v>
      </c>
      <c r="K299" s="129"/>
      <c r="L299" s="129"/>
      <c r="M299" s="129"/>
      <c r="N299" s="129"/>
      <c r="O299" s="129"/>
      <c r="P299" s="129"/>
      <c r="Q299" s="129"/>
      <c r="R299" s="129"/>
      <c r="S299" s="141"/>
      <c r="T299" s="139"/>
      <c r="U299" s="129"/>
      <c r="V299" s="129"/>
      <c r="W299" s="129"/>
      <c r="X299" s="129"/>
      <c r="Y299" s="129"/>
      <c r="Z299" s="115"/>
      <c r="AA299" s="129"/>
      <c r="AB299" s="149"/>
      <c r="AC299" s="129"/>
      <c r="AD299" s="129"/>
      <c r="AE299" s="129"/>
    </row>
    <row r="300" spans="3:31" x14ac:dyDescent="0.35">
      <c r="C300" s="129"/>
      <c r="D300" s="129"/>
      <c r="E300" s="129"/>
      <c r="F300" s="129"/>
      <c r="G300" s="129"/>
      <c r="H300" s="110"/>
      <c r="I300" s="129"/>
      <c r="J300" t="s">
        <v>351</v>
      </c>
      <c r="K300" s="129"/>
      <c r="L300" s="129"/>
      <c r="M300" s="129"/>
      <c r="N300" s="129"/>
      <c r="O300" s="129"/>
      <c r="P300" s="129"/>
      <c r="Q300" s="129"/>
      <c r="R300" s="129"/>
      <c r="S300" s="141"/>
      <c r="T300" s="139"/>
      <c r="U300" s="129"/>
      <c r="V300" s="129"/>
      <c r="W300" s="129"/>
      <c r="X300" s="129"/>
      <c r="Y300" s="129"/>
      <c r="Z300" s="115"/>
      <c r="AA300" s="129"/>
      <c r="AB300" s="149"/>
      <c r="AC300" s="129"/>
      <c r="AD300" s="129"/>
      <c r="AE300" s="129"/>
    </row>
    <row r="301" spans="3:31" x14ac:dyDescent="0.35">
      <c r="C301" s="129"/>
      <c r="D301" s="129"/>
      <c r="E301" s="129"/>
      <c r="F301" s="129"/>
      <c r="G301" s="129"/>
      <c r="H301" s="110"/>
      <c r="I301" s="129"/>
      <c r="J301" t="s">
        <v>351</v>
      </c>
      <c r="K301" s="129"/>
      <c r="L301" s="129"/>
      <c r="M301" s="129"/>
      <c r="N301" s="129"/>
      <c r="O301" s="129"/>
      <c r="P301" s="129"/>
      <c r="Q301" s="129"/>
      <c r="R301" s="129"/>
      <c r="S301" s="141"/>
      <c r="T301" s="139"/>
      <c r="U301" s="129"/>
      <c r="V301" s="129"/>
      <c r="W301" s="129"/>
      <c r="X301" s="129"/>
      <c r="Y301" s="129"/>
      <c r="Z301" s="115"/>
      <c r="AA301" s="129"/>
      <c r="AB301" s="149"/>
      <c r="AC301" s="129"/>
      <c r="AD301" s="129"/>
      <c r="AE301" s="129"/>
    </row>
    <row r="302" spans="3:31" x14ac:dyDescent="0.35">
      <c r="C302" s="129"/>
      <c r="D302" s="129"/>
      <c r="E302" s="129"/>
      <c r="F302" s="129"/>
      <c r="G302" s="129"/>
      <c r="H302" s="110"/>
      <c r="I302" s="129"/>
      <c r="J302" t="s">
        <v>351</v>
      </c>
      <c r="K302" s="129"/>
      <c r="L302" s="129"/>
      <c r="M302" s="129"/>
      <c r="N302" s="129"/>
      <c r="O302" s="129"/>
      <c r="P302" s="129"/>
      <c r="Q302" s="129"/>
      <c r="R302" s="129"/>
      <c r="S302" s="141"/>
      <c r="T302" s="139"/>
      <c r="U302" s="129"/>
      <c r="V302" s="129"/>
      <c r="W302" s="129"/>
      <c r="X302" s="129"/>
      <c r="Y302" s="129"/>
      <c r="Z302" s="115"/>
      <c r="AA302" s="129"/>
      <c r="AB302" s="149"/>
      <c r="AC302" s="129"/>
      <c r="AD302" s="129"/>
      <c r="AE302" s="129"/>
    </row>
    <row r="303" spans="3:31" x14ac:dyDescent="0.35">
      <c r="C303" s="129"/>
      <c r="D303" s="129"/>
      <c r="E303" s="129"/>
      <c r="F303" s="129"/>
      <c r="G303" s="129"/>
      <c r="H303" s="110"/>
      <c r="I303" s="129"/>
      <c r="J303" t="s">
        <v>351</v>
      </c>
      <c r="K303" s="129"/>
      <c r="L303" s="129"/>
      <c r="M303" s="129"/>
      <c r="N303" s="129"/>
      <c r="O303" s="129"/>
      <c r="P303" s="129"/>
      <c r="Q303" s="129"/>
      <c r="R303" s="129"/>
      <c r="S303" s="141"/>
      <c r="T303" s="139"/>
      <c r="U303" s="129"/>
      <c r="V303" s="129"/>
      <c r="W303" s="129"/>
      <c r="X303" s="129"/>
      <c r="Y303" s="129"/>
      <c r="Z303" s="115"/>
      <c r="AA303" s="129"/>
      <c r="AB303" s="149"/>
      <c r="AC303" s="129"/>
      <c r="AD303" s="129"/>
      <c r="AE303" s="129"/>
    </row>
    <row r="304" spans="3:31" x14ac:dyDescent="0.35">
      <c r="C304" s="129"/>
      <c r="D304" s="129"/>
      <c r="E304" s="129"/>
      <c r="F304" s="129"/>
      <c r="G304" s="129"/>
      <c r="H304" s="110"/>
      <c r="I304" s="129"/>
      <c r="J304" t="s">
        <v>351</v>
      </c>
      <c r="K304" s="129"/>
      <c r="L304" s="129"/>
      <c r="M304" s="129"/>
      <c r="N304" s="129"/>
      <c r="O304" s="129"/>
      <c r="P304" s="129"/>
      <c r="Q304" s="129"/>
      <c r="R304" s="129"/>
      <c r="S304" s="141"/>
      <c r="T304" s="139"/>
      <c r="U304" s="129"/>
      <c r="V304" s="129"/>
      <c r="W304" s="129"/>
      <c r="X304" s="129"/>
      <c r="Y304" s="129"/>
      <c r="Z304" s="115"/>
      <c r="AA304" s="129"/>
      <c r="AB304" s="149"/>
      <c r="AC304" s="129"/>
      <c r="AD304" s="129"/>
      <c r="AE304" s="129"/>
    </row>
    <row r="305" spans="3:31" x14ac:dyDescent="0.35">
      <c r="C305" s="129"/>
      <c r="D305" s="129"/>
      <c r="E305" s="129"/>
      <c r="F305" s="129"/>
      <c r="G305" s="129"/>
      <c r="H305" s="110"/>
      <c r="I305" s="129"/>
      <c r="J305" t="s">
        <v>351</v>
      </c>
      <c r="K305" s="129"/>
      <c r="L305" s="129"/>
      <c r="M305" s="129"/>
      <c r="N305" s="129"/>
      <c r="O305" s="129"/>
      <c r="P305" s="129"/>
      <c r="Q305" s="129"/>
      <c r="R305" s="129"/>
      <c r="S305" s="141"/>
      <c r="T305" s="139"/>
      <c r="U305" s="129"/>
      <c r="V305" s="129"/>
      <c r="W305" s="129"/>
      <c r="X305" s="129"/>
      <c r="Y305" s="129"/>
      <c r="Z305" s="115"/>
      <c r="AA305" s="129"/>
      <c r="AB305" s="149"/>
      <c r="AC305" s="129"/>
      <c r="AD305" s="129"/>
      <c r="AE305" s="129"/>
    </row>
    <row r="306" spans="3:31" x14ac:dyDescent="0.35">
      <c r="C306" s="129"/>
      <c r="D306" s="129"/>
      <c r="E306" s="129"/>
      <c r="F306" s="129"/>
      <c r="G306" s="129"/>
      <c r="H306" s="110"/>
      <c r="I306" s="129"/>
      <c r="J306" t="s">
        <v>351</v>
      </c>
      <c r="K306" s="129"/>
      <c r="L306" s="129"/>
      <c r="M306" s="129"/>
      <c r="N306" s="129"/>
      <c r="O306" s="129"/>
      <c r="P306" s="129"/>
      <c r="Q306" s="129"/>
      <c r="R306" s="129"/>
      <c r="S306" s="141"/>
      <c r="T306" s="139"/>
      <c r="U306" s="129"/>
      <c r="V306" s="129"/>
      <c r="W306" s="129"/>
      <c r="X306" s="129"/>
      <c r="Y306" s="129"/>
      <c r="Z306" s="115"/>
      <c r="AA306" s="129"/>
      <c r="AB306" s="149"/>
      <c r="AC306" s="129"/>
      <c r="AD306" s="129"/>
      <c r="AE306" s="129"/>
    </row>
    <row r="307" spans="3:31" x14ac:dyDescent="0.35">
      <c r="C307" s="129"/>
      <c r="D307" s="129"/>
      <c r="E307" s="129"/>
      <c r="F307" s="129"/>
      <c r="G307" s="129"/>
      <c r="H307" s="110"/>
      <c r="I307" s="129"/>
      <c r="J307" t="s">
        <v>351</v>
      </c>
      <c r="K307" s="129"/>
      <c r="L307" s="129"/>
      <c r="M307" s="129"/>
      <c r="N307" s="129"/>
      <c r="O307" s="129"/>
      <c r="P307" s="129"/>
      <c r="Q307" s="129"/>
      <c r="R307" s="129"/>
      <c r="S307" s="141"/>
      <c r="T307" s="139"/>
      <c r="U307" s="129"/>
      <c r="V307" s="129"/>
      <c r="W307" s="129"/>
      <c r="X307" s="129"/>
      <c r="Y307" s="129"/>
      <c r="Z307" s="115"/>
      <c r="AA307" s="129"/>
      <c r="AB307" s="149"/>
      <c r="AC307" s="129"/>
      <c r="AD307" s="129"/>
      <c r="AE307" s="129"/>
    </row>
    <row r="308" spans="3:31" x14ac:dyDescent="0.35">
      <c r="C308" s="129"/>
      <c r="D308" s="129"/>
      <c r="E308" s="129"/>
      <c r="F308" s="129"/>
      <c r="G308" s="129"/>
      <c r="H308" s="110"/>
      <c r="I308" s="129"/>
      <c r="J308" t="s">
        <v>351</v>
      </c>
      <c r="K308" s="129"/>
      <c r="L308" s="129"/>
      <c r="M308" s="129"/>
      <c r="N308" s="129"/>
      <c r="O308" s="129"/>
      <c r="P308" s="129"/>
      <c r="Q308" s="129"/>
      <c r="R308" s="129"/>
      <c r="S308" s="141"/>
      <c r="T308" s="139"/>
      <c r="U308" s="129"/>
      <c r="V308" s="129"/>
      <c r="W308" s="129"/>
      <c r="X308" s="129"/>
      <c r="Y308" s="129"/>
      <c r="Z308" s="115"/>
      <c r="AA308" s="129"/>
      <c r="AB308" s="149"/>
      <c r="AC308" s="129"/>
      <c r="AD308" s="129"/>
      <c r="AE308" s="129"/>
    </row>
    <row r="309" spans="3:31" x14ac:dyDescent="0.35">
      <c r="C309" s="129"/>
      <c r="D309" s="129"/>
      <c r="E309" s="129"/>
      <c r="F309" s="129"/>
      <c r="G309" s="129"/>
      <c r="H309" s="110"/>
      <c r="I309" s="129"/>
      <c r="J309" t="s">
        <v>351</v>
      </c>
      <c r="K309" s="129"/>
      <c r="L309" s="129"/>
      <c r="M309" s="129"/>
      <c r="N309" s="129"/>
      <c r="O309" s="129"/>
      <c r="P309" s="129"/>
      <c r="Q309" s="129"/>
      <c r="R309" s="129"/>
      <c r="S309" s="141"/>
      <c r="T309" s="139"/>
      <c r="U309" s="129"/>
      <c r="V309" s="129"/>
      <c r="W309" s="129"/>
      <c r="X309" s="129"/>
      <c r="Y309" s="129"/>
      <c r="Z309" s="115"/>
      <c r="AA309" s="129"/>
      <c r="AB309" s="149"/>
      <c r="AC309" s="129"/>
      <c r="AD309" s="129"/>
      <c r="AE309" s="129"/>
    </row>
    <row r="310" spans="3:31" x14ac:dyDescent="0.35">
      <c r="C310" s="129"/>
      <c r="D310" s="129"/>
      <c r="E310" s="129"/>
      <c r="F310" s="129"/>
      <c r="G310" s="129"/>
      <c r="H310" s="110"/>
      <c r="I310" s="129"/>
      <c r="J310" t="s">
        <v>351</v>
      </c>
      <c r="K310" s="129"/>
      <c r="L310" s="129"/>
      <c r="M310" s="129"/>
      <c r="N310" s="129"/>
      <c r="O310" s="129"/>
      <c r="P310" s="129"/>
      <c r="Q310" s="129"/>
      <c r="R310" s="129"/>
      <c r="S310" s="141"/>
      <c r="T310" s="139"/>
      <c r="U310" s="129"/>
      <c r="V310" s="129"/>
      <c r="W310" s="129"/>
      <c r="X310" s="129"/>
      <c r="Y310" s="129"/>
      <c r="Z310" s="115"/>
      <c r="AA310" s="129"/>
      <c r="AB310" s="149"/>
      <c r="AC310" s="129"/>
      <c r="AD310" s="129"/>
      <c r="AE310" s="129"/>
    </row>
    <row r="311" spans="3:31" x14ac:dyDescent="0.35">
      <c r="C311" s="129"/>
      <c r="D311" s="129"/>
      <c r="E311" s="129"/>
      <c r="F311" s="129"/>
      <c r="G311" s="129"/>
      <c r="H311" s="110"/>
      <c r="I311" s="129"/>
      <c r="J311" t="s">
        <v>351</v>
      </c>
      <c r="K311" s="129"/>
      <c r="L311" s="129"/>
      <c r="M311" s="129"/>
      <c r="N311" s="129"/>
      <c r="O311" s="129"/>
      <c r="P311" s="129"/>
      <c r="Q311" s="129"/>
      <c r="R311" s="129"/>
      <c r="S311" s="141"/>
      <c r="T311" s="139"/>
      <c r="U311" s="129"/>
      <c r="V311" s="129"/>
      <c r="W311" s="129"/>
      <c r="X311" s="129"/>
      <c r="Y311" s="129"/>
      <c r="Z311" s="115"/>
      <c r="AA311" s="129"/>
      <c r="AB311" s="149"/>
      <c r="AC311" s="129"/>
      <c r="AD311" s="129"/>
      <c r="AE311" s="129"/>
    </row>
    <row r="312" spans="3:31" x14ac:dyDescent="0.35">
      <c r="C312" s="129"/>
      <c r="D312" s="129"/>
      <c r="E312" s="129"/>
      <c r="F312" s="129"/>
      <c r="G312" s="129"/>
      <c r="H312" s="110"/>
      <c r="I312" s="129"/>
      <c r="J312" t="s">
        <v>351</v>
      </c>
      <c r="K312" s="129"/>
      <c r="L312" s="129"/>
      <c r="M312" s="129"/>
      <c r="N312" s="129"/>
      <c r="O312" s="129"/>
      <c r="P312" s="129"/>
      <c r="Q312" s="129"/>
      <c r="R312" s="129"/>
      <c r="S312" s="141"/>
      <c r="T312" s="139"/>
      <c r="U312" s="129"/>
      <c r="V312" s="129"/>
      <c r="W312" s="129"/>
      <c r="X312" s="129"/>
      <c r="Y312" s="129"/>
      <c r="Z312" s="115"/>
      <c r="AA312" s="129"/>
      <c r="AB312" s="149"/>
      <c r="AC312" s="129"/>
      <c r="AD312" s="129"/>
      <c r="AE312" s="129"/>
    </row>
    <row r="313" spans="3:31" x14ac:dyDescent="0.35">
      <c r="C313" s="129"/>
      <c r="D313" s="129"/>
      <c r="E313" s="129"/>
      <c r="F313" s="129"/>
      <c r="G313" s="129"/>
      <c r="H313" s="110"/>
      <c r="I313" s="129"/>
      <c r="J313" t="s">
        <v>351</v>
      </c>
      <c r="K313" s="129"/>
      <c r="L313" s="129"/>
      <c r="M313" s="129"/>
      <c r="N313" s="129"/>
      <c r="O313" s="129"/>
      <c r="P313" s="129"/>
      <c r="Q313" s="129"/>
      <c r="R313" s="129"/>
      <c r="S313" s="141"/>
      <c r="T313" s="139"/>
      <c r="U313" s="129"/>
      <c r="V313" s="129"/>
      <c r="W313" s="129"/>
      <c r="X313" s="129"/>
      <c r="Y313" s="129"/>
      <c r="Z313" s="115"/>
      <c r="AA313" s="129"/>
      <c r="AB313" s="149"/>
      <c r="AC313" s="129"/>
      <c r="AD313" s="129"/>
      <c r="AE313" s="129"/>
    </row>
    <row r="314" spans="3:31" x14ac:dyDescent="0.35">
      <c r="C314" s="129"/>
      <c r="D314" s="129"/>
      <c r="E314" s="129"/>
      <c r="F314" s="129"/>
      <c r="G314" s="129"/>
      <c r="H314" s="110"/>
      <c r="I314" s="129"/>
      <c r="J314" t="s">
        <v>351</v>
      </c>
      <c r="K314" s="129"/>
      <c r="L314" s="129"/>
      <c r="M314" s="129"/>
      <c r="N314" s="129"/>
      <c r="O314" s="129"/>
      <c r="P314" s="129"/>
      <c r="Q314" s="129"/>
      <c r="R314" s="129"/>
      <c r="S314" s="141"/>
      <c r="T314" s="139"/>
      <c r="U314" s="129"/>
      <c r="V314" s="129"/>
      <c r="W314" s="129"/>
      <c r="X314" s="129"/>
      <c r="Y314" s="129"/>
      <c r="Z314" s="115"/>
      <c r="AA314" s="129"/>
      <c r="AB314" s="149"/>
      <c r="AC314" s="129"/>
      <c r="AD314" s="129"/>
      <c r="AE314" s="129"/>
    </row>
    <row r="315" spans="3:31" x14ac:dyDescent="0.35">
      <c r="C315" s="129"/>
      <c r="D315" s="129"/>
      <c r="E315" s="129"/>
      <c r="F315" s="129"/>
      <c r="G315" s="129"/>
      <c r="H315" s="110"/>
      <c r="I315" s="129"/>
      <c r="J315" t="s">
        <v>351</v>
      </c>
      <c r="K315" s="129"/>
      <c r="L315" s="129"/>
      <c r="M315" s="129"/>
      <c r="N315" s="129"/>
      <c r="O315" s="129"/>
      <c r="P315" s="129"/>
      <c r="Q315" s="129"/>
      <c r="R315" s="129"/>
      <c r="S315" s="141"/>
      <c r="T315" s="139"/>
      <c r="U315" s="129"/>
      <c r="V315" s="129"/>
      <c r="W315" s="129"/>
      <c r="X315" s="129"/>
      <c r="Y315" s="129"/>
      <c r="Z315" s="115"/>
      <c r="AA315" s="129"/>
      <c r="AB315" s="149"/>
      <c r="AC315" s="129"/>
      <c r="AD315" s="129"/>
      <c r="AE315" s="129"/>
    </row>
    <row r="316" spans="3:31" x14ac:dyDescent="0.35">
      <c r="C316" s="129"/>
      <c r="D316" s="129"/>
      <c r="E316" s="129"/>
      <c r="F316" s="129"/>
      <c r="G316" s="129"/>
      <c r="H316" s="110"/>
      <c r="I316" s="129"/>
      <c r="J316" t="s">
        <v>351</v>
      </c>
      <c r="K316" s="129"/>
      <c r="L316" s="129"/>
      <c r="M316" s="129"/>
      <c r="N316" s="129"/>
      <c r="O316" s="129"/>
      <c r="P316" s="129"/>
      <c r="Q316" s="129"/>
      <c r="R316" s="129"/>
      <c r="S316" s="141"/>
      <c r="T316" s="139"/>
      <c r="U316" s="129"/>
      <c r="V316" s="129"/>
      <c r="W316" s="129"/>
      <c r="X316" s="129"/>
      <c r="Y316" s="129"/>
      <c r="Z316" s="115"/>
      <c r="AA316" s="129"/>
      <c r="AB316" s="149"/>
      <c r="AC316" s="129"/>
      <c r="AD316" s="129"/>
      <c r="AE316" s="129"/>
    </row>
    <row r="317" spans="3:31" x14ac:dyDescent="0.35">
      <c r="C317" s="129"/>
      <c r="D317" s="129"/>
      <c r="E317" s="129"/>
      <c r="F317" s="129"/>
      <c r="G317" s="129"/>
      <c r="H317" s="110"/>
      <c r="I317" s="129"/>
      <c r="J317" t="s">
        <v>351</v>
      </c>
      <c r="K317" s="129"/>
      <c r="L317" s="129"/>
      <c r="M317" s="129"/>
      <c r="N317" s="129"/>
      <c r="O317" s="129"/>
      <c r="P317" s="129"/>
      <c r="Q317" s="129"/>
      <c r="R317" s="129"/>
      <c r="S317" s="141"/>
      <c r="T317" s="139"/>
      <c r="U317" s="129"/>
      <c r="V317" s="129"/>
      <c r="W317" s="129"/>
      <c r="X317" s="129"/>
      <c r="Y317" s="129"/>
      <c r="Z317" s="115"/>
      <c r="AA317" s="129"/>
      <c r="AB317" s="149"/>
      <c r="AC317" s="129"/>
      <c r="AD317" s="129"/>
      <c r="AE317" s="129"/>
    </row>
    <row r="318" spans="3:31" x14ac:dyDescent="0.35">
      <c r="C318" s="129"/>
      <c r="D318" s="129"/>
      <c r="E318" s="129"/>
      <c r="F318" s="129"/>
      <c r="G318" s="129"/>
      <c r="H318" s="110"/>
      <c r="I318" s="129"/>
      <c r="J318" t="s">
        <v>351</v>
      </c>
      <c r="K318" s="129"/>
      <c r="L318" s="129"/>
      <c r="M318" s="129"/>
      <c r="N318" s="129"/>
      <c r="O318" s="129"/>
      <c r="P318" s="129"/>
      <c r="Q318" s="129"/>
      <c r="R318" s="129"/>
      <c r="S318" s="141"/>
      <c r="T318" s="139"/>
      <c r="U318" s="129"/>
      <c r="V318" s="129"/>
      <c r="W318" s="129"/>
      <c r="X318" s="129"/>
      <c r="Y318" s="129"/>
      <c r="Z318" s="115"/>
      <c r="AA318" s="129"/>
      <c r="AB318" s="149"/>
      <c r="AC318" s="129"/>
      <c r="AD318" s="129"/>
      <c r="AE318" s="129"/>
    </row>
    <row r="319" spans="3:31" x14ac:dyDescent="0.35">
      <c r="C319" s="129"/>
      <c r="D319" s="129"/>
      <c r="E319" s="129"/>
      <c r="F319" s="129"/>
      <c r="G319" s="129"/>
      <c r="H319" s="110"/>
      <c r="I319" s="129"/>
      <c r="J319" t="s">
        <v>351</v>
      </c>
      <c r="K319" s="129"/>
      <c r="L319" s="129"/>
      <c r="M319" s="129"/>
      <c r="N319" s="129"/>
      <c r="O319" s="129"/>
      <c r="P319" s="129"/>
      <c r="Q319" s="129"/>
      <c r="R319" s="129"/>
      <c r="S319" s="141"/>
      <c r="T319" s="139"/>
      <c r="U319" s="129"/>
      <c r="V319" s="129"/>
      <c r="W319" s="129"/>
      <c r="X319" s="129"/>
      <c r="Y319" s="129"/>
      <c r="Z319" s="115"/>
      <c r="AA319" s="129"/>
      <c r="AB319" s="149"/>
      <c r="AC319" s="129"/>
      <c r="AD319" s="129"/>
      <c r="AE319" s="129"/>
    </row>
    <row r="320" spans="3:31" x14ac:dyDescent="0.35">
      <c r="C320" s="129"/>
      <c r="D320" s="129"/>
      <c r="E320" s="129"/>
      <c r="F320" s="129"/>
      <c r="G320" s="129"/>
      <c r="H320" s="110"/>
      <c r="I320" s="129"/>
      <c r="J320" t="s">
        <v>351</v>
      </c>
      <c r="K320" s="129"/>
      <c r="L320" s="129"/>
      <c r="M320" s="129"/>
      <c r="N320" s="129"/>
      <c r="O320" s="129"/>
      <c r="P320" s="129"/>
      <c r="Q320" s="129"/>
      <c r="R320" s="129"/>
      <c r="S320" s="141"/>
      <c r="T320" s="139"/>
      <c r="U320" s="129"/>
      <c r="V320" s="129"/>
      <c r="W320" s="129"/>
      <c r="X320" s="129"/>
      <c r="Y320" s="129"/>
      <c r="Z320" s="115"/>
      <c r="AA320" s="129"/>
      <c r="AB320" s="149"/>
      <c r="AC320" s="129"/>
      <c r="AD320" s="129"/>
      <c r="AE320" s="129"/>
    </row>
    <row r="321" spans="3:31" x14ac:dyDescent="0.35">
      <c r="C321" s="129"/>
      <c r="D321" s="129"/>
      <c r="E321" s="129"/>
      <c r="F321" s="129"/>
      <c r="G321" s="129"/>
      <c r="H321" s="110"/>
      <c r="I321" s="129"/>
      <c r="J321" t="s">
        <v>351</v>
      </c>
      <c r="K321" s="129"/>
      <c r="L321" s="129"/>
      <c r="M321" s="129"/>
      <c r="N321" s="129"/>
      <c r="O321" s="129"/>
      <c r="P321" s="129"/>
      <c r="Q321" s="129"/>
      <c r="R321" s="129"/>
      <c r="S321" s="141"/>
      <c r="T321" s="139"/>
      <c r="U321" s="129"/>
      <c r="V321" s="129"/>
      <c r="W321" s="129"/>
      <c r="X321" s="129"/>
      <c r="Y321" s="129"/>
      <c r="Z321" s="115"/>
      <c r="AA321" s="129"/>
      <c r="AB321" s="149"/>
      <c r="AC321" s="129"/>
      <c r="AD321" s="129"/>
      <c r="AE321" s="129"/>
    </row>
    <row r="322" spans="3:31" x14ac:dyDescent="0.35">
      <c r="C322" s="129"/>
      <c r="D322" s="129"/>
      <c r="E322" s="129"/>
      <c r="F322" s="129"/>
      <c r="G322" s="129"/>
      <c r="H322" s="110"/>
      <c r="I322" s="129"/>
      <c r="J322" t="s">
        <v>351</v>
      </c>
      <c r="K322" s="129"/>
      <c r="L322" s="129"/>
      <c r="M322" s="129"/>
      <c r="N322" s="129"/>
      <c r="O322" s="129"/>
      <c r="P322" s="129"/>
      <c r="Q322" s="129"/>
      <c r="R322" s="129"/>
      <c r="S322" s="141"/>
      <c r="T322" s="139"/>
      <c r="U322" s="129"/>
      <c r="V322" s="129"/>
      <c r="W322" s="129"/>
      <c r="X322" s="129"/>
      <c r="Y322" s="129"/>
      <c r="Z322" s="115"/>
      <c r="AA322" s="129"/>
      <c r="AB322" s="149"/>
      <c r="AC322" s="129"/>
      <c r="AD322" s="129"/>
      <c r="AE322" s="129"/>
    </row>
    <row r="323" spans="3:31" x14ac:dyDescent="0.35">
      <c r="C323" s="129"/>
      <c r="D323" s="129"/>
      <c r="E323" s="129"/>
      <c r="F323" s="129"/>
      <c r="G323" s="129"/>
      <c r="H323" s="110"/>
      <c r="I323" s="129"/>
      <c r="J323" t="s">
        <v>351</v>
      </c>
      <c r="K323" s="129"/>
      <c r="L323" s="129"/>
      <c r="M323" s="129"/>
      <c r="N323" s="129"/>
      <c r="O323" s="129"/>
      <c r="P323" s="129"/>
      <c r="Q323" s="129"/>
      <c r="R323" s="129"/>
      <c r="S323" s="141"/>
      <c r="T323" s="139"/>
      <c r="U323" s="129"/>
      <c r="V323" s="129"/>
      <c r="W323" s="129"/>
      <c r="X323" s="129"/>
      <c r="Y323" s="129"/>
      <c r="Z323" s="115"/>
      <c r="AA323" s="129"/>
      <c r="AB323" s="149"/>
      <c r="AC323" s="129"/>
      <c r="AD323" s="129"/>
      <c r="AE323" s="129"/>
    </row>
    <row r="324" spans="3:31" x14ac:dyDescent="0.35">
      <c r="C324" s="129"/>
      <c r="D324" s="129"/>
      <c r="E324" s="129"/>
      <c r="F324" s="129"/>
      <c r="G324" s="129"/>
      <c r="H324" s="110"/>
      <c r="I324" s="129"/>
      <c r="J324" t="s">
        <v>351</v>
      </c>
      <c r="K324" s="129"/>
      <c r="L324" s="129"/>
      <c r="M324" s="129"/>
      <c r="N324" s="129"/>
      <c r="O324" s="129"/>
      <c r="P324" s="129"/>
      <c r="Q324" s="129"/>
      <c r="R324" s="129"/>
      <c r="S324" s="141"/>
      <c r="T324" s="139"/>
      <c r="U324" s="129"/>
      <c r="V324" s="129"/>
      <c r="W324" s="129"/>
      <c r="X324" s="129"/>
      <c r="Y324" s="129"/>
      <c r="Z324" s="115"/>
      <c r="AA324" s="129"/>
      <c r="AB324" s="149"/>
      <c r="AC324" s="129"/>
      <c r="AD324" s="129"/>
      <c r="AE324" s="129"/>
    </row>
    <row r="325" spans="3:31" x14ac:dyDescent="0.35">
      <c r="C325" s="129"/>
      <c r="D325" s="129"/>
      <c r="E325" s="129"/>
      <c r="F325" s="129"/>
      <c r="G325" s="129"/>
      <c r="H325" s="110"/>
      <c r="I325" s="129"/>
      <c r="J325" t="s">
        <v>351</v>
      </c>
      <c r="K325" s="129"/>
      <c r="L325" s="129"/>
      <c r="M325" s="129"/>
      <c r="N325" s="129"/>
      <c r="O325" s="129"/>
      <c r="P325" s="129"/>
      <c r="Q325" s="129"/>
      <c r="R325" s="129"/>
      <c r="S325" s="141"/>
      <c r="T325" s="139"/>
      <c r="U325" s="129"/>
      <c r="V325" s="129"/>
      <c r="W325" s="129"/>
      <c r="X325" s="129"/>
      <c r="Y325" s="129"/>
      <c r="Z325" s="115"/>
      <c r="AA325" s="129"/>
      <c r="AB325" s="149"/>
      <c r="AC325" s="129"/>
      <c r="AD325" s="129"/>
      <c r="AE325" s="129"/>
    </row>
    <row r="326" spans="3:31" x14ac:dyDescent="0.35">
      <c r="C326" s="129"/>
      <c r="D326" s="129"/>
      <c r="E326" s="129"/>
      <c r="F326" s="129"/>
      <c r="G326" s="129"/>
      <c r="H326" s="110"/>
      <c r="I326" s="129"/>
      <c r="J326" t="s">
        <v>351</v>
      </c>
      <c r="K326" s="129"/>
      <c r="L326" s="129"/>
      <c r="M326" s="129"/>
      <c r="N326" s="129"/>
      <c r="O326" s="129"/>
      <c r="P326" s="129"/>
      <c r="Q326" s="129"/>
      <c r="R326" s="129"/>
      <c r="S326" s="141"/>
      <c r="T326" s="139"/>
      <c r="U326" s="129"/>
      <c r="V326" s="129"/>
      <c r="W326" s="129"/>
      <c r="X326" s="129"/>
      <c r="Y326" s="129"/>
      <c r="Z326" s="115"/>
      <c r="AA326" s="129"/>
      <c r="AB326" s="149"/>
      <c r="AC326" s="129"/>
      <c r="AD326" s="129"/>
      <c r="AE326" s="129"/>
    </row>
    <row r="327" spans="3:31" x14ac:dyDescent="0.35">
      <c r="C327" s="129"/>
      <c r="D327" s="129"/>
      <c r="E327" s="129"/>
      <c r="F327" s="129"/>
      <c r="G327" s="129"/>
      <c r="H327" s="110"/>
      <c r="I327" s="129"/>
      <c r="J327" t="s">
        <v>351</v>
      </c>
      <c r="K327" s="129"/>
      <c r="L327" s="129"/>
      <c r="M327" s="129"/>
      <c r="N327" s="129"/>
      <c r="O327" s="129"/>
      <c r="P327" s="129"/>
      <c r="Q327" s="129"/>
      <c r="R327" s="129"/>
      <c r="S327" s="141"/>
      <c r="T327" s="139"/>
      <c r="U327" s="129"/>
      <c r="V327" s="129"/>
      <c r="W327" s="129"/>
      <c r="X327" s="129"/>
      <c r="Y327" s="129"/>
      <c r="Z327" s="115"/>
      <c r="AA327" s="129"/>
      <c r="AB327" s="149"/>
      <c r="AC327" s="129"/>
      <c r="AD327" s="129"/>
      <c r="AE327" s="129"/>
    </row>
    <row r="328" spans="3:31" x14ac:dyDescent="0.35">
      <c r="C328" s="129"/>
      <c r="D328" s="129"/>
      <c r="E328" s="129"/>
      <c r="F328" s="129"/>
      <c r="G328" s="129"/>
      <c r="H328" s="110"/>
      <c r="I328" s="129"/>
      <c r="J328" t="s">
        <v>351</v>
      </c>
      <c r="K328" s="129"/>
      <c r="L328" s="129"/>
      <c r="M328" s="129"/>
      <c r="N328" s="129"/>
      <c r="O328" s="129"/>
      <c r="P328" s="129"/>
      <c r="Q328" s="129"/>
      <c r="R328" s="129"/>
      <c r="S328" s="141"/>
      <c r="T328" s="139"/>
      <c r="U328" s="129"/>
      <c r="V328" s="129"/>
      <c r="W328" s="129"/>
      <c r="X328" s="129"/>
      <c r="Y328" s="129"/>
      <c r="Z328" s="115"/>
      <c r="AA328" s="129"/>
      <c r="AB328" s="149"/>
      <c r="AC328" s="129"/>
      <c r="AD328" s="129"/>
      <c r="AE328" s="129"/>
    </row>
    <row r="329" spans="3:31" x14ac:dyDescent="0.35">
      <c r="C329" s="129"/>
      <c r="D329" s="129"/>
      <c r="E329" s="129"/>
      <c r="F329" s="129"/>
      <c r="G329" s="129"/>
      <c r="H329" s="110"/>
      <c r="I329" s="129"/>
      <c r="J329" t="s">
        <v>351</v>
      </c>
      <c r="K329" s="129"/>
      <c r="L329" s="129"/>
      <c r="M329" s="129"/>
      <c r="N329" s="129"/>
      <c r="O329" s="129"/>
      <c r="P329" s="129"/>
      <c r="Q329" s="129"/>
      <c r="R329" s="129"/>
      <c r="S329" s="141"/>
      <c r="T329" s="139"/>
      <c r="U329" s="129"/>
      <c r="V329" s="129"/>
      <c r="W329" s="129"/>
      <c r="X329" s="129"/>
      <c r="Y329" s="129"/>
      <c r="Z329" s="115"/>
      <c r="AA329" s="129"/>
      <c r="AB329" s="149"/>
      <c r="AC329" s="129"/>
      <c r="AD329" s="129"/>
      <c r="AE329" s="129"/>
    </row>
    <row r="330" spans="3:31" x14ac:dyDescent="0.35">
      <c r="C330" s="129"/>
      <c r="D330" s="129"/>
      <c r="E330" s="129"/>
      <c r="F330" s="129"/>
      <c r="G330" s="129"/>
      <c r="H330" s="110"/>
      <c r="I330" s="129"/>
      <c r="J330" t="s">
        <v>351</v>
      </c>
      <c r="K330" s="129"/>
      <c r="L330" s="129"/>
      <c r="M330" s="129"/>
      <c r="N330" s="129"/>
      <c r="O330" s="129"/>
      <c r="P330" s="129"/>
      <c r="Q330" s="129"/>
      <c r="R330" s="129"/>
      <c r="S330" s="141"/>
      <c r="T330" s="139"/>
      <c r="U330" s="129"/>
      <c r="V330" s="129"/>
      <c r="W330" s="129"/>
      <c r="X330" s="129"/>
      <c r="Y330" s="129"/>
      <c r="Z330" s="115"/>
      <c r="AA330" s="129"/>
      <c r="AB330" s="149"/>
      <c r="AC330" s="129"/>
      <c r="AD330" s="129"/>
      <c r="AE330" s="129"/>
    </row>
    <row r="331" spans="3:31" x14ac:dyDescent="0.35">
      <c r="C331" s="129"/>
      <c r="D331" s="129"/>
      <c r="E331" s="129"/>
      <c r="F331" s="129"/>
      <c r="G331" s="129"/>
      <c r="H331" s="110"/>
      <c r="I331" s="129"/>
      <c r="J331" t="s">
        <v>351</v>
      </c>
      <c r="K331" s="129"/>
      <c r="L331" s="129"/>
      <c r="M331" s="129"/>
      <c r="N331" s="129"/>
      <c r="O331" s="129"/>
      <c r="P331" s="129"/>
      <c r="Q331" s="129"/>
      <c r="R331" s="129"/>
      <c r="S331" s="141"/>
      <c r="T331" s="139"/>
      <c r="U331" s="129"/>
      <c r="V331" s="129"/>
      <c r="W331" s="129"/>
      <c r="X331" s="129"/>
      <c r="Y331" s="129"/>
      <c r="Z331" s="115"/>
      <c r="AA331" s="129"/>
      <c r="AB331" s="149"/>
      <c r="AC331" s="129"/>
      <c r="AD331" s="129"/>
      <c r="AE331" s="129"/>
    </row>
    <row r="332" spans="3:31" x14ac:dyDescent="0.35">
      <c r="C332" s="129"/>
      <c r="D332" s="129"/>
      <c r="E332" s="129"/>
      <c r="F332" s="129"/>
      <c r="G332" s="129"/>
      <c r="H332" s="110"/>
      <c r="I332" s="129"/>
      <c r="J332" t="s">
        <v>351</v>
      </c>
      <c r="K332" s="129"/>
      <c r="L332" s="129"/>
      <c r="M332" s="129"/>
      <c r="N332" s="129"/>
      <c r="O332" s="129"/>
      <c r="P332" s="129"/>
      <c r="Q332" s="129"/>
      <c r="R332" s="129"/>
      <c r="S332" s="141"/>
      <c r="T332" s="139"/>
      <c r="U332" s="129"/>
      <c r="V332" s="129"/>
      <c r="W332" s="129"/>
      <c r="X332" s="129"/>
      <c r="Y332" s="129"/>
      <c r="Z332" s="115"/>
      <c r="AA332" s="129"/>
      <c r="AB332" s="149"/>
      <c r="AC332" s="129"/>
      <c r="AD332" s="129"/>
      <c r="AE332" s="129"/>
    </row>
    <row r="333" spans="3:31" x14ac:dyDescent="0.35">
      <c r="C333" s="129"/>
      <c r="D333" s="129"/>
      <c r="E333" s="129"/>
      <c r="F333" s="129"/>
      <c r="G333" s="129"/>
      <c r="H333" s="110"/>
      <c r="I333" s="129"/>
      <c r="J333" t="s">
        <v>351</v>
      </c>
      <c r="K333" s="129"/>
      <c r="L333" s="129"/>
      <c r="M333" s="129"/>
      <c r="N333" s="129"/>
      <c r="O333" s="129"/>
      <c r="P333" s="129"/>
      <c r="Q333" s="129"/>
      <c r="R333" s="129"/>
      <c r="S333" s="141"/>
      <c r="T333" s="139"/>
      <c r="U333" s="129"/>
      <c r="V333" s="129"/>
      <c r="W333" s="129"/>
      <c r="X333" s="129"/>
      <c r="Y333" s="129"/>
      <c r="Z333" s="115"/>
      <c r="AA333" s="129"/>
      <c r="AB333" s="149"/>
      <c r="AC333" s="129"/>
      <c r="AD333" s="129"/>
      <c r="AE333" s="129"/>
    </row>
    <row r="334" spans="3:31" x14ac:dyDescent="0.35">
      <c r="C334" s="129"/>
      <c r="D334" s="129"/>
      <c r="E334" s="129"/>
      <c r="F334" s="129"/>
      <c r="G334" s="129"/>
      <c r="H334" s="110"/>
      <c r="I334" s="129"/>
      <c r="J334" t="s">
        <v>351</v>
      </c>
      <c r="K334" s="129"/>
      <c r="L334" s="129"/>
      <c r="M334" s="129"/>
      <c r="N334" s="129"/>
      <c r="O334" s="129"/>
      <c r="P334" s="129"/>
      <c r="Q334" s="129"/>
      <c r="R334" s="129"/>
      <c r="S334" s="141"/>
      <c r="T334" s="139"/>
      <c r="U334" s="129"/>
      <c r="V334" s="129"/>
      <c r="W334" s="129"/>
      <c r="X334" s="129"/>
      <c r="Y334" s="129"/>
      <c r="Z334" s="115"/>
      <c r="AA334" s="129"/>
      <c r="AB334" s="149"/>
      <c r="AC334" s="129"/>
      <c r="AD334" s="129"/>
      <c r="AE334" s="129"/>
    </row>
    <row r="335" spans="3:31" x14ac:dyDescent="0.35">
      <c r="C335" s="129"/>
      <c r="D335" s="129"/>
      <c r="E335" s="129"/>
      <c r="F335" s="129"/>
      <c r="G335" s="129"/>
      <c r="H335" s="110"/>
      <c r="I335" s="129"/>
      <c r="J335" t="s">
        <v>351</v>
      </c>
      <c r="K335" s="129"/>
      <c r="L335" s="129"/>
      <c r="M335" s="129"/>
      <c r="N335" s="129"/>
      <c r="O335" s="129"/>
      <c r="P335" s="129"/>
      <c r="Q335" s="129"/>
      <c r="R335" s="129"/>
      <c r="S335" s="141"/>
      <c r="T335" s="139"/>
      <c r="U335" s="129"/>
      <c r="V335" s="129"/>
      <c r="W335" s="129"/>
      <c r="X335" s="129"/>
      <c r="Y335" s="129"/>
      <c r="Z335" s="115"/>
      <c r="AA335" s="129"/>
      <c r="AB335" s="149"/>
      <c r="AC335" s="129"/>
      <c r="AD335" s="129"/>
      <c r="AE335" s="129"/>
    </row>
    <row r="336" spans="3:31" x14ac:dyDescent="0.35">
      <c r="C336" s="129"/>
      <c r="D336" s="129"/>
      <c r="E336" s="129"/>
      <c r="F336" s="129"/>
      <c r="G336" s="129"/>
      <c r="H336" s="110"/>
      <c r="I336" s="129"/>
      <c r="J336" t="s">
        <v>351</v>
      </c>
      <c r="K336" s="129"/>
      <c r="L336" s="129"/>
      <c r="M336" s="129"/>
      <c r="N336" s="129"/>
      <c r="O336" s="129"/>
      <c r="P336" s="129"/>
      <c r="Q336" s="129"/>
      <c r="R336" s="129"/>
      <c r="S336" s="141"/>
      <c r="T336" s="139"/>
      <c r="U336" s="129"/>
      <c r="V336" s="129"/>
      <c r="W336" s="129"/>
      <c r="X336" s="129"/>
      <c r="Y336" s="129"/>
      <c r="Z336" s="115"/>
      <c r="AA336" s="129"/>
      <c r="AB336" s="149"/>
      <c r="AC336" s="129"/>
      <c r="AD336" s="129"/>
      <c r="AE336" s="129"/>
    </row>
    <row r="337" spans="3:31" x14ac:dyDescent="0.35">
      <c r="C337" s="129"/>
      <c r="D337" s="129"/>
      <c r="E337" s="129"/>
      <c r="F337" s="129"/>
      <c r="G337" s="129"/>
      <c r="H337" s="110"/>
      <c r="I337" s="129"/>
      <c r="J337" t="s">
        <v>351</v>
      </c>
      <c r="K337" s="129"/>
      <c r="L337" s="129"/>
      <c r="M337" s="129"/>
      <c r="N337" s="129"/>
      <c r="O337" s="129"/>
      <c r="P337" s="129"/>
      <c r="Q337" s="129"/>
      <c r="R337" s="129"/>
      <c r="S337" s="141"/>
      <c r="T337" s="139"/>
      <c r="U337" s="129"/>
      <c r="V337" s="129"/>
      <c r="W337" s="129"/>
      <c r="X337" s="129"/>
      <c r="Y337" s="129"/>
      <c r="Z337" s="115"/>
      <c r="AA337" s="129"/>
      <c r="AB337" s="149"/>
      <c r="AC337" s="129"/>
      <c r="AD337" s="129"/>
      <c r="AE337" s="129"/>
    </row>
    <row r="338" spans="3:31" x14ac:dyDescent="0.35">
      <c r="C338" s="129"/>
      <c r="D338" s="129"/>
      <c r="E338" s="129"/>
      <c r="F338" s="129"/>
      <c r="G338" s="129"/>
      <c r="H338" s="110"/>
      <c r="I338" s="129"/>
      <c r="J338" t="s">
        <v>351</v>
      </c>
      <c r="K338" s="129"/>
      <c r="L338" s="129"/>
      <c r="M338" s="129"/>
      <c r="N338" s="129"/>
      <c r="O338" s="129"/>
      <c r="P338" s="129"/>
      <c r="Q338" s="129"/>
      <c r="R338" s="129"/>
      <c r="S338" s="141"/>
      <c r="T338" s="139"/>
      <c r="U338" s="129"/>
      <c r="V338" s="129"/>
      <c r="W338" s="129"/>
      <c r="X338" s="129"/>
      <c r="Y338" s="129"/>
      <c r="Z338" s="115"/>
      <c r="AA338" s="129"/>
      <c r="AB338" s="149"/>
      <c r="AC338" s="129"/>
      <c r="AD338" s="129"/>
      <c r="AE338" s="129"/>
    </row>
    <row r="339" spans="3:31" x14ac:dyDescent="0.35">
      <c r="C339" s="129"/>
      <c r="D339" s="129"/>
      <c r="E339" s="129"/>
      <c r="F339" s="129"/>
      <c r="G339" s="129"/>
      <c r="H339" s="110"/>
      <c r="I339" s="129"/>
      <c r="J339" t="s">
        <v>351</v>
      </c>
      <c r="K339" s="129"/>
      <c r="L339" s="129"/>
      <c r="M339" s="129"/>
      <c r="N339" s="129"/>
      <c r="O339" s="129"/>
      <c r="P339" s="129"/>
      <c r="Q339" s="129"/>
      <c r="R339" s="129"/>
      <c r="S339" s="141"/>
      <c r="T339" s="139"/>
      <c r="U339" s="129"/>
      <c r="V339" s="129"/>
      <c r="W339" s="129"/>
      <c r="X339" s="129"/>
      <c r="Y339" s="129"/>
      <c r="Z339" s="115"/>
      <c r="AA339" s="129"/>
      <c r="AB339" s="149"/>
      <c r="AC339" s="129"/>
      <c r="AD339" s="129"/>
      <c r="AE339" s="129"/>
    </row>
    <row r="340" spans="3:31" x14ac:dyDescent="0.35">
      <c r="C340" s="129"/>
      <c r="D340" s="129"/>
      <c r="E340" s="129"/>
      <c r="F340" s="129"/>
      <c r="G340" s="129"/>
      <c r="H340" s="110"/>
      <c r="I340" s="129"/>
      <c r="J340" t="s">
        <v>351</v>
      </c>
      <c r="K340" s="129"/>
      <c r="L340" s="129"/>
      <c r="M340" s="129"/>
      <c r="N340" s="129"/>
      <c r="O340" s="129"/>
      <c r="P340" s="129"/>
      <c r="Q340" s="129"/>
      <c r="R340" s="129"/>
      <c r="S340" s="141"/>
      <c r="T340" s="139"/>
      <c r="U340" s="129"/>
      <c r="V340" s="129"/>
      <c r="W340" s="129"/>
      <c r="X340" s="129"/>
      <c r="Y340" s="129"/>
      <c r="Z340" s="115"/>
      <c r="AA340" s="129"/>
      <c r="AB340" s="149"/>
      <c r="AC340" s="129"/>
      <c r="AD340" s="129"/>
      <c r="AE340" s="129"/>
    </row>
    <row r="341" spans="3:31" x14ac:dyDescent="0.35">
      <c r="C341" s="129"/>
      <c r="D341" s="129"/>
      <c r="E341" s="129"/>
      <c r="F341" s="129"/>
      <c r="G341" s="129"/>
      <c r="H341" s="110"/>
      <c r="I341" s="129"/>
      <c r="J341" t="s">
        <v>351</v>
      </c>
      <c r="K341" s="129"/>
      <c r="L341" s="129"/>
      <c r="M341" s="129"/>
      <c r="N341" s="129"/>
      <c r="O341" s="129"/>
      <c r="P341" s="129"/>
      <c r="Q341" s="129"/>
      <c r="R341" s="129"/>
      <c r="S341" s="141"/>
      <c r="T341" s="139"/>
      <c r="U341" s="129"/>
      <c r="V341" s="129"/>
      <c r="W341" s="129"/>
      <c r="X341" s="129"/>
      <c r="Y341" s="129"/>
      <c r="Z341" s="115"/>
      <c r="AA341" s="129"/>
      <c r="AB341" s="149"/>
      <c r="AC341" s="129"/>
      <c r="AD341" s="129"/>
      <c r="AE341" s="129"/>
    </row>
    <row r="342" spans="3:31" x14ac:dyDescent="0.35">
      <c r="C342" s="129"/>
      <c r="D342" s="129"/>
      <c r="E342" s="129"/>
      <c r="F342" s="129"/>
      <c r="G342" s="129"/>
      <c r="H342" s="110"/>
      <c r="I342" s="129"/>
      <c r="J342" t="s">
        <v>351</v>
      </c>
      <c r="K342" s="129"/>
      <c r="L342" s="129"/>
      <c r="M342" s="129"/>
      <c r="N342" s="129"/>
      <c r="O342" s="129"/>
      <c r="P342" s="129"/>
      <c r="Q342" s="129"/>
      <c r="R342" s="129"/>
      <c r="S342" s="141"/>
      <c r="T342" s="139"/>
      <c r="U342" s="129"/>
      <c r="V342" s="129"/>
      <c r="W342" s="129"/>
      <c r="X342" s="129"/>
      <c r="Y342" s="129"/>
      <c r="Z342" s="115"/>
      <c r="AA342" s="129"/>
      <c r="AB342" s="149"/>
      <c r="AC342" s="129"/>
      <c r="AD342" s="129"/>
      <c r="AE342" s="129"/>
    </row>
    <row r="343" spans="3:31" x14ac:dyDescent="0.35">
      <c r="C343" s="129"/>
      <c r="D343" s="129"/>
      <c r="E343" s="129"/>
      <c r="F343" s="129"/>
      <c r="G343" s="129"/>
      <c r="H343" s="110"/>
      <c r="I343" s="129"/>
      <c r="J343" t="s">
        <v>351</v>
      </c>
      <c r="K343" s="129"/>
      <c r="L343" s="129"/>
      <c r="M343" s="129"/>
      <c r="N343" s="129"/>
      <c r="O343" s="129"/>
      <c r="P343" s="129"/>
      <c r="Q343" s="129"/>
      <c r="R343" s="129"/>
      <c r="S343" s="141"/>
      <c r="T343" s="139"/>
      <c r="U343" s="129"/>
      <c r="V343" s="129"/>
      <c r="W343" s="129"/>
      <c r="X343" s="129"/>
      <c r="Y343" s="129"/>
      <c r="Z343" s="115"/>
      <c r="AA343" s="129"/>
      <c r="AB343" s="149"/>
      <c r="AC343" s="129"/>
      <c r="AD343" s="129"/>
      <c r="AE343" s="129"/>
    </row>
    <row r="344" spans="3:31" x14ac:dyDescent="0.35">
      <c r="C344" s="129"/>
      <c r="D344" s="129"/>
      <c r="E344" s="129"/>
      <c r="F344" s="129"/>
      <c r="G344" s="129"/>
      <c r="H344" s="110"/>
      <c r="I344" s="129"/>
      <c r="J344" t="s">
        <v>351</v>
      </c>
      <c r="K344" s="129"/>
      <c r="L344" s="129"/>
      <c r="M344" s="129"/>
      <c r="N344" s="129"/>
      <c r="O344" s="129"/>
      <c r="P344" s="129"/>
      <c r="Q344" s="129"/>
      <c r="R344" s="129"/>
      <c r="S344" s="141"/>
      <c r="T344" s="139"/>
      <c r="U344" s="129"/>
      <c r="V344" s="129"/>
      <c r="W344" s="129"/>
      <c r="X344" s="129"/>
      <c r="Y344" s="129"/>
      <c r="Z344" s="115"/>
      <c r="AA344" s="129"/>
      <c r="AB344" s="149"/>
      <c r="AC344" s="129"/>
      <c r="AD344" s="129"/>
      <c r="AE344" s="129"/>
    </row>
    <row r="345" spans="3:31" x14ac:dyDescent="0.35">
      <c r="C345" s="129"/>
      <c r="D345" s="129"/>
      <c r="E345" s="129"/>
      <c r="F345" s="129"/>
      <c r="G345" s="129"/>
      <c r="H345" s="110"/>
      <c r="I345" s="129"/>
      <c r="J345" t="s">
        <v>351</v>
      </c>
      <c r="K345" s="129"/>
      <c r="L345" s="129"/>
      <c r="M345" s="129"/>
      <c r="N345" s="129"/>
      <c r="O345" s="129"/>
      <c r="P345" s="129"/>
      <c r="Q345" s="129"/>
      <c r="R345" s="129"/>
      <c r="S345" s="141"/>
      <c r="T345" s="139"/>
      <c r="U345" s="129"/>
      <c r="V345" s="129"/>
      <c r="W345" s="129"/>
      <c r="X345" s="129"/>
      <c r="Y345" s="129"/>
      <c r="Z345" s="115"/>
      <c r="AA345" s="129"/>
      <c r="AB345" s="149"/>
      <c r="AC345" s="129"/>
      <c r="AD345" s="129"/>
      <c r="AE345" s="129"/>
    </row>
    <row r="346" spans="3:31" x14ac:dyDescent="0.35">
      <c r="C346" s="129"/>
      <c r="D346" s="129"/>
      <c r="E346" s="129"/>
      <c r="F346" s="129"/>
      <c r="G346" s="129"/>
      <c r="H346" s="110"/>
      <c r="I346" s="129"/>
      <c r="J346" t="s">
        <v>351</v>
      </c>
      <c r="K346" s="129"/>
      <c r="L346" s="129"/>
      <c r="M346" s="129"/>
      <c r="N346" s="129"/>
      <c r="O346" s="129"/>
      <c r="P346" s="129"/>
      <c r="Q346" s="129"/>
      <c r="R346" s="129"/>
      <c r="S346" s="141"/>
      <c r="T346" s="139"/>
      <c r="U346" s="129"/>
      <c r="V346" s="129"/>
      <c r="W346" s="129"/>
      <c r="X346" s="129"/>
      <c r="Y346" s="129"/>
      <c r="Z346" s="115"/>
      <c r="AA346" s="129"/>
      <c r="AB346" s="149"/>
      <c r="AC346" s="129"/>
      <c r="AD346" s="129"/>
      <c r="AE346" s="129"/>
    </row>
    <row r="347" spans="3:31" x14ac:dyDescent="0.35">
      <c r="C347" s="129"/>
      <c r="D347" s="129"/>
      <c r="E347" s="129"/>
      <c r="F347" s="129"/>
      <c r="G347" s="129"/>
      <c r="H347" s="110"/>
      <c r="I347" s="129"/>
      <c r="J347" t="s">
        <v>351</v>
      </c>
      <c r="K347" s="129"/>
      <c r="L347" s="129"/>
      <c r="M347" s="129"/>
      <c r="N347" s="129"/>
      <c r="O347" s="129"/>
      <c r="P347" s="129"/>
      <c r="Q347" s="129"/>
      <c r="R347" s="129"/>
      <c r="S347" s="141"/>
      <c r="T347" s="139"/>
      <c r="U347" s="129"/>
      <c r="V347" s="129"/>
      <c r="W347" s="129"/>
      <c r="X347" s="129"/>
      <c r="Y347" s="129"/>
      <c r="Z347" s="115"/>
      <c r="AA347" s="129"/>
      <c r="AB347" s="149"/>
      <c r="AC347" s="129"/>
      <c r="AD347" s="129"/>
      <c r="AE347" s="129"/>
    </row>
    <row r="348" spans="3:31" x14ac:dyDescent="0.35">
      <c r="C348" s="129"/>
      <c r="D348" s="129"/>
      <c r="E348" s="129"/>
      <c r="F348" s="129"/>
      <c r="G348" s="129"/>
      <c r="H348" s="110"/>
      <c r="I348" s="129"/>
      <c r="J348" t="s">
        <v>351</v>
      </c>
      <c r="K348" s="129"/>
      <c r="L348" s="129"/>
      <c r="M348" s="129"/>
      <c r="N348" s="129"/>
      <c r="O348" s="129"/>
      <c r="P348" s="129"/>
      <c r="Q348" s="129"/>
      <c r="R348" s="129"/>
      <c r="S348" s="141"/>
      <c r="T348" s="139"/>
      <c r="U348" s="129"/>
      <c r="V348" s="129"/>
      <c r="W348" s="129"/>
      <c r="X348" s="129"/>
      <c r="Y348" s="129"/>
      <c r="Z348" s="115"/>
      <c r="AA348" s="129"/>
      <c r="AB348" s="149"/>
      <c r="AC348" s="129"/>
      <c r="AD348" s="129"/>
      <c r="AE348" s="129"/>
    </row>
    <row r="349" spans="3:31" x14ac:dyDescent="0.35">
      <c r="C349" s="129"/>
      <c r="D349" s="129"/>
      <c r="E349" s="129"/>
      <c r="F349" s="129"/>
      <c r="G349" s="129"/>
      <c r="H349" s="110"/>
      <c r="I349" s="129"/>
      <c r="J349" t="s">
        <v>351</v>
      </c>
      <c r="K349" s="129"/>
      <c r="L349" s="129"/>
      <c r="M349" s="129"/>
      <c r="N349" s="129"/>
      <c r="O349" s="129"/>
      <c r="P349" s="129"/>
      <c r="Q349" s="129"/>
      <c r="R349" s="129"/>
      <c r="S349" s="141"/>
      <c r="T349" s="139"/>
      <c r="U349" s="129"/>
      <c r="V349" s="129"/>
      <c r="W349" s="129"/>
      <c r="X349" s="129"/>
      <c r="Y349" s="129"/>
      <c r="Z349" s="115"/>
      <c r="AA349" s="129"/>
      <c r="AB349" s="149"/>
      <c r="AC349" s="129"/>
      <c r="AD349" s="129"/>
      <c r="AE349" s="129"/>
    </row>
    <row r="350" spans="3:31" x14ac:dyDescent="0.35">
      <c r="C350" s="129"/>
      <c r="D350" s="129"/>
      <c r="E350" s="129"/>
      <c r="F350" s="129"/>
      <c r="G350" s="129"/>
      <c r="H350" s="110"/>
      <c r="I350" s="129"/>
      <c r="J350" t="s">
        <v>351</v>
      </c>
      <c r="K350" s="129"/>
      <c r="L350" s="129"/>
      <c r="M350" s="129"/>
      <c r="N350" s="129"/>
      <c r="O350" s="129"/>
      <c r="P350" s="129"/>
      <c r="Q350" s="129"/>
      <c r="R350" s="129"/>
      <c r="S350" s="141"/>
      <c r="T350" s="139"/>
      <c r="U350" s="129"/>
      <c r="V350" s="129"/>
      <c r="W350" s="129"/>
      <c r="X350" s="129"/>
      <c r="Y350" s="129"/>
      <c r="Z350" s="115"/>
      <c r="AA350" s="129"/>
      <c r="AB350" s="149"/>
      <c r="AC350" s="129"/>
      <c r="AD350" s="129"/>
      <c r="AE350" s="129"/>
    </row>
    <row r="351" spans="3:31" x14ac:dyDescent="0.35">
      <c r="C351" s="129"/>
      <c r="D351" s="129"/>
      <c r="E351" s="129"/>
      <c r="F351" s="129"/>
      <c r="G351" s="129"/>
      <c r="H351" s="110"/>
      <c r="I351" s="129"/>
      <c r="J351" t="s">
        <v>351</v>
      </c>
      <c r="K351" s="129"/>
      <c r="L351" s="129"/>
      <c r="M351" s="129"/>
      <c r="N351" s="129"/>
      <c r="O351" s="129"/>
      <c r="P351" s="129"/>
      <c r="Q351" s="129"/>
      <c r="R351" s="129"/>
      <c r="S351" s="141"/>
      <c r="T351" s="139"/>
      <c r="U351" s="129"/>
      <c r="V351" s="129"/>
      <c r="W351" s="129"/>
      <c r="X351" s="129"/>
      <c r="Y351" s="129"/>
      <c r="Z351" s="115"/>
      <c r="AA351" s="129"/>
      <c r="AB351" s="149"/>
      <c r="AC351" s="129"/>
      <c r="AD351" s="129"/>
      <c r="AE351" s="129"/>
    </row>
    <row r="352" spans="3:31" x14ac:dyDescent="0.35">
      <c r="C352" s="129"/>
      <c r="D352" s="129"/>
      <c r="E352" s="129"/>
      <c r="F352" s="129"/>
      <c r="G352" s="129"/>
      <c r="H352" s="110"/>
      <c r="I352" s="129"/>
      <c r="J352" t="s">
        <v>351</v>
      </c>
      <c r="K352" s="129"/>
      <c r="L352" s="129"/>
      <c r="M352" s="129"/>
      <c r="N352" s="129"/>
      <c r="O352" s="129"/>
      <c r="P352" s="129"/>
      <c r="Q352" s="129"/>
      <c r="R352" s="129"/>
      <c r="S352" s="141"/>
      <c r="T352" s="139"/>
      <c r="U352" s="129"/>
      <c r="V352" s="129"/>
      <c r="W352" s="129"/>
      <c r="X352" s="129"/>
      <c r="Y352" s="129"/>
      <c r="Z352" s="115"/>
      <c r="AA352" s="129"/>
      <c r="AB352" s="149"/>
      <c r="AC352" s="129"/>
      <c r="AD352" s="129"/>
      <c r="AE352" s="129"/>
    </row>
    <row r="353" spans="3:31" x14ac:dyDescent="0.35">
      <c r="C353" s="129"/>
      <c r="D353" s="129"/>
      <c r="E353" s="129"/>
      <c r="F353" s="129"/>
      <c r="G353" s="129"/>
      <c r="H353" s="110"/>
      <c r="I353" s="129"/>
      <c r="J353" t="s">
        <v>351</v>
      </c>
      <c r="K353" s="129"/>
      <c r="L353" s="129"/>
      <c r="M353" s="129"/>
      <c r="N353" s="129"/>
      <c r="O353" s="129"/>
      <c r="P353" s="129"/>
      <c r="Q353" s="129"/>
      <c r="R353" s="129"/>
      <c r="S353" s="141"/>
      <c r="T353" s="139"/>
      <c r="U353" s="129"/>
      <c r="V353" s="129"/>
      <c r="W353" s="129"/>
      <c r="X353" s="129"/>
      <c r="Y353" s="129"/>
      <c r="Z353" s="115"/>
      <c r="AA353" s="129"/>
      <c r="AB353" s="149"/>
      <c r="AC353" s="129"/>
      <c r="AD353" s="129"/>
      <c r="AE353" s="129"/>
    </row>
    <row r="354" spans="3:31" x14ac:dyDescent="0.35">
      <c r="C354" s="129"/>
      <c r="D354" s="129"/>
      <c r="E354" s="129"/>
      <c r="F354" s="129"/>
      <c r="G354" s="129"/>
      <c r="H354" s="110"/>
      <c r="I354" s="129"/>
      <c r="J354" t="s">
        <v>351</v>
      </c>
      <c r="K354" s="129"/>
      <c r="L354" s="129"/>
      <c r="M354" s="129"/>
      <c r="N354" s="129"/>
      <c r="O354" s="129"/>
      <c r="P354" s="129"/>
      <c r="Q354" s="129"/>
      <c r="R354" s="129"/>
      <c r="S354" s="141"/>
      <c r="T354" s="139"/>
      <c r="U354" s="129"/>
      <c r="V354" s="129"/>
      <c r="W354" s="129"/>
      <c r="X354" s="129"/>
      <c r="Y354" s="129"/>
      <c r="Z354" s="115"/>
      <c r="AA354" s="129"/>
      <c r="AB354" s="149"/>
      <c r="AC354" s="129"/>
      <c r="AD354" s="129"/>
      <c r="AE354" s="129"/>
    </row>
    <row r="355" spans="3:31" x14ac:dyDescent="0.35">
      <c r="C355" s="129"/>
      <c r="D355" s="129"/>
      <c r="E355" s="129"/>
      <c r="F355" s="129"/>
      <c r="G355" s="129"/>
      <c r="H355" s="110"/>
      <c r="I355" s="129"/>
      <c r="J355" t="s">
        <v>351</v>
      </c>
      <c r="K355" s="129"/>
      <c r="L355" s="129"/>
      <c r="M355" s="129"/>
      <c r="N355" s="129"/>
      <c r="O355" s="129"/>
      <c r="P355" s="129"/>
      <c r="Q355" s="129"/>
      <c r="R355" s="129"/>
      <c r="S355" s="141"/>
      <c r="T355" s="139"/>
      <c r="U355" s="129"/>
      <c r="V355" s="129"/>
      <c r="W355" s="129"/>
      <c r="X355" s="129"/>
      <c r="Y355" s="129"/>
      <c r="Z355" s="115"/>
      <c r="AA355" s="129"/>
      <c r="AB355" s="149"/>
      <c r="AC355" s="129"/>
      <c r="AD355" s="129"/>
      <c r="AE355" s="129"/>
    </row>
    <row r="356" spans="3:31" x14ac:dyDescent="0.35">
      <c r="C356" s="129"/>
      <c r="D356" s="129"/>
      <c r="E356" s="129"/>
      <c r="F356" s="129"/>
      <c r="G356" s="129"/>
      <c r="H356" s="110"/>
      <c r="I356" s="129"/>
      <c r="J356" t="s">
        <v>351</v>
      </c>
      <c r="K356" s="129"/>
      <c r="L356" s="129"/>
      <c r="M356" s="129"/>
      <c r="N356" s="129"/>
      <c r="O356" s="129"/>
      <c r="P356" s="129"/>
      <c r="Q356" s="129"/>
      <c r="R356" s="129"/>
      <c r="S356" s="141"/>
      <c r="T356" s="139"/>
      <c r="U356" s="129"/>
      <c r="V356" s="129"/>
      <c r="W356" s="129"/>
      <c r="X356" s="129"/>
      <c r="Y356" s="129"/>
      <c r="Z356" s="115"/>
      <c r="AA356" s="129"/>
      <c r="AB356" s="149"/>
      <c r="AC356" s="129"/>
      <c r="AD356" s="129"/>
      <c r="AE356" s="129"/>
    </row>
    <row r="357" spans="3:31" x14ac:dyDescent="0.35">
      <c r="C357" s="129"/>
      <c r="D357" s="129"/>
      <c r="E357" s="129"/>
      <c r="F357" s="129"/>
      <c r="G357" s="129"/>
      <c r="H357" s="110"/>
      <c r="I357" s="129"/>
      <c r="J357" t="s">
        <v>351</v>
      </c>
      <c r="K357" s="129"/>
      <c r="L357" s="129"/>
      <c r="M357" s="129"/>
      <c r="N357" s="129"/>
      <c r="O357" s="129"/>
      <c r="P357" s="129"/>
      <c r="Q357" s="129"/>
      <c r="R357" s="129"/>
      <c r="S357" s="141"/>
      <c r="T357" s="139"/>
      <c r="U357" s="129"/>
      <c r="V357" s="129"/>
      <c r="W357" s="129"/>
      <c r="X357" s="129"/>
      <c r="Y357" s="129"/>
      <c r="Z357" s="115"/>
      <c r="AA357" s="129"/>
      <c r="AB357" s="149"/>
      <c r="AC357" s="129"/>
      <c r="AD357" s="129"/>
      <c r="AE357" s="129"/>
    </row>
    <row r="358" spans="3:31" x14ac:dyDescent="0.35">
      <c r="C358" s="129"/>
      <c r="D358" s="129"/>
      <c r="E358" s="129"/>
      <c r="F358" s="129"/>
      <c r="G358" s="129"/>
      <c r="H358" s="110"/>
      <c r="I358" s="129"/>
      <c r="J358" t="s">
        <v>351</v>
      </c>
      <c r="K358" s="129"/>
      <c r="L358" s="129"/>
      <c r="M358" s="129"/>
      <c r="N358" s="129"/>
      <c r="O358" s="129"/>
      <c r="P358" s="129"/>
      <c r="Q358" s="129"/>
      <c r="R358" s="129"/>
      <c r="S358" s="141"/>
      <c r="T358" s="139"/>
      <c r="U358" s="129"/>
      <c r="V358" s="129"/>
      <c r="W358" s="129"/>
      <c r="X358" s="129"/>
      <c r="Y358" s="129"/>
      <c r="Z358" s="115"/>
      <c r="AA358" s="129"/>
      <c r="AB358" s="149"/>
      <c r="AC358" s="129"/>
      <c r="AD358" s="129"/>
      <c r="AE358" s="129"/>
    </row>
    <row r="359" spans="3:31" x14ac:dyDescent="0.35">
      <c r="C359" s="129"/>
      <c r="D359" s="129"/>
      <c r="E359" s="129"/>
      <c r="F359" s="129"/>
      <c r="G359" s="129"/>
      <c r="H359" s="110"/>
      <c r="I359" s="129"/>
      <c r="J359" t="s">
        <v>351</v>
      </c>
      <c r="K359" s="129"/>
      <c r="L359" s="129"/>
      <c r="M359" s="129"/>
      <c r="N359" s="129"/>
      <c r="O359" s="129"/>
      <c r="P359" s="129"/>
      <c r="Q359" s="129"/>
      <c r="R359" s="129"/>
      <c r="S359" s="141"/>
      <c r="T359" s="139"/>
      <c r="U359" s="129"/>
      <c r="V359" s="129"/>
      <c r="W359" s="129"/>
      <c r="X359" s="129"/>
      <c r="Y359" s="129"/>
      <c r="Z359" s="115"/>
      <c r="AA359" s="129"/>
      <c r="AB359" s="149"/>
      <c r="AC359" s="129"/>
      <c r="AD359" s="129"/>
      <c r="AE359" s="129"/>
    </row>
    <row r="360" spans="3:31" x14ac:dyDescent="0.35">
      <c r="C360" s="129"/>
      <c r="D360" s="129"/>
      <c r="E360" s="129"/>
      <c r="F360" s="129"/>
      <c r="G360" s="129"/>
      <c r="H360" s="110"/>
      <c r="I360" s="129"/>
      <c r="J360" t="s">
        <v>351</v>
      </c>
      <c r="K360" s="129"/>
      <c r="L360" s="129"/>
      <c r="M360" s="129"/>
      <c r="N360" s="129"/>
      <c r="O360" s="129"/>
      <c r="P360" s="129"/>
      <c r="Q360" s="129"/>
      <c r="R360" s="129"/>
      <c r="S360" s="141"/>
      <c r="T360" s="139"/>
      <c r="U360" s="129"/>
      <c r="V360" s="129"/>
      <c r="W360" s="129"/>
      <c r="X360" s="129"/>
      <c r="Y360" s="129"/>
      <c r="Z360" s="115"/>
      <c r="AA360" s="129"/>
      <c r="AB360" s="149"/>
      <c r="AC360" s="129"/>
      <c r="AD360" s="129"/>
      <c r="AE360" s="129"/>
    </row>
    <row r="361" spans="3:31" x14ac:dyDescent="0.35">
      <c r="C361" s="129"/>
      <c r="D361" s="129"/>
      <c r="E361" s="129"/>
      <c r="F361" s="129"/>
      <c r="G361" s="129"/>
      <c r="H361" s="110"/>
      <c r="I361" s="129"/>
      <c r="J361" t="s">
        <v>351</v>
      </c>
      <c r="K361" s="129"/>
      <c r="L361" s="129"/>
      <c r="M361" s="129"/>
      <c r="N361" s="129"/>
      <c r="O361" s="129"/>
      <c r="P361" s="129"/>
      <c r="Q361" s="129"/>
      <c r="R361" s="129"/>
      <c r="S361" s="141"/>
      <c r="T361" s="139"/>
      <c r="U361" s="129"/>
      <c r="V361" s="129"/>
      <c r="W361" s="129"/>
      <c r="X361" s="129"/>
      <c r="Y361" s="129"/>
      <c r="Z361" s="115"/>
      <c r="AA361" s="129"/>
      <c r="AB361" s="149"/>
      <c r="AC361" s="129"/>
      <c r="AD361" s="129"/>
      <c r="AE361" s="129"/>
    </row>
    <row r="362" spans="3:31" x14ac:dyDescent="0.35">
      <c r="C362" s="129"/>
      <c r="D362" s="129"/>
      <c r="E362" s="129"/>
      <c r="F362" s="129"/>
      <c r="G362" s="129"/>
      <c r="H362" s="110"/>
      <c r="I362" s="129"/>
      <c r="J362" t="s">
        <v>351</v>
      </c>
      <c r="K362" s="129"/>
      <c r="L362" s="129"/>
      <c r="M362" s="129"/>
      <c r="N362" s="129"/>
      <c r="O362" s="129"/>
      <c r="P362" s="129"/>
      <c r="Q362" s="129"/>
      <c r="R362" s="129"/>
      <c r="S362" s="141"/>
      <c r="T362" s="139"/>
      <c r="U362" s="129"/>
      <c r="V362" s="129"/>
      <c r="W362" s="129"/>
      <c r="X362" s="129"/>
      <c r="Y362" s="129"/>
      <c r="Z362" s="115"/>
      <c r="AA362" s="129"/>
      <c r="AB362" s="149"/>
      <c r="AC362" s="129"/>
      <c r="AD362" s="129"/>
      <c r="AE362" s="129"/>
    </row>
    <row r="363" spans="3:31" x14ac:dyDescent="0.35">
      <c r="C363" s="129"/>
      <c r="D363" s="129"/>
      <c r="E363" s="129"/>
      <c r="F363" s="129"/>
      <c r="G363" s="129"/>
      <c r="H363" s="110"/>
      <c r="I363" s="129"/>
      <c r="J363" t="s">
        <v>351</v>
      </c>
      <c r="K363" s="129"/>
      <c r="L363" s="129"/>
      <c r="M363" s="129"/>
      <c r="N363" s="129"/>
      <c r="O363" s="129"/>
      <c r="P363" s="129"/>
      <c r="Q363" s="129"/>
      <c r="R363" s="129"/>
      <c r="S363" s="141"/>
      <c r="T363" s="139"/>
      <c r="U363" s="129"/>
      <c r="V363" s="129"/>
      <c r="W363" s="129"/>
      <c r="X363" s="129"/>
      <c r="Y363" s="129"/>
      <c r="Z363" s="115"/>
      <c r="AA363" s="129"/>
      <c r="AB363" s="149"/>
      <c r="AC363" s="129"/>
      <c r="AD363" s="129"/>
      <c r="AE363" s="129"/>
    </row>
    <row r="364" spans="3:31" x14ac:dyDescent="0.35">
      <c r="C364" s="129"/>
      <c r="D364" s="129"/>
      <c r="E364" s="129"/>
      <c r="F364" s="129"/>
      <c r="G364" s="129"/>
      <c r="H364" s="110"/>
      <c r="I364" s="129"/>
      <c r="J364" t="s">
        <v>351</v>
      </c>
      <c r="K364" s="129"/>
      <c r="L364" s="129"/>
      <c r="M364" s="129"/>
      <c r="N364" s="129"/>
      <c r="O364" s="129"/>
      <c r="P364" s="129"/>
      <c r="Q364" s="129"/>
      <c r="R364" s="129"/>
      <c r="S364" s="141"/>
      <c r="T364" s="139"/>
      <c r="U364" s="129"/>
      <c r="V364" s="129"/>
      <c r="W364" s="129"/>
      <c r="X364" s="129"/>
      <c r="Y364" s="129"/>
      <c r="Z364" s="115"/>
      <c r="AA364" s="129"/>
      <c r="AB364" s="149"/>
      <c r="AC364" s="129"/>
      <c r="AD364" s="129"/>
      <c r="AE364" s="129"/>
    </row>
    <row r="365" spans="3:31" x14ac:dyDescent="0.35">
      <c r="C365" s="129"/>
      <c r="D365" s="129"/>
      <c r="E365" s="129"/>
      <c r="F365" s="129"/>
      <c r="G365" s="129"/>
      <c r="H365" s="110"/>
      <c r="I365" s="129"/>
      <c r="J365" t="s">
        <v>351</v>
      </c>
      <c r="K365" s="129"/>
      <c r="L365" s="129"/>
      <c r="M365" s="129"/>
      <c r="N365" s="129"/>
      <c r="O365" s="129"/>
      <c r="P365" s="129"/>
      <c r="Q365" s="129"/>
      <c r="R365" s="129"/>
      <c r="S365" s="141"/>
      <c r="T365" s="139"/>
      <c r="U365" s="129"/>
      <c r="V365" s="129"/>
      <c r="W365" s="129"/>
      <c r="X365" s="129"/>
      <c r="Y365" s="129"/>
      <c r="Z365" s="115"/>
      <c r="AA365" s="129"/>
      <c r="AB365" s="149"/>
      <c r="AC365" s="129"/>
      <c r="AD365" s="129"/>
      <c r="AE365" s="129"/>
    </row>
    <row r="366" spans="3:31" x14ac:dyDescent="0.35">
      <c r="C366" s="129"/>
      <c r="D366" s="129"/>
      <c r="E366" s="129"/>
      <c r="F366" s="129"/>
      <c r="G366" s="129"/>
      <c r="H366" s="110"/>
      <c r="I366" s="129"/>
      <c r="J366" t="s">
        <v>351</v>
      </c>
      <c r="K366" s="129"/>
      <c r="L366" s="129"/>
      <c r="M366" s="129"/>
      <c r="N366" s="129"/>
      <c r="O366" s="129"/>
      <c r="P366" s="129"/>
      <c r="Q366" s="129"/>
      <c r="R366" s="129"/>
      <c r="S366" s="141"/>
      <c r="T366" s="139"/>
      <c r="U366" s="129"/>
      <c r="V366" s="129"/>
      <c r="W366" s="129"/>
      <c r="X366" s="129"/>
      <c r="Y366" s="129"/>
      <c r="Z366" s="115"/>
      <c r="AA366" s="129"/>
      <c r="AB366" s="149"/>
      <c r="AC366" s="129"/>
      <c r="AD366" s="129"/>
      <c r="AE366" s="129"/>
    </row>
    <row r="367" spans="3:31" x14ac:dyDescent="0.35">
      <c r="C367" s="129"/>
      <c r="D367" s="129"/>
      <c r="E367" s="129"/>
      <c r="F367" s="129"/>
      <c r="G367" s="129"/>
      <c r="H367" s="110"/>
      <c r="I367" s="129"/>
      <c r="J367" t="s">
        <v>351</v>
      </c>
      <c r="K367" s="129"/>
      <c r="L367" s="129"/>
      <c r="M367" s="129"/>
      <c r="N367" s="129"/>
      <c r="O367" s="129"/>
      <c r="P367" s="129"/>
      <c r="Q367" s="129"/>
      <c r="R367" s="129"/>
      <c r="S367" s="141"/>
      <c r="T367" s="139"/>
      <c r="U367" s="129"/>
      <c r="V367" s="129"/>
      <c r="W367" s="129"/>
      <c r="X367" s="129"/>
      <c r="Y367" s="129"/>
      <c r="Z367" s="115"/>
      <c r="AA367" s="129"/>
      <c r="AB367" s="149"/>
      <c r="AC367" s="129"/>
      <c r="AD367" s="129"/>
      <c r="AE367" s="129"/>
    </row>
    <row r="368" spans="3:31" x14ac:dyDescent="0.35">
      <c r="C368" s="129"/>
      <c r="D368" s="129"/>
      <c r="E368" s="129"/>
      <c r="F368" s="129"/>
      <c r="G368" s="129"/>
      <c r="H368" s="110"/>
      <c r="I368" s="129"/>
      <c r="J368" t="s">
        <v>351</v>
      </c>
      <c r="K368" s="129"/>
      <c r="L368" s="129"/>
      <c r="M368" s="129"/>
      <c r="N368" s="129"/>
      <c r="O368" s="129"/>
      <c r="P368" s="129"/>
      <c r="Q368" s="129"/>
      <c r="R368" s="129"/>
      <c r="S368" s="141"/>
      <c r="T368" s="139"/>
      <c r="U368" s="129"/>
      <c r="V368" s="129"/>
      <c r="W368" s="129"/>
      <c r="X368" s="129"/>
      <c r="Y368" s="129"/>
      <c r="Z368" s="115"/>
      <c r="AA368" s="129"/>
      <c r="AB368" s="149"/>
      <c r="AC368" s="129"/>
      <c r="AD368" s="129"/>
      <c r="AE368" s="129"/>
    </row>
    <row r="369" spans="3:31" x14ac:dyDescent="0.35">
      <c r="C369" s="129"/>
      <c r="D369" s="129"/>
      <c r="E369" s="129"/>
      <c r="F369" s="129"/>
      <c r="G369" s="129"/>
      <c r="H369" s="110"/>
      <c r="I369" s="129"/>
      <c r="J369" t="s">
        <v>351</v>
      </c>
      <c r="K369" s="129"/>
      <c r="L369" s="129"/>
      <c r="M369" s="129"/>
      <c r="N369" s="129"/>
      <c r="O369" s="129"/>
      <c r="P369" s="129"/>
      <c r="Q369" s="129"/>
      <c r="R369" s="129"/>
      <c r="S369" s="141"/>
      <c r="T369" s="139"/>
      <c r="U369" s="129"/>
      <c r="V369" s="129"/>
      <c r="W369" s="129"/>
      <c r="X369" s="129"/>
      <c r="Y369" s="129"/>
      <c r="Z369" s="115"/>
      <c r="AA369" s="129"/>
      <c r="AB369" s="149"/>
      <c r="AC369" s="129"/>
      <c r="AD369" s="129"/>
      <c r="AE369" s="129"/>
    </row>
    <row r="370" spans="3:31" x14ac:dyDescent="0.35">
      <c r="C370" s="129"/>
      <c r="D370" s="129"/>
      <c r="E370" s="129"/>
      <c r="F370" s="129"/>
      <c r="G370" s="129"/>
      <c r="H370" s="110"/>
      <c r="I370" s="129"/>
      <c r="J370" t="s">
        <v>351</v>
      </c>
      <c r="K370" s="129"/>
      <c r="L370" s="129"/>
      <c r="M370" s="129"/>
      <c r="N370" s="129"/>
      <c r="O370" s="129"/>
      <c r="P370" s="129"/>
      <c r="Q370" s="129"/>
      <c r="R370" s="129"/>
      <c r="S370" s="141"/>
      <c r="T370" s="139"/>
      <c r="U370" s="129"/>
      <c r="V370" s="129"/>
      <c r="W370" s="129"/>
      <c r="X370" s="129"/>
      <c r="Y370" s="129"/>
      <c r="Z370" s="115"/>
      <c r="AA370" s="129"/>
      <c r="AB370" s="149"/>
      <c r="AC370" s="129"/>
      <c r="AD370" s="129"/>
      <c r="AE370" s="129"/>
    </row>
    <row r="371" spans="3:31" x14ac:dyDescent="0.35">
      <c r="C371" s="129"/>
      <c r="D371" s="129"/>
      <c r="E371" s="129"/>
      <c r="F371" s="129"/>
      <c r="G371" s="129"/>
      <c r="H371" s="110"/>
      <c r="I371" s="129"/>
      <c r="J371" t="s">
        <v>351</v>
      </c>
      <c r="K371" s="129"/>
      <c r="L371" s="129"/>
      <c r="M371" s="129"/>
      <c r="N371" s="129"/>
      <c r="O371" s="129"/>
      <c r="P371" s="129"/>
      <c r="Q371" s="129"/>
      <c r="R371" s="129"/>
      <c r="S371" s="141"/>
      <c r="T371" s="139"/>
      <c r="U371" s="129"/>
      <c r="V371" s="129"/>
      <c r="W371" s="129"/>
      <c r="X371" s="129"/>
      <c r="Y371" s="129"/>
      <c r="Z371" s="115"/>
      <c r="AA371" s="129"/>
      <c r="AB371" s="149"/>
      <c r="AC371" s="129"/>
      <c r="AD371" s="129"/>
      <c r="AE371" s="129"/>
    </row>
    <row r="372" spans="3:31" x14ac:dyDescent="0.35">
      <c r="C372" s="129"/>
      <c r="D372" s="129"/>
      <c r="E372" s="129"/>
      <c r="F372" s="129"/>
      <c r="G372" s="129"/>
      <c r="H372" s="110"/>
      <c r="I372" s="129"/>
      <c r="J372" t="s">
        <v>351</v>
      </c>
      <c r="K372" s="129"/>
      <c r="L372" s="129"/>
      <c r="M372" s="129"/>
      <c r="N372" s="129"/>
      <c r="O372" s="129"/>
      <c r="P372" s="129"/>
      <c r="Q372" s="129"/>
      <c r="R372" s="129"/>
      <c r="S372" s="141"/>
      <c r="T372" s="139"/>
      <c r="U372" s="129"/>
      <c r="V372" s="129"/>
      <c r="W372" s="129"/>
      <c r="X372" s="129"/>
      <c r="Y372" s="129"/>
      <c r="Z372" s="115"/>
      <c r="AA372" s="129"/>
      <c r="AB372" s="149"/>
      <c r="AC372" s="129"/>
      <c r="AD372" s="129"/>
      <c r="AE372" s="129"/>
    </row>
    <row r="373" spans="3:31" x14ac:dyDescent="0.35">
      <c r="C373" s="129"/>
      <c r="D373" s="129"/>
      <c r="E373" s="129"/>
      <c r="F373" s="129"/>
      <c r="G373" s="129"/>
      <c r="H373" s="110"/>
      <c r="I373" s="129"/>
      <c r="J373" t="s">
        <v>351</v>
      </c>
      <c r="K373" s="129"/>
      <c r="L373" s="129"/>
      <c r="M373" s="129"/>
      <c r="N373" s="129"/>
      <c r="O373" s="129"/>
      <c r="P373" s="129"/>
      <c r="Q373" s="129"/>
      <c r="R373" s="129"/>
      <c r="S373" s="141"/>
      <c r="T373" s="139"/>
      <c r="U373" s="129"/>
      <c r="V373" s="129"/>
      <c r="W373" s="129"/>
      <c r="X373" s="129"/>
      <c r="Y373" s="129"/>
      <c r="Z373" s="115"/>
      <c r="AA373" s="129"/>
      <c r="AB373" s="149"/>
      <c r="AC373" s="129"/>
      <c r="AD373" s="129"/>
      <c r="AE373" s="129"/>
    </row>
    <row r="374" spans="3:31" x14ac:dyDescent="0.35">
      <c r="C374" s="129"/>
      <c r="D374" s="129"/>
      <c r="E374" s="129"/>
      <c r="F374" s="129"/>
      <c r="G374" s="129"/>
      <c r="H374" s="110"/>
      <c r="I374" s="129"/>
      <c r="J374" t="s">
        <v>351</v>
      </c>
      <c r="K374" s="129"/>
      <c r="L374" s="129"/>
      <c r="M374" s="129"/>
      <c r="N374" s="129"/>
      <c r="O374" s="129"/>
      <c r="P374" s="129"/>
      <c r="Q374" s="129"/>
      <c r="R374" s="129"/>
      <c r="S374" s="141"/>
      <c r="T374" s="139"/>
      <c r="U374" s="129"/>
      <c r="V374" s="129"/>
      <c r="W374" s="129"/>
      <c r="X374" s="129"/>
      <c r="Y374" s="129"/>
      <c r="Z374" s="115"/>
      <c r="AA374" s="129"/>
      <c r="AB374" s="149"/>
      <c r="AC374" s="129"/>
      <c r="AD374" s="129"/>
      <c r="AE374" s="129"/>
    </row>
    <row r="375" spans="3:31" x14ac:dyDescent="0.35">
      <c r="C375" s="129"/>
      <c r="D375" s="129"/>
      <c r="E375" s="129"/>
      <c r="F375" s="129"/>
      <c r="G375" s="129"/>
      <c r="H375" s="110"/>
      <c r="I375" s="129"/>
      <c r="J375" t="s">
        <v>351</v>
      </c>
      <c r="K375" s="129"/>
      <c r="L375" s="129"/>
      <c r="M375" s="129"/>
      <c r="N375" s="129"/>
      <c r="O375" s="129"/>
      <c r="P375" s="129"/>
      <c r="Q375" s="129"/>
      <c r="R375" s="129"/>
      <c r="S375" s="141"/>
      <c r="T375" s="139"/>
      <c r="U375" s="129"/>
      <c r="V375" s="129"/>
      <c r="W375" s="129"/>
      <c r="X375" s="129"/>
      <c r="Y375" s="129"/>
      <c r="Z375" s="115"/>
      <c r="AA375" s="129"/>
      <c r="AB375" s="149"/>
      <c r="AC375" s="129"/>
      <c r="AD375" s="129"/>
      <c r="AE375" s="129"/>
    </row>
    <row r="376" spans="3:31" x14ac:dyDescent="0.35">
      <c r="C376" s="129"/>
      <c r="D376" s="129"/>
      <c r="E376" s="129"/>
      <c r="F376" s="129"/>
      <c r="G376" s="129"/>
      <c r="H376" s="110"/>
      <c r="I376" s="129"/>
      <c r="J376" t="s">
        <v>351</v>
      </c>
      <c r="K376" s="129"/>
      <c r="L376" s="129"/>
      <c r="M376" s="129"/>
      <c r="N376" s="129"/>
      <c r="O376" s="129"/>
      <c r="P376" s="129"/>
      <c r="Q376" s="129"/>
      <c r="R376" s="129"/>
      <c r="S376" s="141"/>
      <c r="T376" s="139"/>
      <c r="U376" s="129"/>
      <c r="V376" s="129"/>
      <c r="W376" s="129"/>
      <c r="X376" s="129"/>
      <c r="Y376" s="129"/>
      <c r="Z376" s="115"/>
      <c r="AA376" s="129"/>
      <c r="AB376" s="149"/>
      <c r="AC376" s="129"/>
      <c r="AD376" s="129"/>
      <c r="AE376" s="129"/>
    </row>
    <row r="377" spans="3:31" x14ac:dyDescent="0.35">
      <c r="C377" s="129"/>
      <c r="D377" s="129"/>
      <c r="E377" s="129"/>
      <c r="F377" s="129"/>
      <c r="G377" s="129"/>
      <c r="H377" s="110"/>
      <c r="I377" s="129"/>
      <c r="J377" t="s">
        <v>351</v>
      </c>
      <c r="K377" s="129"/>
      <c r="L377" s="129"/>
      <c r="M377" s="129"/>
      <c r="N377" s="129"/>
      <c r="O377" s="129"/>
      <c r="P377" s="129"/>
      <c r="Q377" s="129"/>
      <c r="R377" s="129"/>
      <c r="S377" s="141"/>
      <c r="T377" s="139"/>
      <c r="U377" s="129"/>
      <c r="V377" s="129"/>
      <c r="W377" s="129"/>
      <c r="X377" s="129"/>
      <c r="Y377" s="129"/>
      <c r="Z377" s="115"/>
      <c r="AA377" s="129"/>
      <c r="AB377" s="149"/>
      <c r="AC377" s="129"/>
      <c r="AD377" s="129"/>
      <c r="AE377" s="129"/>
    </row>
    <row r="378" spans="3:31" x14ac:dyDescent="0.35">
      <c r="C378" s="129"/>
      <c r="D378" s="129"/>
      <c r="E378" s="129"/>
      <c r="F378" s="129"/>
      <c r="G378" s="129"/>
      <c r="H378" s="110"/>
      <c r="I378" s="129"/>
      <c r="J378" t="s">
        <v>351</v>
      </c>
      <c r="K378" s="129"/>
      <c r="L378" s="129"/>
      <c r="M378" s="129"/>
      <c r="N378" s="129"/>
      <c r="O378" s="129"/>
      <c r="P378" s="129"/>
      <c r="Q378" s="129"/>
      <c r="R378" s="129"/>
      <c r="S378" s="141"/>
      <c r="T378" s="139"/>
      <c r="U378" s="129"/>
      <c r="V378" s="129"/>
      <c r="W378" s="129"/>
      <c r="X378" s="129"/>
      <c r="Y378" s="129"/>
      <c r="Z378" s="115"/>
      <c r="AA378" s="129"/>
      <c r="AB378" s="149"/>
      <c r="AC378" s="129"/>
      <c r="AD378" s="129"/>
      <c r="AE378" s="129"/>
    </row>
    <row r="379" spans="3:31" x14ac:dyDescent="0.35">
      <c r="C379" s="129"/>
      <c r="D379" s="129"/>
      <c r="E379" s="129"/>
      <c r="F379" s="129"/>
      <c r="G379" s="129"/>
      <c r="H379" s="110"/>
      <c r="I379" s="129"/>
      <c r="J379" t="s">
        <v>351</v>
      </c>
      <c r="K379" s="129"/>
      <c r="L379" s="129"/>
      <c r="M379" s="129"/>
      <c r="N379" s="129"/>
      <c r="O379" s="129"/>
      <c r="P379" s="129"/>
      <c r="Q379" s="129"/>
      <c r="R379" s="129"/>
      <c r="S379" s="141"/>
      <c r="T379" s="139"/>
      <c r="U379" s="129"/>
      <c r="V379" s="129"/>
      <c r="W379" s="129"/>
      <c r="X379" s="129"/>
      <c r="Y379" s="129"/>
      <c r="Z379" s="115"/>
      <c r="AA379" s="129"/>
      <c r="AB379" s="149"/>
      <c r="AC379" s="129"/>
      <c r="AD379" s="129"/>
      <c r="AE379" s="129"/>
    </row>
    <row r="380" spans="3:31" x14ac:dyDescent="0.35">
      <c r="C380" s="129"/>
      <c r="D380" s="129"/>
      <c r="E380" s="129"/>
      <c r="F380" s="129"/>
      <c r="G380" s="129"/>
      <c r="H380" s="110"/>
      <c r="I380" s="129"/>
      <c r="J380" t="s">
        <v>351</v>
      </c>
      <c r="K380" s="129"/>
      <c r="L380" s="129"/>
      <c r="M380" s="129"/>
      <c r="N380" s="129"/>
      <c r="O380" s="129"/>
      <c r="P380" s="129"/>
      <c r="Q380" s="129"/>
      <c r="R380" s="129"/>
      <c r="S380" s="141"/>
      <c r="T380" s="139"/>
      <c r="U380" s="129"/>
      <c r="V380" s="129"/>
      <c r="W380" s="129"/>
      <c r="X380" s="129"/>
      <c r="Y380" s="129"/>
      <c r="Z380" s="115"/>
      <c r="AA380" s="129"/>
      <c r="AB380" s="149"/>
      <c r="AC380" s="129"/>
      <c r="AD380" s="129"/>
      <c r="AE380" s="129"/>
    </row>
    <row r="381" spans="3:31" x14ac:dyDescent="0.35">
      <c r="C381" s="129"/>
      <c r="D381" s="129"/>
      <c r="E381" s="129"/>
      <c r="F381" s="129"/>
      <c r="G381" s="129"/>
      <c r="H381" s="110"/>
      <c r="I381" s="129"/>
      <c r="J381" t="s">
        <v>351</v>
      </c>
      <c r="K381" s="129"/>
      <c r="L381" s="129"/>
      <c r="M381" s="129"/>
      <c r="N381" s="129"/>
      <c r="O381" s="129"/>
      <c r="P381" s="129"/>
      <c r="Q381" s="129"/>
      <c r="R381" s="129"/>
      <c r="S381" s="141"/>
      <c r="T381" s="139"/>
      <c r="U381" s="129"/>
      <c r="V381" s="129"/>
      <c r="W381" s="129"/>
      <c r="X381" s="129"/>
      <c r="Y381" s="129"/>
      <c r="Z381" s="115"/>
      <c r="AA381" s="129"/>
      <c r="AB381" s="149"/>
      <c r="AC381" s="129"/>
      <c r="AD381" s="129"/>
      <c r="AE381" s="129"/>
    </row>
    <row r="382" spans="3:31" x14ac:dyDescent="0.35">
      <c r="C382" s="129"/>
      <c r="D382" s="129"/>
      <c r="E382" s="129"/>
      <c r="F382" s="129"/>
      <c r="G382" s="129"/>
      <c r="H382" s="110"/>
      <c r="I382" s="129"/>
      <c r="J382" t="s">
        <v>351</v>
      </c>
      <c r="K382" s="129"/>
      <c r="L382" s="129"/>
      <c r="M382" s="129"/>
      <c r="N382" s="129"/>
      <c r="O382" s="129"/>
      <c r="P382" s="129"/>
      <c r="Q382" s="129"/>
      <c r="R382" s="129"/>
      <c r="S382" s="141"/>
      <c r="T382" s="139"/>
      <c r="U382" s="129"/>
      <c r="V382" s="129"/>
      <c r="W382" s="129"/>
      <c r="X382" s="129"/>
      <c r="Y382" s="129"/>
      <c r="Z382" s="115"/>
      <c r="AA382" s="129"/>
      <c r="AB382" s="149"/>
      <c r="AC382" s="129"/>
      <c r="AD382" s="129"/>
      <c r="AE382" s="129"/>
    </row>
    <row r="383" spans="3:31" x14ac:dyDescent="0.35">
      <c r="C383" s="129"/>
      <c r="D383" s="129"/>
      <c r="E383" s="129"/>
      <c r="F383" s="129"/>
      <c r="G383" s="129"/>
      <c r="H383" s="110"/>
      <c r="I383" s="129"/>
      <c r="J383" t="s">
        <v>351</v>
      </c>
      <c r="K383" s="129"/>
      <c r="L383" s="129"/>
      <c r="M383" s="129"/>
      <c r="N383" s="129"/>
      <c r="O383" s="129"/>
      <c r="P383" s="129"/>
      <c r="Q383" s="129"/>
      <c r="R383" s="129"/>
      <c r="S383" s="141"/>
      <c r="T383" s="139"/>
      <c r="U383" s="129"/>
      <c r="V383" s="129"/>
      <c r="W383" s="129"/>
      <c r="X383" s="129"/>
      <c r="Y383" s="129"/>
      <c r="Z383" s="115"/>
      <c r="AA383" s="129"/>
      <c r="AB383" s="149"/>
      <c r="AC383" s="129"/>
      <c r="AD383" s="129"/>
      <c r="AE383" s="129"/>
    </row>
    <row r="384" spans="3:31" x14ac:dyDescent="0.35">
      <c r="C384" s="129"/>
      <c r="D384" s="129"/>
      <c r="E384" s="129"/>
      <c r="F384" s="129"/>
      <c r="G384" s="129"/>
      <c r="H384" s="110"/>
      <c r="I384" s="129"/>
      <c r="J384" t="s">
        <v>351</v>
      </c>
      <c r="K384" s="129"/>
      <c r="L384" s="129"/>
      <c r="M384" s="129"/>
      <c r="N384" s="129"/>
      <c r="O384" s="129"/>
      <c r="P384" s="129"/>
      <c r="Q384" s="129"/>
      <c r="R384" s="129"/>
      <c r="S384" s="141"/>
      <c r="T384" s="139"/>
      <c r="U384" s="129"/>
      <c r="V384" s="129"/>
      <c r="W384" s="129"/>
      <c r="X384" s="129"/>
      <c r="Y384" s="129"/>
      <c r="Z384" s="115"/>
      <c r="AA384" s="129"/>
      <c r="AB384" s="149"/>
      <c r="AC384" s="129"/>
      <c r="AD384" s="129"/>
      <c r="AE384" s="129"/>
    </row>
    <row r="385" spans="3:31" x14ac:dyDescent="0.35">
      <c r="C385" s="129"/>
      <c r="D385" s="129"/>
      <c r="E385" s="129"/>
      <c r="F385" s="129"/>
      <c r="G385" s="129"/>
      <c r="H385" s="110"/>
      <c r="I385" s="129"/>
      <c r="J385" t="s">
        <v>351</v>
      </c>
      <c r="K385" s="129"/>
      <c r="L385" s="129"/>
      <c r="M385" s="129"/>
      <c r="N385" s="129"/>
      <c r="O385" s="129"/>
      <c r="P385" s="129"/>
      <c r="Q385" s="129"/>
      <c r="R385" s="129"/>
      <c r="S385" s="141"/>
      <c r="T385" s="139"/>
      <c r="U385" s="129"/>
      <c r="V385" s="129"/>
      <c r="W385" s="129"/>
      <c r="X385" s="129"/>
      <c r="Y385" s="129"/>
      <c r="Z385" s="115"/>
      <c r="AA385" s="129"/>
      <c r="AB385" s="149"/>
      <c r="AC385" s="129"/>
      <c r="AD385" s="129"/>
      <c r="AE385" s="129"/>
    </row>
    <row r="386" spans="3:31" x14ac:dyDescent="0.35">
      <c r="C386" s="129"/>
      <c r="D386" s="129"/>
      <c r="E386" s="129"/>
      <c r="F386" s="129"/>
      <c r="G386" s="129"/>
      <c r="H386" s="110"/>
      <c r="I386" s="129"/>
      <c r="J386" t="s">
        <v>351</v>
      </c>
      <c r="K386" s="129"/>
      <c r="L386" s="129"/>
      <c r="M386" s="129"/>
      <c r="N386" s="129"/>
      <c r="O386" s="129"/>
      <c r="P386" s="129"/>
      <c r="Q386" s="129"/>
      <c r="R386" s="129"/>
      <c r="S386" s="141"/>
      <c r="T386" s="139"/>
      <c r="U386" s="129"/>
      <c r="V386" s="129"/>
      <c r="W386" s="129"/>
      <c r="X386" s="129"/>
      <c r="Y386" s="129"/>
      <c r="Z386" s="115"/>
      <c r="AA386" s="129"/>
      <c r="AB386" s="149"/>
      <c r="AC386" s="129"/>
      <c r="AD386" s="129"/>
      <c r="AE386" s="129"/>
    </row>
    <row r="387" spans="3:31" x14ac:dyDescent="0.35">
      <c r="C387" s="129"/>
      <c r="D387" s="129"/>
      <c r="E387" s="129"/>
      <c r="F387" s="129"/>
      <c r="G387" s="129"/>
      <c r="H387" s="110"/>
      <c r="I387" s="129"/>
      <c r="J387" t="s">
        <v>351</v>
      </c>
      <c r="K387" s="129"/>
      <c r="L387" s="129"/>
      <c r="M387" s="129"/>
      <c r="N387" s="129"/>
      <c r="O387" s="129"/>
      <c r="P387" s="129"/>
      <c r="Q387" s="129"/>
      <c r="R387" s="129"/>
      <c r="S387" s="141"/>
      <c r="T387" s="139"/>
      <c r="U387" s="129"/>
      <c r="V387" s="129"/>
      <c r="W387" s="129"/>
      <c r="X387" s="129"/>
      <c r="Y387" s="129"/>
      <c r="Z387" s="115"/>
      <c r="AA387" s="129"/>
      <c r="AB387" s="149"/>
      <c r="AC387" s="129"/>
      <c r="AD387" s="129"/>
      <c r="AE387" s="129"/>
    </row>
    <row r="388" spans="3:31" x14ac:dyDescent="0.35">
      <c r="C388" s="129"/>
      <c r="D388" s="129"/>
      <c r="E388" s="129"/>
      <c r="F388" s="129"/>
      <c r="G388" s="129"/>
      <c r="H388" s="110"/>
      <c r="I388" s="129"/>
      <c r="J388" t="s">
        <v>351</v>
      </c>
      <c r="K388" s="129"/>
      <c r="L388" s="129"/>
      <c r="M388" s="129"/>
      <c r="N388" s="129"/>
      <c r="O388" s="129"/>
      <c r="P388" s="129"/>
      <c r="Q388" s="129"/>
      <c r="R388" s="129"/>
      <c r="S388" s="141"/>
      <c r="T388" s="139"/>
      <c r="U388" s="129"/>
      <c r="V388" s="129"/>
      <c r="W388" s="129"/>
      <c r="X388" s="129"/>
      <c r="Y388" s="129"/>
      <c r="Z388" s="115"/>
      <c r="AA388" s="129"/>
      <c r="AB388" s="149"/>
      <c r="AC388" s="129"/>
      <c r="AD388" s="129"/>
      <c r="AE388" s="129"/>
    </row>
    <row r="389" spans="3:31" x14ac:dyDescent="0.35">
      <c r="C389" s="129"/>
      <c r="D389" s="129"/>
      <c r="E389" s="129"/>
      <c r="F389" s="129"/>
      <c r="G389" s="129"/>
      <c r="H389" s="110"/>
      <c r="I389" s="129"/>
      <c r="J389" t="s">
        <v>351</v>
      </c>
      <c r="K389" s="129"/>
      <c r="L389" s="129"/>
      <c r="M389" s="129"/>
      <c r="N389" s="129"/>
      <c r="O389" s="129"/>
      <c r="P389" s="129"/>
      <c r="Q389" s="129"/>
      <c r="R389" s="129"/>
      <c r="S389" s="141"/>
      <c r="T389" s="139"/>
      <c r="U389" s="129"/>
      <c r="V389" s="129"/>
      <c r="W389" s="129"/>
      <c r="X389" s="129"/>
      <c r="Y389" s="129"/>
      <c r="Z389" s="115"/>
      <c r="AA389" s="129"/>
      <c r="AB389" s="149"/>
      <c r="AC389" s="129"/>
      <c r="AD389" s="129"/>
      <c r="AE389" s="129"/>
    </row>
    <row r="390" spans="3:31" x14ac:dyDescent="0.35">
      <c r="C390" s="129"/>
      <c r="D390" s="129"/>
      <c r="E390" s="129"/>
      <c r="F390" s="129"/>
      <c r="G390" s="129"/>
      <c r="H390" s="110"/>
      <c r="I390" s="129"/>
      <c r="J390" t="s">
        <v>351</v>
      </c>
      <c r="K390" s="129"/>
      <c r="L390" s="129"/>
      <c r="M390" s="129"/>
      <c r="N390" s="129"/>
      <c r="O390" s="129"/>
      <c r="P390" s="129"/>
      <c r="Q390" s="129"/>
      <c r="R390" s="129"/>
      <c r="S390" s="141"/>
      <c r="T390" s="139"/>
      <c r="U390" s="129"/>
      <c r="V390" s="129"/>
      <c r="W390" s="129"/>
      <c r="X390" s="129"/>
      <c r="Y390" s="129"/>
      <c r="Z390" s="115"/>
      <c r="AA390" s="129"/>
      <c r="AB390" s="149"/>
      <c r="AC390" s="129"/>
      <c r="AD390" s="129"/>
      <c r="AE390" s="129"/>
    </row>
    <row r="391" spans="3:31" x14ac:dyDescent="0.35">
      <c r="C391" s="129"/>
      <c r="D391" s="129"/>
      <c r="E391" s="129"/>
      <c r="F391" s="129"/>
      <c r="G391" s="129"/>
      <c r="H391" s="110"/>
      <c r="I391" s="129"/>
      <c r="J391" t="s">
        <v>351</v>
      </c>
      <c r="K391" s="129"/>
      <c r="L391" s="129"/>
      <c r="M391" s="129"/>
      <c r="N391" s="129"/>
      <c r="O391" s="129"/>
      <c r="P391" s="129"/>
      <c r="Q391" s="129"/>
      <c r="R391" s="129"/>
      <c r="S391" s="141"/>
      <c r="T391" s="139"/>
      <c r="U391" s="129"/>
      <c r="V391" s="129"/>
      <c r="W391" s="129"/>
      <c r="X391" s="129"/>
      <c r="Y391" s="129"/>
      <c r="Z391" s="115"/>
      <c r="AA391" s="129"/>
      <c r="AB391" s="149"/>
      <c r="AC391" s="129"/>
      <c r="AD391" s="129"/>
      <c r="AE391" s="129"/>
    </row>
    <row r="392" spans="3:31" x14ac:dyDescent="0.35">
      <c r="C392" s="129"/>
      <c r="D392" s="129"/>
      <c r="E392" s="129"/>
      <c r="F392" s="129"/>
      <c r="G392" s="129"/>
      <c r="H392" s="110"/>
      <c r="I392" s="129"/>
      <c r="J392" t="s">
        <v>351</v>
      </c>
      <c r="K392" s="129"/>
      <c r="L392" s="129"/>
      <c r="M392" s="129"/>
      <c r="N392" s="129"/>
      <c r="O392" s="129"/>
      <c r="P392" s="129"/>
      <c r="Q392" s="129"/>
      <c r="R392" s="129"/>
      <c r="S392" s="141"/>
      <c r="T392" s="139"/>
      <c r="U392" s="129"/>
      <c r="V392" s="129"/>
      <c r="W392" s="129"/>
      <c r="X392" s="129"/>
      <c r="Y392" s="129"/>
      <c r="Z392" s="115"/>
      <c r="AA392" s="129"/>
      <c r="AB392" s="149"/>
      <c r="AC392" s="129"/>
      <c r="AD392" s="129"/>
      <c r="AE392" s="129"/>
    </row>
    <row r="393" spans="3:31" x14ac:dyDescent="0.35">
      <c r="C393" s="129"/>
      <c r="D393" s="129"/>
      <c r="E393" s="129"/>
      <c r="F393" s="129"/>
      <c r="G393" s="129"/>
      <c r="H393" s="110"/>
      <c r="I393" s="129"/>
      <c r="J393" t="s">
        <v>351</v>
      </c>
      <c r="K393" s="129"/>
      <c r="L393" s="129"/>
      <c r="M393" s="129"/>
      <c r="N393" s="129"/>
      <c r="O393" s="129"/>
      <c r="P393" s="129"/>
      <c r="Q393" s="129"/>
      <c r="R393" s="129"/>
      <c r="S393" s="141"/>
      <c r="T393" s="139"/>
      <c r="U393" s="129"/>
      <c r="V393" s="129"/>
      <c r="W393" s="129"/>
      <c r="X393" s="129"/>
      <c r="Y393" s="129"/>
      <c r="Z393" s="115"/>
      <c r="AA393" s="129"/>
      <c r="AB393" s="149"/>
      <c r="AC393" s="129"/>
      <c r="AD393" s="129"/>
      <c r="AE393" s="129"/>
    </row>
    <row r="394" spans="3:31" x14ac:dyDescent="0.35">
      <c r="C394" s="129"/>
      <c r="D394" s="129"/>
      <c r="E394" s="129"/>
      <c r="F394" s="129"/>
      <c r="G394" s="129"/>
      <c r="H394" s="110"/>
      <c r="I394" s="129"/>
      <c r="J394" t="s">
        <v>351</v>
      </c>
      <c r="K394" s="129"/>
      <c r="L394" s="129"/>
      <c r="M394" s="129"/>
      <c r="N394" s="129"/>
      <c r="O394" s="129"/>
      <c r="P394" s="129"/>
      <c r="Q394" s="129"/>
      <c r="R394" s="129"/>
      <c r="S394" s="141"/>
      <c r="T394" s="139"/>
      <c r="U394" s="129"/>
      <c r="V394" s="129"/>
      <c r="W394" s="129"/>
      <c r="X394" s="129"/>
      <c r="Y394" s="129"/>
      <c r="Z394" s="115"/>
      <c r="AA394" s="129"/>
      <c r="AB394" s="149"/>
      <c r="AC394" s="129"/>
      <c r="AD394" s="129"/>
      <c r="AE394" s="129"/>
    </row>
    <row r="395" spans="3:31" x14ac:dyDescent="0.35">
      <c r="C395" s="129"/>
      <c r="D395" s="129"/>
      <c r="E395" s="129"/>
      <c r="F395" s="129"/>
      <c r="G395" s="129"/>
      <c r="H395" s="110"/>
      <c r="I395" s="129"/>
      <c r="J395" t="s">
        <v>351</v>
      </c>
      <c r="K395" s="129"/>
      <c r="L395" s="129"/>
      <c r="M395" s="129"/>
      <c r="N395" s="129"/>
      <c r="O395" s="129"/>
      <c r="P395" s="129"/>
      <c r="Q395" s="129"/>
      <c r="R395" s="129"/>
      <c r="S395" s="141"/>
      <c r="T395" s="139"/>
      <c r="U395" s="129"/>
      <c r="V395" s="129"/>
      <c r="W395" s="129"/>
      <c r="X395" s="129"/>
      <c r="Y395" s="129"/>
      <c r="Z395" s="115"/>
      <c r="AA395" s="129"/>
      <c r="AB395" s="149"/>
      <c r="AC395" s="129"/>
      <c r="AD395" s="129"/>
      <c r="AE395" s="129"/>
    </row>
    <row r="396" spans="3:31" x14ac:dyDescent="0.35">
      <c r="C396" s="129"/>
      <c r="D396" s="129"/>
      <c r="E396" s="129"/>
      <c r="F396" s="129"/>
      <c r="G396" s="129"/>
      <c r="H396" s="110"/>
      <c r="I396" s="129"/>
      <c r="J396" t="s">
        <v>351</v>
      </c>
      <c r="K396" s="129"/>
      <c r="L396" s="129"/>
      <c r="M396" s="129"/>
      <c r="N396" s="129"/>
      <c r="O396" s="129"/>
      <c r="P396" s="129"/>
      <c r="Q396" s="129"/>
      <c r="R396" s="129"/>
      <c r="S396" s="141"/>
      <c r="T396" s="139"/>
      <c r="U396" s="129"/>
      <c r="V396" s="129"/>
      <c r="W396" s="129"/>
      <c r="X396" s="129"/>
      <c r="Y396" s="129"/>
      <c r="Z396" s="115"/>
      <c r="AA396" s="129"/>
      <c r="AB396" s="149"/>
      <c r="AC396" s="129"/>
      <c r="AD396" s="129"/>
      <c r="AE396" s="129"/>
    </row>
    <row r="397" spans="3:31" x14ac:dyDescent="0.35">
      <c r="C397" s="129"/>
      <c r="D397" s="129"/>
      <c r="E397" s="129"/>
      <c r="F397" s="129"/>
      <c r="G397" s="129"/>
      <c r="H397" s="110"/>
      <c r="I397" s="129"/>
      <c r="J397" t="s">
        <v>351</v>
      </c>
      <c r="K397" s="129"/>
      <c r="L397" s="129"/>
      <c r="M397" s="129"/>
      <c r="N397" s="129"/>
      <c r="O397" s="129"/>
      <c r="P397" s="129"/>
      <c r="Q397" s="129"/>
      <c r="R397" s="129"/>
      <c r="S397" s="141"/>
      <c r="T397" s="139"/>
      <c r="U397" s="129"/>
      <c r="V397" s="129"/>
      <c r="W397" s="129"/>
      <c r="X397" s="129"/>
      <c r="Y397" s="129"/>
      <c r="Z397" s="115"/>
      <c r="AA397" s="129"/>
      <c r="AB397" s="149"/>
      <c r="AC397" s="129"/>
      <c r="AD397" s="129"/>
      <c r="AE397" s="129"/>
    </row>
    <row r="398" spans="3:31" x14ac:dyDescent="0.35">
      <c r="C398" s="129"/>
      <c r="D398" s="129"/>
      <c r="E398" s="129"/>
      <c r="F398" s="129"/>
      <c r="G398" s="129"/>
      <c r="H398" s="110"/>
      <c r="I398" s="129"/>
      <c r="J398" t="s">
        <v>351</v>
      </c>
      <c r="K398" s="129"/>
      <c r="L398" s="129"/>
      <c r="M398" s="129"/>
      <c r="N398" s="129"/>
      <c r="O398" s="129"/>
      <c r="P398" s="129"/>
      <c r="Q398" s="129"/>
      <c r="R398" s="129"/>
      <c r="S398" s="141"/>
      <c r="T398" s="139"/>
      <c r="U398" s="129"/>
      <c r="V398" s="129"/>
      <c r="W398" s="129"/>
      <c r="X398" s="129"/>
      <c r="Y398" s="129"/>
      <c r="Z398" s="115"/>
      <c r="AA398" s="129"/>
      <c r="AB398" s="149"/>
      <c r="AC398" s="129"/>
      <c r="AD398" s="129"/>
      <c r="AE398" s="129"/>
    </row>
    <row r="399" spans="3:31" x14ac:dyDescent="0.35">
      <c r="C399" s="129"/>
      <c r="D399" s="129"/>
      <c r="E399" s="129"/>
      <c r="F399" s="129"/>
      <c r="G399" s="129"/>
      <c r="H399" s="110"/>
      <c r="I399" s="129"/>
      <c r="J399" t="s">
        <v>351</v>
      </c>
      <c r="K399" s="129"/>
      <c r="L399" s="129"/>
      <c r="M399" s="129"/>
      <c r="N399" s="129"/>
      <c r="O399" s="129"/>
      <c r="P399" s="129"/>
      <c r="Q399" s="129"/>
      <c r="R399" s="129"/>
      <c r="S399" s="141"/>
      <c r="T399" s="139"/>
      <c r="U399" s="129"/>
      <c r="V399" s="129"/>
      <c r="W399" s="129"/>
      <c r="X399" s="129"/>
      <c r="Y399" s="129"/>
      <c r="Z399" s="115"/>
      <c r="AA399" s="129"/>
      <c r="AB399" s="149"/>
      <c r="AC399" s="129"/>
      <c r="AD399" s="129"/>
      <c r="AE399" s="129"/>
    </row>
    <row r="400" spans="3:31" x14ac:dyDescent="0.35">
      <c r="C400" s="129"/>
      <c r="D400" s="129"/>
      <c r="E400" s="129"/>
      <c r="F400" s="129"/>
      <c r="G400" s="129"/>
      <c r="H400" s="110"/>
      <c r="I400" s="129"/>
      <c r="J400" t="s">
        <v>351</v>
      </c>
      <c r="K400" s="129"/>
      <c r="L400" s="129"/>
      <c r="M400" s="129"/>
      <c r="N400" s="129"/>
      <c r="O400" s="129"/>
      <c r="P400" s="129"/>
      <c r="Q400" s="129"/>
      <c r="R400" s="129"/>
      <c r="S400" s="141"/>
      <c r="T400" s="139"/>
      <c r="U400" s="129"/>
      <c r="V400" s="129"/>
      <c r="W400" s="129"/>
      <c r="X400" s="129"/>
      <c r="Y400" s="129"/>
      <c r="Z400" s="115"/>
      <c r="AA400" s="129"/>
      <c r="AB400" s="149"/>
      <c r="AC400" s="129"/>
      <c r="AD400" s="129"/>
      <c r="AE400" s="129"/>
    </row>
    <row r="401" spans="3:31" x14ac:dyDescent="0.35">
      <c r="C401" s="129"/>
      <c r="D401" s="129"/>
      <c r="E401" s="129"/>
      <c r="F401" s="129"/>
      <c r="G401" s="129"/>
      <c r="H401" s="110"/>
      <c r="I401" s="129"/>
      <c r="J401" t="s">
        <v>351</v>
      </c>
      <c r="K401" s="129"/>
      <c r="L401" s="129"/>
      <c r="M401" s="129"/>
      <c r="N401" s="129"/>
      <c r="O401" s="129"/>
      <c r="P401" s="129"/>
      <c r="Q401" s="129"/>
      <c r="R401" s="129"/>
      <c r="S401" s="141"/>
      <c r="T401" s="139"/>
      <c r="U401" s="129"/>
      <c r="V401" s="129"/>
      <c r="W401" s="129"/>
      <c r="X401" s="129"/>
      <c r="Y401" s="129"/>
      <c r="Z401" s="115"/>
      <c r="AA401" s="129"/>
      <c r="AB401" s="149"/>
      <c r="AC401" s="129"/>
      <c r="AD401" s="129"/>
      <c r="AE401" s="129"/>
    </row>
    <row r="402" spans="3:31" x14ac:dyDescent="0.35">
      <c r="C402" s="129"/>
      <c r="D402" s="129"/>
      <c r="E402" s="129"/>
      <c r="F402" s="129"/>
      <c r="G402" s="129"/>
      <c r="H402" s="110"/>
      <c r="I402" s="129"/>
      <c r="J402" t="s">
        <v>351</v>
      </c>
      <c r="K402" s="129"/>
      <c r="L402" s="129"/>
      <c r="M402" s="129"/>
      <c r="N402" s="129"/>
      <c r="O402" s="129"/>
      <c r="P402" s="129"/>
      <c r="Q402" s="129"/>
      <c r="R402" s="129"/>
      <c r="S402" s="141"/>
      <c r="T402" s="139"/>
      <c r="U402" s="129"/>
      <c r="V402" s="129"/>
      <c r="W402" s="129"/>
      <c r="X402" s="129"/>
      <c r="Y402" s="129"/>
      <c r="Z402" s="115"/>
      <c r="AA402" s="129"/>
      <c r="AB402" s="149"/>
      <c r="AC402" s="129"/>
      <c r="AD402" s="129"/>
      <c r="AE402" s="129"/>
    </row>
    <row r="403" spans="3:31" x14ac:dyDescent="0.35">
      <c r="C403" s="129"/>
      <c r="D403" s="129"/>
      <c r="E403" s="129"/>
      <c r="F403" s="129"/>
      <c r="G403" s="129"/>
      <c r="H403" s="110"/>
      <c r="I403" s="129"/>
      <c r="J403" t="s">
        <v>351</v>
      </c>
      <c r="K403" s="129"/>
      <c r="L403" s="129"/>
      <c r="M403" s="129"/>
      <c r="N403" s="129"/>
      <c r="O403" s="129"/>
      <c r="P403" s="129"/>
      <c r="Q403" s="129"/>
      <c r="R403" s="129"/>
      <c r="S403" s="141"/>
      <c r="T403" s="139"/>
      <c r="U403" s="129"/>
      <c r="V403" s="129"/>
      <c r="W403" s="129"/>
      <c r="X403" s="129"/>
      <c r="Y403" s="129"/>
      <c r="Z403" s="115"/>
      <c r="AA403" s="129"/>
      <c r="AB403" s="149"/>
      <c r="AC403" s="129"/>
      <c r="AD403" s="129"/>
      <c r="AE403" s="129"/>
    </row>
    <row r="404" spans="3:31" x14ac:dyDescent="0.35">
      <c r="C404" s="129"/>
      <c r="D404" s="129"/>
      <c r="E404" s="129"/>
      <c r="F404" s="129"/>
      <c r="G404" s="129"/>
      <c r="H404" s="110"/>
      <c r="I404" s="129"/>
      <c r="J404" t="s">
        <v>351</v>
      </c>
      <c r="K404" s="129"/>
      <c r="L404" s="129"/>
      <c r="M404" s="129"/>
      <c r="N404" s="129"/>
      <c r="O404" s="129"/>
      <c r="P404" s="129"/>
      <c r="Q404" s="129"/>
      <c r="R404" s="129"/>
      <c r="S404" s="141"/>
      <c r="T404" s="139"/>
      <c r="U404" s="129"/>
      <c r="V404" s="129"/>
      <c r="W404" s="129"/>
      <c r="X404" s="129"/>
      <c r="Y404" s="129"/>
      <c r="Z404" s="115"/>
      <c r="AA404" s="129"/>
      <c r="AB404" s="149"/>
      <c r="AC404" s="129"/>
      <c r="AD404" s="129"/>
      <c r="AE404" s="129"/>
    </row>
    <row r="405" spans="3:31" x14ac:dyDescent="0.35">
      <c r="C405" s="129"/>
      <c r="D405" s="129"/>
      <c r="E405" s="129"/>
      <c r="F405" s="129"/>
      <c r="G405" s="129"/>
      <c r="H405" s="110"/>
      <c r="I405" s="129"/>
      <c r="J405" t="s">
        <v>351</v>
      </c>
      <c r="K405" s="129"/>
      <c r="L405" s="129"/>
      <c r="M405" s="129"/>
      <c r="N405" s="129"/>
      <c r="O405" s="129"/>
      <c r="P405" s="129"/>
      <c r="Q405" s="129"/>
      <c r="R405" s="129"/>
      <c r="S405" s="141"/>
      <c r="T405" s="139"/>
      <c r="U405" s="129"/>
      <c r="V405" s="129"/>
      <c r="W405" s="129"/>
      <c r="X405" s="129"/>
      <c r="Y405" s="129"/>
      <c r="Z405" s="115"/>
      <c r="AA405" s="129"/>
      <c r="AB405" s="149"/>
      <c r="AC405" s="129"/>
      <c r="AD405" s="129"/>
      <c r="AE405" s="129"/>
    </row>
    <row r="406" spans="3:31" x14ac:dyDescent="0.35">
      <c r="C406" s="129"/>
      <c r="D406" s="129"/>
      <c r="E406" s="129"/>
      <c r="F406" s="129"/>
      <c r="G406" s="129"/>
      <c r="H406" s="110"/>
      <c r="I406" s="129"/>
      <c r="J406" t="s">
        <v>351</v>
      </c>
      <c r="K406" s="129"/>
      <c r="L406" s="129"/>
      <c r="M406" s="129"/>
      <c r="N406" s="129"/>
      <c r="O406" s="129"/>
      <c r="P406" s="129"/>
      <c r="Q406" s="129"/>
      <c r="R406" s="129"/>
      <c r="S406" s="141"/>
      <c r="T406" s="139"/>
      <c r="U406" s="129"/>
      <c r="V406" s="129"/>
      <c r="W406" s="129"/>
      <c r="X406" s="129"/>
      <c r="Y406" s="129"/>
      <c r="Z406" s="115"/>
      <c r="AA406" s="129"/>
      <c r="AB406" s="149"/>
      <c r="AC406" s="129"/>
      <c r="AD406" s="129"/>
      <c r="AE406" s="129"/>
    </row>
    <row r="407" spans="3:31" x14ac:dyDescent="0.35">
      <c r="C407" s="129"/>
      <c r="D407" s="129"/>
      <c r="E407" s="129"/>
      <c r="F407" s="129"/>
      <c r="G407" s="129"/>
      <c r="H407" s="110"/>
      <c r="I407" s="129"/>
      <c r="J407" t="s">
        <v>351</v>
      </c>
      <c r="K407" s="129"/>
      <c r="L407" s="129"/>
      <c r="M407" s="129"/>
      <c r="N407" s="129"/>
      <c r="O407" s="129"/>
      <c r="P407" s="129"/>
      <c r="Q407" s="129"/>
      <c r="R407" s="129"/>
      <c r="S407" s="141"/>
      <c r="T407" s="139"/>
      <c r="U407" s="129"/>
      <c r="V407" s="129"/>
      <c r="W407" s="129"/>
      <c r="X407" s="129"/>
      <c r="Y407" s="129"/>
      <c r="Z407" s="115"/>
      <c r="AA407" s="129"/>
      <c r="AB407" s="149"/>
      <c r="AC407" s="129"/>
      <c r="AD407" s="129"/>
      <c r="AE407" s="129"/>
    </row>
    <row r="408" spans="3:31" x14ac:dyDescent="0.35">
      <c r="C408" s="129"/>
      <c r="D408" s="129"/>
      <c r="E408" s="129"/>
      <c r="F408" s="129"/>
      <c r="G408" s="129"/>
      <c r="H408" s="110"/>
      <c r="I408" s="129"/>
      <c r="J408" t="s">
        <v>351</v>
      </c>
      <c r="K408" s="129"/>
      <c r="L408" s="129"/>
      <c r="M408" s="129"/>
      <c r="N408" s="129"/>
      <c r="O408" s="129"/>
      <c r="P408" s="129"/>
      <c r="Q408" s="129"/>
      <c r="R408" s="129"/>
      <c r="S408" s="141"/>
      <c r="T408" s="139"/>
      <c r="U408" s="129"/>
      <c r="V408" s="129"/>
      <c r="W408" s="129"/>
      <c r="X408" s="129"/>
      <c r="Y408" s="129"/>
      <c r="Z408" s="115"/>
      <c r="AA408" s="129"/>
      <c r="AB408" s="149"/>
      <c r="AC408" s="129"/>
      <c r="AD408" s="129"/>
      <c r="AE408" s="129"/>
    </row>
    <row r="409" spans="3:31" x14ac:dyDescent="0.35">
      <c r="C409" s="129"/>
      <c r="D409" s="129"/>
      <c r="E409" s="129"/>
      <c r="F409" s="129"/>
      <c r="G409" s="129"/>
      <c r="H409" s="110"/>
      <c r="I409" s="129"/>
      <c r="J409" t="s">
        <v>351</v>
      </c>
      <c r="K409" s="129"/>
      <c r="L409" s="129"/>
      <c r="M409" s="129"/>
      <c r="N409" s="129"/>
      <c r="O409" s="129"/>
      <c r="P409" s="129"/>
      <c r="Q409" s="129"/>
      <c r="R409" s="129"/>
      <c r="S409" s="141"/>
      <c r="T409" s="139"/>
      <c r="U409" s="129"/>
      <c r="V409" s="129"/>
      <c r="W409" s="129"/>
      <c r="X409" s="129"/>
      <c r="Y409" s="129"/>
      <c r="Z409" s="115"/>
      <c r="AA409" s="129"/>
      <c r="AB409" s="149"/>
      <c r="AC409" s="129"/>
      <c r="AD409" s="129"/>
      <c r="AE409" s="129"/>
    </row>
    <row r="410" spans="3:31" x14ac:dyDescent="0.35">
      <c r="C410" s="129"/>
      <c r="D410" s="129"/>
      <c r="E410" s="129"/>
      <c r="F410" s="129"/>
      <c r="G410" s="129"/>
      <c r="H410" s="110"/>
      <c r="I410" s="129"/>
      <c r="J410" t="s">
        <v>351</v>
      </c>
      <c r="K410" s="129"/>
      <c r="L410" s="129"/>
      <c r="M410" s="129"/>
      <c r="N410" s="129"/>
      <c r="O410" s="129"/>
      <c r="P410" s="129"/>
      <c r="Q410" s="129"/>
      <c r="R410" s="129"/>
      <c r="S410" s="141"/>
      <c r="T410" s="139"/>
      <c r="U410" s="129"/>
      <c r="V410" s="129"/>
      <c r="W410" s="129"/>
      <c r="X410" s="129"/>
      <c r="Y410" s="129"/>
      <c r="Z410" s="115"/>
      <c r="AA410" s="129"/>
      <c r="AB410" s="149"/>
      <c r="AC410" s="129"/>
      <c r="AD410" s="129"/>
      <c r="AE410" s="129"/>
    </row>
    <row r="411" spans="3:31" x14ac:dyDescent="0.35">
      <c r="C411" s="129"/>
      <c r="D411" s="129"/>
      <c r="E411" s="129"/>
      <c r="F411" s="129"/>
      <c r="G411" s="129"/>
      <c r="H411" s="110"/>
      <c r="I411" s="129"/>
      <c r="J411" t="s">
        <v>351</v>
      </c>
      <c r="K411" s="129"/>
      <c r="L411" s="129"/>
      <c r="M411" s="129"/>
      <c r="N411" s="129"/>
      <c r="O411" s="129"/>
      <c r="P411" s="129"/>
      <c r="Q411" s="129"/>
      <c r="R411" s="129"/>
      <c r="S411" s="141"/>
      <c r="T411" s="139"/>
      <c r="U411" s="129"/>
      <c r="V411" s="129"/>
      <c r="W411" s="129"/>
      <c r="X411" s="129"/>
      <c r="Y411" s="129"/>
      <c r="Z411" s="115"/>
      <c r="AA411" s="129"/>
      <c r="AB411" s="149"/>
      <c r="AC411" s="129"/>
      <c r="AD411" s="129"/>
      <c r="AE411" s="129"/>
    </row>
    <row r="412" spans="3:31" x14ac:dyDescent="0.35">
      <c r="C412" s="129"/>
      <c r="D412" s="129"/>
      <c r="E412" s="129"/>
      <c r="F412" s="129"/>
      <c r="G412" s="129"/>
      <c r="H412" s="110"/>
      <c r="I412" s="129"/>
      <c r="J412" t="s">
        <v>351</v>
      </c>
      <c r="K412" s="129"/>
      <c r="L412" s="129"/>
      <c r="M412" s="129"/>
      <c r="N412" s="129"/>
      <c r="O412" s="129"/>
      <c r="P412" s="129"/>
      <c r="Q412" s="129"/>
      <c r="R412" s="129"/>
      <c r="S412" s="141"/>
      <c r="T412" s="139"/>
      <c r="U412" s="129"/>
      <c r="V412" s="129"/>
      <c r="W412" s="129"/>
      <c r="X412" s="129"/>
      <c r="Y412" s="129"/>
      <c r="Z412" s="115"/>
      <c r="AA412" s="129"/>
      <c r="AB412" s="149"/>
      <c r="AC412" s="129"/>
      <c r="AD412" s="129"/>
      <c r="AE412" s="129"/>
    </row>
    <row r="413" spans="3:31" x14ac:dyDescent="0.35">
      <c r="C413" s="129"/>
      <c r="D413" s="129"/>
      <c r="E413" s="129"/>
      <c r="F413" s="129"/>
      <c r="G413" s="129"/>
      <c r="H413" s="110"/>
      <c r="I413" s="129"/>
      <c r="J413" t="s">
        <v>351</v>
      </c>
      <c r="K413" s="129"/>
      <c r="L413" s="129"/>
      <c r="M413" s="129"/>
      <c r="N413" s="129"/>
      <c r="O413" s="129"/>
      <c r="P413" s="129"/>
      <c r="Q413" s="129"/>
      <c r="R413" s="129"/>
      <c r="S413" s="141"/>
      <c r="T413" s="139"/>
      <c r="U413" s="129"/>
      <c r="V413" s="129"/>
      <c r="W413" s="129"/>
      <c r="X413" s="129"/>
      <c r="Y413" s="129"/>
      <c r="Z413" s="115"/>
      <c r="AA413" s="129"/>
      <c r="AB413" s="149"/>
      <c r="AC413" s="129"/>
      <c r="AD413" s="129"/>
      <c r="AE413" s="129"/>
    </row>
    <row r="414" spans="3:31" x14ac:dyDescent="0.35">
      <c r="C414" s="129"/>
      <c r="D414" s="129"/>
      <c r="E414" s="129"/>
      <c r="F414" s="129"/>
      <c r="G414" s="129"/>
      <c r="H414" s="110"/>
      <c r="I414" s="129"/>
      <c r="J414" t="s">
        <v>351</v>
      </c>
      <c r="K414" s="129"/>
      <c r="L414" s="129"/>
      <c r="M414" s="129"/>
      <c r="N414" s="129"/>
      <c r="O414" s="129"/>
      <c r="P414" s="129"/>
      <c r="Q414" s="129"/>
      <c r="R414" s="129"/>
      <c r="S414" s="141"/>
      <c r="T414" s="139"/>
      <c r="U414" s="129"/>
      <c r="V414" s="129"/>
      <c r="W414" s="129"/>
      <c r="X414" s="129"/>
      <c r="Y414" s="129"/>
      <c r="Z414" s="115"/>
      <c r="AA414" s="129"/>
      <c r="AB414" s="149"/>
      <c r="AC414" s="129"/>
      <c r="AD414" s="129"/>
      <c r="AE414" s="129"/>
    </row>
    <row r="415" spans="3:31" x14ac:dyDescent="0.35">
      <c r="C415" s="129"/>
      <c r="D415" s="129"/>
      <c r="E415" s="129"/>
      <c r="F415" s="129"/>
      <c r="G415" s="129"/>
      <c r="H415" s="110"/>
      <c r="I415" s="129"/>
      <c r="J415" t="s">
        <v>351</v>
      </c>
      <c r="K415" s="129"/>
      <c r="L415" s="129"/>
      <c r="M415" s="129"/>
      <c r="N415" s="129"/>
      <c r="O415" s="129"/>
      <c r="P415" s="129"/>
      <c r="Q415" s="129"/>
      <c r="R415" s="129"/>
      <c r="S415" s="141"/>
      <c r="T415" s="139"/>
      <c r="U415" s="129"/>
      <c r="V415" s="129"/>
      <c r="W415" s="129"/>
      <c r="X415" s="129"/>
      <c r="Y415" s="129"/>
      <c r="Z415" s="115"/>
      <c r="AA415" s="129"/>
      <c r="AB415" s="149"/>
      <c r="AC415" s="129"/>
      <c r="AD415" s="129"/>
      <c r="AE415" s="129"/>
    </row>
    <row r="416" spans="3:31" x14ac:dyDescent="0.35">
      <c r="C416" s="129"/>
      <c r="D416" s="129"/>
      <c r="E416" s="129"/>
      <c r="F416" s="129"/>
      <c r="G416" s="129"/>
      <c r="H416" s="110"/>
      <c r="I416" s="129"/>
      <c r="J416" t="s">
        <v>351</v>
      </c>
      <c r="K416" s="129"/>
      <c r="L416" s="129"/>
      <c r="M416" s="129"/>
      <c r="N416" s="129"/>
      <c r="O416" s="129"/>
      <c r="P416" s="129"/>
      <c r="Q416" s="129"/>
      <c r="R416" s="129"/>
      <c r="S416" s="141"/>
      <c r="T416" s="139"/>
      <c r="U416" s="129"/>
      <c r="V416" s="129"/>
      <c r="W416" s="129"/>
      <c r="X416" s="129"/>
      <c r="Y416" s="129"/>
      <c r="Z416" s="115"/>
      <c r="AA416" s="129"/>
      <c r="AB416" s="149"/>
      <c r="AC416" s="129"/>
      <c r="AD416" s="129"/>
      <c r="AE416" s="129"/>
    </row>
    <row r="417" spans="3:31" x14ac:dyDescent="0.35">
      <c r="C417" s="129"/>
      <c r="D417" s="129"/>
      <c r="E417" s="129"/>
      <c r="F417" s="129"/>
      <c r="G417" s="129"/>
      <c r="H417" s="110"/>
      <c r="I417" s="129"/>
      <c r="J417" t="s">
        <v>351</v>
      </c>
      <c r="K417" s="129"/>
      <c r="L417" s="129"/>
      <c r="M417" s="129"/>
      <c r="N417" s="129"/>
      <c r="O417" s="129"/>
      <c r="P417" s="129"/>
      <c r="Q417" s="129"/>
      <c r="R417" s="129"/>
      <c r="S417" s="141"/>
      <c r="T417" s="139"/>
      <c r="U417" s="129"/>
      <c r="V417" s="129"/>
      <c r="W417" s="129"/>
      <c r="X417" s="129"/>
      <c r="Y417" s="129"/>
      <c r="Z417" s="115"/>
      <c r="AA417" s="129"/>
      <c r="AB417" s="149"/>
      <c r="AC417" s="129"/>
      <c r="AD417" s="129"/>
      <c r="AE417" s="129"/>
    </row>
    <row r="418" spans="3:31" x14ac:dyDescent="0.35">
      <c r="C418" s="129"/>
      <c r="D418" s="129"/>
      <c r="E418" s="129"/>
      <c r="F418" s="129"/>
      <c r="G418" s="129"/>
      <c r="H418" s="110"/>
      <c r="I418" s="129"/>
      <c r="J418" t="s">
        <v>351</v>
      </c>
      <c r="K418" s="129"/>
      <c r="L418" s="129"/>
      <c r="M418" s="129"/>
      <c r="N418" s="129"/>
      <c r="O418" s="129"/>
      <c r="P418" s="129"/>
      <c r="Q418" s="129"/>
      <c r="R418" s="129"/>
      <c r="S418" s="141"/>
      <c r="T418" s="139"/>
      <c r="U418" s="129"/>
      <c r="V418" s="129"/>
      <c r="W418" s="129"/>
      <c r="X418" s="129"/>
      <c r="Y418" s="129"/>
      <c r="Z418" s="115"/>
      <c r="AA418" s="129"/>
      <c r="AB418" s="149"/>
      <c r="AC418" s="129"/>
      <c r="AD418" s="129"/>
      <c r="AE418" s="129"/>
    </row>
    <row r="419" spans="3:31" x14ac:dyDescent="0.35">
      <c r="C419" s="129"/>
      <c r="D419" s="129"/>
      <c r="E419" s="129"/>
      <c r="F419" s="129"/>
      <c r="G419" s="129"/>
      <c r="H419" s="110"/>
      <c r="I419" s="129"/>
      <c r="J419" t="s">
        <v>351</v>
      </c>
      <c r="K419" s="129"/>
      <c r="L419" s="129"/>
      <c r="M419" s="129"/>
      <c r="N419" s="129"/>
      <c r="O419" s="129"/>
      <c r="P419" s="129"/>
      <c r="Q419" s="129"/>
      <c r="R419" s="129"/>
      <c r="S419" s="141"/>
      <c r="T419" s="139"/>
      <c r="U419" s="129"/>
      <c r="V419" s="129"/>
      <c r="W419" s="129"/>
      <c r="X419" s="129"/>
      <c r="Y419" s="129"/>
      <c r="Z419" s="115"/>
      <c r="AA419" s="129"/>
      <c r="AB419" s="149"/>
      <c r="AC419" s="129"/>
      <c r="AD419" s="129"/>
      <c r="AE419" s="129"/>
    </row>
    <row r="420" spans="3:31" x14ac:dyDescent="0.35">
      <c r="C420" s="129"/>
      <c r="D420" s="129"/>
      <c r="E420" s="129"/>
      <c r="F420" s="129"/>
      <c r="G420" s="129"/>
      <c r="H420" s="110"/>
      <c r="I420" s="129"/>
      <c r="J420" t="s">
        <v>351</v>
      </c>
      <c r="K420" s="129"/>
      <c r="L420" s="129"/>
      <c r="M420" s="129"/>
      <c r="N420" s="129"/>
      <c r="O420" s="129"/>
      <c r="P420" s="129"/>
      <c r="Q420" s="129"/>
      <c r="R420" s="129"/>
      <c r="S420" s="141"/>
      <c r="T420" s="139"/>
      <c r="U420" s="129"/>
      <c r="V420" s="129"/>
      <c r="W420" s="129"/>
      <c r="X420" s="129"/>
      <c r="Y420" s="129"/>
      <c r="Z420" s="115"/>
      <c r="AA420" s="129"/>
      <c r="AB420" s="149"/>
      <c r="AC420" s="129"/>
      <c r="AD420" s="129"/>
      <c r="AE420" s="129"/>
    </row>
    <row r="421" spans="3:31" x14ac:dyDescent="0.35">
      <c r="C421" s="129"/>
      <c r="D421" s="129"/>
      <c r="E421" s="129"/>
      <c r="F421" s="129"/>
      <c r="G421" s="129"/>
      <c r="H421" s="110"/>
      <c r="I421" s="129"/>
      <c r="J421" t="s">
        <v>351</v>
      </c>
      <c r="K421" s="129"/>
      <c r="L421" s="129"/>
      <c r="M421" s="129"/>
      <c r="N421" s="129"/>
      <c r="O421" s="129"/>
      <c r="P421" s="129"/>
      <c r="Q421" s="129"/>
      <c r="R421" s="129"/>
      <c r="S421" s="141"/>
      <c r="T421" s="139"/>
      <c r="U421" s="129"/>
      <c r="V421" s="129"/>
      <c r="W421" s="129"/>
      <c r="X421" s="129"/>
      <c r="Y421" s="129"/>
      <c r="Z421" s="115"/>
      <c r="AA421" s="129"/>
      <c r="AB421" s="149"/>
      <c r="AC421" s="129"/>
      <c r="AD421" s="129"/>
      <c r="AE421" s="129"/>
    </row>
    <row r="422" spans="3:31" x14ac:dyDescent="0.35">
      <c r="C422" s="129"/>
      <c r="D422" s="129"/>
      <c r="E422" s="129"/>
      <c r="F422" s="129"/>
      <c r="G422" s="129"/>
      <c r="H422" s="110"/>
      <c r="I422" s="129"/>
      <c r="J422" t="s">
        <v>351</v>
      </c>
      <c r="K422" s="129"/>
      <c r="L422" s="129"/>
      <c r="M422" s="129"/>
      <c r="N422" s="129"/>
      <c r="O422" s="129"/>
      <c r="P422" s="129"/>
      <c r="Q422" s="129"/>
      <c r="R422" s="129"/>
      <c r="S422" s="141"/>
      <c r="T422" s="139"/>
      <c r="U422" s="129"/>
      <c r="V422" s="129"/>
      <c r="W422" s="129"/>
      <c r="X422" s="129"/>
      <c r="Y422" s="129"/>
      <c r="Z422" s="115"/>
      <c r="AA422" s="129"/>
      <c r="AB422" s="149"/>
      <c r="AC422" s="129"/>
      <c r="AD422" s="129"/>
      <c r="AE422" s="129"/>
    </row>
    <row r="423" spans="3:31" x14ac:dyDescent="0.35">
      <c r="C423" s="129"/>
      <c r="D423" s="129"/>
      <c r="E423" s="129"/>
      <c r="F423" s="129"/>
      <c r="G423" s="129"/>
      <c r="H423" s="110"/>
      <c r="I423" s="129"/>
      <c r="J423" t="s">
        <v>351</v>
      </c>
      <c r="K423" s="129"/>
      <c r="L423" s="129"/>
      <c r="M423" s="129"/>
      <c r="N423" s="129"/>
      <c r="O423" s="129"/>
      <c r="P423" s="129"/>
      <c r="Q423" s="129"/>
      <c r="R423" s="129"/>
      <c r="S423" s="141"/>
      <c r="T423" s="139"/>
      <c r="U423" s="129"/>
      <c r="V423" s="129"/>
      <c r="W423" s="129"/>
      <c r="X423" s="129"/>
      <c r="Y423" s="129"/>
      <c r="Z423" s="115"/>
      <c r="AA423" s="129"/>
      <c r="AB423" s="149"/>
      <c r="AC423" s="129"/>
      <c r="AD423" s="129"/>
      <c r="AE423" s="129"/>
    </row>
    <row r="424" spans="3:31" x14ac:dyDescent="0.35">
      <c r="C424" s="129"/>
      <c r="D424" s="129"/>
      <c r="E424" s="129"/>
      <c r="F424" s="129"/>
      <c r="G424" s="129"/>
      <c r="H424" s="110"/>
      <c r="I424" s="129"/>
      <c r="J424" t="s">
        <v>351</v>
      </c>
      <c r="K424" s="129"/>
      <c r="L424" s="129"/>
      <c r="M424" s="129"/>
      <c r="N424" s="129"/>
      <c r="O424" s="129"/>
      <c r="P424" s="129"/>
      <c r="Q424" s="129"/>
      <c r="R424" s="129"/>
      <c r="S424" s="141"/>
      <c r="T424" s="139"/>
      <c r="U424" s="129"/>
      <c r="V424" s="129"/>
      <c r="W424" s="129"/>
      <c r="X424" s="129"/>
      <c r="Y424" s="129"/>
      <c r="Z424" s="115"/>
      <c r="AA424" s="129"/>
      <c r="AB424" s="149"/>
      <c r="AC424" s="129"/>
      <c r="AD424" s="129"/>
      <c r="AE424" s="129"/>
    </row>
    <row r="425" spans="3:31" x14ac:dyDescent="0.35">
      <c r="C425" s="129"/>
      <c r="D425" s="129"/>
      <c r="E425" s="129"/>
      <c r="F425" s="129"/>
      <c r="G425" s="129"/>
      <c r="H425" s="110"/>
      <c r="I425" s="129"/>
      <c r="J425" t="s">
        <v>351</v>
      </c>
      <c r="K425" s="129"/>
      <c r="L425" s="129"/>
      <c r="M425" s="129"/>
      <c r="N425" s="129"/>
      <c r="O425" s="129"/>
      <c r="P425" s="129"/>
      <c r="Q425" s="129"/>
      <c r="R425" s="129"/>
      <c r="S425" s="141"/>
      <c r="T425" s="139"/>
      <c r="U425" s="129"/>
      <c r="V425" s="129"/>
      <c r="W425" s="129"/>
      <c r="X425" s="129"/>
      <c r="Y425" s="129"/>
      <c r="Z425" s="115"/>
      <c r="AA425" s="129"/>
      <c r="AB425" s="149"/>
      <c r="AC425" s="129"/>
      <c r="AD425" s="129"/>
      <c r="AE425" s="129"/>
    </row>
    <row r="426" spans="3:31" x14ac:dyDescent="0.35">
      <c r="C426" s="129"/>
      <c r="D426" s="129"/>
      <c r="E426" s="129"/>
      <c r="F426" s="129"/>
      <c r="G426" s="129"/>
      <c r="H426" s="110"/>
      <c r="I426" s="129"/>
      <c r="J426" t="s">
        <v>351</v>
      </c>
      <c r="K426" s="129"/>
      <c r="L426" s="129"/>
      <c r="M426" s="129"/>
      <c r="N426" s="129"/>
      <c r="O426" s="129"/>
      <c r="P426" s="129"/>
      <c r="Q426" s="129"/>
      <c r="R426" s="129"/>
      <c r="S426" s="141"/>
      <c r="T426" s="139"/>
      <c r="U426" s="129"/>
      <c r="V426" s="129"/>
      <c r="W426" s="129"/>
      <c r="X426" s="129"/>
      <c r="Y426" s="129"/>
      <c r="Z426" s="115"/>
      <c r="AA426" s="129"/>
      <c r="AB426" s="149"/>
      <c r="AC426" s="129"/>
      <c r="AD426" s="129"/>
      <c r="AE426" s="129"/>
    </row>
    <row r="427" spans="3:31" x14ac:dyDescent="0.35">
      <c r="C427" s="129"/>
      <c r="D427" s="129"/>
      <c r="E427" s="129"/>
      <c r="F427" s="129"/>
      <c r="G427" s="129"/>
      <c r="H427" s="110"/>
      <c r="I427" s="129"/>
      <c r="J427" t="s">
        <v>351</v>
      </c>
      <c r="K427" s="129"/>
      <c r="L427" s="129"/>
      <c r="M427" s="129"/>
      <c r="N427" s="129"/>
      <c r="O427" s="129"/>
      <c r="P427" s="129"/>
      <c r="Q427" s="129"/>
      <c r="R427" s="129"/>
      <c r="S427" s="141"/>
      <c r="T427" s="139"/>
      <c r="U427" s="129"/>
      <c r="V427" s="129"/>
      <c r="W427" s="129"/>
      <c r="X427" s="129"/>
      <c r="Y427" s="129"/>
      <c r="Z427" s="115"/>
      <c r="AA427" s="129"/>
      <c r="AB427" s="149"/>
      <c r="AC427" s="129"/>
      <c r="AD427" s="129"/>
      <c r="AE427" s="129"/>
    </row>
    <row r="428" spans="3:31" x14ac:dyDescent="0.35">
      <c r="C428" s="129"/>
      <c r="D428" s="129"/>
      <c r="E428" s="129"/>
      <c r="F428" s="129"/>
      <c r="G428" s="129"/>
      <c r="H428" s="110"/>
      <c r="I428" s="129"/>
      <c r="J428" t="s">
        <v>351</v>
      </c>
      <c r="K428" s="129"/>
      <c r="L428" s="129"/>
      <c r="M428" s="129"/>
      <c r="N428" s="129"/>
      <c r="O428" s="129"/>
      <c r="P428" s="129"/>
      <c r="Q428" s="129"/>
      <c r="R428" s="129"/>
      <c r="S428" s="141"/>
      <c r="T428" s="139"/>
      <c r="U428" s="129"/>
      <c r="V428" s="129"/>
      <c r="W428" s="129"/>
      <c r="X428" s="129"/>
      <c r="Y428" s="129"/>
      <c r="Z428" s="115"/>
      <c r="AA428" s="129"/>
      <c r="AB428" s="149"/>
      <c r="AC428" s="129"/>
      <c r="AD428" s="129"/>
      <c r="AE428" s="129"/>
    </row>
    <row r="429" spans="3:31" x14ac:dyDescent="0.35">
      <c r="C429" s="129"/>
      <c r="D429" s="129"/>
      <c r="E429" s="129"/>
      <c r="F429" s="129"/>
      <c r="G429" s="129"/>
      <c r="H429" s="110"/>
      <c r="I429" s="129"/>
      <c r="J429" t="s">
        <v>351</v>
      </c>
      <c r="K429" s="129"/>
      <c r="L429" s="129"/>
      <c r="M429" s="129"/>
      <c r="N429" s="129"/>
      <c r="O429" s="129"/>
      <c r="P429" s="129"/>
      <c r="Q429" s="129"/>
      <c r="R429" s="129"/>
      <c r="S429" s="141"/>
      <c r="T429" s="139"/>
      <c r="U429" s="129"/>
      <c r="V429" s="129"/>
      <c r="W429" s="129"/>
      <c r="X429" s="129"/>
      <c r="Y429" s="129"/>
      <c r="Z429" s="115"/>
      <c r="AA429" s="129"/>
      <c r="AB429" s="149"/>
      <c r="AC429" s="129"/>
      <c r="AD429" s="129"/>
      <c r="AE429" s="129"/>
    </row>
    <row r="430" spans="3:31" x14ac:dyDescent="0.35">
      <c r="C430" s="129"/>
      <c r="D430" s="129"/>
      <c r="E430" s="129"/>
      <c r="F430" s="129"/>
      <c r="G430" s="129"/>
      <c r="H430" s="110"/>
      <c r="I430" s="129"/>
      <c r="J430" t="s">
        <v>351</v>
      </c>
      <c r="K430" s="129"/>
      <c r="L430" s="129"/>
      <c r="M430" s="129"/>
      <c r="N430" s="129"/>
      <c r="O430" s="129"/>
      <c r="P430" s="129"/>
      <c r="Q430" s="129"/>
      <c r="R430" s="129"/>
      <c r="S430" s="141"/>
      <c r="T430" s="139"/>
      <c r="U430" s="129"/>
      <c r="V430" s="129"/>
      <c r="W430" s="129"/>
      <c r="X430" s="129"/>
      <c r="Y430" s="129"/>
      <c r="Z430" s="115"/>
      <c r="AA430" s="129"/>
      <c r="AB430" s="149"/>
      <c r="AC430" s="129"/>
      <c r="AD430" s="129"/>
      <c r="AE430" s="129"/>
    </row>
    <row r="431" spans="3:31" x14ac:dyDescent="0.35">
      <c r="C431" s="129"/>
      <c r="D431" s="129"/>
      <c r="E431" s="129"/>
      <c r="F431" s="129"/>
      <c r="G431" s="129"/>
      <c r="H431" s="110"/>
      <c r="I431" s="129"/>
      <c r="J431" t="s">
        <v>351</v>
      </c>
      <c r="K431" s="129"/>
      <c r="L431" s="129"/>
      <c r="M431" s="129"/>
      <c r="N431" s="129"/>
      <c r="O431" s="129"/>
      <c r="P431" s="129"/>
      <c r="Q431" s="129"/>
      <c r="R431" s="129"/>
      <c r="S431" s="141"/>
      <c r="T431" s="139"/>
      <c r="U431" s="129"/>
      <c r="V431" s="129"/>
      <c r="W431" s="129"/>
      <c r="X431" s="129"/>
      <c r="Y431" s="129"/>
      <c r="Z431" s="115"/>
      <c r="AA431" s="129"/>
      <c r="AB431" s="149"/>
      <c r="AC431" s="129"/>
      <c r="AD431" s="129"/>
      <c r="AE431" s="129"/>
    </row>
    <row r="432" spans="3:31" x14ac:dyDescent="0.35">
      <c r="C432" s="129"/>
      <c r="D432" s="129"/>
      <c r="E432" s="129"/>
      <c r="F432" s="129"/>
      <c r="G432" s="129"/>
      <c r="H432" s="110"/>
      <c r="I432" s="129"/>
      <c r="J432" t="s">
        <v>351</v>
      </c>
      <c r="K432" s="129"/>
      <c r="L432" s="129"/>
      <c r="M432" s="129"/>
      <c r="N432" s="129"/>
      <c r="O432" s="129"/>
      <c r="P432" s="129"/>
      <c r="Q432" s="129"/>
      <c r="R432" s="129"/>
      <c r="S432" s="141"/>
      <c r="T432" s="139"/>
      <c r="U432" s="129"/>
      <c r="V432" s="129"/>
      <c r="W432" s="129"/>
      <c r="X432" s="129"/>
      <c r="Y432" s="129"/>
      <c r="Z432" s="115"/>
      <c r="AA432" s="129"/>
      <c r="AB432" s="149"/>
      <c r="AC432" s="129"/>
      <c r="AD432" s="129"/>
      <c r="AE432" s="129"/>
    </row>
    <row r="433" spans="3:31" x14ac:dyDescent="0.35">
      <c r="C433" s="129"/>
      <c r="D433" s="129"/>
      <c r="E433" s="129"/>
      <c r="F433" s="129"/>
      <c r="G433" s="129"/>
      <c r="H433" s="110"/>
      <c r="I433" s="129"/>
      <c r="J433" t="s">
        <v>351</v>
      </c>
      <c r="K433" s="129"/>
      <c r="L433" s="129"/>
      <c r="M433" s="129"/>
      <c r="N433" s="129"/>
      <c r="O433" s="129"/>
      <c r="P433" s="129"/>
      <c r="Q433" s="129"/>
      <c r="R433" s="129"/>
      <c r="S433" s="141"/>
      <c r="T433" s="139"/>
      <c r="U433" s="129"/>
      <c r="V433" s="129"/>
      <c r="W433" s="129"/>
      <c r="X433" s="129"/>
      <c r="Y433" s="129"/>
      <c r="Z433" s="115"/>
      <c r="AA433" s="129"/>
      <c r="AB433" s="149"/>
      <c r="AC433" s="129"/>
      <c r="AD433" s="129"/>
      <c r="AE433" s="129"/>
    </row>
    <row r="434" spans="3:31" x14ac:dyDescent="0.35">
      <c r="C434" s="129"/>
      <c r="D434" s="129"/>
      <c r="E434" s="129"/>
      <c r="F434" s="129"/>
      <c r="G434" s="129"/>
      <c r="H434" s="110"/>
      <c r="I434" s="129"/>
      <c r="J434" t="s">
        <v>351</v>
      </c>
      <c r="K434" s="129"/>
      <c r="L434" s="129"/>
      <c r="M434" s="129"/>
      <c r="N434" s="129"/>
      <c r="O434" s="129"/>
      <c r="P434" s="129"/>
      <c r="Q434" s="129"/>
      <c r="R434" s="129"/>
      <c r="S434" s="141"/>
      <c r="T434" s="139"/>
      <c r="U434" s="129"/>
      <c r="V434" s="129"/>
      <c r="W434" s="129"/>
      <c r="X434" s="129"/>
      <c r="Y434" s="129"/>
      <c r="Z434" s="115"/>
      <c r="AA434" s="129"/>
      <c r="AB434" s="149"/>
      <c r="AC434" s="129"/>
      <c r="AD434" s="129"/>
      <c r="AE434" s="129"/>
    </row>
    <row r="435" spans="3:31" x14ac:dyDescent="0.35">
      <c r="C435" s="129"/>
      <c r="D435" s="129"/>
      <c r="E435" s="129"/>
      <c r="F435" s="129"/>
      <c r="G435" s="129"/>
      <c r="H435" s="110"/>
      <c r="I435" s="129"/>
      <c r="J435" t="s">
        <v>351</v>
      </c>
      <c r="K435" s="129"/>
      <c r="L435" s="129"/>
      <c r="M435" s="129"/>
      <c r="N435" s="129"/>
      <c r="O435" s="129"/>
      <c r="P435" s="129"/>
      <c r="Q435" s="129"/>
      <c r="R435" s="129"/>
      <c r="S435" s="141"/>
      <c r="T435" s="139"/>
      <c r="U435" s="129"/>
      <c r="V435" s="129"/>
      <c r="W435" s="129"/>
      <c r="X435" s="129"/>
      <c r="Y435" s="129"/>
      <c r="Z435" s="115"/>
      <c r="AA435" s="129"/>
      <c r="AB435" s="149"/>
      <c r="AC435" s="129"/>
      <c r="AD435" s="129"/>
      <c r="AE435" s="129"/>
    </row>
    <row r="436" spans="3:31" x14ac:dyDescent="0.35">
      <c r="C436" s="129"/>
      <c r="D436" s="129"/>
      <c r="E436" s="129"/>
      <c r="F436" s="129"/>
      <c r="G436" s="129"/>
      <c r="H436" s="110"/>
      <c r="I436" s="129"/>
      <c r="J436" t="s">
        <v>351</v>
      </c>
      <c r="K436" s="129"/>
      <c r="L436" s="129"/>
      <c r="M436" s="129"/>
      <c r="N436" s="129"/>
      <c r="O436" s="129"/>
      <c r="P436" s="129"/>
      <c r="Q436" s="129"/>
      <c r="R436" s="129"/>
      <c r="S436" s="141"/>
      <c r="T436" s="139"/>
      <c r="U436" s="129"/>
      <c r="V436" s="129"/>
      <c r="W436" s="129"/>
      <c r="X436" s="129"/>
      <c r="Y436" s="129"/>
      <c r="Z436" s="115"/>
      <c r="AA436" s="129"/>
      <c r="AB436" s="149"/>
      <c r="AC436" s="129"/>
      <c r="AD436" s="129"/>
      <c r="AE436" s="129"/>
    </row>
    <row r="437" spans="3:31" x14ac:dyDescent="0.35">
      <c r="C437" s="129"/>
      <c r="D437" s="129"/>
      <c r="E437" s="129"/>
      <c r="F437" s="129"/>
      <c r="G437" s="129"/>
      <c r="H437" s="110"/>
      <c r="I437" s="129"/>
      <c r="J437" t="s">
        <v>351</v>
      </c>
      <c r="K437" s="129"/>
      <c r="L437" s="129"/>
      <c r="M437" s="129"/>
      <c r="N437" s="129"/>
      <c r="O437" s="129"/>
      <c r="P437" s="129"/>
      <c r="Q437" s="129"/>
      <c r="R437" s="129"/>
      <c r="S437" s="141"/>
      <c r="T437" s="139"/>
      <c r="U437" s="129"/>
      <c r="V437" s="129"/>
      <c r="W437" s="129"/>
      <c r="X437" s="129"/>
      <c r="Y437" s="129"/>
      <c r="Z437" s="115"/>
      <c r="AA437" s="129"/>
      <c r="AB437" s="149"/>
      <c r="AC437" s="129"/>
      <c r="AD437" s="129"/>
      <c r="AE437" s="129"/>
    </row>
    <row r="438" spans="3:31" x14ac:dyDescent="0.35">
      <c r="C438" s="129"/>
      <c r="D438" s="129"/>
      <c r="E438" s="129"/>
      <c r="F438" s="129"/>
      <c r="G438" s="129"/>
      <c r="H438" s="110"/>
      <c r="I438" s="129"/>
      <c r="J438" t="s">
        <v>351</v>
      </c>
      <c r="K438" s="129"/>
      <c r="L438" s="129"/>
      <c r="M438" s="129"/>
      <c r="N438" s="129"/>
      <c r="O438" s="129"/>
      <c r="P438" s="129"/>
      <c r="Q438" s="129"/>
      <c r="R438" s="129"/>
      <c r="S438" s="141"/>
      <c r="T438" s="139"/>
      <c r="U438" s="129"/>
      <c r="V438" s="129"/>
      <c r="W438" s="129"/>
      <c r="X438" s="129"/>
      <c r="Y438" s="129"/>
      <c r="Z438" s="115"/>
      <c r="AA438" s="129"/>
      <c r="AB438" s="149"/>
      <c r="AC438" s="129"/>
      <c r="AD438" s="129"/>
      <c r="AE438" s="129"/>
    </row>
    <row r="439" spans="3:31" x14ac:dyDescent="0.35">
      <c r="C439" s="129"/>
      <c r="D439" s="129"/>
      <c r="E439" s="129"/>
      <c r="F439" s="129"/>
      <c r="G439" s="129"/>
      <c r="H439" s="110"/>
      <c r="I439" s="129"/>
      <c r="J439" t="s">
        <v>351</v>
      </c>
      <c r="K439" s="129"/>
      <c r="L439" s="129"/>
      <c r="M439" s="129"/>
      <c r="N439" s="129"/>
      <c r="O439" s="129"/>
      <c r="P439" s="129"/>
      <c r="Q439" s="129"/>
      <c r="R439" s="129"/>
      <c r="S439" s="141"/>
      <c r="T439" s="139"/>
      <c r="U439" s="129"/>
      <c r="V439" s="129"/>
      <c r="W439" s="129"/>
      <c r="X439" s="129"/>
      <c r="Y439" s="129"/>
      <c r="Z439" s="115"/>
      <c r="AA439" s="129"/>
      <c r="AB439" s="149"/>
      <c r="AC439" s="129"/>
      <c r="AD439" s="129"/>
      <c r="AE439" s="129"/>
    </row>
    <row r="440" spans="3:31" x14ac:dyDescent="0.35">
      <c r="C440" s="129"/>
      <c r="D440" s="129"/>
      <c r="E440" s="129"/>
      <c r="F440" s="129"/>
      <c r="G440" s="129"/>
      <c r="H440" s="110"/>
      <c r="I440" s="129"/>
      <c r="J440" t="s">
        <v>351</v>
      </c>
      <c r="K440" s="129"/>
      <c r="L440" s="129"/>
      <c r="M440" s="129"/>
      <c r="N440" s="129"/>
      <c r="O440" s="129"/>
      <c r="P440" s="129"/>
      <c r="Q440" s="129"/>
      <c r="R440" s="129"/>
      <c r="S440" s="141"/>
      <c r="T440" s="139"/>
      <c r="U440" s="129"/>
      <c r="V440" s="129"/>
      <c r="W440" s="129"/>
      <c r="X440" s="129"/>
      <c r="Y440" s="129"/>
      <c r="Z440" s="115"/>
      <c r="AA440" s="129"/>
      <c r="AB440" s="149"/>
      <c r="AC440" s="129"/>
      <c r="AD440" s="129"/>
      <c r="AE440" s="129"/>
    </row>
    <row r="441" spans="3:31" x14ac:dyDescent="0.35">
      <c r="C441" s="129"/>
      <c r="D441" s="129"/>
      <c r="E441" s="129"/>
      <c r="F441" s="129"/>
      <c r="G441" s="129"/>
      <c r="H441" s="110"/>
      <c r="I441" s="129"/>
      <c r="J441" t="s">
        <v>351</v>
      </c>
      <c r="K441" s="129"/>
      <c r="L441" s="129"/>
      <c r="M441" s="129"/>
      <c r="N441" s="129"/>
      <c r="O441" s="129"/>
      <c r="P441" s="129"/>
      <c r="Q441" s="129"/>
      <c r="R441" s="129"/>
      <c r="S441" s="141"/>
      <c r="T441" s="139"/>
      <c r="U441" s="129"/>
      <c r="V441" s="129"/>
      <c r="W441" s="129"/>
      <c r="X441" s="129"/>
      <c r="Y441" s="129"/>
      <c r="Z441" s="115"/>
      <c r="AA441" s="129"/>
      <c r="AB441" s="149"/>
      <c r="AC441" s="129"/>
      <c r="AD441" s="129"/>
      <c r="AE441" s="129"/>
    </row>
    <row r="442" spans="3:31" x14ac:dyDescent="0.35">
      <c r="C442" s="129"/>
      <c r="D442" s="129"/>
      <c r="E442" s="129"/>
      <c r="F442" s="129"/>
      <c r="G442" s="129"/>
      <c r="H442" s="110"/>
      <c r="I442" s="129"/>
      <c r="J442" t="s">
        <v>351</v>
      </c>
      <c r="K442" s="129"/>
      <c r="L442" s="129"/>
      <c r="M442" s="129"/>
      <c r="N442" s="129"/>
      <c r="O442" s="129"/>
      <c r="P442" s="129"/>
      <c r="Q442" s="129"/>
      <c r="R442" s="129"/>
      <c r="S442" s="141"/>
      <c r="T442" s="139"/>
      <c r="U442" s="129"/>
      <c r="V442" s="129"/>
      <c r="W442" s="129"/>
      <c r="X442" s="129"/>
      <c r="Y442" s="129"/>
      <c r="Z442" s="115"/>
      <c r="AA442" s="129"/>
      <c r="AB442" s="149"/>
      <c r="AC442" s="129"/>
      <c r="AD442" s="129"/>
      <c r="AE442" s="129"/>
    </row>
    <row r="443" spans="3:31" x14ac:dyDescent="0.35">
      <c r="C443" s="129"/>
      <c r="D443" s="129"/>
      <c r="E443" s="129"/>
      <c r="F443" s="129"/>
      <c r="G443" s="129"/>
      <c r="H443" s="110"/>
      <c r="I443" s="129"/>
      <c r="J443" t="s">
        <v>351</v>
      </c>
      <c r="K443" s="129"/>
      <c r="L443" s="129"/>
      <c r="M443" s="129"/>
      <c r="N443" s="129"/>
      <c r="O443" s="129"/>
      <c r="P443" s="129"/>
      <c r="Q443" s="129"/>
      <c r="R443" s="129"/>
      <c r="S443" s="141"/>
      <c r="T443" s="139"/>
      <c r="U443" s="129"/>
      <c r="V443" s="129"/>
      <c r="W443" s="129"/>
      <c r="X443" s="129"/>
      <c r="Y443" s="129"/>
      <c r="Z443" s="115"/>
      <c r="AA443" s="129"/>
      <c r="AB443" s="149"/>
      <c r="AC443" s="129"/>
      <c r="AD443" s="129"/>
      <c r="AE443" s="129"/>
    </row>
    <row r="444" spans="3:31" x14ac:dyDescent="0.35">
      <c r="C444" s="129"/>
      <c r="D444" s="129"/>
      <c r="E444" s="129"/>
      <c r="F444" s="129"/>
      <c r="G444" s="129"/>
      <c r="H444" s="110"/>
      <c r="I444" s="129"/>
      <c r="J444" t="s">
        <v>351</v>
      </c>
      <c r="K444" s="129"/>
      <c r="L444" s="129"/>
      <c r="M444" s="129"/>
      <c r="N444" s="129"/>
      <c r="O444" s="129"/>
      <c r="P444" s="129"/>
      <c r="Q444" s="129"/>
      <c r="R444" s="129"/>
      <c r="S444" s="141"/>
      <c r="T444" s="139"/>
      <c r="U444" s="129"/>
      <c r="V444" s="129"/>
      <c r="W444" s="129"/>
      <c r="X444" s="129"/>
      <c r="Y444" s="129"/>
      <c r="Z444" s="115"/>
      <c r="AA444" s="129"/>
      <c r="AB444" s="149"/>
      <c r="AC444" s="129"/>
      <c r="AD444" s="129"/>
      <c r="AE444" s="129"/>
    </row>
    <row r="445" spans="3:31" x14ac:dyDescent="0.35">
      <c r="C445" s="129"/>
      <c r="D445" s="129"/>
      <c r="E445" s="129"/>
      <c r="F445" s="129"/>
      <c r="G445" s="129"/>
      <c r="H445" s="110"/>
      <c r="I445" s="129"/>
      <c r="J445" t="s">
        <v>351</v>
      </c>
      <c r="K445" s="129"/>
      <c r="L445" s="129"/>
      <c r="M445" s="129"/>
      <c r="N445" s="129"/>
      <c r="O445" s="129"/>
      <c r="P445" s="129"/>
      <c r="Q445" s="129"/>
      <c r="R445" s="129"/>
      <c r="S445" s="141"/>
      <c r="T445" s="139"/>
      <c r="U445" s="129"/>
      <c r="V445" s="129"/>
      <c r="W445" s="129"/>
      <c r="X445" s="129"/>
      <c r="Y445" s="129"/>
      <c r="Z445" s="115"/>
      <c r="AA445" s="129"/>
      <c r="AB445" s="149"/>
      <c r="AC445" s="129"/>
      <c r="AD445" s="129"/>
      <c r="AE445" s="129"/>
    </row>
    <row r="446" spans="3:31" x14ac:dyDescent="0.35">
      <c r="C446" s="129"/>
      <c r="D446" s="129"/>
      <c r="E446" s="129"/>
      <c r="F446" s="129"/>
      <c r="G446" s="129"/>
      <c r="H446" s="110"/>
      <c r="I446" s="129"/>
      <c r="J446" t="s">
        <v>351</v>
      </c>
      <c r="K446" s="129"/>
      <c r="L446" s="129"/>
      <c r="M446" s="129"/>
      <c r="N446" s="129"/>
      <c r="O446" s="129"/>
      <c r="P446" s="129"/>
      <c r="Q446" s="129"/>
      <c r="R446" s="129"/>
      <c r="S446" s="141"/>
      <c r="T446" s="139"/>
      <c r="U446" s="129"/>
      <c r="V446" s="129"/>
      <c r="W446" s="129"/>
      <c r="X446" s="129"/>
      <c r="Y446" s="129"/>
      <c r="Z446" s="115"/>
      <c r="AA446" s="129"/>
      <c r="AB446" s="149"/>
      <c r="AC446" s="129"/>
      <c r="AD446" s="129"/>
      <c r="AE446" s="129"/>
    </row>
    <row r="447" spans="3:31" x14ac:dyDescent="0.35">
      <c r="C447" s="129"/>
      <c r="D447" s="129"/>
      <c r="E447" s="129"/>
      <c r="F447" s="129"/>
      <c r="G447" s="129"/>
      <c r="H447" s="110"/>
      <c r="I447" s="129"/>
      <c r="J447" t="s">
        <v>351</v>
      </c>
      <c r="K447" s="129"/>
      <c r="L447" s="129"/>
      <c r="M447" s="129"/>
      <c r="N447" s="129"/>
      <c r="O447" s="129"/>
      <c r="P447" s="129"/>
      <c r="Q447" s="129"/>
      <c r="R447" s="129"/>
      <c r="S447" s="141"/>
      <c r="T447" s="139"/>
      <c r="U447" s="129"/>
      <c r="V447" s="129"/>
      <c r="W447" s="129"/>
      <c r="X447" s="129"/>
      <c r="Y447" s="129"/>
      <c r="Z447" s="115"/>
      <c r="AA447" s="129"/>
      <c r="AB447" s="149"/>
      <c r="AC447" s="129"/>
      <c r="AD447" s="129"/>
      <c r="AE447" s="129"/>
    </row>
    <row r="448" spans="3:31" x14ac:dyDescent="0.35">
      <c r="C448" s="129"/>
      <c r="D448" s="129"/>
      <c r="E448" s="129"/>
      <c r="F448" s="129"/>
      <c r="G448" s="129"/>
      <c r="H448" s="110"/>
      <c r="I448" s="129"/>
      <c r="J448" t="s">
        <v>351</v>
      </c>
      <c r="K448" s="129"/>
      <c r="L448" s="129"/>
      <c r="M448" s="129"/>
      <c r="N448" s="129"/>
      <c r="O448" s="129"/>
      <c r="P448" s="129"/>
      <c r="Q448" s="129"/>
      <c r="R448" s="129"/>
      <c r="S448" s="141"/>
      <c r="T448" s="139"/>
      <c r="U448" s="129"/>
      <c r="V448" s="129"/>
      <c r="W448" s="129"/>
      <c r="X448" s="129"/>
      <c r="Y448" s="129"/>
      <c r="Z448" s="115"/>
      <c r="AA448" s="129"/>
      <c r="AB448" s="149"/>
      <c r="AC448" s="129"/>
      <c r="AD448" s="129"/>
      <c r="AE448" s="129"/>
    </row>
    <row r="449" spans="3:31" x14ac:dyDescent="0.35">
      <c r="C449" s="129"/>
      <c r="D449" s="129"/>
      <c r="E449" s="129"/>
      <c r="F449" s="129"/>
      <c r="G449" s="129"/>
      <c r="H449" s="110"/>
      <c r="I449" s="129"/>
      <c r="J449" t="s">
        <v>351</v>
      </c>
      <c r="K449" s="129"/>
      <c r="L449" s="129"/>
      <c r="M449" s="129"/>
      <c r="N449" s="129"/>
      <c r="O449" s="129"/>
      <c r="P449" s="129"/>
      <c r="Q449" s="129"/>
      <c r="R449" s="129"/>
      <c r="S449" s="141"/>
      <c r="T449" s="139"/>
      <c r="U449" s="129"/>
      <c r="V449" s="129"/>
      <c r="W449" s="129"/>
      <c r="X449" s="129"/>
      <c r="Y449" s="129"/>
      <c r="Z449" s="115"/>
      <c r="AA449" s="129"/>
      <c r="AB449" s="149"/>
      <c r="AC449" s="129"/>
      <c r="AD449" s="129"/>
      <c r="AE449" s="129"/>
    </row>
    <row r="450" spans="3:31" x14ac:dyDescent="0.35">
      <c r="C450" s="129"/>
      <c r="D450" s="129"/>
      <c r="E450" s="129"/>
      <c r="F450" s="129"/>
      <c r="G450" s="129"/>
      <c r="H450" s="110"/>
      <c r="I450" s="129"/>
      <c r="J450" t="s">
        <v>351</v>
      </c>
      <c r="K450" s="129"/>
      <c r="L450" s="129"/>
      <c r="M450" s="129"/>
      <c r="N450" s="129"/>
      <c r="O450" s="129"/>
      <c r="P450" s="129"/>
      <c r="Q450" s="129"/>
      <c r="R450" s="129"/>
      <c r="S450" s="141"/>
      <c r="T450" s="139"/>
      <c r="U450" s="129"/>
      <c r="V450" s="129"/>
      <c r="W450" s="129"/>
      <c r="X450" s="129"/>
      <c r="Y450" s="129"/>
      <c r="Z450" s="115"/>
      <c r="AA450" s="129"/>
      <c r="AB450" s="149"/>
      <c r="AC450" s="129"/>
      <c r="AD450" s="129"/>
      <c r="AE450" s="129"/>
    </row>
    <row r="451" spans="3:31" x14ac:dyDescent="0.35">
      <c r="C451" s="129"/>
      <c r="D451" s="129"/>
      <c r="E451" s="129"/>
      <c r="F451" s="129"/>
      <c r="G451" s="129"/>
      <c r="H451" s="110"/>
      <c r="I451" s="129"/>
      <c r="J451" t="s">
        <v>351</v>
      </c>
      <c r="K451" s="129"/>
      <c r="L451" s="129"/>
      <c r="M451" s="129"/>
      <c r="N451" s="129"/>
      <c r="O451" s="129"/>
      <c r="P451" s="129"/>
      <c r="Q451" s="129"/>
      <c r="R451" s="129"/>
      <c r="S451" s="141"/>
      <c r="T451" s="139"/>
      <c r="U451" s="129"/>
      <c r="V451" s="129"/>
      <c r="W451" s="129"/>
      <c r="X451" s="129"/>
      <c r="Y451" s="129"/>
      <c r="Z451" s="115"/>
      <c r="AA451" s="129"/>
      <c r="AB451" s="149"/>
      <c r="AC451" s="129"/>
      <c r="AD451" s="129"/>
      <c r="AE451" s="129"/>
    </row>
    <row r="452" spans="3:31" x14ac:dyDescent="0.35">
      <c r="C452" s="129"/>
      <c r="D452" s="129"/>
      <c r="E452" s="129"/>
      <c r="F452" s="129"/>
      <c r="G452" s="129"/>
      <c r="H452" s="110"/>
      <c r="I452" s="129"/>
      <c r="J452" t="s">
        <v>351</v>
      </c>
      <c r="K452" s="129"/>
      <c r="L452" s="129"/>
      <c r="M452" s="129"/>
      <c r="N452" s="129"/>
      <c r="O452" s="129"/>
      <c r="P452" s="129"/>
      <c r="Q452" s="129"/>
      <c r="R452" s="129"/>
      <c r="S452" s="141"/>
      <c r="T452" s="139"/>
      <c r="U452" s="129"/>
      <c r="V452" s="129"/>
      <c r="W452" s="129"/>
      <c r="X452" s="129"/>
      <c r="Y452" s="129"/>
      <c r="Z452" s="115"/>
      <c r="AA452" s="129"/>
      <c r="AB452" s="149"/>
      <c r="AC452" s="129"/>
      <c r="AD452" s="129"/>
      <c r="AE452" s="129"/>
    </row>
    <row r="453" spans="3:31" x14ac:dyDescent="0.35">
      <c r="C453" s="129"/>
      <c r="D453" s="129"/>
      <c r="E453" s="129"/>
      <c r="F453" s="129"/>
      <c r="G453" s="129"/>
      <c r="H453" s="110"/>
      <c r="I453" s="129"/>
      <c r="J453" t="s">
        <v>351</v>
      </c>
      <c r="K453" s="129"/>
      <c r="L453" s="129"/>
      <c r="M453" s="129"/>
      <c r="N453" s="129"/>
      <c r="O453" s="129"/>
      <c r="P453" s="129"/>
      <c r="Q453" s="129"/>
      <c r="R453" s="129"/>
      <c r="S453" s="141"/>
      <c r="T453" s="139"/>
      <c r="U453" s="129"/>
      <c r="V453" s="129"/>
      <c r="W453" s="129"/>
      <c r="X453" s="129"/>
      <c r="Y453" s="129"/>
      <c r="Z453" s="115"/>
      <c r="AA453" s="129"/>
      <c r="AB453" s="149"/>
      <c r="AC453" s="129"/>
      <c r="AD453" s="129"/>
      <c r="AE453" s="129"/>
    </row>
    <row r="454" spans="3:31" x14ac:dyDescent="0.35">
      <c r="C454" s="129"/>
      <c r="D454" s="129"/>
      <c r="E454" s="129"/>
      <c r="F454" s="129"/>
      <c r="G454" s="129"/>
      <c r="H454" s="110"/>
      <c r="I454" s="129"/>
      <c r="J454" t="s">
        <v>351</v>
      </c>
      <c r="K454" s="129"/>
      <c r="L454" s="129"/>
      <c r="M454" s="129"/>
      <c r="N454" s="129"/>
      <c r="O454" s="129"/>
      <c r="P454" s="129"/>
      <c r="Q454" s="129"/>
      <c r="R454" s="129"/>
      <c r="S454" s="141"/>
      <c r="T454" s="139"/>
      <c r="U454" s="129"/>
      <c r="V454" s="129"/>
      <c r="W454" s="129"/>
      <c r="X454" s="129"/>
      <c r="Y454" s="129"/>
      <c r="Z454" s="115"/>
      <c r="AA454" s="129"/>
      <c r="AB454" s="149"/>
      <c r="AC454" s="129"/>
      <c r="AD454" s="129"/>
      <c r="AE454" s="129"/>
    </row>
    <row r="455" spans="3:31" x14ac:dyDescent="0.35">
      <c r="C455" s="129"/>
      <c r="D455" s="129"/>
      <c r="E455" s="129"/>
      <c r="F455" s="129"/>
      <c r="G455" s="129"/>
      <c r="H455" s="110"/>
      <c r="I455" s="129"/>
      <c r="J455" t="s">
        <v>351</v>
      </c>
      <c r="K455" s="129"/>
      <c r="L455" s="129"/>
      <c r="M455" s="129"/>
      <c r="N455" s="129"/>
      <c r="O455" s="129"/>
      <c r="P455" s="129"/>
      <c r="Q455" s="129"/>
      <c r="R455" s="129"/>
      <c r="S455" s="141"/>
      <c r="T455" s="139"/>
      <c r="U455" s="129"/>
      <c r="V455" s="129"/>
      <c r="W455" s="129"/>
      <c r="X455" s="129"/>
      <c r="Y455" s="129"/>
      <c r="Z455" s="115"/>
      <c r="AA455" s="129"/>
      <c r="AB455" s="149"/>
      <c r="AC455" s="129"/>
      <c r="AD455" s="129"/>
      <c r="AE455" s="129"/>
    </row>
    <row r="456" spans="3:31" x14ac:dyDescent="0.35">
      <c r="C456" s="129"/>
      <c r="D456" s="129"/>
      <c r="E456" s="129"/>
      <c r="F456" s="129"/>
      <c r="G456" s="129"/>
      <c r="H456" s="110"/>
      <c r="I456" s="129"/>
      <c r="J456" t="s">
        <v>351</v>
      </c>
      <c r="K456" s="129"/>
      <c r="L456" s="129"/>
      <c r="M456" s="129"/>
      <c r="N456" s="129"/>
      <c r="O456" s="129"/>
      <c r="P456" s="129"/>
      <c r="Q456" s="129"/>
      <c r="R456" s="129"/>
      <c r="S456" s="141"/>
      <c r="T456" s="139"/>
      <c r="U456" s="129"/>
      <c r="V456" s="129"/>
      <c r="W456" s="129"/>
      <c r="X456" s="129"/>
      <c r="Y456" s="129"/>
      <c r="Z456" s="115"/>
      <c r="AA456" s="129"/>
      <c r="AB456" s="149"/>
      <c r="AC456" s="129"/>
      <c r="AD456" s="129"/>
      <c r="AE456" s="129"/>
    </row>
    <row r="457" spans="3:31" x14ac:dyDescent="0.35">
      <c r="C457" s="129"/>
      <c r="D457" s="129"/>
      <c r="E457" s="129"/>
      <c r="F457" s="129"/>
      <c r="G457" s="129"/>
      <c r="H457" s="110"/>
      <c r="I457" s="129"/>
      <c r="J457" t="s">
        <v>351</v>
      </c>
      <c r="K457" s="129"/>
      <c r="L457" s="129"/>
      <c r="M457" s="129"/>
      <c r="N457" s="129"/>
      <c r="O457" s="129"/>
      <c r="P457" s="129"/>
      <c r="Q457" s="129"/>
      <c r="R457" s="129"/>
      <c r="S457" s="141"/>
      <c r="T457" s="139"/>
      <c r="U457" s="129"/>
      <c r="V457" s="129"/>
      <c r="W457" s="129"/>
      <c r="X457" s="129"/>
      <c r="Y457" s="129"/>
      <c r="Z457" s="115"/>
      <c r="AA457" s="129"/>
      <c r="AB457" s="149"/>
      <c r="AC457" s="129"/>
      <c r="AD457" s="129"/>
      <c r="AE457" s="129"/>
    </row>
    <row r="458" spans="3:31" x14ac:dyDescent="0.35">
      <c r="C458" s="129"/>
      <c r="D458" s="129"/>
      <c r="E458" s="129"/>
      <c r="F458" s="129"/>
      <c r="G458" s="129"/>
      <c r="H458" s="110"/>
      <c r="I458" s="129"/>
      <c r="J458" t="s">
        <v>351</v>
      </c>
      <c r="K458" s="129"/>
      <c r="L458" s="129"/>
      <c r="M458" s="129"/>
      <c r="N458" s="129"/>
      <c r="O458" s="129"/>
      <c r="P458" s="129"/>
      <c r="Q458" s="129"/>
      <c r="R458" s="129"/>
      <c r="S458" s="141"/>
      <c r="T458" s="139"/>
      <c r="U458" s="129"/>
      <c r="V458" s="129"/>
      <c r="W458" s="129"/>
      <c r="X458" s="129"/>
      <c r="Y458" s="129"/>
      <c r="Z458" s="115"/>
      <c r="AA458" s="129"/>
      <c r="AB458" s="149"/>
      <c r="AC458" s="129"/>
      <c r="AD458" s="129"/>
      <c r="AE458" s="129"/>
    </row>
    <row r="459" spans="3:31" x14ac:dyDescent="0.35">
      <c r="C459" s="129"/>
      <c r="D459" s="129"/>
      <c r="E459" s="129"/>
      <c r="F459" s="129"/>
      <c r="G459" s="129"/>
      <c r="H459" s="110"/>
      <c r="I459" s="129"/>
      <c r="J459" t="s">
        <v>351</v>
      </c>
      <c r="K459" s="129"/>
      <c r="L459" s="129"/>
      <c r="M459" s="129"/>
      <c r="N459" s="129"/>
      <c r="O459" s="129"/>
      <c r="P459" s="129"/>
      <c r="Q459" s="129"/>
      <c r="R459" s="129"/>
      <c r="S459" s="141"/>
      <c r="T459" s="139"/>
      <c r="U459" s="129"/>
      <c r="V459" s="129"/>
      <c r="W459" s="129"/>
      <c r="X459" s="129"/>
      <c r="Y459" s="129"/>
      <c r="Z459" s="115"/>
      <c r="AA459" s="129"/>
      <c r="AB459" s="149"/>
      <c r="AC459" s="129"/>
      <c r="AD459" s="129"/>
      <c r="AE459" s="129"/>
    </row>
    <row r="460" spans="3:31" x14ac:dyDescent="0.35">
      <c r="C460" s="129"/>
      <c r="D460" s="129"/>
      <c r="E460" s="129"/>
      <c r="F460" s="129"/>
      <c r="G460" s="129"/>
      <c r="H460" s="110"/>
      <c r="I460" s="129"/>
      <c r="J460" t="s">
        <v>351</v>
      </c>
      <c r="K460" s="129"/>
      <c r="L460" s="129"/>
      <c r="M460" s="129"/>
      <c r="N460" s="129"/>
      <c r="O460" s="129"/>
      <c r="P460" s="129"/>
      <c r="Q460" s="129"/>
      <c r="R460" s="129"/>
      <c r="S460" s="141"/>
      <c r="T460" s="139"/>
      <c r="U460" s="129"/>
      <c r="V460" s="129"/>
      <c r="W460" s="129"/>
      <c r="X460" s="129"/>
      <c r="Y460" s="129"/>
      <c r="Z460" s="115"/>
      <c r="AA460" s="129"/>
      <c r="AB460" s="149"/>
      <c r="AC460" s="129"/>
      <c r="AD460" s="129"/>
      <c r="AE460" s="129"/>
    </row>
    <row r="461" spans="3:31" x14ac:dyDescent="0.35">
      <c r="C461" s="129"/>
      <c r="D461" s="129"/>
      <c r="E461" s="129"/>
      <c r="F461" s="129"/>
      <c r="G461" s="129"/>
      <c r="H461" s="110"/>
      <c r="I461" s="129"/>
      <c r="J461" t="s">
        <v>351</v>
      </c>
      <c r="K461" s="129"/>
      <c r="L461" s="129"/>
      <c r="M461" s="129"/>
      <c r="N461" s="129"/>
      <c r="O461" s="129"/>
      <c r="P461" s="129"/>
      <c r="Q461" s="129"/>
      <c r="R461" s="129"/>
      <c r="S461" s="141"/>
      <c r="T461" s="139"/>
      <c r="U461" s="129"/>
      <c r="V461" s="129"/>
      <c r="W461" s="129"/>
      <c r="X461" s="129"/>
      <c r="Y461" s="129"/>
      <c r="Z461" s="115"/>
      <c r="AA461" s="129"/>
      <c r="AB461" s="149"/>
      <c r="AC461" s="129"/>
      <c r="AD461" s="129"/>
      <c r="AE461" s="129"/>
    </row>
    <row r="462" spans="3:31" x14ac:dyDescent="0.35">
      <c r="C462" s="129"/>
      <c r="D462" s="129"/>
      <c r="E462" s="129"/>
      <c r="F462" s="129"/>
      <c r="G462" s="129"/>
      <c r="H462" s="110"/>
      <c r="I462" s="129"/>
      <c r="J462" t="s">
        <v>351</v>
      </c>
      <c r="K462" s="129"/>
      <c r="L462" s="129"/>
      <c r="M462" s="129"/>
      <c r="N462" s="129"/>
      <c r="O462" s="129"/>
      <c r="P462" s="129"/>
      <c r="Q462" s="129"/>
      <c r="R462" s="129"/>
      <c r="S462" s="141"/>
      <c r="T462" s="139"/>
      <c r="U462" s="129"/>
      <c r="V462" s="129"/>
      <c r="W462" s="129"/>
      <c r="X462" s="129"/>
      <c r="Y462" s="129"/>
      <c r="Z462" s="115"/>
      <c r="AA462" s="129"/>
      <c r="AB462" s="149"/>
      <c r="AC462" s="129"/>
      <c r="AD462" s="129"/>
      <c r="AE462" s="129"/>
    </row>
    <row r="463" spans="3:31" x14ac:dyDescent="0.35">
      <c r="C463" s="129"/>
      <c r="D463" s="129"/>
      <c r="E463" s="129"/>
      <c r="F463" s="129"/>
      <c r="G463" s="129"/>
      <c r="H463" s="110"/>
      <c r="I463" s="129"/>
      <c r="J463" t="s">
        <v>351</v>
      </c>
      <c r="K463" s="129"/>
      <c r="L463" s="129"/>
      <c r="M463" s="129"/>
      <c r="N463" s="129"/>
      <c r="O463" s="129"/>
      <c r="P463" s="129"/>
      <c r="Q463" s="129"/>
      <c r="R463" s="129"/>
      <c r="S463" s="141"/>
      <c r="T463" s="139"/>
      <c r="U463" s="129"/>
      <c r="V463" s="129"/>
      <c r="W463" s="129"/>
      <c r="X463" s="129"/>
      <c r="Y463" s="129"/>
      <c r="Z463" s="115"/>
      <c r="AA463" s="129"/>
      <c r="AB463" s="149"/>
      <c r="AC463" s="129"/>
      <c r="AD463" s="129"/>
      <c r="AE463" s="129"/>
    </row>
    <row r="464" spans="3:31" x14ac:dyDescent="0.35">
      <c r="C464" s="129"/>
      <c r="D464" s="129"/>
      <c r="E464" s="129"/>
      <c r="F464" s="129"/>
      <c r="G464" s="129"/>
      <c r="H464" s="110"/>
      <c r="I464" s="129"/>
      <c r="J464" t="s">
        <v>351</v>
      </c>
      <c r="K464" s="129"/>
      <c r="L464" s="129"/>
      <c r="M464" s="129"/>
      <c r="N464" s="129"/>
      <c r="O464" s="129"/>
      <c r="P464" s="129"/>
      <c r="Q464" s="129"/>
      <c r="R464" s="129"/>
      <c r="S464" s="141"/>
      <c r="T464" s="139"/>
      <c r="U464" s="129"/>
      <c r="V464" s="129"/>
      <c r="W464" s="129"/>
      <c r="X464" s="129"/>
      <c r="Y464" s="129"/>
      <c r="Z464" s="115"/>
      <c r="AA464" s="129"/>
      <c r="AB464" s="149"/>
      <c r="AC464" s="129"/>
      <c r="AD464" s="129"/>
      <c r="AE464" s="129"/>
    </row>
    <row r="465" spans="3:31" x14ac:dyDescent="0.35">
      <c r="C465" s="129"/>
      <c r="D465" s="129"/>
      <c r="E465" s="129"/>
      <c r="F465" s="129"/>
      <c r="G465" s="129"/>
      <c r="H465" s="110"/>
      <c r="I465" s="129"/>
      <c r="J465" t="s">
        <v>351</v>
      </c>
      <c r="K465" s="129"/>
      <c r="L465" s="129"/>
      <c r="M465" s="129"/>
      <c r="N465" s="129"/>
      <c r="O465" s="129"/>
      <c r="P465" s="129"/>
      <c r="Q465" s="129"/>
      <c r="R465" s="129"/>
      <c r="S465" s="141"/>
      <c r="T465" s="139"/>
      <c r="U465" s="129"/>
      <c r="V465" s="129"/>
      <c r="W465" s="129"/>
      <c r="X465" s="129"/>
      <c r="Y465" s="129"/>
      <c r="Z465" s="115"/>
      <c r="AA465" s="129"/>
      <c r="AB465" s="149"/>
      <c r="AC465" s="129"/>
      <c r="AD465" s="129"/>
      <c r="AE465" s="129"/>
    </row>
    <row r="466" spans="3:31" x14ac:dyDescent="0.35">
      <c r="C466" s="129"/>
      <c r="D466" s="129"/>
      <c r="E466" s="129"/>
      <c r="F466" s="129"/>
      <c r="G466" s="129"/>
      <c r="H466" s="110"/>
      <c r="I466" s="129"/>
      <c r="J466" t="s">
        <v>351</v>
      </c>
      <c r="K466" s="129"/>
      <c r="L466" s="129"/>
      <c r="M466" s="129"/>
      <c r="N466" s="129"/>
      <c r="O466" s="129"/>
      <c r="P466" s="129"/>
      <c r="Q466" s="129"/>
      <c r="R466" s="129"/>
      <c r="S466" s="141"/>
      <c r="T466" s="139"/>
      <c r="U466" s="129"/>
      <c r="V466" s="129"/>
      <c r="W466" s="129"/>
      <c r="X466" s="129"/>
      <c r="Y466" s="129"/>
      <c r="Z466" s="115"/>
      <c r="AA466" s="129"/>
      <c r="AB466" s="149"/>
      <c r="AC466" s="129"/>
      <c r="AD466" s="129"/>
      <c r="AE466" s="129"/>
    </row>
    <row r="467" spans="3:31" x14ac:dyDescent="0.35">
      <c r="C467" s="129"/>
      <c r="D467" s="129"/>
      <c r="E467" s="129"/>
      <c r="F467" s="129"/>
      <c r="G467" s="129"/>
      <c r="H467" s="110"/>
      <c r="I467" s="129"/>
      <c r="J467" t="s">
        <v>351</v>
      </c>
      <c r="K467" s="129"/>
      <c r="L467" s="129"/>
      <c r="M467" s="129"/>
      <c r="N467" s="129"/>
      <c r="O467" s="129"/>
      <c r="P467" s="129"/>
      <c r="Q467" s="129"/>
      <c r="R467" s="129"/>
      <c r="S467" s="141"/>
      <c r="T467" s="139"/>
      <c r="U467" s="129"/>
      <c r="V467" s="129"/>
      <c r="W467" s="129"/>
      <c r="X467" s="129"/>
      <c r="Y467" s="129"/>
      <c r="Z467" s="115"/>
      <c r="AA467" s="129"/>
      <c r="AB467" s="149"/>
      <c r="AC467" s="129"/>
      <c r="AD467" s="129"/>
      <c r="AE467" s="129"/>
    </row>
    <row r="468" spans="3:31" x14ac:dyDescent="0.35">
      <c r="C468" s="129"/>
      <c r="D468" s="129"/>
      <c r="E468" s="129"/>
      <c r="F468" s="129"/>
      <c r="G468" s="129"/>
      <c r="H468" s="110"/>
      <c r="I468" s="129"/>
      <c r="J468" t="s">
        <v>351</v>
      </c>
      <c r="K468" s="129"/>
      <c r="L468" s="129"/>
      <c r="M468" s="129"/>
      <c r="N468" s="129"/>
      <c r="O468" s="129"/>
      <c r="P468" s="129"/>
      <c r="Q468" s="129"/>
      <c r="R468" s="129"/>
      <c r="S468" s="141"/>
      <c r="T468" s="139"/>
      <c r="U468" s="129"/>
      <c r="V468" s="129"/>
      <c r="W468" s="129"/>
      <c r="X468" s="129"/>
      <c r="Y468" s="129"/>
      <c r="Z468" s="115"/>
      <c r="AA468" s="129"/>
      <c r="AB468" s="149"/>
      <c r="AC468" s="129"/>
      <c r="AD468" s="129"/>
      <c r="AE468" s="129"/>
    </row>
    <row r="469" spans="3:31" x14ac:dyDescent="0.35">
      <c r="C469" s="129"/>
      <c r="D469" s="129"/>
      <c r="E469" s="129"/>
      <c r="F469" s="129"/>
      <c r="G469" s="129"/>
      <c r="H469" s="110"/>
      <c r="I469" s="129"/>
      <c r="J469" t="s">
        <v>351</v>
      </c>
      <c r="K469" s="129"/>
      <c r="L469" s="129"/>
      <c r="M469" s="129"/>
      <c r="N469" s="129"/>
      <c r="O469" s="129"/>
      <c r="P469" s="129"/>
      <c r="Q469" s="129"/>
      <c r="R469" s="129"/>
      <c r="S469" s="141"/>
      <c r="T469" s="139"/>
      <c r="U469" s="129"/>
      <c r="V469" s="129"/>
      <c r="W469" s="129"/>
      <c r="X469" s="129"/>
      <c r="Y469" s="129"/>
      <c r="Z469" s="115"/>
      <c r="AA469" s="129"/>
      <c r="AB469" s="149"/>
      <c r="AC469" s="129"/>
      <c r="AD469" s="129"/>
      <c r="AE469" s="129"/>
    </row>
    <row r="470" spans="3:31" x14ac:dyDescent="0.35">
      <c r="C470" s="129"/>
      <c r="D470" s="129"/>
      <c r="E470" s="129"/>
      <c r="F470" s="129"/>
      <c r="G470" s="129"/>
      <c r="H470" s="110"/>
      <c r="I470" s="129"/>
      <c r="J470" t="s">
        <v>351</v>
      </c>
      <c r="K470" s="129"/>
      <c r="L470" s="129"/>
      <c r="M470" s="129"/>
      <c r="N470" s="129"/>
      <c r="O470" s="129"/>
      <c r="P470" s="129"/>
      <c r="Q470" s="129"/>
      <c r="R470" s="129"/>
      <c r="S470" s="141"/>
      <c r="T470" s="139"/>
      <c r="U470" s="129"/>
      <c r="V470" s="129"/>
      <c r="W470" s="129"/>
      <c r="X470" s="129"/>
      <c r="Y470" s="129"/>
      <c r="Z470" s="115"/>
      <c r="AA470" s="129"/>
      <c r="AB470" s="149"/>
      <c r="AC470" s="129"/>
      <c r="AD470" s="129"/>
      <c r="AE470" s="129"/>
    </row>
    <row r="471" spans="3:31" x14ac:dyDescent="0.35">
      <c r="C471" s="129"/>
      <c r="D471" s="129"/>
      <c r="E471" s="129"/>
      <c r="F471" s="129"/>
      <c r="G471" s="129"/>
      <c r="H471" s="110"/>
      <c r="I471" s="129"/>
      <c r="J471" t="s">
        <v>351</v>
      </c>
      <c r="K471" s="129"/>
      <c r="L471" s="129"/>
      <c r="M471" s="129"/>
      <c r="N471" s="129"/>
      <c r="O471" s="129"/>
      <c r="P471" s="129"/>
      <c r="Q471" s="129"/>
      <c r="R471" s="129"/>
      <c r="S471" s="141"/>
      <c r="T471" s="139"/>
      <c r="U471" s="129"/>
      <c r="V471" s="129"/>
      <c r="W471" s="129"/>
      <c r="X471" s="129"/>
      <c r="Y471" s="129"/>
      <c r="Z471" s="115"/>
      <c r="AA471" s="129"/>
      <c r="AB471" s="149"/>
      <c r="AC471" s="129"/>
      <c r="AD471" s="129"/>
      <c r="AE471" s="129"/>
    </row>
    <row r="472" spans="3:31" x14ac:dyDescent="0.35">
      <c r="C472" s="129"/>
      <c r="D472" s="129"/>
      <c r="E472" s="129"/>
      <c r="F472" s="129"/>
      <c r="G472" s="129"/>
      <c r="H472" s="110"/>
      <c r="I472" s="129"/>
      <c r="J472" t="s">
        <v>351</v>
      </c>
      <c r="K472" s="129"/>
      <c r="L472" s="129"/>
      <c r="M472" s="129"/>
      <c r="N472" s="129"/>
      <c r="O472" s="129"/>
      <c r="P472" s="129"/>
      <c r="Q472" s="129"/>
      <c r="R472" s="129"/>
      <c r="S472" s="141"/>
      <c r="T472" s="139"/>
      <c r="U472" s="129"/>
      <c r="V472" s="129"/>
      <c r="W472" s="129"/>
      <c r="X472" s="129"/>
      <c r="Y472" s="129"/>
      <c r="Z472" s="115"/>
      <c r="AA472" s="129"/>
      <c r="AB472" s="149"/>
      <c r="AC472" s="129"/>
      <c r="AD472" s="129"/>
      <c r="AE472" s="129"/>
    </row>
    <row r="473" spans="3:31" x14ac:dyDescent="0.35">
      <c r="C473" s="129"/>
      <c r="D473" s="129"/>
      <c r="E473" s="129"/>
      <c r="F473" s="129"/>
      <c r="G473" s="129"/>
      <c r="H473" s="110"/>
      <c r="I473" s="129"/>
      <c r="J473" t="s">
        <v>351</v>
      </c>
      <c r="K473" s="129"/>
      <c r="L473" s="129"/>
      <c r="M473" s="129"/>
      <c r="N473" s="129"/>
      <c r="O473" s="129"/>
      <c r="P473" s="129"/>
      <c r="Q473" s="129"/>
      <c r="R473" s="129"/>
      <c r="S473" s="141"/>
      <c r="T473" s="139"/>
      <c r="U473" s="129"/>
      <c r="V473" s="129"/>
      <c r="W473" s="129"/>
      <c r="X473" s="129"/>
      <c r="Y473" s="129"/>
      <c r="Z473" s="115"/>
      <c r="AA473" s="129"/>
      <c r="AB473" s="149"/>
      <c r="AC473" s="129"/>
      <c r="AD473" s="129"/>
      <c r="AE473" s="129"/>
    </row>
    <row r="474" spans="3:31" x14ac:dyDescent="0.35">
      <c r="C474" s="129"/>
      <c r="D474" s="129"/>
      <c r="E474" s="129"/>
      <c r="F474" s="129"/>
      <c r="G474" s="129"/>
      <c r="H474" s="110"/>
      <c r="I474" s="129"/>
      <c r="J474" t="s">
        <v>351</v>
      </c>
      <c r="K474" s="129"/>
      <c r="L474" s="129"/>
      <c r="M474" s="129"/>
      <c r="N474" s="129"/>
      <c r="O474" s="129"/>
      <c r="P474" s="129"/>
      <c r="Q474" s="129"/>
      <c r="R474" s="129"/>
      <c r="S474" s="141"/>
      <c r="T474" s="139"/>
      <c r="U474" s="129"/>
      <c r="V474" s="129"/>
      <c r="W474" s="129"/>
      <c r="X474" s="129"/>
      <c r="Y474" s="129"/>
      <c r="Z474" s="115"/>
      <c r="AA474" s="129"/>
      <c r="AB474" s="149"/>
      <c r="AC474" s="129"/>
      <c r="AD474" s="129"/>
      <c r="AE474" s="129"/>
    </row>
    <row r="475" spans="3:31" x14ac:dyDescent="0.35">
      <c r="C475" s="129"/>
      <c r="D475" s="129"/>
      <c r="E475" s="129"/>
      <c r="F475" s="129"/>
      <c r="G475" s="129"/>
      <c r="H475" s="110"/>
      <c r="I475" s="129"/>
      <c r="J475" t="s">
        <v>351</v>
      </c>
      <c r="K475" s="129"/>
      <c r="L475" s="129"/>
      <c r="M475" s="129"/>
      <c r="N475" s="129"/>
      <c r="O475" s="129"/>
      <c r="P475" s="129"/>
      <c r="Q475" s="129"/>
      <c r="R475" s="129"/>
      <c r="S475" s="141"/>
      <c r="T475" s="139"/>
      <c r="U475" s="129"/>
      <c r="V475" s="129"/>
      <c r="W475" s="129"/>
      <c r="X475" s="129"/>
      <c r="Y475" s="129"/>
      <c r="Z475" s="115"/>
      <c r="AA475" s="129"/>
      <c r="AB475" s="149"/>
      <c r="AC475" s="129"/>
      <c r="AD475" s="129"/>
      <c r="AE475" s="129"/>
    </row>
    <row r="476" spans="3:31" x14ac:dyDescent="0.35">
      <c r="C476" s="129"/>
      <c r="D476" s="129"/>
      <c r="E476" s="129"/>
      <c r="F476" s="129"/>
      <c r="G476" s="129"/>
      <c r="H476" s="110"/>
      <c r="I476" s="129"/>
      <c r="J476" t="s">
        <v>351</v>
      </c>
      <c r="K476" s="129"/>
      <c r="L476" s="129"/>
      <c r="M476" s="129"/>
      <c r="N476" s="129"/>
      <c r="O476" s="129"/>
      <c r="P476" s="129"/>
      <c r="Q476" s="129"/>
      <c r="R476" s="129"/>
      <c r="S476" s="141"/>
      <c r="T476" s="139"/>
      <c r="U476" s="129"/>
      <c r="V476" s="129"/>
      <c r="W476" s="129"/>
      <c r="X476" s="129"/>
      <c r="Y476" s="129"/>
      <c r="Z476" s="115"/>
      <c r="AA476" s="129"/>
      <c r="AB476" s="149"/>
      <c r="AC476" s="129"/>
      <c r="AD476" s="129"/>
      <c r="AE476" s="129"/>
    </row>
    <row r="477" spans="3:31" x14ac:dyDescent="0.35">
      <c r="C477" s="129"/>
      <c r="D477" s="129"/>
      <c r="E477" s="129"/>
      <c r="F477" s="129"/>
      <c r="G477" s="129"/>
      <c r="H477" s="110"/>
      <c r="I477" s="129"/>
      <c r="J477" t="s">
        <v>351</v>
      </c>
      <c r="K477" s="129"/>
      <c r="L477" s="129"/>
      <c r="M477" s="129"/>
      <c r="N477" s="129"/>
      <c r="O477" s="129"/>
      <c r="P477" s="129"/>
      <c r="Q477" s="129"/>
      <c r="R477" s="129"/>
      <c r="S477" s="141"/>
      <c r="T477" s="139"/>
      <c r="U477" s="129"/>
      <c r="V477" s="129"/>
      <c r="W477" s="129"/>
      <c r="X477" s="129"/>
      <c r="Y477" s="129"/>
      <c r="Z477" s="115"/>
      <c r="AA477" s="129"/>
      <c r="AB477" s="149"/>
      <c r="AC477" s="129"/>
      <c r="AD477" s="129"/>
      <c r="AE477" s="129"/>
    </row>
    <row r="478" spans="3:31" x14ac:dyDescent="0.35">
      <c r="C478" s="129"/>
      <c r="D478" s="129"/>
      <c r="E478" s="129"/>
      <c r="F478" s="129"/>
      <c r="G478" s="129"/>
      <c r="H478" s="110"/>
      <c r="I478" s="129"/>
      <c r="J478" t="s">
        <v>351</v>
      </c>
      <c r="K478" s="129"/>
      <c r="L478" s="129"/>
      <c r="M478" s="129"/>
      <c r="N478" s="129"/>
      <c r="O478" s="129"/>
      <c r="P478" s="129"/>
      <c r="Q478" s="129"/>
      <c r="R478" s="129"/>
      <c r="S478" s="141"/>
      <c r="T478" s="139"/>
      <c r="U478" s="129"/>
      <c r="V478" s="129"/>
      <c r="W478" s="129"/>
      <c r="X478" s="129"/>
      <c r="Y478" s="129"/>
      <c r="Z478" s="115"/>
      <c r="AA478" s="129"/>
      <c r="AB478" s="149"/>
      <c r="AC478" s="129"/>
      <c r="AD478" s="129"/>
      <c r="AE478" s="129"/>
    </row>
    <row r="479" spans="3:31" x14ac:dyDescent="0.35">
      <c r="C479" s="129"/>
      <c r="D479" s="129"/>
      <c r="E479" s="129"/>
      <c r="F479" s="129"/>
      <c r="G479" s="129"/>
      <c r="H479" s="110"/>
      <c r="I479" s="129"/>
      <c r="J479" t="s">
        <v>351</v>
      </c>
      <c r="K479" s="129"/>
      <c r="L479" s="129"/>
      <c r="M479" s="129"/>
      <c r="N479" s="129"/>
      <c r="O479" s="129"/>
      <c r="P479" s="129"/>
      <c r="Q479" s="129"/>
      <c r="R479" s="129"/>
      <c r="S479" s="141"/>
      <c r="T479" s="139"/>
      <c r="U479" s="129"/>
      <c r="V479" s="129"/>
      <c r="W479" s="129"/>
      <c r="X479" s="129"/>
      <c r="Y479" s="129"/>
      <c r="Z479" s="115"/>
      <c r="AA479" s="129"/>
      <c r="AB479" s="149"/>
      <c r="AC479" s="129"/>
      <c r="AD479" s="129"/>
      <c r="AE479" s="129"/>
    </row>
    <row r="480" spans="3:31" x14ac:dyDescent="0.35">
      <c r="C480" s="129"/>
      <c r="D480" s="129"/>
      <c r="E480" s="129"/>
      <c r="F480" s="129"/>
      <c r="G480" s="129"/>
      <c r="H480" s="110"/>
      <c r="I480" s="129"/>
      <c r="J480" t="s">
        <v>351</v>
      </c>
      <c r="K480" s="129"/>
      <c r="L480" s="129"/>
      <c r="M480" s="129"/>
      <c r="N480" s="129"/>
      <c r="O480" s="129"/>
      <c r="P480" s="129"/>
      <c r="Q480" s="129"/>
      <c r="R480" s="129"/>
      <c r="S480" s="141"/>
      <c r="T480" s="139"/>
      <c r="U480" s="129"/>
      <c r="V480" s="129"/>
      <c r="W480" s="129"/>
      <c r="X480" s="129"/>
      <c r="Y480" s="129"/>
      <c r="Z480" s="115"/>
      <c r="AA480" s="129"/>
      <c r="AB480" s="149"/>
      <c r="AC480" s="129"/>
      <c r="AD480" s="129"/>
      <c r="AE480" s="129"/>
    </row>
    <row r="481" spans="3:31" x14ac:dyDescent="0.35">
      <c r="C481" s="129"/>
      <c r="D481" s="129"/>
      <c r="E481" s="129"/>
      <c r="F481" s="129"/>
      <c r="G481" s="129"/>
      <c r="H481" s="110"/>
      <c r="I481" s="129"/>
      <c r="J481" t="s">
        <v>351</v>
      </c>
      <c r="K481" s="129"/>
      <c r="L481" s="129"/>
      <c r="M481" s="129"/>
      <c r="N481" s="129"/>
      <c r="O481" s="129"/>
      <c r="P481" s="129"/>
      <c r="Q481" s="129"/>
      <c r="R481" s="129"/>
      <c r="S481" s="141"/>
      <c r="T481" s="139"/>
      <c r="U481" s="129"/>
      <c r="V481" s="129"/>
      <c r="W481" s="129"/>
      <c r="X481" s="129"/>
      <c r="Y481" s="129"/>
      <c r="Z481" s="115"/>
      <c r="AA481" s="129"/>
      <c r="AB481" s="149"/>
      <c r="AC481" s="129"/>
      <c r="AD481" s="129"/>
      <c r="AE481" s="129"/>
    </row>
    <row r="482" spans="3:31" x14ac:dyDescent="0.35">
      <c r="C482" s="129"/>
      <c r="D482" s="129"/>
      <c r="E482" s="129"/>
      <c r="F482" s="129"/>
      <c r="G482" s="129"/>
      <c r="H482" s="110"/>
      <c r="I482" s="129"/>
      <c r="J482" t="s">
        <v>351</v>
      </c>
      <c r="K482" s="129"/>
      <c r="L482" s="129"/>
      <c r="M482" s="129"/>
      <c r="N482" s="129"/>
      <c r="O482" s="129"/>
      <c r="P482" s="129"/>
      <c r="Q482" s="129"/>
      <c r="R482" s="129"/>
      <c r="S482" s="141"/>
      <c r="T482" s="139"/>
      <c r="U482" s="129"/>
      <c r="V482" s="129"/>
      <c r="W482" s="129"/>
      <c r="X482" s="129"/>
      <c r="Y482" s="129"/>
      <c r="Z482" s="115"/>
      <c r="AA482" s="129"/>
      <c r="AB482" s="149"/>
      <c r="AC482" s="129"/>
      <c r="AD482" s="129"/>
      <c r="AE482" s="129"/>
    </row>
    <row r="483" spans="3:31" x14ac:dyDescent="0.35">
      <c r="C483" s="129"/>
      <c r="D483" s="129"/>
      <c r="E483" s="129"/>
      <c r="F483" s="129"/>
      <c r="G483" s="129"/>
      <c r="H483" s="110"/>
      <c r="I483" s="129"/>
      <c r="J483" t="s">
        <v>351</v>
      </c>
      <c r="K483" s="129"/>
      <c r="L483" s="129"/>
      <c r="M483" s="129"/>
      <c r="N483" s="129"/>
      <c r="O483" s="129"/>
      <c r="P483" s="129"/>
      <c r="Q483" s="129"/>
      <c r="R483" s="129"/>
      <c r="S483" s="141"/>
      <c r="T483" s="139"/>
      <c r="U483" s="129"/>
      <c r="V483" s="129"/>
      <c r="W483" s="129"/>
      <c r="X483" s="129"/>
      <c r="Y483" s="129"/>
      <c r="Z483" s="115"/>
      <c r="AA483" s="129"/>
      <c r="AB483" s="149"/>
      <c r="AC483" s="129"/>
      <c r="AD483" s="129"/>
      <c r="AE483" s="129"/>
    </row>
    <row r="484" spans="3:31" x14ac:dyDescent="0.35">
      <c r="C484" s="129"/>
      <c r="D484" s="129"/>
      <c r="E484" s="129"/>
      <c r="F484" s="129"/>
      <c r="G484" s="129"/>
      <c r="H484" s="110"/>
      <c r="I484" s="129"/>
      <c r="J484" t="s">
        <v>351</v>
      </c>
      <c r="K484" s="129"/>
      <c r="L484" s="129"/>
      <c r="M484" s="129"/>
      <c r="N484" s="129"/>
      <c r="O484" s="129"/>
      <c r="P484" s="129"/>
      <c r="Q484" s="129"/>
      <c r="R484" s="129"/>
      <c r="S484" s="141"/>
      <c r="T484" s="139"/>
      <c r="U484" s="129"/>
      <c r="V484" s="129"/>
      <c r="W484" s="129"/>
      <c r="X484" s="129"/>
      <c r="Y484" s="129"/>
      <c r="Z484" s="115"/>
      <c r="AA484" s="129"/>
      <c r="AB484" s="149"/>
      <c r="AC484" s="129"/>
      <c r="AD484" s="129"/>
      <c r="AE484" s="129"/>
    </row>
    <row r="485" spans="3:31" x14ac:dyDescent="0.35">
      <c r="C485" s="129"/>
      <c r="D485" s="129"/>
      <c r="E485" s="129"/>
      <c r="F485" s="129"/>
      <c r="G485" s="129"/>
      <c r="H485" s="110"/>
      <c r="I485" s="129"/>
      <c r="J485" t="s">
        <v>351</v>
      </c>
      <c r="K485" s="129"/>
      <c r="L485" s="129"/>
      <c r="M485" s="129"/>
      <c r="N485" s="129"/>
      <c r="O485" s="129"/>
      <c r="P485" s="129"/>
      <c r="Q485" s="129"/>
      <c r="R485" s="129"/>
      <c r="S485" s="141"/>
      <c r="T485" s="139"/>
      <c r="U485" s="129"/>
      <c r="V485" s="129"/>
      <c r="W485" s="129"/>
      <c r="X485" s="129"/>
      <c r="Y485" s="129"/>
      <c r="Z485" s="115"/>
      <c r="AA485" s="129"/>
      <c r="AB485" s="149"/>
      <c r="AC485" s="129"/>
      <c r="AD485" s="129"/>
      <c r="AE485" s="129"/>
    </row>
    <row r="486" spans="3:31" x14ac:dyDescent="0.35">
      <c r="C486" s="129"/>
      <c r="D486" s="129"/>
      <c r="E486" s="129"/>
      <c r="F486" s="129"/>
      <c r="G486" s="129"/>
      <c r="H486" s="110"/>
      <c r="I486" s="129"/>
      <c r="J486" t="s">
        <v>351</v>
      </c>
      <c r="K486" s="129"/>
      <c r="L486" s="129"/>
      <c r="M486" s="129"/>
      <c r="N486" s="129"/>
      <c r="O486" s="129"/>
      <c r="P486" s="129"/>
      <c r="Q486" s="129"/>
      <c r="R486" s="129"/>
      <c r="S486" s="141"/>
      <c r="T486" s="139"/>
      <c r="U486" s="129"/>
      <c r="V486" s="129"/>
      <c r="W486" s="129"/>
      <c r="X486" s="129"/>
      <c r="Y486" s="129"/>
      <c r="Z486" s="115"/>
      <c r="AA486" s="129"/>
      <c r="AB486" s="149"/>
      <c r="AC486" s="129"/>
      <c r="AD486" s="129"/>
      <c r="AE486" s="129"/>
    </row>
    <row r="487" spans="3:31" x14ac:dyDescent="0.35">
      <c r="C487" s="129"/>
      <c r="D487" s="129"/>
      <c r="E487" s="129"/>
      <c r="F487" s="129"/>
      <c r="G487" s="129"/>
      <c r="H487" s="110"/>
      <c r="I487" s="129"/>
      <c r="J487" t="s">
        <v>351</v>
      </c>
      <c r="K487" s="129"/>
      <c r="L487" s="129"/>
      <c r="M487" s="129"/>
      <c r="N487" s="129"/>
      <c r="O487" s="129"/>
      <c r="P487" s="129"/>
      <c r="Q487" s="129"/>
      <c r="R487" s="129"/>
      <c r="S487" s="141"/>
      <c r="T487" s="139"/>
      <c r="U487" s="129"/>
      <c r="V487" s="129"/>
      <c r="W487" s="129"/>
      <c r="X487" s="129"/>
      <c r="Y487" s="129"/>
      <c r="Z487" s="115"/>
      <c r="AA487" s="129"/>
      <c r="AB487" s="149"/>
      <c r="AC487" s="129"/>
      <c r="AD487" s="129"/>
      <c r="AE487" s="129"/>
    </row>
    <row r="488" spans="3:31" x14ac:dyDescent="0.35">
      <c r="C488" s="129"/>
      <c r="D488" s="129"/>
      <c r="E488" s="129"/>
      <c r="F488" s="129"/>
      <c r="G488" s="129"/>
      <c r="H488" s="110"/>
      <c r="I488" s="129"/>
      <c r="J488" t="s">
        <v>351</v>
      </c>
      <c r="K488" s="129"/>
      <c r="L488" s="129"/>
      <c r="M488" s="129"/>
      <c r="N488" s="129"/>
      <c r="O488" s="129"/>
      <c r="P488" s="129"/>
      <c r="Q488" s="129"/>
      <c r="R488" s="129"/>
      <c r="S488" s="141"/>
      <c r="T488" s="139"/>
      <c r="U488" s="129"/>
      <c r="V488" s="129"/>
      <c r="W488" s="129"/>
      <c r="X488" s="129"/>
      <c r="Y488" s="129"/>
      <c r="Z488" s="115"/>
      <c r="AA488" s="129"/>
      <c r="AB488" s="149"/>
      <c r="AC488" s="129"/>
      <c r="AD488" s="129"/>
      <c r="AE488" s="129"/>
    </row>
    <row r="489" spans="3:31" x14ac:dyDescent="0.35">
      <c r="C489" s="129"/>
      <c r="D489" s="129"/>
      <c r="E489" s="129"/>
      <c r="F489" s="129"/>
      <c r="G489" s="129"/>
      <c r="H489" s="110"/>
      <c r="I489" s="129"/>
      <c r="J489" t="s">
        <v>351</v>
      </c>
      <c r="K489" s="129"/>
      <c r="L489" s="129"/>
      <c r="M489" s="129"/>
      <c r="N489" s="129"/>
      <c r="O489" s="129"/>
      <c r="P489" s="129"/>
      <c r="Q489" s="129"/>
      <c r="R489" s="129"/>
      <c r="S489" s="141"/>
      <c r="T489" s="139"/>
      <c r="U489" s="129"/>
      <c r="V489" s="129"/>
      <c r="W489" s="129"/>
      <c r="X489" s="129"/>
      <c r="Y489" s="129"/>
      <c r="Z489" s="115"/>
      <c r="AA489" s="129"/>
      <c r="AB489" s="149"/>
      <c r="AC489" s="129"/>
      <c r="AD489" s="129"/>
      <c r="AE489" s="129"/>
    </row>
    <row r="490" spans="3:31" x14ac:dyDescent="0.35">
      <c r="C490" s="129"/>
      <c r="D490" s="129"/>
      <c r="E490" s="129"/>
      <c r="F490" s="129"/>
      <c r="G490" s="129"/>
      <c r="H490" s="110"/>
      <c r="I490" s="129"/>
      <c r="J490" t="s">
        <v>351</v>
      </c>
      <c r="K490" s="129"/>
      <c r="L490" s="129"/>
      <c r="M490" s="129"/>
      <c r="N490" s="129"/>
      <c r="O490" s="129"/>
      <c r="P490" s="129"/>
      <c r="Q490" s="129"/>
      <c r="R490" s="129"/>
      <c r="S490" s="141"/>
      <c r="T490" s="139"/>
      <c r="U490" s="129"/>
      <c r="V490" s="129"/>
      <c r="W490" s="129"/>
      <c r="X490" s="129"/>
      <c r="Y490" s="129"/>
      <c r="Z490" s="115"/>
      <c r="AA490" s="129"/>
      <c r="AB490" s="149"/>
      <c r="AC490" s="129"/>
      <c r="AD490" s="129"/>
      <c r="AE490" s="129"/>
    </row>
    <row r="491" spans="3:31" x14ac:dyDescent="0.35">
      <c r="C491" s="129"/>
      <c r="D491" s="129"/>
      <c r="E491" s="129"/>
      <c r="F491" s="129"/>
      <c r="G491" s="129"/>
      <c r="H491" s="110"/>
      <c r="I491" s="129"/>
      <c r="J491" t="s">
        <v>351</v>
      </c>
      <c r="K491" s="129"/>
      <c r="L491" s="129"/>
      <c r="M491" s="129"/>
      <c r="N491" s="129"/>
      <c r="O491" s="129"/>
      <c r="P491" s="129"/>
      <c r="Q491" s="129"/>
      <c r="R491" s="129"/>
      <c r="S491" s="141"/>
      <c r="T491" s="139"/>
      <c r="U491" s="129"/>
      <c r="V491" s="129"/>
      <c r="W491" s="129"/>
      <c r="X491" s="129"/>
      <c r="Y491" s="129"/>
      <c r="Z491" s="115"/>
      <c r="AA491" s="129"/>
      <c r="AB491" s="149"/>
      <c r="AC491" s="129"/>
      <c r="AD491" s="129"/>
      <c r="AE491" s="129"/>
    </row>
    <row r="492" spans="3:31" x14ac:dyDescent="0.35">
      <c r="C492" s="129"/>
      <c r="D492" s="129"/>
      <c r="E492" s="129"/>
      <c r="F492" s="129"/>
      <c r="G492" s="129"/>
      <c r="H492" s="110"/>
      <c r="I492" s="129"/>
      <c r="J492" t="s">
        <v>351</v>
      </c>
      <c r="K492" s="129"/>
      <c r="L492" s="129"/>
      <c r="M492" s="129"/>
      <c r="N492" s="129"/>
      <c r="O492" s="129"/>
      <c r="P492" s="129"/>
      <c r="Q492" s="129"/>
      <c r="R492" s="129"/>
      <c r="S492" s="141"/>
      <c r="T492" s="139"/>
      <c r="U492" s="129"/>
      <c r="V492" s="129"/>
      <c r="W492" s="129"/>
      <c r="X492" s="129"/>
      <c r="Y492" s="129"/>
      <c r="Z492" s="115"/>
      <c r="AA492" s="129"/>
      <c r="AB492" s="149"/>
      <c r="AC492" s="129"/>
      <c r="AD492" s="129"/>
      <c r="AE492" s="129"/>
    </row>
    <row r="493" spans="3:31" x14ac:dyDescent="0.35">
      <c r="C493" s="129"/>
      <c r="D493" s="129"/>
      <c r="E493" s="129"/>
      <c r="F493" s="129"/>
      <c r="G493" s="129"/>
      <c r="H493" s="110"/>
      <c r="I493" s="129"/>
      <c r="J493" t="s">
        <v>351</v>
      </c>
      <c r="K493" s="129"/>
      <c r="L493" s="129"/>
      <c r="M493" s="129"/>
      <c r="N493" s="129"/>
      <c r="O493" s="129"/>
      <c r="P493" s="129"/>
      <c r="Q493" s="129"/>
      <c r="R493" s="129"/>
      <c r="S493" s="141"/>
      <c r="T493" s="139"/>
      <c r="U493" s="129"/>
      <c r="V493" s="129"/>
      <c r="W493" s="129"/>
      <c r="X493" s="129"/>
      <c r="Y493" s="129"/>
      <c r="Z493" s="115"/>
      <c r="AA493" s="129"/>
      <c r="AB493" s="149"/>
      <c r="AC493" s="129"/>
      <c r="AD493" s="129"/>
      <c r="AE493" s="129"/>
    </row>
    <row r="494" spans="3:31" x14ac:dyDescent="0.35">
      <c r="C494" s="129"/>
      <c r="D494" s="129"/>
      <c r="E494" s="129"/>
      <c r="F494" s="129"/>
      <c r="G494" s="129"/>
      <c r="H494" s="110"/>
      <c r="I494" s="129"/>
      <c r="J494" t="s">
        <v>351</v>
      </c>
      <c r="K494" s="129"/>
      <c r="L494" s="129"/>
      <c r="M494" s="129"/>
      <c r="N494" s="129"/>
      <c r="O494" s="129"/>
      <c r="P494" s="129"/>
      <c r="Q494" s="129"/>
      <c r="R494" s="129"/>
      <c r="S494" s="141"/>
      <c r="T494" s="139"/>
      <c r="U494" s="129"/>
      <c r="V494" s="129"/>
      <c r="W494" s="129"/>
      <c r="X494" s="129"/>
      <c r="Y494" s="129"/>
      <c r="Z494" s="115"/>
      <c r="AA494" s="129"/>
      <c r="AB494" s="149"/>
      <c r="AC494" s="129"/>
      <c r="AD494" s="129"/>
      <c r="AE494" s="129"/>
    </row>
    <row r="495" spans="3:31" x14ac:dyDescent="0.35">
      <c r="C495" s="129"/>
      <c r="D495" s="129"/>
      <c r="E495" s="129"/>
      <c r="F495" s="129"/>
      <c r="G495" s="129"/>
      <c r="H495" s="110"/>
      <c r="I495" s="129"/>
      <c r="J495" t="s">
        <v>351</v>
      </c>
      <c r="K495" s="129"/>
      <c r="L495" s="129"/>
      <c r="M495" s="129"/>
      <c r="N495" s="129"/>
      <c r="O495" s="129"/>
      <c r="P495" s="129"/>
      <c r="Q495" s="129"/>
      <c r="R495" s="129"/>
      <c r="S495" s="141"/>
      <c r="T495" s="139"/>
      <c r="U495" s="129"/>
      <c r="V495" s="129"/>
      <c r="W495" s="129"/>
      <c r="X495" s="129"/>
      <c r="Y495" s="129"/>
      <c r="Z495" s="115"/>
      <c r="AA495" s="129"/>
      <c r="AB495" s="149"/>
      <c r="AC495" s="129"/>
      <c r="AD495" s="129"/>
      <c r="AE495" s="129"/>
    </row>
    <row r="496" spans="3:31" x14ac:dyDescent="0.35">
      <c r="C496" s="129"/>
      <c r="D496" s="129"/>
      <c r="E496" s="129"/>
      <c r="F496" s="129"/>
      <c r="G496" s="129"/>
      <c r="H496" s="110"/>
      <c r="I496" s="129"/>
      <c r="J496" t="s">
        <v>351</v>
      </c>
      <c r="K496" s="129"/>
      <c r="L496" s="129"/>
      <c r="M496" s="129"/>
      <c r="N496" s="129"/>
      <c r="O496" s="129"/>
      <c r="P496" s="129"/>
      <c r="Q496" s="129"/>
      <c r="R496" s="129"/>
      <c r="S496" s="141"/>
      <c r="T496" s="139"/>
      <c r="U496" s="129"/>
      <c r="V496" s="129"/>
      <c r="W496" s="129"/>
      <c r="X496" s="129"/>
      <c r="Y496" s="129"/>
      <c r="Z496" s="115"/>
      <c r="AA496" s="129"/>
      <c r="AB496" s="149"/>
      <c r="AC496" s="129"/>
      <c r="AD496" s="129"/>
      <c r="AE496" s="129"/>
    </row>
    <row r="497" spans="3:31" x14ac:dyDescent="0.35">
      <c r="C497" s="129"/>
      <c r="D497" s="129"/>
      <c r="E497" s="129"/>
      <c r="F497" s="129"/>
      <c r="G497" s="129"/>
      <c r="H497" s="110"/>
      <c r="I497" s="129"/>
      <c r="J497" t="s">
        <v>351</v>
      </c>
      <c r="K497" s="129"/>
      <c r="L497" s="129"/>
      <c r="M497" s="129"/>
      <c r="N497" s="129"/>
      <c r="O497" s="129"/>
      <c r="P497" s="129"/>
      <c r="Q497" s="129"/>
      <c r="R497" s="129"/>
      <c r="S497" s="141"/>
      <c r="T497" s="139"/>
      <c r="U497" s="129"/>
      <c r="V497" s="129"/>
      <c r="W497" s="129"/>
      <c r="X497" s="129"/>
      <c r="Y497" s="129"/>
      <c r="Z497" s="115"/>
      <c r="AA497" s="129"/>
      <c r="AB497" s="149"/>
      <c r="AC497" s="129"/>
      <c r="AD497" s="129"/>
      <c r="AE497" s="129"/>
    </row>
    <row r="498" spans="3:31" x14ac:dyDescent="0.35">
      <c r="C498" s="129"/>
      <c r="D498" s="129"/>
      <c r="E498" s="129"/>
      <c r="F498" s="129"/>
      <c r="G498" s="129"/>
      <c r="H498" s="110"/>
      <c r="I498" s="129"/>
      <c r="J498" t="s">
        <v>351</v>
      </c>
      <c r="K498" s="129"/>
      <c r="L498" s="129"/>
      <c r="M498" s="129"/>
      <c r="N498" s="129"/>
      <c r="O498" s="129"/>
      <c r="P498" s="129"/>
      <c r="Q498" s="129"/>
      <c r="R498" s="129"/>
      <c r="S498" s="141"/>
      <c r="T498" s="139"/>
      <c r="U498" s="129"/>
      <c r="V498" s="129"/>
      <c r="W498" s="129"/>
      <c r="X498" s="129"/>
      <c r="Y498" s="129"/>
      <c r="Z498" s="115"/>
      <c r="AA498" s="129"/>
      <c r="AB498" s="149"/>
      <c r="AC498" s="129"/>
      <c r="AD498" s="129"/>
      <c r="AE498" s="129"/>
    </row>
    <row r="499" spans="3:31" x14ac:dyDescent="0.35">
      <c r="C499" s="129"/>
      <c r="D499" s="129"/>
      <c r="E499" s="129"/>
      <c r="F499" s="129"/>
      <c r="G499" s="129"/>
      <c r="H499" s="110"/>
      <c r="I499" s="129"/>
      <c r="J499" t="s">
        <v>351</v>
      </c>
      <c r="K499" s="129"/>
      <c r="L499" s="129"/>
      <c r="M499" s="129"/>
      <c r="N499" s="129"/>
      <c r="O499" s="129"/>
      <c r="P499" s="129"/>
      <c r="Q499" s="129"/>
      <c r="R499" s="129"/>
      <c r="S499" s="141"/>
      <c r="T499" s="139"/>
      <c r="U499" s="129"/>
      <c r="V499" s="129"/>
      <c r="W499" s="129"/>
      <c r="X499" s="129"/>
      <c r="Y499" s="129"/>
      <c r="Z499" s="115"/>
      <c r="AA499" s="129"/>
      <c r="AB499" s="149"/>
      <c r="AC499" s="129"/>
      <c r="AD499" s="129"/>
      <c r="AE499" s="129"/>
    </row>
    <row r="500" spans="3:31" x14ac:dyDescent="0.35">
      <c r="C500" s="129"/>
      <c r="D500" s="129"/>
      <c r="E500" s="129"/>
      <c r="F500" s="129"/>
      <c r="G500" s="129"/>
      <c r="H500" s="110"/>
      <c r="I500" s="129"/>
      <c r="J500" t="s">
        <v>351</v>
      </c>
      <c r="K500" s="129"/>
      <c r="L500" s="129"/>
      <c r="M500" s="129"/>
      <c r="N500" s="129"/>
      <c r="O500" s="129"/>
      <c r="P500" s="129"/>
      <c r="Q500" s="129"/>
      <c r="R500" s="129"/>
      <c r="S500" s="141"/>
      <c r="T500" s="139"/>
      <c r="U500" s="129"/>
      <c r="V500" s="129"/>
      <c r="W500" s="129"/>
      <c r="X500" s="129"/>
      <c r="Y500" s="129"/>
      <c r="Z500" s="115"/>
      <c r="AA500" s="129"/>
      <c r="AB500" s="149"/>
      <c r="AC500" s="129"/>
      <c r="AD500" s="129"/>
      <c r="AE500" s="129"/>
    </row>
    <row r="501" spans="3:31" x14ac:dyDescent="0.35">
      <c r="C501" s="129"/>
      <c r="D501" s="129"/>
      <c r="E501" s="129"/>
      <c r="F501" s="129"/>
      <c r="G501" s="129"/>
      <c r="H501" s="110"/>
      <c r="I501" s="129"/>
      <c r="J501" t="s">
        <v>351</v>
      </c>
      <c r="K501" s="129"/>
      <c r="L501" s="129"/>
      <c r="M501" s="129"/>
      <c r="N501" s="129"/>
      <c r="O501" s="129"/>
      <c r="P501" s="129"/>
      <c r="Q501" s="129"/>
      <c r="R501" s="129"/>
      <c r="S501" s="141"/>
      <c r="T501" s="139"/>
      <c r="U501" s="129"/>
      <c r="V501" s="129"/>
      <c r="W501" s="129"/>
      <c r="X501" s="129"/>
      <c r="Y501" s="129"/>
      <c r="Z501" s="115"/>
      <c r="AA501" s="129"/>
      <c r="AB501" s="149"/>
      <c r="AC501" s="129"/>
      <c r="AD501" s="129"/>
      <c r="AE501" s="129"/>
    </row>
    <row r="502" spans="3:31" x14ac:dyDescent="0.35">
      <c r="C502" s="129"/>
      <c r="D502" s="129"/>
      <c r="E502" s="129"/>
      <c r="F502" s="129"/>
      <c r="G502" s="129"/>
      <c r="H502" s="110"/>
      <c r="I502" s="129"/>
      <c r="J502" t="s">
        <v>351</v>
      </c>
      <c r="K502" s="129"/>
      <c r="L502" s="129"/>
      <c r="M502" s="129"/>
      <c r="N502" s="129"/>
      <c r="O502" s="129"/>
      <c r="P502" s="129"/>
      <c r="Q502" s="129"/>
      <c r="R502" s="129"/>
      <c r="S502" s="141"/>
      <c r="T502" s="139"/>
      <c r="U502" s="129"/>
      <c r="V502" s="129"/>
      <c r="W502" s="129"/>
      <c r="X502" s="129"/>
      <c r="Y502" s="129"/>
      <c r="Z502" s="115"/>
      <c r="AA502" s="129"/>
      <c r="AB502" s="149"/>
      <c r="AC502" s="129"/>
      <c r="AD502" s="129"/>
      <c r="AE502" s="129"/>
    </row>
    <row r="503" spans="3:31" x14ac:dyDescent="0.35">
      <c r="C503" s="129"/>
      <c r="D503" s="129"/>
      <c r="E503" s="129"/>
      <c r="F503" s="129"/>
      <c r="G503" s="129"/>
      <c r="H503" s="110"/>
      <c r="I503" s="129"/>
      <c r="J503" t="s">
        <v>351</v>
      </c>
      <c r="K503" s="129"/>
      <c r="L503" s="129"/>
      <c r="M503" s="129"/>
      <c r="N503" s="129"/>
      <c r="O503" s="129"/>
      <c r="P503" s="129"/>
      <c r="Q503" s="129"/>
      <c r="R503" s="129"/>
      <c r="S503" s="141"/>
      <c r="T503" s="139"/>
      <c r="U503" s="129"/>
      <c r="V503" s="129"/>
      <c r="W503" s="129"/>
      <c r="X503" s="129"/>
      <c r="Y503" s="129"/>
      <c r="Z503" s="115"/>
      <c r="AA503" s="129"/>
      <c r="AB503" s="149"/>
      <c r="AC503" s="129"/>
      <c r="AD503" s="129"/>
      <c r="AE503" s="129"/>
    </row>
    <row r="504" spans="3:31" x14ac:dyDescent="0.35">
      <c r="C504" s="129"/>
      <c r="D504" s="129"/>
      <c r="E504" s="129"/>
      <c r="F504" s="129"/>
      <c r="G504" s="129"/>
      <c r="H504" s="110"/>
      <c r="I504" s="129"/>
      <c r="J504" t="s">
        <v>351</v>
      </c>
      <c r="K504" s="129"/>
      <c r="L504" s="129"/>
      <c r="M504" s="129"/>
      <c r="N504" s="129"/>
      <c r="O504" s="129"/>
      <c r="P504" s="129"/>
      <c r="Q504" s="129"/>
      <c r="R504" s="129"/>
      <c r="S504" s="141"/>
      <c r="T504" s="139"/>
      <c r="U504" s="129"/>
      <c r="V504" s="129"/>
      <c r="W504" s="129"/>
      <c r="X504" s="129"/>
      <c r="Y504" s="129"/>
      <c r="Z504" s="115"/>
      <c r="AA504" s="129"/>
      <c r="AB504" s="149"/>
      <c r="AC504" s="129"/>
      <c r="AD504" s="129"/>
      <c r="AE504" s="129"/>
    </row>
    <row r="505" spans="3:31" x14ac:dyDescent="0.35">
      <c r="C505" s="129"/>
      <c r="D505" s="129"/>
      <c r="E505" s="129"/>
      <c r="F505" s="129"/>
      <c r="G505" s="129"/>
      <c r="H505" s="110"/>
      <c r="I505" s="129"/>
      <c r="J505" t="s">
        <v>351</v>
      </c>
      <c r="K505" s="129"/>
      <c r="L505" s="129"/>
      <c r="M505" s="129"/>
      <c r="N505" s="129"/>
      <c r="O505" s="129"/>
      <c r="P505" s="129"/>
      <c r="Q505" s="129"/>
      <c r="R505" s="129"/>
      <c r="S505" s="141"/>
      <c r="T505" s="139"/>
      <c r="U505" s="129"/>
      <c r="V505" s="129"/>
      <c r="W505" s="129"/>
      <c r="X505" s="129"/>
      <c r="Y505" s="129"/>
      <c r="Z505" s="115"/>
      <c r="AA505" s="129"/>
      <c r="AB505" s="149"/>
      <c r="AC505" s="129"/>
      <c r="AD505" s="129"/>
      <c r="AE505" s="129"/>
    </row>
    <row r="506" spans="3:31" x14ac:dyDescent="0.35">
      <c r="C506" s="129"/>
      <c r="D506" s="129"/>
      <c r="E506" s="129"/>
      <c r="F506" s="129"/>
      <c r="G506" s="129"/>
      <c r="H506" s="110"/>
      <c r="I506" s="129"/>
      <c r="J506" t="s">
        <v>351</v>
      </c>
      <c r="K506" s="129"/>
      <c r="L506" s="129"/>
      <c r="M506" s="129"/>
      <c r="N506" s="129"/>
      <c r="O506" s="129"/>
      <c r="P506" s="129"/>
      <c r="Q506" s="129"/>
      <c r="R506" s="129"/>
      <c r="S506" s="141"/>
      <c r="T506" s="139"/>
      <c r="U506" s="129"/>
      <c r="V506" s="129"/>
      <c r="W506" s="129"/>
      <c r="X506" s="129"/>
      <c r="Y506" s="129"/>
      <c r="Z506" s="115"/>
      <c r="AA506" s="129"/>
      <c r="AB506" s="149"/>
      <c r="AC506" s="129"/>
      <c r="AD506" s="129"/>
      <c r="AE506" s="129"/>
    </row>
    <row r="507" spans="3:31" x14ac:dyDescent="0.35">
      <c r="C507" s="129"/>
      <c r="D507" s="129"/>
      <c r="E507" s="129"/>
      <c r="F507" s="129"/>
      <c r="G507" s="129"/>
      <c r="H507" s="110"/>
      <c r="I507" s="129"/>
      <c r="J507" t="s">
        <v>351</v>
      </c>
      <c r="K507" s="129"/>
      <c r="L507" s="129"/>
      <c r="M507" s="129"/>
      <c r="N507" s="129"/>
      <c r="O507" s="129"/>
      <c r="P507" s="129"/>
      <c r="Q507" s="129"/>
      <c r="R507" s="129"/>
      <c r="S507" s="141"/>
      <c r="T507" s="139"/>
      <c r="U507" s="129"/>
      <c r="V507" s="129"/>
      <c r="W507" s="129"/>
      <c r="X507" s="129"/>
      <c r="Y507" s="129"/>
      <c r="Z507" s="115"/>
      <c r="AA507" s="129"/>
      <c r="AB507" s="149"/>
      <c r="AC507" s="129"/>
      <c r="AD507" s="129"/>
      <c r="AE507" s="129"/>
    </row>
    <row r="508" spans="3:31" x14ac:dyDescent="0.35">
      <c r="C508" s="129"/>
      <c r="D508" s="129"/>
      <c r="E508" s="129"/>
      <c r="F508" s="129"/>
      <c r="G508" s="129"/>
      <c r="H508" s="110"/>
      <c r="I508" s="129"/>
      <c r="J508" t="s">
        <v>351</v>
      </c>
      <c r="K508" s="129"/>
      <c r="L508" s="129"/>
      <c r="M508" s="129"/>
      <c r="N508" s="129"/>
      <c r="O508" s="129"/>
      <c r="P508" s="129"/>
      <c r="Q508" s="129"/>
      <c r="R508" s="129"/>
      <c r="S508" s="141"/>
      <c r="T508" s="139"/>
      <c r="U508" s="129"/>
      <c r="V508" s="129"/>
      <c r="W508" s="129"/>
      <c r="X508" s="129"/>
      <c r="Y508" s="129"/>
      <c r="Z508" s="115"/>
      <c r="AA508" s="129"/>
      <c r="AB508" s="149"/>
      <c r="AC508" s="129"/>
      <c r="AD508" s="129"/>
      <c r="AE508" s="129"/>
    </row>
    <row r="509" spans="3:31" x14ac:dyDescent="0.35">
      <c r="C509" s="129"/>
      <c r="D509" s="129"/>
      <c r="E509" s="129"/>
      <c r="F509" s="129"/>
      <c r="G509" s="129"/>
      <c r="H509" s="110"/>
      <c r="I509" s="129"/>
      <c r="J509" t="s">
        <v>351</v>
      </c>
      <c r="K509" s="129"/>
      <c r="L509" s="129"/>
      <c r="M509" s="129"/>
      <c r="N509" s="129"/>
      <c r="O509" s="129"/>
      <c r="P509" s="129"/>
      <c r="Q509" s="129"/>
      <c r="R509" s="129"/>
      <c r="S509" s="141"/>
      <c r="T509" s="139"/>
      <c r="U509" s="129"/>
      <c r="V509" s="129"/>
      <c r="W509" s="129"/>
      <c r="X509" s="129"/>
      <c r="Y509" s="129"/>
      <c r="Z509" s="115"/>
      <c r="AA509" s="129"/>
      <c r="AB509" s="149"/>
      <c r="AC509" s="129"/>
      <c r="AD509" s="129"/>
      <c r="AE509" s="129"/>
    </row>
    <row r="510" spans="3:31" x14ac:dyDescent="0.35">
      <c r="C510" s="129"/>
      <c r="D510" s="129"/>
      <c r="E510" s="129"/>
      <c r="F510" s="129"/>
      <c r="G510" s="129"/>
      <c r="H510" s="110"/>
      <c r="I510" s="129"/>
      <c r="J510" t="s">
        <v>351</v>
      </c>
      <c r="K510" s="129"/>
      <c r="L510" s="129"/>
      <c r="M510" s="129"/>
      <c r="N510" s="129"/>
      <c r="O510" s="129"/>
      <c r="P510" s="129"/>
      <c r="Q510" s="129"/>
      <c r="R510" s="129"/>
      <c r="S510" s="141"/>
      <c r="T510" s="139"/>
      <c r="U510" s="129"/>
      <c r="V510" s="129"/>
      <c r="W510" s="129"/>
      <c r="X510" s="129"/>
      <c r="Y510" s="129"/>
      <c r="Z510" s="115"/>
      <c r="AA510" s="129"/>
      <c r="AB510" s="149"/>
      <c r="AC510" s="129"/>
      <c r="AD510" s="129"/>
      <c r="AE510" s="129"/>
    </row>
    <row r="511" spans="3:31" x14ac:dyDescent="0.35">
      <c r="C511" s="129"/>
      <c r="D511" s="129"/>
      <c r="E511" s="129"/>
      <c r="F511" s="129"/>
      <c r="G511" s="129"/>
      <c r="H511" s="110"/>
      <c r="I511" s="129"/>
      <c r="J511" t="s">
        <v>351</v>
      </c>
      <c r="K511" s="129"/>
      <c r="L511" s="129"/>
      <c r="M511" s="129"/>
      <c r="N511" s="129"/>
      <c r="O511" s="129"/>
      <c r="P511" s="129"/>
      <c r="Q511" s="129"/>
      <c r="R511" s="129"/>
      <c r="S511" s="141"/>
      <c r="T511" s="139"/>
      <c r="U511" s="129"/>
      <c r="V511" s="129"/>
      <c r="W511" s="129"/>
      <c r="X511" s="129"/>
      <c r="Y511" s="129"/>
      <c r="Z511" s="115"/>
      <c r="AA511" s="129"/>
      <c r="AB511" s="149"/>
      <c r="AC511" s="129"/>
      <c r="AD511" s="129"/>
      <c r="AE511" s="129"/>
    </row>
    <row r="512" spans="3:31" x14ac:dyDescent="0.35">
      <c r="C512" s="129"/>
      <c r="D512" s="129"/>
      <c r="E512" s="129"/>
      <c r="F512" s="129"/>
      <c r="G512" s="129"/>
      <c r="H512" s="110"/>
      <c r="I512" s="129"/>
      <c r="J512" t="s">
        <v>351</v>
      </c>
      <c r="K512" s="129"/>
      <c r="L512" s="129"/>
      <c r="M512" s="129"/>
      <c r="N512" s="129"/>
      <c r="O512" s="129"/>
      <c r="P512" s="129"/>
      <c r="Q512" s="129"/>
      <c r="R512" s="129"/>
      <c r="S512" s="141"/>
      <c r="T512" s="139"/>
      <c r="U512" s="129"/>
      <c r="V512" s="129"/>
      <c r="W512" s="129"/>
      <c r="X512" s="129"/>
      <c r="Y512" s="129"/>
      <c r="Z512" s="115"/>
      <c r="AA512" s="129"/>
      <c r="AB512" s="149"/>
      <c r="AC512" s="129"/>
      <c r="AD512" s="129"/>
      <c r="AE512" s="129"/>
    </row>
    <row r="513" spans="3:31" x14ac:dyDescent="0.35">
      <c r="C513" s="129"/>
      <c r="D513" s="129"/>
      <c r="E513" s="129"/>
      <c r="F513" s="129"/>
      <c r="G513" s="129"/>
      <c r="H513" s="110"/>
      <c r="I513" s="129"/>
      <c r="J513" t="s">
        <v>351</v>
      </c>
      <c r="K513" s="129"/>
      <c r="L513" s="129"/>
      <c r="M513" s="129"/>
      <c r="N513" s="129"/>
      <c r="O513" s="129"/>
      <c r="P513" s="129"/>
      <c r="Q513" s="129"/>
      <c r="R513" s="129"/>
      <c r="S513" s="141"/>
      <c r="T513" s="139"/>
      <c r="U513" s="129"/>
      <c r="V513" s="129"/>
      <c r="W513" s="129"/>
      <c r="X513" s="129"/>
      <c r="Y513" s="129"/>
      <c r="Z513" s="115"/>
      <c r="AA513" s="129"/>
      <c r="AB513" s="149"/>
      <c r="AC513" s="129"/>
      <c r="AD513" s="129"/>
      <c r="AE513" s="129"/>
    </row>
    <row r="514" spans="3:31" x14ac:dyDescent="0.35">
      <c r="C514" s="129"/>
      <c r="D514" s="129"/>
      <c r="E514" s="129"/>
      <c r="F514" s="129"/>
      <c r="G514" s="129"/>
      <c r="H514" s="110"/>
      <c r="I514" s="129"/>
      <c r="J514" t="s">
        <v>351</v>
      </c>
      <c r="K514" s="129"/>
      <c r="L514" s="129"/>
      <c r="M514" s="129"/>
      <c r="N514" s="129"/>
      <c r="O514" s="129"/>
      <c r="P514" s="129"/>
      <c r="Q514" s="129"/>
      <c r="R514" s="129"/>
      <c r="S514" s="141"/>
      <c r="T514" s="139"/>
      <c r="U514" s="129"/>
      <c r="V514" s="129"/>
      <c r="W514" s="129"/>
      <c r="X514" s="129"/>
      <c r="Y514" s="129"/>
      <c r="Z514" s="115"/>
      <c r="AA514" s="129"/>
      <c r="AB514" s="149"/>
      <c r="AC514" s="129"/>
      <c r="AD514" s="129"/>
      <c r="AE514" s="129"/>
    </row>
    <row r="515" spans="3:31" x14ac:dyDescent="0.35">
      <c r="C515" s="129"/>
      <c r="D515" s="129"/>
      <c r="E515" s="129"/>
      <c r="F515" s="129"/>
      <c r="G515" s="129"/>
      <c r="H515" s="110"/>
      <c r="I515" s="129"/>
      <c r="J515" t="s">
        <v>351</v>
      </c>
      <c r="K515" s="129"/>
      <c r="L515" s="129"/>
      <c r="M515" s="129"/>
      <c r="N515" s="129"/>
      <c r="O515" s="129"/>
      <c r="P515" s="129"/>
      <c r="Q515" s="129"/>
      <c r="R515" s="129"/>
      <c r="S515" s="141"/>
      <c r="T515" s="139"/>
      <c r="U515" s="129"/>
      <c r="V515" s="129"/>
      <c r="W515" s="129"/>
      <c r="X515" s="129"/>
      <c r="Y515" s="129"/>
      <c r="Z515" s="115"/>
      <c r="AA515" s="129"/>
      <c r="AB515" s="149"/>
      <c r="AC515" s="129"/>
      <c r="AD515" s="129"/>
      <c r="AE515" s="129"/>
    </row>
    <row r="516" spans="3:31" x14ac:dyDescent="0.35">
      <c r="C516" s="129"/>
      <c r="D516" s="129"/>
      <c r="E516" s="129"/>
      <c r="F516" s="129"/>
      <c r="G516" s="129"/>
      <c r="H516" s="110"/>
      <c r="I516" s="129"/>
      <c r="J516" t="s">
        <v>351</v>
      </c>
      <c r="K516" s="129"/>
      <c r="L516" s="129"/>
      <c r="M516" s="129"/>
      <c r="N516" s="129"/>
      <c r="O516" s="129"/>
      <c r="P516" s="129"/>
      <c r="Q516" s="129"/>
      <c r="R516" s="129"/>
      <c r="S516" s="141"/>
      <c r="T516" s="139"/>
      <c r="U516" s="129"/>
      <c r="V516" s="129"/>
      <c r="W516" s="129"/>
      <c r="X516" s="129"/>
      <c r="Y516" s="129"/>
      <c r="Z516" s="115"/>
      <c r="AA516" s="129"/>
      <c r="AB516" s="149"/>
      <c r="AC516" s="129"/>
      <c r="AD516" s="129"/>
      <c r="AE516" s="129"/>
    </row>
    <row r="517" spans="3:31" x14ac:dyDescent="0.35">
      <c r="C517" s="129"/>
      <c r="D517" s="129"/>
      <c r="E517" s="129"/>
      <c r="F517" s="129"/>
      <c r="G517" s="129"/>
      <c r="H517" s="110"/>
      <c r="I517" s="129"/>
      <c r="J517" t="s">
        <v>351</v>
      </c>
      <c r="K517" s="129"/>
      <c r="L517" s="129"/>
      <c r="M517" s="129"/>
      <c r="N517" s="129"/>
      <c r="O517" s="129"/>
      <c r="P517" s="129"/>
      <c r="Q517" s="129"/>
      <c r="R517" s="129"/>
      <c r="S517" s="141"/>
      <c r="T517" s="139"/>
      <c r="U517" s="129"/>
      <c r="V517" s="129"/>
      <c r="W517" s="129"/>
      <c r="X517" s="129"/>
      <c r="Y517" s="129"/>
      <c r="Z517" s="115"/>
      <c r="AA517" s="129"/>
      <c r="AB517" s="149"/>
      <c r="AC517" s="129"/>
      <c r="AD517" s="129"/>
      <c r="AE517" s="129"/>
    </row>
    <row r="518" spans="3:31" x14ac:dyDescent="0.35">
      <c r="C518" s="129"/>
      <c r="D518" s="129"/>
      <c r="E518" s="129"/>
      <c r="F518" s="129"/>
      <c r="G518" s="129"/>
      <c r="H518" s="110"/>
      <c r="I518" s="129"/>
      <c r="J518" t="s">
        <v>351</v>
      </c>
      <c r="K518" s="129"/>
      <c r="L518" s="129"/>
      <c r="M518" s="129"/>
      <c r="N518" s="129"/>
      <c r="O518" s="129"/>
      <c r="P518" s="129"/>
      <c r="Q518" s="129"/>
      <c r="R518" s="129"/>
      <c r="S518" s="141"/>
      <c r="T518" s="139"/>
      <c r="U518" s="129"/>
      <c r="V518" s="129"/>
      <c r="W518" s="129"/>
      <c r="X518" s="129"/>
      <c r="Y518" s="129"/>
      <c r="Z518" s="115"/>
      <c r="AA518" s="129"/>
      <c r="AB518" s="149"/>
      <c r="AC518" s="129"/>
      <c r="AD518" s="129"/>
      <c r="AE518" s="129"/>
    </row>
    <row r="519" spans="3:31" x14ac:dyDescent="0.35">
      <c r="C519" s="129"/>
      <c r="D519" s="129"/>
      <c r="E519" s="129"/>
      <c r="F519" s="129"/>
      <c r="G519" s="129"/>
      <c r="H519" s="110"/>
      <c r="I519" s="129"/>
      <c r="J519" t="s">
        <v>351</v>
      </c>
      <c r="K519" s="129"/>
      <c r="L519" s="129"/>
      <c r="M519" s="129"/>
      <c r="N519" s="129"/>
      <c r="O519" s="129"/>
      <c r="P519" s="129"/>
      <c r="Q519" s="129"/>
      <c r="R519" s="129"/>
      <c r="S519" s="141"/>
      <c r="T519" s="139"/>
      <c r="U519" s="129"/>
      <c r="V519" s="129"/>
      <c r="W519" s="129"/>
      <c r="X519" s="129"/>
      <c r="Y519" s="129"/>
      <c r="Z519" s="115"/>
      <c r="AA519" s="129"/>
      <c r="AB519" s="149"/>
      <c r="AC519" s="129"/>
      <c r="AD519" s="129"/>
      <c r="AE519" s="129"/>
    </row>
    <row r="520" spans="3:31" x14ac:dyDescent="0.35">
      <c r="C520" s="129"/>
      <c r="D520" s="129"/>
      <c r="E520" s="129"/>
      <c r="F520" s="129"/>
      <c r="G520" s="129"/>
      <c r="H520" s="110"/>
      <c r="I520" s="129"/>
      <c r="J520" t="s">
        <v>351</v>
      </c>
      <c r="K520" s="129"/>
      <c r="L520" s="129"/>
      <c r="M520" s="129"/>
      <c r="N520" s="129"/>
      <c r="O520" s="129"/>
      <c r="P520" s="129"/>
      <c r="Q520" s="129"/>
      <c r="R520" s="129"/>
      <c r="S520" s="141"/>
      <c r="T520" s="139"/>
      <c r="U520" s="129"/>
      <c r="V520" s="129"/>
      <c r="W520" s="129"/>
      <c r="X520" s="129"/>
      <c r="Y520" s="129"/>
      <c r="Z520" s="115"/>
      <c r="AA520" s="129"/>
      <c r="AB520" s="149"/>
      <c r="AC520" s="129"/>
      <c r="AD520" s="129"/>
      <c r="AE520" s="129"/>
    </row>
    <row r="521" spans="3:31" x14ac:dyDescent="0.35">
      <c r="C521" s="129"/>
      <c r="D521" s="129"/>
      <c r="E521" s="129"/>
      <c r="F521" s="129"/>
      <c r="G521" s="129"/>
      <c r="H521" s="110"/>
      <c r="I521" s="129"/>
      <c r="J521" t="s">
        <v>351</v>
      </c>
      <c r="K521" s="129"/>
      <c r="L521" s="129"/>
      <c r="M521" s="129"/>
      <c r="N521" s="129"/>
      <c r="O521" s="129"/>
      <c r="P521" s="129"/>
      <c r="Q521" s="129"/>
      <c r="R521" s="129"/>
      <c r="S521" s="141"/>
      <c r="T521" s="139"/>
      <c r="U521" s="129"/>
      <c r="V521" s="129"/>
      <c r="W521" s="129"/>
      <c r="X521" s="129"/>
      <c r="Y521" s="129"/>
      <c r="Z521" s="115"/>
      <c r="AA521" s="129"/>
      <c r="AB521" s="149"/>
      <c r="AC521" s="129"/>
      <c r="AD521" s="129"/>
      <c r="AE521" s="129"/>
    </row>
    <row r="522" spans="3:31" x14ac:dyDescent="0.35">
      <c r="C522" s="129"/>
      <c r="D522" s="129"/>
      <c r="E522" s="129"/>
      <c r="F522" s="129"/>
      <c r="G522" s="129"/>
      <c r="H522" s="110"/>
      <c r="I522" s="129"/>
      <c r="J522" t="s">
        <v>351</v>
      </c>
      <c r="K522" s="129"/>
      <c r="L522" s="129"/>
      <c r="M522" s="129"/>
      <c r="N522" s="129"/>
      <c r="O522" s="129"/>
      <c r="P522" s="129"/>
      <c r="Q522" s="129"/>
      <c r="R522" s="129"/>
      <c r="S522" s="141"/>
      <c r="T522" s="139"/>
      <c r="U522" s="129"/>
      <c r="V522" s="129"/>
      <c r="W522" s="129"/>
      <c r="X522" s="129"/>
      <c r="Y522" s="129"/>
      <c r="Z522" s="115"/>
      <c r="AA522" s="129"/>
      <c r="AB522" s="149"/>
      <c r="AC522" s="129"/>
      <c r="AD522" s="129"/>
      <c r="AE522" s="129"/>
    </row>
    <row r="523" spans="3:31" x14ac:dyDescent="0.35">
      <c r="C523" s="129"/>
      <c r="D523" s="129"/>
      <c r="E523" s="129"/>
      <c r="F523" s="129"/>
      <c r="G523" s="129"/>
      <c r="H523" s="110"/>
      <c r="I523" s="129"/>
      <c r="J523" t="s">
        <v>351</v>
      </c>
      <c r="K523" s="129"/>
      <c r="L523" s="129"/>
      <c r="M523" s="129"/>
      <c r="N523" s="129"/>
      <c r="O523" s="129"/>
      <c r="P523" s="129"/>
      <c r="Q523" s="129"/>
      <c r="R523" s="129"/>
      <c r="S523" s="141"/>
      <c r="T523" s="139"/>
      <c r="U523" s="129"/>
      <c r="V523" s="129"/>
      <c r="W523" s="129"/>
      <c r="X523" s="129"/>
      <c r="Y523" s="129"/>
      <c r="Z523" s="115"/>
      <c r="AA523" s="129"/>
      <c r="AB523" s="149"/>
      <c r="AC523" s="129"/>
      <c r="AD523" s="129"/>
      <c r="AE523" s="129"/>
    </row>
    <row r="524" spans="3:31" x14ac:dyDescent="0.35">
      <c r="C524" s="129"/>
      <c r="D524" s="129"/>
      <c r="E524" s="129"/>
      <c r="F524" s="129"/>
      <c r="G524" s="129"/>
      <c r="H524" s="110"/>
      <c r="I524" s="129"/>
      <c r="J524" t="s">
        <v>351</v>
      </c>
      <c r="K524" s="129"/>
      <c r="L524" s="129"/>
      <c r="M524" s="129"/>
      <c r="N524" s="129"/>
      <c r="O524" s="129"/>
      <c r="P524" s="129"/>
      <c r="Q524" s="129"/>
      <c r="R524" s="129"/>
      <c r="S524" s="141"/>
      <c r="T524" s="139"/>
      <c r="U524" s="129"/>
      <c r="V524" s="129"/>
      <c r="W524" s="129"/>
      <c r="X524" s="129"/>
      <c r="Y524" s="129"/>
      <c r="Z524" s="115"/>
      <c r="AA524" s="129"/>
      <c r="AB524" s="149"/>
      <c r="AC524" s="129"/>
      <c r="AD524" s="129"/>
      <c r="AE524" s="129"/>
    </row>
    <row r="525" spans="3:31" x14ac:dyDescent="0.35">
      <c r="C525" s="129"/>
      <c r="D525" s="129"/>
      <c r="E525" s="129"/>
      <c r="F525" s="129"/>
      <c r="G525" s="129"/>
      <c r="H525" s="110"/>
      <c r="I525" s="129"/>
      <c r="J525" t="s">
        <v>351</v>
      </c>
      <c r="K525" s="129"/>
      <c r="L525" s="129"/>
      <c r="M525" s="129"/>
      <c r="N525" s="129"/>
      <c r="O525" s="129"/>
      <c r="P525" s="129"/>
      <c r="Q525" s="129"/>
      <c r="R525" s="129"/>
      <c r="S525" s="141"/>
      <c r="T525" s="139"/>
      <c r="U525" s="129"/>
      <c r="V525" s="129"/>
      <c r="W525" s="129"/>
      <c r="X525" s="129"/>
      <c r="Y525" s="129"/>
      <c r="Z525" s="115"/>
      <c r="AA525" s="129"/>
      <c r="AB525" s="149"/>
      <c r="AC525" s="129"/>
      <c r="AD525" s="129"/>
      <c r="AE525" s="129"/>
    </row>
    <row r="526" spans="3:31" x14ac:dyDescent="0.35">
      <c r="C526" s="129"/>
      <c r="D526" s="129"/>
      <c r="E526" s="129"/>
      <c r="F526" s="129"/>
      <c r="G526" s="129"/>
      <c r="H526" s="110"/>
      <c r="I526" s="129"/>
      <c r="J526" t="s">
        <v>351</v>
      </c>
      <c r="K526" s="129"/>
      <c r="L526" s="129"/>
      <c r="M526" s="129"/>
      <c r="N526" s="129"/>
      <c r="O526" s="129"/>
      <c r="P526" s="129"/>
      <c r="Q526" s="129"/>
      <c r="R526" s="129"/>
      <c r="S526" s="141"/>
      <c r="T526" s="139"/>
      <c r="U526" s="129"/>
      <c r="V526" s="129"/>
      <c r="W526" s="129"/>
      <c r="X526" s="129"/>
      <c r="Y526" s="129"/>
      <c r="Z526" s="115"/>
      <c r="AA526" s="129"/>
      <c r="AB526" s="149"/>
      <c r="AC526" s="129"/>
      <c r="AD526" s="129"/>
      <c r="AE526" s="129"/>
    </row>
    <row r="527" spans="3:31" x14ac:dyDescent="0.35">
      <c r="C527" s="129"/>
      <c r="D527" s="129"/>
      <c r="E527" s="129"/>
      <c r="F527" s="129"/>
      <c r="G527" s="129"/>
      <c r="H527" s="110"/>
      <c r="I527" s="129"/>
      <c r="J527" t="s">
        <v>351</v>
      </c>
      <c r="K527" s="129"/>
      <c r="L527" s="129"/>
      <c r="M527" s="129"/>
      <c r="N527" s="129"/>
      <c r="O527" s="129"/>
      <c r="P527" s="129"/>
      <c r="Q527" s="129"/>
      <c r="R527" s="129"/>
      <c r="S527" s="141"/>
      <c r="T527" s="139"/>
      <c r="U527" s="129"/>
      <c r="V527" s="129"/>
      <c r="W527" s="129"/>
      <c r="X527" s="129"/>
      <c r="Y527" s="129"/>
      <c r="Z527" s="115"/>
      <c r="AA527" s="129"/>
      <c r="AB527" s="149"/>
      <c r="AC527" s="129"/>
      <c r="AD527" s="129"/>
      <c r="AE527" s="129"/>
    </row>
    <row r="528" spans="3:31" x14ac:dyDescent="0.35">
      <c r="C528" s="129"/>
      <c r="D528" s="129"/>
      <c r="E528" s="129"/>
      <c r="F528" s="129"/>
      <c r="G528" s="129"/>
      <c r="H528" s="110"/>
      <c r="I528" s="129"/>
      <c r="J528" t="s">
        <v>351</v>
      </c>
      <c r="K528" s="129"/>
      <c r="L528" s="129"/>
      <c r="M528" s="129"/>
      <c r="N528" s="129"/>
      <c r="O528" s="129"/>
      <c r="P528" s="129"/>
      <c r="Q528" s="129"/>
      <c r="R528" s="129"/>
      <c r="S528" s="141"/>
      <c r="T528" s="139"/>
      <c r="U528" s="129"/>
      <c r="V528" s="129"/>
      <c r="W528" s="129"/>
      <c r="X528" s="129"/>
      <c r="Y528" s="129"/>
      <c r="Z528" s="115"/>
      <c r="AA528" s="129"/>
      <c r="AB528" s="149"/>
      <c r="AC528" s="129"/>
      <c r="AD528" s="129"/>
      <c r="AE528" s="129"/>
    </row>
    <row r="529" spans="3:31" x14ac:dyDescent="0.35">
      <c r="C529" s="129"/>
      <c r="D529" s="129"/>
      <c r="E529" s="129"/>
      <c r="F529" s="129"/>
      <c r="G529" s="129"/>
      <c r="H529" s="110"/>
      <c r="I529" s="129"/>
      <c r="J529" t="s">
        <v>351</v>
      </c>
      <c r="K529" s="129"/>
      <c r="L529" s="129"/>
      <c r="M529" s="129"/>
      <c r="N529" s="129"/>
      <c r="O529" s="129"/>
      <c r="P529" s="129"/>
      <c r="Q529" s="129"/>
      <c r="R529" s="129"/>
      <c r="S529" s="141"/>
      <c r="T529" s="139"/>
      <c r="U529" s="129"/>
      <c r="V529" s="129"/>
      <c r="W529" s="129"/>
      <c r="X529" s="129"/>
      <c r="Y529" s="129"/>
      <c r="Z529" s="115"/>
      <c r="AA529" s="129"/>
      <c r="AB529" s="149"/>
      <c r="AC529" s="129"/>
      <c r="AD529" s="129"/>
      <c r="AE529" s="129"/>
    </row>
    <row r="530" spans="3:31" x14ac:dyDescent="0.35">
      <c r="C530" s="129"/>
      <c r="D530" s="129"/>
      <c r="E530" s="129"/>
      <c r="F530" s="129"/>
      <c r="G530" s="129"/>
      <c r="H530" s="110"/>
      <c r="I530" s="129"/>
      <c r="J530" t="s">
        <v>351</v>
      </c>
      <c r="K530" s="129"/>
      <c r="L530" s="129"/>
      <c r="M530" s="129"/>
      <c r="N530" s="129"/>
      <c r="O530" s="129"/>
      <c r="P530" s="129"/>
      <c r="Q530" s="129"/>
      <c r="R530" s="129"/>
      <c r="S530" s="141"/>
      <c r="T530" s="139"/>
      <c r="U530" s="129"/>
      <c r="V530" s="129"/>
      <c r="W530" s="129"/>
      <c r="X530" s="129"/>
      <c r="Y530" s="129"/>
      <c r="Z530" s="115"/>
      <c r="AA530" s="129"/>
      <c r="AB530" s="149"/>
      <c r="AC530" s="129"/>
      <c r="AD530" s="129"/>
      <c r="AE530" s="129"/>
    </row>
    <row r="531" spans="3:31" x14ac:dyDescent="0.35">
      <c r="C531" s="129"/>
      <c r="D531" s="129"/>
      <c r="E531" s="129"/>
      <c r="F531" s="129"/>
      <c r="G531" s="129"/>
      <c r="H531" s="110"/>
      <c r="I531" s="129"/>
      <c r="J531" t="s">
        <v>351</v>
      </c>
      <c r="K531" s="129"/>
      <c r="L531" s="129"/>
      <c r="M531" s="129"/>
      <c r="N531" s="129"/>
      <c r="O531" s="129"/>
      <c r="P531" s="129"/>
      <c r="Q531" s="129"/>
      <c r="R531" s="129"/>
      <c r="S531" s="141"/>
      <c r="T531" s="139"/>
      <c r="U531" s="129"/>
      <c r="V531" s="129"/>
      <c r="W531" s="129"/>
      <c r="X531" s="129"/>
      <c r="Y531" s="129"/>
      <c r="Z531" s="115"/>
      <c r="AA531" s="129"/>
      <c r="AB531" s="149"/>
      <c r="AC531" s="129"/>
      <c r="AD531" s="129"/>
      <c r="AE531" s="129"/>
    </row>
    <row r="532" spans="3:31" x14ac:dyDescent="0.35">
      <c r="C532" s="129"/>
      <c r="D532" s="129"/>
      <c r="E532" s="129"/>
      <c r="F532" s="129"/>
      <c r="G532" s="129"/>
      <c r="H532" s="110"/>
      <c r="I532" s="129"/>
      <c r="J532" t="s">
        <v>351</v>
      </c>
      <c r="K532" s="129"/>
      <c r="L532" s="129"/>
      <c r="M532" s="129"/>
      <c r="N532" s="129"/>
      <c r="O532" s="129"/>
      <c r="P532" s="129"/>
      <c r="Q532" s="129"/>
      <c r="R532" s="129"/>
      <c r="S532" s="141"/>
      <c r="T532" s="139"/>
      <c r="U532" s="129"/>
      <c r="V532" s="129"/>
      <c r="W532" s="129"/>
      <c r="X532" s="129"/>
      <c r="Y532" s="129"/>
      <c r="Z532" s="115"/>
      <c r="AA532" s="129"/>
      <c r="AB532" s="149"/>
      <c r="AC532" s="129"/>
      <c r="AD532" s="129"/>
      <c r="AE532" s="129"/>
    </row>
    <row r="533" spans="3:31" x14ac:dyDescent="0.35">
      <c r="C533" s="129"/>
      <c r="D533" s="129"/>
      <c r="E533" s="129"/>
      <c r="F533" s="129"/>
      <c r="G533" s="129"/>
      <c r="H533" s="110"/>
      <c r="I533" s="129"/>
      <c r="J533" t="s">
        <v>351</v>
      </c>
      <c r="K533" s="129"/>
      <c r="L533" s="129"/>
      <c r="M533" s="129"/>
      <c r="N533" s="129"/>
      <c r="O533" s="129"/>
      <c r="P533" s="129"/>
      <c r="Q533" s="129"/>
      <c r="R533" s="129"/>
      <c r="S533" s="141"/>
      <c r="T533" s="139"/>
      <c r="U533" s="129"/>
      <c r="V533" s="129"/>
      <c r="W533" s="129"/>
      <c r="X533" s="129"/>
      <c r="Y533" s="129"/>
      <c r="Z533" s="115"/>
      <c r="AA533" s="129"/>
      <c r="AB533" s="149"/>
      <c r="AC533" s="129"/>
      <c r="AD533" s="129"/>
      <c r="AE533" s="129"/>
    </row>
    <row r="534" spans="3:31" x14ac:dyDescent="0.35">
      <c r="C534" s="129"/>
      <c r="D534" s="129"/>
      <c r="E534" s="129"/>
      <c r="F534" s="129"/>
      <c r="G534" s="129"/>
      <c r="H534" s="110"/>
      <c r="I534" s="129"/>
      <c r="J534" t="s">
        <v>351</v>
      </c>
      <c r="K534" s="129"/>
      <c r="L534" s="129"/>
      <c r="M534" s="129"/>
      <c r="N534" s="129"/>
      <c r="O534" s="129"/>
      <c r="P534" s="129"/>
      <c r="Q534" s="129"/>
      <c r="R534" s="129"/>
      <c r="S534" s="141"/>
      <c r="T534" s="139"/>
      <c r="U534" s="129"/>
      <c r="V534" s="129"/>
      <c r="W534" s="129"/>
      <c r="X534" s="129"/>
      <c r="Y534" s="129"/>
      <c r="Z534" s="115"/>
      <c r="AA534" s="129"/>
      <c r="AB534" s="149"/>
      <c r="AC534" s="129"/>
      <c r="AD534" s="129"/>
      <c r="AE534" s="129"/>
    </row>
    <row r="535" spans="3:31" x14ac:dyDescent="0.35">
      <c r="C535" s="129"/>
      <c r="D535" s="129"/>
      <c r="E535" s="129"/>
      <c r="F535" s="129"/>
      <c r="G535" s="129"/>
      <c r="H535" s="110"/>
      <c r="I535" s="129"/>
      <c r="J535" t="s">
        <v>351</v>
      </c>
      <c r="K535" s="129"/>
      <c r="L535" s="129"/>
      <c r="M535" s="129"/>
      <c r="N535" s="129"/>
      <c r="O535" s="129"/>
      <c r="P535" s="129"/>
      <c r="Q535" s="129"/>
      <c r="R535" s="129"/>
      <c r="S535" s="141"/>
      <c r="T535" s="139"/>
      <c r="U535" s="129"/>
      <c r="V535" s="129"/>
      <c r="W535" s="129"/>
      <c r="X535" s="129"/>
      <c r="Y535" s="129"/>
      <c r="Z535" s="115"/>
      <c r="AA535" s="129"/>
      <c r="AB535" s="149"/>
      <c r="AC535" s="129"/>
      <c r="AD535" s="129"/>
      <c r="AE535" s="129"/>
    </row>
    <row r="536" spans="3:31" x14ac:dyDescent="0.35">
      <c r="C536" s="129"/>
      <c r="D536" s="129"/>
      <c r="E536" s="129"/>
      <c r="F536" s="129"/>
      <c r="G536" s="129"/>
      <c r="H536" s="110"/>
      <c r="I536" s="129"/>
      <c r="J536" t="s">
        <v>351</v>
      </c>
      <c r="K536" s="129"/>
      <c r="L536" s="129"/>
      <c r="M536" s="129"/>
      <c r="N536" s="129"/>
      <c r="O536" s="129"/>
      <c r="P536" s="129"/>
      <c r="Q536" s="129"/>
      <c r="R536" s="129"/>
      <c r="S536" s="141"/>
      <c r="T536" s="139"/>
      <c r="U536" s="129"/>
      <c r="V536" s="129"/>
      <c r="W536" s="129"/>
      <c r="X536" s="129"/>
      <c r="Y536" s="129"/>
      <c r="Z536" s="115"/>
      <c r="AA536" s="129"/>
      <c r="AB536" s="149"/>
      <c r="AC536" s="129"/>
      <c r="AD536" s="129"/>
      <c r="AE536" s="129"/>
    </row>
    <row r="537" spans="3:31" x14ac:dyDescent="0.35">
      <c r="C537" s="129"/>
      <c r="D537" s="129"/>
      <c r="E537" s="129"/>
      <c r="F537" s="129"/>
      <c r="G537" s="129"/>
      <c r="H537" s="110"/>
      <c r="I537" s="129"/>
      <c r="J537" t="s">
        <v>351</v>
      </c>
      <c r="K537" s="129"/>
      <c r="L537" s="129"/>
      <c r="M537" s="129"/>
      <c r="N537" s="129"/>
      <c r="O537" s="129"/>
      <c r="P537" s="129"/>
      <c r="Q537" s="129"/>
      <c r="R537" s="129"/>
      <c r="S537" s="141"/>
      <c r="T537" s="139"/>
      <c r="U537" s="129"/>
      <c r="V537" s="129"/>
      <c r="W537" s="129"/>
      <c r="X537" s="129"/>
      <c r="Y537" s="129"/>
      <c r="Z537" s="115"/>
      <c r="AA537" s="129"/>
      <c r="AB537" s="149"/>
      <c r="AC537" s="129"/>
      <c r="AD537" s="129"/>
      <c r="AE537" s="129"/>
    </row>
    <row r="538" spans="3:31" x14ac:dyDescent="0.35">
      <c r="C538" s="129"/>
      <c r="D538" s="129"/>
      <c r="E538" s="129"/>
      <c r="F538" s="129"/>
      <c r="G538" s="129"/>
      <c r="H538" s="110"/>
      <c r="I538" s="129"/>
      <c r="J538" t="s">
        <v>351</v>
      </c>
      <c r="K538" s="129"/>
      <c r="L538" s="129"/>
      <c r="M538" s="129"/>
      <c r="N538" s="129"/>
      <c r="O538" s="129"/>
      <c r="P538" s="129"/>
      <c r="Q538" s="129"/>
      <c r="R538" s="129"/>
      <c r="S538" s="141"/>
      <c r="T538" s="139"/>
      <c r="U538" s="129"/>
      <c r="V538" s="129"/>
      <c r="W538" s="129"/>
      <c r="X538" s="129"/>
      <c r="Y538" s="129"/>
      <c r="Z538" s="115"/>
      <c r="AA538" s="129"/>
      <c r="AB538" s="149"/>
      <c r="AC538" s="129"/>
      <c r="AD538" s="129"/>
      <c r="AE538" s="129"/>
    </row>
    <row r="539" spans="3:31" x14ac:dyDescent="0.35">
      <c r="C539" s="129"/>
      <c r="D539" s="129"/>
      <c r="E539" s="129"/>
      <c r="F539" s="129"/>
      <c r="G539" s="129"/>
      <c r="H539" s="110"/>
      <c r="I539" s="129"/>
      <c r="J539" t="s">
        <v>351</v>
      </c>
      <c r="K539" s="129"/>
      <c r="L539" s="129"/>
      <c r="M539" s="129"/>
      <c r="N539" s="129"/>
      <c r="O539" s="129"/>
      <c r="P539" s="129"/>
      <c r="Q539" s="129"/>
      <c r="R539" s="129"/>
      <c r="S539" s="141"/>
      <c r="T539" s="139"/>
      <c r="U539" s="129"/>
      <c r="V539" s="129"/>
      <c r="W539" s="129"/>
      <c r="X539" s="129"/>
      <c r="Y539" s="129"/>
      <c r="Z539" s="115"/>
      <c r="AA539" s="129"/>
      <c r="AB539" s="149"/>
      <c r="AC539" s="129"/>
      <c r="AD539" s="129"/>
      <c r="AE539" s="129"/>
    </row>
    <row r="540" spans="3:31" x14ac:dyDescent="0.35">
      <c r="C540" s="129"/>
      <c r="D540" s="129"/>
      <c r="E540" s="129"/>
      <c r="F540" s="129"/>
      <c r="G540" s="129"/>
      <c r="H540" s="110"/>
      <c r="I540" s="129"/>
      <c r="J540" t="s">
        <v>351</v>
      </c>
      <c r="K540" s="129"/>
      <c r="L540" s="129"/>
      <c r="M540" s="129"/>
      <c r="N540" s="129"/>
      <c r="O540" s="129"/>
      <c r="P540" s="129"/>
      <c r="Q540" s="129"/>
      <c r="R540" s="129"/>
      <c r="S540" s="141"/>
      <c r="T540" s="139"/>
      <c r="U540" s="129"/>
      <c r="V540" s="129"/>
      <c r="W540" s="129"/>
      <c r="X540" s="129"/>
      <c r="Y540" s="129"/>
      <c r="Z540" s="115"/>
      <c r="AA540" s="129"/>
      <c r="AB540" s="149"/>
      <c r="AC540" s="129"/>
      <c r="AD540" s="129"/>
      <c r="AE540" s="129"/>
    </row>
    <row r="541" spans="3:31" x14ac:dyDescent="0.35">
      <c r="C541" s="129"/>
      <c r="D541" s="129"/>
      <c r="E541" s="129"/>
      <c r="F541" s="129"/>
      <c r="G541" s="129"/>
      <c r="H541" s="110"/>
      <c r="I541" s="129"/>
      <c r="J541" t="s">
        <v>351</v>
      </c>
      <c r="K541" s="129"/>
      <c r="L541" s="129"/>
      <c r="M541" s="129"/>
      <c r="N541" s="129"/>
      <c r="O541" s="129"/>
      <c r="P541" s="129"/>
      <c r="Q541" s="129"/>
      <c r="R541" s="129"/>
      <c r="S541" s="141"/>
      <c r="T541" s="139"/>
      <c r="U541" s="129"/>
      <c r="V541" s="129"/>
      <c r="W541" s="129"/>
      <c r="X541" s="129"/>
      <c r="Y541" s="129"/>
      <c r="Z541" s="115"/>
      <c r="AA541" s="129"/>
      <c r="AB541" s="149"/>
      <c r="AC541" s="129"/>
      <c r="AD541" s="129"/>
      <c r="AE541" s="129"/>
    </row>
    <row r="542" spans="3:31" x14ac:dyDescent="0.35">
      <c r="C542" s="129"/>
      <c r="D542" s="129"/>
      <c r="E542" s="129"/>
      <c r="F542" s="129"/>
      <c r="G542" s="129"/>
      <c r="H542" s="110"/>
      <c r="I542" s="129"/>
      <c r="J542" t="s">
        <v>351</v>
      </c>
      <c r="K542" s="129"/>
      <c r="L542" s="129"/>
      <c r="M542" s="129"/>
      <c r="N542" s="129"/>
      <c r="O542" s="129"/>
      <c r="P542" s="129"/>
      <c r="Q542" s="129"/>
      <c r="R542" s="129"/>
      <c r="S542" s="141"/>
      <c r="T542" s="139"/>
      <c r="U542" s="129"/>
      <c r="V542" s="129"/>
      <c r="W542" s="129"/>
      <c r="X542" s="129"/>
      <c r="Y542" s="129"/>
      <c r="Z542" s="115"/>
      <c r="AA542" s="129"/>
      <c r="AB542" s="149"/>
      <c r="AC542" s="129"/>
      <c r="AD542" s="129"/>
      <c r="AE542" s="129"/>
    </row>
    <row r="543" spans="3:31" x14ac:dyDescent="0.35">
      <c r="C543" s="129"/>
      <c r="D543" s="129"/>
      <c r="E543" s="129"/>
      <c r="F543" s="129"/>
      <c r="G543" s="129"/>
      <c r="H543" s="110"/>
      <c r="I543" s="129"/>
      <c r="J543" t="s">
        <v>351</v>
      </c>
      <c r="K543" s="129"/>
      <c r="L543" s="129"/>
      <c r="M543" s="129"/>
      <c r="N543" s="129"/>
      <c r="O543" s="129"/>
      <c r="P543" s="129"/>
      <c r="Q543" s="129"/>
      <c r="R543" s="129"/>
      <c r="S543" s="141"/>
      <c r="T543" s="139"/>
      <c r="U543" s="129"/>
      <c r="V543" s="129"/>
      <c r="W543" s="129"/>
      <c r="X543" s="129"/>
      <c r="Y543" s="129"/>
      <c r="Z543" s="115"/>
      <c r="AA543" s="129"/>
      <c r="AB543" s="149"/>
      <c r="AC543" s="129"/>
      <c r="AD543" s="129"/>
      <c r="AE543" s="129"/>
    </row>
    <row r="544" spans="3:31" x14ac:dyDescent="0.35">
      <c r="C544" s="129"/>
      <c r="D544" s="129"/>
      <c r="E544" s="129"/>
      <c r="F544" s="129"/>
      <c r="G544" s="129"/>
      <c r="H544" s="110"/>
      <c r="I544" s="129"/>
      <c r="J544" t="s">
        <v>351</v>
      </c>
      <c r="K544" s="129"/>
      <c r="L544" s="129"/>
      <c r="M544" s="129"/>
      <c r="N544" s="129"/>
      <c r="O544" s="129"/>
      <c r="P544" s="129"/>
      <c r="Q544" s="129"/>
      <c r="R544" s="129"/>
      <c r="S544" s="141"/>
      <c r="T544" s="139"/>
      <c r="U544" s="129"/>
      <c r="V544" s="129"/>
      <c r="W544" s="129"/>
      <c r="X544" s="129"/>
      <c r="Y544" s="129"/>
      <c r="Z544" s="115"/>
      <c r="AA544" s="129"/>
      <c r="AB544" s="149"/>
      <c r="AC544" s="129"/>
      <c r="AD544" s="129"/>
      <c r="AE544" s="129"/>
    </row>
    <row r="545" spans="3:31" x14ac:dyDescent="0.35">
      <c r="C545" s="129"/>
      <c r="D545" s="129"/>
      <c r="E545" s="129"/>
      <c r="F545" s="129"/>
      <c r="G545" s="129"/>
      <c r="H545" s="110"/>
      <c r="I545" s="129"/>
      <c r="J545" t="s">
        <v>351</v>
      </c>
      <c r="K545" s="129"/>
      <c r="L545" s="129"/>
      <c r="M545" s="129"/>
      <c r="N545" s="129"/>
      <c r="O545" s="129"/>
      <c r="P545" s="129"/>
      <c r="Q545" s="129"/>
      <c r="R545" s="129"/>
      <c r="S545" s="141"/>
      <c r="T545" s="139"/>
      <c r="U545" s="129"/>
      <c r="V545" s="129"/>
      <c r="W545" s="129"/>
      <c r="X545" s="129"/>
      <c r="Y545" s="129"/>
      <c r="Z545" s="115"/>
      <c r="AA545" s="129"/>
      <c r="AB545" s="149"/>
      <c r="AC545" s="129"/>
      <c r="AD545" s="129"/>
      <c r="AE545" s="129"/>
    </row>
    <row r="546" spans="3:31" x14ac:dyDescent="0.35">
      <c r="C546" s="129"/>
      <c r="D546" s="129"/>
      <c r="E546" s="129"/>
      <c r="F546" s="129"/>
      <c r="G546" s="129"/>
      <c r="H546" s="110"/>
      <c r="I546" s="129"/>
      <c r="J546" t="s">
        <v>351</v>
      </c>
      <c r="K546" s="129"/>
      <c r="L546" s="129"/>
      <c r="M546" s="129"/>
      <c r="N546" s="129"/>
      <c r="O546" s="129"/>
      <c r="P546" s="129"/>
      <c r="Q546" s="129"/>
      <c r="R546" s="129"/>
      <c r="S546" s="141"/>
      <c r="T546" s="139"/>
      <c r="U546" s="129"/>
      <c r="V546" s="129"/>
      <c r="W546" s="129"/>
      <c r="X546" s="129"/>
      <c r="Y546" s="129"/>
      <c r="Z546" s="115"/>
      <c r="AA546" s="129"/>
      <c r="AB546" s="149"/>
      <c r="AC546" s="129"/>
      <c r="AD546" s="129"/>
      <c r="AE546" s="129"/>
    </row>
    <row r="547" spans="3:31" x14ac:dyDescent="0.35">
      <c r="C547" s="129"/>
      <c r="D547" s="129"/>
      <c r="E547" s="129"/>
      <c r="F547" s="129"/>
      <c r="G547" s="129"/>
      <c r="H547" s="110"/>
      <c r="I547" s="129"/>
      <c r="J547" t="s">
        <v>351</v>
      </c>
      <c r="K547" s="129"/>
      <c r="L547" s="129"/>
      <c r="M547" s="129"/>
      <c r="N547" s="129"/>
      <c r="O547" s="129"/>
      <c r="P547" s="129"/>
      <c r="Q547" s="129"/>
      <c r="R547" s="129"/>
      <c r="S547" s="141"/>
      <c r="T547" s="139"/>
      <c r="U547" s="129"/>
      <c r="V547" s="129"/>
      <c r="W547" s="129"/>
      <c r="X547" s="129"/>
      <c r="Y547" s="129"/>
      <c r="Z547" s="115"/>
      <c r="AA547" s="129"/>
      <c r="AB547" s="149"/>
      <c r="AC547" s="129"/>
      <c r="AD547" s="129"/>
      <c r="AE547" s="129"/>
    </row>
    <row r="548" spans="3:31" x14ac:dyDescent="0.35">
      <c r="C548" s="129"/>
      <c r="D548" s="129"/>
      <c r="E548" s="129"/>
      <c r="F548" s="129"/>
      <c r="G548" s="129"/>
      <c r="H548" s="110"/>
      <c r="I548" s="129"/>
      <c r="J548" t="s">
        <v>351</v>
      </c>
      <c r="K548" s="129"/>
      <c r="L548" s="129"/>
      <c r="M548" s="129"/>
      <c r="N548" s="129"/>
      <c r="O548" s="129"/>
      <c r="P548" s="129"/>
      <c r="Q548" s="129"/>
      <c r="R548" s="129"/>
      <c r="S548" s="141"/>
      <c r="T548" s="139"/>
      <c r="U548" s="129"/>
      <c r="V548" s="129"/>
      <c r="W548" s="129"/>
      <c r="X548" s="129"/>
      <c r="Y548" s="129"/>
      <c r="Z548" s="115"/>
      <c r="AA548" s="129"/>
      <c r="AB548" s="149"/>
      <c r="AC548" s="129"/>
      <c r="AD548" s="129"/>
      <c r="AE548" s="129"/>
    </row>
    <row r="549" spans="3:31" x14ac:dyDescent="0.35">
      <c r="C549" s="129"/>
      <c r="D549" s="129"/>
      <c r="E549" s="129"/>
      <c r="F549" s="129"/>
      <c r="G549" s="129"/>
      <c r="H549" s="110"/>
      <c r="I549" s="129"/>
      <c r="J549" t="s">
        <v>351</v>
      </c>
      <c r="K549" s="129"/>
      <c r="L549" s="129"/>
      <c r="M549" s="129"/>
      <c r="N549" s="129"/>
      <c r="O549" s="129"/>
      <c r="P549" s="129"/>
      <c r="Q549" s="129"/>
      <c r="R549" s="129"/>
      <c r="S549" s="141"/>
      <c r="T549" s="139"/>
      <c r="U549" s="129"/>
      <c r="V549" s="129"/>
      <c r="W549" s="129"/>
      <c r="X549" s="129"/>
      <c r="Y549" s="129"/>
      <c r="Z549" s="115"/>
      <c r="AA549" s="129"/>
      <c r="AB549" s="149"/>
      <c r="AC549" s="129"/>
      <c r="AD549" s="129"/>
      <c r="AE549" s="129"/>
    </row>
    <row r="550" spans="3:31" x14ac:dyDescent="0.35">
      <c r="C550" s="129"/>
      <c r="D550" s="129"/>
      <c r="E550" s="129"/>
      <c r="F550" s="129"/>
      <c r="G550" s="129"/>
      <c r="H550" s="110"/>
      <c r="I550" s="129"/>
      <c r="J550" t="s">
        <v>351</v>
      </c>
      <c r="K550" s="129"/>
      <c r="L550" s="129"/>
      <c r="M550" s="129"/>
      <c r="N550" s="129"/>
      <c r="O550" s="129"/>
      <c r="P550" s="129"/>
      <c r="Q550" s="129"/>
      <c r="R550" s="129"/>
      <c r="S550" s="141"/>
      <c r="T550" s="139"/>
      <c r="U550" s="129"/>
      <c r="V550" s="129"/>
      <c r="W550" s="129"/>
      <c r="X550" s="129"/>
      <c r="Y550" s="129"/>
      <c r="Z550" s="115"/>
      <c r="AA550" s="129"/>
      <c r="AB550" s="149"/>
      <c r="AC550" s="129"/>
      <c r="AD550" s="129"/>
      <c r="AE550" s="129"/>
    </row>
    <row r="551" spans="3:31" x14ac:dyDescent="0.35">
      <c r="C551" s="129"/>
      <c r="D551" s="129"/>
      <c r="E551" s="129"/>
      <c r="F551" s="129"/>
      <c r="G551" s="129"/>
      <c r="H551" s="110"/>
      <c r="I551" s="129"/>
      <c r="J551" t="s">
        <v>351</v>
      </c>
      <c r="K551" s="129"/>
      <c r="L551" s="129"/>
      <c r="M551" s="129"/>
      <c r="N551" s="129"/>
      <c r="O551" s="129"/>
      <c r="P551" s="129"/>
      <c r="Q551" s="129"/>
      <c r="R551" s="129"/>
      <c r="S551" s="141"/>
      <c r="T551" s="139"/>
      <c r="U551" s="129"/>
      <c r="V551" s="129"/>
      <c r="W551" s="129"/>
      <c r="X551" s="129"/>
      <c r="Y551" s="129"/>
      <c r="Z551" s="115"/>
      <c r="AA551" s="129"/>
      <c r="AB551" s="149"/>
      <c r="AC551" s="129"/>
      <c r="AD551" s="129"/>
      <c r="AE551" s="129"/>
    </row>
    <row r="552" spans="3:31" x14ac:dyDescent="0.35">
      <c r="C552" s="129"/>
      <c r="D552" s="129"/>
      <c r="E552" s="129"/>
      <c r="F552" s="129"/>
      <c r="G552" s="129"/>
      <c r="H552" s="110"/>
      <c r="I552" s="129"/>
      <c r="J552" t="s">
        <v>351</v>
      </c>
      <c r="K552" s="129"/>
      <c r="L552" s="129"/>
      <c r="M552" s="129"/>
      <c r="N552" s="129"/>
      <c r="O552" s="129"/>
      <c r="P552" s="129"/>
      <c r="Q552" s="129"/>
      <c r="R552" s="129"/>
      <c r="S552" s="141"/>
      <c r="T552" s="139"/>
      <c r="U552" s="129"/>
      <c r="V552" s="129"/>
      <c r="W552" s="129"/>
      <c r="X552" s="129"/>
      <c r="Y552" s="129"/>
      <c r="Z552" s="115"/>
      <c r="AA552" s="129"/>
      <c r="AB552" s="149"/>
      <c r="AC552" s="129"/>
      <c r="AD552" s="129"/>
      <c r="AE552" s="129"/>
    </row>
    <row r="553" spans="3:31" x14ac:dyDescent="0.35">
      <c r="C553" s="129"/>
      <c r="D553" s="129"/>
      <c r="E553" s="129"/>
      <c r="F553" s="129"/>
      <c r="G553" s="129"/>
      <c r="H553" s="110"/>
      <c r="I553" s="129"/>
      <c r="J553" t="s">
        <v>351</v>
      </c>
      <c r="K553" s="129"/>
      <c r="L553" s="129"/>
      <c r="M553" s="129"/>
      <c r="N553" s="129"/>
      <c r="O553" s="129"/>
      <c r="P553" s="129"/>
      <c r="Q553" s="129"/>
      <c r="R553" s="129"/>
      <c r="S553" s="141"/>
      <c r="T553" s="139"/>
      <c r="U553" s="129"/>
      <c r="V553" s="129"/>
      <c r="W553" s="129"/>
      <c r="X553" s="129"/>
      <c r="Y553" s="129"/>
      <c r="Z553" s="115"/>
      <c r="AA553" s="129"/>
      <c r="AB553" s="149"/>
      <c r="AC553" s="129"/>
      <c r="AD553" s="129"/>
      <c r="AE553" s="129"/>
    </row>
    <row r="554" spans="3:31" x14ac:dyDescent="0.35">
      <c r="C554" s="129"/>
      <c r="D554" s="129"/>
      <c r="E554" s="129"/>
      <c r="F554" s="129"/>
      <c r="G554" s="129"/>
      <c r="H554" s="110"/>
      <c r="I554" s="129"/>
      <c r="J554" t="s">
        <v>351</v>
      </c>
      <c r="K554" s="129"/>
      <c r="L554" s="129"/>
      <c r="M554" s="129"/>
      <c r="N554" s="129"/>
      <c r="O554" s="129"/>
      <c r="P554" s="129"/>
      <c r="Q554" s="129"/>
      <c r="R554" s="129"/>
      <c r="S554" s="141"/>
      <c r="T554" s="139"/>
      <c r="U554" s="129"/>
      <c r="V554" s="129"/>
      <c r="W554" s="129"/>
      <c r="X554" s="129"/>
      <c r="Y554" s="129"/>
      <c r="Z554" s="115"/>
      <c r="AA554" s="129"/>
      <c r="AB554" s="149"/>
      <c r="AC554" s="129"/>
      <c r="AD554" s="129"/>
      <c r="AE554" s="129"/>
    </row>
    <row r="555" spans="3:31" x14ac:dyDescent="0.35">
      <c r="C555" s="129"/>
      <c r="D555" s="129"/>
      <c r="E555" s="129"/>
      <c r="F555" s="129"/>
      <c r="G555" s="129"/>
      <c r="H555" s="110"/>
      <c r="I555" s="129"/>
      <c r="J555" t="s">
        <v>351</v>
      </c>
      <c r="K555" s="129"/>
      <c r="L555" s="129"/>
      <c r="M555" s="129"/>
      <c r="N555" s="129"/>
      <c r="O555" s="129"/>
      <c r="P555" s="129"/>
      <c r="Q555" s="129"/>
      <c r="R555" s="129"/>
      <c r="S555" s="141"/>
      <c r="T555" s="139"/>
      <c r="U555" s="129"/>
      <c r="V555" s="129"/>
      <c r="W555" s="129"/>
      <c r="X555" s="129"/>
      <c r="Y555" s="129"/>
      <c r="Z555" s="115"/>
      <c r="AA555" s="129"/>
      <c r="AB555" s="149"/>
      <c r="AC555" s="129"/>
      <c r="AD555" s="129"/>
      <c r="AE555" s="129"/>
    </row>
    <row r="556" spans="3:31" x14ac:dyDescent="0.35">
      <c r="C556" s="129"/>
      <c r="D556" s="129"/>
      <c r="E556" s="129"/>
      <c r="F556" s="129"/>
      <c r="G556" s="129"/>
      <c r="H556" s="110"/>
      <c r="I556" s="129"/>
      <c r="J556" t="s">
        <v>351</v>
      </c>
      <c r="K556" s="129"/>
      <c r="L556" s="129"/>
      <c r="M556" s="129"/>
      <c r="N556" s="129"/>
      <c r="O556" s="129"/>
      <c r="P556" s="129"/>
      <c r="Q556" s="129"/>
      <c r="R556" s="129"/>
      <c r="S556" s="141"/>
      <c r="T556" s="139"/>
      <c r="U556" s="129"/>
      <c r="V556" s="129"/>
      <c r="W556" s="129"/>
      <c r="X556" s="129"/>
      <c r="Y556" s="129"/>
      <c r="Z556" s="115"/>
      <c r="AA556" s="129"/>
      <c r="AB556" s="149"/>
      <c r="AC556" s="129"/>
      <c r="AD556" s="129"/>
      <c r="AE556" s="129"/>
    </row>
    <row r="557" spans="3:31" x14ac:dyDescent="0.35">
      <c r="C557" s="129"/>
      <c r="D557" s="129"/>
      <c r="E557" s="129"/>
      <c r="F557" s="129"/>
      <c r="G557" s="129"/>
      <c r="H557" s="110"/>
      <c r="I557" s="129"/>
      <c r="J557" t="s">
        <v>351</v>
      </c>
      <c r="K557" s="129"/>
      <c r="L557" s="129"/>
      <c r="M557" s="129"/>
      <c r="N557" s="129"/>
      <c r="O557" s="129"/>
      <c r="P557" s="129"/>
      <c r="Q557" s="129"/>
      <c r="R557" s="129"/>
      <c r="S557" s="141"/>
      <c r="T557" s="139"/>
      <c r="U557" s="129"/>
      <c r="V557" s="129"/>
      <c r="W557" s="129"/>
      <c r="X557" s="129"/>
      <c r="Y557" s="129"/>
      <c r="Z557" s="115"/>
      <c r="AA557" s="129"/>
      <c r="AB557" s="149"/>
      <c r="AC557" s="129"/>
      <c r="AD557" s="129"/>
      <c r="AE557" s="129"/>
    </row>
    <row r="558" spans="3:31" x14ac:dyDescent="0.35">
      <c r="C558" s="129"/>
      <c r="D558" s="129"/>
      <c r="E558" s="129"/>
      <c r="F558" s="129"/>
      <c r="G558" s="129"/>
      <c r="H558" s="110"/>
      <c r="I558" s="129"/>
      <c r="J558" t="s">
        <v>351</v>
      </c>
      <c r="K558" s="129"/>
      <c r="L558" s="129"/>
      <c r="M558" s="129"/>
      <c r="N558" s="129"/>
      <c r="O558" s="129"/>
      <c r="P558" s="129"/>
      <c r="Q558" s="129"/>
      <c r="R558" s="129"/>
      <c r="S558" s="141"/>
      <c r="T558" s="139"/>
      <c r="U558" s="129"/>
      <c r="V558" s="129"/>
      <c r="W558" s="129"/>
      <c r="X558" s="129"/>
      <c r="Y558" s="129"/>
      <c r="Z558" s="115"/>
      <c r="AA558" s="129"/>
      <c r="AB558" s="149"/>
      <c r="AC558" s="129"/>
      <c r="AD558" s="129"/>
      <c r="AE558" s="129"/>
    </row>
    <row r="559" spans="3:31" x14ac:dyDescent="0.35">
      <c r="C559" s="129"/>
      <c r="D559" s="129"/>
      <c r="E559" s="129"/>
      <c r="F559" s="129"/>
      <c r="G559" s="129"/>
      <c r="H559" s="110"/>
      <c r="I559" s="129"/>
      <c r="J559" t="s">
        <v>351</v>
      </c>
      <c r="K559" s="129"/>
      <c r="L559" s="129"/>
      <c r="M559" s="129"/>
      <c r="N559" s="129"/>
      <c r="O559" s="129"/>
      <c r="P559" s="129"/>
      <c r="Q559" s="129"/>
      <c r="R559" s="129"/>
      <c r="S559" s="141"/>
      <c r="T559" s="139"/>
      <c r="U559" s="129"/>
      <c r="V559" s="129"/>
      <c r="W559" s="129"/>
      <c r="X559" s="129"/>
      <c r="Y559" s="129"/>
      <c r="Z559" s="115"/>
      <c r="AA559" s="129"/>
      <c r="AB559" s="149"/>
      <c r="AC559" s="129"/>
      <c r="AD559" s="129"/>
      <c r="AE559" s="129"/>
    </row>
    <row r="560" spans="3:31" x14ac:dyDescent="0.35">
      <c r="C560" s="129"/>
      <c r="D560" s="129"/>
      <c r="E560" s="129"/>
      <c r="F560" s="129"/>
      <c r="G560" s="129"/>
      <c r="H560" s="110"/>
      <c r="I560" s="129"/>
      <c r="J560" t="s">
        <v>351</v>
      </c>
      <c r="K560" s="129"/>
      <c r="L560" s="129"/>
      <c r="M560" s="129"/>
      <c r="N560" s="129"/>
      <c r="O560" s="129"/>
      <c r="P560" s="129"/>
      <c r="Q560" s="129"/>
      <c r="R560" s="129"/>
      <c r="S560" s="141"/>
      <c r="T560" s="139"/>
      <c r="U560" s="129"/>
      <c r="V560" s="129"/>
      <c r="W560" s="129"/>
      <c r="X560" s="129"/>
      <c r="Y560" s="129"/>
      <c r="Z560" s="115"/>
      <c r="AA560" s="129"/>
      <c r="AB560" s="149"/>
      <c r="AC560" s="129"/>
      <c r="AD560" s="129"/>
      <c r="AE560" s="129"/>
    </row>
    <row r="561" spans="3:31" x14ac:dyDescent="0.35">
      <c r="C561" s="129"/>
      <c r="D561" s="129"/>
      <c r="E561" s="129"/>
      <c r="F561" s="129"/>
      <c r="G561" s="129"/>
      <c r="H561" s="110"/>
      <c r="I561" s="129"/>
      <c r="J561" t="s">
        <v>351</v>
      </c>
      <c r="K561" s="129"/>
      <c r="L561" s="129"/>
      <c r="M561" s="129"/>
      <c r="N561" s="129"/>
      <c r="O561" s="129"/>
      <c r="P561" s="129"/>
      <c r="Q561" s="129"/>
      <c r="R561" s="129"/>
      <c r="S561" s="141"/>
      <c r="T561" s="139"/>
      <c r="U561" s="129"/>
      <c r="V561" s="129"/>
      <c r="W561" s="129"/>
      <c r="X561" s="129"/>
      <c r="Y561" s="129"/>
      <c r="Z561" s="115"/>
      <c r="AA561" s="129"/>
      <c r="AB561" s="149"/>
      <c r="AC561" s="129"/>
      <c r="AD561" s="129"/>
      <c r="AE561" s="129"/>
    </row>
    <row r="562" spans="3:31" x14ac:dyDescent="0.35">
      <c r="C562" s="129"/>
      <c r="D562" s="129"/>
      <c r="E562" s="129"/>
      <c r="F562" s="129"/>
      <c r="G562" s="129"/>
      <c r="H562" s="110"/>
      <c r="I562" s="129"/>
      <c r="J562" t="s">
        <v>351</v>
      </c>
      <c r="K562" s="129"/>
      <c r="L562" s="129"/>
      <c r="M562" s="129"/>
      <c r="N562" s="129"/>
      <c r="O562" s="129"/>
      <c r="P562" s="129"/>
      <c r="Q562" s="129"/>
      <c r="R562" s="129"/>
      <c r="S562" s="141"/>
      <c r="T562" s="139"/>
      <c r="U562" s="129"/>
      <c r="V562" s="129"/>
      <c r="W562" s="129"/>
      <c r="X562" s="129"/>
      <c r="Y562" s="129"/>
      <c r="Z562" s="115"/>
      <c r="AA562" s="129"/>
      <c r="AB562" s="149"/>
      <c r="AC562" s="129"/>
      <c r="AD562" s="129"/>
      <c r="AE562" s="129"/>
    </row>
    <row r="563" spans="3:31" x14ac:dyDescent="0.35">
      <c r="C563" s="129"/>
      <c r="D563" s="129"/>
      <c r="E563" s="129"/>
      <c r="F563" s="129"/>
      <c r="G563" s="129"/>
      <c r="H563" s="110"/>
      <c r="I563" s="129"/>
      <c r="J563" t="s">
        <v>351</v>
      </c>
      <c r="K563" s="129"/>
      <c r="L563" s="129"/>
      <c r="M563" s="129"/>
      <c r="N563" s="129"/>
      <c r="O563" s="129"/>
      <c r="P563" s="129"/>
      <c r="Q563" s="129"/>
      <c r="R563" s="129"/>
      <c r="S563" s="141"/>
      <c r="T563" s="139"/>
      <c r="U563" s="129"/>
      <c r="V563" s="129"/>
      <c r="W563" s="129"/>
      <c r="X563" s="129"/>
      <c r="Y563" s="129"/>
      <c r="Z563" s="115"/>
      <c r="AA563" s="129"/>
      <c r="AB563" s="149"/>
      <c r="AC563" s="129"/>
      <c r="AD563" s="129"/>
      <c r="AE563" s="129"/>
    </row>
    <row r="564" spans="3:31" x14ac:dyDescent="0.35">
      <c r="C564" s="129"/>
      <c r="D564" s="129"/>
      <c r="E564" s="129"/>
      <c r="F564" s="129"/>
      <c r="G564" s="129"/>
      <c r="H564" s="110"/>
      <c r="I564" s="129"/>
      <c r="J564" t="s">
        <v>351</v>
      </c>
      <c r="K564" s="129"/>
      <c r="L564" s="129"/>
      <c r="M564" s="129"/>
      <c r="N564" s="129"/>
      <c r="O564" s="129"/>
      <c r="P564" s="129"/>
      <c r="Q564" s="129"/>
      <c r="R564" s="129"/>
      <c r="S564" s="141"/>
      <c r="T564" s="139"/>
      <c r="U564" s="129"/>
      <c r="V564" s="129"/>
      <c r="W564" s="129"/>
      <c r="X564" s="129"/>
      <c r="Y564" s="129"/>
      <c r="Z564" s="115"/>
      <c r="AA564" s="129"/>
      <c r="AB564" s="149"/>
      <c r="AC564" s="129"/>
      <c r="AD564" s="129"/>
      <c r="AE564" s="129"/>
    </row>
    <row r="565" spans="3:31" x14ac:dyDescent="0.35">
      <c r="C565" s="129"/>
      <c r="D565" s="129"/>
      <c r="E565" s="129"/>
      <c r="F565" s="129"/>
      <c r="G565" s="129"/>
      <c r="H565" s="110"/>
      <c r="I565" s="129"/>
      <c r="J565" t="s">
        <v>351</v>
      </c>
      <c r="K565" s="129"/>
      <c r="L565" s="129"/>
      <c r="M565" s="129"/>
      <c r="N565" s="129"/>
      <c r="O565" s="129"/>
      <c r="P565" s="129"/>
      <c r="Q565" s="129"/>
      <c r="R565" s="129"/>
      <c r="S565" s="141"/>
      <c r="T565" s="139"/>
      <c r="U565" s="129"/>
      <c r="V565" s="129"/>
      <c r="W565" s="129"/>
      <c r="X565" s="129"/>
      <c r="Y565" s="129"/>
      <c r="Z565" s="115"/>
      <c r="AA565" s="129"/>
      <c r="AB565" s="149"/>
      <c r="AC565" s="129"/>
      <c r="AD565" s="129"/>
      <c r="AE565" s="129"/>
    </row>
    <row r="566" spans="3:31" x14ac:dyDescent="0.35">
      <c r="C566" s="129"/>
      <c r="D566" s="129"/>
      <c r="E566" s="129"/>
      <c r="F566" s="129"/>
      <c r="G566" s="129"/>
      <c r="H566" s="110"/>
      <c r="I566" s="129"/>
      <c r="J566" t="s">
        <v>351</v>
      </c>
      <c r="K566" s="129"/>
      <c r="L566" s="129"/>
      <c r="M566" s="129"/>
      <c r="N566" s="129"/>
      <c r="O566" s="129"/>
      <c r="P566" s="129"/>
      <c r="Q566" s="129"/>
      <c r="R566" s="129"/>
      <c r="S566" s="141"/>
      <c r="T566" s="139"/>
      <c r="U566" s="129"/>
      <c r="V566" s="129"/>
      <c r="W566" s="129"/>
      <c r="X566" s="129"/>
      <c r="Y566" s="129"/>
      <c r="Z566" s="115"/>
      <c r="AA566" s="129"/>
      <c r="AB566" s="149"/>
      <c r="AC566" s="129"/>
      <c r="AD566" s="129"/>
      <c r="AE566" s="129"/>
    </row>
    <row r="567" spans="3:31" x14ac:dyDescent="0.35">
      <c r="C567" s="129"/>
      <c r="D567" s="129"/>
      <c r="E567" s="129"/>
      <c r="F567" s="129"/>
      <c r="G567" s="129"/>
      <c r="H567" s="110"/>
      <c r="I567" s="129"/>
      <c r="J567" t="s">
        <v>351</v>
      </c>
      <c r="K567" s="129"/>
      <c r="L567" s="129"/>
      <c r="M567" s="129"/>
      <c r="N567" s="129"/>
      <c r="O567" s="129"/>
      <c r="P567" s="129"/>
      <c r="Q567" s="129"/>
      <c r="R567" s="129"/>
      <c r="S567" s="141"/>
      <c r="T567" s="139"/>
      <c r="U567" s="129"/>
      <c r="V567" s="129"/>
      <c r="W567" s="129"/>
      <c r="X567" s="129"/>
      <c r="Y567" s="129"/>
      <c r="Z567" s="115"/>
      <c r="AA567" s="129"/>
      <c r="AB567" s="149"/>
      <c r="AC567" s="129"/>
      <c r="AD567" s="129"/>
      <c r="AE567" s="129"/>
    </row>
    <row r="568" spans="3:31" x14ac:dyDescent="0.35">
      <c r="C568" s="129"/>
      <c r="D568" s="129"/>
      <c r="E568" s="129"/>
      <c r="F568" s="129"/>
      <c r="G568" s="129"/>
      <c r="H568" s="110"/>
      <c r="I568" s="129"/>
      <c r="J568" t="s">
        <v>351</v>
      </c>
      <c r="K568" s="129"/>
      <c r="L568" s="129"/>
      <c r="M568" s="129"/>
      <c r="N568" s="129"/>
      <c r="O568" s="129"/>
      <c r="P568" s="129"/>
      <c r="Q568" s="129"/>
      <c r="R568" s="129"/>
      <c r="S568" s="141"/>
      <c r="T568" s="139"/>
      <c r="U568" s="129"/>
      <c r="V568" s="129"/>
      <c r="W568" s="129"/>
      <c r="X568" s="129"/>
      <c r="Y568" s="129"/>
      <c r="Z568" s="115"/>
      <c r="AA568" s="129"/>
      <c r="AB568" s="149"/>
      <c r="AC568" s="129"/>
      <c r="AD568" s="129"/>
      <c r="AE568" s="129"/>
    </row>
    <row r="569" spans="3:31" x14ac:dyDescent="0.35">
      <c r="C569" s="129"/>
      <c r="D569" s="129"/>
      <c r="E569" s="129"/>
      <c r="F569" s="129"/>
      <c r="G569" s="129"/>
      <c r="H569" s="110"/>
      <c r="I569" s="129"/>
      <c r="J569" t="s">
        <v>351</v>
      </c>
      <c r="K569" s="129"/>
      <c r="L569" s="129"/>
      <c r="M569" s="129"/>
      <c r="N569" s="129"/>
      <c r="O569" s="129"/>
      <c r="P569" s="129"/>
      <c r="Q569" s="129"/>
      <c r="R569" s="129"/>
      <c r="S569" s="141"/>
      <c r="T569" s="139"/>
      <c r="U569" s="129"/>
      <c r="V569" s="129"/>
      <c r="W569" s="129"/>
      <c r="X569" s="129"/>
      <c r="Y569" s="129"/>
      <c r="Z569" s="115"/>
      <c r="AA569" s="129"/>
      <c r="AB569" s="149"/>
      <c r="AC569" s="129"/>
      <c r="AD569" s="129"/>
      <c r="AE569" s="129"/>
    </row>
    <row r="570" spans="3:31" x14ac:dyDescent="0.35">
      <c r="C570" s="129"/>
      <c r="D570" s="129"/>
      <c r="E570" s="129"/>
      <c r="F570" s="129"/>
      <c r="G570" s="129"/>
      <c r="H570" s="110"/>
      <c r="I570" s="129"/>
      <c r="J570" t="s">
        <v>351</v>
      </c>
      <c r="K570" s="129"/>
      <c r="L570" s="129"/>
      <c r="M570" s="129"/>
      <c r="N570" s="129"/>
      <c r="O570" s="129"/>
      <c r="P570" s="129"/>
      <c r="Q570" s="129"/>
      <c r="R570" s="129"/>
      <c r="S570" s="141"/>
      <c r="T570" s="139"/>
      <c r="U570" s="129"/>
      <c r="V570" s="129"/>
      <c r="W570" s="129"/>
      <c r="X570" s="129"/>
      <c r="Y570" s="129"/>
      <c r="Z570" s="115"/>
      <c r="AA570" s="129"/>
      <c r="AB570" s="149"/>
      <c r="AC570" s="129"/>
      <c r="AD570" s="129"/>
      <c r="AE570" s="129"/>
    </row>
    <row r="571" spans="3:31" x14ac:dyDescent="0.35">
      <c r="C571" s="129"/>
      <c r="D571" s="129"/>
      <c r="E571" s="129"/>
      <c r="F571" s="129"/>
      <c r="G571" s="129"/>
      <c r="H571" s="110"/>
      <c r="I571" s="129"/>
      <c r="J571" t="s">
        <v>351</v>
      </c>
      <c r="K571" s="129"/>
      <c r="L571" s="129"/>
      <c r="M571" s="129"/>
      <c r="N571" s="129"/>
      <c r="O571" s="129"/>
      <c r="P571" s="129"/>
      <c r="Q571" s="129"/>
      <c r="R571" s="129"/>
      <c r="S571" s="141"/>
      <c r="T571" s="139"/>
      <c r="U571" s="129"/>
      <c r="V571" s="129"/>
      <c r="W571" s="129"/>
      <c r="X571" s="129"/>
      <c r="Y571" s="129"/>
      <c r="Z571" s="115"/>
      <c r="AA571" s="129"/>
      <c r="AB571" s="149"/>
      <c r="AC571" s="129"/>
      <c r="AD571" s="129"/>
      <c r="AE571" s="129"/>
    </row>
    <row r="572" spans="3:31" x14ac:dyDescent="0.35">
      <c r="C572" s="129"/>
      <c r="D572" s="129"/>
      <c r="E572" s="129"/>
      <c r="F572" s="129"/>
      <c r="G572" s="129"/>
      <c r="H572" s="110"/>
      <c r="I572" s="129"/>
      <c r="J572" t="s">
        <v>351</v>
      </c>
      <c r="K572" s="129"/>
      <c r="L572" s="129"/>
      <c r="M572" s="129"/>
      <c r="N572" s="129"/>
      <c r="O572" s="129"/>
      <c r="P572" s="129"/>
      <c r="Q572" s="129"/>
      <c r="R572" s="129"/>
      <c r="S572" s="141"/>
      <c r="T572" s="139"/>
      <c r="U572" s="129"/>
      <c r="V572" s="129"/>
      <c r="W572" s="129"/>
      <c r="X572" s="129"/>
      <c r="Y572" s="129"/>
      <c r="Z572" s="115"/>
      <c r="AA572" s="129"/>
      <c r="AB572" s="149"/>
      <c r="AC572" s="129"/>
      <c r="AD572" s="129"/>
      <c r="AE572" s="129"/>
    </row>
    <row r="573" spans="3:31" x14ac:dyDescent="0.35">
      <c r="C573" s="129"/>
      <c r="D573" s="129"/>
      <c r="E573" s="129"/>
      <c r="F573" s="129"/>
      <c r="G573" s="129"/>
      <c r="H573" s="110"/>
      <c r="I573" s="129"/>
      <c r="J573" t="s">
        <v>351</v>
      </c>
      <c r="K573" s="129"/>
      <c r="L573" s="129"/>
      <c r="M573" s="129"/>
      <c r="N573" s="129"/>
      <c r="O573" s="129"/>
      <c r="P573" s="129"/>
      <c r="Q573" s="129"/>
      <c r="R573" s="129"/>
      <c r="S573" s="141"/>
      <c r="T573" s="139"/>
      <c r="U573" s="129"/>
      <c r="V573" s="129"/>
      <c r="W573" s="129"/>
      <c r="X573" s="129"/>
      <c r="Y573" s="129"/>
      <c r="Z573" s="115"/>
      <c r="AA573" s="129"/>
      <c r="AB573" s="149"/>
      <c r="AC573" s="129"/>
      <c r="AD573" s="129"/>
      <c r="AE573" s="129"/>
    </row>
    <row r="574" spans="3:31" x14ac:dyDescent="0.35">
      <c r="C574" s="129"/>
      <c r="D574" s="129"/>
      <c r="E574" s="129"/>
      <c r="F574" s="129"/>
      <c r="G574" s="129"/>
      <c r="H574" s="110"/>
      <c r="I574" s="129"/>
      <c r="J574" t="s">
        <v>351</v>
      </c>
      <c r="K574" s="129"/>
      <c r="L574" s="129"/>
      <c r="M574" s="129"/>
      <c r="N574" s="129"/>
      <c r="O574" s="129"/>
      <c r="P574" s="129"/>
      <c r="Q574" s="129"/>
      <c r="R574" s="129"/>
      <c r="S574" s="141"/>
      <c r="T574" s="139"/>
      <c r="U574" s="129"/>
      <c r="V574" s="129"/>
      <c r="W574" s="129"/>
      <c r="X574" s="129"/>
      <c r="Y574" s="129"/>
      <c r="Z574" s="115"/>
      <c r="AA574" s="129"/>
      <c r="AB574" s="149"/>
      <c r="AC574" s="129"/>
      <c r="AD574" s="129"/>
      <c r="AE574" s="129"/>
    </row>
    <row r="575" spans="3:31" x14ac:dyDescent="0.35">
      <c r="C575" s="129"/>
      <c r="D575" s="129"/>
      <c r="E575" s="129"/>
      <c r="F575" s="129"/>
      <c r="G575" s="129"/>
      <c r="H575" s="110"/>
      <c r="I575" s="129"/>
      <c r="J575" t="s">
        <v>351</v>
      </c>
      <c r="K575" s="129"/>
      <c r="L575" s="129"/>
      <c r="M575" s="129"/>
      <c r="N575" s="129"/>
      <c r="O575" s="129"/>
      <c r="P575" s="129"/>
      <c r="Q575" s="129"/>
      <c r="R575" s="129"/>
      <c r="S575" s="141"/>
      <c r="T575" s="139"/>
      <c r="U575" s="129"/>
      <c r="V575" s="129"/>
      <c r="W575" s="129"/>
      <c r="X575" s="129"/>
      <c r="Y575" s="129"/>
      <c r="Z575" s="115"/>
      <c r="AA575" s="129"/>
      <c r="AB575" s="149"/>
      <c r="AC575" s="129"/>
      <c r="AD575" s="129"/>
      <c r="AE575" s="129"/>
    </row>
    <row r="576" spans="3:31" x14ac:dyDescent="0.35">
      <c r="C576" s="129"/>
      <c r="D576" s="129"/>
      <c r="E576" s="129"/>
      <c r="F576" s="129"/>
      <c r="G576" s="129"/>
      <c r="H576" s="110"/>
      <c r="I576" s="129"/>
      <c r="J576" t="s">
        <v>351</v>
      </c>
      <c r="K576" s="129"/>
      <c r="L576" s="129"/>
      <c r="M576" s="129"/>
      <c r="N576" s="129"/>
      <c r="O576" s="129"/>
      <c r="P576" s="129"/>
      <c r="Q576" s="129"/>
      <c r="R576" s="129"/>
      <c r="S576" s="141"/>
      <c r="T576" s="139"/>
      <c r="U576" s="129"/>
      <c r="V576" s="129"/>
      <c r="W576" s="129"/>
      <c r="X576" s="129"/>
      <c r="Y576" s="129"/>
      <c r="Z576" s="115"/>
      <c r="AA576" s="129"/>
      <c r="AB576" s="149"/>
      <c r="AC576" s="129"/>
      <c r="AD576" s="129"/>
      <c r="AE576" s="129"/>
    </row>
    <row r="577" spans="3:31" x14ac:dyDescent="0.35">
      <c r="C577" s="129"/>
      <c r="D577" s="129"/>
      <c r="E577" s="129"/>
      <c r="F577" s="129"/>
      <c r="G577" s="129"/>
      <c r="H577" s="110"/>
      <c r="I577" s="129"/>
      <c r="J577" t="s">
        <v>351</v>
      </c>
      <c r="K577" s="129"/>
      <c r="L577" s="129"/>
      <c r="M577" s="129"/>
      <c r="N577" s="129"/>
      <c r="O577" s="129"/>
      <c r="P577" s="129"/>
      <c r="Q577" s="129"/>
      <c r="R577" s="129"/>
      <c r="S577" s="141"/>
      <c r="T577" s="139"/>
      <c r="U577" s="129"/>
      <c r="V577" s="129"/>
      <c r="W577" s="129"/>
      <c r="X577" s="129"/>
      <c r="Y577" s="129"/>
      <c r="Z577" s="115"/>
      <c r="AA577" s="129"/>
      <c r="AB577" s="149"/>
      <c r="AC577" s="129"/>
      <c r="AD577" s="129"/>
      <c r="AE577" s="129"/>
    </row>
    <row r="578" spans="3:31" x14ac:dyDescent="0.35">
      <c r="C578" s="129"/>
      <c r="D578" s="129"/>
      <c r="E578" s="129"/>
      <c r="F578" s="129"/>
      <c r="G578" s="129"/>
      <c r="H578" s="110"/>
      <c r="I578" s="129"/>
      <c r="J578" t="s">
        <v>351</v>
      </c>
      <c r="K578" s="129"/>
      <c r="L578" s="129"/>
      <c r="M578" s="129"/>
      <c r="N578" s="129"/>
      <c r="O578" s="129"/>
      <c r="P578" s="129"/>
      <c r="Q578" s="129"/>
      <c r="R578" s="129"/>
      <c r="S578" s="141"/>
      <c r="T578" s="139"/>
      <c r="U578" s="129"/>
      <c r="V578" s="129"/>
      <c r="W578" s="129"/>
      <c r="X578" s="129"/>
      <c r="Y578" s="129"/>
      <c r="Z578" s="115"/>
      <c r="AA578" s="129"/>
      <c r="AB578" s="149"/>
      <c r="AC578" s="129"/>
      <c r="AD578" s="129"/>
      <c r="AE578" s="129"/>
    </row>
    <row r="579" spans="3:31" x14ac:dyDescent="0.35">
      <c r="C579" s="129"/>
      <c r="D579" s="129"/>
      <c r="E579" s="129"/>
      <c r="F579" s="129"/>
      <c r="G579" s="129"/>
      <c r="H579" s="110"/>
      <c r="I579" s="129"/>
      <c r="J579" t="s">
        <v>351</v>
      </c>
      <c r="K579" s="129"/>
      <c r="L579" s="129"/>
      <c r="M579" s="129"/>
      <c r="N579" s="129"/>
      <c r="O579" s="129"/>
      <c r="P579" s="129"/>
      <c r="Q579" s="129"/>
      <c r="R579" s="129"/>
      <c r="S579" s="141"/>
      <c r="T579" s="139"/>
      <c r="U579" s="129"/>
      <c r="V579" s="129"/>
      <c r="W579" s="129"/>
      <c r="X579" s="129"/>
      <c r="Y579" s="129"/>
      <c r="Z579" s="115"/>
      <c r="AA579" s="129"/>
      <c r="AB579" s="149"/>
      <c r="AC579" s="129"/>
      <c r="AD579" s="129"/>
      <c r="AE579" s="129"/>
    </row>
    <row r="580" spans="3:31" x14ac:dyDescent="0.35">
      <c r="C580" s="129"/>
      <c r="D580" s="129"/>
      <c r="E580" s="129"/>
      <c r="F580" s="129"/>
      <c r="G580" s="129"/>
      <c r="H580" s="110"/>
      <c r="I580" s="129"/>
      <c r="J580" t="s">
        <v>351</v>
      </c>
      <c r="K580" s="129"/>
      <c r="L580" s="129"/>
      <c r="M580" s="129"/>
      <c r="N580" s="129"/>
      <c r="O580" s="129"/>
      <c r="P580" s="129"/>
      <c r="Q580" s="129"/>
      <c r="R580" s="129"/>
      <c r="S580" s="141"/>
      <c r="T580" s="139"/>
      <c r="U580" s="129"/>
      <c r="V580" s="129"/>
      <c r="W580" s="129"/>
      <c r="X580" s="129"/>
      <c r="Y580" s="129"/>
      <c r="Z580" s="115"/>
      <c r="AA580" s="129"/>
      <c r="AB580" s="149"/>
      <c r="AC580" s="129"/>
      <c r="AD580" s="129"/>
      <c r="AE580" s="129"/>
    </row>
    <row r="581" spans="3:31" x14ac:dyDescent="0.35">
      <c r="C581" s="129"/>
      <c r="D581" s="129"/>
      <c r="E581" s="129"/>
      <c r="F581" s="129"/>
      <c r="G581" s="129"/>
      <c r="H581" s="110"/>
      <c r="I581" s="129"/>
      <c r="J581" t="s">
        <v>351</v>
      </c>
      <c r="K581" s="129"/>
      <c r="L581" s="129"/>
      <c r="M581" s="129"/>
      <c r="N581" s="129"/>
      <c r="O581" s="129"/>
      <c r="P581" s="129"/>
      <c r="Q581" s="129"/>
      <c r="R581" s="129"/>
      <c r="S581" s="141"/>
      <c r="T581" s="139"/>
      <c r="U581" s="129"/>
      <c r="V581" s="129"/>
      <c r="W581" s="129"/>
      <c r="X581" s="129"/>
      <c r="Y581" s="129"/>
      <c r="Z581" s="115"/>
      <c r="AA581" s="129"/>
      <c r="AB581" s="149"/>
      <c r="AC581" s="129"/>
      <c r="AD581" s="129"/>
      <c r="AE581" s="129"/>
    </row>
    <row r="582" spans="3:31" x14ac:dyDescent="0.35">
      <c r="C582" s="129"/>
      <c r="D582" s="129"/>
      <c r="E582" s="129"/>
      <c r="F582" s="129"/>
      <c r="G582" s="129"/>
      <c r="H582" s="110"/>
      <c r="I582" s="129"/>
      <c r="J582" t="s">
        <v>351</v>
      </c>
      <c r="K582" s="129"/>
      <c r="L582" s="129"/>
      <c r="M582" s="129"/>
      <c r="N582" s="129"/>
      <c r="O582" s="129"/>
      <c r="P582" s="129"/>
      <c r="Q582" s="129"/>
      <c r="R582" s="129"/>
      <c r="S582" s="141"/>
      <c r="T582" s="139"/>
      <c r="U582" s="129"/>
      <c r="V582" s="129"/>
      <c r="W582" s="129"/>
      <c r="X582" s="129"/>
      <c r="Y582" s="129"/>
      <c r="Z582" s="115"/>
      <c r="AA582" s="129"/>
      <c r="AB582" s="149"/>
      <c r="AC582" s="129"/>
      <c r="AD582" s="129"/>
      <c r="AE582" s="129"/>
    </row>
    <row r="583" spans="3:31" x14ac:dyDescent="0.35">
      <c r="C583" s="129"/>
      <c r="D583" s="129"/>
      <c r="E583" s="129"/>
      <c r="F583" s="129"/>
      <c r="G583" s="129"/>
      <c r="H583" s="110"/>
      <c r="I583" s="129"/>
      <c r="J583" t="s">
        <v>351</v>
      </c>
      <c r="K583" s="129"/>
      <c r="L583" s="129"/>
      <c r="M583" s="129"/>
      <c r="N583" s="129"/>
      <c r="O583" s="129"/>
      <c r="P583" s="129"/>
      <c r="Q583" s="129"/>
      <c r="R583" s="129"/>
      <c r="S583" s="141"/>
      <c r="T583" s="139"/>
      <c r="U583" s="129"/>
      <c r="V583" s="129"/>
      <c r="W583" s="129"/>
      <c r="X583" s="129"/>
      <c r="Y583" s="129"/>
      <c r="Z583" s="115"/>
      <c r="AA583" s="129"/>
      <c r="AB583" s="149"/>
      <c r="AC583" s="129"/>
      <c r="AD583" s="129"/>
      <c r="AE583" s="129"/>
    </row>
    <row r="584" spans="3:31" x14ac:dyDescent="0.35">
      <c r="C584" s="129"/>
      <c r="D584" s="129"/>
      <c r="E584" s="129"/>
      <c r="F584" s="129"/>
      <c r="G584" s="129"/>
      <c r="H584" s="110"/>
      <c r="I584" s="129"/>
      <c r="J584" t="s">
        <v>351</v>
      </c>
      <c r="K584" s="129"/>
      <c r="L584" s="129"/>
      <c r="M584" s="129"/>
      <c r="N584" s="129"/>
      <c r="O584" s="129"/>
      <c r="P584" s="129"/>
      <c r="Q584" s="129"/>
      <c r="R584" s="129"/>
      <c r="S584" s="141"/>
      <c r="T584" s="139"/>
      <c r="U584" s="129"/>
      <c r="V584" s="129"/>
      <c r="W584" s="129"/>
      <c r="X584" s="129"/>
      <c r="Y584" s="129"/>
      <c r="Z584" s="115"/>
      <c r="AA584" s="129"/>
      <c r="AB584" s="149"/>
      <c r="AC584" s="129"/>
      <c r="AD584" s="129"/>
      <c r="AE584" s="129"/>
    </row>
    <row r="585" spans="3:31" x14ac:dyDescent="0.35">
      <c r="C585" s="129"/>
      <c r="D585" s="129"/>
      <c r="E585" s="129"/>
      <c r="F585" s="129"/>
      <c r="G585" s="129"/>
      <c r="H585" s="110"/>
      <c r="I585" s="129"/>
      <c r="J585" t="s">
        <v>351</v>
      </c>
      <c r="K585" s="129"/>
      <c r="L585" s="129"/>
      <c r="M585" s="129"/>
      <c r="N585" s="129"/>
      <c r="O585" s="129"/>
      <c r="P585" s="129"/>
      <c r="Q585" s="129"/>
      <c r="R585" s="129"/>
      <c r="S585" s="141"/>
      <c r="T585" s="139"/>
      <c r="U585" s="129"/>
      <c r="V585" s="129"/>
      <c r="W585" s="129"/>
      <c r="X585" s="129"/>
      <c r="Y585" s="129"/>
      <c r="Z585" s="115"/>
      <c r="AA585" s="129"/>
      <c r="AB585" s="149"/>
      <c r="AC585" s="129"/>
      <c r="AD585" s="129"/>
      <c r="AE585" s="129"/>
    </row>
    <row r="586" spans="3:31" x14ac:dyDescent="0.35">
      <c r="C586" s="129"/>
      <c r="D586" s="129"/>
      <c r="E586" s="129"/>
      <c r="F586" s="129"/>
      <c r="G586" s="129"/>
      <c r="H586" s="110"/>
      <c r="I586" s="129"/>
      <c r="J586" t="s">
        <v>351</v>
      </c>
      <c r="K586" s="129"/>
      <c r="L586" s="129"/>
      <c r="M586" s="129"/>
      <c r="N586" s="129"/>
      <c r="O586" s="129"/>
      <c r="P586" s="129"/>
      <c r="Q586" s="129"/>
      <c r="R586" s="129"/>
      <c r="S586" s="141"/>
      <c r="T586" s="139"/>
      <c r="U586" s="129"/>
      <c r="V586" s="129"/>
      <c r="W586" s="129"/>
      <c r="X586" s="129"/>
      <c r="Y586" s="129"/>
      <c r="Z586" s="115"/>
      <c r="AA586" s="129"/>
      <c r="AB586" s="149"/>
      <c r="AC586" s="129"/>
      <c r="AD586" s="129"/>
      <c r="AE586" s="129"/>
    </row>
    <row r="587" spans="3:31" x14ac:dyDescent="0.35">
      <c r="C587" s="129"/>
      <c r="D587" s="129"/>
      <c r="E587" s="129"/>
      <c r="F587" s="129"/>
      <c r="G587" s="129"/>
      <c r="H587" s="110"/>
      <c r="I587" s="129"/>
      <c r="J587" t="s">
        <v>351</v>
      </c>
      <c r="K587" s="129"/>
      <c r="L587" s="129"/>
      <c r="M587" s="129"/>
      <c r="N587" s="129"/>
      <c r="O587" s="129"/>
      <c r="P587" s="129"/>
      <c r="Q587" s="129"/>
      <c r="R587" s="129"/>
      <c r="S587" s="141"/>
      <c r="T587" s="139"/>
      <c r="U587" s="129"/>
      <c r="V587" s="129"/>
      <c r="W587" s="129"/>
      <c r="X587" s="129"/>
      <c r="Y587" s="129"/>
      <c r="Z587" s="115"/>
      <c r="AA587" s="129"/>
      <c r="AB587" s="149"/>
      <c r="AC587" s="129"/>
      <c r="AD587" s="129"/>
      <c r="AE587" s="129"/>
    </row>
    <row r="588" spans="3:31" x14ac:dyDescent="0.35">
      <c r="C588" s="129"/>
      <c r="D588" s="129"/>
      <c r="E588" s="129"/>
      <c r="F588" s="129"/>
      <c r="G588" s="129"/>
      <c r="H588" s="110"/>
      <c r="I588" s="129"/>
      <c r="J588" t="s">
        <v>351</v>
      </c>
      <c r="K588" s="129"/>
      <c r="L588" s="129"/>
      <c r="M588" s="129"/>
      <c r="N588" s="129"/>
      <c r="O588" s="129"/>
      <c r="P588" s="129"/>
      <c r="Q588" s="129"/>
      <c r="R588" s="129"/>
      <c r="S588" s="141"/>
      <c r="T588" s="139"/>
      <c r="U588" s="129"/>
      <c r="V588" s="129"/>
      <c r="W588" s="129"/>
      <c r="X588" s="129"/>
      <c r="Y588" s="129"/>
      <c r="Z588" s="115"/>
      <c r="AA588" s="129"/>
      <c r="AB588" s="149"/>
      <c r="AC588" s="129"/>
      <c r="AD588" s="129"/>
      <c r="AE588" s="129"/>
    </row>
    <row r="589" spans="3:31" x14ac:dyDescent="0.35">
      <c r="C589" s="129"/>
      <c r="D589" s="129"/>
      <c r="E589" s="129"/>
      <c r="F589" s="129"/>
      <c r="G589" s="129"/>
      <c r="H589" s="110"/>
      <c r="I589" s="129"/>
      <c r="J589" t="s">
        <v>351</v>
      </c>
      <c r="K589" s="129"/>
      <c r="L589" s="129"/>
      <c r="M589" s="129"/>
      <c r="N589" s="129"/>
      <c r="O589" s="129"/>
      <c r="P589" s="129"/>
      <c r="Q589" s="129"/>
      <c r="R589" s="129"/>
      <c r="S589" s="141"/>
      <c r="T589" s="139"/>
      <c r="U589" s="129"/>
      <c r="V589" s="129"/>
      <c r="W589" s="129"/>
      <c r="X589" s="129"/>
      <c r="Y589" s="129"/>
      <c r="Z589" s="115"/>
      <c r="AA589" s="129"/>
      <c r="AB589" s="149"/>
      <c r="AC589" s="129"/>
      <c r="AD589" s="129"/>
      <c r="AE589" s="129"/>
    </row>
    <row r="590" spans="3:31" x14ac:dyDescent="0.35">
      <c r="C590" s="129"/>
      <c r="D590" s="129"/>
      <c r="E590" s="129"/>
      <c r="F590" s="129"/>
      <c r="G590" s="129"/>
      <c r="H590" s="110"/>
      <c r="I590" s="129"/>
      <c r="J590" t="s">
        <v>351</v>
      </c>
      <c r="K590" s="129"/>
      <c r="L590" s="129"/>
      <c r="M590" s="129"/>
      <c r="N590" s="129"/>
      <c r="O590" s="129"/>
      <c r="P590" s="129"/>
      <c r="Q590" s="129"/>
      <c r="R590" s="129"/>
      <c r="S590" s="141"/>
      <c r="T590" s="139"/>
      <c r="U590" s="129"/>
      <c r="V590" s="129"/>
      <c r="W590" s="129"/>
      <c r="X590" s="129"/>
      <c r="Y590" s="129"/>
      <c r="Z590" s="115"/>
      <c r="AA590" s="129"/>
      <c r="AB590" s="149"/>
      <c r="AC590" s="129"/>
      <c r="AD590" s="129"/>
      <c r="AE590" s="129"/>
    </row>
    <row r="591" spans="3:31" x14ac:dyDescent="0.35">
      <c r="C591" s="129"/>
      <c r="D591" s="129"/>
      <c r="E591" s="129"/>
      <c r="F591" s="129"/>
      <c r="G591" s="129"/>
      <c r="H591" s="110"/>
      <c r="I591" s="129"/>
      <c r="J591" t="s">
        <v>351</v>
      </c>
      <c r="K591" s="129"/>
      <c r="L591" s="129"/>
      <c r="M591" s="129"/>
      <c r="N591" s="129"/>
      <c r="O591" s="129"/>
      <c r="P591" s="129"/>
      <c r="Q591" s="129"/>
      <c r="R591" s="129"/>
      <c r="S591" s="141"/>
      <c r="T591" s="139"/>
      <c r="U591" s="129"/>
      <c r="V591" s="129"/>
      <c r="W591" s="129"/>
      <c r="X591" s="129"/>
      <c r="Y591" s="129"/>
      <c r="Z591" s="115"/>
      <c r="AA591" s="129"/>
      <c r="AB591" s="149"/>
      <c r="AC591" s="129"/>
      <c r="AD591" s="129"/>
      <c r="AE591" s="129"/>
    </row>
    <row r="592" spans="3:31" x14ac:dyDescent="0.35">
      <c r="C592" s="129"/>
      <c r="D592" s="129"/>
      <c r="E592" s="129"/>
      <c r="F592" s="129"/>
      <c r="G592" s="129"/>
      <c r="H592" s="110"/>
      <c r="I592" s="129"/>
      <c r="J592" t="s">
        <v>351</v>
      </c>
      <c r="K592" s="129"/>
      <c r="L592" s="129"/>
      <c r="M592" s="129"/>
      <c r="N592" s="129"/>
      <c r="O592" s="129"/>
      <c r="P592" s="129"/>
      <c r="Q592" s="129"/>
      <c r="R592" s="129"/>
      <c r="S592" s="141"/>
      <c r="T592" s="139"/>
      <c r="U592" s="129"/>
      <c r="V592" s="129"/>
      <c r="W592" s="129"/>
      <c r="X592" s="129"/>
      <c r="Y592" s="129"/>
      <c r="Z592" s="115"/>
      <c r="AA592" s="129"/>
      <c r="AB592" s="149"/>
      <c r="AC592" s="129"/>
      <c r="AD592" s="129"/>
      <c r="AE592" s="129"/>
    </row>
    <row r="593" spans="3:31" x14ac:dyDescent="0.35">
      <c r="C593" s="129"/>
      <c r="D593" s="129"/>
      <c r="E593" s="129"/>
      <c r="F593" s="129"/>
      <c r="G593" s="129"/>
      <c r="H593" s="110"/>
      <c r="I593" s="129"/>
      <c r="J593" t="s">
        <v>351</v>
      </c>
      <c r="K593" s="129"/>
      <c r="L593" s="129"/>
      <c r="M593" s="129"/>
      <c r="N593" s="129"/>
      <c r="O593" s="129"/>
      <c r="P593" s="129"/>
      <c r="Q593" s="129"/>
      <c r="R593" s="129"/>
      <c r="S593" s="141"/>
      <c r="T593" s="139"/>
      <c r="U593" s="129"/>
      <c r="V593" s="129"/>
      <c r="W593" s="129"/>
      <c r="X593" s="129"/>
      <c r="Y593" s="129"/>
      <c r="Z593" s="115"/>
      <c r="AA593" s="129"/>
      <c r="AB593" s="149"/>
      <c r="AC593" s="129"/>
      <c r="AD593" s="129"/>
      <c r="AE593" s="129"/>
    </row>
    <row r="594" spans="3:31" x14ac:dyDescent="0.35">
      <c r="C594" s="129"/>
      <c r="D594" s="129"/>
      <c r="E594" s="129"/>
      <c r="F594" s="129"/>
      <c r="G594" s="129"/>
      <c r="H594" s="110"/>
      <c r="I594" s="129"/>
      <c r="J594" t="s">
        <v>351</v>
      </c>
      <c r="K594" s="129"/>
      <c r="L594" s="129"/>
      <c r="M594" s="129"/>
      <c r="N594" s="129"/>
      <c r="O594" s="129"/>
      <c r="P594" s="129"/>
      <c r="Q594" s="129"/>
      <c r="R594" s="129"/>
      <c r="S594" s="141"/>
      <c r="T594" s="139"/>
      <c r="U594" s="129"/>
      <c r="V594" s="129"/>
      <c r="W594" s="129"/>
      <c r="X594" s="129"/>
      <c r="Y594" s="129"/>
      <c r="Z594" s="115"/>
      <c r="AA594" s="129"/>
      <c r="AB594" s="149"/>
      <c r="AC594" s="129"/>
      <c r="AD594" s="129"/>
      <c r="AE594" s="129"/>
    </row>
    <row r="595" spans="3:31" x14ac:dyDescent="0.35">
      <c r="C595" s="129"/>
      <c r="D595" s="129"/>
      <c r="E595" s="129"/>
      <c r="F595" s="129"/>
      <c r="G595" s="129"/>
      <c r="H595" s="110"/>
      <c r="I595" s="129"/>
      <c r="J595" t="s">
        <v>351</v>
      </c>
      <c r="K595" s="129"/>
      <c r="L595" s="129"/>
      <c r="M595" s="129"/>
      <c r="N595" s="129"/>
      <c r="O595" s="129"/>
      <c r="P595" s="129"/>
      <c r="Q595" s="129"/>
      <c r="R595" s="129"/>
      <c r="S595" s="141"/>
      <c r="T595" s="139"/>
      <c r="U595" s="129"/>
      <c r="V595" s="129"/>
      <c r="W595" s="129"/>
      <c r="X595" s="129"/>
      <c r="Y595" s="129"/>
      <c r="Z595" s="115"/>
      <c r="AA595" s="129"/>
      <c r="AB595" s="149"/>
      <c r="AC595" s="129"/>
      <c r="AD595" s="129"/>
      <c r="AE595" s="129"/>
    </row>
    <row r="596" spans="3:31" x14ac:dyDescent="0.35">
      <c r="C596" s="129"/>
      <c r="D596" s="129"/>
      <c r="E596" s="129"/>
      <c r="F596" s="129"/>
      <c r="G596" s="129"/>
      <c r="H596" s="110"/>
      <c r="I596" s="129"/>
      <c r="J596" t="s">
        <v>351</v>
      </c>
      <c r="K596" s="129"/>
      <c r="L596" s="129"/>
      <c r="M596" s="129"/>
      <c r="N596" s="129"/>
      <c r="O596" s="129"/>
      <c r="P596" s="129"/>
      <c r="Q596" s="129"/>
      <c r="R596" s="129"/>
      <c r="S596" s="141"/>
      <c r="T596" s="139"/>
      <c r="U596" s="129"/>
      <c r="V596" s="129"/>
      <c r="W596" s="129"/>
      <c r="X596" s="129"/>
      <c r="Y596" s="129"/>
      <c r="Z596" s="115"/>
      <c r="AA596" s="129"/>
      <c r="AB596" s="149"/>
      <c r="AC596" s="129"/>
      <c r="AD596" s="129"/>
      <c r="AE596" s="129"/>
    </row>
    <row r="597" spans="3:31" x14ac:dyDescent="0.35">
      <c r="C597" s="129"/>
      <c r="D597" s="129"/>
      <c r="E597" s="129"/>
      <c r="F597" s="129"/>
      <c r="G597" s="129"/>
      <c r="H597" s="110"/>
      <c r="I597" s="129"/>
      <c r="J597" t="s">
        <v>351</v>
      </c>
      <c r="K597" s="129"/>
      <c r="L597" s="129"/>
      <c r="M597" s="129"/>
      <c r="N597" s="129"/>
      <c r="O597" s="129"/>
      <c r="P597" s="129"/>
      <c r="Q597" s="129"/>
      <c r="R597" s="129"/>
      <c r="S597" s="141"/>
      <c r="T597" s="139"/>
      <c r="U597" s="129"/>
      <c r="V597" s="129"/>
      <c r="W597" s="129"/>
      <c r="X597" s="129"/>
      <c r="Y597" s="129"/>
      <c r="Z597" s="115"/>
      <c r="AA597" s="129"/>
      <c r="AB597" s="149"/>
      <c r="AC597" s="129"/>
      <c r="AD597" s="129"/>
      <c r="AE597" s="129"/>
    </row>
    <row r="598" spans="3:31" x14ac:dyDescent="0.35">
      <c r="C598" s="129"/>
      <c r="D598" s="129"/>
      <c r="E598" s="129"/>
      <c r="F598" s="129"/>
      <c r="G598" s="129"/>
      <c r="H598" s="110"/>
      <c r="I598" s="129"/>
      <c r="J598" t="s">
        <v>351</v>
      </c>
      <c r="K598" s="129"/>
      <c r="L598" s="129"/>
      <c r="M598" s="129"/>
      <c r="N598" s="129"/>
      <c r="O598" s="129"/>
      <c r="P598" s="129"/>
      <c r="Q598" s="129"/>
      <c r="R598" s="129"/>
      <c r="S598" s="141"/>
      <c r="T598" s="139"/>
      <c r="U598" s="129"/>
      <c r="V598" s="129"/>
      <c r="W598" s="129"/>
      <c r="X598" s="129"/>
      <c r="Y598" s="129"/>
      <c r="Z598" s="115"/>
      <c r="AA598" s="129"/>
      <c r="AB598" s="149"/>
      <c r="AC598" s="129"/>
      <c r="AD598" s="129"/>
      <c r="AE598" s="129"/>
    </row>
    <row r="599" spans="3:31" x14ac:dyDescent="0.35">
      <c r="C599" s="129"/>
      <c r="D599" s="129"/>
      <c r="E599" s="129"/>
      <c r="F599" s="129"/>
      <c r="G599" s="129"/>
      <c r="H599" s="110"/>
      <c r="I599" s="129"/>
      <c r="J599" t="s">
        <v>351</v>
      </c>
      <c r="K599" s="129"/>
      <c r="L599" s="129"/>
      <c r="M599" s="129"/>
      <c r="N599" s="129"/>
      <c r="O599" s="129"/>
      <c r="P599" s="129"/>
      <c r="Q599" s="129"/>
      <c r="R599" s="129"/>
      <c r="S599" s="141"/>
      <c r="T599" s="139"/>
      <c r="U599" s="129"/>
      <c r="V599" s="129"/>
      <c r="W599" s="129"/>
      <c r="X599" s="129"/>
      <c r="Y599" s="129"/>
      <c r="Z599" s="115"/>
      <c r="AA599" s="129"/>
      <c r="AB599" s="149"/>
      <c r="AC599" s="129"/>
      <c r="AD599" s="129"/>
      <c r="AE599" s="129"/>
    </row>
    <row r="600" spans="3:31" x14ac:dyDescent="0.35">
      <c r="C600" s="129"/>
      <c r="D600" s="129"/>
      <c r="E600" s="129"/>
      <c r="F600" s="129"/>
      <c r="G600" s="129"/>
      <c r="H600" s="110"/>
      <c r="I600" s="129"/>
      <c r="J600" t="s">
        <v>351</v>
      </c>
      <c r="K600" s="129"/>
      <c r="L600" s="129"/>
      <c r="M600" s="129"/>
      <c r="N600" s="129"/>
      <c r="O600" s="129"/>
      <c r="P600" s="129"/>
      <c r="Q600" s="129"/>
      <c r="R600" s="129"/>
      <c r="S600" s="141"/>
      <c r="T600" s="139"/>
      <c r="U600" s="129"/>
      <c r="V600" s="129"/>
      <c r="W600" s="129"/>
      <c r="X600" s="129"/>
      <c r="Y600" s="129"/>
      <c r="Z600" s="115"/>
      <c r="AA600" s="129"/>
      <c r="AB600" s="149"/>
      <c r="AC600" s="129"/>
      <c r="AD600" s="129"/>
      <c r="AE600" s="129"/>
    </row>
    <row r="601" spans="3:31" x14ac:dyDescent="0.35">
      <c r="C601" s="129"/>
      <c r="D601" s="129"/>
      <c r="E601" s="129"/>
      <c r="F601" s="129"/>
      <c r="G601" s="129"/>
      <c r="H601" s="110"/>
      <c r="I601" s="129"/>
      <c r="J601" t="s">
        <v>351</v>
      </c>
      <c r="K601" s="129"/>
      <c r="L601" s="129"/>
      <c r="M601" s="129"/>
      <c r="N601" s="129"/>
      <c r="O601" s="129"/>
      <c r="P601" s="129"/>
      <c r="Q601" s="129"/>
      <c r="R601" s="129"/>
      <c r="S601" s="141"/>
      <c r="T601" s="139"/>
      <c r="U601" s="129"/>
      <c r="V601" s="129"/>
      <c r="W601" s="129"/>
      <c r="X601" s="129"/>
      <c r="Y601" s="129"/>
      <c r="Z601" s="115"/>
      <c r="AA601" s="129"/>
      <c r="AB601" s="149"/>
      <c r="AC601" s="129"/>
      <c r="AD601" s="129"/>
      <c r="AE601" s="129"/>
    </row>
    <row r="602" spans="3:31" x14ac:dyDescent="0.35">
      <c r="C602" s="129"/>
      <c r="D602" s="129"/>
      <c r="E602" s="129"/>
      <c r="F602" s="129"/>
      <c r="G602" s="129"/>
      <c r="H602" s="110"/>
      <c r="I602" s="129"/>
      <c r="J602" t="s">
        <v>351</v>
      </c>
      <c r="K602" s="129"/>
      <c r="L602" s="129"/>
      <c r="M602" s="129"/>
      <c r="N602" s="129"/>
      <c r="O602" s="129"/>
      <c r="P602" s="129"/>
      <c r="Q602" s="129"/>
      <c r="R602" s="129"/>
      <c r="S602" s="141"/>
      <c r="T602" s="139"/>
      <c r="U602" s="129"/>
      <c r="V602" s="129"/>
      <c r="W602" s="129"/>
      <c r="X602" s="129"/>
      <c r="Y602" s="129"/>
      <c r="Z602" s="115"/>
      <c r="AA602" s="129"/>
      <c r="AB602" s="149"/>
      <c r="AC602" s="129"/>
      <c r="AD602" s="129"/>
      <c r="AE602" s="129"/>
    </row>
    <row r="603" spans="3:31" x14ac:dyDescent="0.35">
      <c r="C603" s="129"/>
      <c r="D603" s="129"/>
      <c r="E603" s="129"/>
      <c r="F603" s="129"/>
      <c r="G603" s="129"/>
      <c r="H603" s="110"/>
      <c r="I603" s="129"/>
      <c r="J603" t="s">
        <v>351</v>
      </c>
      <c r="K603" s="129"/>
      <c r="L603" s="129"/>
      <c r="M603" s="129"/>
      <c r="N603" s="129"/>
      <c r="O603" s="129"/>
      <c r="P603" s="129"/>
      <c r="Q603" s="129"/>
      <c r="R603" s="129"/>
      <c r="S603" s="141"/>
      <c r="T603" s="139"/>
      <c r="U603" s="129"/>
      <c r="V603" s="129"/>
      <c r="W603" s="129"/>
      <c r="X603" s="129"/>
      <c r="Y603" s="129"/>
      <c r="Z603" s="115"/>
      <c r="AA603" s="129"/>
      <c r="AB603" s="149"/>
      <c r="AC603" s="129"/>
      <c r="AD603" s="129"/>
      <c r="AE603" s="129"/>
    </row>
    <row r="604" spans="3:31" x14ac:dyDescent="0.35">
      <c r="C604" s="129"/>
      <c r="D604" s="129"/>
      <c r="E604" s="129"/>
      <c r="F604" s="129"/>
      <c r="G604" s="129"/>
      <c r="H604" s="110"/>
      <c r="I604" s="129"/>
      <c r="J604" t="s">
        <v>351</v>
      </c>
      <c r="K604" s="129"/>
      <c r="L604" s="129"/>
      <c r="M604" s="129"/>
      <c r="N604" s="129"/>
      <c r="O604" s="129"/>
      <c r="P604" s="129"/>
      <c r="Q604" s="129"/>
      <c r="R604" s="129"/>
      <c r="S604" s="141"/>
      <c r="T604" s="139"/>
      <c r="U604" s="129"/>
      <c r="V604" s="129"/>
      <c r="W604" s="129"/>
      <c r="X604" s="129"/>
      <c r="Y604" s="129"/>
      <c r="Z604" s="115"/>
      <c r="AA604" s="129"/>
      <c r="AB604" s="149"/>
      <c r="AC604" s="129"/>
      <c r="AD604" s="129"/>
      <c r="AE604" s="129"/>
    </row>
    <row r="605" spans="3:31" x14ac:dyDescent="0.35">
      <c r="C605" s="129"/>
      <c r="D605" s="129"/>
      <c r="E605" s="129"/>
      <c r="F605" s="129"/>
      <c r="G605" s="129"/>
      <c r="H605" s="110"/>
      <c r="I605" s="129"/>
      <c r="J605" t="s">
        <v>351</v>
      </c>
      <c r="K605" s="129"/>
      <c r="L605" s="129"/>
      <c r="M605" s="129"/>
      <c r="N605" s="129"/>
      <c r="O605" s="129"/>
      <c r="P605" s="129"/>
      <c r="Q605" s="129"/>
      <c r="R605" s="129"/>
      <c r="S605" s="141"/>
      <c r="T605" s="139"/>
      <c r="U605" s="129"/>
      <c r="V605" s="129"/>
      <c r="W605" s="129"/>
      <c r="X605" s="129"/>
      <c r="Y605" s="129"/>
      <c r="Z605" s="115"/>
      <c r="AA605" s="129"/>
      <c r="AB605" s="149"/>
      <c r="AC605" s="129"/>
      <c r="AD605" s="129"/>
      <c r="AE605" s="129"/>
    </row>
    <row r="606" spans="3:31" x14ac:dyDescent="0.35">
      <c r="C606" s="129"/>
      <c r="D606" s="129"/>
      <c r="E606" s="129"/>
      <c r="F606" s="129"/>
      <c r="G606" s="129"/>
      <c r="H606" s="110"/>
      <c r="I606" s="129"/>
      <c r="J606" t="s">
        <v>351</v>
      </c>
      <c r="K606" s="129"/>
      <c r="L606" s="129"/>
      <c r="M606" s="129"/>
      <c r="N606" s="129"/>
      <c r="O606" s="129"/>
      <c r="P606" s="129"/>
      <c r="Q606" s="129"/>
      <c r="R606" s="129"/>
      <c r="S606" s="141"/>
      <c r="T606" s="139"/>
      <c r="U606" s="129"/>
      <c r="V606" s="129"/>
      <c r="W606" s="129"/>
      <c r="X606" s="129"/>
      <c r="Y606" s="129"/>
      <c r="Z606" s="115"/>
      <c r="AA606" s="129"/>
      <c r="AB606" s="149"/>
      <c r="AC606" s="129"/>
      <c r="AD606" s="129"/>
      <c r="AE606" s="129"/>
    </row>
    <row r="607" spans="3:31" x14ac:dyDescent="0.35">
      <c r="C607" s="129"/>
      <c r="D607" s="129"/>
      <c r="E607" s="129"/>
      <c r="F607" s="129"/>
      <c r="G607" s="129"/>
      <c r="H607" s="110"/>
      <c r="I607" s="129"/>
      <c r="J607" t="s">
        <v>351</v>
      </c>
      <c r="K607" s="129"/>
      <c r="L607" s="129"/>
      <c r="M607" s="129"/>
      <c r="N607" s="129"/>
      <c r="O607" s="129"/>
      <c r="P607" s="129"/>
      <c r="Q607" s="129"/>
      <c r="R607" s="129"/>
      <c r="S607" s="141"/>
      <c r="T607" s="139"/>
      <c r="U607" s="129"/>
      <c r="V607" s="129"/>
      <c r="W607" s="129"/>
      <c r="X607" s="129"/>
      <c r="Y607" s="129"/>
      <c r="Z607" s="115"/>
      <c r="AA607" s="129"/>
      <c r="AB607" s="149"/>
      <c r="AC607" s="129"/>
      <c r="AD607" s="129"/>
      <c r="AE607" s="129"/>
    </row>
    <row r="608" spans="3:31" x14ac:dyDescent="0.35">
      <c r="C608" s="129"/>
      <c r="D608" s="129"/>
      <c r="E608" s="129"/>
      <c r="F608" s="129"/>
      <c r="G608" s="129"/>
      <c r="H608" s="110"/>
      <c r="I608" s="129"/>
      <c r="J608" t="s">
        <v>351</v>
      </c>
      <c r="K608" s="129"/>
      <c r="L608" s="129"/>
      <c r="M608" s="129"/>
      <c r="N608" s="129"/>
      <c r="O608" s="129"/>
      <c r="P608" s="129"/>
      <c r="Q608" s="129"/>
      <c r="R608" s="129"/>
      <c r="S608" s="141"/>
      <c r="T608" s="139"/>
      <c r="U608" s="129"/>
      <c r="V608" s="129"/>
      <c r="W608" s="129"/>
      <c r="X608" s="129"/>
      <c r="Y608" s="129"/>
      <c r="Z608" s="115"/>
      <c r="AA608" s="129"/>
      <c r="AB608" s="149"/>
      <c r="AC608" s="129"/>
      <c r="AD608" s="129"/>
      <c r="AE608" s="129"/>
    </row>
    <row r="609" spans="3:31" x14ac:dyDescent="0.35">
      <c r="C609" s="129"/>
      <c r="D609" s="129"/>
      <c r="E609" s="129"/>
      <c r="F609" s="129"/>
      <c r="G609" s="129"/>
      <c r="H609" s="110"/>
      <c r="I609" s="129"/>
      <c r="J609" t="s">
        <v>351</v>
      </c>
      <c r="K609" s="129"/>
      <c r="L609" s="129"/>
      <c r="M609" s="129"/>
      <c r="N609" s="129"/>
      <c r="O609" s="129"/>
      <c r="P609" s="129"/>
      <c r="Q609" s="129"/>
      <c r="R609" s="129"/>
      <c r="S609" s="141"/>
      <c r="T609" s="139"/>
      <c r="U609" s="129"/>
      <c r="V609" s="129"/>
      <c r="W609" s="129"/>
      <c r="X609" s="129"/>
      <c r="Y609" s="129"/>
      <c r="Z609" s="115"/>
      <c r="AA609" s="129"/>
      <c r="AB609" s="149"/>
      <c r="AC609" s="129"/>
      <c r="AD609" s="129"/>
      <c r="AE609" s="129"/>
    </row>
    <row r="610" spans="3:31" x14ac:dyDescent="0.35">
      <c r="C610" s="129"/>
      <c r="D610" s="129"/>
      <c r="E610" s="129"/>
      <c r="F610" s="129"/>
      <c r="G610" s="129"/>
      <c r="H610" s="110"/>
      <c r="I610" s="129"/>
      <c r="J610" t="s">
        <v>351</v>
      </c>
      <c r="K610" s="129"/>
      <c r="L610" s="129"/>
      <c r="M610" s="129"/>
      <c r="N610" s="129"/>
      <c r="O610" s="129"/>
      <c r="P610" s="129"/>
      <c r="Q610" s="129"/>
      <c r="R610" s="129"/>
      <c r="S610" s="141"/>
      <c r="T610" s="139"/>
      <c r="U610" s="129"/>
      <c r="V610" s="129"/>
      <c r="W610" s="129"/>
      <c r="X610" s="129"/>
      <c r="Y610" s="129"/>
      <c r="Z610" s="115"/>
      <c r="AA610" s="129"/>
      <c r="AB610" s="149"/>
      <c r="AC610" s="129"/>
      <c r="AD610" s="129"/>
      <c r="AE610" s="129"/>
    </row>
    <row r="611" spans="3:31" x14ac:dyDescent="0.35">
      <c r="C611" s="129"/>
      <c r="D611" s="129"/>
      <c r="E611" s="129"/>
      <c r="F611" s="129"/>
      <c r="G611" s="129"/>
      <c r="H611" s="110"/>
      <c r="I611" s="129"/>
      <c r="J611" t="s">
        <v>351</v>
      </c>
      <c r="K611" s="129"/>
      <c r="L611" s="129"/>
      <c r="M611" s="129"/>
      <c r="N611" s="129"/>
      <c r="O611" s="129"/>
      <c r="P611" s="129"/>
      <c r="Q611" s="129"/>
      <c r="R611" s="129"/>
      <c r="S611" s="141"/>
      <c r="T611" s="139"/>
      <c r="U611" s="129"/>
      <c r="V611" s="129"/>
      <c r="W611" s="129"/>
      <c r="X611" s="129"/>
      <c r="Y611" s="129"/>
      <c r="Z611" s="115"/>
      <c r="AA611" s="129"/>
      <c r="AB611" s="149"/>
      <c r="AC611" s="129"/>
      <c r="AD611" s="129"/>
      <c r="AE611" s="129"/>
    </row>
    <row r="612" spans="3:31" x14ac:dyDescent="0.35">
      <c r="C612" s="129"/>
      <c r="D612" s="129"/>
      <c r="E612" s="129"/>
      <c r="F612" s="129"/>
      <c r="G612" s="129"/>
      <c r="H612" s="110"/>
      <c r="I612" s="129"/>
      <c r="J612" t="s">
        <v>351</v>
      </c>
      <c r="K612" s="129"/>
      <c r="L612" s="129"/>
      <c r="M612" s="129"/>
      <c r="N612" s="129"/>
      <c r="O612" s="129"/>
      <c r="P612" s="129"/>
      <c r="Q612" s="129"/>
      <c r="R612" s="129"/>
      <c r="S612" s="141"/>
      <c r="T612" s="139"/>
      <c r="U612" s="129"/>
      <c r="V612" s="129"/>
      <c r="W612" s="129"/>
      <c r="X612" s="129"/>
      <c r="Y612" s="129"/>
      <c r="Z612" s="115"/>
      <c r="AA612" s="129"/>
      <c r="AB612" s="149"/>
      <c r="AC612" s="129"/>
      <c r="AD612" s="129"/>
      <c r="AE612" s="129"/>
    </row>
    <row r="613" spans="3:31" x14ac:dyDescent="0.35">
      <c r="C613" s="129"/>
      <c r="D613" s="129"/>
      <c r="E613" s="129"/>
      <c r="F613" s="129"/>
      <c r="G613" s="129"/>
      <c r="H613" s="110"/>
      <c r="I613" s="129"/>
      <c r="J613" t="s">
        <v>351</v>
      </c>
      <c r="K613" s="129"/>
      <c r="L613" s="129"/>
      <c r="M613" s="129"/>
      <c r="N613" s="129"/>
      <c r="O613" s="129"/>
      <c r="P613" s="129"/>
      <c r="Q613" s="129"/>
      <c r="R613" s="129"/>
      <c r="S613" s="141"/>
      <c r="T613" s="139"/>
      <c r="U613" s="129"/>
      <c r="V613" s="129"/>
      <c r="W613" s="129"/>
      <c r="X613" s="129"/>
      <c r="Y613" s="129"/>
      <c r="Z613" s="115"/>
      <c r="AA613" s="129"/>
      <c r="AB613" s="149"/>
      <c r="AC613" s="129"/>
      <c r="AD613" s="129"/>
      <c r="AE613" s="129"/>
    </row>
    <row r="614" spans="3:31" x14ac:dyDescent="0.35">
      <c r="C614" s="129"/>
      <c r="D614" s="129"/>
      <c r="E614" s="129"/>
      <c r="F614" s="129"/>
      <c r="G614" s="129"/>
      <c r="H614" s="110"/>
      <c r="I614" s="129"/>
      <c r="J614" t="s">
        <v>351</v>
      </c>
      <c r="K614" s="129"/>
      <c r="L614" s="129"/>
      <c r="M614" s="129"/>
      <c r="N614" s="129"/>
      <c r="O614" s="129"/>
      <c r="P614" s="129"/>
      <c r="Q614" s="129"/>
      <c r="R614" s="129"/>
      <c r="S614" s="141"/>
      <c r="T614" s="139"/>
      <c r="U614" s="129"/>
      <c r="V614" s="129"/>
      <c r="W614" s="129"/>
      <c r="X614" s="129"/>
      <c r="Y614" s="129"/>
      <c r="Z614" s="115"/>
      <c r="AA614" s="129"/>
      <c r="AB614" s="149"/>
      <c r="AC614" s="129"/>
      <c r="AD614" s="129"/>
      <c r="AE614" s="129"/>
    </row>
    <row r="615" spans="3:31" x14ac:dyDescent="0.35">
      <c r="C615" s="129"/>
      <c r="D615" s="129"/>
      <c r="E615" s="129"/>
      <c r="F615" s="129"/>
      <c r="G615" s="129"/>
      <c r="H615" s="110"/>
      <c r="I615" s="129"/>
      <c r="J615" t="s">
        <v>351</v>
      </c>
      <c r="K615" s="129"/>
      <c r="L615" s="129"/>
      <c r="M615" s="129"/>
      <c r="N615" s="129"/>
      <c r="O615" s="129"/>
      <c r="P615" s="129"/>
      <c r="Q615" s="129"/>
      <c r="R615" s="129"/>
      <c r="S615" s="141"/>
      <c r="T615" s="139"/>
      <c r="U615" s="129"/>
      <c r="V615" s="129"/>
      <c r="W615" s="129"/>
      <c r="X615" s="129"/>
      <c r="Y615" s="129"/>
      <c r="Z615" s="115"/>
      <c r="AA615" s="129"/>
      <c r="AB615" s="149"/>
      <c r="AC615" s="129"/>
      <c r="AD615" s="129"/>
      <c r="AE615" s="129"/>
    </row>
    <row r="616" spans="3:31" x14ac:dyDescent="0.35">
      <c r="C616" s="129"/>
      <c r="D616" s="129"/>
      <c r="E616" s="129"/>
      <c r="F616" s="129"/>
      <c r="G616" s="129"/>
      <c r="H616" s="110"/>
      <c r="I616" s="129"/>
      <c r="J616" t="s">
        <v>351</v>
      </c>
      <c r="K616" s="129"/>
      <c r="L616" s="129"/>
      <c r="M616" s="129"/>
      <c r="N616" s="129"/>
      <c r="O616" s="129"/>
      <c r="P616" s="129"/>
      <c r="Q616" s="129"/>
      <c r="R616" s="129"/>
      <c r="S616" s="141"/>
      <c r="T616" s="139"/>
      <c r="U616" s="129"/>
      <c r="V616" s="129"/>
      <c r="W616" s="129"/>
      <c r="X616" s="129"/>
      <c r="Y616" s="129"/>
      <c r="Z616" s="115"/>
      <c r="AA616" s="129"/>
      <c r="AB616" s="149"/>
      <c r="AC616" s="129"/>
      <c r="AD616" s="129"/>
      <c r="AE616" s="129"/>
    </row>
    <row r="617" spans="3:31" x14ac:dyDescent="0.35">
      <c r="C617" s="129"/>
      <c r="D617" s="129"/>
      <c r="E617" s="129"/>
      <c r="F617" s="129"/>
      <c r="G617" s="129"/>
      <c r="H617" s="110"/>
      <c r="I617" s="129"/>
      <c r="J617" t="s">
        <v>351</v>
      </c>
      <c r="K617" s="129"/>
      <c r="L617" s="129"/>
      <c r="M617" s="129"/>
      <c r="N617" s="129"/>
      <c r="O617" s="129"/>
      <c r="P617" s="129"/>
      <c r="Q617" s="129"/>
      <c r="R617" s="129"/>
      <c r="S617" s="141"/>
      <c r="T617" s="139"/>
      <c r="U617" s="129"/>
      <c r="V617" s="129"/>
      <c r="W617" s="129"/>
      <c r="X617" s="129"/>
      <c r="Y617" s="129"/>
      <c r="Z617" s="115"/>
      <c r="AA617" s="129"/>
      <c r="AB617" s="149"/>
      <c r="AC617" s="129"/>
      <c r="AD617" s="129"/>
      <c r="AE617" s="129"/>
    </row>
    <row r="618" spans="3:31" x14ac:dyDescent="0.35">
      <c r="C618" s="129"/>
      <c r="D618" s="129"/>
      <c r="E618" s="129"/>
      <c r="F618" s="129"/>
      <c r="G618" s="129"/>
      <c r="H618" s="110"/>
      <c r="I618" s="129"/>
      <c r="J618" t="s">
        <v>351</v>
      </c>
      <c r="K618" s="129"/>
      <c r="L618" s="129"/>
      <c r="M618" s="129"/>
      <c r="N618" s="129"/>
      <c r="O618" s="129"/>
      <c r="P618" s="129"/>
      <c r="Q618" s="129"/>
      <c r="R618" s="129"/>
      <c r="S618" s="141"/>
      <c r="T618" s="139"/>
      <c r="U618" s="129"/>
      <c r="V618" s="129"/>
      <c r="W618" s="129"/>
      <c r="X618" s="129"/>
      <c r="Y618" s="129"/>
      <c r="Z618" s="115"/>
      <c r="AA618" s="129"/>
      <c r="AB618" s="149"/>
      <c r="AC618" s="129"/>
      <c r="AD618" s="129"/>
      <c r="AE618" s="129"/>
    </row>
    <row r="619" spans="3:31" x14ac:dyDescent="0.35">
      <c r="C619" s="129"/>
      <c r="D619" s="129"/>
      <c r="E619" s="129"/>
      <c r="F619" s="129"/>
      <c r="G619" s="129"/>
      <c r="H619" s="110"/>
      <c r="I619" s="129"/>
      <c r="J619" t="s">
        <v>351</v>
      </c>
      <c r="K619" s="129"/>
      <c r="L619" s="129"/>
      <c r="M619" s="129"/>
      <c r="N619" s="129"/>
      <c r="O619" s="129"/>
      <c r="P619" s="129"/>
      <c r="Q619" s="129"/>
      <c r="R619" s="129"/>
      <c r="S619" s="141"/>
      <c r="T619" s="139"/>
      <c r="U619" s="129"/>
      <c r="V619" s="129"/>
      <c r="W619" s="129"/>
      <c r="X619" s="129"/>
      <c r="Y619" s="129"/>
      <c r="Z619" s="115"/>
      <c r="AA619" s="129"/>
      <c r="AB619" s="149"/>
      <c r="AC619" s="129"/>
      <c r="AD619" s="129"/>
      <c r="AE619" s="129"/>
    </row>
    <row r="620" spans="3:31" x14ac:dyDescent="0.35">
      <c r="C620" s="129"/>
      <c r="D620" s="129"/>
      <c r="E620" s="129"/>
      <c r="F620" s="129"/>
      <c r="G620" s="129"/>
      <c r="H620" s="110"/>
      <c r="I620" s="129"/>
      <c r="J620" t="s">
        <v>351</v>
      </c>
      <c r="K620" s="129"/>
      <c r="L620" s="129"/>
      <c r="M620" s="129"/>
      <c r="N620" s="129"/>
      <c r="O620" s="129"/>
      <c r="P620" s="129"/>
      <c r="Q620" s="129"/>
      <c r="R620" s="129"/>
      <c r="S620" s="141"/>
      <c r="T620" s="139"/>
      <c r="U620" s="129"/>
      <c r="V620" s="129"/>
      <c r="W620" s="129"/>
      <c r="X620" s="129"/>
      <c r="Y620" s="129"/>
      <c r="Z620" s="115"/>
      <c r="AA620" s="129"/>
      <c r="AB620" s="149"/>
      <c r="AC620" s="129"/>
      <c r="AD620" s="129"/>
      <c r="AE620" s="129"/>
    </row>
    <row r="621" spans="3:31" x14ac:dyDescent="0.35">
      <c r="C621" s="129"/>
      <c r="D621" s="129"/>
      <c r="E621" s="129"/>
      <c r="F621" s="129"/>
      <c r="G621" s="129"/>
      <c r="H621" s="110"/>
      <c r="I621" s="129"/>
      <c r="J621" t="s">
        <v>351</v>
      </c>
      <c r="K621" s="129"/>
      <c r="L621" s="129"/>
      <c r="M621" s="129"/>
      <c r="N621" s="129"/>
      <c r="O621" s="129"/>
      <c r="P621" s="129"/>
      <c r="Q621" s="129"/>
      <c r="R621" s="129"/>
      <c r="S621" s="141"/>
      <c r="T621" s="139"/>
      <c r="U621" s="129"/>
      <c r="V621" s="129"/>
      <c r="W621" s="129"/>
      <c r="X621" s="129"/>
      <c r="Y621" s="129"/>
      <c r="Z621" s="115"/>
      <c r="AA621" s="129"/>
      <c r="AB621" s="149"/>
      <c r="AC621" s="129"/>
      <c r="AD621" s="129"/>
      <c r="AE621" s="129"/>
    </row>
    <row r="622" spans="3:31" x14ac:dyDescent="0.35">
      <c r="C622" s="129"/>
      <c r="D622" s="129"/>
      <c r="E622" s="129"/>
      <c r="F622" s="129"/>
      <c r="G622" s="129"/>
      <c r="H622" s="110"/>
      <c r="I622" s="129"/>
      <c r="J622" t="s">
        <v>351</v>
      </c>
      <c r="K622" s="129"/>
      <c r="L622" s="129"/>
      <c r="M622" s="129"/>
      <c r="N622" s="129"/>
      <c r="O622" s="129"/>
      <c r="P622" s="129"/>
      <c r="Q622" s="129"/>
      <c r="R622" s="129"/>
      <c r="S622" s="141"/>
      <c r="T622" s="139"/>
      <c r="U622" s="129"/>
      <c r="V622" s="129"/>
      <c r="W622" s="129"/>
      <c r="X622" s="129"/>
      <c r="Y622" s="129"/>
      <c r="Z622" s="115"/>
      <c r="AA622" s="129"/>
      <c r="AB622" s="149"/>
      <c r="AC622" s="129"/>
      <c r="AD622" s="129"/>
      <c r="AE622" s="129"/>
    </row>
    <row r="623" spans="3:31" x14ac:dyDescent="0.35">
      <c r="C623" s="129"/>
      <c r="D623" s="129"/>
      <c r="E623" s="129"/>
      <c r="F623" s="129"/>
      <c r="G623" s="129"/>
      <c r="H623" s="110"/>
      <c r="I623" s="129"/>
      <c r="J623" t="s">
        <v>351</v>
      </c>
      <c r="K623" s="129"/>
      <c r="L623" s="129"/>
      <c r="M623" s="129"/>
      <c r="N623" s="129"/>
      <c r="O623" s="129"/>
      <c r="P623" s="129"/>
      <c r="Q623" s="129"/>
      <c r="R623" s="129"/>
      <c r="S623" s="141"/>
      <c r="T623" s="139"/>
      <c r="U623" s="129"/>
      <c r="V623" s="129"/>
      <c r="W623" s="129"/>
      <c r="X623" s="129"/>
      <c r="Y623" s="129"/>
      <c r="Z623" s="115"/>
      <c r="AA623" s="129"/>
      <c r="AB623" s="149"/>
      <c r="AC623" s="129"/>
      <c r="AD623" s="129"/>
      <c r="AE623" s="129"/>
    </row>
    <row r="624" spans="3:31" x14ac:dyDescent="0.35">
      <c r="C624" s="129"/>
      <c r="D624" s="129"/>
      <c r="E624" s="129"/>
      <c r="F624" s="129"/>
      <c r="G624" s="129"/>
      <c r="H624" s="110"/>
      <c r="I624" s="129"/>
      <c r="J624" t="s">
        <v>351</v>
      </c>
      <c r="K624" s="129"/>
      <c r="L624" s="129"/>
      <c r="M624" s="129"/>
      <c r="N624" s="129"/>
      <c r="O624" s="129"/>
      <c r="P624" s="129"/>
      <c r="Q624" s="129"/>
      <c r="R624" s="129"/>
      <c r="S624" s="141"/>
      <c r="T624" s="139"/>
      <c r="U624" s="129"/>
      <c r="V624" s="129"/>
      <c r="W624" s="129"/>
      <c r="X624" s="129"/>
      <c r="Y624" s="129"/>
      <c r="Z624" s="115"/>
      <c r="AA624" s="129"/>
      <c r="AB624" s="149"/>
      <c r="AC624" s="129"/>
      <c r="AD624" s="129"/>
      <c r="AE624" s="129"/>
    </row>
    <row r="625" spans="3:31" x14ac:dyDescent="0.35">
      <c r="C625" s="129"/>
      <c r="D625" s="129"/>
      <c r="E625" s="129"/>
      <c r="F625" s="129"/>
      <c r="G625" s="129"/>
      <c r="H625" s="110"/>
      <c r="I625" s="129"/>
      <c r="J625" t="s">
        <v>351</v>
      </c>
      <c r="K625" s="129"/>
      <c r="L625" s="129"/>
      <c r="M625" s="129"/>
      <c r="N625" s="129"/>
      <c r="O625" s="129"/>
      <c r="P625" s="129"/>
      <c r="Q625" s="129"/>
      <c r="R625" s="129"/>
      <c r="S625" s="141"/>
      <c r="T625" s="139"/>
      <c r="U625" s="129"/>
      <c r="V625" s="129"/>
      <c r="W625" s="129"/>
      <c r="X625" s="129"/>
      <c r="Y625" s="129"/>
      <c r="Z625" s="115"/>
      <c r="AA625" s="129"/>
      <c r="AB625" s="149"/>
      <c r="AC625" s="129"/>
      <c r="AD625" s="129"/>
      <c r="AE625" s="129"/>
    </row>
    <row r="626" spans="3:31" x14ac:dyDescent="0.35">
      <c r="C626" s="129"/>
      <c r="D626" s="129"/>
      <c r="E626" s="129"/>
      <c r="F626" s="129"/>
      <c r="G626" s="129"/>
      <c r="H626" s="110"/>
      <c r="I626" s="129"/>
      <c r="J626" t="s">
        <v>351</v>
      </c>
      <c r="K626" s="129"/>
      <c r="L626" s="129"/>
      <c r="M626" s="129"/>
      <c r="N626" s="129"/>
      <c r="O626" s="129"/>
      <c r="P626" s="129"/>
      <c r="Q626" s="129"/>
      <c r="R626" s="129"/>
      <c r="S626" s="141"/>
      <c r="T626" s="139"/>
      <c r="U626" s="129"/>
      <c r="V626" s="129"/>
      <c r="W626" s="129"/>
      <c r="X626" s="129"/>
      <c r="Y626" s="129"/>
      <c r="Z626" s="115"/>
      <c r="AA626" s="129"/>
      <c r="AB626" s="149"/>
      <c r="AC626" s="129"/>
      <c r="AD626" s="129"/>
      <c r="AE626" s="129"/>
    </row>
    <row r="627" spans="3:31" x14ac:dyDescent="0.35">
      <c r="C627" s="129"/>
      <c r="D627" s="129"/>
      <c r="E627" s="129"/>
      <c r="F627" s="129"/>
      <c r="G627" s="129"/>
      <c r="H627" s="110"/>
      <c r="I627" s="129"/>
      <c r="J627" t="s">
        <v>351</v>
      </c>
      <c r="K627" s="129"/>
      <c r="L627" s="129"/>
      <c r="M627" s="129"/>
      <c r="N627" s="129"/>
      <c r="O627" s="129"/>
      <c r="P627" s="129"/>
      <c r="Q627" s="129"/>
      <c r="R627" s="129"/>
      <c r="S627" s="141"/>
      <c r="T627" s="139"/>
      <c r="U627" s="129"/>
      <c r="V627" s="129"/>
      <c r="W627" s="129"/>
      <c r="X627" s="129"/>
      <c r="Y627" s="129"/>
      <c r="Z627" s="115"/>
      <c r="AA627" s="129"/>
      <c r="AB627" s="149"/>
      <c r="AC627" s="129"/>
      <c r="AD627" s="129"/>
      <c r="AE627" s="129"/>
    </row>
    <row r="628" spans="3:31" x14ac:dyDescent="0.35">
      <c r="C628" s="129"/>
      <c r="D628" s="129"/>
      <c r="E628" s="129"/>
      <c r="F628" s="129"/>
      <c r="G628" s="129"/>
      <c r="H628" s="110"/>
      <c r="I628" s="129"/>
      <c r="J628" t="s">
        <v>351</v>
      </c>
      <c r="K628" s="129"/>
      <c r="L628" s="129"/>
      <c r="M628" s="129"/>
      <c r="N628" s="129"/>
      <c r="O628" s="129"/>
      <c r="P628" s="129"/>
      <c r="Q628" s="129"/>
      <c r="R628" s="129"/>
      <c r="S628" s="141"/>
      <c r="T628" s="139"/>
      <c r="U628" s="129"/>
      <c r="V628" s="129"/>
      <c r="W628" s="129"/>
      <c r="X628" s="129"/>
      <c r="Y628" s="129"/>
      <c r="Z628" s="115"/>
      <c r="AA628" s="129"/>
      <c r="AB628" s="149"/>
      <c r="AC628" s="129"/>
      <c r="AD628" s="129"/>
      <c r="AE628" s="129"/>
    </row>
    <row r="629" spans="3:31" x14ac:dyDescent="0.35">
      <c r="C629" s="129"/>
      <c r="D629" s="129"/>
      <c r="E629" s="129"/>
      <c r="F629" s="129"/>
      <c r="G629" s="129"/>
      <c r="H629" s="110"/>
      <c r="I629" s="129"/>
      <c r="J629" t="s">
        <v>351</v>
      </c>
      <c r="K629" s="129"/>
      <c r="L629" s="129"/>
      <c r="M629" s="129"/>
      <c r="N629" s="129"/>
      <c r="O629" s="129"/>
      <c r="P629" s="129"/>
      <c r="Q629" s="129"/>
      <c r="R629" s="129"/>
      <c r="S629" s="141"/>
      <c r="T629" s="139"/>
      <c r="U629" s="129"/>
      <c r="V629" s="129"/>
      <c r="W629" s="129"/>
      <c r="X629" s="129"/>
      <c r="Y629" s="129"/>
      <c r="Z629" s="115"/>
      <c r="AA629" s="129"/>
      <c r="AB629" s="149"/>
      <c r="AC629" s="129"/>
      <c r="AD629" s="129"/>
      <c r="AE629" s="129"/>
    </row>
    <row r="630" spans="3:31" x14ac:dyDescent="0.35">
      <c r="C630" s="129"/>
      <c r="D630" s="129"/>
      <c r="E630" s="129"/>
      <c r="F630" s="129"/>
      <c r="G630" s="129"/>
      <c r="H630" s="110"/>
      <c r="I630" s="129"/>
      <c r="J630" t="s">
        <v>351</v>
      </c>
      <c r="K630" s="129"/>
      <c r="L630" s="129"/>
      <c r="M630" s="129"/>
      <c r="N630" s="129"/>
      <c r="O630" s="129"/>
      <c r="P630" s="129"/>
      <c r="Q630" s="129"/>
      <c r="R630" s="129"/>
      <c r="S630" s="141"/>
      <c r="T630" s="139"/>
      <c r="U630" s="129"/>
      <c r="V630" s="129"/>
      <c r="W630" s="129"/>
      <c r="X630" s="129"/>
      <c r="Y630" s="129"/>
      <c r="Z630" s="115"/>
      <c r="AA630" s="129"/>
      <c r="AB630" s="149"/>
      <c r="AC630" s="129"/>
      <c r="AD630" s="129"/>
      <c r="AE630" s="129"/>
    </row>
    <row r="631" spans="3:31" x14ac:dyDescent="0.35">
      <c r="C631" s="129"/>
      <c r="D631" s="129"/>
      <c r="E631" s="129"/>
      <c r="F631" s="129"/>
      <c r="G631" s="129"/>
      <c r="H631" s="110"/>
      <c r="I631" s="129"/>
      <c r="J631" t="s">
        <v>351</v>
      </c>
      <c r="K631" s="129"/>
      <c r="L631" s="129"/>
      <c r="M631" s="129"/>
      <c r="N631" s="129"/>
      <c r="O631" s="129"/>
      <c r="P631" s="129"/>
      <c r="Q631" s="129"/>
      <c r="R631" s="129"/>
      <c r="S631" s="141"/>
      <c r="T631" s="139"/>
      <c r="U631" s="129"/>
      <c r="V631" s="129"/>
      <c r="W631" s="129"/>
      <c r="X631" s="129"/>
      <c r="Y631" s="129"/>
      <c r="Z631" s="115"/>
      <c r="AA631" s="129"/>
      <c r="AB631" s="149"/>
      <c r="AC631" s="129"/>
      <c r="AD631" s="129"/>
      <c r="AE631" s="129"/>
    </row>
    <row r="632" spans="3:31" x14ac:dyDescent="0.35">
      <c r="C632" s="129"/>
      <c r="D632" s="129"/>
      <c r="E632" s="129"/>
      <c r="F632" s="129"/>
      <c r="G632" s="129"/>
      <c r="H632" s="110"/>
      <c r="I632" s="129"/>
      <c r="J632" t="s">
        <v>351</v>
      </c>
      <c r="K632" s="129"/>
      <c r="L632" s="129"/>
      <c r="M632" s="129"/>
      <c r="N632" s="129"/>
      <c r="O632" s="129"/>
      <c r="P632" s="129"/>
      <c r="Q632" s="129"/>
      <c r="R632" s="129"/>
      <c r="S632" s="141"/>
      <c r="T632" s="139"/>
      <c r="U632" s="129"/>
      <c r="V632" s="129"/>
      <c r="W632" s="129"/>
      <c r="X632" s="129"/>
      <c r="Y632" s="129"/>
      <c r="Z632" s="115"/>
      <c r="AA632" s="129"/>
      <c r="AB632" s="149"/>
      <c r="AC632" s="129"/>
      <c r="AD632" s="129"/>
      <c r="AE632" s="129"/>
    </row>
    <row r="633" spans="3:31" x14ac:dyDescent="0.35">
      <c r="C633" s="129"/>
      <c r="D633" s="129"/>
      <c r="E633" s="129"/>
      <c r="F633" s="129"/>
      <c r="G633" s="129"/>
      <c r="H633" s="110"/>
      <c r="I633" s="129"/>
      <c r="J633" t="s">
        <v>351</v>
      </c>
      <c r="K633" s="129"/>
      <c r="L633" s="129"/>
      <c r="M633" s="129"/>
      <c r="N633" s="129"/>
      <c r="O633" s="129"/>
      <c r="P633" s="129"/>
      <c r="Q633" s="129"/>
      <c r="R633" s="129"/>
      <c r="S633" s="141"/>
      <c r="T633" s="139"/>
      <c r="U633" s="129"/>
      <c r="V633" s="129"/>
      <c r="W633" s="129"/>
      <c r="X633" s="129"/>
      <c r="Y633" s="129"/>
      <c r="Z633" s="115"/>
      <c r="AA633" s="129"/>
      <c r="AB633" s="149"/>
      <c r="AC633" s="129"/>
      <c r="AD633" s="129"/>
      <c r="AE633" s="129"/>
    </row>
    <row r="634" spans="3:31" x14ac:dyDescent="0.35">
      <c r="C634" s="129"/>
      <c r="D634" s="129"/>
      <c r="E634" s="129"/>
      <c r="F634" s="129"/>
      <c r="G634" s="129"/>
      <c r="H634" s="110"/>
      <c r="I634" s="129"/>
      <c r="J634" t="s">
        <v>351</v>
      </c>
      <c r="K634" s="129"/>
      <c r="L634" s="129"/>
      <c r="M634" s="129"/>
      <c r="N634" s="129"/>
      <c r="O634" s="129"/>
      <c r="P634" s="129"/>
      <c r="Q634" s="129"/>
      <c r="R634" s="129"/>
      <c r="S634" s="141"/>
      <c r="T634" s="139"/>
      <c r="U634" s="129"/>
      <c r="V634" s="129"/>
      <c r="W634" s="129"/>
      <c r="X634" s="129"/>
      <c r="Y634" s="129"/>
      <c r="Z634" s="115"/>
      <c r="AA634" s="129"/>
      <c r="AB634" s="149"/>
      <c r="AC634" s="129"/>
      <c r="AD634" s="129"/>
      <c r="AE634" s="129"/>
    </row>
    <row r="635" spans="3:31" x14ac:dyDescent="0.35">
      <c r="C635" s="129"/>
      <c r="D635" s="129"/>
      <c r="E635" s="129"/>
      <c r="F635" s="129"/>
      <c r="G635" s="129"/>
      <c r="H635" s="110"/>
      <c r="I635" s="129"/>
      <c r="J635" t="s">
        <v>351</v>
      </c>
      <c r="K635" s="129"/>
      <c r="L635" s="129"/>
      <c r="M635" s="129"/>
      <c r="N635" s="129"/>
      <c r="O635" s="129"/>
      <c r="P635" s="129"/>
      <c r="Q635" s="129"/>
      <c r="R635" s="129"/>
      <c r="S635" s="141"/>
      <c r="T635" s="139"/>
      <c r="U635" s="129"/>
      <c r="V635" s="129"/>
      <c r="W635" s="129"/>
      <c r="X635" s="129"/>
      <c r="Y635" s="129"/>
      <c r="Z635" s="115"/>
      <c r="AA635" s="129"/>
      <c r="AB635" s="149"/>
      <c r="AC635" s="129"/>
      <c r="AD635" s="129"/>
      <c r="AE635" s="129"/>
    </row>
    <row r="636" spans="3:31" x14ac:dyDescent="0.35">
      <c r="C636" s="129"/>
      <c r="D636" s="129"/>
      <c r="E636" s="129"/>
      <c r="F636" s="129"/>
      <c r="G636" s="129"/>
      <c r="H636" s="110"/>
      <c r="I636" s="129"/>
      <c r="J636" t="s">
        <v>351</v>
      </c>
      <c r="K636" s="129"/>
      <c r="L636" s="129"/>
      <c r="M636" s="129"/>
      <c r="N636" s="129"/>
      <c r="O636" s="129"/>
      <c r="P636" s="129"/>
      <c r="Q636" s="129"/>
      <c r="R636" s="129"/>
      <c r="S636" s="141"/>
      <c r="T636" s="139"/>
      <c r="U636" s="129"/>
      <c r="V636" s="129"/>
      <c r="W636" s="129"/>
      <c r="X636" s="129"/>
      <c r="Y636" s="129"/>
      <c r="Z636" s="115"/>
      <c r="AA636" s="129"/>
      <c r="AB636" s="149"/>
      <c r="AC636" s="129"/>
      <c r="AD636" s="129"/>
      <c r="AE636" s="129"/>
    </row>
    <row r="637" spans="3:31" x14ac:dyDescent="0.35">
      <c r="C637" s="129"/>
      <c r="D637" s="129"/>
      <c r="E637" s="129"/>
      <c r="F637" s="129"/>
      <c r="G637" s="129"/>
      <c r="H637" s="110"/>
      <c r="I637" s="129"/>
      <c r="J637" t="s">
        <v>351</v>
      </c>
      <c r="K637" s="129"/>
      <c r="L637" s="129"/>
      <c r="M637" s="129"/>
      <c r="N637" s="129"/>
      <c r="O637" s="129"/>
      <c r="P637" s="129"/>
      <c r="Q637" s="129"/>
      <c r="R637" s="129"/>
      <c r="S637" s="141"/>
      <c r="T637" s="139"/>
      <c r="U637" s="129"/>
      <c r="V637" s="129"/>
      <c r="W637" s="129"/>
      <c r="X637" s="129"/>
      <c r="Y637" s="129"/>
      <c r="Z637" s="115"/>
      <c r="AA637" s="129"/>
      <c r="AB637" s="149"/>
      <c r="AC637" s="129"/>
      <c r="AD637" s="129"/>
      <c r="AE637" s="129"/>
    </row>
    <row r="638" spans="3:31" x14ac:dyDescent="0.35">
      <c r="C638" s="129"/>
      <c r="D638" s="129"/>
      <c r="E638" s="129"/>
      <c r="F638" s="129"/>
      <c r="G638" s="129"/>
      <c r="H638" s="110"/>
      <c r="I638" s="129"/>
      <c r="J638" t="s">
        <v>351</v>
      </c>
      <c r="K638" s="129"/>
      <c r="L638" s="129"/>
      <c r="M638" s="129"/>
      <c r="N638" s="129"/>
      <c r="O638" s="129"/>
      <c r="P638" s="129"/>
      <c r="Q638" s="129"/>
      <c r="R638" s="129"/>
      <c r="S638" s="141"/>
      <c r="T638" s="139"/>
      <c r="U638" s="129"/>
      <c r="V638" s="129"/>
      <c r="W638" s="129"/>
      <c r="X638" s="129"/>
      <c r="Y638" s="129"/>
      <c r="Z638" s="115"/>
      <c r="AA638" s="129"/>
      <c r="AB638" s="149"/>
      <c r="AC638" s="129"/>
      <c r="AD638" s="129"/>
      <c r="AE638" s="129"/>
    </row>
    <row r="639" spans="3:31" x14ac:dyDescent="0.35">
      <c r="C639" s="129"/>
      <c r="D639" s="129"/>
      <c r="E639" s="129"/>
      <c r="F639" s="129"/>
      <c r="G639" s="129"/>
      <c r="H639" s="110"/>
      <c r="I639" s="129"/>
      <c r="J639" t="s">
        <v>351</v>
      </c>
      <c r="K639" s="129"/>
      <c r="L639" s="129"/>
      <c r="M639" s="129"/>
      <c r="N639" s="129"/>
      <c r="O639" s="129"/>
      <c r="P639" s="129"/>
      <c r="Q639" s="129"/>
      <c r="R639" s="129"/>
      <c r="S639" s="141"/>
      <c r="T639" s="139"/>
      <c r="U639" s="129"/>
      <c r="V639" s="129"/>
      <c r="W639" s="129"/>
      <c r="X639" s="129"/>
      <c r="Y639" s="129"/>
      <c r="Z639" s="115"/>
      <c r="AA639" s="129"/>
      <c r="AB639" s="149"/>
      <c r="AC639" s="129"/>
      <c r="AD639" s="129"/>
      <c r="AE639" s="129"/>
    </row>
    <row r="640" spans="3:31" x14ac:dyDescent="0.35">
      <c r="C640" s="129"/>
      <c r="D640" s="129"/>
      <c r="E640" s="129"/>
      <c r="F640" s="129"/>
      <c r="G640" s="129"/>
      <c r="H640" s="110"/>
      <c r="I640" s="129"/>
      <c r="J640" t="s">
        <v>351</v>
      </c>
      <c r="K640" s="129"/>
      <c r="L640" s="129"/>
      <c r="M640" s="129"/>
      <c r="N640" s="129"/>
      <c r="O640" s="129"/>
      <c r="P640" s="129"/>
      <c r="Q640" s="129"/>
      <c r="R640" s="129"/>
      <c r="S640" s="141"/>
      <c r="T640" s="139"/>
      <c r="U640" s="129"/>
      <c r="V640" s="129"/>
      <c r="W640" s="129"/>
      <c r="X640" s="129"/>
      <c r="Y640" s="129"/>
      <c r="Z640" s="115"/>
      <c r="AA640" s="129"/>
      <c r="AB640" s="149"/>
      <c r="AC640" s="129"/>
      <c r="AD640" s="129"/>
      <c r="AE640" s="129"/>
    </row>
    <row r="641" spans="3:31" x14ac:dyDescent="0.35">
      <c r="C641" s="129"/>
      <c r="D641" s="129"/>
      <c r="E641" s="129"/>
      <c r="F641" s="129"/>
      <c r="G641" s="129"/>
      <c r="H641" s="110"/>
      <c r="I641" s="129"/>
      <c r="J641" t="s">
        <v>351</v>
      </c>
      <c r="K641" s="129"/>
      <c r="L641" s="129"/>
      <c r="M641" s="129"/>
      <c r="N641" s="129"/>
      <c r="O641" s="129"/>
      <c r="P641" s="129"/>
      <c r="Q641" s="129"/>
      <c r="R641" s="129"/>
      <c r="S641" s="141"/>
      <c r="T641" s="139"/>
      <c r="U641" s="129"/>
      <c r="V641" s="129"/>
      <c r="W641" s="129"/>
      <c r="X641" s="129"/>
      <c r="Y641" s="129"/>
      <c r="Z641" s="115"/>
      <c r="AA641" s="129"/>
      <c r="AB641" s="149"/>
      <c r="AC641" s="129"/>
      <c r="AD641" s="129"/>
      <c r="AE641" s="129"/>
    </row>
    <row r="642" spans="3:31" x14ac:dyDescent="0.35">
      <c r="C642" s="129"/>
      <c r="D642" s="129"/>
      <c r="E642" s="129"/>
      <c r="F642" s="129"/>
      <c r="G642" s="129"/>
      <c r="H642" s="110"/>
      <c r="I642" s="129"/>
      <c r="J642" t="s">
        <v>351</v>
      </c>
      <c r="K642" s="129"/>
      <c r="L642" s="129"/>
      <c r="M642" s="129"/>
      <c r="N642" s="129"/>
      <c r="O642" s="129"/>
      <c r="P642" s="129"/>
      <c r="Q642" s="129"/>
      <c r="R642" s="129"/>
      <c r="S642" s="141"/>
      <c r="T642" s="139"/>
      <c r="U642" s="129"/>
      <c r="V642" s="129"/>
      <c r="W642" s="129"/>
      <c r="X642" s="129"/>
      <c r="Y642" s="129"/>
      <c r="Z642" s="115"/>
      <c r="AA642" s="129"/>
      <c r="AB642" s="149"/>
      <c r="AC642" s="129"/>
      <c r="AD642" s="129"/>
      <c r="AE642" s="129"/>
    </row>
    <row r="643" spans="3:31" x14ac:dyDescent="0.35">
      <c r="C643" s="129"/>
      <c r="D643" s="129"/>
      <c r="E643" s="129"/>
      <c r="F643" s="129"/>
      <c r="G643" s="129"/>
      <c r="H643" s="110"/>
      <c r="I643" s="129"/>
      <c r="J643" t="s">
        <v>351</v>
      </c>
      <c r="K643" s="129"/>
      <c r="L643" s="129"/>
      <c r="M643" s="129"/>
      <c r="N643" s="129"/>
      <c r="O643" s="129"/>
      <c r="P643" s="129"/>
      <c r="Q643" s="129"/>
      <c r="R643" s="129"/>
      <c r="S643" s="141"/>
      <c r="T643" s="139"/>
      <c r="U643" s="129"/>
      <c r="V643" s="129"/>
      <c r="W643" s="129"/>
      <c r="X643" s="129"/>
      <c r="Y643" s="129"/>
      <c r="Z643" s="115"/>
      <c r="AA643" s="129"/>
      <c r="AB643" s="149"/>
      <c r="AC643" s="129"/>
      <c r="AD643" s="129"/>
      <c r="AE643" s="129"/>
    </row>
    <row r="644" spans="3:31" x14ac:dyDescent="0.35">
      <c r="C644" s="129"/>
      <c r="D644" s="129"/>
      <c r="E644" s="129"/>
      <c r="F644" s="129"/>
      <c r="G644" s="129"/>
      <c r="H644" s="110"/>
      <c r="I644" s="129"/>
      <c r="J644" t="s">
        <v>351</v>
      </c>
      <c r="K644" s="129"/>
      <c r="L644" s="129"/>
      <c r="M644" s="129"/>
      <c r="N644" s="129"/>
      <c r="O644" s="129"/>
      <c r="P644" s="129"/>
      <c r="Q644" s="129"/>
      <c r="R644" s="129"/>
      <c r="S644" s="141"/>
      <c r="T644" s="139"/>
      <c r="U644" s="129"/>
      <c r="V644" s="129"/>
      <c r="W644" s="129"/>
      <c r="X644" s="129"/>
      <c r="Y644" s="129"/>
      <c r="Z644" s="115"/>
      <c r="AA644" s="129"/>
      <c r="AB644" s="149"/>
      <c r="AC644" s="129"/>
      <c r="AD644" s="129"/>
      <c r="AE644" s="129"/>
    </row>
    <row r="645" spans="3:31" x14ac:dyDescent="0.35">
      <c r="C645" s="129"/>
      <c r="D645" s="129"/>
      <c r="E645" s="129"/>
      <c r="F645" s="129"/>
      <c r="G645" s="129"/>
      <c r="H645" s="110"/>
      <c r="I645" s="129"/>
      <c r="J645" t="s">
        <v>351</v>
      </c>
      <c r="K645" s="129"/>
      <c r="L645" s="129"/>
      <c r="M645" s="129"/>
      <c r="N645" s="129"/>
      <c r="O645" s="129"/>
      <c r="P645" s="129"/>
      <c r="Q645" s="129"/>
      <c r="R645" s="129"/>
      <c r="S645" s="141"/>
      <c r="T645" s="139"/>
      <c r="U645" s="129"/>
      <c r="V645" s="129"/>
      <c r="W645" s="129"/>
      <c r="X645" s="129"/>
      <c r="Y645" s="129"/>
      <c r="Z645" s="115"/>
      <c r="AA645" s="129"/>
      <c r="AB645" s="149"/>
      <c r="AC645" s="129"/>
      <c r="AD645" s="129"/>
      <c r="AE645" s="129"/>
    </row>
    <row r="646" spans="3:31" x14ac:dyDescent="0.35">
      <c r="C646" s="129"/>
      <c r="D646" s="129"/>
      <c r="E646" s="129"/>
      <c r="F646" s="129"/>
      <c r="G646" s="129"/>
      <c r="H646" s="110"/>
      <c r="I646" s="129"/>
      <c r="J646" t="s">
        <v>351</v>
      </c>
      <c r="K646" s="129"/>
      <c r="L646" s="129"/>
      <c r="M646" s="129"/>
      <c r="N646" s="129"/>
      <c r="O646" s="129"/>
      <c r="P646" s="129"/>
      <c r="Q646" s="129"/>
      <c r="R646" s="129"/>
      <c r="S646" s="141"/>
      <c r="T646" s="139"/>
      <c r="U646" s="129"/>
      <c r="V646" s="129"/>
      <c r="W646" s="129"/>
      <c r="X646" s="129"/>
      <c r="Y646" s="129"/>
      <c r="Z646" s="115"/>
      <c r="AA646" s="129"/>
      <c r="AB646" s="149"/>
      <c r="AC646" s="129"/>
      <c r="AD646" s="129"/>
      <c r="AE646" s="129"/>
    </row>
    <row r="647" spans="3:31" x14ac:dyDescent="0.35">
      <c r="C647" s="129"/>
      <c r="D647" s="129"/>
      <c r="E647" s="129"/>
      <c r="F647" s="129"/>
      <c r="G647" s="129"/>
      <c r="H647" s="110"/>
      <c r="I647" s="129"/>
      <c r="J647" t="s">
        <v>351</v>
      </c>
      <c r="K647" s="129"/>
      <c r="L647" s="129"/>
      <c r="M647" s="129"/>
      <c r="N647" s="129"/>
      <c r="O647" s="129"/>
      <c r="P647" s="129"/>
      <c r="Q647" s="129"/>
      <c r="R647" s="129"/>
      <c r="S647" s="141"/>
      <c r="T647" s="139"/>
      <c r="U647" s="129"/>
      <c r="V647" s="129"/>
      <c r="W647" s="129"/>
      <c r="X647" s="129"/>
      <c r="Y647" s="129"/>
      <c r="Z647" s="115"/>
      <c r="AA647" s="129"/>
      <c r="AB647" s="149"/>
      <c r="AC647" s="129"/>
      <c r="AD647" s="129"/>
      <c r="AE647" s="129"/>
    </row>
    <row r="648" spans="3:31" x14ac:dyDescent="0.35">
      <c r="C648" s="129"/>
      <c r="D648" s="129"/>
      <c r="E648" s="129"/>
      <c r="F648" s="129"/>
      <c r="G648" s="129"/>
      <c r="H648" s="110"/>
      <c r="I648" s="129"/>
      <c r="J648" t="s">
        <v>351</v>
      </c>
      <c r="K648" s="129"/>
      <c r="L648" s="129"/>
      <c r="M648" s="129"/>
      <c r="N648" s="129"/>
      <c r="O648" s="129"/>
      <c r="P648" s="129"/>
      <c r="Q648" s="129"/>
      <c r="R648" s="129"/>
      <c r="S648" s="141"/>
      <c r="T648" s="139"/>
      <c r="U648" s="129"/>
      <c r="V648" s="129"/>
      <c r="W648" s="129"/>
      <c r="X648" s="129"/>
      <c r="Y648" s="129"/>
      <c r="Z648" s="115"/>
      <c r="AA648" s="129"/>
      <c r="AB648" s="149"/>
      <c r="AC648" s="129"/>
      <c r="AD648" s="129"/>
      <c r="AE648" s="129"/>
    </row>
    <row r="649" spans="3:31" x14ac:dyDescent="0.35">
      <c r="C649" s="129"/>
      <c r="D649" s="129"/>
      <c r="E649" s="129"/>
      <c r="F649" s="129"/>
      <c r="G649" s="129"/>
      <c r="H649" s="110"/>
      <c r="I649" s="129"/>
      <c r="J649" t="s">
        <v>351</v>
      </c>
      <c r="K649" s="129"/>
      <c r="L649" s="129"/>
      <c r="M649" s="129"/>
      <c r="N649" s="129"/>
      <c r="O649" s="129"/>
      <c r="P649" s="129"/>
      <c r="Q649" s="129"/>
      <c r="R649" s="129"/>
      <c r="S649" s="141"/>
      <c r="T649" s="139"/>
      <c r="U649" s="129"/>
      <c r="V649" s="129"/>
      <c r="W649" s="129"/>
      <c r="X649" s="129"/>
      <c r="Y649" s="129"/>
      <c r="Z649" s="115"/>
      <c r="AA649" s="129"/>
      <c r="AB649" s="149"/>
      <c r="AC649" s="129"/>
      <c r="AD649" s="129"/>
      <c r="AE649" s="129"/>
    </row>
    <row r="650" spans="3:31" x14ac:dyDescent="0.35">
      <c r="C650" s="129"/>
      <c r="D650" s="129"/>
      <c r="E650" s="129"/>
      <c r="F650" s="129"/>
      <c r="G650" s="129"/>
      <c r="H650" s="110"/>
      <c r="I650" s="129"/>
      <c r="J650" t="s">
        <v>351</v>
      </c>
      <c r="K650" s="129"/>
      <c r="L650" s="129"/>
      <c r="M650" s="129"/>
      <c r="N650" s="129"/>
      <c r="O650" s="129"/>
      <c r="P650" s="129"/>
      <c r="Q650" s="129"/>
      <c r="R650" s="129"/>
      <c r="S650" s="141"/>
      <c r="T650" s="139"/>
      <c r="U650" s="129"/>
      <c r="V650" s="129"/>
      <c r="W650" s="129"/>
      <c r="X650" s="129"/>
      <c r="Y650" s="129"/>
      <c r="Z650" s="115"/>
      <c r="AA650" s="129"/>
      <c r="AB650" s="149"/>
      <c r="AC650" s="129"/>
      <c r="AD650" s="129"/>
      <c r="AE650" s="129"/>
    </row>
    <row r="651" spans="3:31" x14ac:dyDescent="0.35">
      <c r="C651" s="129"/>
      <c r="D651" s="129"/>
      <c r="E651" s="129"/>
      <c r="F651" s="129"/>
      <c r="G651" s="129"/>
      <c r="H651" s="110"/>
      <c r="I651" s="129"/>
      <c r="J651" t="s">
        <v>351</v>
      </c>
      <c r="K651" s="129"/>
      <c r="L651" s="129"/>
      <c r="M651" s="129"/>
      <c r="N651" s="129"/>
      <c r="O651" s="129"/>
      <c r="P651" s="129"/>
      <c r="Q651" s="129"/>
      <c r="R651" s="129"/>
      <c r="S651" s="141"/>
      <c r="T651" s="139"/>
      <c r="U651" s="129"/>
      <c r="V651" s="129"/>
      <c r="W651" s="129"/>
      <c r="X651" s="129"/>
      <c r="Y651" s="129"/>
      <c r="Z651" s="115"/>
      <c r="AA651" s="129"/>
      <c r="AB651" s="149"/>
      <c r="AC651" s="129"/>
      <c r="AD651" s="129"/>
      <c r="AE651" s="129"/>
    </row>
    <row r="652" spans="3:31" x14ac:dyDescent="0.35">
      <c r="C652" s="129"/>
      <c r="D652" s="129"/>
      <c r="E652" s="129"/>
      <c r="F652" s="129"/>
      <c r="G652" s="129"/>
      <c r="H652" s="110"/>
      <c r="I652" s="129"/>
      <c r="J652" t="s">
        <v>351</v>
      </c>
      <c r="K652" s="129"/>
      <c r="L652" s="129"/>
      <c r="M652" s="129"/>
      <c r="N652" s="129"/>
      <c r="O652" s="129"/>
      <c r="P652" s="129"/>
      <c r="Q652" s="129"/>
      <c r="R652" s="129"/>
      <c r="S652" s="141"/>
      <c r="T652" s="139"/>
      <c r="U652" s="129"/>
      <c r="V652" s="129"/>
      <c r="W652" s="129"/>
      <c r="X652" s="129"/>
      <c r="Y652" s="129"/>
      <c r="Z652" s="115"/>
      <c r="AA652" s="129"/>
      <c r="AB652" s="149"/>
      <c r="AC652" s="129"/>
      <c r="AD652" s="129"/>
      <c r="AE652" s="129"/>
    </row>
    <row r="653" spans="3:31" x14ac:dyDescent="0.35">
      <c r="C653" s="129"/>
      <c r="D653" s="129"/>
      <c r="E653" s="129"/>
      <c r="F653" s="129"/>
      <c r="G653" s="129"/>
      <c r="H653" s="110"/>
      <c r="I653" s="129"/>
      <c r="J653" t="s">
        <v>351</v>
      </c>
      <c r="K653" s="129"/>
      <c r="L653" s="129"/>
      <c r="M653" s="129"/>
      <c r="N653" s="129"/>
      <c r="O653" s="129"/>
      <c r="P653" s="129"/>
      <c r="Q653" s="129"/>
      <c r="R653" s="129"/>
      <c r="S653" s="141"/>
      <c r="T653" s="139"/>
      <c r="U653" s="129"/>
      <c r="V653" s="129"/>
      <c r="W653" s="129"/>
      <c r="X653" s="129"/>
      <c r="Y653" s="129"/>
      <c r="Z653" s="115"/>
      <c r="AA653" s="129"/>
      <c r="AB653" s="149"/>
      <c r="AC653" s="129"/>
      <c r="AD653" s="129"/>
      <c r="AE653" s="129"/>
    </row>
    <row r="654" spans="3:31" x14ac:dyDescent="0.35">
      <c r="C654" s="129"/>
      <c r="D654" s="129"/>
      <c r="E654" s="129"/>
      <c r="F654" s="129"/>
      <c r="G654" s="129"/>
      <c r="H654" s="110"/>
      <c r="I654" s="129"/>
      <c r="J654" t="s">
        <v>351</v>
      </c>
      <c r="K654" s="129"/>
      <c r="L654" s="129"/>
      <c r="M654" s="129"/>
      <c r="N654" s="129"/>
      <c r="O654" s="129"/>
      <c r="P654" s="129"/>
      <c r="Q654" s="129"/>
      <c r="R654" s="129"/>
      <c r="S654" s="141"/>
      <c r="T654" s="139"/>
      <c r="U654" s="129"/>
      <c r="V654" s="129"/>
      <c r="W654" s="129"/>
      <c r="X654" s="129"/>
      <c r="Y654" s="129"/>
      <c r="Z654" s="115"/>
      <c r="AA654" s="129"/>
      <c r="AB654" s="149"/>
      <c r="AC654" s="129"/>
      <c r="AD654" s="129"/>
      <c r="AE654" s="129"/>
    </row>
    <row r="655" spans="3:31" x14ac:dyDescent="0.35">
      <c r="C655" s="129"/>
      <c r="D655" s="129"/>
      <c r="E655" s="129"/>
      <c r="F655" s="129"/>
      <c r="G655" s="129"/>
      <c r="H655" s="110"/>
      <c r="I655" s="129"/>
      <c r="J655" t="s">
        <v>351</v>
      </c>
      <c r="K655" s="129"/>
      <c r="L655" s="129"/>
      <c r="M655" s="129"/>
      <c r="N655" s="129"/>
      <c r="O655" s="129"/>
      <c r="P655" s="129"/>
      <c r="Q655" s="129"/>
      <c r="R655" s="129"/>
      <c r="S655" s="141"/>
      <c r="T655" s="139"/>
      <c r="U655" s="129"/>
      <c r="V655" s="129"/>
      <c r="W655" s="129"/>
      <c r="X655" s="129"/>
      <c r="Y655" s="129"/>
      <c r="Z655" s="115"/>
      <c r="AA655" s="129"/>
      <c r="AB655" s="149"/>
      <c r="AC655" s="129"/>
      <c r="AD655" s="129"/>
      <c r="AE655" s="129"/>
    </row>
    <row r="656" spans="3:31" x14ac:dyDescent="0.35">
      <c r="C656" s="129"/>
      <c r="D656" s="129"/>
      <c r="E656" s="129"/>
      <c r="F656" s="129"/>
      <c r="G656" s="129"/>
      <c r="H656" s="110"/>
      <c r="I656" s="129"/>
      <c r="J656" t="s">
        <v>351</v>
      </c>
      <c r="K656" s="129"/>
      <c r="L656" s="129"/>
      <c r="M656" s="129"/>
      <c r="N656" s="129"/>
      <c r="O656" s="129"/>
      <c r="P656" s="129"/>
      <c r="Q656" s="129"/>
      <c r="R656" s="129"/>
      <c r="S656" s="141"/>
      <c r="T656" s="139"/>
      <c r="U656" s="129"/>
      <c r="V656" s="129"/>
      <c r="W656" s="129"/>
      <c r="X656" s="129"/>
      <c r="Y656" s="129"/>
      <c r="Z656" s="115"/>
      <c r="AA656" s="129"/>
      <c r="AB656" s="149"/>
      <c r="AC656" s="129"/>
      <c r="AD656" s="129"/>
      <c r="AE656" s="129"/>
    </row>
    <row r="657" spans="3:31" x14ac:dyDescent="0.35">
      <c r="C657" s="129"/>
      <c r="D657" s="129"/>
      <c r="E657" s="129"/>
      <c r="F657" s="129"/>
      <c r="G657" s="129"/>
      <c r="H657" s="110"/>
      <c r="I657" s="129"/>
      <c r="J657" t="s">
        <v>351</v>
      </c>
      <c r="K657" s="129"/>
      <c r="L657" s="129"/>
      <c r="M657" s="129"/>
      <c r="N657" s="129"/>
      <c r="O657" s="129"/>
      <c r="P657" s="129"/>
      <c r="Q657" s="129"/>
      <c r="R657" s="129"/>
      <c r="S657" s="141"/>
      <c r="T657" s="139"/>
      <c r="U657" s="129"/>
      <c r="V657" s="129"/>
      <c r="W657" s="129"/>
      <c r="X657" s="129"/>
      <c r="Y657" s="129"/>
      <c r="Z657" s="115"/>
      <c r="AA657" s="129"/>
      <c r="AB657" s="149"/>
      <c r="AC657" s="129"/>
      <c r="AD657" s="129"/>
      <c r="AE657" s="129"/>
    </row>
    <row r="658" spans="3:31" x14ac:dyDescent="0.35">
      <c r="C658" s="129"/>
      <c r="D658" s="129"/>
      <c r="E658" s="129"/>
      <c r="F658" s="129"/>
      <c r="G658" s="129"/>
      <c r="H658" s="110"/>
      <c r="I658" s="129"/>
      <c r="J658" t="s">
        <v>351</v>
      </c>
      <c r="K658" s="129"/>
      <c r="L658" s="129"/>
      <c r="M658" s="129"/>
      <c r="N658" s="129"/>
      <c r="O658" s="129"/>
      <c r="P658" s="129"/>
      <c r="Q658" s="129"/>
      <c r="R658" s="129"/>
      <c r="S658" s="141"/>
      <c r="T658" s="139"/>
      <c r="U658" s="129"/>
      <c r="V658" s="129"/>
      <c r="W658" s="129"/>
      <c r="X658" s="129"/>
      <c r="Y658" s="129"/>
      <c r="Z658" s="115"/>
      <c r="AA658" s="129"/>
      <c r="AB658" s="149"/>
      <c r="AC658" s="129"/>
      <c r="AD658" s="129"/>
      <c r="AE658" s="129"/>
    </row>
    <row r="659" spans="3:31" x14ac:dyDescent="0.35">
      <c r="C659" s="129"/>
      <c r="D659" s="129"/>
      <c r="E659" s="129"/>
      <c r="F659" s="129"/>
      <c r="G659" s="129"/>
      <c r="H659" s="110"/>
      <c r="I659" s="129"/>
      <c r="J659" t="s">
        <v>351</v>
      </c>
      <c r="K659" s="129"/>
      <c r="L659" s="129"/>
      <c r="M659" s="129"/>
      <c r="N659" s="129"/>
      <c r="O659" s="129"/>
      <c r="P659" s="129"/>
      <c r="Q659" s="129"/>
      <c r="R659" s="129"/>
      <c r="S659" s="141"/>
      <c r="T659" s="139"/>
      <c r="U659" s="129"/>
      <c r="V659" s="129"/>
      <c r="W659" s="129"/>
      <c r="X659" s="129"/>
      <c r="Y659" s="129"/>
      <c r="Z659" s="115"/>
      <c r="AA659" s="129"/>
      <c r="AB659" s="149"/>
      <c r="AC659" s="129"/>
      <c r="AD659" s="129"/>
      <c r="AE659" s="129"/>
    </row>
    <row r="660" spans="3:31" x14ac:dyDescent="0.35">
      <c r="C660" s="129"/>
      <c r="D660" s="129"/>
      <c r="E660" s="129"/>
      <c r="F660" s="129"/>
      <c r="G660" s="129"/>
      <c r="H660" s="110"/>
      <c r="I660" s="129"/>
      <c r="J660" t="s">
        <v>351</v>
      </c>
      <c r="K660" s="129"/>
      <c r="L660" s="129"/>
      <c r="M660" s="129"/>
      <c r="N660" s="129"/>
      <c r="O660" s="129"/>
      <c r="P660" s="129"/>
      <c r="Q660" s="129"/>
      <c r="R660" s="129"/>
      <c r="S660" s="141"/>
      <c r="T660" s="139"/>
      <c r="U660" s="129"/>
      <c r="V660" s="129"/>
      <c r="W660" s="129"/>
      <c r="X660" s="129"/>
      <c r="Y660" s="129"/>
      <c r="Z660" s="115"/>
      <c r="AA660" s="129"/>
      <c r="AB660" s="149"/>
      <c r="AC660" s="129"/>
      <c r="AD660" s="129"/>
      <c r="AE660" s="129"/>
    </row>
    <row r="661" spans="3:31" x14ac:dyDescent="0.35">
      <c r="C661" s="129"/>
      <c r="D661" s="129"/>
      <c r="E661" s="129"/>
      <c r="F661" s="129"/>
      <c r="G661" s="129"/>
      <c r="H661" s="110"/>
      <c r="I661" s="129"/>
      <c r="J661" t="s">
        <v>351</v>
      </c>
      <c r="K661" s="129"/>
      <c r="L661" s="129"/>
      <c r="M661" s="129"/>
      <c r="N661" s="129"/>
      <c r="O661" s="129"/>
      <c r="P661" s="129"/>
      <c r="Q661" s="129"/>
      <c r="R661" s="129"/>
      <c r="S661" s="141"/>
      <c r="T661" s="139"/>
      <c r="U661" s="129"/>
      <c r="V661" s="129"/>
      <c r="W661" s="129"/>
      <c r="X661" s="129"/>
      <c r="Y661" s="129"/>
      <c r="Z661" s="115"/>
      <c r="AA661" s="129"/>
      <c r="AB661" s="149"/>
      <c r="AC661" s="129"/>
      <c r="AD661" s="129"/>
      <c r="AE661" s="129"/>
    </row>
    <row r="662" spans="3:31" x14ac:dyDescent="0.35">
      <c r="C662" s="129"/>
      <c r="D662" s="129"/>
      <c r="E662" s="129"/>
      <c r="F662" s="129"/>
      <c r="G662" s="129"/>
      <c r="H662" s="110"/>
      <c r="I662" s="129"/>
      <c r="J662" t="s">
        <v>351</v>
      </c>
      <c r="K662" s="129"/>
      <c r="L662" s="129"/>
      <c r="M662" s="129"/>
      <c r="N662" s="129"/>
      <c r="O662" s="129"/>
      <c r="P662" s="129"/>
      <c r="Q662" s="129"/>
      <c r="R662" s="129"/>
      <c r="S662" s="141"/>
      <c r="T662" s="139"/>
      <c r="U662" s="129"/>
      <c r="V662" s="129"/>
      <c r="W662" s="129"/>
      <c r="X662" s="129"/>
      <c r="Y662" s="129"/>
      <c r="Z662" s="115"/>
      <c r="AA662" s="129"/>
      <c r="AB662" s="149"/>
      <c r="AC662" s="129"/>
      <c r="AD662" s="129"/>
      <c r="AE662" s="129"/>
    </row>
    <row r="663" spans="3:31" x14ac:dyDescent="0.35">
      <c r="C663" s="129"/>
      <c r="D663" s="129"/>
      <c r="E663" s="129"/>
      <c r="F663" s="129"/>
      <c r="G663" s="129"/>
      <c r="H663" s="110"/>
      <c r="I663" s="129"/>
      <c r="J663" t="s">
        <v>351</v>
      </c>
      <c r="K663" s="129"/>
      <c r="L663" s="129"/>
      <c r="M663" s="129"/>
      <c r="N663" s="129"/>
      <c r="O663" s="129"/>
      <c r="P663" s="129"/>
      <c r="Q663" s="129"/>
      <c r="R663" s="129"/>
      <c r="S663" s="141"/>
      <c r="T663" s="139"/>
      <c r="U663" s="129"/>
      <c r="V663" s="129"/>
      <c r="W663" s="129"/>
      <c r="X663" s="129"/>
      <c r="Y663" s="129"/>
      <c r="Z663" s="115"/>
      <c r="AA663" s="129"/>
      <c r="AB663" s="149"/>
      <c r="AC663" s="129"/>
      <c r="AD663" s="129"/>
      <c r="AE663" s="129"/>
    </row>
    <row r="664" spans="3:31" x14ac:dyDescent="0.35">
      <c r="C664" s="129"/>
      <c r="D664" s="129"/>
      <c r="E664" s="129"/>
      <c r="F664" s="129"/>
      <c r="G664" s="129"/>
      <c r="H664" s="110"/>
      <c r="I664" s="129"/>
      <c r="J664" t="s">
        <v>351</v>
      </c>
      <c r="K664" s="129"/>
      <c r="L664" s="129"/>
      <c r="M664" s="129"/>
      <c r="N664" s="129"/>
      <c r="O664" s="129"/>
      <c r="P664" s="129"/>
      <c r="Q664" s="129"/>
      <c r="R664" s="129"/>
      <c r="S664" s="141"/>
      <c r="T664" s="139"/>
      <c r="U664" s="129"/>
      <c r="V664" s="129"/>
      <c r="W664" s="129"/>
      <c r="X664" s="129"/>
      <c r="Y664" s="129"/>
      <c r="Z664" s="115"/>
      <c r="AA664" s="129"/>
      <c r="AB664" s="149"/>
      <c r="AC664" s="129"/>
      <c r="AD664" s="129"/>
      <c r="AE664" s="129"/>
    </row>
    <row r="665" spans="3:31" x14ac:dyDescent="0.35">
      <c r="C665" s="129"/>
      <c r="D665" s="129"/>
      <c r="E665" s="129"/>
      <c r="F665" s="129"/>
      <c r="G665" s="129"/>
      <c r="H665" s="110"/>
      <c r="I665" s="129"/>
      <c r="J665" t="s">
        <v>351</v>
      </c>
      <c r="K665" s="129"/>
      <c r="L665" s="129"/>
      <c r="M665" s="129"/>
      <c r="N665" s="129"/>
      <c r="O665" s="129"/>
      <c r="P665" s="129"/>
      <c r="Q665" s="129"/>
      <c r="R665" s="129"/>
      <c r="S665" s="141"/>
      <c r="T665" s="139"/>
      <c r="U665" s="129"/>
      <c r="V665" s="129"/>
      <c r="W665" s="129"/>
      <c r="X665" s="129"/>
      <c r="Y665" s="129"/>
      <c r="Z665" s="115"/>
      <c r="AA665" s="129"/>
      <c r="AB665" s="149"/>
      <c r="AC665" s="129"/>
      <c r="AD665" s="129"/>
      <c r="AE665" s="129"/>
    </row>
    <row r="666" spans="3:31" x14ac:dyDescent="0.35">
      <c r="C666" s="129"/>
      <c r="D666" s="129"/>
      <c r="E666" s="129"/>
      <c r="F666" s="129"/>
      <c r="G666" s="129"/>
      <c r="H666" s="110"/>
      <c r="I666" s="129"/>
      <c r="J666" t="s">
        <v>351</v>
      </c>
      <c r="K666" s="129"/>
      <c r="L666" s="129"/>
      <c r="M666" s="129"/>
      <c r="N666" s="129"/>
      <c r="O666" s="129"/>
      <c r="P666" s="129"/>
      <c r="Q666" s="129"/>
      <c r="R666" s="129"/>
      <c r="S666" s="141"/>
      <c r="T666" s="139"/>
      <c r="U666" s="129"/>
      <c r="V666" s="129"/>
      <c r="W666" s="129"/>
      <c r="X666" s="129"/>
      <c r="Y666" s="129"/>
      <c r="Z666" s="115"/>
      <c r="AA666" s="129"/>
      <c r="AB666" s="149"/>
      <c r="AC666" s="129"/>
      <c r="AD666" s="129"/>
      <c r="AE666" s="129"/>
    </row>
    <row r="667" spans="3:31" x14ac:dyDescent="0.35">
      <c r="C667" s="129"/>
      <c r="D667" s="129"/>
      <c r="E667" s="129"/>
      <c r="F667" s="129"/>
      <c r="G667" s="129"/>
      <c r="H667" s="110"/>
      <c r="I667" s="129"/>
      <c r="J667" t="s">
        <v>351</v>
      </c>
      <c r="K667" s="129"/>
      <c r="L667" s="129"/>
      <c r="M667" s="129"/>
      <c r="N667" s="129"/>
      <c r="O667" s="129"/>
      <c r="P667" s="129"/>
      <c r="Q667" s="129"/>
      <c r="R667" s="129"/>
      <c r="S667" s="141"/>
      <c r="T667" s="139"/>
      <c r="U667" s="129"/>
      <c r="V667" s="129"/>
      <c r="W667" s="129"/>
      <c r="X667" s="129"/>
      <c r="Y667" s="129"/>
      <c r="Z667" s="115"/>
      <c r="AA667" s="129"/>
      <c r="AB667" s="149"/>
      <c r="AC667" s="129"/>
      <c r="AD667" s="129"/>
      <c r="AE667" s="129"/>
    </row>
    <row r="668" spans="3:31" x14ac:dyDescent="0.35">
      <c r="C668" s="129"/>
      <c r="D668" s="129"/>
      <c r="E668" s="129"/>
      <c r="F668" s="129"/>
      <c r="G668" s="129"/>
      <c r="H668" s="110"/>
      <c r="I668" s="129"/>
      <c r="J668" t="s">
        <v>351</v>
      </c>
      <c r="K668" s="129"/>
      <c r="L668" s="129"/>
      <c r="M668" s="129"/>
      <c r="N668" s="129"/>
      <c r="O668" s="129"/>
      <c r="P668" s="129"/>
      <c r="Q668" s="129"/>
      <c r="R668" s="129"/>
      <c r="S668" s="141"/>
      <c r="T668" s="139"/>
      <c r="U668" s="129"/>
      <c r="V668" s="129"/>
      <c r="W668" s="129"/>
      <c r="X668" s="129"/>
      <c r="Y668" s="129"/>
      <c r="Z668" s="115"/>
      <c r="AA668" s="129"/>
      <c r="AB668" s="149"/>
      <c r="AC668" s="129"/>
      <c r="AD668" s="129"/>
      <c r="AE668" s="129"/>
    </row>
    <row r="669" spans="3:31" x14ac:dyDescent="0.35">
      <c r="C669" s="129"/>
      <c r="D669" s="129"/>
      <c r="E669" s="129"/>
      <c r="F669" s="129"/>
      <c r="G669" s="129"/>
      <c r="H669" s="110"/>
      <c r="I669" s="129"/>
      <c r="J669" t="s">
        <v>351</v>
      </c>
      <c r="K669" s="129"/>
      <c r="L669" s="129"/>
      <c r="M669" s="129"/>
      <c r="N669" s="129"/>
      <c r="O669" s="129"/>
      <c r="P669" s="129"/>
      <c r="Q669" s="129"/>
      <c r="R669" s="129"/>
      <c r="S669" s="141"/>
      <c r="T669" s="139"/>
      <c r="U669" s="129"/>
      <c r="V669" s="129"/>
      <c r="W669" s="129"/>
      <c r="X669" s="129"/>
      <c r="Y669" s="129"/>
      <c r="Z669" s="115"/>
      <c r="AA669" s="129"/>
      <c r="AB669" s="149"/>
      <c r="AC669" s="129"/>
      <c r="AD669" s="129"/>
      <c r="AE669" s="129"/>
    </row>
    <row r="670" spans="3:31" x14ac:dyDescent="0.35">
      <c r="C670" s="129"/>
      <c r="D670" s="129"/>
      <c r="E670" s="129"/>
      <c r="F670" s="129"/>
      <c r="G670" s="129"/>
      <c r="H670" s="110"/>
      <c r="I670" s="129"/>
      <c r="J670" t="s">
        <v>351</v>
      </c>
      <c r="K670" s="129"/>
      <c r="L670" s="129"/>
      <c r="M670" s="129"/>
      <c r="N670" s="129"/>
      <c r="O670" s="129"/>
      <c r="P670" s="129"/>
      <c r="Q670" s="129"/>
      <c r="R670" s="129"/>
      <c r="S670" s="141"/>
      <c r="T670" s="139"/>
      <c r="U670" s="129"/>
      <c r="V670" s="129"/>
      <c r="W670" s="129"/>
      <c r="X670" s="129"/>
      <c r="Y670" s="129"/>
      <c r="Z670" s="115"/>
      <c r="AA670" s="129"/>
      <c r="AB670" s="149"/>
      <c r="AC670" s="129"/>
      <c r="AD670" s="129"/>
      <c r="AE670" s="129"/>
    </row>
    <row r="671" spans="3:31" x14ac:dyDescent="0.35">
      <c r="C671" s="129"/>
      <c r="D671" s="129"/>
      <c r="E671" s="129"/>
      <c r="F671" s="129"/>
      <c r="G671" s="129"/>
      <c r="H671" s="110"/>
      <c r="I671" s="129"/>
      <c r="J671" t="s">
        <v>351</v>
      </c>
      <c r="K671" s="129"/>
      <c r="L671" s="129"/>
      <c r="M671" s="129"/>
      <c r="N671" s="129"/>
      <c r="O671" s="129"/>
      <c r="P671" s="129"/>
      <c r="Q671" s="129"/>
      <c r="R671" s="129"/>
      <c r="S671" s="141"/>
      <c r="T671" s="139"/>
      <c r="U671" s="129"/>
      <c r="V671" s="129"/>
      <c r="W671" s="129"/>
      <c r="X671" s="129"/>
      <c r="Y671" s="129"/>
      <c r="Z671" s="115"/>
      <c r="AA671" s="129"/>
      <c r="AB671" s="149"/>
      <c r="AC671" s="129"/>
      <c r="AD671" s="129"/>
      <c r="AE671" s="129"/>
    </row>
    <row r="672" spans="3:31" x14ac:dyDescent="0.35">
      <c r="C672" s="129"/>
      <c r="D672" s="129"/>
      <c r="E672" s="129"/>
      <c r="F672" s="129"/>
      <c r="G672" s="129"/>
      <c r="H672" s="110"/>
      <c r="I672" s="129"/>
      <c r="J672" t="s">
        <v>351</v>
      </c>
      <c r="K672" s="129"/>
      <c r="L672" s="129"/>
      <c r="M672" s="129"/>
      <c r="N672" s="129"/>
      <c r="O672" s="129"/>
      <c r="P672" s="129"/>
      <c r="Q672" s="129"/>
      <c r="R672" s="129"/>
      <c r="S672" s="141"/>
      <c r="T672" s="139"/>
      <c r="U672" s="129"/>
      <c r="V672" s="129"/>
      <c r="W672" s="129"/>
      <c r="X672" s="129"/>
      <c r="Y672" s="129"/>
      <c r="Z672" s="115"/>
      <c r="AA672" s="129"/>
      <c r="AB672" s="149"/>
      <c r="AC672" s="129"/>
      <c r="AD672" s="129"/>
      <c r="AE672" s="129"/>
    </row>
    <row r="673" spans="3:31" x14ac:dyDescent="0.35">
      <c r="C673" s="129"/>
      <c r="D673" s="129"/>
      <c r="E673" s="129"/>
      <c r="F673" s="129"/>
      <c r="G673" s="129"/>
      <c r="H673" s="110"/>
      <c r="I673" s="129"/>
      <c r="J673" t="s">
        <v>351</v>
      </c>
      <c r="K673" s="129"/>
      <c r="L673" s="129"/>
      <c r="M673" s="129"/>
      <c r="N673" s="129"/>
      <c r="O673" s="129"/>
      <c r="P673" s="129"/>
      <c r="Q673" s="129"/>
      <c r="R673" s="129"/>
      <c r="S673" s="141"/>
      <c r="T673" s="139"/>
      <c r="U673" s="129"/>
      <c r="V673" s="129"/>
      <c r="W673" s="129"/>
      <c r="X673" s="129"/>
      <c r="Y673" s="129"/>
      <c r="Z673" s="115"/>
      <c r="AA673" s="129"/>
      <c r="AB673" s="149"/>
      <c r="AC673" s="129"/>
      <c r="AD673" s="129"/>
      <c r="AE673" s="129"/>
    </row>
    <row r="674" spans="3:31" x14ac:dyDescent="0.35">
      <c r="C674" s="129"/>
      <c r="D674" s="129"/>
      <c r="E674" s="129"/>
      <c r="F674" s="129"/>
      <c r="G674" s="129"/>
      <c r="H674" s="110"/>
      <c r="I674" s="129"/>
      <c r="J674" t="s">
        <v>351</v>
      </c>
      <c r="K674" s="129"/>
      <c r="L674" s="129"/>
      <c r="M674" s="129"/>
      <c r="N674" s="129"/>
      <c r="O674" s="129"/>
      <c r="P674" s="129"/>
      <c r="Q674" s="129"/>
      <c r="R674" s="129"/>
      <c r="S674" s="141"/>
      <c r="T674" s="139"/>
      <c r="U674" s="129"/>
      <c r="V674" s="129"/>
      <c r="W674" s="129"/>
      <c r="X674" s="129"/>
      <c r="Y674" s="129"/>
      <c r="Z674" s="115"/>
      <c r="AA674" s="129"/>
      <c r="AB674" s="149"/>
      <c r="AC674" s="129"/>
      <c r="AD674" s="129"/>
      <c r="AE674" s="129"/>
    </row>
    <row r="675" spans="3:31" x14ac:dyDescent="0.35">
      <c r="C675" s="129"/>
      <c r="D675" s="129"/>
      <c r="E675" s="129"/>
      <c r="F675" s="129"/>
      <c r="G675" s="129"/>
      <c r="H675" s="110"/>
      <c r="I675" s="129"/>
      <c r="J675" t="s">
        <v>351</v>
      </c>
      <c r="K675" s="129"/>
      <c r="L675" s="129"/>
      <c r="M675" s="129"/>
      <c r="N675" s="129"/>
      <c r="O675" s="129"/>
      <c r="P675" s="129"/>
      <c r="Q675" s="129"/>
      <c r="R675" s="129"/>
      <c r="S675" s="141"/>
      <c r="T675" s="139"/>
      <c r="U675" s="129"/>
      <c r="V675" s="129"/>
      <c r="W675" s="129"/>
      <c r="X675" s="129"/>
      <c r="Y675" s="129"/>
      <c r="Z675" s="115"/>
      <c r="AA675" s="129"/>
      <c r="AB675" s="149"/>
      <c r="AC675" s="129"/>
      <c r="AD675" s="129"/>
      <c r="AE675" s="129"/>
    </row>
    <row r="676" spans="3:31" x14ac:dyDescent="0.35">
      <c r="C676" s="129"/>
      <c r="D676" s="129"/>
      <c r="E676" s="129"/>
      <c r="F676" s="129"/>
      <c r="G676" s="129"/>
      <c r="H676" s="110"/>
      <c r="I676" s="129"/>
      <c r="J676" t="s">
        <v>351</v>
      </c>
      <c r="K676" s="129"/>
      <c r="L676" s="129"/>
      <c r="M676" s="129"/>
      <c r="N676" s="129"/>
      <c r="O676" s="129"/>
      <c r="P676" s="129"/>
      <c r="Q676" s="129"/>
      <c r="R676" s="129"/>
      <c r="S676" s="141"/>
      <c r="T676" s="139"/>
      <c r="U676" s="129"/>
      <c r="V676" s="129"/>
      <c r="W676" s="129"/>
      <c r="X676" s="129"/>
      <c r="Y676" s="129"/>
      <c r="Z676" s="115"/>
      <c r="AA676" s="129"/>
      <c r="AB676" s="149"/>
      <c r="AC676" s="129"/>
      <c r="AD676" s="129"/>
      <c r="AE676" s="129"/>
    </row>
    <row r="677" spans="3:31" x14ac:dyDescent="0.35">
      <c r="C677" s="129"/>
      <c r="D677" s="129"/>
      <c r="E677" s="129"/>
      <c r="F677" s="129"/>
      <c r="G677" s="129"/>
      <c r="H677" s="110"/>
      <c r="I677" s="129"/>
      <c r="J677" t="s">
        <v>351</v>
      </c>
      <c r="K677" s="129"/>
      <c r="L677" s="129"/>
      <c r="M677" s="129"/>
      <c r="N677" s="129"/>
      <c r="O677" s="129"/>
      <c r="P677" s="129"/>
      <c r="Q677" s="129"/>
      <c r="R677" s="129"/>
      <c r="S677" s="141"/>
      <c r="T677" s="139"/>
      <c r="U677" s="129"/>
      <c r="V677" s="129"/>
      <c r="W677" s="129"/>
      <c r="X677" s="129"/>
      <c r="Y677" s="129"/>
      <c r="Z677" s="115"/>
      <c r="AA677" s="129"/>
      <c r="AB677" s="149"/>
      <c r="AC677" s="129"/>
      <c r="AD677" s="129"/>
      <c r="AE677" s="129"/>
    </row>
    <row r="678" spans="3:31" x14ac:dyDescent="0.35">
      <c r="C678" s="129"/>
      <c r="D678" s="129"/>
      <c r="E678" s="129"/>
      <c r="F678" s="129"/>
      <c r="G678" s="129"/>
      <c r="H678" s="110"/>
      <c r="I678" s="129"/>
      <c r="J678" t="s">
        <v>351</v>
      </c>
      <c r="K678" s="129"/>
      <c r="L678" s="129"/>
      <c r="M678" s="129"/>
      <c r="N678" s="129"/>
      <c r="O678" s="129"/>
      <c r="P678" s="129"/>
      <c r="Q678" s="129"/>
      <c r="R678" s="129"/>
      <c r="S678" s="141"/>
      <c r="T678" s="139"/>
      <c r="U678" s="129"/>
      <c r="V678" s="129"/>
      <c r="W678" s="129"/>
      <c r="X678" s="129"/>
      <c r="Y678" s="129"/>
      <c r="Z678" s="115"/>
      <c r="AA678" s="129"/>
      <c r="AB678" s="149"/>
      <c r="AC678" s="129"/>
      <c r="AD678" s="129"/>
      <c r="AE678" s="129"/>
    </row>
    <row r="679" spans="3:31" x14ac:dyDescent="0.35">
      <c r="C679" s="129"/>
      <c r="D679" s="129"/>
      <c r="E679" s="129"/>
      <c r="F679" s="129"/>
      <c r="G679" s="129"/>
      <c r="H679" s="110"/>
      <c r="I679" s="129"/>
      <c r="J679" t="s">
        <v>351</v>
      </c>
      <c r="K679" s="129"/>
      <c r="L679" s="129"/>
      <c r="M679" s="129"/>
      <c r="N679" s="129"/>
      <c r="O679" s="129"/>
      <c r="P679" s="129"/>
      <c r="Q679" s="129"/>
      <c r="R679" s="129"/>
      <c r="S679" s="141"/>
      <c r="T679" s="139"/>
      <c r="U679" s="129"/>
      <c r="V679" s="129"/>
      <c r="W679" s="129"/>
      <c r="X679" s="129"/>
      <c r="Y679" s="129"/>
      <c r="Z679" s="115"/>
      <c r="AA679" s="129"/>
      <c r="AB679" s="149"/>
      <c r="AC679" s="129"/>
      <c r="AD679" s="129"/>
      <c r="AE679" s="129"/>
    </row>
    <row r="680" spans="3:31" x14ac:dyDescent="0.35">
      <c r="C680" s="129"/>
      <c r="D680" s="129"/>
      <c r="E680" s="129"/>
      <c r="F680" s="129"/>
      <c r="G680" s="129"/>
      <c r="H680" s="110"/>
      <c r="I680" s="129"/>
      <c r="J680" t="s">
        <v>351</v>
      </c>
      <c r="K680" s="129"/>
      <c r="L680" s="129"/>
      <c r="M680" s="129"/>
      <c r="N680" s="129"/>
      <c r="O680" s="129"/>
      <c r="P680" s="129"/>
      <c r="Q680" s="129"/>
      <c r="R680" s="129"/>
      <c r="S680" s="141"/>
      <c r="T680" s="139"/>
      <c r="U680" s="129"/>
      <c r="V680" s="129"/>
      <c r="W680" s="129"/>
      <c r="X680" s="129"/>
      <c r="Y680" s="129"/>
      <c r="Z680" s="115"/>
      <c r="AA680" s="129"/>
      <c r="AB680" s="149"/>
      <c r="AC680" s="129"/>
      <c r="AD680" s="129"/>
      <c r="AE680" s="129"/>
    </row>
    <row r="681" spans="3:31" x14ac:dyDescent="0.35">
      <c r="C681" s="129"/>
      <c r="D681" s="129"/>
      <c r="E681" s="129"/>
      <c r="F681" s="129"/>
      <c r="G681" s="129"/>
      <c r="H681" s="110"/>
      <c r="I681" s="129"/>
      <c r="J681" t="s">
        <v>351</v>
      </c>
      <c r="K681" s="129"/>
      <c r="L681" s="129"/>
      <c r="M681" s="129"/>
      <c r="N681" s="129"/>
      <c r="O681" s="129"/>
      <c r="P681" s="129"/>
      <c r="Q681" s="129"/>
      <c r="R681" s="129"/>
      <c r="S681" s="141"/>
      <c r="T681" s="139"/>
      <c r="U681" s="129"/>
      <c r="V681" s="129"/>
      <c r="W681" s="129"/>
      <c r="X681" s="129"/>
      <c r="Y681" s="129"/>
      <c r="Z681" s="115"/>
      <c r="AA681" s="129"/>
      <c r="AB681" s="149"/>
      <c r="AC681" s="129"/>
      <c r="AD681" s="129"/>
      <c r="AE681" s="129"/>
    </row>
    <row r="682" spans="3:31" x14ac:dyDescent="0.35">
      <c r="C682" s="129"/>
      <c r="D682" s="129"/>
      <c r="E682" s="129"/>
      <c r="F682" s="129"/>
      <c r="G682" s="129"/>
      <c r="H682" s="110"/>
      <c r="I682" s="129"/>
      <c r="J682" t="s">
        <v>351</v>
      </c>
      <c r="K682" s="129"/>
      <c r="L682" s="129"/>
      <c r="M682" s="129"/>
      <c r="N682" s="129"/>
      <c r="O682" s="129"/>
      <c r="P682" s="129"/>
      <c r="Q682" s="129"/>
      <c r="R682" s="129"/>
      <c r="S682" s="141"/>
      <c r="T682" s="139"/>
      <c r="U682" s="129"/>
      <c r="V682" s="129"/>
      <c r="W682" s="129"/>
      <c r="X682" s="129"/>
      <c r="Y682" s="129"/>
      <c r="Z682" s="115"/>
      <c r="AA682" s="129"/>
      <c r="AB682" s="149"/>
      <c r="AC682" s="129"/>
      <c r="AD682" s="129"/>
      <c r="AE682" s="129"/>
    </row>
    <row r="683" spans="3:31" x14ac:dyDescent="0.35">
      <c r="C683" s="129"/>
      <c r="D683" s="129"/>
      <c r="E683" s="129"/>
      <c r="F683" s="129"/>
      <c r="G683" s="129"/>
      <c r="H683" s="110"/>
      <c r="I683" s="129"/>
      <c r="J683" t="s">
        <v>351</v>
      </c>
      <c r="K683" s="129"/>
      <c r="L683" s="129"/>
      <c r="M683" s="129"/>
      <c r="N683" s="129"/>
      <c r="O683" s="129"/>
      <c r="P683" s="129"/>
      <c r="Q683" s="129"/>
      <c r="R683" s="129"/>
      <c r="S683" s="141"/>
      <c r="T683" s="139"/>
      <c r="U683" s="129"/>
      <c r="V683" s="129"/>
      <c r="W683" s="129"/>
      <c r="X683" s="129"/>
      <c r="Y683" s="129"/>
      <c r="Z683" s="115"/>
      <c r="AA683" s="129"/>
      <c r="AB683" s="149"/>
      <c r="AC683" s="129"/>
      <c r="AD683" s="129"/>
      <c r="AE683" s="129"/>
    </row>
    <row r="684" spans="3:31" x14ac:dyDescent="0.35">
      <c r="C684" s="129"/>
      <c r="D684" s="129"/>
      <c r="E684" s="129"/>
      <c r="F684" s="129"/>
      <c r="G684" s="129"/>
      <c r="H684" s="110"/>
      <c r="I684" s="129"/>
      <c r="J684" t="s">
        <v>351</v>
      </c>
      <c r="K684" s="129"/>
      <c r="L684" s="129"/>
      <c r="M684" s="129"/>
      <c r="N684" s="129"/>
      <c r="O684" s="129"/>
      <c r="P684" s="129"/>
      <c r="Q684" s="129"/>
      <c r="R684" s="129"/>
      <c r="S684" s="141"/>
      <c r="T684" s="139"/>
      <c r="U684" s="129"/>
      <c r="V684" s="129"/>
      <c r="W684" s="129"/>
      <c r="X684" s="129"/>
      <c r="Y684" s="129"/>
      <c r="Z684" s="115"/>
      <c r="AA684" s="129"/>
      <c r="AB684" s="149"/>
      <c r="AC684" s="129"/>
      <c r="AD684" s="129"/>
      <c r="AE684" s="129"/>
    </row>
    <row r="685" spans="3:31" x14ac:dyDescent="0.35">
      <c r="C685" s="129"/>
      <c r="D685" s="129"/>
      <c r="E685" s="129"/>
      <c r="F685" s="129"/>
      <c r="G685" s="129"/>
      <c r="H685" s="110"/>
      <c r="I685" s="129"/>
      <c r="J685" t="s">
        <v>351</v>
      </c>
      <c r="K685" s="129"/>
      <c r="L685" s="129"/>
      <c r="M685" s="129"/>
      <c r="N685" s="129"/>
      <c r="O685" s="129"/>
      <c r="P685" s="129"/>
      <c r="Q685" s="129"/>
      <c r="R685" s="129"/>
      <c r="S685" s="141"/>
      <c r="T685" s="139"/>
      <c r="U685" s="129"/>
      <c r="V685" s="129"/>
      <c r="W685" s="129"/>
      <c r="X685" s="129"/>
      <c r="Y685" s="129"/>
      <c r="Z685" s="115"/>
      <c r="AA685" s="129"/>
      <c r="AB685" s="149"/>
      <c r="AC685" s="129"/>
      <c r="AD685" s="129"/>
      <c r="AE685" s="129"/>
    </row>
    <row r="686" spans="3:31" x14ac:dyDescent="0.35">
      <c r="C686" s="129"/>
      <c r="D686" s="129"/>
      <c r="E686" s="129"/>
      <c r="F686" s="129"/>
      <c r="G686" s="129"/>
      <c r="H686" s="110"/>
      <c r="I686" s="129"/>
      <c r="J686" t="s">
        <v>351</v>
      </c>
      <c r="K686" s="129"/>
      <c r="L686" s="129"/>
      <c r="M686" s="129"/>
      <c r="N686" s="129"/>
      <c r="O686" s="129"/>
      <c r="P686" s="129"/>
      <c r="Q686" s="129"/>
      <c r="R686" s="129"/>
      <c r="S686" s="141"/>
      <c r="T686" s="139"/>
      <c r="U686" s="129"/>
      <c r="V686" s="129"/>
      <c r="W686" s="129"/>
      <c r="X686" s="129"/>
      <c r="Y686" s="129"/>
      <c r="Z686" s="115"/>
      <c r="AA686" s="129"/>
      <c r="AB686" s="149"/>
      <c r="AC686" s="129"/>
      <c r="AD686" s="129"/>
      <c r="AE686" s="129"/>
    </row>
    <row r="687" spans="3:31" x14ac:dyDescent="0.35">
      <c r="C687" s="129"/>
      <c r="D687" s="129"/>
      <c r="E687" s="129"/>
      <c r="F687" s="129"/>
      <c r="G687" s="129"/>
      <c r="H687" s="110"/>
      <c r="I687" s="129"/>
      <c r="J687" t="s">
        <v>351</v>
      </c>
      <c r="K687" s="129"/>
      <c r="L687" s="129"/>
      <c r="M687" s="129"/>
      <c r="N687" s="129"/>
      <c r="O687" s="129"/>
      <c r="P687" s="129"/>
      <c r="Q687" s="129"/>
      <c r="R687" s="129"/>
      <c r="S687" s="141"/>
      <c r="T687" s="139"/>
      <c r="U687" s="129"/>
      <c r="V687" s="129"/>
      <c r="W687" s="129"/>
      <c r="X687" s="129"/>
      <c r="Y687" s="129"/>
      <c r="Z687" s="115"/>
      <c r="AA687" s="129"/>
      <c r="AB687" s="149"/>
      <c r="AC687" s="129"/>
      <c r="AD687" s="129"/>
      <c r="AE687" s="129"/>
    </row>
    <row r="688" spans="3:31" x14ac:dyDescent="0.35">
      <c r="C688" s="129"/>
      <c r="D688" s="129"/>
      <c r="E688" s="129"/>
      <c r="F688" s="129"/>
      <c r="G688" s="129"/>
      <c r="H688" s="110"/>
      <c r="I688" s="129"/>
      <c r="J688" t="s">
        <v>351</v>
      </c>
      <c r="K688" s="129"/>
      <c r="L688" s="129"/>
      <c r="M688" s="129"/>
      <c r="N688" s="129"/>
      <c r="O688" s="129"/>
      <c r="P688" s="129"/>
      <c r="Q688" s="129"/>
      <c r="R688" s="129"/>
      <c r="S688" s="141"/>
      <c r="T688" s="139"/>
      <c r="U688" s="129"/>
      <c r="V688" s="129"/>
      <c r="W688" s="129"/>
      <c r="X688" s="129"/>
      <c r="Y688" s="129"/>
      <c r="Z688" s="115"/>
      <c r="AA688" s="129"/>
      <c r="AB688" s="149"/>
      <c r="AC688" s="129"/>
      <c r="AD688" s="129"/>
      <c r="AE688" s="129"/>
    </row>
    <row r="689" spans="3:31" x14ac:dyDescent="0.35">
      <c r="C689" s="129"/>
      <c r="D689" s="129"/>
      <c r="E689" s="129"/>
      <c r="F689" s="129"/>
      <c r="G689" s="129"/>
      <c r="H689" s="110"/>
      <c r="I689" s="129"/>
      <c r="J689" t="s">
        <v>351</v>
      </c>
      <c r="K689" s="129"/>
      <c r="L689" s="129"/>
      <c r="M689" s="129"/>
      <c r="N689" s="129"/>
      <c r="O689" s="129"/>
      <c r="P689" s="129"/>
      <c r="Q689" s="129"/>
      <c r="R689" s="129"/>
      <c r="S689" s="141"/>
      <c r="T689" s="139"/>
      <c r="U689" s="129"/>
      <c r="V689" s="129"/>
      <c r="W689" s="129"/>
      <c r="X689" s="129"/>
      <c r="Y689" s="129"/>
      <c r="Z689" s="115"/>
      <c r="AA689" s="129"/>
      <c r="AB689" s="149"/>
      <c r="AC689" s="129"/>
      <c r="AD689" s="129"/>
      <c r="AE689" s="129"/>
    </row>
    <row r="690" spans="3:31" x14ac:dyDescent="0.35">
      <c r="C690" s="129"/>
      <c r="D690" s="129"/>
      <c r="E690" s="129"/>
      <c r="F690" s="129"/>
      <c r="G690" s="129"/>
      <c r="H690" s="110"/>
      <c r="I690" s="129"/>
      <c r="J690" t="s">
        <v>351</v>
      </c>
      <c r="K690" s="129"/>
      <c r="L690" s="129"/>
      <c r="M690" s="129"/>
      <c r="N690" s="129"/>
      <c r="O690" s="129"/>
      <c r="P690" s="129"/>
      <c r="Q690" s="129"/>
      <c r="R690" s="129"/>
      <c r="S690" s="141"/>
      <c r="T690" s="139"/>
      <c r="U690" s="129"/>
      <c r="V690" s="129"/>
      <c r="W690" s="129"/>
      <c r="X690" s="129"/>
      <c r="Y690" s="129"/>
      <c r="Z690" s="115"/>
      <c r="AA690" s="129"/>
      <c r="AB690" s="149"/>
      <c r="AC690" s="129"/>
      <c r="AD690" s="129"/>
      <c r="AE690" s="129"/>
    </row>
    <row r="691" spans="3:31" x14ac:dyDescent="0.35">
      <c r="C691" s="129"/>
      <c r="D691" s="129"/>
      <c r="E691" s="129"/>
      <c r="F691" s="129"/>
      <c r="G691" s="129"/>
      <c r="H691" s="110"/>
      <c r="I691" s="129"/>
      <c r="J691" t="s">
        <v>351</v>
      </c>
      <c r="K691" s="129"/>
      <c r="L691" s="129"/>
      <c r="M691" s="129"/>
      <c r="N691" s="129"/>
      <c r="O691" s="129"/>
      <c r="P691" s="129"/>
      <c r="Q691" s="129"/>
      <c r="R691" s="129"/>
      <c r="S691" s="141"/>
      <c r="T691" s="139"/>
      <c r="U691" s="129"/>
      <c r="V691" s="129"/>
      <c r="W691" s="129"/>
      <c r="X691" s="129"/>
      <c r="Y691" s="129"/>
      <c r="Z691" s="115"/>
      <c r="AA691" s="129"/>
      <c r="AB691" s="149"/>
      <c r="AC691" s="129"/>
      <c r="AD691" s="129"/>
      <c r="AE691" s="129"/>
    </row>
    <row r="692" spans="3:31" x14ac:dyDescent="0.35">
      <c r="C692" s="129"/>
      <c r="D692" s="129"/>
      <c r="E692" s="129"/>
      <c r="F692" s="129"/>
      <c r="G692" s="129"/>
      <c r="H692" s="110"/>
      <c r="I692" s="129"/>
      <c r="J692" t="s">
        <v>351</v>
      </c>
      <c r="K692" s="129"/>
      <c r="L692" s="129"/>
      <c r="M692" s="129"/>
      <c r="N692" s="129"/>
      <c r="O692" s="129"/>
      <c r="P692" s="129"/>
      <c r="Q692" s="129"/>
      <c r="R692" s="129"/>
      <c r="S692" s="141"/>
      <c r="T692" s="139"/>
      <c r="U692" s="129"/>
      <c r="V692" s="129"/>
      <c r="W692" s="129"/>
      <c r="X692" s="129"/>
      <c r="Y692" s="129"/>
      <c r="Z692" s="115"/>
      <c r="AA692" s="129"/>
      <c r="AB692" s="149"/>
      <c r="AC692" s="129"/>
      <c r="AD692" s="129"/>
      <c r="AE692" s="129"/>
    </row>
    <row r="693" spans="3:31" x14ac:dyDescent="0.35">
      <c r="C693" s="129"/>
      <c r="D693" s="129"/>
      <c r="E693" s="129"/>
      <c r="F693" s="129"/>
      <c r="G693" s="129"/>
      <c r="H693" s="110"/>
      <c r="I693" s="129"/>
      <c r="J693" t="s">
        <v>351</v>
      </c>
      <c r="K693" s="129"/>
      <c r="L693" s="129"/>
      <c r="M693" s="129"/>
      <c r="N693" s="129"/>
      <c r="O693" s="129"/>
      <c r="P693" s="129"/>
      <c r="Q693" s="129"/>
      <c r="R693" s="129"/>
      <c r="S693" s="141"/>
      <c r="T693" s="139"/>
      <c r="U693" s="129"/>
      <c r="V693" s="129"/>
      <c r="W693" s="129"/>
      <c r="X693" s="129"/>
      <c r="Y693" s="129"/>
      <c r="Z693" s="115"/>
      <c r="AA693" s="129"/>
      <c r="AB693" s="149"/>
      <c r="AC693" s="129"/>
      <c r="AD693" s="129"/>
      <c r="AE693" s="129"/>
    </row>
    <row r="694" spans="3:31" x14ac:dyDescent="0.35">
      <c r="C694" s="129"/>
      <c r="D694" s="129"/>
      <c r="E694" s="129"/>
      <c r="F694" s="129"/>
      <c r="G694" s="129"/>
      <c r="H694" s="110"/>
      <c r="I694" s="129"/>
      <c r="J694" t="s">
        <v>351</v>
      </c>
      <c r="K694" s="129"/>
      <c r="L694" s="129"/>
      <c r="M694" s="129"/>
      <c r="N694" s="129"/>
      <c r="O694" s="129"/>
      <c r="P694" s="129"/>
      <c r="Q694" s="129"/>
      <c r="R694" s="129"/>
      <c r="S694" s="141"/>
      <c r="T694" s="139"/>
      <c r="U694" s="129"/>
      <c r="V694" s="129"/>
      <c r="W694" s="129"/>
      <c r="X694" s="129"/>
      <c r="Y694" s="129"/>
      <c r="Z694" s="115"/>
      <c r="AA694" s="129"/>
      <c r="AB694" s="149"/>
      <c r="AC694" s="129"/>
      <c r="AD694" s="129"/>
      <c r="AE694" s="129"/>
    </row>
    <row r="695" spans="3:31" x14ac:dyDescent="0.35">
      <c r="C695" s="129"/>
      <c r="D695" s="129"/>
      <c r="E695" s="129"/>
      <c r="F695" s="129"/>
      <c r="G695" s="129"/>
      <c r="H695" s="110"/>
      <c r="I695" s="129"/>
      <c r="J695" t="s">
        <v>351</v>
      </c>
      <c r="K695" s="129"/>
      <c r="L695" s="129"/>
      <c r="M695" s="129"/>
      <c r="N695" s="129"/>
      <c r="O695" s="129"/>
      <c r="P695" s="129"/>
      <c r="Q695" s="129"/>
      <c r="R695" s="129"/>
      <c r="S695" s="141"/>
      <c r="T695" s="139"/>
      <c r="U695" s="129"/>
      <c r="V695" s="129"/>
      <c r="W695" s="129"/>
      <c r="X695" s="129"/>
      <c r="Y695" s="129"/>
      <c r="Z695" s="115"/>
      <c r="AA695" s="129"/>
      <c r="AB695" s="149"/>
      <c r="AC695" s="129"/>
      <c r="AD695" s="129"/>
      <c r="AE695" s="129"/>
    </row>
    <row r="696" spans="3:31" x14ac:dyDescent="0.35">
      <c r="C696" s="129"/>
      <c r="D696" s="129"/>
      <c r="E696" s="129"/>
      <c r="F696" s="129"/>
      <c r="G696" s="129"/>
      <c r="H696" s="110"/>
      <c r="I696" s="129"/>
      <c r="J696" t="s">
        <v>351</v>
      </c>
      <c r="K696" s="129"/>
      <c r="L696" s="129"/>
      <c r="M696" s="129"/>
      <c r="N696" s="129"/>
      <c r="O696" s="129"/>
      <c r="P696" s="129"/>
      <c r="Q696" s="129"/>
      <c r="R696" s="129"/>
      <c r="S696" s="141"/>
      <c r="T696" s="139"/>
      <c r="U696" s="129"/>
      <c r="V696" s="129"/>
      <c r="W696" s="129"/>
      <c r="X696" s="129"/>
      <c r="Y696" s="129"/>
      <c r="Z696" s="115"/>
      <c r="AA696" s="129"/>
      <c r="AB696" s="149"/>
      <c r="AC696" s="129"/>
      <c r="AD696" s="129"/>
      <c r="AE696" s="129"/>
    </row>
    <row r="697" spans="3:31" x14ac:dyDescent="0.35">
      <c r="C697" s="129"/>
      <c r="D697" s="129"/>
      <c r="E697" s="129"/>
      <c r="F697" s="129"/>
      <c r="G697" s="129"/>
      <c r="H697" s="110"/>
      <c r="I697" s="129"/>
      <c r="J697" t="s">
        <v>351</v>
      </c>
      <c r="K697" s="129"/>
      <c r="L697" s="129"/>
      <c r="M697" s="129"/>
      <c r="N697" s="129"/>
      <c r="O697" s="129"/>
      <c r="P697" s="129"/>
      <c r="Q697" s="129"/>
      <c r="R697" s="129"/>
      <c r="S697" s="141"/>
      <c r="T697" s="139"/>
      <c r="U697" s="129"/>
      <c r="V697" s="129"/>
      <c r="W697" s="129"/>
      <c r="X697" s="129"/>
      <c r="Y697" s="129"/>
      <c r="Z697" s="115"/>
      <c r="AA697" s="129"/>
      <c r="AB697" s="149"/>
      <c r="AC697" s="129"/>
      <c r="AD697" s="129"/>
      <c r="AE697" s="129"/>
    </row>
    <row r="698" spans="3:31" x14ac:dyDescent="0.35">
      <c r="C698" s="129"/>
      <c r="D698" s="129"/>
      <c r="E698" s="129"/>
      <c r="F698" s="129"/>
      <c r="G698" s="129"/>
      <c r="H698" s="110"/>
      <c r="I698" s="129"/>
      <c r="J698" t="s">
        <v>351</v>
      </c>
      <c r="K698" s="129"/>
      <c r="L698" s="129"/>
      <c r="M698" s="129"/>
      <c r="N698" s="129"/>
      <c r="O698" s="129"/>
      <c r="P698" s="129"/>
      <c r="Q698" s="129"/>
      <c r="R698" s="129"/>
      <c r="S698" s="141"/>
      <c r="T698" s="139"/>
      <c r="U698" s="129"/>
      <c r="V698" s="129"/>
      <c r="W698" s="129"/>
      <c r="X698" s="129"/>
      <c r="Y698" s="129"/>
      <c r="Z698" s="115"/>
      <c r="AA698" s="129"/>
      <c r="AB698" s="149"/>
      <c r="AC698" s="129"/>
      <c r="AD698" s="129"/>
      <c r="AE698" s="129"/>
    </row>
    <row r="699" spans="3:31" x14ac:dyDescent="0.35">
      <c r="C699" s="129"/>
      <c r="D699" s="129"/>
      <c r="E699" s="129"/>
      <c r="F699" s="129"/>
      <c r="G699" s="129"/>
      <c r="H699" s="110"/>
      <c r="I699" s="129"/>
      <c r="J699" t="s">
        <v>351</v>
      </c>
      <c r="K699" s="129"/>
      <c r="L699" s="129"/>
      <c r="M699" s="129"/>
      <c r="N699" s="129"/>
      <c r="O699" s="129"/>
      <c r="P699" s="129"/>
      <c r="Q699" s="129"/>
      <c r="R699" s="129"/>
      <c r="S699" s="141"/>
      <c r="T699" s="139"/>
      <c r="U699" s="129"/>
      <c r="V699" s="129"/>
      <c r="W699" s="129"/>
      <c r="X699" s="129"/>
      <c r="Y699" s="129"/>
      <c r="Z699" s="115"/>
      <c r="AA699" s="129"/>
      <c r="AB699" s="149"/>
      <c r="AC699" s="129"/>
      <c r="AD699" s="129"/>
      <c r="AE699" s="129"/>
    </row>
    <row r="700" spans="3:31" x14ac:dyDescent="0.35">
      <c r="C700" s="129"/>
      <c r="D700" s="129"/>
      <c r="E700" s="129"/>
      <c r="F700" s="129"/>
      <c r="G700" s="129"/>
      <c r="H700" s="110"/>
      <c r="I700" s="129"/>
      <c r="J700" t="s">
        <v>351</v>
      </c>
      <c r="K700" s="129"/>
      <c r="L700" s="129"/>
      <c r="M700" s="129"/>
      <c r="N700" s="129"/>
      <c r="O700" s="129"/>
      <c r="P700" s="129"/>
      <c r="Q700" s="129"/>
      <c r="R700" s="129"/>
      <c r="S700" s="141"/>
      <c r="T700" s="139"/>
      <c r="U700" s="129"/>
      <c r="V700" s="129"/>
      <c r="W700" s="129"/>
      <c r="X700" s="129"/>
      <c r="Y700" s="129"/>
      <c r="Z700" s="115"/>
      <c r="AA700" s="129"/>
      <c r="AB700" s="149"/>
      <c r="AC700" s="129"/>
      <c r="AD700" s="129"/>
      <c r="AE700" s="129"/>
    </row>
    <row r="701" spans="3:31" x14ac:dyDescent="0.35">
      <c r="C701" s="129"/>
      <c r="D701" s="129"/>
      <c r="E701" s="129"/>
      <c r="F701" s="129"/>
      <c r="G701" s="129"/>
      <c r="H701" s="110"/>
      <c r="I701" s="129"/>
      <c r="J701" t="s">
        <v>351</v>
      </c>
      <c r="K701" s="129"/>
      <c r="L701" s="129"/>
      <c r="M701" s="129"/>
      <c r="N701" s="129"/>
      <c r="O701" s="129"/>
      <c r="P701" s="129"/>
      <c r="Q701" s="129"/>
      <c r="R701" s="129"/>
      <c r="S701" s="141"/>
      <c r="T701" s="139"/>
      <c r="U701" s="129"/>
      <c r="V701" s="129"/>
      <c r="W701" s="129"/>
      <c r="X701" s="129"/>
      <c r="Y701" s="129"/>
      <c r="Z701" s="115"/>
      <c r="AA701" s="129"/>
      <c r="AB701" s="149"/>
      <c r="AC701" s="129"/>
      <c r="AD701" s="129"/>
      <c r="AE701" s="129"/>
    </row>
    <row r="702" spans="3:31" x14ac:dyDescent="0.35">
      <c r="C702" s="129"/>
      <c r="D702" s="129"/>
      <c r="E702" s="129"/>
      <c r="F702" s="129"/>
      <c r="G702" s="129"/>
      <c r="H702" s="110"/>
      <c r="I702" s="129"/>
      <c r="J702" t="s">
        <v>351</v>
      </c>
      <c r="K702" s="129"/>
      <c r="L702" s="129"/>
      <c r="M702" s="129"/>
      <c r="N702" s="129"/>
      <c r="O702" s="129"/>
      <c r="P702" s="129"/>
      <c r="Q702" s="129"/>
      <c r="R702" s="129"/>
      <c r="S702" s="141"/>
      <c r="T702" s="139"/>
      <c r="U702" s="129"/>
      <c r="V702" s="129"/>
      <c r="W702" s="129"/>
      <c r="X702" s="129"/>
      <c r="Y702" s="129"/>
      <c r="Z702" s="115"/>
      <c r="AA702" s="129"/>
      <c r="AB702" s="149"/>
      <c r="AC702" s="129"/>
      <c r="AD702" s="129"/>
      <c r="AE702" s="129"/>
    </row>
    <row r="703" spans="3:31" x14ac:dyDescent="0.35">
      <c r="C703" s="129"/>
      <c r="D703" s="129"/>
      <c r="E703" s="129"/>
      <c r="F703" s="129"/>
      <c r="G703" s="129"/>
      <c r="H703" s="110"/>
      <c r="I703" s="129"/>
      <c r="J703" t="s">
        <v>351</v>
      </c>
      <c r="K703" s="129"/>
      <c r="L703" s="129"/>
      <c r="M703" s="129"/>
      <c r="N703" s="129"/>
      <c r="O703" s="129"/>
      <c r="P703" s="129"/>
      <c r="Q703" s="129"/>
      <c r="R703" s="129"/>
      <c r="S703" s="141"/>
      <c r="T703" s="139"/>
      <c r="U703" s="129"/>
      <c r="V703" s="129"/>
      <c r="W703" s="129"/>
      <c r="X703" s="129"/>
      <c r="Y703" s="129"/>
      <c r="Z703" s="115"/>
      <c r="AA703" s="129"/>
      <c r="AB703" s="149"/>
      <c r="AC703" s="129"/>
      <c r="AD703" s="129"/>
      <c r="AE703" s="129"/>
    </row>
    <row r="704" spans="3:31" x14ac:dyDescent="0.35">
      <c r="C704" s="129"/>
      <c r="D704" s="129"/>
      <c r="E704" s="129"/>
      <c r="F704" s="129"/>
      <c r="G704" s="129"/>
      <c r="H704" s="110"/>
      <c r="I704" s="129"/>
      <c r="J704" t="s">
        <v>351</v>
      </c>
      <c r="K704" s="129"/>
      <c r="L704" s="129"/>
      <c r="M704" s="129"/>
      <c r="N704" s="129"/>
      <c r="O704" s="129"/>
      <c r="P704" s="129"/>
      <c r="Q704" s="129"/>
      <c r="R704" s="129"/>
      <c r="S704" s="141"/>
      <c r="T704" s="139"/>
      <c r="U704" s="129"/>
      <c r="V704" s="129"/>
      <c r="W704" s="129"/>
      <c r="X704" s="129"/>
      <c r="Y704" s="129"/>
      <c r="Z704" s="115"/>
      <c r="AA704" s="129"/>
      <c r="AB704" s="149"/>
      <c r="AC704" s="129"/>
      <c r="AD704" s="129"/>
      <c r="AE704" s="129"/>
    </row>
    <row r="705" spans="3:31" x14ac:dyDescent="0.35">
      <c r="C705" s="129"/>
      <c r="D705" s="129"/>
      <c r="E705" s="129"/>
      <c r="F705" s="129"/>
      <c r="G705" s="129"/>
      <c r="H705" s="110"/>
      <c r="I705" s="129"/>
      <c r="J705" t="s">
        <v>351</v>
      </c>
      <c r="K705" s="129"/>
      <c r="L705" s="129"/>
      <c r="M705" s="129"/>
      <c r="N705" s="129"/>
      <c r="O705" s="129"/>
      <c r="P705" s="129"/>
      <c r="Q705" s="129"/>
      <c r="R705" s="129"/>
      <c r="S705" s="141"/>
      <c r="T705" s="139"/>
      <c r="U705" s="129"/>
      <c r="V705" s="129"/>
      <c r="W705" s="129"/>
      <c r="X705" s="129"/>
      <c r="Y705" s="129"/>
      <c r="Z705" s="115"/>
      <c r="AA705" s="129"/>
      <c r="AB705" s="149"/>
      <c r="AC705" s="129"/>
      <c r="AD705" s="129"/>
      <c r="AE705" s="129"/>
    </row>
    <row r="706" spans="3:31" x14ac:dyDescent="0.35">
      <c r="C706" s="129"/>
      <c r="D706" s="129"/>
      <c r="E706" s="129"/>
      <c r="F706" s="129"/>
      <c r="G706" s="129"/>
      <c r="H706" s="110"/>
      <c r="I706" s="129"/>
      <c r="J706" t="s">
        <v>351</v>
      </c>
      <c r="K706" s="129"/>
      <c r="L706" s="129"/>
      <c r="M706" s="129"/>
      <c r="N706" s="129"/>
      <c r="O706" s="129"/>
      <c r="P706" s="129"/>
      <c r="Q706" s="129"/>
      <c r="R706" s="129"/>
      <c r="S706" s="141"/>
      <c r="T706" s="139"/>
      <c r="U706" s="129"/>
      <c r="V706" s="129"/>
      <c r="W706" s="129"/>
      <c r="X706" s="129"/>
      <c r="Y706" s="129"/>
      <c r="Z706" s="115"/>
      <c r="AA706" s="129"/>
      <c r="AB706" s="149"/>
      <c r="AC706" s="129"/>
      <c r="AD706" s="129"/>
      <c r="AE706" s="129"/>
    </row>
    <row r="707" spans="3:31" x14ac:dyDescent="0.35">
      <c r="C707" s="129"/>
      <c r="D707" s="129"/>
      <c r="E707" s="129"/>
      <c r="F707" s="129"/>
      <c r="G707" s="129"/>
      <c r="H707" s="110"/>
      <c r="I707" s="129"/>
      <c r="J707" t="s">
        <v>351</v>
      </c>
      <c r="K707" s="129"/>
      <c r="L707" s="129"/>
      <c r="M707" s="129"/>
      <c r="N707" s="129"/>
      <c r="O707" s="129"/>
      <c r="P707" s="129"/>
      <c r="Q707" s="129"/>
      <c r="R707" s="129"/>
      <c r="S707" s="141"/>
      <c r="T707" s="139"/>
      <c r="U707" s="129"/>
      <c r="V707" s="129"/>
      <c r="W707" s="129"/>
      <c r="X707" s="129"/>
      <c r="Y707" s="129"/>
      <c r="Z707" s="115"/>
      <c r="AA707" s="129"/>
      <c r="AB707" s="149"/>
      <c r="AC707" s="129"/>
      <c r="AD707" s="129"/>
      <c r="AE707" s="129"/>
    </row>
    <row r="708" spans="3:31" x14ac:dyDescent="0.35">
      <c r="C708" s="129"/>
      <c r="D708" s="129"/>
      <c r="E708" s="129"/>
      <c r="F708" s="129"/>
      <c r="G708" s="129"/>
      <c r="H708" s="110"/>
      <c r="I708" s="129"/>
      <c r="J708" t="s">
        <v>351</v>
      </c>
      <c r="K708" s="129"/>
      <c r="L708" s="129"/>
      <c r="M708" s="129"/>
      <c r="N708" s="129"/>
      <c r="O708" s="129"/>
      <c r="P708" s="129"/>
      <c r="Q708" s="129"/>
      <c r="R708" s="129"/>
      <c r="S708" s="141"/>
      <c r="T708" s="139"/>
      <c r="U708" s="129"/>
      <c r="V708" s="129"/>
      <c r="W708" s="129"/>
      <c r="X708" s="129"/>
      <c r="Y708" s="129"/>
      <c r="Z708" s="115"/>
      <c r="AA708" s="129"/>
      <c r="AB708" s="149"/>
      <c r="AC708" s="129"/>
      <c r="AD708" s="129"/>
      <c r="AE708" s="129"/>
    </row>
    <row r="709" spans="3:31" x14ac:dyDescent="0.35">
      <c r="C709" s="129"/>
      <c r="D709" s="129"/>
      <c r="E709" s="129"/>
      <c r="F709" s="129"/>
      <c r="G709" s="129"/>
      <c r="H709" s="110"/>
      <c r="I709" s="129"/>
      <c r="J709" t="s">
        <v>351</v>
      </c>
      <c r="K709" s="129"/>
      <c r="L709" s="129"/>
      <c r="M709" s="129"/>
      <c r="N709" s="129"/>
      <c r="O709" s="129"/>
      <c r="P709" s="129"/>
      <c r="Q709" s="129"/>
      <c r="R709" s="129"/>
      <c r="S709" s="141"/>
      <c r="T709" s="139"/>
      <c r="U709" s="129"/>
      <c r="V709" s="129"/>
      <c r="W709" s="129"/>
      <c r="X709" s="129"/>
      <c r="Y709" s="129"/>
      <c r="Z709" s="115"/>
      <c r="AA709" s="129"/>
      <c r="AB709" s="149"/>
      <c r="AC709" s="129"/>
      <c r="AD709" s="129"/>
      <c r="AE709" s="129"/>
    </row>
    <row r="710" spans="3:31" x14ac:dyDescent="0.35">
      <c r="C710" s="129"/>
      <c r="D710" s="129"/>
      <c r="E710" s="129"/>
      <c r="F710" s="129"/>
      <c r="G710" s="129"/>
      <c r="H710" s="110"/>
      <c r="I710" s="129"/>
      <c r="J710" t="s">
        <v>351</v>
      </c>
      <c r="K710" s="129"/>
      <c r="L710" s="129"/>
      <c r="M710" s="129"/>
      <c r="N710" s="129"/>
      <c r="O710" s="129"/>
      <c r="P710" s="129"/>
      <c r="Q710" s="129"/>
      <c r="R710" s="129"/>
      <c r="S710" s="141"/>
      <c r="T710" s="139"/>
      <c r="U710" s="129"/>
      <c r="V710" s="129"/>
      <c r="W710" s="129"/>
      <c r="X710" s="129"/>
      <c r="Y710" s="129"/>
      <c r="Z710" s="115"/>
      <c r="AA710" s="129"/>
      <c r="AB710" s="149"/>
      <c r="AC710" s="129"/>
      <c r="AD710" s="129"/>
      <c r="AE710" s="129"/>
    </row>
    <row r="711" spans="3:31" x14ac:dyDescent="0.35">
      <c r="C711" s="129"/>
      <c r="D711" s="129"/>
      <c r="E711" s="129"/>
      <c r="F711" s="129"/>
      <c r="G711" s="129"/>
      <c r="H711" s="110"/>
      <c r="I711" s="129"/>
      <c r="J711" t="s">
        <v>351</v>
      </c>
      <c r="K711" s="129"/>
      <c r="L711" s="129"/>
      <c r="M711" s="129"/>
      <c r="N711" s="129"/>
      <c r="O711" s="129"/>
      <c r="P711" s="129"/>
      <c r="Q711" s="129"/>
      <c r="R711" s="129"/>
      <c r="S711" s="141"/>
      <c r="T711" s="139"/>
      <c r="U711" s="129"/>
      <c r="V711" s="129"/>
      <c r="W711" s="129"/>
      <c r="X711" s="129"/>
      <c r="Y711" s="129"/>
      <c r="Z711" s="115"/>
      <c r="AA711" s="129"/>
      <c r="AB711" s="149"/>
      <c r="AC711" s="129"/>
      <c r="AD711" s="129"/>
      <c r="AE711" s="129"/>
    </row>
    <row r="712" spans="3:31" x14ac:dyDescent="0.35">
      <c r="C712" s="129"/>
      <c r="D712" s="129"/>
      <c r="E712" s="129"/>
      <c r="F712" s="129"/>
      <c r="G712" s="129"/>
      <c r="H712" s="110"/>
      <c r="I712" s="129"/>
      <c r="J712" t="s">
        <v>351</v>
      </c>
      <c r="K712" s="129"/>
      <c r="L712" s="129"/>
      <c r="M712" s="129"/>
      <c r="N712" s="129"/>
      <c r="O712" s="129"/>
      <c r="P712" s="129"/>
      <c r="Q712" s="129"/>
      <c r="R712" s="129"/>
      <c r="S712" s="141"/>
      <c r="T712" s="139"/>
      <c r="U712" s="129"/>
      <c r="V712" s="129"/>
      <c r="W712" s="129"/>
      <c r="X712" s="129"/>
      <c r="Y712" s="129"/>
      <c r="Z712" s="115"/>
      <c r="AA712" s="129"/>
      <c r="AB712" s="149"/>
      <c r="AC712" s="129"/>
      <c r="AD712" s="129"/>
      <c r="AE712" s="129"/>
    </row>
    <row r="713" spans="3:31" x14ac:dyDescent="0.35">
      <c r="C713" s="129"/>
      <c r="D713" s="129"/>
      <c r="E713" s="129"/>
      <c r="F713" s="129"/>
      <c r="G713" s="129"/>
      <c r="H713" s="110"/>
      <c r="I713" s="129"/>
      <c r="J713" t="s">
        <v>351</v>
      </c>
      <c r="K713" s="129"/>
      <c r="L713" s="129"/>
      <c r="M713" s="129"/>
      <c r="N713" s="129"/>
      <c r="O713" s="129"/>
      <c r="P713" s="129"/>
      <c r="Q713" s="129"/>
      <c r="R713" s="129"/>
      <c r="S713" s="141"/>
      <c r="T713" s="139"/>
      <c r="U713" s="129"/>
      <c r="V713" s="129"/>
      <c r="W713" s="129"/>
      <c r="X713" s="129"/>
      <c r="Y713" s="129"/>
      <c r="Z713" s="115"/>
      <c r="AA713" s="129"/>
      <c r="AB713" s="149"/>
      <c r="AC713" s="129"/>
      <c r="AD713" s="129"/>
      <c r="AE713" s="129"/>
    </row>
    <row r="714" spans="3:31" x14ac:dyDescent="0.35">
      <c r="C714" s="129"/>
      <c r="D714" s="129"/>
      <c r="E714" s="129"/>
      <c r="F714" s="129"/>
      <c r="G714" s="129"/>
      <c r="H714" s="110"/>
      <c r="I714" s="129"/>
      <c r="J714" t="s">
        <v>351</v>
      </c>
      <c r="K714" s="129"/>
      <c r="L714" s="129"/>
      <c r="M714" s="129"/>
      <c r="N714" s="129"/>
      <c r="O714" s="129"/>
      <c r="P714" s="129"/>
      <c r="Q714" s="129"/>
      <c r="R714" s="129"/>
      <c r="S714" s="141"/>
      <c r="T714" s="139"/>
      <c r="U714" s="129"/>
      <c r="V714" s="129"/>
      <c r="W714" s="129"/>
      <c r="X714" s="129"/>
      <c r="Y714" s="129"/>
      <c r="Z714" s="115"/>
      <c r="AA714" s="129"/>
      <c r="AB714" s="149"/>
      <c r="AC714" s="129"/>
      <c r="AD714" s="129"/>
      <c r="AE714" s="129"/>
    </row>
    <row r="715" spans="3:31" x14ac:dyDescent="0.35">
      <c r="C715" s="129"/>
      <c r="D715" s="129"/>
      <c r="E715" s="129"/>
      <c r="F715" s="129"/>
      <c r="G715" s="129"/>
      <c r="H715" s="110"/>
      <c r="I715" s="129"/>
      <c r="J715" t="s">
        <v>351</v>
      </c>
      <c r="K715" s="129"/>
      <c r="L715" s="129"/>
      <c r="M715" s="129"/>
      <c r="N715" s="129"/>
      <c r="O715" s="129"/>
      <c r="P715" s="129"/>
      <c r="Q715" s="129"/>
      <c r="R715" s="129"/>
      <c r="S715" s="141"/>
      <c r="T715" s="139"/>
      <c r="U715" s="129"/>
      <c r="V715" s="129"/>
      <c r="W715" s="129"/>
      <c r="X715" s="129"/>
      <c r="Y715" s="129"/>
      <c r="Z715" s="115"/>
      <c r="AA715" s="129"/>
      <c r="AB715" s="149"/>
      <c r="AC715" s="129"/>
      <c r="AD715" s="129"/>
      <c r="AE715" s="129"/>
    </row>
    <row r="716" spans="3:31" x14ac:dyDescent="0.35">
      <c r="C716" s="129"/>
      <c r="D716" s="129"/>
      <c r="E716" s="129"/>
      <c r="F716" s="129"/>
      <c r="G716" s="129"/>
      <c r="H716" s="110"/>
      <c r="I716" s="129"/>
      <c r="J716" t="s">
        <v>351</v>
      </c>
      <c r="K716" s="129"/>
      <c r="L716" s="129"/>
      <c r="M716" s="129"/>
      <c r="N716" s="129"/>
      <c r="O716" s="129"/>
      <c r="P716" s="129"/>
      <c r="Q716" s="129"/>
      <c r="R716" s="129"/>
      <c r="S716" s="141"/>
      <c r="T716" s="139"/>
      <c r="U716" s="129"/>
      <c r="V716" s="129"/>
      <c r="W716" s="129"/>
      <c r="X716" s="129"/>
      <c r="Y716" s="129"/>
      <c r="Z716" s="115"/>
      <c r="AA716" s="129"/>
      <c r="AB716" s="149"/>
      <c r="AC716" s="129"/>
      <c r="AD716" s="129"/>
      <c r="AE716" s="129"/>
    </row>
    <row r="717" spans="3:31" x14ac:dyDescent="0.35">
      <c r="C717" s="129"/>
      <c r="D717" s="129"/>
      <c r="E717" s="129"/>
      <c r="F717" s="129"/>
      <c r="G717" s="129"/>
      <c r="H717" s="110"/>
      <c r="I717" s="129"/>
      <c r="J717" t="s">
        <v>351</v>
      </c>
      <c r="K717" s="129"/>
      <c r="L717" s="129"/>
      <c r="M717" s="129"/>
      <c r="N717" s="129"/>
      <c r="O717" s="129"/>
      <c r="P717" s="129"/>
      <c r="Q717" s="129"/>
      <c r="R717" s="129"/>
      <c r="S717" s="141"/>
      <c r="T717" s="139"/>
      <c r="U717" s="129"/>
      <c r="V717" s="129"/>
      <c r="W717" s="129"/>
      <c r="X717" s="129"/>
      <c r="Y717" s="129"/>
      <c r="Z717" s="115"/>
      <c r="AA717" s="129"/>
      <c r="AB717" s="149"/>
      <c r="AC717" s="129"/>
      <c r="AD717" s="129"/>
      <c r="AE717" s="129"/>
    </row>
    <row r="718" spans="3:31" x14ac:dyDescent="0.35">
      <c r="C718" s="129"/>
      <c r="D718" s="129"/>
      <c r="E718" s="129"/>
      <c r="F718" s="129"/>
      <c r="G718" s="129"/>
      <c r="H718" s="110"/>
      <c r="I718" s="129"/>
      <c r="J718" t="s">
        <v>351</v>
      </c>
      <c r="K718" s="129"/>
      <c r="L718" s="129"/>
      <c r="M718" s="129"/>
      <c r="N718" s="129"/>
      <c r="O718" s="129"/>
      <c r="P718" s="129"/>
      <c r="Q718" s="129"/>
      <c r="R718" s="129"/>
      <c r="S718" s="141"/>
      <c r="T718" s="139"/>
      <c r="U718" s="129"/>
      <c r="V718" s="129"/>
      <c r="W718" s="129"/>
      <c r="X718" s="129"/>
      <c r="Y718" s="129"/>
      <c r="Z718" s="115"/>
      <c r="AA718" s="129"/>
      <c r="AB718" s="149"/>
      <c r="AC718" s="129"/>
      <c r="AD718" s="129"/>
      <c r="AE718" s="129"/>
    </row>
    <row r="719" spans="3:31" x14ac:dyDescent="0.35">
      <c r="C719" s="129"/>
      <c r="D719" s="129"/>
      <c r="E719" s="129"/>
      <c r="F719" s="129"/>
      <c r="G719" s="129"/>
      <c r="H719" s="110"/>
      <c r="I719" s="129"/>
      <c r="J719" t="s">
        <v>351</v>
      </c>
      <c r="K719" s="129"/>
      <c r="L719" s="129"/>
      <c r="M719" s="129"/>
      <c r="N719" s="129"/>
      <c r="O719" s="129"/>
      <c r="P719" s="129"/>
      <c r="Q719" s="129"/>
      <c r="R719" s="129"/>
      <c r="S719" s="141"/>
      <c r="T719" s="139"/>
      <c r="U719" s="129"/>
      <c r="V719" s="129"/>
      <c r="W719" s="129"/>
      <c r="X719" s="129"/>
      <c r="Y719" s="129"/>
      <c r="Z719" s="115"/>
      <c r="AA719" s="129"/>
      <c r="AB719" s="149"/>
      <c r="AC719" s="129"/>
      <c r="AD719" s="129"/>
      <c r="AE719" s="129"/>
    </row>
    <row r="720" spans="3:31" x14ac:dyDescent="0.35">
      <c r="C720" s="129"/>
      <c r="D720" s="129"/>
      <c r="E720" s="129"/>
      <c r="F720" s="129"/>
      <c r="G720" s="129"/>
      <c r="H720" s="110"/>
      <c r="I720" s="129"/>
      <c r="J720" t="s">
        <v>351</v>
      </c>
      <c r="K720" s="129"/>
      <c r="L720" s="129"/>
      <c r="M720" s="129"/>
      <c r="N720" s="129"/>
      <c r="O720" s="129"/>
      <c r="P720" s="129"/>
      <c r="Q720" s="129"/>
      <c r="R720" s="129"/>
      <c r="S720" s="141"/>
      <c r="T720" s="139"/>
      <c r="U720" s="129"/>
      <c r="V720" s="129"/>
      <c r="W720" s="129"/>
      <c r="X720" s="129"/>
      <c r="Y720" s="129"/>
      <c r="Z720" s="115"/>
      <c r="AA720" s="129"/>
      <c r="AB720" s="149"/>
      <c r="AC720" s="129"/>
      <c r="AD720" s="129"/>
      <c r="AE720" s="129"/>
    </row>
    <row r="721" spans="3:31" x14ac:dyDescent="0.35">
      <c r="C721" s="129"/>
      <c r="D721" s="129"/>
      <c r="E721" s="129"/>
      <c r="F721" s="129"/>
      <c r="G721" s="129"/>
      <c r="H721" s="110"/>
      <c r="I721" s="129"/>
      <c r="J721" t="s">
        <v>351</v>
      </c>
      <c r="K721" s="129"/>
      <c r="L721" s="129"/>
      <c r="M721" s="129"/>
      <c r="N721" s="129"/>
      <c r="O721" s="129"/>
      <c r="P721" s="129"/>
      <c r="Q721" s="129"/>
      <c r="R721" s="129"/>
      <c r="S721" s="141"/>
      <c r="T721" s="139"/>
      <c r="U721" s="129"/>
      <c r="V721" s="129"/>
      <c r="W721" s="129"/>
      <c r="X721" s="129"/>
      <c r="Y721" s="129"/>
      <c r="Z721" s="115"/>
      <c r="AA721" s="129"/>
      <c r="AB721" s="149"/>
      <c r="AC721" s="129"/>
      <c r="AD721" s="129"/>
      <c r="AE721" s="129"/>
    </row>
    <row r="722" spans="3:31" x14ac:dyDescent="0.35">
      <c r="C722" s="129"/>
      <c r="D722" s="129"/>
      <c r="E722" s="129"/>
      <c r="F722" s="129"/>
      <c r="G722" s="129"/>
      <c r="H722" s="110"/>
      <c r="I722" s="129"/>
      <c r="J722" t="s">
        <v>351</v>
      </c>
      <c r="K722" s="129"/>
      <c r="L722" s="129"/>
      <c r="M722" s="129"/>
      <c r="N722" s="129"/>
      <c r="O722" s="129"/>
      <c r="P722" s="129"/>
      <c r="Q722" s="129"/>
      <c r="R722" s="129"/>
      <c r="S722" s="141"/>
      <c r="T722" s="139"/>
      <c r="U722" s="129"/>
      <c r="V722" s="129"/>
      <c r="W722" s="129"/>
      <c r="X722" s="129"/>
      <c r="Y722" s="129"/>
      <c r="Z722" s="115"/>
      <c r="AA722" s="129"/>
      <c r="AB722" s="149"/>
      <c r="AC722" s="129"/>
      <c r="AD722" s="129"/>
      <c r="AE722" s="129"/>
    </row>
    <row r="723" spans="3:31" x14ac:dyDescent="0.35">
      <c r="C723" s="129"/>
      <c r="D723" s="129"/>
      <c r="E723" s="129"/>
      <c r="F723" s="129"/>
      <c r="G723" s="129"/>
      <c r="H723" s="110"/>
      <c r="I723" s="129"/>
      <c r="J723" t="s">
        <v>351</v>
      </c>
      <c r="K723" s="129"/>
      <c r="L723" s="129"/>
      <c r="M723" s="129"/>
      <c r="N723" s="129"/>
      <c r="O723" s="129"/>
      <c r="P723" s="129"/>
      <c r="Q723" s="129"/>
      <c r="R723" s="129"/>
      <c r="S723" s="141"/>
      <c r="T723" s="139"/>
      <c r="U723" s="129"/>
      <c r="V723" s="129"/>
      <c r="W723" s="129"/>
      <c r="X723" s="129"/>
      <c r="Y723" s="129"/>
      <c r="Z723" s="115"/>
      <c r="AA723" s="129"/>
      <c r="AB723" s="149"/>
      <c r="AC723" s="129"/>
      <c r="AD723" s="129"/>
      <c r="AE723" s="129"/>
    </row>
    <row r="724" spans="3:31" x14ac:dyDescent="0.35">
      <c r="C724" s="129"/>
      <c r="D724" s="129"/>
      <c r="E724" s="129"/>
      <c r="F724" s="129"/>
      <c r="G724" s="129"/>
      <c r="H724" s="110"/>
      <c r="I724" s="129"/>
      <c r="J724" t="s">
        <v>351</v>
      </c>
      <c r="K724" s="129"/>
      <c r="L724" s="129"/>
      <c r="M724" s="129"/>
      <c r="N724" s="129"/>
      <c r="O724" s="129"/>
      <c r="P724" s="129"/>
      <c r="Q724" s="129"/>
      <c r="R724" s="129"/>
      <c r="S724" s="141"/>
      <c r="T724" s="139"/>
      <c r="U724" s="129"/>
      <c r="V724" s="129"/>
      <c r="W724" s="129"/>
      <c r="X724" s="129"/>
      <c r="Y724" s="129"/>
      <c r="Z724" s="115"/>
      <c r="AA724" s="129"/>
      <c r="AB724" s="149"/>
      <c r="AC724" s="129"/>
      <c r="AD724" s="129"/>
      <c r="AE724" s="129"/>
    </row>
    <row r="725" spans="3:31" x14ac:dyDescent="0.35">
      <c r="C725" s="129"/>
      <c r="D725" s="129"/>
      <c r="E725" s="129"/>
      <c r="F725" s="129"/>
      <c r="G725" s="129"/>
      <c r="H725" s="110"/>
      <c r="I725" s="129"/>
      <c r="J725" t="s">
        <v>351</v>
      </c>
      <c r="K725" s="129"/>
      <c r="L725" s="129"/>
      <c r="M725" s="129"/>
      <c r="N725" s="129"/>
      <c r="O725" s="129"/>
      <c r="P725" s="129"/>
      <c r="Q725" s="129"/>
      <c r="R725" s="129"/>
      <c r="S725" s="141"/>
      <c r="T725" s="139"/>
      <c r="U725" s="129"/>
      <c r="V725" s="129"/>
      <c r="W725" s="129"/>
      <c r="X725" s="129"/>
      <c r="Y725" s="129"/>
      <c r="Z725" s="115"/>
      <c r="AA725" s="129"/>
      <c r="AB725" s="149"/>
      <c r="AC725" s="129"/>
      <c r="AD725" s="129"/>
      <c r="AE725" s="129"/>
    </row>
    <row r="726" spans="3:31" x14ac:dyDescent="0.35">
      <c r="C726" s="129"/>
      <c r="D726" s="129"/>
      <c r="E726" s="129"/>
      <c r="F726" s="129"/>
      <c r="G726" s="129"/>
      <c r="H726" s="110"/>
      <c r="I726" s="129"/>
      <c r="J726" t="s">
        <v>351</v>
      </c>
      <c r="K726" s="129"/>
      <c r="L726" s="129"/>
      <c r="M726" s="129"/>
      <c r="N726" s="129"/>
      <c r="O726" s="129"/>
      <c r="P726" s="129"/>
      <c r="Q726" s="129"/>
      <c r="R726" s="129"/>
      <c r="S726" s="141"/>
      <c r="T726" s="139"/>
      <c r="U726" s="129"/>
      <c r="V726" s="129"/>
      <c r="W726" s="129"/>
      <c r="X726" s="129"/>
      <c r="Y726" s="129"/>
      <c r="Z726" s="115"/>
      <c r="AA726" s="129"/>
      <c r="AB726" s="149"/>
      <c r="AC726" s="129"/>
      <c r="AD726" s="129"/>
      <c r="AE726" s="129"/>
    </row>
    <row r="727" spans="3:31" x14ac:dyDescent="0.35">
      <c r="C727" s="129"/>
      <c r="D727" s="129"/>
      <c r="E727" s="129"/>
      <c r="F727" s="129"/>
      <c r="G727" s="129"/>
      <c r="H727" s="110"/>
      <c r="I727" s="129"/>
      <c r="J727" t="s">
        <v>351</v>
      </c>
      <c r="K727" s="129"/>
      <c r="L727" s="129"/>
      <c r="M727" s="129"/>
      <c r="N727" s="129"/>
      <c r="O727" s="129"/>
      <c r="P727" s="129"/>
      <c r="Q727" s="129"/>
      <c r="R727" s="129"/>
      <c r="S727" s="141"/>
      <c r="T727" s="139"/>
      <c r="U727" s="129"/>
      <c r="V727" s="129"/>
      <c r="W727" s="129"/>
      <c r="X727" s="129"/>
      <c r="Y727" s="129"/>
      <c r="Z727" s="115"/>
      <c r="AA727" s="129"/>
      <c r="AB727" s="149"/>
      <c r="AC727" s="129"/>
      <c r="AD727" s="129"/>
      <c r="AE727" s="129"/>
    </row>
    <row r="728" spans="3:31" x14ac:dyDescent="0.35">
      <c r="C728" s="129"/>
      <c r="D728" s="129"/>
      <c r="E728" s="129"/>
      <c r="F728" s="129"/>
      <c r="G728" s="129"/>
      <c r="H728" s="110"/>
      <c r="I728" s="129"/>
      <c r="J728" t="s">
        <v>351</v>
      </c>
      <c r="K728" s="129"/>
      <c r="L728" s="129"/>
      <c r="M728" s="129"/>
      <c r="N728" s="129"/>
      <c r="O728" s="129"/>
      <c r="P728" s="129"/>
      <c r="Q728" s="129"/>
      <c r="R728" s="129"/>
      <c r="S728" s="141"/>
      <c r="T728" s="139"/>
      <c r="U728" s="129"/>
      <c r="V728" s="129"/>
      <c r="W728" s="129"/>
      <c r="X728" s="129"/>
      <c r="Y728" s="129"/>
      <c r="Z728" s="115"/>
      <c r="AA728" s="129"/>
      <c r="AB728" s="149"/>
      <c r="AC728" s="129"/>
      <c r="AD728" s="129"/>
      <c r="AE728" s="129"/>
    </row>
    <row r="729" spans="3:31" x14ac:dyDescent="0.35">
      <c r="C729" s="129"/>
      <c r="D729" s="129"/>
      <c r="E729" s="129"/>
      <c r="F729" s="129"/>
      <c r="G729" s="129"/>
      <c r="H729" s="110"/>
      <c r="I729" s="129"/>
      <c r="J729" t="s">
        <v>351</v>
      </c>
      <c r="K729" s="129"/>
      <c r="L729" s="129"/>
      <c r="M729" s="129"/>
      <c r="N729" s="129"/>
      <c r="O729" s="129"/>
      <c r="P729" s="129"/>
      <c r="Q729" s="129"/>
      <c r="R729" s="129"/>
      <c r="S729" s="141"/>
      <c r="T729" s="139"/>
      <c r="U729" s="129"/>
      <c r="V729" s="129"/>
      <c r="W729" s="129"/>
      <c r="X729" s="129"/>
      <c r="Y729" s="129"/>
      <c r="Z729" s="115"/>
      <c r="AA729" s="129"/>
      <c r="AB729" s="149"/>
      <c r="AC729" s="129"/>
      <c r="AD729" s="129"/>
      <c r="AE729" s="129"/>
    </row>
    <row r="730" spans="3:31" x14ac:dyDescent="0.35">
      <c r="C730" s="129"/>
      <c r="D730" s="129"/>
      <c r="E730" s="129"/>
      <c r="F730" s="129"/>
      <c r="G730" s="129"/>
      <c r="H730" s="110"/>
      <c r="I730" s="129"/>
      <c r="J730" t="s">
        <v>351</v>
      </c>
      <c r="K730" s="129"/>
      <c r="L730" s="129"/>
      <c r="M730" s="129"/>
      <c r="N730" s="129"/>
      <c r="O730" s="129"/>
      <c r="P730" s="129"/>
      <c r="Q730" s="129"/>
      <c r="R730" s="129"/>
      <c r="S730" s="141"/>
      <c r="T730" s="139"/>
      <c r="U730" s="129"/>
      <c r="V730" s="129"/>
      <c r="W730" s="129"/>
      <c r="X730" s="129"/>
      <c r="Y730" s="129"/>
      <c r="Z730" s="115"/>
      <c r="AA730" s="129"/>
      <c r="AB730" s="149"/>
      <c r="AC730" s="129"/>
      <c r="AD730" s="129"/>
      <c r="AE730" s="129"/>
    </row>
    <row r="731" spans="3:31" x14ac:dyDescent="0.35">
      <c r="C731" s="129"/>
      <c r="D731" s="129"/>
      <c r="E731" s="129"/>
      <c r="F731" s="129"/>
      <c r="G731" s="129"/>
      <c r="H731" s="110"/>
      <c r="I731" s="129"/>
      <c r="J731" t="s">
        <v>351</v>
      </c>
      <c r="K731" s="129"/>
      <c r="L731" s="129"/>
      <c r="M731" s="129"/>
      <c r="N731" s="129"/>
      <c r="O731" s="129"/>
      <c r="P731" s="129"/>
      <c r="Q731" s="129"/>
      <c r="R731" s="129"/>
      <c r="S731" s="141"/>
      <c r="T731" s="139"/>
      <c r="U731" s="129"/>
      <c r="V731" s="129"/>
      <c r="W731" s="129"/>
      <c r="X731" s="129"/>
      <c r="Y731" s="129"/>
      <c r="Z731" s="115"/>
      <c r="AA731" s="129"/>
      <c r="AB731" s="149"/>
      <c r="AC731" s="129"/>
      <c r="AD731" s="129"/>
      <c r="AE731" s="129"/>
    </row>
    <row r="732" spans="3:31" x14ac:dyDescent="0.35">
      <c r="C732" s="129"/>
      <c r="D732" s="129"/>
      <c r="E732" s="129"/>
      <c r="F732" s="129"/>
      <c r="G732" s="129"/>
      <c r="H732" s="110"/>
      <c r="I732" s="129"/>
      <c r="J732" t="s">
        <v>351</v>
      </c>
      <c r="K732" s="129"/>
      <c r="L732" s="129"/>
      <c r="M732" s="129"/>
      <c r="N732" s="129"/>
      <c r="O732" s="129"/>
      <c r="P732" s="129"/>
      <c r="Q732" s="129"/>
      <c r="R732" s="129"/>
      <c r="S732" s="141"/>
      <c r="T732" s="139"/>
      <c r="U732" s="129"/>
      <c r="V732" s="129"/>
      <c r="W732" s="129"/>
      <c r="X732" s="129"/>
      <c r="Y732" s="129"/>
      <c r="Z732" s="115"/>
      <c r="AA732" s="129"/>
      <c r="AB732" s="149"/>
      <c r="AC732" s="129"/>
      <c r="AD732" s="129"/>
      <c r="AE732" s="129"/>
    </row>
    <row r="733" spans="3:31" x14ac:dyDescent="0.35">
      <c r="C733" s="129"/>
      <c r="D733" s="129"/>
      <c r="E733" s="129"/>
      <c r="F733" s="129"/>
      <c r="G733" s="129"/>
      <c r="H733" s="110"/>
      <c r="I733" s="129"/>
      <c r="J733" t="s">
        <v>351</v>
      </c>
      <c r="K733" s="129"/>
      <c r="L733" s="129"/>
      <c r="M733" s="129"/>
      <c r="N733" s="129"/>
      <c r="O733" s="129"/>
      <c r="P733" s="129"/>
      <c r="Q733" s="129"/>
      <c r="R733" s="129"/>
      <c r="S733" s="141"/>
      <c r="T733" s="139"/>
      <c r="U733" s="129"/>
      <c r="V733" s="129"/>
      <c r="W733" s="129"/>
      <c r="X733" s="129"/>
      <c r="Y733" s="129"/>
      <c r="Z733" s="115"/>
      <c r="AA733" s="129"/>
      <c r="AB733" s="149"/>
      <c r="AC733" s="129"/>
      <c r="AD733" s="129"/>
      <c r="AE733" s="129"/>
    </row>
    <row r="734" spans="3:31" x14ac:dyDescent="0.35">
      <c r="C734" s="129"/>
      <c r="D734" s="129"/>
      <c r="E734" s="129"/>
      <c r="F734" s="129"/>
      <c r="G734" s="129"/>
      <c r="H734" s="110"/>
      <c r="I734" s="129"/>
      <c r="J734" t="s">
        <v>351</v>
      </c>
      <c r="K734" s="129"/>
      <c r="L734" s="129"/>
      <c r="M734" s="129"/>
      <c r="N734" s="129"/>
      <c r="O734" s="129"/>
      <c r="P734" s="129"/>
      <c r="Q734" s="129"/>
      <c r="R734" s="129"/>
      <c r="S734" s="141"/>
      <c r="T734" s="139"/>
      <c r="U734" s="129"/>
      <c r="V734" s="129"/>
      <c r="W734" s="129"/>
      <c r="X734" s="129"/>
      <c r="Y734" s="129"/>
      <c r="Z734" s="115"/>
      <c r="AA734" s="129"/>
      <c r="AB734" s="149"/>
      <c r="AC734" s="129"/>
      <c r="AD734" s="129"/>
      <c r="AE734" s="129"/>
    </row>
    <row r="735" spans="3:31" x14ac:dyDescent="0.35">
      <c r="C735" s="129"/>
      <c r="D735" s="129"/>
      <c r="E735" s="129"/>
      <c r="F735" s="129"/>
      <c r="G735" s="129"/>
      <c r="H735" s="110"/>
      <c r="I735" s="129"/>
      <c r="J735" t="s">
        <v>351</v>
      </c>
      <c r="K735" s="129"/>
      <c r="L735" s="129"/>
      <c r="M735" s="129"/>
      <c r="N735" s="129"/>
      <c r="O735" s="129"/>
      <c r="P735" s="129"/>
      <c r="Q735" s="129"/>
      <c r="R735" s="129"/>
      <c r="S735" s="141"/>
      <c r="T735" s="139"/>
      <c r="U735" s="129"/>
      <c r="V735" s="129"/>
      <c r="W735" s="129"/>
      <c r="X735" s="129"/>
      <c r="Y735" s="129"/>
      <c r="Z735" s="115"/>
      <c r="AA735" s="129"/>
      <c r="AB735" s="149"/>
      <c r="AC735" s="129"/>
      <c r="AD735" s="129"/>
      <c r="AE735" s="129"/>
    </row>
    <row r="736" spans="3:31" x14ac:dyDescent="0.35">
      <c r="C736" s="129"/>
      <c r="D736" s="129"/>
      <c r="E736" s="129"/>
      <c r="F736" s="129"/>
      <c r="G736" s="129"/>
      <c r="H736" s="110"/>
      <c r="I736" s="129"/>
      <c r="J736" t="s">
        <v>351</v>
      </c>
      <c r="K736" s="129"/>
      <c r="L736" s="129"/>
      <c r="M736" s="129"/>
      <c r="N736" s="129"/>
      <c r="O736" s="129"/>
      <c r="P736" s="129"/>
      <c r="Q736" s="129"/>
      <c r="R736" s="129"/>
      <c r="S736" s="141"/>
      <c r="T736" s="139"/>
      <c r="U736" s="129"/>
      <c r="V736" s="129"/>
      <c r="W736" s="129"/>
      <c r="X736" s="129"/>
      <c r="Y736" s="129"/>
      <c r="Z736" s="115"/>
      <c r="AA736" s="129"/>
      <c r="AB736" s="149"/>
      <c r="AC736" s="129"/>
      <c r="AD736" s="129"/>
      <c r="AE736" s="129"/>
    </row>
    <row r="737" spans="3:31" x14ac:dyDescent="0.35">
      <c r="C737" s="129"/>
      <c r="D737" s="129"/>
      <c r="E737" s="129"/>
      <c r="F737" s="129"/>
      <c r="G737" s="129"/>
      <c r="H737" s="110"/>
      <c r="I737" s="129"/>
      <c r="J737" t="s">
        <v>351</v>
      </c>
      <c r="K737" s="129"/>
      <c r="L737" s="129"/>
      <c r="M737" s="129"/>
      <c r="N737" s="129"/>
      <c r="O737" s="129"/>
      <c r="P737" s="129"/>
      <c r="Q737" s="129"/>
      <c r="R737" s="129"/>
      <c r="S737" s="141"/>
      <c r="T737" s="139"/>
      <c r="U737" s="129"/>
      <c r="V737" s="129"/>
      <c r="W737" s="129"/>
      <c r="X737" s="129"/>
      <c r="Y737" s="129"/>
      <c r="Z737" s="115"/>
      <c r="AA737" s="129"/>
      <c r="AB737" s="149"/>
      <c r="AC737" s="129"/>
      <c r="AD737" s="129"/>
      <c r="AE737" s="129"/>
    </row>
    <row r="738" spans="3:31" x14ac:dyDescent="0.35">
      <c r="C738" s="129"/>
      <c r="D738" s="129"/>
      <c r="E738" s="129"/>
      <c r="F738" s="129"/>
      <c r="G738" s="129"/>
      <c r="H738" s="110"/>
      <c r="I738" s="129"/>
      <c r="J738" t="s">
        <v>351</v>
      </c>
      <c r="K738" s="129"/>
      <c r="L738" s="129"/>
      <c r="M738" s="129"/>
      <c r="N738" s="129"/>
      <c r="O738" s="129"/>
      <c r="P738" s="129"/>
      <c r="Q738" s="129"/>
      <c r="R738" s="129"/>
      <c r="S738" s="141"/>
      <c r="T738" s="139"/>
      <c r="U738" s="129"/>
      <c r="V738" s="129"/>
      <c r="W738" s="129"/>
      <c r="X738" s="129"/>
      <c r="Y738" s="129"/>
      <c r="Z738" s="115"/>
      <c r="AA738" s="129"/>
      <c r="AB738" s="149"/>
      <c r="AC738" s="129"/>
      <c r="AD738" s="129"/>
      <c r="AE738" s="129"/>
    </row>
    <row r="739" spans="3:31" x14ac:dyDescent="0.35">
      <c r="C739" s="129"/>
      <c r="D739" s="129"/>
      <c r="E739" s="129"/>
      <c r="F739" s="129"/>
      <c r="G739" s="129"/>
      <c r="H739" s="110"/>
      <c r="I739" s="129"/>
      <c r="J739" t="s">
        <v>351</v>
      </c>
      <c r="K739" s="129"/>
      <c r="L739" s="129"/>
      <c r="M739" s="129"/>
      <c r="N739" s="129"/>
      <c r="O739" s="129"/>
      <c r="P739" s="129"/>
      <c r="Q739" s="129"/>
      <c r="R739" s="129"/>
      <c r="S739" s="141"/>
      <c r="T739" s="139"/>
      <c r="U739" s="129"/>
      <c r="V739" s="129"/>
      <c r="W739" s="129"/>
      <c r="X739" s="129"/>
      <c r="Y739" s="129"/>
      <c r="Z739" s="115"/>
      <c r="AA739" s="129"/>
      <c r="AB739" s="149"/>
      <c r="AC739" s="129"/>
      <c r="AD739" s="129"/>
      <c r="AE739" s="129"/>
    </row>
    <row r="740" spans="3:31" x14ac:dyDescent="0.35">
      <c r="C740" s="129"/>
      <c r="D740" s="129"/>
      <c r="E740" s="129"/>
      <c r="F740" s="129"/>
      <c r="G740" s="129"/>
      <c r="H740" s="110"/>
      <c r="I740" s="129"/>
      <c r="J740" t="s">
        <v>351</v>
      </c>
      <c r="K740" s="129"/>
      <c r="L740" s="129"/>
      <c r="M740" s="129"/>
      <c r="N740" s="129"/>
      <c r="O740" s="129"/>
      <c r="P740" s="129"/>
      <c r="Q740" s="129"/>
      <c r="R740" s="129"/>
      <c r="S740" s="141"/>
      <c r="T740" s="139"/>
      <c r="U740" s="129"/>
      <c r="V740" s="129"/>
      <c r="W740" s="129"/>
      <c r="X740" s="129"/>
      <c r="Y740" s="129"/>
      <c r="Z740" s="115"/>
      <c r="AA740" s="129"/>
      <c r="AB740" s="149"/>
      <c r="AC740" s="129"/>
      <c r="AD740" s="129"/>
      <c r="AE740" s="129"/>
    </row>
    <row r="741" spans="3:31" x14ac:dyDescent="0.35">
      <c r="C741" s="129"/>
      <c r="D741" s="129"/>
      <c r="E741" s="129"/>
      <c r="F741" s="129"/>
      <c r="G741" s="129"/>
      <c r="H741" s="110"/>
      <c r="I741" s="129"/>
      <c r="J741" t="s">
        <v>351</v>
      </c>
      <c r="K741" s="129"/>
      <c r="L741" s="129"/>
      <c r="M741" s="129"/>
      <c r="N741" s="129"/>
      <c r="O741" s="129"/>
      <c r="P741" s="129"/>
      <c r="Q741" s="129"/>
      <c r="R741" s="129"/>
      <c r="S741" s="141"/>
      <c r="T741" s="139"/>
      <c r="U741" s="129"/>
      <c r="V741" s="129"/>
      <c r="W741" s="129"/>
      <c r="X741" s="129"/>
      <c r="Y741" s="129"/>
      <c r="Z741" s="115"/>
      <c r="AA741" s="129"/>
      <c r="AB741" s="149"/>
      <c r="AC741" s="129"/>
      <c r="AD741" s="129"/>
      <c r="AE741" s="129"/>
    </row>
    <row r="742" spans="3:31" x14ac:dyDescent="0.35">
      <c r="C742" s="129"/>
      <c r="D742" s="129"/>
      <c r="E742" s="129"/>
      <c r="F742" s="129"/>
      <c r="G742" s="129"/>
      <c r="H742" s="110"/>
      <c r="I742" s="129"/>
      <c r="J742" t="s">
        <v>351</v>
      </c>
      <c r="K742" s="129"/>
      <c r="L742" s="129"/>
      <c r="M742" s="129"/>
      <c r="N742" s="129"/>
      <c r="O742" s="129"/>
      <c r="P742" s="129"/>
      <c r="Q742" s="129"/>
      <c r="R742" s="129"/>
      <c r="S742" s="141"/>
      <c r="T742" s="139"/>
      <c r="U742" s="129"/>
      <c r="V742" s="129"/>
      <c r="W742" s="129"/>
      <c r="X742" s="129"/>
      <c r="Y742" s="129"/>
      <c r="Z742" s="115"/>
      <c r="AA742" s="129"/>
      <c r="AB742" s="149"/>
      <c r="AC742" s="129"/>
      <c r="AD742" s="129"/>
      <c r="AE742" s="129"/>
    </row>
    <row r="743" spans="3:31" x14ac:dyDescent="0.35">
      <c r="C743" s="129"/>
      <c r="D743" s="129"/>
      <c r="E743" s="129"/>
      <c r="F743" s="129"/>
      <c r="G743" s="129"/>
      <c r="H743" s="110"/>
      <c r="I743" s="129"/>
      <c r="J743" t="s">
        <v>351</v>
      </c>
      <c r="K743" s="129"/>
      <c r="L743" s="129"/>
      <c r="M743" s="129"/>
      <c r="N743" s="129"/>
      <c r="O743" s="129"/>
      <c r="P743" s="129"/>
      <c r="Q743" s="129"/>
      <c r="R743" s="129"/>
      <c r="S743" s="141"/>
      <c r="T743" s="139"/>
      <c r="U743" s="129"/>
      <c r="V743" s="129"/>
      <c r="W743" s="129"/>
      <c r="X743" s="129"/>
      <c r="Y743" s="129"/>
      <c r="Z743" s="115"/>
      <c r="AA743" s="129"/>
      <c r="AB743" s="149"/>
      <c r="AC743" s="129"/>
      <c r="AD743" s="129"/>
      <c r="AE743" s="129"/>
    </row>
    <row r="744" spans="3:31" x14ac:dyDescent="0.35">
      <c r="C744" s="129"/>
      <c r="D744" s="129"/>
      <c r="E744" s="129"/>
      <c r="F744" s="129"/>
      <c r="G744" s="129"/>
      <c r="H744" s="110"/>
      <c r="I744" s="129"/>
      <c r="J744" t="s">
        <v>351</v>
      </c>
      <c r="K744" s="129"/>
      <c r="L744" s="129"/>
      <c r="M744" s="129"/>
      <c r="N744" s="129"/>
      <c r="O744" s="129"/>
      <c r="P744" s="129"/>
      <c r="Q744" s="129"/>
      <c r="R744" s="129"/>
      <c r="S744" s="141"/>
      <c r="T744" s="139"/>
      <c r="U744" s="129"/>
      <c r="V744" s="129"/>
      <c r="W744" s="129"/>
      <c r="X744" s="129"/>
      <c r="Y744" s="129"/>
      <c r="Z744" s="115"/>
      <c r="AA744" s="129"/>
      <c r="AB744" s="149"/>
      <c r="AC744" s="129"/>
      <c r="AD744" s="129"/>
      <c r="AE744" s="129"/>
    </row>
    <row r="745" spans="3:31" x14ac:dyDescent="0.35">
      <c r="C745" s="129"/>
      <c r="D745" s="129"/>
      <c r="E745" s="129"/>
      <c r="F745" s="129"/>
      <c r="G745" s="129"/>
      <c r="H745" s="110"/>
      <c r="I745" s="129"/>
      <c r="J745" t="s">
        <v>351</v>
      </c>
      <c r="K745" s="129"/>
      <c r="L745" s="129"/>
      <c r="M745" s="129"/>
      <c r="N745" s="129"/>
      <c r="O745" s="129"/>
      <c r="P745" s="129"/>
      <c r="Q745" s="129"/>
      <c r="R745" s="129"/>
      <c r="S745" s="141"/>
      <c r="T745" s="139"/>
      <c r="U745" s="129"/>
      <c r="V745" s="129"/>
      <c r="W745" s="129"/>
      <c r="X745" s="129"/>
      <c r="Y745" s="129"/>
      <c r="Z745" s="115"/>
      <c r="AA745" s="129"/>
      <c r="AB745" s="149"/>
      <c r="AC745" s="129"/>
      <c r="AD745" s="129"/>
      <c r="AE745" s="129"/>
    </row>
    <row r="746" spans="3:31" x14ac:dyDescent="0.35">
      <c r="C746" s="129"/>
      <c r="D746" s="129"/>
      <c r="E746" s="129"/>
      <c r="F746" s="129"/>
      <c r="G746" s="129"/>
      <c r="H746" s="110"/>
      <c r="I746" s="129"/>
      <c r="J746" t="s">
        <v>351</v>
      </c>
      <c r="K746" s="129"/>
      <c r="L746" s="129"/>
      <c r="M746" s="129"/>
      <c r="N746" s="129"/>
      <c r="O746" s="129"/>
      <c r="P746" s="129"/>
      <c r="Q746" s="129"/>
      <c r="R746" s="129"/>
      <c r="S746" s="141"/>
      <c r="T746" s="139"/>
      <c r="U746" s="129"/>
      <c r="V746" s="129"/>
      <c r="W746" s="129"/>
      <c r="X746" s="129"/>
      <c r="Y746" s="129"/>
      <c r="Z746" s="115"/>
      <c r="AA746" s="129"/>
      <c r="AB746" s="149"/>
      <c r="AC746" s="129"/>
      <c r="AD746" s="129"/>
      <c r="AE746" s="129"/>
    </row>
    <row r="747" spans="3:31" x14ac:dyDescent="0.35">
      <c r="C747" s="129"/>
      <c r="D747" s="129"/>
      <c r="E747" s="129"/>
      <c r="F747" s="129"/>
      <c r="G747" s="129"/>
      <c r="H747" s="110"/>
      <c r="I747" s="129"/>
      <c r="J747" t="s">
        <v>351</v>
      </c>
      <c r="K747" s="129"/>
      <c r="L747" s="129"/>
      <c r="M747" s="129"/>
      <c r="N747" s="129"/>
      <c r="O747" s="129"/>
      <c r="P747" s="129"/>
      <c r="Q747" s="129"/>
      <c r="R747" s="129"/>
      <c r="S747" s="141"/>
      <c r="T747" s="139"/>
      <c r="U747" s="129"/>
      <c r="V747" s="129"/>
      <c r="W747" s="129"/>
      <c r="X747" s="129"/>
      <c r="Y747" s="129"/>
      <c r="Z747" s="115"/>
      <c r="AA747" s="129"/>
      <c r="AB747" s="149"/>
      <c r="AC747" s="129"/>
      <c r="AD747" s="129"/>
      <c r="AE747" s="129"/>
    </row>
    <row r="748" spans="3:31" x14ac:dyDescent="0.35">
      <c r="C748" s="129"/>
      <c r="D748" s="129"/>
      <c r="E748" s="129"/>
      <c r="F748" s="129"/>
      <c r="G748" s="129"/>
      <c r="H748" s="110"/>
      <c r="I748" s="129"/>
      <c r="J748" t="s">
        <v>351</v>
      </c>
      <c r="K748" s="129"/>
      <c r="L748" s="129"/>
      <c r="M748" s="129"/>
      <c r="N748" s="129"/>
      <c r="O748" s="129"/>
      <c r="P748" s="129"/>
      <c r="Q748" s="129"/>
      <c r="R748" s="129"/>
      <c r="S748" s="141"/>
      <c r="T748" s="139"/>
      <c r="U748" s="129"/>
      <c r="V748" s="129"/>
      <c r="W748" s="129"/>
      <c r="X748" s="129"/>
      <c r="Y748" s="129"/>
      <c r="Z748" s="115"/>
      <c r="AA748" s="129"/>
      <c r="AB748" s="149"/>
      <c r="AC748" s="129"/>
      <c r="AD748" s="129"/>
      <c r="AE748" s="129"/>
    </row>
    <row r="749" spans="3:31" x14ac:dyDescent="0.35">
      <c r="C749" s="129"/>
      <c r="D749" s="129"/>
      <c r="E749" s="129"/>
      <c r="F749" s="129"/>
      <c r="G749" s="129"/>
      <c r="H749" s="110"/>
      <c r="I749" s="129"/>
      <c r="J749" t="s">
        <v>351</v>
      </c>
      <c r="K749" s="129"/>
      <c r="L749" s="129"/>
      <c r="M749" s="129"/>
      <c r="N749" s="129"/>
      <c r="O749" s="129"/>
      <c r="P749" s="129"/>
      <c r="Q749" s="129"/>
      <c r="R749" s="129"/>
      <c r="S749" s="141"/>
      <c r="T749" s="139"/>
      <c r="U749" s="129"/>
      <c r="V749" s="129"/>
      <c r="W749" s="129"/>
      <c r="X749" s="129"/>
      <c r="Y749" s="129"/>
      <c r="Z749" s="115"/>
      <c r="AA749" s="129"/>
      <c r="AB749" s="149"/>
      <c r="AC749" s="129"/>
      <c r="AD749" s="129"/>
      <c r="AE749" s="129"/>
    </row>
    <row r="750" spans="3:31" x14ac:dyDescent="0.35">
      <c r="C750" s="129"/>
      <c r="D750" s="129"/>
      <c r="E750" s="129"/>
      <c r="F750" s="129"/>
      <c r="G750" s="129"/>
      <c r="H750" s="110"/>
      <c r="I750" s="129"/>
      <c r="J750" t="s">
        <v>351</v>
      </c>
      <c r="K750" s="129"/>
      <c r="L750" s="129"/>
      <c r="M750" s="129"/>
      <c r="N750" s="129"/>
      <c r="O750" s="129"/>
      <c r="P750" s="129"/>
      <c r="Q750" s="129"/>
      <c r="R750" s="129"/>
      <c r="S750" s="141"/>
      <c r="T750" s="139"/>
      <c r="U750" s="129"/>
      <c r="V750" s="129"/>
      <c r="W750" s="129"/>
      <c r="X750" s="129"/>
      <c r="Y750" s="129"/>
      <c r="Z750" s="115"/>
      <c r="AA750" s="129"/>
      <c r="AB750" s="149"/>
      <c r="AC750" s="129"/>
      <c r="AD750" s="129"/>
      <c r="AE750" s="129"/>
    </row>
    <row r="751" spans="3:31" x14ac:dyDescent="0.35">
      <c r="C751" s="129"/>
      <c r="D751" s="129"/>
      <c r="E751" s="129"/>
      <c r="F751" s="129"/>
      <c r="G751" s="129"/>
      <c r="H751" s="110"/>
      <c r="I751" s="129"/>
      <c r="J751" t="s">
        <v>351</v>
      </c>
      <c r="K751" s="129"/>
      <c r="L751" s="129"/>
      <c r="M751" s="129"/>
      <c r="N751" s="129"/>
      <c r="O751" s="129"/>
      <c r="P751" s="129"/>
      <c r="Q751" s="129"/>
      <c r="R751" s="129"/>
      <c r="S751" s="141"/>
      <c r="T751" s="139"/>
      <c r="U751" s="129"/>
      <c r="V751" s="129"/>
      <c r="W751" s="129"/>
      <c r="X751" s="129"/>
      <c r="Y751" s="129"/>
      <c r="Z751" s="115"/>
      <c r="AA751" s="129"/>
      <c r="AB751" s="149"/>
      <c r="AC751" s="129"/>
      <c r="AD751" s="129"/>
      <c r="AE751" s="129"/>
    </row>
    <row r="752" spans="3:31" x14ac:dyDescent="0.35">
      <c r="C752" s="129"/>
      <c r="D752" s="129"/>
      <c r="E752" s="129"/>
      <c r="F752" s="129"/>
      <c r="G752" s="129"/>
      <c r="H752" s="110"/>
      <c r="I752" s="129"/>
      <c r="J752" t="s">
        <v>351</v>
      </c>
      <c r="K752" s="129"/>
      <c r="L752" s="129"/>
      <c r="M752" s="129"/>
      <c r="N752" s="129"/>
      <c r="O752" s="129"/>
      <c r="P752" s="129"/>
      <c r="Q752" s="129"/>
      <c r="R752" s="129"/>
      <c r="S752" s="141"/>
      <c r="T752" s="139"/>
      <c r="U752" s="129"/>
      <c r="V752" s="129"/>
      <c r="W752" s="129"/>
      <c r="X752" s="129"/>
      <c r="Y752" s="129"/>
      <c r="Z752" s="115"/>
      <c r="AA752" s="129"/>
      <c r="AB752" s="149"/>
      <c r="AC752" s="129"/>
      <c r="AD752" s="129"/>
      <c r="AE752" s="129"/>
    </row>
    <row r="753" spans="3:31" x14ac:dyDescent="0.35">
      <c r="C753" s="129"/>
      <c r="D753" s="129"/>
      <c r="E753" s="129"/>
      <c r="F753" s="129"/>
      <c r="G753" s="129"/>
      <c r="H753" s="110"/>
      <c r="I753" s="129"/>
      <c r="J753" t="s">
        <v>351</v>
      </c>
      <c r="K753" s="129"/>
      <c r="L753" s="129"/>
      <c r="M753" s="129"/>
      <c r="N753" s="129"/>
      <c r="O753" s="129"/>
      <c r="P753" s="129"/>
      <c r="Q753" s="129"/>
      <c r="R753" s="129"/>
      <c r="S753" s="141"/>
      <c r="T753" s="139"/>
      <c r="U753" s="129"/>
      <c r="V753" s="129"/>
      <c r="W753" s="129"/>
      <c r="X753" s="129"/>
      <c r="Y753" s="129"/>
      <c r="Z753" s="115"/>
      <c r="AA753" s="129"/>
      <c r="AB753" s="149"/>
      <c r="AC753" s="129"/>
      <c r="AD753" s="129"/>
      <c r="AE753" s="129"/>
    </row>
    <row r="754" spans="3:31" x14ac:dyDescent="0.35">
      <c r="C754" s="129"/>
      <c r="D754" s="129"/>
      <c r="E754" s="129"/>
      <c r="F754" s="129"/>
      <c r="G754" s="129"/>
      <c r="H754" s="110"/>
      <c r="I754" s="129"/>
      <c r="J754" t="s">
        <v>351</v>
      </c>
      <c r="K754" s="129"/>
      <c r="L754" s="129"/>
      <c r="M754" s="129"/>
      <c r="N754" s="129"/>
      <c r="O754" s="129"/>
      <c r="P754" s="129"/>
      <c r="Q754" s="129"/>
      <c r="R754" s="129"/>
      <c r="S754" s="141"/>
      <c r="T754" s="139"/>
      <c r="U754" s="129"/>
      <c r="V754" s="129"/>
      <c r="W754" s="129"/>
      <c r="X754" s="129"/>
      <c r="Y754" s="129"/>
      <c r="Z754" s="115"/>
      <c r="AA754" s="129"/>
      <c r="AB754" s="149"/>
      <c r="AC754" s="129"/>
      <c r="AD754" s="129"/>
      <c r="AE754" s="129"/>
    </row>
    <row r="755" spans="3:31" x14ac:dyDescent="0.35">
      <c r="C755" s="129"/>
      <c r="D755" s="129"/>
      <c r="E755" s="129"/>
      <c r="F755" s="129"/>
      <c r="G755" s="129"/>
      <c r="H755" s="110"/>
      <c r="I755" s="129"/>
      <c r="J755" t="s">
        <v>351</v>
      </c>
      <c r="K755" s="129"/>
      <c r="L755" s="129"/>
      <c r="M755" s="129"/>
      <c r="N755" s="129"/>
      <c r="O755" s="129"/>
      <c r="P755" s="129"/>
      <c r="Q755" s="129"/>
      <c r="R755" s="129"/>
      <c r="S755" s="141"/>
      <c r="T755" s="139"/>
      <c r="U755" s="129"/>
      <c r="V755" s="129"/>
      <c r="W755" s="129"/>
      <c r="X755" s="129"/>
      <c r="Y755" s="129"/>
      <c r="Z755" s="115"/>
      <c r="AA755" s="129"/>
      <c r="AB755" s="149"/>
      <c r="AC755" s="129"/>
      <c r="AD755" s="129"/>
      <c r="AE755" s="129"/>
    </row>
    <row r="756" spans="3:31" x14ac:dyDescent="0.35">
      <c r="C756" s="129"/>
      <c r="D756" s="129"/>
      <c r="E756" s="129"/>
      <c r="F756" s="129"/>
      <c r="G756" s="129"/>
      <c r="H756" s="110"/>
      <c r="I756" s="129"/>
      <c r="J756" t="s">
        <v>351</v>
      </c>
      <c r="K756" s="129"/>
      <c r="L756" s="129"/>
      <c r="M756" s="129"/>
      <c r="N756" s="129"/>
      <c r="O756" s="129"/>
      <c r="P756" s="129"/>
      <c r="Q756" s="129"/>
      <c r="R756" s="129"/>
      <c r="S756" s="141"/>
      <c r="T756" s="139"/>
      <c r="U756" s="129"/>
      <c r="V756" s="129"/>
      <c r="W756" s="129"/>
      <c r="X756" s="129"/>
      <c r="Y756" s="129"/>
      <c r="Z756" s="115"/>
      <c r="AA756" s="129"/>
      <c r="AB756" s="149"/>
      <c r="AC756" s="129"/>
      <c r="AD756" s="129"/>
      <c r="AE756" s="129"/>
    </row>
    <row r="757" spans="3:31" x14ac:dyDescent="0.35">
      <c r="C757" s="129"/>
      <c r="D757" s="129"/>
      <c r="E757" s="129"/>
      <c r="F757" s="129"/>
      <c r="G757" s="129"/>
      <c r="H757" s="110"/>
      <c r="I757" s="129"/>
      <c r="J757" t="s">
        <v>351</v>
      </c>
      <c r="K757" s="129"/>
      <c r="L757" s="129"/>
      <c r="M757" s="129"/>
      <c r="N757" s="129"/>
      <c r="O757" s="129"/>
      <c r="P757" s="129"/>
      <c r="Q757" s="129"/>
      <c r="R757" s="129"/>
      <c r="S757" s="141"/>
      <c r="T757" s="139"/>
      <c r="U757" s="129"/>
      <c r="V757" s="129"/>
      <c r="W757" s="129"/>
      <c r="X757" s="129"/>
      <c r="Y757" s="129"/>
      <c r="Z757" s="115"/>
      <c r="AA757" s="129"/>
      <c r="AB757" s="149"/>
      <c r="AC757" s="129"/>
      <c r="AD757" s="129"/>
      <c r="AE757" s="129"/>
    </row>
    <row r="758" spans="3:31" x14ac:dyDescent="0.35">
      <c r="C758" s="129"/>
      <c r="D758" s="129"/>
      <c r="E758" s="129"/>
      <c r="F758" s="129"/>
      <c r="G758" s="129"/>
      <c r="H758" s="110"/>
      <c r="I758" s="129"/>
      <c r="J758" t="s">
        <v>351</v>
      </c>
      <c r="K758" s="129"/>
      <c r="L758" s="129"/>
      <c r="M758" s="129"/>
      <c r="N758" s="129"/>
      <c r="O758" s="129"/>
      <c r="P758" s="129"/>
      <c r="Q758" s="129"/>
      <c r="R758" s="129"/>
      <c r="S758" s="141"/>
      <c r="T758" s="139"/>
      <c r="U758" s="129"/>
      <c r="V758" s="129"/>
      <c r="W758" s="129"/>
      <c r="X758" s="129"/>
      <c r="Y758" s="129"/>
      <c r="Z758" s="115"/>
      <c r="AA758" s="129"/>
      <c r="AB758" s="149"/>
      <c r="AC758" s="129"/>
      <c r="AD758" s="129"/>
      <c r="AE758" s="129"/>
    </row>
    <row r="759" spans="3:31" x14ac:dyDescent="0.35">
      <c r="C759" s="129"/>
      <c r="D759" s="129"/>
      <c r="E759" s="129"/>
      <c r="F759" s="129"/>
      <c r="G759" s="129"/>
      <c r="H759" s="110"/>
      <c r="I759" s="129"/>
      <c r="J759" t="s">
        <v>351</v>
      </c>
      <c r="K759" s="129"/>
      <c r="L759" s="129"/>
      <c r="M759" s="129"/>
      <c r="N759" s="129"/>
      <c r="O759" s="129"/>
      <c r="P759" s="129"/>
      <c r="Q759" s="129"/>
      <c r="R759" s="129"/>
      <c r="S759" s="141"/>
      <c r="T759" s="139"/>
      <c r="U759" s="129"/>
      <c r="V759" s="129"/>
      <c r="W759" s="129"/>
      <c r="X759" s="129"/>
      <c r="Y759" s="129"/>
      <c r="Z759" s="115"/>
      <c r="AA759" s="129"/>
      <c r="AB759" s="149"/>
      <c r="AC759" s="129"/>
      <c r="AD759" s="129"/>
      <c r="AE759" s="129"/>
    </row>
    <row r="760" spans="3:31" x14ac:dyDescent="0.35">
      <c r="C760" s="129"/>
      <c r="D760" s="129"/>
      <c r="E760" s="129"/>
      <c r="F760" s="129"/>
      <c r="G760" s="129"/>
      <c r="H760" s="110"/>
      <c r="I760" s="129"/>
      <c r="J760" t="s">
        <v>351</v>
      </c>
      <c r="K760" s="129"/>
      <c r="L760" s="129"/>
      <c r="M760" s="129"/>
      <c r="N760" s="129"/>
      <c r="O760" s="129"/>
      <c r="P760" s="129"/>
      <c r="Q760" s="129"/>
      <c r="R760" s="129"/>
      <c r="S760" s="141"/>
      <c r="T760" s="139"/>
      <c r="U760" s="129"/>
      <c r="V760" s="129"/>
      <c r="W760" s="129"/>
      <c r="X760" s="129"/>
      <c r="Y760" s="129"/>
      <c r="Z760" s="115"/>
      <c r="AA760" s="129"/>
      <c r="AB760" s="149"/>
      <c r="AC760" s="129"/>
      <c r="AD760" s="129"/>
      <c r="AE760" s="129"/>
    </row>
    <row r="761" spans="3:31" x14ac:dyDescent="0.35">
      <c r="C761" s="129"/>
      <c r="D761" s="129"/>
      <c r="E761" s="129"/>
      <c r="F761" s="129"/>
      <c r="G761" s="129"/>
      <c r="H761" s="110"/>
      <c r="I761" s="129"/>
      <c r="J761" t="s">
        <v>351</v>
      </c>
      <c r="K761" s="129"/>
      <c r="L761" s="129"/>
      <c r="M761" s="129"/>
      <c r="N761" s="129"/>
      <c r="O761" s="129"/>
      <c r="P761" s="129"/>
      <c r="Q761" s="129"/>
      <c r="R761" s="129"/>
      <c r="S761" s="141"/>
      <c r="T761" s="139"/>
      <c r="U761" s="129"/>
      <c r="V761" s="129"/>
      <c r="W761" s="129"/>
      <c r="X761" s="129"/>
      <c r="Y761" s="129"/>
      <c r="Z761" s="115"/>
      <c r="AA761" s="129"/>
      <c r="AB761" s="149"/>
      <c r="AC761" s="129"/>
      <c r="AD761" s="129"/>
      <c r="AE761" s="129"/>
    </row>
    <row r="762" spans="3:31" x14ac:dyDescent="0.35">
      <c r="C762" s="129"/>
      <c r="D762" s="129"/>
      <c r="E762" s="129"/>
      <c r="F762" s="129"/>
      <c r="G762" s="129"/>
      <c r="H762" s="110"/>
      <c r="I762" s="129"/>
      <c r="J762" t="s">
        <v>351</v>
      </c>
      <c r="K762" s="129"/>
      <c r="L762" s="129"/>
      <c r="M762" s="129"/>
      <c r="N762" s="129"/>
      <c r="O762" s="129"/>
      <c r="P762" s="129"/>
      <c r="Q762" s="129"/>
      <c r="R762" s="129"/>
      <c r="S762" s="141"/>
      <c r="T762" s="139"/>
      <c r="U762" s="129"/>
      <c r="V762" s="129"/>
      <c r="W762" s="129"/>
      <c r="X762" s="129"/>
      <c r="Y762" s="129"/>
      <c r="Z762" s="115"/>
      <c r="AA762" s="129"/>
      <c r="AB762" s="149"/>
      <c r="AC762" s="129"/>
      <c r="AD762" s="129"/>
      <c r="AE762" s="129"/>
    </row>
    <row r="763" spans="3:31" x14ac:dyDescent="0.35">
      <c r="C763" s="129"/>
      <c r="D763" s="129"/>
      <c r="E763" s="129"/>
      <c r="F763" s="129"/>
      <c r="G763" s="129"/>
      <c r="H763" s="110"/>
      <c r="I763" s="129"/>
      <c r="J763" t="s">
        <v>351</v>
      </c>
      <c r="K763" s="129"/>
      <c r="L763" s="129"/>
      <c r="M763" s="129"/>
      <c r="N763" s="129"/>
      <c r="O763" s="129"/>
      <c r="P763" s="129"/>
      <c r="Q763" s="129"/>
      <c r="R763" s="129"/>
      <c r="S763" s="141"/>
      <c r="T763" s="139"/>
      <c r="U763" s="129"/>
      <c r="V763" s="129"/>
      <c r="W763" s="129"/>
      <c r="X763" s="129"/>
      <c r="Y763" s="129"/>
      <c r="Z763" s="115"/>
      <c r="AA763" s="129"/>
      <c r="AB763" s="149"/>
      <c r="AC763" s="129"/>
      <c r="AD763" s="129"/>
      <c r="AE763" s="129"/>
    </row>
    <row r="764" spans="3:31" x14ac:dyDescent="0.35">
      <c r="C764" s="129"/>
      <c r="D764" s="129"/>
      <c r="E764" s="129"/>
      <c r="F764" s="129"/>
      <c r="G764" s="129"/>
      <c r="H764" s="110"/>
      <c r="I764" s="129"/>
      <c r="J764" t="s">
        <v>351</v>
      </c>
      <c r="K764" s="129"/>
      <c r="L764" s="129"/>
      <c r="M764" s="129"/>
      <c r="N764" s="129"/>
      <c r="O764" s="129"/>
      <c r="P764" s="129"/>
      <c r="Q764" s="129"/>
      <c r="R764" s="129"/>
      <c r="S764" s="141"/>
      <c r="T764" s="139"/>
      <c r="U764" s="129"/>
      <c r="V764" s="129"/>
      <c r="W764" s="129"/>
      <c r="X764" s="129"/>
      <c r="Y764" s="129"/>
      <c r="Z764" s="115"/>
      <c r="AA764" s="129"/>
      <c r="AB764" s="149"/>
      <c r="AC764" s="129"/>
      <c r="AD764" s="129"/>
      <c r="AE764" s="129"/>
    </row>
    <row r="765" spans="3:31" x14ac:dyDescent="0.35">
      <c r="C765" s="129"/>
      <c r="D765" s="129"/>
      <c r="E765" s="129"/>
      <c r="F765" s="129"/>
      <c r="G765" s="129"/>
      <c r="H765" s="110"/>
      <c r="I765" s="129"/>
      <c r="J765" t="s">
        <v>351</v>
      </c>
      <c r="K765" s="129"/>
      <c r="L765" s="129"/>
      <c r="M765" s="129"/>
      <c r="N765" s="129"/>
      <c r="O765" s="129"/>
      <c r="P765" s="129"/>
      <c r="Q765" s="129"/>
      <c r="R765" s="129"/>
      <c r="S765" s="141"/>
      <c r="T765" s="139"/>
      <c r="U765" s="129"/>
      <c r="V765" s="129"/>
      <c r="W765" s="129"/>
      <c r="X765" s="129"/>
      <c r="Y765" s="129"/>
      <c r="Z765" s="115"/>
      <c r="AA765" s="129"/>
      <c r="AB765" s="149"/>
      <c r="AC765" s="129"/>
      <c r="AD765" s="129"/>
      <c r="AE765" s="129"/>
    </row>
    <row r="766" spans="3:31" x14ac:dyDescent="0.35">
      <c r="C766" s="129"/>
      <c r="D766" s="129"/>
      <c r="E766" s="129"/>
      <c r="F766" s="129"/>
      <c r="G766" s="129"/>
      <c r="H766" s="110"/>
      <c r="I766" s="129"/>
      <c r="J766" t="s">
        <v>351</v>
      </c>
      <c r="K766" s="129"/>
      <c r="L766" s="129"/>
      <c r="M766" s="129"/>
      <c r="N766" s="129"/>
      <c r="O766" s="129"/>
      <c r="P766" s="129"/>
      <c r="Q766" s="129"/>
      <c r="R766" s="129"/>
      <c r="S766" s="141"/>
      <c r="T766" s="139"/>
      <c r="U766" s="129"/>
      <c r="V766" s="129"/>
      <c r="W766" s="129"/>
      <c r="X766" s="129"/>
      <c r="Y766" s="129"/>
      <c r="Z766" s="115"/>
      <c r="AA766" s="129"/>
      <c r="AB766" s="149"/>
      <c r="AC766" s="129"/>
      <c r="AD766" s="129"/>
      <c r="AE766" s="129"/>
    </row>
    <row r="767" spans="3:31" x14ac:dyDescent="0.35">
      <c r="C767" s="129"/>
      <c r="D767" s="129"/>
      <c r="E767" s="129"/>
      <c r="F767" s="129"/>
      <c r="G767" s="129"/>
      <c r="H767" s="110"/>
      <c r="I767" s="129"/>
      <c r="J767" t="s">
        <v>351</v>
      </c>
      <c r="K767" s="129"/>
      <c r="L767" s="129"/>
      <c r="M767" s="129"/>
      <c r="N767" s="129"/>
      <c r="O767" s="129"/>
      <c r="P767" s="129"/>
      <c r="Q767" s="129"/>
      <c r="R767" s="129"/>
      <c r="S767" s="141"/>
      <c r="T767" s="139"/>
      <c r="U767" s="129"/>
      <c r="V767" s="129"/>
      <c r="W767" s="129"/>
      <c r="X767" s="129"/>
      <c r="Y767" s="129"/>
      <c r="Z767" s="115"/>
      <c r="AA767" s="129"/>
      <c r="AB767" s="149"/>
      <c r="AC767" s="129"/>
      <c r="AD767" s="129"/>
      <c r="AE767" s="129"/>
    </row>
    <row r="768" spans="3:31" x14ac:dyDescent="0.35">
      <c r="C768" s="129"/>
      <c r="D768" s="129"/>
      <c r="E768" s="129"/>
      <c r="F768" s="129"/>
      <c r="G768" s="129"/>
      <c r="H768" s="110"/>
      <c r="I768" s="129"/>
      <c r="J768" t="s">
        <v>351</v>
      </c>
      <c r="K768" s="129"/>
      <c r="L768" s="129"/>
      <c r="M768" s="129"/>
      <c r="N768" s="129"/>
      <c r="O768" s="129"/>
      <c r="P768" s="129"/>
      <c r="Q768" s="129"/>
      <c r="R768" s="129"/>
      <c r="S768" s="141"/>
      <c r="T768" s="139"/>
      <c r="U768" s="129"/>
      <c r="V768" s="129"/>
      <c r="W768" s="129"/>
      <c r="X768" s="129"/>
      <c r="Y768" s="129"/>
      <c r="Z768" s="115"/>
      <c r="AA768" s="129"/>
      <c r="AB768" s="149"/>
      <c r="AC768" s="129"/>
      <c r="AD768" s="129"/>
      <c r="AE768" s="129"/>
    </row>
    <row r="769" spans="3:31" x14ac:dyDescent="0.35">
      <c r="C769" s="129"/>
      <c r="D769" s="129"/>
      <c r="E769" s="129"/>
      <c r="F769" s="129"/>
      <c r="G769" s="129"/>
      <c r="H769" s="110"/>
      <c r="I769" s="129"/>
      <c r="J769" t="s">
        <v>351</v>
      </c>
      <c r="K769" s="129"/>
      <c r="L769" s="129"/>
      <c r="M769" s="129"/>
      <c r="N769" s="129"/>
      <c r="O769" s="129"/>
      <c r="P769" s="129"/>
      <c r="Q769" s="129"/>
      <c r="R769" s="129"/>
      <c r="S769" s="141"/>
      <c r="T769" s="139"/>
      <c r="U769" s="129"/>
      <c r="V769" s="129"/>
      <c r="W769" s="129"/>
      <c r="X769" s="129"/>
      <c r="Y769" s="129"/>
      <c r="Z769" s="115"/>
      <c r="AA769" s="129"/>
      <c r="AB769" s="149"/>
      <c r="AC769" s="129"/>
      <c r="AD769" s="129"/>
      <c r="AE769" s="129"/>
    </row>
    <row r="770" spans="3:31" x14ac:dyDescent="0.35">
      <c r="C770" s="129"/>
      <c r="D770" s="129"/>
      <c r="E770" s="129"/>
      <c r="F770" s="129"/>
      <c r="G770" s="129"/>
      <c r="H770" s="110"/>
      <c r="I770" s="129"/>
      <c r="J770" t="s">
        <v>351</v>
      </c>
      <c r="K770" s="129"/>
      <c r="L770" s="129"/>
      <c r="M770" s="129"/>
      <c r="N770" s="129"/>
      <c r="O770" s="129"/>
      <c r="P770" s="129"/>
      <c r="Q770" s="129"/>
      <c r="R770" s="129"/>
      <c r="S770" s="141"/>
      <c r="T770" s="139"/>
      <c r="U770" s="129"/>
      <c r="V770" s="129"/>
      <c r="W770" s="129"/>
      <c r="X770" s="129"/>
      <c r="Y770" s="129"/>
      <c r="Z770" s="115"/>
      <c r="AA770" s="129"/>
      <c r="AB770" s="149"/>
      <c r="AC770" s="129"/>
      <c r="AD770" s="129"/>
      <c r="AE770" s="129"/>
    </row>
    <row r="771" spans="3:31" x14ac:dyDescent="0.35">
      <c r="C771" s="129"/>
      <c r="D771" s="129"/>
      <c r="E771" s="129"/>
      <c r="F771" s="129"/>
      <c r="G771" s="129"/>
      <c r="H771" s="110"/>
      <c r="I771" s="129"/>
      <c r="J771" t="s">
        <v>351</v>
      </c>
      <c r="K771" s="129"/>
      <c r="L771" s="129"/>
      <c r="M771" s="129"/>
      <c r="N771" s="129"/>
      <c r="O771" s="129"/>
      <c r="P771" s="129"/>
      <c r="Q771" s="129"/>
      <c r="R771" s="129"/>
      <c r="S771" s="141"/>
      <c r="T771" s="139"/>
      <c r="U771" s="129"/>
      <c r="V771" s="129"/>
      <c r="W771" s="129"/>
      <c r="X771" s="129"/>
      <c r="Y771" s="129"/>
      <c r="Z771" s="115"/>
      <c r="AA771" s="129"/>
      <c r="AB771" s="149"/>
      <c r="AC771" s="129"/>
      <c r="AD771" s="129"/>
      <c r="AE771" s="129"/>
    </row>
    <row r="772" spans="3:31" x14ac:dyDescent="0.35">
      <c r="C772" s="129"/>
      <c r="D772" s="129"/>
      <c r="E772" s="129"/>
      <c r="F772" s="129"/>
      <c r="G772" s="129"/>
      <c r="H772" s="110"/>
      <c r="I772" s="129"/>
      <c r="J772" t="s">
        <v>351</v>
      </c>
      <c r="K772" s="129"/>
      <c r="L772" s="129"/>
      <c r="M772" s="129"/>
      <c r="N772" s="129"/>
      <c r="O772" s="129"/>
      <c r="P772" s="129"/>
      <c r="Q772" s="129"/>
      <c r="R772" s="129"/>
      <c r="S772" s="141"/>
      <c r="T772" s="139"/>
      <c r="U772" s="129"/>
      <c r="V772" s="129"/>
      <c r="W772" s="129"/>
      <c r="X772" s="129"/>
      <c r="Y772" s="129"/>
      <c r="Z772" s="115"/>
      <c r="AA772" s="129"/>
      <c r="AB772" s="149"/>
      <c r="AC772" s="129"/>
      <c r="AD772" s="129"/>
      <c r="AE772" s="129"/>
    </row>
    <row r="773" spans="3:31" x14ac:dyDescent="0.35">
      <c r="C773" s="129"/>
      <c r="D773" s="129"/>
      <c r="E773" s="129"/>
      <c r="F773" s="129"/>
      <c r="G773" s="129"/>
      <c r="H773" s="110"/>
      <c r="I773" s="129"/>
      <c r="J773" t="s">
        <v>351</v>
      </c>
      <c r="K773" s="129"/>
      <c r="L773" s="129"/>
      <c r="M773" s="129"/>
      <c r="N773" s="129"/>
      <c r="O773" s="129"/>
      <c r="P773" s="129"/>
      <c r="Q773" s="129"/>
      <c r="R773" s="129"/>
      <c r="S773" s="141"/>
      <c r="T773" s="139"/>
      <c r="U773" s="129"/>
      <c r="V773" s="129"/>
      <c r="W773" s="129"/>
      <c r="X773" s="129"/>
      <c r="Y773" s="129"/>
      <c r="Z773" s="115"/>
      <c r="AA773" s="129"/>
      <c r="AB773" s="149"/>
      <c r="AC773" s="129"/>
      <c r="AD773" s="129"/>
      <c r="AE773" s="129"/>
    </row>
    <row r="774" spans="3:31" x14ac:dyDescent="0.35">
      <c r="C774" s="129"/>
      <c r="D774" s="129"/>
      <c r="E774" s="129"/>
      <c r="F774" s="129"/>
      <c r="G774" s="129"/>
      <c r="H774" s="110"/>
      <c r="I774" s="129"/>
      <c r="J774" t="s">
        <v>351</v>
      </c>
      <c r="K774" s="129"/>
      <c r="L774" s="129"/>
      <c r="M774" s="129"/>
      <c r="N774" s="129"/>
      <c r="O774" s="129"/>
      <c r="P774" s="129"/>
      <c r="Q774" s="129"/>
      <c r="R774" s="129"/>
      <c r="S774" s="141"/>
      <c r="T774" s="139"/>
      <c r="U774" s="129"/>
      <c r="V774" s="129"/>
      <c r="W774" s="129"/>
      <c r="X774" s="129"/>
      <c r="Y774" s="129"/>
      <c r="Z774" s="115"/>
      <c r="AA774" s="129"/>
      <c r="AB774" s="149"/>
      <c r="AC774" s="129"/>
      <c r="AD774" s="129"/>
      <c r="AE774" s="129"/>
    </row>
    <row r="775" spans="3:31" x14ac:dyDescent="0.35">
      <c r="C775" s="129"/>
      <c r="D775" s="129"/>
      <c r="E775" s="129"/>
      <c r="F775" s="129"/>
      <c r="G775" s="129"/>
      <c r="H775" s="110"/>
      <c r="I775" s="129"/>
      <c r="J775" t="s">
        <v>351</v>
      </c>
      <c r="K775" s="129"/>
      <c r="L775" s="129"/>
      <c r="M775" s="129"/>
      <c r="N775" s="129"/>
      <c r="O775" s="129"/>
      <c r="P775" s="129"/>
      <c r="Q775" s="129"/>
      <c r="R775" s="129"/>
      <c r="S775" s="141"/>
      <c r="T775" s="139"/>
      <c r="U775" s="129"/>
      <c r="V775" s="129"/>
      <c r="W775" s="129"/>
      <c r="X775" s="129"/>
      <c r="Y775" s="129"/>
      <c r="Z775" s="115"/>
      <c r="AA775" s="129"/>
      <c r="AB775" s="149"/>
      <c r="AC775" s="129"/>
      <c r="AD775" s="129"/>
      <c r="AE775" s="129"/>
    </row>
    <row r="776" spans="3:31" x14ac:dyDescent="0.35">
      <c r="C776" s="129"/>
      <c r="D776" s="129"/>
      <c r="E776" s="129"/>
      <c r="F776" s="129"/>
      <c r="G776" s="129"/>
      <c r="H776" s="110"/>
      <c r="I776" s="129"/>
      <c r="J776" t="s">
        <v>351</v>
      </c>
      <c r="K776" s="129"/>
      <c r="L776" s="129"/>
      <c r="M776" s="129"/>
      <c r="N776" s="129"/>
      <c r="O776" s="129"/>
      <c r="P776" s="129"/>
      <c r="Q776" s="129"/>
      <c r="R776" s="129"/>
      <c r="S776" s="141"/>
      <c r="T776" s="139"/>
      <c r="U776" s="129"/>
      <c r="V776" s="129"/>
      <c r="W776" s="129"/>
      <c r="X776" s="129"/>
      <c r="Y776" s="129"/>
      <c r="Z776" s="115"/>
      <c r="AA776" s="129"/>
      <c r="AB776" s="149"/>
      <c r="AC776" s="129"/>
      <c r="AD776" s="129"/>
      <c r="AE776" s="129"/>
    </row>
    <row r="777" spans="3:31" x14ac:dyDescent="0.35">
      <c r="C777" s="129"/>
      <c r="D777" s="129"/>
      <c r="E777" s="129"/>
      <c r="F777" s="129"/>
      <c r="G777" s="129"/>
      <c r="H777" s="110"/>
      <c r="I777" s="129"/>
      <c r="J777" t="s">
        <v>351</v>
      </c>
      <c r="K777" s="129"/>
      <c r="L777" s="129"/>
      <c r="M777" s="129"/>
      <c r="N777" s="129"/>
      <c r="O777" s="129"/>
      <c r="P777" s="129"/>
      <c r="Q777" s="129"/>
      <c r="R777" s="129"/>
      <c r="S777" s="141"/>
      <c r="T777" s="139"/>
      <c r="U777" s="129"/>
      <c r="V777" s="129"/>
      <c r="W777" s="129"/>
      <c r="X777" s="129"/>
      <c r="Y777" s="129"/>
      <c r="Z777" s="115"/>
      <c r="AA777" s="129"/>
      <c r="AB777" s="149"/>
      <c r="AC777" s="129"/>
      <c r="AD777" s="129"/>
      <c r="AE777" s="129"/>
    </row>
    <row r="778" spans="3:31" x14ac:dyDescent="0.35">
      <c r="C778" s="129"/>
      <c r="D778" s="129"/>
      <c r="E778" s="129"/>
      <c r="F778" s="129"/>
      <c r="G778" s="129"/>
      <c r="H778" s="110"/>
      <c r="I778" s="129"/>
      <c r="J778" t="s">
        <v>351</v>
      </c>
      <c r="K778" s="129"/>
      <c r="L778" s="129"/>
      <c r="M778" s="129"/>
      <c r="N778" s="129"/>
      <c r="O778" s="129"/>
      <c r="P778" s="129"/>
      <c r="Q778" s="129"/>
      <c r="R778" s="129"/>
      <c r="S778" s="141"/>
      <c r="T778" s="139"/>
      <c r="U778" s="129"/>
      <c r="V778" s="129"/>
      <c r="W778" s="129"/>
      <c r="X778" s="129"/>
      <c r="Y778" s="129"/>
      <c r="Z778" s="115"/>
      <c r="AA778" s="129"/>
      <c r="AB778" s="149"/>
      <c r="AC778" s="129"/>
      <c r="AD778" s="129"/>
      <c r="AE778" s="129"/>
    </row>
    <row r="779" spans="3:31" x14ac:dyDescent="0.35">
      <c r="C779" s="129"/>
      <c r="D779" s="129"/>
      <c r="E779" s="129"/>
      <c r="F779" s="129"/>
      <c r="G779" s="129"/>
      <c r="H779" s="110"/>
      <c r="I779" s="129"/>
      <c r="J779" t="s">
        <v>351</v>
      </c>
      <c r="K779" s="129"/>
      <c r="L779" s="129"/>
      <c r="M779" s="129"/>
      <c r="N779" s="129"/>
      <c r="O779" s="129"/>
      <c r="P779" s="129"/>
      <c r="Q779" s="129"/>
      <c r="R779" s="129"/>
      <c r="S779" s="141"/>
      <c r="T779" s="139"/>
      <c r="U779" s="129"/>
      <c r="V779" s="129"/>
      <c r="W779" s="129"/>
      <c r="X779" s="129"/>
      <c r="Y779" s="129"/>
      <c r="Z779" s="115"/>
      <c r="AA779" s="129"/>
      <c r="AB779" s="149"/>
      <c r="AC779" s="129"/>
      <c r="AD779" s="129"/>
      <c r="AE779" s="129"/>
    </row>
    <row r="780" spans="3:31" x14ac:dyDescent="0.35">
      <c r="C780" s="129"/>
      <c r="D780" s="129"/>
      <c r="E780" s="129"/>
      <c r="F780" s="129"/>
      <c r="G780" s="129"/>
      <c r="H780" s="110"/>
      <c r="I780" s="129"/>
      <c r="J780" t="s">
        <v>351</v>
      </c>
      <c r="K780" s="129"/>
      <c r="L780" s="129"/>
      <c r="M780" s="129"/>
      <c r="N780" s="129"/>
      <c r="O780" s="129"/>
      <c r="P780" s="129"/>
      <c r="Q780" s="129"/>
      <c r="R780" s="129"/>
      <c r="S780" s="141"/>
      <c r="T780" s="139"/>
      <c r="U780" s="129"/>
      <c r="V780" s="129"/>
      <c r="W780" s="129"/>
      <c r="X780" s="129"/>
      <c r="Y780" s="129"/>
      <c r="Z780" s="115"/>
      <c r="AA780" s="129"/>
      <c r="AB780" s="149"/>
      <c r="AC780" s="129"/>
      <c r="AD780" s="129"/>
      <c r="AE780" s="129"/>
    </row>
    <row r="781" spans="3:31" x14ac:dyDescent="0.35">
      <c r="C781" s="129"/>
      <c r="D781" s="129"/>
      <c r="E781" s="129"/>
      <c r="F781" s="129"/>
      <c r="G781" s="129"/>
      <c r="H781" s="110"/>
      <c r="I781" s="129"/>
      <c r="J781" t="s">
        <v>351</v>
      </c>
      <c r="K781" s="129"/>
      <c r="L781" s="129"/>
      <c r="M781" s="129"/>
      <c r="N781" s="129"/>
      <c r="O781" s="129"/>
      <c r="P781" s="129"/>
      <c r="Q781" s="129"/>
      <c r="R781" s="129"/>
      <c r="S781" s="141"/>
      <c r="T781" s="139"/>
      <c r="U781" s="129"/>
      <c r="V781" s="129"/>
      <c r="W781" s="129"/>
      <c r="X781" s="129"/>
      <c r="Y781" s="129"/>
      <c r="Z781" s="115"/>
      <c r="AA781" s="129"/>
      <c r="AB781" s="149"/>
      <c r="AC781" s="129"/>
      <c r="AD781" s="129"/>
      <c r="AE781" s="129"/>
    </row>
    <row r="782" spans="3:31" x14ac:dyDescent="0.35">
      <c r="C782" s="129"/>
      <c r="D782" s="129"/>
      <c r="E782" s="129"/>
      <c r="F782" s="129"/>
      <c r="G782" s="129"/>
      <c r="H782" s="110"/>
      <c r="I782" s="129"/>
      <c r="J782" t="s">
        <v>351</v>
      </c>
      <c r="K782" s="129"/>
      <c r="L782" s="129"/>
      <c r="M782" s="129"/>
      <c r="N782" s="129"/>
      <c r="O782" s="129"/>
      <c r="P782" s="129"/>
      <c r="Q782" s="129"/>
      <c r="R782" s="129"/>
      <c r="S782" s="141"/>
      <c r="T782" s="139"/>
      <c r="U782" s="129"/>
      <c r="V782" s="129"/>
      <c r="W782" s="129"/>
      <c r="X782" s="129"/>
      <c r="Y782" s="129"/>
      <c r="Z782" s="115"/>
      <c r="AA782" s="129"/>
      <c r="AB782" s="149"/>
      <c r="AC782" s="129"/>
      <c r="AD782" s="129"/>
      <c r="AE782" s="129"/>
    </row>
    <row r="783" spans="3:31" x14ac:dyDescent="0.35">
      <c r="C783" s="129"/>
      <c r="D783" s="129"/>
      <c r="E783" s="129"/>
      <c r="F783" s="129"/>
      <c r="G783" s="129"/>
      <c r="H783" s="110"/>
      <c r="I783" s="129"/>
      <c r="J783" t="s">
        <v>351</v>
      </c>
      <c r="K783" s="129"/>
      <c r="L783" s="129"/>
      <c r="M783" s="129"/>
      <c r="N783" s="129"/>
      <c r="O783" s="129"/>
      <c r="P783" s="129"/>
      <c r="Q783" s="129"/>
      <c r="R783" s="129"/>
      <c r="S783" s="141"/>
      <c r="T783" s="139"/>
      <c r="U783" s="129"/>
      <c r="V783" s="129"/>
      <c r="W783" s="129"/>
      <c r="X783" s="129"/>
      <c r="Y783" s="129"/>
      <c r="Z783" s="115"/>
      <c r="AA783" s="129"/>
      <c r="AB783" s="149"/>
      <c r="AC783" s="129"/>
      <c r="AD783" s="129"/>
      <c r="AE783" s="129"/>
    </row>
    <row r="784" spans="3:31" x14ac:dyDescent="0.35">
      <c r="C784" s="129"/>
      <c r="D784" s="129"/>
      <c r="E784" s="129"/>
      <c r="F784" s="129"/>
      <c r="G784" s="129"/>
      <c r="H784" s="110"/>
      <c r="I784" s="129"/>
      <c r="J784" t="s">
        <v>351</v>
      </c>
      <c r="K784" s="129"/>
      <c r="L784" s="129"/>
      <c r="M784" s="129"/>
      <c r="N784" s="129"/>
      <c r="O784" s="129"/>
      <c r="P784" s="129"/>
      <c r="Q784" s="129"/>
      <c r="R784" s="129"/>
      <c r="S784" s="141"/>
      <c r="T784" s="139"/>
      <c r="U784" s="129"/>
      <c r="V784" s="129"/>
      <c r="W784" s="129"/>
      <c r="X784" s="129"/>
      <c r="Y784" s="129"/>
      <c r="Z784" s="115"/>
      <c r="AA784" s="129"/>
      <c r="AB784" s="149"/>
      <c r="AC784" s="129"/>
      <c r="AD784" s="129"/>
      <c r="AE784" s="129"/>
    </row>
    <row r="785" spans="3:31" x14ac:dyDescent="0.35">
      <c r="C785" s="129"/>
      <c r="D785" s="129"/>
      <c r="E785" s="129"/>
      <c r="F785" s="129"/>
      <c r="G785" s="129"/>
      <c r="H785" s="110"/>
      <c r="I785" s="129"/>
      <c r="J785" t="s">
        <v>351</v>
      </c>
      <c r="K785" s="129"/>
      <c r="L785" s="129"/>
      <c r="M785" s="129"/>
      <c r="N785" s="129"/>
      <c r="O785" s="129"/>
      <c r="P785" s="129"/>
      <c r="Q785" s="129"/>
      <c r="R785" s="129"/>
      <c r="S785" s="141"/>
      <c r="T785" s="139"/>
      <c r="U785" s="129"/>
      <c r="V785" s="129"/>
      <c r="W785" s="129"/>
      <c r="X785" s="129"/>
      <c r="Y785" s="129"/>
      <c r="Z785" s="115"/>
      <c r="AA785" s="129"/>
      <c r="AB785" s="149"/>
      <c r="AC785" s="129"/>
      <c r="AD785" s="129"/>
      <c r="AE785" s="129"/>
    </row>
    <row r="786" spans="3:31" x14ac:dyDescent="0.35">
      <c r="C786" s="129"/>
      <c r="D786" s="129"/>
      <c r="E786" s="129"/>
      <c r="F786" s="129"/>
      <c r="G786" s="129"/>
      <c r="H786" s="110"/>
      <c r="I786" s="129"/>
      <c r="J786" t="s">
        <v>351</v>
      </c>
      <c r="K786" s="129"/>
      <c r="L786" s="129"/>
      <c r="M786" s="129"/>
      <c r="N786" s="129"/>
      <c r="O786" s="129"/>
      <c r="P786" s="129"/>
      <c r="Q786" s="129"/>
      <c r="R786" s="129"/>
      <c r="S786" s="141"/>
      <c r="T786" s="139"/>
      <c r="U786" s="129"/>
      <c r="V786" s="129"/>
      <c r="W786" s="129"/>
      <c r="X786" s="129"/>
      <c r="Y786" s="129"/>
      <c r="Z786" s="115"/>
      <c r="AA786" s="129"/>
      <c r="AB786" s="149"/>
      <c r="AC786" s="129"/>
      <c r="AD786" s="129"/>
      <c r="AE786" s="129"/>
    </row>
    <row r="787" spans="3:31" x14ac:dyDescent="0.35">
      <c r="C787" s="129"/>
      <c r="D787" s="129"/>
      <c r="E787" s="129"/>
      <c r="F787" s="129"/>
      <c r="G787" s="129"/>
      <c r="H787" s="110"/>
      <c r="I787" s="129"/>
      <c r="J787" t="s">
        <v>351</v>
      </c>
      <c r="K787" s="129"/>
      <c r="L787" s="129"/>
      <c r="M787" s="129"/>
      <c r="N787" s="129"/>
      <c r="O787" s="129"/>
      <c r="P787" s="129"/>
      <c r="Q787" s="129"/>
      <c r="R787" s="129"/>
      <c r="S787" s="141"/>
      <c r="T787" s="139"/>
      <c r="U787" s="129"/>
      <c r="V787" s="129"/>
      <c r="W787" s="129"/>
      <c r="X787" s="129"/>
      <c r="Y787" s="129"/>
      <c r="Z787" s="115"/>
      <c r="AA787" s="129"/>
      <c r="AB787" s="149"/>
      <c r="AC787" s="129"/>
      <c r="AD787" s="129"/>
      <c r="AE787" s="129"/>
    </row>
    <row r="788" spans="3:31" x14ac:dyDescent="0.35">
      <c r="C788" s="129"/>
      <c r="D788" s="129"/>
      <c r="E788" s="129"/>
      <c r="F788" s="129"/>
      <c r="G788" s="129"/>
      <c r="H788" s="110"/>
      <c r="I788" s="129"/>
      <c r="J788" t="s">
        <v>351</v>
      </c>
      <c r="K788" s="129"/>
      <c r="L788" s="129"/>
      <c r="M788" s="129"/>
      <c r="N788" s="129"/>
      <c r="O788" s="129"/>
      <c r="P788" s="129"/>
      <c r="Q788" s="129"/>
      <c r="R788" s="129"/>
      <c r="S788" s="141"/>
      <c r="T788" s="139"/>
      <c r="U788" s="129"/>
      <c r="V788" s="129"/>
      <c r="W788" s="129"/>
      <c r="X788" s="129"/>
      <c r="Y788" s="129"/>
      <c r="Z788" s="115"/>
      <c r="AA788" s="129"/>
      <c r="AB788" s="149"/>
      <c r="AC788" s="129"/>
      <c r="AD788" s="129"/>
      <c r="AE788" s="129"/>
    </row>
    <row r="789" spans="3:31" x14ac:dyDescent="0.35">
      <c r="C789" s="129"/>
      <c r="D789" s="129"/>
      <c r="E789" s="129"/>
      <c r="F789" s="129"/>
      <c r="G789" s="129"/>
      <c r="H789" s="110"/>
      <c r="I789" s="129"/>
      <c r="J789" t="s">
        <v>351</v>
      </c>
      <c r="K789" s="129"/>
      <c r="L789" s="129"/>
      <c r="M789" s="129"/>
      <c r="N789" s="129"/>
      <c r="O789" s="129"/>
      <c r="P789" s="129"/>
      <c r="Q789" s="129"/>
      <c r="R789" s="129"/>
      <c r="S789" s="141"/>
      <c r="T789" s="139"/>
      <c r="U789" s="129"/>
      <c r="V789" s="129"/>
      <c r="W789" s="129"/>
      <c r="X789" s="129"/>
      <c r="Y789" s="129"/>
      <c r="Z789" s="115"/>
      <c r="AA789" s="129"/>
      <c r="AB789" s="149"/>
      <c r="AC789" s="129"/>
      <c r="AD789" s="129"/>
      <c r="AE789" s="129"/>
    </row>
    <row r="790" spans="3:31" x14ac:dyDescent="0.35">
      <c r="C790" s="129"/>
      <c r="D790" s="129"/>
      <c r="E790" s="129"/>
      <c r="F790" s="129"/>
      <c r="G790" s="129"/>
      <c r="H790" s="110"/>
      <c r="I790" s="129"/>
      <c r="J790" t="s">
        <v>351</v>
      </c>
      <c r="K790" s="129"/>
      <c r="L790" s="129"/>
      <c r="M790" s="129"/>
      <c r="N790" s="129"/>
      <c r="O790" s="129"/>
      <c r="P790" s="129"/>
      <c r="Q790" s="129"/>
      <c r="R790" s="129"/>
      <c r="S790" s="141"/>
      <c r="T790" s="139"/>
      <c r="U790" s="129"/>
      <c r="V790" s="129"/>
      <c r="W790" s="129"/>
      <c r="X790" s="129"/>
      <c r="Y790" s="129"/>
      <c r="Z790" s="115"/>
      <c r="AA790" s="129"/>
      <c r="AB790" s="149"/>
      <c r="AC790" s="129"/>
      <c r="AD790" s="129"/>
      <c r="AE790" s="129"/>
    </row>
    <row r="791" spans="3:31" x14ac:dyDescent="0.35">
      <c r="C791" s="129"/>
      <c r="D791" s="129"/>
      <c r="E791" s="129"/>
      <c r="F791" s="129"/>
      <c r="G791" s="129"/>
      <c r="H791" s="110"/>
      <c r="I791" s="129"/>
      <c r="J791" t="s">
        <v>351</v>
      </c>
      <c r="K791" s="129"/>
      <c r="L791" s="129"/>
      <c r="M791" s="129"/>
      <c r="N791" s="129"/>
      <c r="O791" s="129"/>
      <c r="P791" s="129"/>
      <c r="Q791" s="129"/>
      <c r="R791" s="129"/>
      <c r="S791" s="141"/>
      <c r="T791" s="139"/>
      <c r="U791" s="129"/>
      <c r="V791" s="129"/>
      <c r="W791" s="129"/>
      <c r="X791" s="129"/>
      <c r="Y791" s="129"/>
      <c r="Z791" s="115"/>
      <c r="AA791" s="129"/>
      <c r="AB791" s="149"/>
      <c r="AC791" s="129"/>
      <c r="AD791" s="129"/>
      <c r="AE791" s="129"/>
    </row>
    <row r="792" spans="3:31" x14ac:dyDescent="0.35">
      <c r="C792" s="129"/>
      <c r="D792" s="129"/>
      <c r="E792" s="129"/>
      <c r="F792" s="129"/>
      <c r="G792" s="129"/>
      <c r="H792" s="110"/>
      <c r="I792" s="129"/>
      <c r="J792" t="s">
        <v>351</v>
      </c>
      <c r="K792" s="129"/>
      <c r="L792" s="129"/>
      <c r="M792" s="129"/>
      <c r="N792" s="129"/>
      <c r="O792" s="129"/>
      <c r="P792" s="129"/>
      <c r="Q792" s="129"/>
      <c r="R792" s="129"/>
      <c r="S792" s="141"/>
      <c r="T792" s="139"/>
      <c r="U792" s="129"/>
      <c r="V792" s="129"/>
      <c r="W792" s="129"/>
      <c r="X792" s="129"/>
      <c r="Y792" s="129"/>
      <c r="Z792" s="115"/>
      <c r="AA792" s="129"/>
      <c r="AB792" s="149"/>
      <c r="AC792" s="129"/>
      <c r="AD792" s="129"/>
      <c r="AE792" s="129"/>
    </row>
    <row r="793" spans="3:31" x14ac:dyDescent="0.35">
      <c r="C793" s="129"/>
      <c r="D793" s="129"/>
      <c r="E793" s="129"/>
      <c r="F793" s="129"/>
      <c r="G793" s="129"/>
      <c r="H793" s="110"/>
      <c r="I793" s="129"/>
      <c r="J793" t="s">
        <v>351</v>
      </c>
      <c r="K793" s="129"/>
      <c r="L793" s="129"/>
      <c r="M793" s="129"/>
      <c r="N793" s="129"/>
      <c r="O793" s="129"/>
      <c r="P793" s="129"/>
      <c r="Q793" s="129"/>
      <c r="R793" s="129"/>
      <c r="S793" s="141"/>
      <c r="T793" s="139"/>
      <c r="U793" s="129"/>
      <c r="V793" s="129"/>
      <c r="W793" s="129"/>
      <c r="X793" s="129"/>
      <c r="Y793" s="129"/>
      <c r="Z793" s="115"/>
      <c r="AA793" s="129"/>
      <c r="AB793" s="149"/>
      <c r="AC793" s="129"/>
      <c r="AD793" s="129"/>
      <c r="AE793" s="129"/>
    </row>
    <row r="794" spans="3:31" x14ac:dyDescent="0.35">
      <c r="C794" s="129"/>
      <c r="D794" s="129"/>
      <c r="E794" s="129"/>
      <c r="F794" s="129"/>
      <c r="G794" s="129"/>
      <c r="H794" s="110"/>
      <c r="I794" s="129"/>
      <c r="J794" t="s">
        <v>351</v>
      </c>
      <c r="K794" s="129"/>
      <c r="L794" s="129"/>
      <c r="M794" s="129"/>
      <c r="N794" s="129"/>
      <c r="O794" s="129"/>
      <c r="P794" s="129"/>
      <c r="Q794" s="129"/>
      <c r="R794" s="129"/>
      <c r="S794" s="141"/>
      <c r="T794" s="139"/>
      <c r="U794" s="129"/>
      <c r="V794" s="129"/>
      <c r="W794" s="129"/>
      <c r="X794" s="129"/>
      <c r="Y794" s="129"/>
      <c r="Z794" s="115"/>
      <c r="AA794" s="129"/>
      <c r="AB794" s="149"/>
      <c r="AC794" s="129"/>
      <c r="AD794" s="129"/>
      <c r="AE794" s="129"/>
    </row>
    <row r="795" spans="3:31" x14ac:dyDescent="0.35">
      <c r="C795" s="129"/>
      <c r="D795" s="129"/>
      <c r="E795" s="129"/>
      <c r="F795" s="129"/>
      <c r="G795" s="129"/>
      <c r="H795" s="110"/>
      <c r="I795" s="129"/>
      <c r="J795" t="s">
        <v>351</v>
      </c>
      <c r="K795" s="129"/>
      <c r="L795" s="129"/>
      <c r="M795" s="129"/>
      <c r="N795" s="129"/>
      <c r="O795" s="129"/>
      <c r="P795" s="129"/>
      <c r="Q795" s="129"/>
      <c r="R795" s="129"/>
      <c r="S795" s="141"/>
      <c r="T795" s="139"/>
      <c r="U795" s="129"/>
      <c r="V795" s="129"/>
      <c r="W795" s="129"/>
      <c r="X795" s="129"/>
      <c r="Y795" s="129"/>
      <c r="Z795" s="115"/>
      <c r="AA795" s="129"/>
      <c r="AB795" s="149"/>
      <c r="AC795" s="129"/>
      <c r="AD795" s="129"/>
      <c r="AE795" s="129"/>
    </row>
    <row r="796" spans="3:31" x14ac:dyDescent="0.35">
      <c r="C796" s="129"/>
      <c r="D796" s="129"/>
      <c r="E796" s="129"/>
      <c r="F796" s="129"/>
      <c r="G796" s="129"/>
      <c r="H796" s="110"/>
      <c r="I796" s="129"/>
      <c r="J796" t="s">
        <v>351</v>
      </c>
      <c r="K796" s="129"/>
      <c r="L796" s="129"/>
      <c r="M796" s="129"/>
      <c r="N796" s="129"/>
      <c r="O796" s="129"/>
      <c r="P796" s="129"/>
      <c r="Q796" s="129"/>
      <c r="R796" s="129"/>
      <c r="S796" s="141"/>
      <c r="T796" s="139"/>
      <c r="U796" s="129"/>
      <c r="V796" s="129"/>
      <c r="W796" s="129"/>
      <c r="X796" s="129"/>
      <c r="Y796" s="129"/>
      <c r="Z796" s="115"/>
      <c r="AA796" s="129"/>
      <c r="AB796" s="149"/>
      <c r="AC796" s="129"/>
      <c r="AD796" s="129"/>
      <c r="AE796" s="129"/>
    </row>
    <row r="797" spans="3:31" x14ac:dyDescent="0.35">
      <c r="C797" s="129"/>
      <c r="D797" s="129"/>
      <c r="E797" s="129"/>
      <c r="F797" s="129"/>
      <c r="G797" s="129"/>
      <c r="H797" s="110"/>
      <c r="I797" s="129"/>
      <c r="J797" t="s">
        <v>351</v>
      </c>
      <c r="K797" s="129"/>
      <c r="L797" s="129"/>
      <c r="M797" s="129"/>
      <c r="N797" s="129"/>
      <c r="O797" s="129"/>
      <c r="P797" s="129"/>
      <c r="Q797" s="129"/>
      <c r="R797" s="129"/>
      <c r="S797" s="141"/>
      <c r="T797" s="139"/>
      <c r="U797" s="129"/>
      <c r="V797" s="129"/>
      <c r="W797" s="129"/>
      <c r="X797" s="129"/>
      <c r="Y797" s="129"/>
      <c r="Z797" s="115"/>
      <c r="AA797" s="129"/>
      <c r="AB797" s="149"/>
      <c r="AC797" s="129"/>
      <c r="AD797" s="129"/>
      <c r="AE797" s="129"/>
    </row>
    <row r="798" spans="3:31" x14ac:dyDescent="0.35">
      <c r="C798" s="129"/>
      <c r="D798" s="129"/>
      <c r="E798" s="129"/>
      <c r="F798" s="129"/>
      <c r="G798" s="129"/>
      <c r="H798" s="110"/>
      <c r="I798" s="129"/>
      <c r="J798" t="s">
        <v>351</v>
      </c>
      <c r="K798" s="129"/>
      <c r="L798" s="129"/>
      <c r="M798" s="129"/>
      <c r="N798" s="129"/>
      <c r="O798" s="129"/>
      <c r="P798" s="129"/>
      <c r="Q798" s="129"/>
      <c r="R798" s="129"/>
      <c r="S798" s="141"/>
      <c r="T798" s="139"/>
      <c r="U798" s="129"/>
      <c r="V798" s="129"/>
      <c r="W798" s="129"/>
      <c r="X798" s="129"/>
      <c r="Y798" s="129"/>
      <c r="Z798" s="115"/>
      <c r="AA798" s="129"/>
      <c r="AB798" s="149"/>
      <c r="AC798" s="129"/>
      <c r="AD798" s="129"/>
      <c r="AE798" s="129"/>
    </row>
    <row r="799" spans="3:31" x14ac:dyDescent="0.35">
      <c r="C799" s="129"/>
      <c r="D799" s="129"/>
      <c r="E799" s="129"/>
      <c r="F799" s="129"/>
      <c r="G799" s="129"/>
      <c r="H799" s="110"/>
      <c r="I799" s="129"/>
      <c r="J799" t="s">
        <v>351</v>
      </c>
      <c r="K799" s="129"/>
      <c r="L799" s="129"/>
      <c r="M799" s="129"/>
      <c r="N799" s="129"/>
      <c r="O799" s="129"/>
      <c r="P799" s="129"/>
      <c r="Q799" s="129"/>
      <c r="R799" s="129"/>
      <c r="S799" s="141"/>
      <c r="T799" s="139"/>
      <c r="U799" s="129"/>
      <c r="V799" s="129"/>
      <c r="W799" s="129"/>
      <c r="X799" s="129"/>
      <c r="Y799" s="129"/>
      <c r="Z799" s="115"/>
      <c r="AA799" s="129"/>
      <c r="AB799" s="149"/>
      <c r="AC799" s="129"/>
      <c r="AD799" s="129"/>
      <c r="AE799" s="129"/>
    </row>
    <row r="800" spans="3:31" x14ac:dyDescent="0.35">
      <c r="C800" s="129"/>
      <c r="D800" s="129"/>
      <c r="E800" s="129"/>
      <c r="F800" s="129"/>
      <c r="G800" s="129"/>
      <c r="H800" s="110"/>
      <c r="I800" s="129"/>
      <c r="J800" t="s">
        <v>351</v>
      </c>
      <c r="K800" s="129"/>
      <c r="L800" s="129"/>
      <c r="M800" s="129"/>
      <c r="N800" s="129"/>
      <c r="O800" s="129"/>
      <c r="P800" s="129"/>
      <c r="Q800" s="129"/>
      <c r="R800" s="129"/>
      <c r="S800" s="141"/>
      <c r="T800" s="139"/>
      <c r="U800" s="129"/>
      <c r="V800" s="129"/>
      <c r="W800" s="129"/>
      <c r="X800" s="129"/>
      <c r="Y800" s="129"/>
      <c r="Z800" s="115"/>
      <c r="AA800" s="129"/>
      <c r="AB800" s="149"/>
      <c r="AC800" s="129"/>
      <c r="AD800" s="129"/>
      <c r="AE800" s="129"/>
    </row>
    <row r="801" spans="3:31" x14ac:dyDescent="0.35">
      <c r="C801" s="129"/>
      <c r="D801" s="129"/>
      <c r="E801" s="129"/>
      <c r="F801" s="129"/>
      <c r="G801" s="129"/>
      <c r="H801" s="110"/>
      <c r="I801" s="129"/>
      <c r="J801" t="s">
        <v>351</v>
      </c>
      <c r="K801" s="129"/>
      <c r="L801" s="129"/>
      <c r="M801" s="129"/>
      <c r="N801" s="129"/>
      <c r="O801" s="129"/>
      <c r="P801" s="129"/>
      <c r="Q801" s="129"/>
      <c r="R801" s="129"/>
      <c r="S801" s="141"/>
      <c r="T801" s="139"/>
      <c r="U801" s="129"/>
      <c r="V801" s="129"/>
      <c r="W801" s="129"/>
      <c r="X801" s="129"/>
      <c r="Y801" s="129"/>
      <c r="Z801" s="115"/>
      <c r="AA801" s="129"/>
      <c r="AB801" s="149"/>
      <c r="AC801" s="129"/>
      <c r="AD801" s="129"/>
      <c r="AE801" s="129"/>
    </row>
    <row r="802" spans="3:31" x14ac:dyDescent="0.35">
      <c r="C802" s="129"/>
      <c r="D802" s="129"/>
      <c r="E802" s="129"/>
      <c r="F802" s="129"/>
      <c r="G802" s="129"/>
      <c r="H802" s="110"/>
      <c r="I802" s="129"/>
      <c r="J802" t="s">
        <v>351</v>
      </c>
      <c r="K802" s="129"/>
      <c r="L802" s="129"/>
      <c r="M802" s="129"/>
      <c r="N802" s="129"/>
      <c r="O802" s="129"/>
      <c r="P802" s="129"/>
      <c r="Q802" s="129"/>
      <c r="R802" s="129"/>
      <c r="S802" s="141"/>
      <c r="T802" s="139"/>
      <c r="U802" s="129"/>
      <c r="V802" s="129"/>
      <c r="W802" s="129"/>
      <c r="X802" s="129"/>
      <c r="Y802" s="129"/>
      <c r="Z802" s="115"/>
      <c r="AA802" s="129"/>
      <c r="AB802" s="149"/>
      <c r="AC802" s="129"/>
      <c r="AD802" s="129"/>
      <c r="AE802" s="129"/>
    </row>
    <row r="803" spans="3:31" x14ac:dyDescent="0.35">
      <c r="C803" s="129"/>
      <c r="D803" s="129"/>
      <c r="E803" s="129"/>
      <c r="F803" s="129"/>
      <c r="G803" s="129"/>
      <c r="H803" s="110"/>
      <c r="I803" s="129"/>
      <c r="J803" t="s">
        <v>351</v>
      </c>
      <c r="K803" s="129"/>
      <c r="L803" s="129"/>
      <c r="M803" s="129"/>
      <c r="N803" s="129"/>
      <c r="O803" s="129"/>
      <c r="P803" s="129"/>
      <c r="Q803" s="129"/>
      <c r="R803" s="129"/>
      <c r="S803" s="141"/>
      <c r="T803" s="139"/>
      <c r="U803" s="129"/>
      <c r="V803" s="129"/>
      <c r="W803" s="129"/>
      <c r="X803" s="129"/>
      <c r="Y803" s="129"/>
      <c r="Z803" s="115"/>
      <c r="AA803" s="129"/>
      <c r="AB803" s="149"/>
      <c r="AC803" s="129"/>
      <c r="AD803" s="129"/>
      <c r="AE803" s="129"/>
    </row>
    <row r="804" spans="3:31" x14ac:dyDescent="0.35">
      <c r="C804" s="129"/>
      <c r="D804" s="129"/>
      <c r="E804" s="129"/>
      <c r="F804" s="129"/>
      <c r="G804" s="129"/>
      <c r="H804" s="110"/>
      <c r="I804" s="129"/>
      <c r="J804" t="s">
        <v>351</v>
      </c>
      <c r="K804" s="129"/>
      <c r="L804" s="129"/>
      <c r="M804" s="129"/>
      <c r="N804" s="129"/>
      <c r="O804" s="129"/>
      <c r="P804" s="129"/>
      <c r="Q804" s="129"/>
      <c r="R804" s="129"/>
      <c r="S804" s="141"/>
      <c r="T804" s="139"/>
      <c r="U804" s="129"/>
      <c r="V804" s="129"/>
      <c r="W804" s="129"/>
      <c r="X804" s="129"/>
      <c r="Y804" s="129"/>
      <c r="Z804" s="115"/>
      <c r="AA804" s="129"/>
      <c r="AB804" s="149"/>
      <c r="AC804" s="129"/>
      <c r="AD804" s="129"/>
      <c r="AE804" s="129"/>
    </row>
    <row r="805" spans="3:31" x14ac:dyDescent="0.35">
      <c r="C805" s="129"/>
      <c r="D805" s="129"/>
      <c r="E805" s="129"/>
      <c r="F805" s="129"/>
      <c r="G805" s="129"/>
      <c r="H805" s="110"/>
      <c r="I805" s="129"/>
      <c r="J805" t="s">
        <v>351</v>
      </c>
      <c r="K805" s="129"/>
      <c r="L805" s="129"/>
      <c r="M805" s="129"/>
      <c r="N805" s="129"/>
      <c r="O805" s="129"/>
      <c r="P805" s="129"/>
      <c r="Q805" s="129"/>
      <c r="R805" s="129"/>
      <c r="S805" s="141"/>
      <c r="T805" s="139"/>
      <c r="U805" s="129"/>
      <c r="V805" s="129"/>
      <c r="W805" s="129"/>
      <c r="X805" s="129"/>
      <c r="Y805" s="129"/>
      <c r="Z805" s="115"/>
      <c r="AA805" s="129"/>
      <c r="AB805" s="149"/>
      <c r="AC805" s="129"/>
      <c r="AD805" s="129"/>
      <c r="AE805" s="129"/>
    </row>
    <row r="806" spans="3:31" x14ac:dyDescent="0.35">
      <c r="C806" s="129"/>
      <c r="D806" s="129"/>
      <c r="E806" s="129"/>
      <c r="F806" s="129"/>
      <c r="G806" s="129"/>
      <c r="H806" s="110"/>
      <c r="I806" s="129"/>
      <c r="J806" t="s">
        <v>351</v>
      </c>
      <c r="K806" s="129"/>
      <c r="L806" s="129"/>
      <c r="M806" s="129"/>
      <c r="N806" s="129"/>
      <c r="O806" s="129"/>
      <c r="P806" s="129"/>
      <c r="Q806" s="129"/>
      <c r="R806" s="129"/>
      <c r="S806" s="141"/>
      <c r="T806" s="139"/>
      <c r="U806" s="129"/>
      <c r="V806" s="129"/>
      <c r="W806" s="129"/>
      <c r="X806" s="129"/>
      <c r="Y806" s="129"/>
      <c r="Z806" s="115"/>
      <c r="AA806" s="129"/>
      <c r="AB806" s="149"/>
      <c r="AC806" s="129"/>
      <c r="AD806" s="129"/>
      <c r="AE806" s="129"/>
    </row>
    <row r="807" spans="3:31" x14ac:dyDescent="0.35">
      <c r="C807" s="129"/>
      <c r="D807" s="129"/>
      <c r="E807" s="129"/>
      <c r="F807" s="129"/>
      <c r="G807" s="129"/>
      <c r="H807" s="110"/>
      <c r="I807" s="129"/>
      <c r="J807" t="s">
        <v>351</v>
      </c>
      <c r="K807" s="129"/>
      <c r="L807" s="129"/>
      <c r="M807" s="129"/>
      <c r="N807" s="129"/>
      <c r="O807" s="129"/>
      <c r="P807" s="129"/>
      <c r="Q807" s="129"/>
      <c r="R807" s="129"/>
      <c r="S807" s="141"/>
      <c r="T807" s="139"/>
      <c r="U807" s="129"/>
      <c r="V807" s="129"/>
      <c r="W807" s="129"/>
      <c r="X807" s="129"/>
      <c r="Y807" s="129"/>
      <c r="Z807" s="115"/>
      <c r="AA807" s="129"/>
      <c r="AB807" s="149"/>
      <c r="AC807" s="129"/>
      <c r="AD807" s="129"/>
      <c r="AE807" s="129"/>
    </row>
    <row r="808" spans="3:31" x14ac:dyDescent="0.35">
      <c r="C808" s="129"/>
      <c r="D808" s="129"/>
      <c r="E808" s="129"/>
      <c r="F808" s="129"/>
      <c r="G808" s="129"/>
      <c r="H808" s="110"/>
      <c r="I808" s="129"/>
      <c r="J808" t="s">
        <v>351</v>
      </c>
      <c r="K808" s="129"/>
      <c r="L808" s="129"/>
      <c r="M808" s="129"/>
      <c r="N808" s="129"/>
      <c r="O808" s="129"/>
      <c r="P808" s="129"/>
      <c r="Q808" s="129"/>
      <c r="R808" s="129"/>
      <c r="S808" s="141"/>
      <c r="T808" s="139"/>
      <c r="U808" s="129"/>
      <c r="V808" s="129"/>
      <c r="W808" s="129"/>
      <c r="X808" s="129"/>
      <c r="Y808" s="129"/>
      <c r="Z808" s="115"/>
      <c r="AA808" s="129"/>
      <c r="AB808" s="149"/>
      <c r="AC808" s="129"/>
      <c r="AD808" s="129"/>
      <c r="AE808" s="129"/>
    </row>
    <row r="809" spans="3:31" x14ac:dyDescent="0.35">
      <c r="C809" s="129"/>
      <c r="D809" s="129"/>
      <c r="E809" s="129"/>
      <c r="F809" s="129"/>
      <c r="G809" s="129"/>
      <c r="H809" s="110"/>
      <c r="I809" s="129"/>
      <c r="J809" t="s">
        <v>351</v>
      </c>
      <c r="K809" s="129"/>
      <c r="L809" s="129"/>
      <c r="M809" s="129"/>
      <c r="N809" s="129"/>
      <c r="O809" s="129"/>
      <c r="P809" s="129"/>
      <c r="Q809" s="129"/>
      <c r="R809" s="129"/>
      <c r="S809" s="141"/>
      <c r="T809" s="139"/>
      <c r="U809" s="129"/>
      <c r="V809" s="129"/>
      <c r="W809" s="129"/>
      <c r="X809" s="129"/>
      <c r="Y809" s="129"/>
      <c r="Z809" s="115"/>
      <c r="AA809" s="129"/>
      <c r="AB809" s="149"/>
      <c r="AC809" s="129"/>
      <c r="AD809" s="129"/>
      <c r="AE809" s="129"/>
    </row>
    <row r="810" spans="3:31" x14ac:dyDescent="0.35">
      <c r="C810" s="129"/>
      <c r="D810" s="129"/>
      <c r="E810" s="129"/>
      <c r="F810" s="129"/>
      <c r="G810" s="129"/>
      <c r="H810" s="110"/>
      <c r="I810" s="129"/>
      <c r="J810" t="s">
        <v>351</v>
      </c>
      <c r="K810" s="129"/>
      <c r="L810" s="129"/>
      <c r="M810" s="129"/>
      <c r="N810" s="129"/>
      <c r="O810" s="129"/>
      <c r="P810" s="129"/>
      <c r="Q810" s="129"/>
      <c r="R810" s="129"/>
      <c r="S810" s="141"/>
      <c r="T810" s="139"/>
      <c r="U810" s="129"/>
      <c r="V810" s="129"/>
      <c r="W810" s="129"/>
      <c r="X810" s="129"/>
      <c r="Y810" s="129"/>
      <c r="Z810" s="115"/>
      <c r="AA810" s="129"/>
      <c r="AB810" s="149"/>
      <c r="AC810" s="129"/>
      <c r="AD810" s="129"/>
      <c r="AE810" s="129"/>
    </row>
    <row r="811" spans="3:31" x14ac:dyDescent="0.35">
      <c r="C811" s="129"/>
      <c r="D811" s="129"/>
      <c r="E811" s="129"/>
      <c r="F811" s="129"/>
      <c r="G811" s="129"/>
      <c r="H811" s="110"/>
      <c r="I811" s="129"/>
      <c r="J811" t="s">
        <v>351</v>
      </c>
      <c r="K811" s="129"/>
      <c r="L811" s="129"/>
      <c r="M811" s="129"/>
      <c r="N811" s="129"/>
      <c r="O811" s="129"/>
      <c r="P811" s="129"/>
      <c r="Q811" s="129"/>
      <c r="R811" s="129"/>
      <c r="S811" s="141"/>
      <c r="T811" s="139"/>
      <c r="U811" s="129"/>
      <c r="V811" s="129"/>
      <c r="W811" s="129"/>
      <c r="X811" s="129"/>
      <c r="Y811" s="129"/>
      <c r="Z811" s="115"/>
      <c r="AA811" s="129"/>
      <c r="AB811" s="149"/>
      <c r="AC811" s="129"/>
      <c r="AD811" s="129"/>
      <c r="AE811" s="129"/>
    </row>
    <row r="812" spans="3:31" x14ac:dyDescent="0.35">
      <c r="C812" s="129"/>
      <c r="D812" s="129"/>
      <c r="E812" s="129"/>
      <c r="F812" s="129"/>
      <c r="G812" s="129"/>
      <c r="H812" s="110"/>
      <c r="I812" s="129"/>
      <c r="J812" t="s">
        <v>351</v>
      </c>
      <c r="K812" s="129"/>
      <c r="L812" s="129"/>
      <c r="M812" s="129"/>
      <c r="N812" s="129"/>
      <c r="O812" s="129"/>
      <c r="P812" s="129"/>
      <c r="Q812" s="129"/>
      <c r="R812" s="129"/>
      <c r="S812" s="141"/>
      <c r="T812" s="139"/>
      <c r="U812" s="129"/>
      <c r="V812" s="129"/>
      <c r="W812" s="129"/>
      <c r="X812" s="129"/>
      <c r="Y812" s="129"/>
      <c r="Z812" s="115"/>
      <c r="AA812" s="129"/>
      <c r="AB812" s="149"/>
      <c r="AC812" s="129"/>
      <c r="AD812" s="129"/>
      <c r="AE812" s="129"/>
    </row>
    <row r="813" spans="3:31" x14ac:dyDescent="0.35">
      <c r="C813" s="129"/>
      <c r="D813" s="129"/>
      <c r="E813" s="129"/>
      <c r="F813" s="129"/>
      <c r="G813" s="129"/>
      <c r="H813" s="110"/>
      <c r="I813" s="129"/>
      <c r="J813" t="s">
        <v>351</v>
      </c>
      <c r="K813" s="129"/>
      <c r="L813" s="129"/>
      <c r="M813" s="129"/>
      <c r="N813" s="129"/>
      <c r="O813" s="129"/>
      <c r="P813" s="129"/>
      <c r="Q813" s="129"/>
      <c r="R813" s="129"/>
      <c r="S813" s="141"/>
      <c r="T813" s="139"/>
      <c r="U813" s="129"/>
      <c r="V813" s="129"/>
      <c r="W813" s="129"/>
      <c r="X813" s="129"/>
      <c r="Y813" s="129"/>
      <c r="Z813" s="115"/>
      <c r="AA813" s="129"/>
      <c r="AB813" s="149"/>
      <c r="AC813" s="129"/>
      <c r="AD813" s="129"/>
      <c r="AE813" s="129"/>
    </row>
    <row r="814" spans="3:31" x14ac:dyDescent="0.35">
      <c r="C814" s="129"/>
      <c r="D814" s="129"/>
      <c r="E814" s="129"/>
      <c r="F814" s="129"/>
      <c r="G814" s="129"/>
      <c r="H814" s="110"/>
      <c r="I814" s="129"/>
      <c r="J814" t="s">
        <v>351</v>
      </c>
      <c r="K814" s="129"/>
      <c r="L814" s="129"/>
      <c r="M814" s="129"/>
      <c r="N814" s="129"/>
      <c r="O814" s="129"/>
      <c r="P814" s="129"/>
      <c r="Q814" s="129"/>
      <c r="R814" s="129"/>
      <c r="S814" s="141"/>
      <c r="T814" s="139"/>
      <c r="U814" s="129"/>
      <c r="V814" s="129"/>
      <c r="W814" s="129"/>
      <c r="X814" s="129"/>
      <c r="Y814" s="129"/>
      <c r="Z814" s="115"/>
      <c r="AA814" s="129"/>
      <c r="AB814" s="149"/>
      <c r="AC814" s="129"/>
      <c r="AD814" s="129"/>
      <c r="AE814" s="129"/>
    </row>
    <row r="815" spans="3:31" x14ac:dyDescent="0.35">
      <c r="C815" s="129"/>
      <c r="D815" s="129"/>
      <c r="E815" s="129"/>
      <c r="F815" s="129"/>
      <c r="G815" s="129"/>
      <c r="H815" s="110"/>
      <c r="I815" s="129"/>
      <c r="J815" t="s">
        <v>351</v>
      </c>
      <c r="K815" s="129"/>
      <c r="L815" s="129"/>
      <c r="M815" s="129"/>
      <c r="N815" s="129"/>
      <c r="O815" s="129"/>
      <c r="P815" s="129"/>
      <c r="Q815" s="129"/>
      <c r="R815" s="129"/>
      <c r="S815" s="141"/>
      <c r="T815" s="139"/>
      <c r="U815" s="129"/>
      <c r="V815" s="129"/>
      <c r="W815" s="129"/>
      <c r="X815" s="129"/>
      <c r="Y815" s="129"/>
      <c r="Z815" s="115"/>
      <c r="AA815" s="129"/>
      <c r="AB815" s="149"/>
      <c r="AC815" s="129"/>
      <c r="AD815" s="129"/>
      <c r="AE815" s="129"/>
    </row>
    <row r="816" spans="3:31" x14ac:dyDescent="0.35">
      <c r="C816" s="129"/>
      <c r="D816" s="129"/>
      <c r="E816" s="129"/>
      <c r="F816" s="129"/>
      <c r="G816" s="129"/>
      <c r="H816" s="110"/>
      <c r="I816" s="129"/>
      <c r="J816" t="s">
        <v>351</v>
      </c>
      <c r="K816" s="129"/>
      <c r="L816" s="129"/>
      <c r="M816" s="129"/>
      <c r="N816" s="129"/>
      <c r="O816" s="129"/>
      <c r="P816" s="129"/>
      <c r="Q816" s="129"/>
      <c r="R816" s="129"/>
      <c r="S816" s="141"/>
      <c r="T816" s="139"/>
      <c r="U816" s="129"/>
      <c r="V816" s="129"/>
      <c r="W816" s="129"/>
      <c r="X816" s="129"/>
      <c r="Y816" s="129"/>
      <c r="Z816" s="115"/>
      <c r="AA816" s="129"/>
      <c r="AB816" s="149"/>
      <c r="AC816" s="129"/>
      <c r="AD816" s="129"/>
      <c r="AE816" s="129"/>
    </row>
    <row r="817" spans="3:31" x14ac:dyDescent="0.35">
      <c r="C817" s="129"/>
      <c r="D817" s="129"/>
      <c r="E817" s="129"/>
      <c r="F817" s="129"/>
      <c r="G817" s="129"/>
      <c r="H817" s="110"/>
      <c r="I817" s="129"/>
      <c r="J817" t="s">
        <v>351</v>
      </c>
      <c r="K817" s="129"/>
      <c r="L817" s="129"/>
      <c r="M817" s="129"/>
      <c r="N817" s="129"/>
      <c r="O817" s="129"/>
      <c r="P817" s="129"/>
      <c r="Q817" s="129"/>
      <c r="R817" s="129"/>
      <c r="S817" s="141"/>
      <c r="T817" s="139"/>
      <c r="U817" s="129"/>
      <c r="V817" s="129"/>
      <c r="W817" s="129"/>
      <c r="X817" s="129"/>
      <c r="Y817" s="129"/>
      <c r="Z817" s="115"/>
      <c r="AA817" s="129"/>
      <c r="AB817" s="149"/>
      <c r="AC817" s="129"/>
      <c r="AD817" s="129"/>
      <c r="AE817" s="129"/>
    </row>
    <row r="818" spans="3:31" x14ac:dyDescent="0.35">
      <c r="C818" s="129"/>
      <c r="D818" s="129"/>
      <c r="E818" s="129"/>
      <c r="F818" s="129"/>
      <c r="G818" s="129"/>
      <c r="H818" s="110"/>
      <c r="I818" s="129"/>
      <c r="J818" t="s">
        <v>351</v>
      </c>
      <c r="K818" s="129"/>
      <c r="L818" s="129"/>
      <c r="M818" s="129"/>
      <c r="N818" s="129"/>
      <c r="O818" s="129"/>
      <c r="P818" s="129"/>
      <c r="Q818" s="129"/>
      <c r="R818" s="129"/>
      <c r="S818" s="141"/>
      <c r="T818" s="139"/>
      <c r="U818" s="129"/>
      <c r="V818" s="129"/>
      <c r="W818" s="129"/>
      <c r="X818" s="129"/>
      <c r="Y818" s="129"/>
      <c r="Z818" s="115"/>
      <c r="AA818" s="129"/>
      <c r="AB818" s="149"/>
      <c r="AC818" s="129"/>
      <c r="AD818" s="129"/>
      <c r="AE818" s="129"/>
    </row>
    <row r="819" spans="3:31" x14ac:dyDescent="0.35">
      <c r="C819" s="129"/>
      <c r="D819" s="129"/>
      <c r="E819" s="129"/>
      <c r="F819" s="129"/>
      <c r="G819" s="129"/>
      <c r="H819" s="110"/>
      <c r="I819" s="129"/>
      <c r="J819" t="s">
        <v>351</v>
      </c>
      <c r="K819" s="129"/>
      <c r="L819" s="129"/>
      <c r="M819" s="129"/>
      <c r="N819" s="129"/>
      <c r="O819" s="129"/>
      <c r="P819" s="129"/>
      <c r="Q819" s="129"/>
      <c r="R819" s="129"/>
      <c r="S819" s="141"/>
      <c r="T819" s="139"/>
      <c r="U819" s="129"/>
      <c r="V819" s="129"/>
      <c r="W819" s="129"/>
      <c r="X819" s="129"/>
      <c r="Y819" s="129"/>
      <c r="Z819" s="115"/>
      <c r="AA819" s="129"/>
      <c r="AB819" s="149"/>
      <c r="AC819" s="129"/>
      <c r="AD819" s="129"/>
      <c r="AE819" s="129"/>
    </row>
    <row r="820" spans="3:31" x14ac:dyDescent="0.35">
      <c r="C820" s="129"/>
      <c r="D820" s="129"/>
      <c r="E820" s="129"/>
      <c r="F820" s="129"/>
      <c r="G820" s="129"/>
      <c r="H820" s="110"/>
      <c r="I820" s="129"/>
      <c r="J820" t="s">
        <v>351</v>
      </c>
      <c r="K820" s="129"/>
      <c r="L820" s="129"/>
      <c r="M820" s="129"/>
      <c r="N820" s="129"/>
      <c r="O820" s="129"/>
      <c r="P820" s="129"/>
      <c r="Q820" s="129"/>
      <c r="R820" s="129"/>
      <c r="S820" s="141"/>
      <c r="T820" s="139"/>
      <c r="U820" s="129"/>
      <c r="V820" s="129"/>
      <c r="W820" s="129"/>
      <c r="X820" s="129"/>
      <c r="Y820" s="129"/>
      <c r="Z820" s="115"/>
      <c r="AA820" s="129"/>
      <c r="AB820" s="149"/>
      <c r="AC820" s="129"/>
      <c r="AD820" s="129"/>
      <c r="AE820" s="129"/>
    </row>
    <row r="821" spans="3:31" x14ac:dyDescent="0.35">
      <c r="C821" s="129"/>
      <c r="D821" s="129"/>
      <c r="E821" s="129"/>
      <c r="F821" s="129"/>
      <c r="G821" s="129"/>
      <c r="H821" s="110"/>
      <c r="I821" s="129"/>
      <c r="J821" t="s">
        <v>351</v>
      </c>
      <c r="K821" s="129"/>
      <c r="L821" s="129"/>
      <c r="M821" s="129"/>
      <c r="N821" s="129"/>
      <c r="O821" s="129"/>
      <c r="P821" s="129"/>
      <c r="Q821" s="129"/>
      <c r="R821" s="129"/>
      <c r="S821" s="141"/>
      <c r="T821" s="139"/>
      <c r="U821" s="129"/>
      <c r="V821" s="129"/>
      <c r="W821" s="129"/>
      <c r="X821" s="129"/>
      <c r="Y821" s="129"/>
      <c r="Z821" s="115"/>
      <c r="AA821" s="129"/>
      <c r="AB821" s="149"/>
      <c r="AC821" s="129"/>
      <c r="AD821" s="129"/>
      <c r="AE821" s="129"/>
    </row>
    <row r="822" spans="3:31" x14ac:dyDescent="0.35">
      <c r="C822" s="129"/>
      <c r="D822" s="129"/>
      <c r="E822" s="129"/>
      <c r="F822" s="129"/>
      <c r="G822" s="129"/>
      <c r="H822" s="110"/>
      <c r="I822" s="129"/>
      <c r="J822" t="s">
        <v>351</v>
      </c>
      <c r="K822" s="129"/>
      <c r="L822" s="129"/>
      <c r="M822" s="129"/>
      <c r="N822" s="129"/>
      <c r="O822" s="129"/>
      <c r="P822" s="129"/>
      <c r="Q822" s="129"/>
      <c r="R822" s="129"/>
      <c r="S822" s="141"/>
      <c r="T822" s="139"/>
      <c r="U822" s="129"/>
      <c r="V822" s="129"/>
      <c r="W822" s="129"/>
      <c r="X822" s="129"/>
      <c r="Y822" s="129"/>
      <c r="Z822" s="115"/>
      <c r="AA822" s="129"/>
      <c r="AB822" s="149"/>
      <c r="AC822" s="129"/>
      <c r="AD822" s="129"/>
      <c r="AE822" s="129"/>
    </row>
    <row r="823" spans="3:31" x14ac:dyDescent="0.35">
      <c r="C823" s="129"/>
      <c r="D823" s="129"/>
      <c r="E823" s="129"/>
      <c r="F823" s="129"/>
      <c r="G823" s="129"/>
      <c r="H823" s="110"/>
      <c r="I823" s="129"/>
      <c r="J823" t="s">
        <v>351</v>
      </c>
      <c r="K823" s="129"/>
      <c r="L823" s="129"/>
      <c r="M823" s="129"/>
      <c r="N823" s="129"/>
      <c r="O823" s="129"/>
      <c r="P823" s="129"/>
      <c r="Q823" s="129"/>
      <c r="R823" s="129"/>
      <c r="S823" s="141"/>
      <c r="T823" s="139"/>
      <c r="U823" s="129"/>
      <c r="V823" s="129"/>
      <c r="W823" s="129"/>
      <c r="X823" s="129"/>
      <c r="Y823" s="129"/>
      <c r="Z823" s="115"/>
      <c r="AA823" s="129"/>
      <c r="AB823" s="149"/>
      <c r="AC823" s="129"/>
      <c r="AD823" s="129"/>
      <c r="AE823" s="129"/>
    </row>
    <row r="824" spans="3:31" x14ac:dyDescent="0.35">
      <c r="C824" s="129"/>
      <c r="D824" s="129"/>
      <c r="E824" s="129"/>
      <c r="F824" s="129"/>
      <c r="G824" s="129"/>
      <c r="H824" s="110"/>
      <c r="I824" s="129"/>
      <c r="J824" t="s">
        <v>351</v>
      </c>
      <c r="K824" s="129"/>
      <c r="L824" s="129"/>
      <c r="M824" s="129"/>
      <c r="N824" s="129"/>
      <c r="O824" s="129"/>
      <c r="P824" s="129"/>
      <c r="Q824" s="129"/>
      <c r="R824" s="129"/>
      <c r="S824" s="141"/>
      <c r="T824" s="139"/>
      <c r="U824" s="129"/>
      <c r="V824" s="129"/>
      <c r="W824" s="129"/>
      <c r="X824" s="129"/>
      <c r="Y824" s="129"/>
      <c r="Z824" s="115"/>
      <c r="AA824" s="129"/>
      <c r="AB824" s="149"/>
      <c r="AC824" s="129"/>
      <c r="AD824" s="129"/>
      <c r="AE824" s="129"/>
    </row>
    <row r="825" spans="3:31" x14ac:dyDescent="0.35">
      <c r="C825" s="129"/>
      <c r="D825" s="129"/>
      <c r="E825" s="129"/>
      <c r="F825" s="129"/>
      <c r="G825" s="129"/>
      <c r="H825" s="110"/>
      <c r="I825" s="129"/>
      <c r="J825" t="s">
        <v>351</v>
      </c>
      <c r="K825" s="129"/>
      <c r="L825" s="129"/>
      <c r="M825" s="129"/>
      <c r="N825" s="129"/>
      <c r="O825" s="129"/>
      <c r="P825" s="129"/>
      <c r="Q825" s="129"/>
      <c r="R825" s="129"/>
      <c r="S825" s="141"/>
      <c r="T825" s="139"/>
      <c r="U825" s="129"/>
      <c r="V825" s="129"/>
      <c r="W825" s="129"/>
      <c r="X825" s="129"/>
      <c r="Y825" s="129"/>
      <c r="Z825" s="115"/>
      <c r="AA825" s="129"/>
      <c r="AB825" s="149"/>
      <c r="AC825" s="129"/>
      <c r="AD825" s="129"/>
      <c r="AE825" s="129"/>
    </row>
    <row r="826" spans="3:31" x14ac:dyDescent="0.35">
      <c r="C826" s="129"/>
      <c r="D826" s="129"/>
      <c r="E826" s="129"/>
      <c r="F826" s="129"/>
      <c r="G826" s="129"/>
      <c r="H826" s="110"/>
      <c r="I826" s="129"/>
      <c r="J826" t="s">
        <v>351</v>
      </c>
      <c r="K826" s="129"/>
      <c r="L826" s="129"/>
      <c r="M826" s="129"/>
      <c r="N826" s="129"/>
      <c r="O826" s="129"/>
      <c r="P826" s="129"/>
      <c r="Q826" s="129"/>
      <c r="R826" s="129"/>
      <c r="S826" s="141"/>
      <c r="T826" s="139"/>
      <c r="U826" s="129"/>
      <c r="V826" s="129"/>
      <c r="W826" s="129"/>
      <c r="X826" s="129"/>
      <c r="Y826" s="129"/>
      <c r="Z826" s="115"/>
      <c r="AA826" s="129"/>
      <c r="AB826" s="149"/>
      <c r="AC826" s="129"/>
      <c r="AD826" s="129"/>
      <c r="AE826" s="129"/>
    </row>
    <row r="827" spans="3:31" x14ac:dyDescent="0.35">
      <c r="C827" s="129"/>
      <c r="D827" s="129"/>
      <c r="E827" s="129"/>
      <c r="F827" s="129"/>
      <c r="G827" s="129"/>
      <c r="H827" s="110"/>
      <c r="I827" s="129"/>
      <c r="J827" t="s">
        <v>351</v>
      </c>
      <c r="K827" s="129"/>
      <c r="L827" s="129"/>
      <c r="M827" s="129"/>
      <c r="N827" s="129"/>
      <c r="O827" s="129"/>
      <c r="P827" s="129"/>
      <c r="Q827" s="129"/>
      <c r="R827" s="129"/>
      <c r="S827" s="141"/>
      <c r="T827" s="139"/>
      <c r="U827" s="129"/>
      <c r="V827" s="129"/>
      <c r="W827" s="129"/>
      <c r="X827" s="129"/>
      <c r="Y827" s="129"/>
      <c r="Z827" s="115"/>
      <c r="AA827" s="129"/>
      <c r="AB827" s="149"/>
      <c r="AC827" s="129"/>
      <c r="AD827" s="129"/>
      <c r="AE827" s="129"/>
    </row>
    <row r="828" spans="3:31" x14ac:dyDescent="0.35">
      <c r="C828" s="129"/>
      <c r="D828" s="129"/>
      <c r="E828" s="129"/>
      <c r="F828" s="129"/>
      <c r="G828" s="129"/>
      <c r="H828" s="110"/>
      <c r="I828" s="129"/>
      <c r="J828" t="s">
        <v>351</v>
      </c>
      <c r="K828" s="129"/>
      <c r="L828" s="129"/>
      <c r="M828" s="129"/>
      <c r="N828" s="129"/>
      <c r="O828" s="129"/>
      <c r="P828" s="129"/>
      <c r="Q828" s="129"/>
      <c r="R828" s="129"/>
      <c r="S828" s="141"/>
      <c r="T828" s="139"/>
      <c r="U828" s="129"/>
      <c r="V828" s="129"/>
      <c r="W828" s="129"/>
      <c r="X828" s="129"/>
      <c r="Y828" s="129"/>
      <c r="Z828" s="115"/>
      <c r="AA828" s="129"/>
      <c r="AB828" s="149"/>
      <c r="AC828" s="129"/>
      <c r="AD828" s="129"/>
      <c r="AE828" s="129"/>
    </row>
    <row r="829" spans="3:31" x14ac:dyDescent="0.35">
      <c r="C829" s="129"/>
      <c r="D829" s="129"/>
      <c r="E829" s="129"/>
      <c r="F829" s="129"/>
      <c r="G829" s="129"/>
      <c r="H829" s="110"/>
      <c r="I829" s="129"/>
      <c r="J829" t="s">
        <v>351</v>
      </c>
      <c r="K829" s="129"/>
      <c r="L829" s="129"/>
      <c r="M829" s="129"/>
      <c r="N829" s="129"/>
      <c r="O829" s="129"/>
      <c r="P829" s="129"/>
      <c r="Q829" s="129"/>
      <c r="R829" s="129"/>
      <c r="S829" s="141"/>
      <c r="T829" s="139"/>
      <c r="U829" s="129"/>
      <c r="V829" s="129"/>
      <c r="W829" s="129"/>
      <c r="X829" s="129"/>
      <c r="Y829" s="129"/>
      <c r="Z829" s="115"/>
      <c r="AA829" s="129"/>
      <c r="AB829" s="149"/>
      <c r="AC829" s="129"/>
      <c r="AD829" s="129"/>
      <c r="AE829" s="129"/>
    </row>
    <row r="830" spans="3:31" x14ac:dyDescent="0.35">
      <c r="C830" s="129"/>
      <c r="D830" s="129"/>
      <c r="E830" s="129"/>
      <c r="F830" s="129"/>
      <c r="G830" s="129"/>
      <c r="H830" s="110"/>
      <c r="I830" s="129"/>
      <c r="J830" t="s">
        <v>351</v>
      </c>
      <c r="K830" s="129"/>
      <c r="L830" s="129"/>
      <c r="M830" s="129"/>
      <c r="N830" s="129"/>
      <c r="O830" s="129"/>
      <c r="P830" s="129"/>
      <c r="Q830" s="129"/>
      <c r="R830" s="129"/>
      <c r="S830" s="141"/>
      <c r="T830" s="139"/>
      <c r="U830" s="129"/>
      <c r="V830" s="129"/>
      <c r="W830" s="129"/>
      <c r="X830" s="129"/>
      <c r="Y830" s="129"/>
      <c r="Z830" s="115"/>
      <c r="AA830" s="129"/>
      <c r="AB830" s="149"/>
      <c r="AC830" s="129"/>
      <c r="AD830" s="129"/>
      <c r="AE830" s="129"/>
    </row>
    <row r="831" spans="3:31" x14ac:dyDescent="0.35">
      <c r="C831" s="129"/>
      <c r="D831" s="129"/>
      <c r="E831" s="129"/>
      <c r="F831" s="129"/>
      <c r="G831" s="129"/>
      <c r="H831" s="110"/>
      <c r="I831" s="129"/>
      <c r="J831" t="s">
        <v>351</v>
      </c>
      <c r="K831" s="129"/>
      <c r="L831" s="129"/>
      <c r="M831" s="129"/>
      <c r="N831" s="129"/>
      <c r="O831" s="129"/>
      <c r="P831" s="129"/>
      <c r="Q831" s="129"/>
      <c r="R831" s="129"/>
      <c r="S831" s="141"/>
      <c r="T831" s="139"/>
      <c r="U831" s="129"/>
      <c r="V831" s="129"/>
      <c r="W831" s="129"/>
      <c r="X831" s="129"/>
      <c r="Y831" s="129"/>
      <c r="Z831" s="115"/>
      <c r="AA831" s="129"/>
      <c r="AB831" s="149"/>
      <c r="AC831" s="129"/>
      <c r="AD831" s="129"/>
      <c r="AE831" s="129"/>
    </row>
    <row r="832" spans="3:31" x14ac:dyDescent="0.35">
      <c r="C832" s="129"/>
      <c r="D832" s="129"/>
      <c r="E832" s="129"/>
      <c r="F832" s="129"/>
      <c r="G832" s="129"/>
      <c r="H832" s="110"/>
      <c r="I832" s="129"/>
      <c r="J832" t="s">
        <v>351</v>
      </c>
      <c r="K832" s="129"/>
      <c r="L832" s="129"/>
      <c r="M832" s="129"/>
      <c r="N832" s="129"/>
      <c r="O832" s="129"/>
      <c r="P832" s="129"/>
      <c r="Q832" s="129"/>
      <c r="R832" s="129"/>
      <c r="S832" s="141"/>
      <c r="T832" s="139"/>
      <c r="U832" s="129"/>
      <c r="V832" s="129"/>
      <c r="W832" s="129"/>
      <c r="X832" s="129"/>
      <c r="Y832" s="129"/>
      <c r="Z832" s="115"/>
      <c r="AA832" s="129"/>
      <c r="AB832" s="149"/>
      <c r="AC832" s="129"/>
      <c r="AD832" s="129"/>
      <c r="AE832" s="129"/>
    </row>
    <row r="833" spans="3:31" x14ac:dyDescent="0.35">
      <c r="C833" s="129"/>
      <c r="D833" s="129"/>
      <c r="E833" s="129"/>
      <c r="F833" s="129"/>
      <c r="G833" s="129"/>
      <c r="H833" s="110"/>
      <c r="I833" s="129"/>
      <c r="J833" t="s">
        <v>351</v>
      </c>
      <c r="K833" s="129"/>
      <c r="L833" s="129"/>
      <c r="M833" s="129"/>
      <c r="N833" s="129"/>
      <c r="O833" s="129"/>
      <c r="P833" s="129"/>
      <c r="Q833" s="129"/>
      <c r="R833" s="129"/>
      <c r="S833" s="141"/>
      <c r="T833" s="139"/>
      <c r="U833" s="129"/>
      <c r="V833" s="129"/>
      <c r="W833" s="129"/>
      <c r="X833" s="129"/>
      <c r="Y833" s="129"/>
      <c r="Z833" s="115"/>
      <c r="AA833" s="129"/>
      <c r="AB833" s="149"/>
      <c r="AC833" s="129"/>
      <c r="AD833" s="129"/>
      <c r="AE833" s="129"/>
    </row>
    <row r="834" spans="3:31" x14ac:dyDescent="0.35">
      <c r="C834" s="129"/>
      <c r="D834" s="129"/>
      <c r="E834" s="129"/>
      <c r="F834" s="129"/>
      <c r="G834" s="129"/>
      <c r="H834" s="110"/>
      <c r="I834" s="129"/>
      <c r="J834" t="s">
        <v>351</v>
      </c>
      <c r="K834" s="129"/>
      <c r="L834" s="129"/>
      <c r="M834" s="129"/>
      <c r="N834" s="129"/>
      <c r="O834" s="129"/>
      <c r="P834" s="129"/>
      <c r="Q834" s="129"/>
      <c r="R834" s="129"/>
      <c r="S834" s="141"/>
      <c r="T834" s="139"/>
      <c r="U834" s="129"/>
      <c r="V834" s="129"/>
      <c r="W834" s="129"/>
      <c r="X834" s="129"/>
      <c r="Y834" s="129"/>
      <c r="Z834" s="115"/>
      <c r="AA834" s="129"/>
      <c r="AB834" s="149"/>
      <c r="AC834" s="129"/>
      <c r="AD834" s="129"/>
      <c r="AE834" s="129"/>
    </row>
    <row r="835" spans="3:31" x14ac:dyDescent="0.35">
      <c r="C835" s="129"/>
      <c r="D835" s="129"/>
      <c r="E835" s="129"/>
      <c r="F835" s="129"/>
      <c r="G835" s="129"/>
      <c r="H835" s="110"/>
      <c r="I835" s="129"/>
      <c r="J835" t="s">
        <v>351</v>
      </c>
      <c r="K835" s="129"/>
      <c r="L835" s="129"/>
      <c r="M835" s="129"/>
      <c r="N835" s="129"/>
      <c r="O835" s="129"/>
      <c r="P835" s="129"/>
      <c r="Q835" s="129"/>
      <c r="R835" s="129"/>
      <c r="S835" s="141"/>
      <c r="T835" s="139"/>
      <c r="U835" s="129"/>
      <c r="V835" s="129"/>
      <c r="W835" s="129"/>
      <c r="X835" s="129"/>
      <c r="Y835" s="129"/>
      <c r="Z835" s="115"/>
      <c r="AA835" s="129"/>
      <c r="AB835" s="149"/>
      <c r="AC835" s="129"/>
      <c r="AD835" s="129"/>
      <c r="AE835" s="129"/>
    </row>
    <row r="836" spans="3:31" x14ac:dyDescent="0.35">
      <c r="C836" s="129"/>
      <c r="D836" s="129"/>
      <c r="E836" s="129"/>
      <c r="F836" s="129"/>
      <c r="G836" s="129"/>
      <c r="H836" s="110"/>
      <c r="I836" s="129"/>
      <c r="J836" t="s">
        <v>351</v>
      </c>
      <c r="K836" s="129"/>
      <c r="L836" s="129"/>
      <c r="M836" s="129"/>
      <c r="N836" s="129"/>
      <c r="O836" s="129"/>
      <c r="P836" s="129"/>
      <c r="Q836" s="129"/>
      <c r="R836" s="129"/>
      <c r="S836" s="141"/>
      <c r="T836" s="139"/>
      <c r="U836" s="129"/>
      <c r="V836" s="129"/>
      <c r="W836" s="129"/>
      <c r="X836" s="129"/>
      <c r="Y836" s="129"/>
      <c r="Z836" s="115"/>
      <c r="AA836" s="129"/>
      <c r="AB836" s="149"/>
      <c r="AC836" s="129"/>
      <c r="AD836" s="129"/>
      <c r="AE836" s="129"/>
    </row>
    <row r="837" spans="3:31" x14ac:dyDescent="0.35">
      <c r="C837" s="129"/>
      <c r="D837" s="129"/>
      <c r="E837" s="129"/>
      <c r="F837" s="129"/>
      <c r="G837" s="129"/>
      <c r="H837" s="110"/>
      <c r="I837" s="129"/>
      <c r="J837" t="s">
        <v>351</v>
      </c>
      <c r="K837" s="129"/>
      <c r="L837" s="129"/>
      <c r="M837" s="129"/>
      <c r="N837" s="129"/>
      <c r="O837" s="129"/>
      <c r="P837" s="129"/>
      <c r="Q837" s="129"/>
      <c r="R837" s="129"/>
      <c r="S837" s="141"/>
      <c r="T837" s="139"/>
      <c r="U837" s="129"/>
      <c r="V837" s="129"/>
      <c r="W837" s="129"/>
      <c r="X837" s="129"/>
      <c r="Y837" s="129"/>
      <c r="Z837" s="115"/>
      <c r="AA837" s="129"/>
      <c r="AB837" s="149"/>
      <c r="AC837" s="129"/>
      <c r="AD837" s="129"/>
      <c r="AE837" s="129"/>
    </row>
    <row r="838" spans="3:31" x14ac:dyDescent="0.35">
      <c r="C838" s="129"/>
      <c r="D838" s="129"/>
      <c r="E838" s="129"/>
      <c r="F838" s="129"/>
      <c r="G838" s="129"/>
      <c r="H838" s="110"/>
      <c r="I838" s="129"/>
      <c r="J838" t="s">
        <v>351</v>
      </c>
      <c r="K838" s="129"/>
      <c r="L838" s="129"/>
      <c r="M838" s="129"/>
      <c r="N838" s="129"/>
      <c r="O838" s="129"/>
      <c r="P838" s="129"/>
      <c r="Q838" s="129"/>
      <c r="R838" s="129"/>
      <c r="S838" s="141"/>
      <c r="T838" s="139"/>
      <c r="U838" s="129"/>
      <c r="V838" s="129"/>
      <c r="W838" s="129"/>
      <c r="X838" s="129"/>
      <c r="Y838" s="129"/>
      <c r="Z838" s="115"/>
      <c r="AA838" s="129"/>
      <c r="AB838" s="149"/>
      <c r="AC838" s="129"/>
      <c r="AD838" s="129"/>
      <c r="AE838" s="129"/>
    </row>
    <row r="839" spans="3:31" x14ac:dyDescent="0.35">
      <c r="C839" s="129"/>
      <c r="D839" s="129"/>
      <c r="E839" s="129"/>
      <c r="F839" s="129"/>
      <c r="G839" s="129"/>
      <c r="H839" s="110"/>
      <c r="I839" s="129"/>
      <c r="J839" t="s">
        <v>351</v>
      </c>
      <c r="K839" s="129"/>
      <c r="L839" s="129"/>
      <c r="M839" s="129"/>
      <c r="N839" s="129"/>
      <c r="O839" s="129"/>
      <c r="P839" s="129"/>
      <c r="Q839" s="129"/>
      <c r="R839" s="129"/>
      <c r="S839" s="141"/>
      <c r="T839" s="139"/>
      <c r="U839" s="129"/>
      <c r="V839" s="129"/>
      <c r="W839" s="129"/>
      <c r="X839" s="129"/>
      <c r="Y839" s="129"/>
      <c r="Z839" s="115"/>
      <c r="AA839" s="129"/>
      <c r="AB839" s="149"/>
      <c r="AC839" s="129"/>
      <c r="AD839" s="129"/>
      <c r="AE839" s="129"/>
    </row>
    <row r="840" spans="3:31" x14ac:dyDescent="0.35">
      <c r="C840" s="129"/>
      <c r="D840" s="129"/>
      <c r="E840" s="129"/>
      <c r="F840" s="129"/>
      <c r="G840" s="129"/>
      <c r="H840" s="110"/>
      <c r="I840" s="129"/>
      <c r="J840" t="s">
        <v>351</v>
      </c>
      <c r="K840" s="129"/>
      <c r="L840" s="129"/>
      <c r="M840" s="129"/>
      <c r="N840" s="129"/>
      <c r="O840" s="129"/>
      <c r="P840" s="129"/>
      <c r="Q840" s="129"/>
      <c r="R840" s="129"/>
      <c r="S840" s="141"/>
      <c r="T840" s="139"/>
      <c r="U840" s="129"/>
      <c r="V840" s="129"/>
      <c r="W840" s="129"/>
      <c r="X840" s="129"/>
      <c r="Y840" s="129"/>
      <c r="Z840" s="115"/>
      <c r="AA840" s="129"/>
      <c r="AB840" s="149"/>
      <c r="AC840" s="129"/>
      <c r="AD840" s="129"/>
      <c r="AE840" s="129"/>
    </row>
    <row r="841" spans="3:31" x14ac:dyDescent="0.35">
      <c r="C841" s="129"/>
      <c r="D841" s="129"/>
      <c r="E841" s="129"/>
      <c r="F841" s="129"/>
      <c r="G841" s="129"/>
      <c r="H841" s="110"/>
      <c r="I841" s="129"/>
      <c r="J841" t="s">
        <v>351</v>
      </c>
      <c r="K841" s="129"/>
      <c r="L841" s="129"/>
      <c r="M841" s="129"/>
      <c r="N841" s="129"/>
      <c r="O841" s="129"/>
      <c r="P841" s="129"/>
      <c r="Q841" s="129"/>
      <c r="R841" s="129"/>
      <c r="S841" s="141"/>
      <c r="T841" s="139"/>
      <c r="U841" s="129"/>
      <c r="V841" s="129"/>
      <c r="W841" s="129"/>
      <c r="X841" s="129"/>
      <c r="Y841" s="129"/>
      <c r="Z841" s="115"/>
      <c r="AA841" s="129"/>
      <c r="AB841" s="149"/>
      <c r="AC841" s="129"/>
      <c r="AD841" s="129"/>
      <c r="AE841" s="129"/>
    </row>
    <row r="842" spans="3:31" x14ac:dyDescent="0.35">
      <c r="C842" s="129"/>
      <c r="D842" s="129"/>
      <c r="E842" s="129"/>
      <c r="F842" s="129"/>
      <c r="G842" s="129"/>
      <c r="H842" s="110"/>
      <c r="I842" s="129"/>
      <c r="J842" t="s">
        <v>351</v>
      </c>
      <c r="K842" s="129"/>
      <c r="L842" s="129"/>
      <c r="M842" s="129"/>
      <c r="N842" s="129"/>
      <c r="O842" s="129"/>
      <c r="P842" s="129"/>
      <c r="Q842" s="129"/>
      <c r="R842" s="129"/>
      <c r="S842" s="141"/>
      <c r="T842" s="139"/>
      <c r="U842" s="129"/>
      <c r="V842" s="129"/>
      <c r="W842" s="129"/>
      <c r="X842" s="129"/>
      <c r="Y842" s="129"/>
      <c r="Z842" s="115"/>
      <c r="AA842" s="129"/>
      <c r="AB842" s="149"/>
      <c r="AC842" s="129"/>
      <c r="AD842" s="129"/>
      <c r="AE842" s="129"/>
    </row>
    <row r="843" spans="3:31" x14ac:dyDescent="0.35">
      <c r="C843" s="129"/>
      <c r="D843" s="129"/>
      <c r="E843" s="129"/>
      <c r="F843" s="129"/>
      <c r="G843" s="129"/>
      <c r="H843" s="110"/>
      <c r="I843" s="129"/>
      <c r="J843" t="s">
        <v>351</v>
      </c>
      <c r="K843" s="129"/>
      <c r="L843" s="129"/>
      <c r="M843" s="129"/>
      <c r="N843" s="129"/>
      <c r="O843" s="129"/>
      <c r="P843" s="129"/>
      <c r="Q843" s="129"/>
      <c r="R843" s="129"/>
      <c r="S843" s="141"/>
      <c r="T843" s="139"/>
      <c r="U843" s="129"/>
      <c r="V843" s="129"/>
      <c r="W843" s="129"/>
      <c r="X843" s="129"/>
      <c r="Y843" s="129"/>
      <c r="Z843" s="115"/>
      <c r="AA843" s="129"/>
      <c r="AB843" s="149"/>
      <c r="AC843" s="129"/>
      <c r="AD843" s="129"/>
      <c r="AE843" s="129"/>
    </row>
    <row r="844" spans="3:31" x14ac:dyDescent="0.35">
      <c r="C844" s="129"/>
      <c r="D844" s="129"/>
      <c r="E844" s="129"/>
      <c r="F844" s="129"/>
      <c r="G844" s="129"/>
      <c r="H844" s="110"/>
      <c r="I844" s="129"/>
      <c r="J844" t="s">
        <v>351</v>
      </c>
      <c r="K844" s="129"/>
      <c r="L844" s="129"/>
      <c r="M844" s="129"/>
      <c r="N844" s="129"/>
      <c r="O844" s="129"/>
      <c r="P844" s="129"/>
      <c r="Q844" s="129"/>
      <c r="R844" s="129"/>
      <c r="S844" s="141"/>
      <c r="T844" s="139"/>
      <c r="U844" s="129"/>
      <c r="V844" s="129"/>
      <c r="W844" s="129"/>
      <c r="X844" s="129"/>
      <c r="Y844" s="129"/>
      <c r="Z844" s="115"/>
      <c r="AA844" s="129"/>
      <c r="AB844" s="149"/>
      <c r="AC844" s="129"/>
      <c r="AD844" s="129"/>
      <c r="AE844" s="129"/>
    </row>
    <row r="845" spans="3:31" x14ac:dyDescent="0.35">
      <c r="C845" s="129"/>
      <c r="D845" s="129"/>
      <c r="E845" s="129"/>
      <c r="F845" s="129"/>
      <c r="G845" s="129"/>
      <c r="H845" s="110"/>
      <c r="I845" s="129"/>
      <c r="J845" t="s">
        <v>351</v>
      </c>
      <c r="K845" s="129"/>
      <c r="L845" s="129"/>
      <c r="M845" s="129"/>
      <c r="N845" s="129"/>
      <c r="O845" s="129"/>
      <c r="P845" s="129"/>
      <c r="Q845" s="129"/>
      <c r="R845" s="129"/>
      <c r="S845" s="141"/>
      <c r="T845" s="139"/>
      <c r="U845" s="129"/>
      <c r="V845" s="129"/>
      <c r="W845" s="129"/>
      <c r="X845" s="129"/>
      <c r="Y845" s="129"/>
      <c r="Z845" s="115"/>
      <c r="AA845" s="129"/>
      <c r="AB845" s="149"/>
      <c r="AC845" s="129"/>
      <c r="AD845" s="129"/>
      <c r="AE845" s="129"/>
    </row>
    <row r="846" spans="3:31" x14ac:dyDescent="0.35">
      <c r="C846" s="129"/>
      <c r="D846" s="129"/>
      <c r="E846" s="129"/>
      <c r="F846" s="129"/>
      <c r="G846" s="129"/>
      <c r="H846" s="110"/>
      <c r="I846" s="129"/>
      <c r="J846" t="s">
        <v>351</v>
      </c>
      <c r="K846" s="129"/>
      <c r="L846" s="129"/>
      <c r="M846" s="129"/>
      <c r="N846" s="129"/>
      <c r="O846" s="129"/>
      <c r="P846" s="129"/>
      <c r="Q846" s="129"/>
      <c r="R846" s="129"/>
      <c r="S846" s="141"/>
      <c r="T846" s="139"/>
      <c r="U846" s="129"/>
      <c r="V846" s="129"/>
      <c r="W846" s="129"/>
      <c r="X846" s="129"/>
      <c r="Y846" s="129"/>
      <c r="Z846" s="115"/>
      <c r="AA846" s="129"/>
      <c r="AB846" s="149"/>
      <c r="AC846" s="129"/>
      <c r="AD846" s="129"/>
      <c r="AE846" s="129"/>
    </row>
    <row r="847" spans="3:31" x14ac:dyDescent="0.35">
      <c r="C847" s="129"/>
      <c r="D847" s="129"/>
      <c r="E847" s="129"/>
      <c r="F847" s="129"/>
      <c r="G847" s="129"/>
      <c r="H847" s="110"/>
      <c r="I847" s="129"/>
      <c r="J847" t="s">
        <v>351</v>
      </c>
      <c r="K847" s="129"/>
      <c r="L847" s="129"/>
      <c r="M847" s="129"/>
      <c r="N847" s="129"/>
      <c r="O847" s="129"/>
      <c r="P847" s="129"/>
      <c r="Q847" s="129"/>
      <c r="R847" s="129"/>
      <c r="S847" s="141"/>
      <c r="T847" s="139"/>
      <c r="U847" s="129"/>
      <c r="V847" s="129"/>
      <c r="W847" s="129"/>
      <c r="X847" s="129"/>
      <c r="Y847" s="129"/>
      <c r="Z847" s="115"/>
      <c r="AA847" s="129"/>
      <c r="AB847" s="149"/>
      <c r="AC847" s="129"/>
      <c r="AD847" s="129"/>
      <c r="AE847" s="129"/>
    </row>
    <row r="848" spans="3:31" x14ac:dyDescent="0.35">
      <c r="C848" s="129"/>
      <c r="D848" s="129"/>
      <c r="E848" s="129"/>
      <c r="F848" s="129"/>
      <c r="G848" s="129"/>
      <c r="H848" s="110"/>
      <c r="I848" s="129"/>
      <c r="J848" t="s">
        <v>351</v>
      </c>
      <c r="K848" s="129"/>
      <c r="L848" s="129"/>
      <c r="M848" s="129"/>
      <c r="N848" s="129"/>
      <c r="O848" s="129"/>
      <c r="P848" s="129"/>
      <c r="Q848" s="129"/>
      <c r="R848" s="129"/>
      <c r="S848" s="141"/>
      <c r="T848" s="139"/>
      <c r="U848" s="129"/>
      <c r="V848" s="129"/>
      <c r="W848" s="129"/>
      <c r="X848" s="129"/>
      <c r="Y848" s="129"/>
      <c r="Z848" s="115"/>
      <c r="AA848" s="129"/>
      <c r="AB848" s="149"/>
      <c r="AC848" s="129"/>
      <c r="AD848" s="129"/>
      <c r="AE848" s="129"/>
    </row>
    <row r="849" spans="3:31" x14ac:dyDescent="0.35">
      <c r="C849" s="129"/>
      <c r="D849" s="129"/>
      <c r="E849" s="129"/>
      <c r="F849" s="129"/>
      <c r="G849" s="129"/>
      <c r="H849" s="110"/>
      <c r="I849" s="129"/>
      <c r="J849" t="s">
        <v>351</v>
      </c>
      <c r="K849" s="129"/>
      <c r="L849" s="129"/>
      <c r="M849" s="129"/>
      <c r="N849" s="129"/>
      <c r="O849" s="129"/>
      <c r="P849" s="129"/>
      <c r="Q849" s="129"/>
      <c r="R849" s="129"/>
      <c r="S849" s="141"/>
      <c r="T849" s="139"/>
      <c r="U849" s="129"/>
      <c r="V849" s="129"/>
      <c r="W849" s="129"/>
      <c r="X849" s="129"/>
      <c r="Y849" s="129"/>
      <c r="Z849" s="115"/>
      <c r="AA849" s="129"/>
      <c r="AB849" s="149"/>
      <c r="AC849" s="129"/>
      <c r="AD849" s="129"/>
      <c r="AE849" s="129"/>
    </row>
    <row r="850" spans="3:31" x14ac:dyDescent="0.35">
      <c r="C850" s="129"/>
      <c r="D850" s="129"/>
      <c r="E850" s="129"/>
      <c r="F850" s="129"/>
      <c r="G850" s="129"/>
      <c r="H850" s="110"/>
      <c r="I850" s="129"/>
      <c r="J850" t="s">
        <v>351</v>
      </c>
      <c r="K850" s="129"/>
      <c r="L850" s="129"/>
      <c r="M850" s="129"/>
      <c r="N850" s="129"/>
      <c r="O850" s="129"/>
      <c r="P850" s="129"/>
      <c r="Q850" s="129"/>
      <c r="R850" s="129"/>
      <c r="S850" s="141"/>
      <c r="T850" s="139"/>
      <c r="U850" s="129"/>
      <c r="V850" s="129"/>
      <c r="W850" s="129"/>
      <c r="X850" s="129"/>
      <c r="Y850" s="129"/>
      <c r="Z850" s="115"/>
      <c r="AA850" s="129"/>
      <c r="AB850" s="149"/>
      <c r="AC850" s="129"/>
      <c r="AD850" s="129"/>
      <c r="AE850" s="129"/>
    </row>
    <row r="851" spans="3:31" x14ac:dyDescent="0.35">
      <c r="C851" s="129"/>
      <c r="D851" s="129"/>
      <c r="E851" s="129"/>
      <c r="F851" s="129"/>
      <c r="G851" s="129"/>
      <c r="H851" s="110"/>
      <c r="I851" s="129"/>
      <c r="J851" t="s">
        <v>351</v>
      </c>
      <c r="K851" s="129"/>
      <c r="L851" s="129"/>
      <c r="M851" s="129"/>
      <c r="N851" s="129"/>
      <c r="O851" s="129"/>
      <c r="P851" s="129"/>
      <c r="Q851" s="129"/>
      <c r="R851" s="129"/>
      <c r="S851" s="141"/>
      <c r="T851" s="139"/>
      <c r="U851" s="129"/>
      <c r="V851" s="129"/>
      <c r="W851" s="129"/>
      <c r="X851" s="129"/>
      <c r="Y851" s="129"/>
      <c r="Z851" s="115"/>
      <c r="AA851" s="129"/>
      <c r="AB851" s="149"/>
      <c r="AC851" s="129"/>
      <c r="AD851" s="129"/>
      <c r="AE851" s="129"/>
    </row>
    <row r="852" spans="3:31" x14ac:dyDescent="0.35">
      <c r="C852" s="129"/>
      <c r="D852" s="129"/>
      <c r="E852" s="129"/>
      <c r="F852" s="129"/>
      <c r="G852" s="129"/>
      <c r="H852" s="110"/>
      <c r="I852" s="129"/>
      <c r="J852" t="s">
        <v>351</v>
      </c>
      <c r="K852" s="129"/>
      <c r="L852" s="129"/>
      <c r="M852" s="129"/>
      <c r="N852" s="129"/>
      <c r="O852" s="129"/>
      <c r="P852" s="129"/>
      <c r="Q852" s="129"/>
      <c r="R852" s="129"/>
      <c r="S852" s="141"/>
      <c r="T852" s="139"/>
      <c r="U852" s="129"/>
      <c r="V852" s="129"/>
      <c r="W852" s="129"/>
      <c r="X852" s="129"/>
      <c r="Y852" s="129"/>
      <c r="Z852" s="115"/>
      <c r="AA852" s="129"/>
      <c r="AB852" s="149"/>
      <c r="AC852" s="129"/>
      <c r="AD852" s="129"/>
      <c r="AE852" s="129"/>
    </row>
    <row r="853" spans="3:31" x14ac:dyDescent="0.35">
      <c r="C853" s="129"/>
      <c r="D853" s="129"/>
      <c r="E853" s="129"/>
      <c r="F853" s="129"/>
      <c r="G853" s="129"/>
      <c r="H853" s="110"/>
      <c r="I853" s="129"/>
      <c r="J853" t="s">
        <v>351</v>
      </c>
      <c r="K853" s="129"/>
      <c r="L853" s="129"/>
      <c r="M853" s="129"/>
      <c r="N853" s="129"/>
      <c r="O853" s="129"/>
      <c r="P853" s="129"/>
      <c r="Q853" s="129"/>
      <c r="R853" s="129"/>
      <c r="S853" s="141"/>
      <c r="T853" s="139"/>
      <c r="U853" s="129"/>
      <c r="V853" s="129"/>
      <c r="W853" s="129"/>
      <c r="X853" s="129"/>
      <c r="Y853" s="129"/>
      <c r="Z853" s="115"/>
      <c r="AA853" s="129"/>
      <c r="AB853" s="149"/>
      <c r="AC853" s="129"/>
      <c r="AD853" s="129"/>
      <c r="AE853" s="129"/>
    </row>
    <row r="854" spans="3:31" x14ac:dyDescent="0.35">
      <c r="C854" s="129"/>
      <c r="D854" s="129"/>
      <c r="E854" s="129"/>
      <c r="F854" s="129"/>
      <c r="G854" s="129"/>
      <c r="H854" s="110"/>
      <c r="I854" s="129"/>
      <c r="J854" t="s">
        <v>351</v>
      </c>
      <c r="K854" s="129"/>
      <c r="L854" s="129"/>
      <c r="M854" s="129"/>
      <c r="N854" s="129"/>
      <c r="O854" s="129"/>
      <c r="P854" s="129"/>
      <c r="Q854" s="129"/>
      <c r="R854" s="129"/>
      <c r="S854" s="141"/>
      <c r="T854" s="139"/>
      <c r="U854" s="129"/>
      <c r="V854" s="129"/>
      <c r="W854" s="129"/>
      <c r="X854" s="129"/>
      <c r="Y854" s="129"/>
      <c r="Z854" s="115"/>
      <c r="AA854" s="129"/>
      <c r="AB854" s="149"/>
      <c r="AC854" s="129"/>
      <c r="AD854" s="129"/>
      <c r="AE854" s="129"/>
    </row>
    <row r="855" spans="3:31" x14ac:dyDescent="0.35">
      <c r="C855" s="129"/>
      <c r="D855" s="129"/>
      <c r="E855" s="129"/>
      <c r="F855" s="129"/>
      <c r="G855" s="129"/>
      <c r="H855" s="110"/>
      <c r="I855" s="129"/>
      <c r="J855" t="s">
        <v>351</v>
      </c>
      <c r="K855" s="129"/>
      <c r="L855" s="129"/>
      <c r="M855" s="129"/>
      <c r="N855" s="129"/>
      <c r="O855" s="129"/>
      <c r="P855" s="129"/>
      <c r="Q855" s="129"/>
      <c r="R855" s="129"/>
      <c r="S855" s="141"/>
      <c r="T855" s="139"/>
      <c r="U855" s="129"/>
      <c r="V855" s="129"/>
      <c r="W855" s="129"/>
      <c r="X855" s="129"/>
      <c r="Y855" s="129"/>
      <c r="Z855" s="115"/>
      <c r="AA855" s="129"/>
      <c r="AB855" s="149"/>
      <c r="AC855" s="129"/>
      <c r="AD855" s="129"/>
      <c r="AE855" s="129"/>
    </row>
    <row r="856" spans="3:31" x14ac:dyDescent="0.35">
      <c r="C856" s="129"/>
      <c r="D856" s="129"/>
      <c r="E856" s="129"/>
      <c r="F856" s="129"/>
      <c r="G856" s="129"/>
      <c r="H856" s="110"/>
      <c r="I856" s="129"/>
      <c r="J856" t="s">
        <v>351</v>
      </c>
      <c r="K856" s="129"/>
      <c r="L856" s="129"/>
      <c r="M856" s="129"/>
      <c r="N856" s="129"/>
      <c r="O856" s="129"/>
      <c r="P856" s="129"/>
      <c r="Q856" s="129"/>
      <c r="R856" s="129"/>
      <c r="S856" s="141"/>
      <c r="T856" s="139"/>
      <c r="U856" s="129"/>
      <c r="V856" s="129"/>
      <c r="W856" s="129"/>
      <c r="X856" s="129"/>
      <c r="Y856" s="129"/>
      <c r="Z856" s="115"/>
      <c r="AA856" s="129"/>
      <c r="AB856" s="149"/>
      <c r="AC856" s="129"/>
      <c r="AD856" s="129"/>
      <c r="AE856" s="129"/>
    </row>
    <row r="857" spans="3:31" x14ac:dyDescent="0.35">
      <c r="C857" s="129"/>
      <c r="D857" s="129"/>
      <c r="E857" s="129"/>
      <c r="F857" s="129"/>
      <c r="G857" s="129"/>
      <c r="H857" s="110"/>
      <c r="I857" s="129"/>
      <c r="J857" t="s">
        <v>351</v>
      </c>
      <c r="K857" s="129"/>
      <c r="L857" s="129"/>
      <c r="M857" s="129"/>
      <c r="N857" s="129"/>
      <c r="O857" s="129"/>
      <c r="P857" s="129"/>
      <c r="Q857" s="129"/>
      <c r="R857" s="129"/>
      <c r="S857" s="141"/>
      <c r="T857" s="139"/>
      <c r="U857" s="129"/>
      <c r="V857" s="129"/>
      <c r="W857" s="129"/>
      <c r="X857" s="129"/>
      <c r="Y857" s="129"/>
      <c r="Z857" s="115"/>
      <c r="AA857" s="129"/>
      <c r="AB857" s="149"/>
      <c r="AC857" s="129"/>
      <c r="AD857" s="129"/>
      <c r="AE857" s="129"/>
    </row>
    <row r="858" spans="3:31" x14ac:dyDescent="0.35">
      <c r="C858" s="129"/>
      <c r="D858" s="129"/>
      <c r="E858" s="129"/>
      <c r="F858" s="129"/>
      <c r="G858" s="129"/>
      <c r="H858" s="110"/>
      <c r="I858" s="129"/>
      <c r="J858" t="s">
        <v>351</v>
      </c>
      <c r="K858" s="129"/>
      <c r="L858" s="129"/>
      <c r="M858" s="129"/>
      <c r="N858" s="129"/>
      <c r="O858" s="129"/>
      <c r="P858" s="129"/>
      <c r="Q858" s="129"/>
      <c r="R858" s="129"/>
      <c r="S858" s="141"/>
      <c r="T858" s="139"/>
      <c r="U858" s="129"/>
      <c r="V858" s="129"/>
      <c r="W858" s="129"/>
      <c r="X858" s="129"/>
      <c r="Y858" s="129"/>
      <c r="Z858" s="115"/>
      <c r="AA858" s="129"/>
      <c r="AB858" s="149"/>
      <c r="AC858" s="129"/>
      <c r="AD858" s="129"/>
      <c r="AE858" s="129"/>
    </row>
    <row r="859" spans="3:31" x14ac:dyDescent="0.35">
      <c r="C859" s="129"/>
      <c r="D859" s="129"/>
      <c r="E859" s="129"/>
      <c r="F859" s="129"/>
      <c r="G859" s="129"/>
      <c r="H859" s="110"/>
      <c r="I859" s="129"/>
      <c r="J859" t="s">
        <v>351</v>
      </c>
      <c r="K859" s="129"/>
      <c r="L859" s="129"/>
      <c r="M859" s="129"/>
      <c r="N859" s="129"/>
      <c r="O859" s="129"/>
      <c r="P859" s="129"/>
      <c r="Q859" s="129"/>
      <c r="R859" s="129"/>
      <c r="S859" s="141"/>
      <c r="T859" s="139"/>
      <c r="U859" s="129"/>
      <c r="V859" s="129"/>
      <c r="W859" s="129"/>
      <c r="X859" s="129"/>
      <c r="Y859" s="129"/>
      <c r="Z859" s="115"/>
      <c r="AA859" s="129"/>
      <c r="AB859" s="149"/>
      <c r="AC859" s="129"/>
      <c r="AD859" s="129"/>
      <c r="AE859" s="129"/>
    </row>
    <row r="860" spans="3:31" x14ac:dyDescent="0.35">
      <c r="C860" s="129"/>
      <c r="D860" s="129"/>
      <c r="E860" s="129"/>
      <c r="F860" s="129"/>
      <c r="G860" s="129"/>
      <c r="H860" s="110"/>
      <c r="I860" s="129"/>
      <c r="J860" t="s">
        <v>351</v>
      </c>
      <c r="K860" s="129"/>
      <c r="L860" s="129"/>
      <c r="M860" s="129"/>
      <c r="N860" s="129"/>
      <c r="O860" s="129"/>
      <c r="P860" s="129"/>
      <c r="Q860" s="129"/>
      <c r="R860" s="129"/>
      <c r="S860" s="141"/>
      <c r="T860" s="139"/>
      <c r="U860" s="129"/>
      <c r="V860" s="129"/>
      <c r="W860" s="129"/>
      <c r="X860" s="129"/>
      <c r="Y860" s="129"/>
      <c r="Z860" s="115"/>
      <c r="AA860" s="129"/>
      <c r="AB860" s="149"/>
      <c r="AC860" s="129"/>
      <c r="AD860" s="129"/>
      <c r="AE860" s="129"/>
    </row>
    <row r="861" spans="3:31" x14ac:dyDescent="0.35">
      <c r="C861" s="129"/>
      <c r="D861" s="129"/>
      <c r="E861" s="129"/>
      <c r="F861" s="129"/>
      <c r="G861" s="129"/>
      <c r="H861" s="110"/>
      <c r="I861" s="129"/>
      <c r="J861" t="s">
        <v>351</v>
      </c>
      <c r="K861" s="129"/>
      <c r="L861" s="129"/>
      <c r="M861" s="129"/>
      <c r="N861" s="129"/>
      <c r="O861" s="129"/>
      <c r="P861" s="129"/>
      <c r="Q861" s="129"/>
      <c r="R861" s="129"/>
      <c r="S861" s="141"/>
      <c r="T861" s="139"/>
      <c r="U861" s="129"/>
      <c r="V861" s="129"/>
      <c r="W861" s="129"/>
      <c r="X861" s="129"/>
      <c r="Y861" s="129"/>
      <c r="Z861" s="115"/>
      <c r="AA861" s="129"/>
      <c r="AB861" s="149"/>
      <c r="AC861" s="129"/>
      <c r="AD861" s="129"/>
      <c r="AE861" s="129"/>
    </row>
    <row r="862" spans="3:31" x14ac:dyDescent="0.35">
      <c r="C862" s="129"/>
      <c r="D862" s="129"/>
      <c r="E862" s="129"/>
      <c r="F862" s="129"/>
      <c r="G862" s="129"/>
      <c r="H862" s="110"/>
      <c r="I862" s="129"/>
      <c r="J862" t="s">
        <v>351</v>
      </c>
      <c r="K862" s="129"/>
      <c r="L862" s="129"/>
      <c r="M862" s="129"/>
      <c r="N862" s="129"/>
      <c r="O862" s="129"/>
      <c r="P862" s="129"/>
      <c r="Q862" s="129"/>
      <c r="R862" s="129"/>
      <c r="S862" s="141"/>
      <c r="T862" s="139"/>
      <c r="U862" s="129"/>
      <c r="V862" s="129"/>
      <c r="W862" s="129"/>
      <c r="X862" s="129"/>
      <c r="Y862" s="129"/>
      <c r="Z862" s="115"/>
      <c r="AA862" s="129"/>
      <c r="AB862" s="149"/>
      <c r="AC862" s="129"/>
      <c r="AD862" s="129"/>
      <c r="AE862" s="129"/>
    </row>
    <row r="863" spans="3:31" x14ac:dyDescent="0.35">
      <c r="C863" s="129"/>
      <c r="D863" s="129"/>
      <c r="E863" s="129"/>
      <c r="F863" s="129"/>
      <c r="G863" s="129"/>
      <c r="H863" s="110"/>
      <c r="I863" s="129"/>
      <c r="J863" t="s">
        <v>351</v>
      </c>
      <c r="K863" s="129"/>
      <c r="L863" s="129"/>
      <c r="M863" s="129"/>
      <c r="N863" s="129"/>
      <c r="O863" s="129"/>
      <c r="P863" s="129"/>
      <c r="Q863" s="129"/>
      <c r="R863" s="129"/>
      <c r="S863" s="141"/>
      <c r="T863" s="139"/>
      <c r="U863" s="129"/>
      <c r="V863" s="129"/>
      <c r="W863" s="129"/>
      <c r="X863" s="129"/>
      <c r="Y863" s="129"/>
      <c r="Z863" s="115"/>
      <c r="AA863" s="129"/>
      <c r="AB863" s="149"/>
      <c r="AC863" s="129"/>
      <c r="AD863" s="129"/>
      <c r="AE863" s="129"/>
    </row>
    <row r="864" spans="3:31" x14ac:dyDescent="0.35">
      <c r="C864" s="129"/>
      <c r="D864" s="129"/>
      <c r="E864" s="129"/>
      <c r="F864" s="129"/>
      <c r="G864" s="129"/>
      <c r="H864" s="110"/>
      <c r="I864" s="129"/>
      <c r="J864" t="s">
        <v>351</v>
      </c>
      <c r="K864" s="129"/>
      <c r="L864" s="129"/>
      <c r="M864" s="129"/>
      <c r="N864" s="129"/>
      <c r="O864" s="129"/>
      <c r="P864" s="129"/>
      <c r="Q864" s="129"/>
      <c r="R864" s="129"/>
      <c r="S864" s="141"/>
      <c r="T864" s="139"/>
      <c r="U864" s="129"/>
      <c r="V864" s="129"/>
      <c r="W864" s="129"/>
      <c r="X864" s="129"/>
      <c r="Y864" s="129"/>
      <c r="Z864" s="115"/>
      <c r="AA864" s="129"/>
      <c r="AB864" s="149"/>
      <c r="AC864" s="129"/>
      <c r="AD864" s="129"/>
      <c r="AE864" s="129"/>
    </row>
    <row r="865" spans="3:31" x14ac:dyDescent="0.35">
      <c r="C865" s="129"/>
      <c r="D865" s="129"/>
      <c r="E865" s="129"/>
      <c r="F865" s="129"/>
      <c r="G865" s="129"/>
      <c r="H865" s="110"/>
      <c r="I865" s="129"/>
      <c r="J865" t="s">
        <v>351</v>
      </c>
      <c r="K865" s="129"/>
      <c r="L865" s="129"/>
      <c r="M865" s="129"/>
      <c r="N865" s="129"/>
      <c r="O865" s="129"/>
      <c r="P865" s="129"/>
      <c r="Q865" s="129"/>
      <c r="R865" s="129"/>
      <c r="S865" s="141"/>
      <c r="T865" s="139"/>
      <c r="U865" s="129"/>
      <c r="V865" s="129"/>
      <c r="W865" s="129"/>
      <c r="X865" s="129"/>
      <c r="Y865" s="129"/>
      <c r="Z865" s="115"/>
      <c r="AA865" s="129"/>
      <c r="AB865" s="149"/>
      <c r="AC865" s="129"/>
      <c r="AD865" s="129"/>
      <c r="AE865" s="129"/>
    </row>
    <row r="866" spans="3:31" x14ac:dyDescent="0.35">
      <c r="C866" s="129"/>
      <c r="D866" s="129"/>
      <c r="E866" s="129"/>
      <c r="F866" s="129"/>
      <c r="G866" s="129"/>
      <c r="H866" s="110"/>
      <c r="I866" s="129"/>
      <c r="J866" t="s">
        <v>351</v>
      </c>
      <c r="K866" s="129"/>
      <c r="L866" s="129"/>
      <c r="M866" s="129"/>
      <c r="N866" s="129"/>
      <c r="O866" s="129"/>
      <c r="P866" s="129"/>
      <c r="Q866" s="129"/>
      <c r="R866" s="129"/>
      <c r="S866" s="141"/>
      <c r="T866" s="139"/>
      <c r="U866" s="129"/>
      <c r="V866" s="129"/>
      <c r="W866" s="129"/>
      <c r="X866" s="129"/>
      <c r="Y866" s="129"/>
      <c r="Z866" s="115"/>
      <c r="AA866" s="129"/>
      <c r="AB866" s="149"/>
      <c r="AC866" s="129"/>
      <c r="AD866" s="129"/>
      <c r="AE866" s="129"/>
    </row>
    <row r="867" spans="3:31" x14ac:dyDescent="0.35">
      <c r="C867" s="129"/>
      <c r="D867" s="129"/>
      <c r="E867" s="129"/>
      <c r="F867" s="129"/>
      <c r="G867" s="129"/>
      <c r="H867" s="110"/>
      <c r="I867" s="129"/>
      <c r="J867" t="s">
        <v>351</v>
      </c>
      <c r="K867" s="129"/>
      <c r="L867" s="129"/>
      <c r="M867" s="129"/>
      <c r="N867" s="129"/>
      <c r="O867" s="129"/>
      <c r="P867" s="129"/>
      <c r="Q867" s="129"/>
      <c r="R867" s="129"/>
      <c r="S867" s="141"/>
      <c r="T867" s="139"/>
      <c r="U867" s="129"/>
      <c r="V867" s="129"/>
      <c r="W867" s="129"/>
      <c r="X867" s="129"/>
      <c r="Y867" s="129"/>
      <c r="Z867" s="115"/>
      <c r="AA867" s="129"/>
      <c r="AB867" s="149"/>
      <c r="AC867" s="129"/>
      <c r="AD867" s="129"/>
      <c r="AE867" s="129"/>
    </row>
    <row r="868" spans="3:31" x14ac:dyDescent="0.35">
      <c r="C868" s="129"/>
      <c r="D868" s="129"/>
      <c r="E868" s="129"/>
      <c r="F868" s="129"/>
      <c r="G868" s="129"/>
      <c r="H868" s="110"/>
      <c r="I868" s="129"/>
      <c r="J868" t="s">
        <v>351</v>
      </c>
      <c r="K868" s="129"/>
      <c r="L868" s="129"/>
      <c r="M868" s="129"/>
      <c r="N868" s="129"/>
      <c r="O868" s="129"/>
      <c r="P868" s="129"/>
      <c r="Q868" s="129"/>
      <c r="R868" s="129"/>
      <c r="S868" s="141"/>
      <c r="T868" s="139"/>
      <c r="U868" s="129"/>
      <c r="V868" s="129"/>
      <c r="W868" s="129"/>
      <c r="X868" s="129"/>
      <c r="Y868" s="129"/>
      <c r="Z868" s="115"/>
      <c r="AA868" s="129"/>
      <c r="AB868" s="149"/>
      <c r="AC868" s="129"/>
      <c r="AD868" s="129"/>
      <c r="AE868" s="129"/>
    </row>
    <row r="869" spans="3:31" x14ac:dyDescent="0.35">
      <c r="C869" s="129"/>
      <c r="D869" s="129"/>
      <c r="E869" s="129"/>
      <c r="F869" s="129"/>
      <c r="G869" s="129"/>
      <c r="H869" s="110"/>
      <c r="I869" s="129"/>
      <c r="J869" t="s">
        <v>351</v>
      </c>
      <c r="K869" s="129"/>
      <c r="L869" s="129"/>
      <c r="M869" s="129"/>
      <c r="N869" s="129"/>
      <c r="O869" s="129"/>
      <c r="P869" s="129"/>
      <c r="Q869" s="129"/>
      <c r="R869" s="129"/>
      <c r="S869" s="141"/>
      <c r="T869" s="139"/>
      <c r="U869" s="129"/>
      <c r="V869" s="129"/>
      <c r="W869" s="129"/>
      <c r="X869" s="129"/>
      <c r="Y869" s="129"/>
      <c r="Z869" s="115"/>
      <c r="AA869" s="129"/>
      <c r="AB869" s="149"/>
      <c r="AC869" s="129"/>
      <c r="AD869" s="129"/>
      <c r="AE869" s="129"/>
    </row>
    <row r="870" spans="3:31" x14ac:dyDescent="0.35">
      <c r="C870" s="129"/>
      <c r="D870" s="129"/>
      <c r="E870" s="129"/>
      <c r="F870" s="129"/>
      <c r="G870" s="129"/>
      <c r="H870" s="110"/>
      <c r="I870" s="129"/>
      <c r="J870" t="s">
        <v>351</v>
      </c>
      <c r="K870" s="129"/>
      <c r="L870" s="129"/>
      <c r="M870" s="129"/>
      <c r="N870" s="129"/>
      <c r="O870" s="129"/>
      <c r="P870" s="129"/>
      <c r="Q870" s="129"/>
      <c r="R870" s="129"/>
      <c r="S870" s="141"/>
      <c r="T870" s="139"/>
      <c r="U870" s="129"/>
      <c r="V870" s="129"/>
      <c r="W870" s="129"/>
      <c r="X870" s="129"/>
      <c r="Y870" s="129"/>
      <c r="Z870" s="115"/>
      <c r="AA870" s="129"/>
      <c r="AB870" s="149"/>
      <c r="AC870" s="129"/>
      <c r="AD870" s="129"/>
      <c r="AE870" s="129"/>
    </row>
    <row r="871" spans="3:31" x14ac:dyDescent="0.35">
      <c r="C871" s="129"/>
      <c r="D871" s="129"/>
      <c r="E871" s="129"/>
      <c r="F871" s="129"/>
      <c r="G871" s="129"/>
      <c r="H871" s="110"/>
      <c r="I871" s="129"/>
      <c r="J871" t="s">
        <v>351</v>
      </c>
      <c r="K871" s="129"/>
      <c r="L871" s="129"/>
      <c r="M871" s="129"/>
      <c r="N871" s="129"/>
      <c r="O871" s="129"/>
      <c r="P871" s="129"/>
      <c r="Q871" s="129"/>
      <c r="R871" s="129"/>
      <c r="S871" s="141"/>
      <c r="T871" s="139"/>
      <c r="U871" s="129"/>
      <c r="V871" s="129"/>
      <c r="W871" s="129"/>
      <c r="X871" s="129"/>
      <c r="Y871" s="129"/>
      <c r="Z871" s="115"/>
      <c r="AA871" s="129"/>
      <c r="AB871" s="149"/>
      <c r="AC871" s="129"/>
      <c r="AD871" s="129"/>
      <c r="AE871" s="129"/>
    </row>
    <row r="872" spans="3:31" x14ac:dyDescent="0.35">
      <c r="C872" s="129"/>
      <c r="D872" s="129"/>
      <c r="E872" s="129"/>
      <c r="F872" s="129"/>
      <c r="G872" s="129"/>
      <c r="H872" s="110"/>
      <c r="I872" s="129"/>
      <c r="J872" t="s">
        <v>351</v>
      </c>
      <c r="K872" s="129"/>
      <c r="L872" s="129"/>
      <c r="M872" s="129"/>
      <c r="N872" s="129"/>
      <c r="O872" s="129"/>
      <c r="P872" s="129"/>
      <c r="Q872" s="129"/>
      <c r="R872" s="129"/>
      <c r="S872" s="141"/>
      <c r="T872" s="139"/>
      <c r="U872" s="129"/>
      <c r="V872" s="129"/>
      <c r="W872" s="129"/>
      <c r="X872" s="129"/>
      <c r="Y872" s="129"/>
      <c r="Z872" s="115"/>
      <c r="AA872" s="129"/>
      <c r="AB872" s="149"/>
      <c r="AC872" s="129"/>
      <c r="AD872" s="129"/>
      <c r="AE872" s="129"/>
    </row>
    <row r="873" spans="3:31" x14ac:dyDescent="0.35">
      <c r="C873" s="129"/>
      <c r="D873" s="129"/>
      <c r="E873" s="129"/>
      <c r="F873" s="129"/>
      <c r="G873" s="129"/>
      <c r="H873" s="110"/>
      <c r="I873" s="129"/>
      <c r="J873" t="s">
        <v>351</v>
      </c>
      <c r="K873" s="129"/>
      <c r="L873" s="129"/>
      <c r="M873" s="129"/>
      <c r="N873" s="129"/>
      <c r="O873" s="129"/>
      <c r="P873" s="129"/>
      <c r="Q873" s="129"/>
      <c r="R873" s="129"/>
      <c r="S873" s="141"/>
      <c r="T873" s="139"/>
      <c r="U873" s="129"/>
      <c r="V873" s="129"/>
      <c r="W873" s="129"/>
      <c r="X873" s="129"/>
      <c r="Y873" s="129"/>
      <c r="Z873" s="115"/>
      <c r="AA873" s="129"/>
      <c r="AB873" s="149"/>
      <c r="AC873" s="129"/>
      <c r="AD873" s="129"/>
      <c r="AE873" s="129"/>
    </row>
    <row r="874" spans="3:31" x14ac:dyDescent="0.35">
      <c r="C874" s="129"/>
      <c r="D874" s="129"/>
      <c r="E874" s="129"/>
      <c r="F874" s="129"/>
      <c r="G874" s="129"/>
      <c r="H874" s="110"/>
      <c r="I874" s="129"/>
      <c r="J874" t="s">
        <v>351</v>
      </c>
      <c r="K874" s="129"/>
      <c r="L874" s="129"/>
      <c r="M874" s="129"/>
      <c r="N874" s="129"/>
      <c r="O874" s="129"/>
      <c r="P874" s="129"/>
      <c r="Q874" s="129"/>
      <c r="R874" s="129"/>
      <c r="S874" s="141"/>
      <c r="T874" s="139"/>
      <c r="U874" s="129"/>
      <c r="V874" s="129"/>
      <c r="W874" s="129"/>
      <c r="X874" s="129"/>
      <c r="Y874" s="129"/>
      <c r="Z874" s="115"/>
      <c r="AA874" s="129"/>
      <c r="AB874" s="149"/>
      <c r="AC874" s="129"/>
      <c r="AD874" s="129"/>
      <c r="AE874" s="129"/>
    </row>
    <row r="875" spans="3:31" x14ac:dyDescent="0.35">
      <c r="C875" s="129"/>
      <c r="D875" s="129"/>
      <c r="E875" s="129"/>
      <c r="F875" s="129"/>
      <c r="G875" s="129"/>
      <c r="H875" s="110"/>
      <c r="I875" s="129"/>
      <c r="J875" t="s">
        <v>351</v>
      </c>
      <c r="K875" s="129"/>
      <c r="L875" s="129"/>
      <c r="M875" s="129"/>
      <c r="N875" s="129"/>
      <c r="O875" s="129"/>
      <c r="P875" s="129"/>
      <c r="Q875" s="129"/>
      <c r="R875" s="129"/>
      <c r="S875" s="141"/>
      <c r="T875" s="139"/>
      <c r="U875" s="129"/>
      <c r="V875" s="129"/>
      <c r="W875" s="129"/>
      <c r="X875" s="129"/>
      <c r="Y875" s="129"/>
      <c r="Z875" s="115"/>
      <c r="AA875" s="129"/>
      <c r="AB875" s="149"/>
      <c r="AC875" s="129"/>
      <c r="AD875" s="129"/>
      <c r="AE875" s="129"/>
    </row>
    <row r="876" spans="3:31" x14ac:dyDescent="0.35">
      <c r="C876" s="129"/>
      <c r="D876" s="129"/>
      <c r="E876" s="129"/>
      <c r="F876" s="129"/>
      <c r="G876" s="129"/>
      <c r="H876" s="110"/>
      <c r="I876" s="129"/>
      <c r="J876" t="s">
        <v>351</v>
      </c>
      <c r="K876" s="129"/>
      <c r="L876" s="129"/>
      <c r="M876" s="129"/>
      <c r="N876" s="129"/>
      <c r="O876" s="129"/>
      <c r="P876" s="129"/>
      <c r="Q876" s="129"/>
      <c r="R876" s="129"/>
      <c r="S876" s="141"/>
      <c r="T876" s="139"/>
      <c r="U876" s="129"/>
      <c r="V876" s="129"/>
      <c r="W876" s="129"/>
      <c r="X876" s="129"/>
      <c r="Y876" s="129"/>
      <c r="Z876" s="115"/>
      <c r="AA876" s="129"/>
      <c r="AB876" s="149"/>
      <c r="AC876" s="129"/>
      <c r="AD876" s="129"/>
      <c r="AE876" s="129"/>
    </row>
    <row r="877" spans="3:31" x14ac:dyDescent="0.35">
      <c r="C877" s="129"/>
      <c r="D877" s="129"/>
      <c r="E877" s="129"/>
      <c r="F877" s="129"/>
      <c r="G877" s="129"/>
      <c r="H877" s="110"/>
      <c r="I877" s="129"/>
      <c r="J877" t="s">
        <v>351</v>
      </c>
      <c r="K877" s="129"/>
      <c r="L877" s="129"/>
      <c r="M877" s="129"/>
      <c r="N877" s="129"/>
      <c r="O877" s="129"/>
      <c r="P877" s="129"/>
      <c r="Q877" s="129"/>
      <c r="R877" s="129"/>
      <c r="S877" s="141"/>
      <c r="T877" s="139"/>
      <c r="U877" s="129"/>
      <c r="V877" s="129"/>
      <c r="W877" s="129"/>
      <c r="X877" s="129"/>
      <c r="Y877" s="129"/>
      <c r="Z877" s="115"/>
      <c r="AA877" s="129"/>
      <c r="AB877" s="149"/>
      <c r="AC877" s="129"/>
      <c r="AD877" s="129"/>
      <c r="AE877" s="129"/>
    </row>
    <row r="878" spans="3:31" x14ac:dyDescent="0.35">
      <c r="C878" s="129"/>
      <c r="D878" s="129"/>
      <c r="E878" s="129"/>
      <c r="F878" s="129"/>
      <c r="G878" s="129"/>
      <c r="H878" s="110"/>
      <c r="I878" s="129"/>
      <c r="J878" t="s">
        <v>351</v>
      </c>
      <c r="K878" s="129"/>
      <c r="L878" s="129"/>
      <c r="M878" s="129"/>
      <c r="N878" s="129"/>
      <c r="O878" s="129"/>
      <c r="P878" s="129"/>
      <c r="Q878" s="129"/>
      <c r="R878" s="129"/>
      <c r="S878" s="141"/>
      <c r="T878" s="139"/>
      <c r="U878" s="129"/>
      <c r="V878" s="129"/>
      <c r="W878" s="129"/>
      <c r="X878" s="129"/>
      <c r="Y878" s="129"/>
      <c r="Z878" s="115"/>
      <c r="AA878" s="129"/>
      <c r="AB878" s="149"/>
      <c r="AC878" s="129"/>
      <c r="AD878" s="129"/>
      <c r="AE878" s="129"/>
    </row>
    <row r="879" spans="3:31" x14ac:dyDescent="0.35">
      <c r="C879" s="129"/>
      <c r="D879" s="129"/>
      <c r="E879" s="129"/>
      <c r="F879" s="129"/>
      <c r="G879" s="129"/>
      <c r="H879" s="110"/>
      <c r="I879" s="129"/>
      <c r="J879" t="s">
        <v>351</v>
      </c>
      <c r="K879" s="129"/>
      <c r="L879" s="129"/>
      <c r="M879" s="129"/>
      <c r="N879" s="129"/>
      <c r="O879" s="129"/>
      <c r="P879" s="129"/>
      <c r="Q879" s="129"/>
      <c r="R879" s="129"/>
      <c r="S879" s="141"/>
      <c r="T879" s="139"/>
      <c r="U879" s="129"/>
      <c r="V879" s="129"/>
      <c r="W879" s="129"/>
      <c r="X879" s="129"/>
      <c r="Y879" s="129"/>
      <c r="Z879" s="115"/>
      <c r="AA879" s="129"/>
      <c r="AB879" s="149"/>
      <c r="AC879" s="129"/>
      <c r="AD879" s="129"/>
      <c r="AE879" s="129"/>
    </row>
    <row r="880" spans="3:31" x14ac:dyDescent="0.35">
      <c r="C880" s="129"/>
      <c r="D880" s="129"/>
      <c r="E880" s="129"/>
      <c r="F880" s="129"/>
      <c r="G880" s="129"/>
      <c r="H880" s="110"/>
      <c r="I880" s="129"/>
      <c r="J880" t="s">
        <v>351</v>
      </c>
      <c r="K880" s="129"/>
      <c r="L880" s="129"/>
      <c r="M880" s="129"/>
      <c r="N880" s="129"/>
      <c r="O880" s="129"/>
      <c r="P880" s="129"/>
      <c r="Q880" s="129"/>
      <c r="R880" s="129"/>
      <c r="S880" s="141"/>
      <c r="T880" s="139"/>
      <c r="U880" s="129"/>
      <c r="V880" s="129"/>
      <c r="W880" s="129"/>
      <c r="X880" s="129"/>
      <c r="Y880" s="129"/>
      <c r="Z880" s="115"/>
      <c r="AA880" s="129"/>
      <c r="AB880" s="149"/>
      <c r="AC880" s="129"/>
      <c r="AD880" s="129"/>
      <c r="AE880" s="129"/>
    </row>
    <row r="881" spans="3:31" x14ac:dyDescent="0.35">
      <c r="C881" s="129"/>
      <c r="D881" s="129"/>
      <c r="E881" s="129"/>
      <c r="F881" s="129"/>
      <c r="G881" s="129"/>
      <c r="H881" s="110"/>
      <c r="I881" s="129"/>
      <c r="J881" t="s">
        <v>351</v>
      </c>
      <c r="K881" s="129"/>
      <c r="L881" s="129"/>
      <c r="M881" s="129"/>
      <c r="N881" s="129"/>
      <c r="O881" s="129"/>
      <c r="P881" s="129"/>
      <c r="Q881" s="129"/>
      <c r="R881" s="129"/>
      <c r="S881" s="141"/>
      <c r="T881" s="139"/>
      <c r="U881" s="129"/>
      <c r="V881" s="129"/>
      <c r="W881" s="129"/>
      <c r="X881" s="129"/>
      <c r="Y881" s="129"/>
      <c r="Z881" s="115"/>
      <c r="AA881" s="129"/>
      <c r="AB881" s="149"/>
      <c r="AC881" s="129"/>
      <c r="AD881" s="129"/>
      <c r="AE881" s="129"/>
    </row>
    <row r="882" spans="3:31" x14ac:dyDescent="0.35">
      <c r="C882" s="129"/>
      <c r="D882" s="129"/>
      <c r="E882" s="129"/>
      <c r="F882" s="129"/>
      <c r="G882" s="129"/>
      <c r="H882" s="110"/>
      <c r="I882" s="129"/>
      <c r="J882" t="s">
        <v>351</v>
      </c>
      <c r="K882" s="129"/>
      <c r="L882" s="129"/>
      <c r="M882" s="129"/>
      <c r="N882" s="129"/>
      <c r="O882" s="129"/>
      <c r="P882" s="129"/>
      <c r="Q882" s="129"/>
      <c r="R882" s="129"/>
      <c r="S882" s="141"/>
      <c r="T882" s="139"/>
      <c r="U882" s="129"/>
      <c r="V882" s="129"/>
      <c r="W882" s="129"/>
      <c r="X882" s="129"/>
      <c r="Y882" s="129"/>
      <c r="Z882" s="115"/>
      <c r="AA882" s="129"/>
      <c r="AB882" s="149"/>
      <c r="AC882" s="129"/>
      <c r="AD882" s="129"/>
      <c r="AE882" s="129"/>
    </row>
    <row r="883" spans="3:31" x14ac:dyDescent="0.35">
      <c r="C883" s="129"/>
      <c r="D883" s="129"/>
      <c r="E883" s="129"/>
      <c r="F883" s="129"/>
      <c r="G883" s="129"/>
      <c r="H883" s="110"/>
      <c r="I883" s="129"/>
      <c r="J883" t="s">
        <v>351</v>
      </c>
      <c r="K883" s="129"/>
      <c r="L883" s="129"/>
      <c r="M883" s="129"/>
      <c r="N883" s="129"/>
      <c r="O883" s="129"/>
      <c r="P883" s="129"/>
      <c r="Q883" s="129"/>
      <c r="R883" s="129"/>
      <c r="S883" s="141"/>
      <c r="T883" s="139"/>
      <c r="U883" s="129"/>
      <c r="V883" s="129"/>
      <c r="W883" s="129"/>
      <c r="X883" s="129"/>
      <c r="Y883" s="129"/>
      <c r="Z883" s="115"/>
      <c r="AA883" s="129"/>
      <c r="AB883" s="149"/>
      <c r="AC883" s="129"/>
      <c r="AD883" s="129"/>
      <c r="AE883" s="129"/>
    </row>
    <row r="884" spans="3:31" x14ac:dyDescent="0.35">
      <c r="C884" s="129"/>
      <c r="D884" s="129"/>
      <c r="E884" s="129"/>
      <c r="F884" s="129"/>
      <c r="G884" s="129"/>
      <c r="H884" s="110"/>
      <c r="I884" s="129"/>
      <c r="J884" t="s">
        <v>351</v>
      </c>
      <c r="K884" s="129"/>
      <c r="L884" s="129"/>
      <c r="M884" s="129"/>
      <c r="N884" s="129"/>
      <c r="O884" s="129"/>
      <c r="P884" s="129"/>
      <c r="Q884" s="129"/>
      <c r="R884" s="129"/>
      <c r="S884" s="141"/>
      <c r="T884" s="139"/>
      <c r="U884" s="129"/>
      <c r="V884" s="129"/>
      <c r="W884" s="129"/>
      <c r="X884" s="129"/>
      <c r="Y884" s="129"/>
      <c r="Z884" s="115"/>
      <c r="AA884" s="129"/>
      <c r="AB884" s="149"/>
      <c r="AC884" s="129"/>
      <c r="AD884" s="129"/>
      <c r="AE884" s="129"/>
    </row>
    <row r="885" spans="3:31" x14ac:dyDescent="0.35">
      <c r="C885" s="129"/>
      <c r="D885" s="129"/>
      <c r="E885" s="129"/>
      <c r="F885" s="129"/>
      <c r="G885" s="129"/>
      <c r="H885" s="110"/>
      <c r="I885" s="129"/>
      <c r="J885" t="s">
        <v>351</v>
      </c>
      <c r="K885" s="129"/>
      <c r="L885" s="129"/>
      <c r="M885" s="129"/>
      <c r="N885" s="129"/>
      <c r="O885" s="129"/>
      <c r="P885" s="129"/>
      <c r="Q885" s="129"/>
      <c r="R885" s="129"/>
      <c r="S885" s="141"/>
      <c r="T885" s="139"/>
      <c r="U885" s="129"/>
      <c r="V885" s="129"/>
      <c r="W885" s="129"/>
      <c r="X885" s="129"/>
      <c r="Y885" s="129"/>
      <c r="Z885" s="115"/>
      <c r="AA885" s="129"/>
      <c r="AB885" s="149"/>
      <c r="AC885" s="129"/>
      <c r="AD885" s="129"/>
      <c r="AE885" s="129"/>
    </row>
    <row r="886" spans="3:31" x14ac:dyDescent="0.35">
      <c r="C886" s="129"/>
      <c r="D886" s="129"/>
      <c r="E886" s="129"/>
      <c r="F886" s="129"/>
      <c r="G886" s="129"/>
      <c r="H886" s="110"/>
      <c r="I886" s="129"/>
      <c r="J886" t="s">
        <v>351</v>
      </c>
      <c r="K886" s="129"/>
      <c r="L886" s="129"/>
      <c r="M886" s="129"/>
      <c r="N886" s="129"/>
      <c r="O886" s="129"/>
      <c r="P886" s="129"/>
      <c r="Q886" s="129"/>
      <c r="R886" s="129"/>
      <c r="S886" s="141"/>
      <c r="T886" s="139"/>
      <c r="U886" s="129"/>
      <c r="V886" s="129"/>
      <c r="W886" s="129"/>
      <c r="X886" s="129"/>
      <c r="Y886" s="129"/>
      <c r="Z886" s="115"/>
      <c r="AA886" s="129"/>
      <c r="AB886" s="149"/>
      <c r="AC886" s="129"/>
      <c r="AD886" s="129"/>
      <c r="AE886" s="129"/>
    </row>
    <row r="887" spans="3:31" x14ac:dyDescent="0.35">
      <c r="C887" s="129"/>
      <c r="D887" s="129"/>
      <c r="E887" s="129"/>
      <c r="F887" s="129"/>
      <c r="G887" s="129"/>
      <c r="H887" s="110"/>
      <c r="I887" s="129"/>
      <c r="J887" t="s">
        <v>351</v>
      </c>
      <c r="K887" s="129"/>
      <c r="L887" s="129"/>
      <c r="M887" s="129"/>
      <c r="N887" s="129"/>
      <c r="O887" s="129"/>
      <c r="P887" s="129"/>
      <c r="Q887" s="129"/>
      <c r="R887" s="129"/>
      <c r="S887" s="141"/>
      <c r="T887" s="139"/>
      <c r="U887" s="129"/>
      <c r="V887" s="129"/>
      <c r="W887" s="129"/>
      <c r="X887" s="129"/>
      <c r="Y887" s="129"/>
      <c r="Z887" s="115"/>
      <c r="AA887" s="129"/>
      <c r="AB887" s="149"/>
      <c r="AC887" s="129"/>
      <c r="AD887" s="129"/>
      <c r="AE887" s="129"/>
    </row>
    <row r="888" spans="3:31" x14ac:dyDescent="0.35">
      <c r="C888" s="129"/>
      <c r="D888" s="129"/>
      <c r="E888" s="129"/>
      <c r="F888" s="129"/>
      <c r="G888" s="129"/>
      <c r="H888" s="110"/>
      <c r="I888" s="129"/>
      <c r="J888" t="s">
        <v>351</v>
      </c>
      <c r="K888" s="129"/>
      <c r="L888" s="129"/>
      <c r="M888" s="129"/>
      <c r="N888" s="129"/>
      <c r="O888" s="129"/>
      <c r="P888" s="129"/>
      <c r="Q888" s="129"/>
      <c r="R888" s="129"/>
      <c r="S888" s="141"/>
      <c r="T888" s="139"/>
      <c r="U888" s="129"/>
      <c r="V888" s="129"/>
      <c r="W888" s="129"/>
      <c r="X888" s="129"/>
      <c r="Y888" s="129"/>
      <c r="Z888" s="115"/>
      <c r="AA888" s="129"/>
      <c r="AB888" s="149"/>
      <c r="AC888" s="129"/>
      <c r="AD888" s="129"/>
      <c r="AE888" s="129"/>
    </row>
    <row r="889" spans="3:31" x14ac:dyDescent="0.35">
      <c r="C889" s="129"/>
      <c r="D889" s="129"/>
      <c r="E889" s="129"/>
      <c r="F889" s="129"/>
      <c r="G889" s="129"/>
      <c r="H889" s="110"/>
      <c r="I889" s="129"/>
      <c r="J889" t="s">
        <v>351</v>
      </c>
      <c r="K889" s="129"/>
      <c r="L889" s="129"/>
      <c r="M889" s="129"/>
      <c r="N889" s="129"/>
      <c r="O889" s="129"/>
      <c r="P889" s="129"/>
      <c r="Q889" s="129"/>
      <c r="R889" s="129"/>
      <c r="S889" s="141"/>
      <c r="T889" s="139"/>
      <c r="U889" s="129"/>
      <c r="V889" s="129"/>
      <c r="W889" s="129"/>
      <c r="X889" s="129"/>
      <c r="Y889" s="129"/>
      <c r="Z889" s="115"/>
      <c r="AA889" s="129"/>
      <c r="AB889" s="149"/>
      <c r="AC889" s="129"/>
      <c r="AD889" s="129"/>
      <c r="AE889" s="129"/>
    </row>
    <row r="890" spans="3:31" x14ac:dyDescent="0.35">
      <c r="C890" s="129"/>
      <c r="D890" s="129"/>
      <c r="E890" s="129"/>
      <c r="F890" s="129"/>
      <c r="G890" s="129"/>
      <c r="H890" s="110"/>
      <c r="I890" s="129"/>
      <c r="J890" t="s">
        <v>351</v>
      </c>
      <c r="K890" s="129"/>
      <c r="L890" s="129"/>
      <c r="M890" s="129"/>
      <c r="N890" s="129"/>
      <c r="O890" s="129"/>
      <c r="P890" s="129"/>
      <c r="Q890" s="129"/>
      <c r="R890" s="129"/>
      <c r="S890" s="141"/>
      <c r="T890" s="139"/>
      <c r="U890" s="129"/>
      <c r="V890" s="129"/>
      <c r="W890" s="129"/>
      <c r="X890" s="129"/>
      <c r="Y890" s="129"/>
      <c r="Z890" s="115"/>
      <c r="AA890" s="129"/>
      <c r="AB890" s="149"/>
      <c r="AC890" s="129"/>
      <c r="AD890" s="129"/>
      <c r="AE890" s="129"/>
    </row>
    <row r="891" spans="3:31" x14ac:dyDescent="0.35">
      <c r="C891" s="129"/>
      <c r="D891" s="129"/>
      <c r="E891" s="129"/>
      <c r="F891" s="129"/>
      <c r="G891" s="129"/>
      <c r="H891" s="110"/>
      <c r="I891" s="129"/>
      <c r="J891" t="s">
        <v>351</v>
      </c>
      <c r="K891" s="129"/>
      <c r="L891" s="129"/>
      <c r="M891" s="129"/>
      <c r="N891" s="129"/>
      <c r="O891" s="129"/>
      <c r="P891" s="129"/>
      <c r="Q891" s="129"/>
      <c r="R891" s="129"/>
      <c r="S891" s="141"/>
      <c r="T891" s="139"/>
      <c r="U891" s="129"/>
      <c r="V891" s="129"/>
      <c r="W891" s="129"/>
      <c r="X891" s="129"/>
      <c r="Y891" s="129"/>
      <c r="Z891" s="115"/>
      <c r="AA891" s="129"/>
      <c r="AB891" s="149"/>
      <c r="AC891" s="129"/>
      <c r="AD891" s="129"/>
      <c r="AE891" s="129"/>
    </row>
    <row r="892" spans="3:31" x14ac:dyDescent="0.35">
      <c r="C892" s="129"/>
      <c r="D892" s="129"/>
      <c r="E892" s="129"/>
      <c r="F892" s="129"/>
      <c r="G892" s="129"/>
      <c r="H892" s="110"/>
      <c r="I892" s="129"/>
      <c r="J892" t="s">
        <v>351</v>
      </c>
      <c r="K892" s="129"/>
      <c r="L892" s="129"/>
      <c r="M892" s="129"/>
      <c r="N892" s="129"/>
      <c r="O892" s="129"/>
      <c r="P892" s="129"/>
      <c r="Q892" s="129"/>
      <c r="R892" s="129"/>
      <c r="S892" s="141"/>
      <c r="T892" s="139"/>
      <c r="U892" s="129"/>
      <c r="V892" s="129"/>
      <c r="W892" s="129"/>
      <c r="X892" s="129"/>
      <c r="Y892" s="129"/>
      <c r="Z892" s="115"/>
      <c r="AA892" s="129"/>
      <c r="AB892" s="149"/>
      <c r="AC892" s="129"/>
      <c r="AD892" s="129"/>
      <c r="AE892" s="129"/>
    </row>
    <row r="893" spans="3:31" x14ac:dyDescent="0.35">
      <c r="C893" s="129"/>
      <c r="D893" s="129"/>
      <c r="E893" s="129"/>
      <c r="F893" s="129"/>
      <c r="G893" s="129"/>
      <c r="H893" s="110"/>
      <c r="I893" s="129"/>
      <c r="J893" t="s">
        <v>351</v>
      </c>
      <c r="K893" s="129"/>
      <c r="L893" s="129"/>
      <c r="M893" s="129"/>
      <c r="N893" s="129"/>
      <c r="O893" s="129"/>
      <c r="P893" s="129"/>
      <c r="Q893" s="129"/>
      <c r="R893" s="129"/>
      <c r="S893" s="141"/>
      <c r="T893" s="139"/>
      <c r="U893" s="129"/>
      <c r="V893" s="129"/>
      <c r="W893" s="129"/>
      <c r="X893" s="129"/>
      <c r="Y893" s="129"/>
      <c r="Z893" s="115"/>
      <c r="AA893" s="129"/>
      <c r="AB893" s="149"/>
      <c r="AC893" s="129"/>
      <c r="AD893" s="129"/>
      <c r="AE893" s="129"/>
    </row>
    <row r="894" spans="3:31" x14ac:dyDescent="0.35">
      <c r="C894" s="129"/>
      <c r="D894" s="129"/>
      <c r="E894" s="129"/>
      <c r="F894" s="129"/>
      <c r="G894" s="129"/>
      <c r="H894" s="110"/>
      <c r="I894" s="129"/>
      <c r="J894" t="s">
        <v>351</v>
      </c>
      <c r="K894" s="129"/>
      <c r="L894" s="129"/>
      <c r="M894" s="129"/>
      <c r="N894" s="129"/>
      <c r="O894" s="129"/>
      <c r="P894" s="129"/>
      <c r="Q894" s="129"/>
      <c r="R894" s="129"/>
      <c r="S894" s="141"/>
      <c r="T894" s="139"/>
      <c r="U894" s="129"/>
      <c r="V894" s="129"/>
      <c r="W894" s="129"/>
      <c r="X894" s="129"/>
      <c r="Y894" s="129"/>
      <c r="Z894" s="115"/>
      <c r="AA894" s="129"/>
      <c r="AB894" s="149"/>
      <c r="AC894" s="129"/>
      <c r="AD894" s="129"/>
      <c r="AE894" s="129"/>
    </row>
    <row r="895" spans="3:31" x14ac:dyDescent="0.35">
      <c r="C895" s="129"/>
      <c r="D895" s="129"/>
      <c r="E895" s="129"/>
      <c r="F895" s="129"/>
      <c r="G895" s="129"/>
      <c r="H895" s="110"/>
      <c r="I895" s="129"/>
      <c r="J895" t="s">
        <v>351</v>
      </c>
      <c r="K895" s="129"/>
      <c r="L895" s="129"/>
      <c r="M895" s="129"/>
      <c r="N895" s="129"/>
      <c r="O895" s="129"/>
      <c r="P895" s="129"/>
      <c r="Q895" s="129"/>
      <c r="R895" s="129"/>
      <c r="S895" s="141"/>
      <c r="T895" s="139"/>
      <c r="U895" s="129"/>
      <c r="V895" s="129"/>
      <c r="W895" s="129"/>
      <c r="X895" s="129"/>
      <c r="Y895" s="129"/>
      <c r="Z895" s="115"/>
      <c r="AA895" s="129"/>
      <c r="AB895" s="149"/>
      <c r="AC895" s="129"/>
      <c r="AD895" s="129"/>
      <c r="AE895" s="129"/>
    </row>
    <row r="896" spans="3:31" x14ac:dyDescent="0.35">
      <c r="C896" s="129"/>
      <c r="D896" s="129"/>
      <c r="E896" s="129"/>
      <c r="F896" s="129"/>
      <c r="G896" s="129"/>
      <c r="H896" s="110"/>
      <c r="I896" s="129"/>
      <c r="J896" t="s">
        <v>351</v>
      </c>
      <c r="K896" s="129"/>
      <c r="L896" s="129"/>
      <c r="M896" s="129"/>
      <c r="N896" s="129"/>
      <c r="O896" s="129"/>
      <c r="P896" s="129"/>
      <c r="Q896" s="129"/>
      <c r="R896" s="129"/>
      <c r="S896" s="141"/>
      <c r="T896" s="139"/>
      <c r="U896" s="129"/>
      <c r="V896" s="129"/>
      <c r="W896" s="129"/>
      <c r="X896" s="129"/>
      <c r="Y896" s="129"/>
      <c r="Z896" s="115"/>
      <c r="AA896" s="129"/>
      <c r="AB896" s="149"/>
      <c r="AC896" s="129"/>
      <c r="AD896" s="129"/>
      <c r="AE896" s="129"/>
    </row>
    <row r="897" spans="3:31" x14ac:dyDescent="0.35">
      <c r="C897" s="129"/>
      <c r="D897" s="129"/>
      <c r="E897" s="129"/>
      <c r="F897" s="129"/>
      <c r="G897" s="129"/>
      <c r="H897" s="110"/>
      <c r="I897" s="129"/>
      <c r="J897" t="s">
        <v>351</v>
      </c>
      <c r="K897" s="129"/>
      <c r="L897" s="129"/>
      <c r="M897" s="129"/>
      <c r="N897" s="129"/>
      <c r="O897" s="129"/>
      <c r="P897" s="129"/>
      <c r="Q897" s="129"/>
      <c r="R897" s="129"/>
      <c r="S897" s="141"/>
      <c r="T897" s="139"/>
      <c r="U897" s="129"/>
      <c r="V897" s="129"/>
      <c r="W897" s="129"/>
      <c r="X897" s="129"/>
      <c r="Y897" s="129"/>
      <c r="Z897" s="115"/>
      <c r="AA897" s="129"/>
      <c r="AB897" s="149"/>
      <c r="AC897" s="129"/>
      <c r="AD897" s="129"/>
      <c r="AE897" s="129"/>
    </row>
    <row r="898" spans="3:31" x14ac:dyDescent="0.35">
      <c r="C898" s="129"/>
      <c r="D898" s="129"/>
      <c r="E898" s="129"/>
      <c r="F898" s="129"/>
      <c r="G898" s="129"/>
      <c r="H898" s="110"/>
      <c r="I898" s="129"/>
      <c r="J898" t="s">
        <v>351</v>
      </c>
      <c r="K898" s="129"/>
      <c r="L898" s="129"/>
      <c r="M898" s="129"/>
      <c r="N898" s="129"/>
      <c r="O898" s="129"/>
      <c r="P898" s="129"/>
      <c r="Q898" s="129"/>
      <c r="R898" s="129"/>
      <c r="S898" s="141"/>
      <c r="T898" s="139"/>
      <c r="U898" s="129"/>
      <c r="V898" s="129"/>
      <c r="W898" s="129"/>
      <c r="X898" s="129"/>
      <c r="Y898" s="129"/>
      <c r="Z898" s="115"/>
      <c r="AA898" s="129"/>
      <c r="AB898" s="149"/>
      <c r="AC898" s="129"/>
      <c r="AD898" s="129"/>
      <c r="AE898" s="129"/>
    </row>
    <row r="899" spans="3:31" x14ac:dyDescent="0.35">
      <c r="C899" s="129"/>
      <c r="D899" s="129"/>
      <c r="E899" s="129"/>
      <c r="F899" s="129"/>
      <c r="G899" s="129"/>
      <c r="H899" s="110"/>
      <c r="I899" s="129"/>
      <c r="J899" t="s">
        <v>351</v>
      </c>
      <c r="K899" s="129"/>
      <c r="L899" s="129"/>
      <c r="M899" s="129"/>
      <c r="N899" s="129"/>
      <c r="O899" s="129"/>
      <c r="P899" s="129"/>
      <c r="Q899" s="129"/>
      <c r="R899" s="129"/>
      <c r="S899" s="141"/>
      <c r="T899" s="139"/>
      <c r="U899" s="129"/>
      <c r="V899" s="129"/>
      <c r="W899" s="129"/>
      <c r="X899" s="129"/>
      <c r="Y899" s="129"/>
      <c r="Z899" s="115"/>
      <c r="AA899" s="129"/>
      <c r="AB899" s="149"/>
      <c r="AC899" s="129"/>
      <c r="AD899" s="129"/>
      <c r="AE899" s="129"/>
    </row>
    <row r="900" spans="3:31" x14ac:dyDescent="0.35">
      <c r="C900" s="129"/>
      <c r="D900" s="129"/>
      <c r="E900" s="129"/>
      <c r="F900" s="129"/>
      <c r="G900" s="129"/>
      <c r="H900" s="110"/>
      <c r="I900" s="129"/>
      <c r="J900" t="s">
        <v>351</v>
      </c>
      <c r="K900" s="129"/>
      <c r="L900" s="129"/>
      <c r="M900" s="129"/>
      <c r="N900" s="129"/>
      <c r="O900" s="129"/>
      <c r="P900" s="129"/>
      <c r="Q900" s="129"/>
      <c r="R900" s="129"/>
      <c r="S900" s="141"/>
      <c r="T900" s="139"/>
      <c r="U900" s="129"/>
      <c r="V900" s="129"/>
      <c r="W900" s="129"/>
      <c r="X900" s="129"/>
      <c r="Y900" s="129"/>
      <c r="Z900" s="115"/>
      <c r="AA900" s="129"/>
      <c r="AB900" s="149"/>
      <c r="AC900" s="129"/>
      <c r="AD900" s="129"/>
      <c r="AE900" s="129"/>
    </row>
    <row r="901" spans="3:31" x14ac:dyDescent="0.35">
      <c r="C901" s="129"/>
      <c r="D901" s="129"/>
      <c r="E901" s="129"/>
      <c r="F901" s="129"/>
      <c r="G901" s="129"/>
      <c r="H901" s="110"/>
      <c r="I901" s="129"/>
      <c r="J901" t="s">
        <v>351</v>
      </c>
      <c r="K901" s="129"/>
      <c r="L901" s="129"/>
      <c r="M901" s="129"/>
      <c r="N901" s="129"/>
      <c r="O901" s="129"/>
      <c r="P901" s="129"/>
      <c r="Q901" s="129"/>
      <c r="R901" s="129"/>
      <c r="S901" s="141"/>
      <c r="T901" s="139"/>
      <c r="U901" s="129"/>
      <c r="V901" s="129"/>
      <c r="W901" s="129"/>
      <c r="X901" s="129"/>
      <c r="Y901" s="129"/>
      <c r="Z901" s="115"/>
      <c r="AA901" s="129"/>
      <c r="AB901" s="149"/>
      <c r="AC901" s="129"/>
      <c r="AD901" s="129"/>
      <c r="AE901" s="129"/>
    </row>
    <row r="902" spans="3:31" x14ac:dyDescent="0.35">
      <c r="C902" s="129"/>
      <c r="D902" s="129"/>
      <c r="E902" s="129"/>
      <c r="F902" s="129"/>
      <c r="G902" s="129"/>
      <c r="H902" s="110"/>
      <c r="I902" s="129"/>
      <c r="J902" t="s">
        <v>351</v>
      </c>
      <c r="K902" s="129"/>
      <c r="L902" s="129"/>
      <c r="M902" s="129"/>
      <c r="N902" s="129"/>
      <c r="O902" s="129"/>
      <c r="P902" s="129"/>
      <c r="Q902" s="129"/>
      <c r="R902" s="129"/>
      <c r="S902" s="141"/>
      <c r="T902" s="139"/>
      <c r="U902" s="129"/>
      <c r="V902" s="129"/>
      <c r="W902" s="129"/>
      <c r="X902" s="129"/>
      <c r="Y902" s="129"/>
      <c r="Z902" s="115"/>
      <c r="AA902" s="129"/>
      <c r="AB902" s="149"/>
      <c r="AC902" s="129"/>
      <c r="AD902" s="129"/>
      <c r="AE902" s="129"/>
    </row>
    <row r="903" spans="3:31" x14ac:dyDescent="0.35">
      <c r="C903" s="129"/>
      <c r="D903" s="129"/>
      <c r="E903" s="129"/>
      <c r="F903" s="129"/>
      <c r="G903" s="129"/>
      <c r="H903" s="110"/>
      <c r="I903" s="129"/>
      <c r="J903" t="s">
        <v>351</v>
      </c>
      <c r="K903" s="129"/>
      <c r="L903" s="129"/>
      <c r="M903" s="129"/>
      <c r="N903" s="129"/>
      <c r="O903" s="129"/>
      <c r="P903" s="129"/>
      <c r="Q903" s="129"/>
      <c r="R903" s="129"/>
      <c r="S903" s="141"/>
      <c r="T903" s="139"/>
      <c r="U903" s="129"/>
      <c r="V903" s="129"/>
      <c r="W903" s="129"/>
      <c r="X903" s="129"/>
      <c r="Y903" s="129"/>
      <c r="Z903" s="115"/>
      <c r="AA903" s="129"/>
      <c r="AB903" s="149"/>
      <c r="AC903" s="129"/>
      <c r="AD903" s="129"/>
      <c r="AE903" s="129"/>
    </row>
    <row r="904" spans="3:31" x14ac:dyDescent="0.35">
      <c r="C904" s="129"/>
      <c r="D904" s="129"/>
      <c r="E904" s="129"/>
      <c r="F904" s="129"/>
      <c r="G904" s="129"/>
      <c r="H904" s="110"/>
      <c r="I904" s="129"/>
      <c r="J904" t="s">
        <v>351</v>
      </c>
      <c r="K904" s="129"/>
      <c r="L904" s="129"/>
      <c r="M904" s="129"/>
      <c r="N904" s="129"/>
      <c r="O904" s="129"/>
      <c r="P904" s="129"/>
      <c r="Q904" s="129"/>
      <c r="R904" s="129"/>
      <c r="S904" s="141"/>
      <c r="T904" s="139"/>
      <c r="U904" s="129"/>
      <c r="V904" s="129"/>
      <c r="W904" s="129"/>
      <c r="X904" s="129"/>
      <c r="Y904" s="129"/>
      <c r="Z904" s="115"/>
      <c r="AA904" s="129"/>
      <c r="AB904" s="149"/>
      <c r="AC904" s="129"/>
      <c r="AD904" s="129"/>
      <c r="AE904" s="129"/>
    </row>
    <row r="905" spans="3:31" x14ac:dyDescent="0.35">
      <c r="C905" s="129"/>
      <c r="D905" s="129"/>
      <c r="E905" s="129"/>
      <c r="F905" s="129"/>
      <c r="G905" s="129"/>
      <c r="H905" s="110"/>
      <c r="I905" s="129"/>
      <c r="J905" t="s">
        <v>351</v>
      </c>
      <c r="K905" s="129"/>
      <c r="L905" s="129"/>
      <c r="M905" s="129"/>
      <c r="N905" s="129"/>
      <c r="O905" s="129"/>
      <c r="P905" s="129"/>
      <c r="Q905" s="129"/>
      <c r="R905" s="129"/>
      <c r="S905" s="141"/>
      <c r="T905" s="139"/>
      <c r="U905" s="129"/>
      <c r="V905" s="129"/>
      <c r="W905" s="129"/>
      <c r="X905" s="129"/>
      <c r="Y905" s="129"/>
      <c r="Z905" s="115"/>
      <c r="AA905" s="129"/>
      <c r="AB905" s="149"/>
      <c r="AC905" s="129"/>
      <c r="AD905" s="129"/>
      <c r="AE905" s="129"/>
    </row>
    <row r="906" spans="3:31" x14ac:dyDescent="0.35">
      <c r="C906" s="129"/>
      <c r="D906" s="129"/>
      <c r="E906" s="129"/>
      <c r="F906" s="129"/>
      <c r="G906" s="129"/>
      <c r="H906" s="110"/>
      <c r="I906" s="129"/>
      <c r="J906" t="s">
        <v>351</v>
      </c>
      <c r="K906" s="129"/>
      <c r="L906" s="129"/>
      <c r="M906" s="129"/>
      <c r="N906" s="129"/>
      <c r="O906" s="129"/>
      <c r="P906" s="129"/>
      <c r="Q906" s="129"/>
      <c r="R906" s="129"/>
      <c r="S906" s="141"/>
      <c r="T906" s="139"/>
      <c r="U906" s="129"/>
      <c r="V906" s="129"/>
      <c r="W906" s="129"/>
      <c r="X906" s="129"/>
      <c r="Y906" s="129"/>
      <c r="Z906" s="115"/>
      <c r="AA906" s="129"/>
      <c r="AB906" s="149"/>
      <c r="AC906" s="129"/>
      <c r="AD906" s="129"/>
      <c r="AE906" s="129"/>
    </row>
    <row r="907" spans="3:31" x14ac:dyDescent="0.35">
      <c r="C907" s="129"/>
      <c r="D907" s="129"/>
      <c r="E907" s="129"/>
      <c r="F907" s="129"/>
      <c r="G907" s="129"/>
      <c r="H907" s="110"/>
      <c r="I907" s="129"/>
      <c r="J907" t="s">
        <v>351</v>
      </c>
      <c r="K907" s="129"/>
      <c r="L907" s="129"/>
      <c r="M907" s="129"/>
      <c r="N907" s="129"/>
      <c r="O907" s="129"/>
      <c r="P907" s="129"/>
      <c r="Q907" s="129"/>
      <c r="R907" s="129"/>
      <c r="S907" s="141"/>
      <c r="T907" s="139"/>
      <c r="U907" s="129"/>
      <c r="V907" s="129"/>
      <c r="W907" s="129"/>
      <c r="X907" s="129"/>
      <c r="Y907" s="129"/>
      <c r="Z907" s="115"/>
      <c r="AA907" s="129"/>
      <c r="AB907" s="149"/>
      <c r="AC907" s="129"/>
      <c r="AD907" s="129"/>
      <c r="AE907" s="129"/>
    </row>
    <row r="908" spans="3:31" x14ac:dyDescent="0.35">
      <c r="C908" s="129"/>
      <c r="D908" s="129"/>
      <c r="E908" s="129"/>
      <c r="F908" s="129"/>
      <c r="G908" s="129"/>
      <c r="H908" s="110"/>
      <c r="I908" s="129"/>
      <c r="J908" t="s">
        <v>351</v>
      </c>
      <c r="K908" s="129"/>
      <c r="L908" s="129"/>
      <c r="M908" s="129"/>
      <c r="N908" s="129"/>
      <c r="O908" s="129"/>
      <c r="P908" s="129"/>
      <c r="Q908" s="129"/>
      <c r="R908" s="129"/>
      <c r="S908" s="141"/>
      <c r="T908" s="139"/>
      <c r="U908" s="129"/>
      <c r="V908" s="129"/>
      <c r="W908" s="129"/>
      <c r="X908" s="129"/>
      <c r="Y908" s="129"/>
      <c r="Z908" s="115"/>
      <c r="AA908" s="129"/>
      <c r="AB908" s="149"/>
      <c r="AC908" s="129"/>
      <c r="AD908" s="129"/>
      <c r="AE908" s="129"/>
    </row>
    <row r="909" spans="3:31" x14ac:dyDescent="0.35">
      <c r="C909" s="129"/>
      <c r="D909" s="129"/>
      <c r="E909" s="129"/>
      <c r="F909" s="129"/>
      <c r="G909" s="129"/>
      <c r="H909" s="110"/>
      <c r="I909" s="129"/>
      <c r="J909" t="s">
        <v>351</v>
      </c>
      <c r="K909" s="129"/>
      <c r="L909" s="129"/>
      <c r="M909" s="129"/>
      <c r="N909" s="129"/>
      <c r="O909" s="129"/>
      <c r="P909" s="129"/>
      <c r="Q909" s="129"/>
      <c r="R909" s="129"/>
      <c r="S909" s="141"/>
      <c r="T909" s="139"/>
      <c r="U909" s="129"/>
      <c r="V909" s="129"/>
      <c r="W909" s="129"/>
      <c r="X909" s="129"/>
      <c r="Y909" s="129"/>
      <c r="Z909" s="115"/>
      <c r="AA909" s="129"/>
      <c r="AB909" s="149"/>
      <c r="AC909" s="129"/>
      <c r="AD909" s="129"/>
      <c r="AE909" s="129"/>
    </row>
    <row r="910" spans="3:31" x14ac:dyDescent="0.35">
      <c r="C910" s="129"/>
      <c r="D910" s="129"/>
      <c r="E910" s="129"/>
      <c r="F910" s="129"/>
      <c r="G910" s="129"/>
      <c r="H910" s="110"/>
      <c r="I910" s="129"/>
      <c r="J910" t="s">
        <v>351</v>
      </c>
      <c r="K910" s="129"/>
      <c r="L910" s="129"/>
      <c r="M910" s="129"/>
      <c r="N910" s="129"/>
      <c r="O910" s="129"/>
      <c r="P910" s="129"/>
      <c r="Q910" s="129"/>
      <c r="R910" s="129"/>
      <c r="S910" s="141"/>
      <c r="T910" s="139"/>
      <c r="U910" s="129"/>
      <c r="V910" s="129"/>
      <c r="W910" s="129"/>
      <c r="X910" s="129"/>
      <c r="Y910" s="129"/>
      <c r="Z910" s="115"/>
      <c r="AA910" s="129"/>
      <c r="AB910" s="149"/>
      <c r="AC910" s="129"/>
      <c r="AD910" s="129"/>
      <c r="AE910" s="129"/>
    </row>
    <row r="911" spans="3:31" x14ac:dyDescent="0.35">
      <c r="C911" s="129"/>
      <c r="D911" s="129"/>
      <c r="E911" s="129"/>
      <c r="F911" s="129"/>
      <c r="G911" s="129"/>
      <c r="H911" s="110"/>
      <c r="I911" s="129"/>
      <c r="J911" t="s">
        <v>351</v>
      </c>
      <c r="K911" s="129"/>
      <c r="L911" s="129"/>
      <c r="M911" s="129"/>
      <c r="N911" s="129"/>
      <c r="O911" s="129"/>
      <c r="P911" s="129"/>
      <c r="Q911" s="129"/>
      <c r="R911" s="129"/>
      <c r="S911" s="141"/>
      <c r="T911" s="139"/>
      <c r="U911" s="129"/>
      <c r="V911" s="129"/>
      <c r="W911" s="129"/>
      <c r="X911" s="129"/>
      <c r="Y911" s="129"/>
      <c r="Z911" s="115"/>
      <c r="AA911" s="129"/>
      <c r="AB911" s="149"/>
      <c r="AC911" s="129"/>
      <c r="AD911" s="129"/>
      <c r="AE911" s="129"/>
    </row>
    <row r="912" spans="3:31" x14ac:dyDescent="0.35">
      <c r="C912" s="129"/>
      <c r="D912" s="129"/>
      <c r="E912" s="129"/>
      <c r="F912" s="129"/>
      <c r="G912" s="129"/>
      <c r="H912" s="110"/>
      <c r="I912" s="129"/>
      <c r="J912" t="s">
        <v>351</v>
      </c>
      <c r="K912" s="129"/>
      <c r="L912" s="129"/>
      <c r="M912" s="129"/>
      <c r="N912" s="129"/>
      <c r="O912" s="129"/>
      <c r="P912" s="129"/>
      <c r="Q912" s="129"/>
      <c r="R912" s="129"/>
      <c r="S912" s="141"/>
      <c r="T912" s="139"/>
      <c r="U912" s="129"/>
      <c r="V912" s="129"/>
      <c r="W912" s="129"/>
      <c r="X912" s="129"/>
      <c r="Y912" s="129"/>
      <c r="Z912" s="115"/>
      <c r="AA912" s="129"/>
      <c r="AB912" s="149"/>
      <c r="AC912" s="129"/>
      <c r="AD912" s="129"/>
      <c r="AE912" s="129"/>
    </row>
    <row r="913" spans="3:31" x14ac:dyDescent="0.35">
      <c r="C913" s="129"/>
      <c r="D913" s="129"/>
      <c r="E913" s="129"/>
      <c r="F913" s="129"/>
      <c r="G913" s="129"/>
      <c r="H913" s="110"/>
      <c r="I913" s="129"/>
      <c r="J913" t="s">
        <v>351</v>
      </c>
      <c r="K913" s="129"/>
      <c r="L913" s="129"/>
      <c r="M913" s="129"/>
      <c r="N913" s="129"/>
      <c r="O913" s="129"/>
      <c r="P913" s="129"/>
      <c r="Q913" s="129"/>
      <c r="R913" s="129"/>
      <c r="S913" s="141"/>
      <c r="T913" s="139"/>
      <c r="U913" s="129"/>
      <c r="V913" s="129"/>
      <c r="W913" s="129"/>
      <c r="X913" s="129"/>
      <c r="Y913" s="129"/>
      <c r="Z913" s="115"/>
      <c r="AA913" s="129"/>
      <c r="AB913" s="149"/>
      <c r="AC913" s="129"/>
      <c r="AD913" s="129"/>
      <c r="AE913" s="129"/>
    </row>
    <row r="914" spans="3:31" x14ac:dyDescent="0.35">
      <c r="C914" s="129"/>
      <c r="D914" s="129"/>
      <c r="E914" s="129"/>
      <c r="F914" s="129"/>
      <c r="G914" s="129"/>
      <c r="H914" s="110"/>
      <c r="I914" s="129"/>
      <c r="J914" t="s">
        <v>351</v>
      </c>
      <c r="K914" s="129"/>
      <c r="L914" s="129"/>
      <c r="M914" s="129"/>
      <c r="N914" s="129"/>
      <c r="O914" s="129"/>
      <c r="P914" s="129"/>
      <c r="Q914" s="129"/>
      <c r="R914" s="129"/>
      <c r="S914" s="141"/>
      <c r="T914" s="139"/>
      <c r="U914" s="129"/>
      <c r="V914" s="129"/>
      <c r="W914" s="129"/>
      <c r="X914" s="129"/>
      <c r="Y914" s="129"/>
      <c r="Z914" s="115"/>
      <c r="AA914" s="129"/>
      <c r="AB914" s="149"/>
      <c r="AC914" s="129"/>
      <c r="AD914" s="129"/>
      <c r="AE914" s="129"/>
    </row>
    <row r="915" spans="3:31" x14ac:dyDescent="0.35">
      <c r="C915" s="129"/>
      <c r="D915" s="129"/>
      <c r="E915" s="129"/>
      <c r="F915" s="129"/>
      <c r="G915" s="129"/>
      <c r="H915" s="110"/>
      <c r="I915" s="129"/>
      <c r="J915" t="s">
        <v>351</v>
      </c>
      <c r="K915" s="129"/>
      <c r="L915" s="129"/>
      <c r="M915" s="129"/>
      <c r="N915" s="129"/>
      <c r="O915" s="129"/>
      <c r="P915" s="129"/>
      <c r="Q915" s="129"/>
      <c r="R915" s="129"/>
      <c r="S915" s="141"/>
      <c r="T915" s="139"/>
      <c r="U915" s="129"/>
      <c r="V915" s="129"/>
      <c r="W915" s="129"/>
      <c r="X915" s="129"/>
      <c r="Y915" s="129"/>
      <c r="Z915" s="115"/>
      <c r="AA915" s="129"/>
      <c r="AB915" s="149"/>
      <c r="AC915" s="129"/>
      <c r="AD915" s="129"/>
      <c r="AE915" s="129"/>
    </row>
    <row r="916" spans="3:31" x14ac:dyDescent="0.35">
      <c r="C916" s="129"/>
      <c r="D916" s="129"/>
      <c r="E916" s="129"/>
      <c r="F916" s="129"/>
      <c r="G916" s="129"/>
      <c r="H916" s="110"/>
      <c r="I916" s="129"/>
      <c r="J916" t="s">
        <v>351</v>
      </c>
      <c r="K916" s="129"/>
      <c r="L916" s="129"/>
      <c r="M916" s="129"/>
      <c r="N916" s="129"/>
      <c r="O916" s="129"/>
      <c r="P916" s="129"/>
      <c r="Q916" s="129"/>
      <c r="R916" s="129"/>
      <c r="S916" s="141"/>
      <c r="T916" s="139"/>
      <c r="U916" s="129"/>
      <c r="V916" s="129"/>
      <c r="W916" s="129"/>
      <c r="X916" s="129"/>
      <c r="Y916" s="129"/>
      <c r="Z916" s="115"/>
      <c r="AA916" s="129"/>
      <c r="AB916" s="149"/>
      <c r="AC916" s="129"/>
      <c r="AD916" s="129"/>
      <c r="AE916" s="129"/>
    </row>
    <row r="917" spans="3:31" x14ac:dyDescent="0.35">
      <c r="C917" s="129"/>
      <c r="D917" s="129"/>
      <c r="E917" s="129"/>
      <c r="F917" s="129"/>
      <c r="G917" s="129"/>
      <c r="H917" s="110"/>
      <c r="I917" s="129"/>
      <c r="J917" t="s">
        <v>351</v>
      </c>
      <c r="K917" s="129"/>
      <c r="L917" s="129"/>
      <c r="M917" s="129"/>
      <c r="N917" s="129"/>
      <c r="O917" s="129"/>
      <c r="P917" s="129"/>
      <c r="Q917" s="129"/>
      <c r="R917" s="129"/>
      <c r="S917" s="141"/>
      <c r="T917" s="139"/>
      <c r="U917" s="129"/>
      <c r="V917" s="129"/>
      <c r="W917" s="129"/>
      <c r="X917" s="129"/>
      <c r="Y917" s="129"/>
      <c r="Z917" s="115"/>
      <c r="AA917" s="129"/>
      <c r="AB917" s="149"/>
      <c r="AC917" s="129"/>
      <c r="AD917" s="129"/>
      <c r="AE917" s="129"/>
    </row>
    <row r="918" spans="3:31" x14ac:dyDescent="0.35">
      <c r="C918" s="129"/>
      <c r="D918" s="129"/>
      <c r="E918" s="129"/>
      <c r="F918" s="129"/>
      <c r="G918" s="129"/>
      <c r="H918" s="110"/>
      <c r="I918" s="129"/>
      <c r="J918" t="s">
        <v>351</v>
      </c>
      <c r="K918" s="129"/>
      <c r="L918" s="129"/>
      <c r="M918" s="129"/>
      <c r="N918" s="129"/>
      <c r="O918" s="129"/>
      <c r="P918" s="129"/>
      <c r="Q918" s="129"/>
      <c r="R918" s="129"/>
      <c r="S918" s="141"/>
      <c r="T918" s="139"/>
      <c r="U918" s="129"/>
      <c r="V918" s="129"/>
      <c r="W918" s="129"/>
      <c r="X918" s="129"/>
      <c r="Y918" s="129"/>
      <c r="Z918" s="115"/>
      <c r="AA918" s="129"/>
      <c r="AB918" s="149"/>
      <c r="AC918" s="129"/>
      <c r="AD918" s="129"/>
      <c r="AE918" s="129"/>
    </row>
    <row r="919" spans="3:31" x14ac:dyDescent="0.35">
      <c r="C919" s="129"/>
      <c r="D919" s="129"/>
      <c r="E919" s="129"/>
      <c r="F919" s="129"/>
      <c r="G919" s="129"/>
      <c r="H919" s="110"/>
      <c r="I919" s="129"/>
      <c r="J919" t="s">
        <v>351</v>
      </c>
      <c r="K919" s="129"/>
      <c r="L919" s="129"/>
      <c r="M919" s="129"/>
      <c r="N919" s="129"/>
      <c r="O919" s="129"/>
      <c r="P919" s="129"/>
      <c r="Q919" s="129"/>
      <c r="R919" s="129"/>
      <c r="S919" s="141"/>
      <c r="T919" s="139"/>
      <c r="U919" s="129"/>
      <c r="V919" s="129"/>
      <c r="W919" s="129"/>
      <c r="X919" s="129"/>
      <c r="Y919" s="129"/>
      <c r="Z919" s="115"/>
      <c r="AA919" s="129"/>
      <c r="AB919" s="149"/>
      <c r="AC919" s="129"/>
      <c r="AD919" s="129"/>
      <c r="AE919" s="129"/>
    </row>
    <row r="920" spans="3:31" x14ac:dyDescent="0.35">
      <c r="C920" s="129"/>
      <c r="D920" s="129"/>
      <c r="E920" s="129"/>
      <c r="F920" s="129"/>
      <c r="G920" s="129"/>
      <c r="H920" s="110"/>
      <c r="I920" s="129"/>
      <c r="J920" t="s">
        <v>351</v>
      </c>
      <c r="K920" s="129"/>
      <c r="L920" s="129"/>
      <c r="M920" s="129"/>
      <c r="N920" s="129"/>
      <c r="O920" s="129"/>
      <c r="P920" s="129"/>
      <c r="Q920" s="129"/>
      <c r="R920" s="129"/>
      <c r="S920" s="141"/>
      <c r="T920" s="139"/>
      <c r="U920" s="129"/>
      <c r="V920" s="129"/>
      <c r="W920" s="129"/>
      <c r="X920" s="129"/>
      <c r="Y920" s="129"/>
      <c r="Z920" s="115"/>
      <c r="AA920" s="129"/>
      <c r="AB920" s="149"/>
      <c r="AC920" s="129"/>
      <c r="AD920" s="129"/>
      <c r="AE920" s="129"/>
    </row>
    <row r="921" spans="3:31" x14ac:dyDescent="0.35">
      <c r="C921" s="129"/>
      <c r="D921" s="129"/>
      <c r="E921" s="129"/>
      <c r="F921" s="129"/>
      <c r="G921" s="129"/>
      <c r="H921" s="110"/>
      <c r="I921" s="129"/>
      <c r="J921" t="s">
        <v>351</v>
      </c>
      <c r="K921" s="129"/>
      <c r="L921" s="129"/>
      <c r="M921" s="129"/>
      <c r="N921" s="129"/>
      <c r="O921" s="129"/>
      <c r="P921" s="129"/>
      <c r="Q921" s="129"/>
      <c r="R921" s="129"/>
      <c r="S921" s="141"/>
      <c r="T921" s="139"/>
      <c r="U921" s="129"/>
      <c r="V921" s="129"/>
      <c r="W921" s="129"/>
      <c r="X921" s="129"/>
      <c r="Y921" s="129"/>
      <c r="Z921" s="115"/>
      <c r="AA921" s="129"/>
      <c r="AB921" s="149"/>
      <c r="AC921" s="129"/>
      <c r="AD921" s="129"/>
      <c r="AE921" s="129"/>
    </row>
    <row r="922" spans="3:31" x14ac:dyDescent="0.35">
      <c r="C922" s="129"/>
      <c r="D922" s="129"/>
      <c r="E922" s="129"/>
      <c r="F922" s="129"/>
      <c r="G922" s="129"/>
      <c r="H922" s="110"/>
      <c r="I922" s="129"/>
      <c r="J922" t="s">
        <v>351</v>
      </c>
      <c r="K922" s="129"/>
      <c r="L922" s="129"/>
      <c r="M922" s="129"/>
      <c r="N922" s="129"/>
      <c r="O922" s="129"/>
      <c r="P922" s="129"/>
      <c r="Q922" s="129"/>
      <c r="R922" s="129"/>
      <c r="S922" s="141"/>
      <c r="T922" s="139"/>
      <c r="U922" s="129"/>
      <c r="V922" s="129"/>
      <c r="W922" s="129"/>
      <c r="X922" s="129"/>
      <c r="Y922" s="129"/>
      <c r="Z922" s="115"/>
      <c r="AA922" s="129"/>
      <c r="AB922" s="149"/>
      <c r="AC922" s="129"/>
      <c r="AD922" s="129"/>
      <c r="AE922" s="129"/>
    </row>
    <row r="923" spans="3:31" x14ac:dyDescent="0.35">
      <c r="C923" s="129"/>
      <c r="D923" s="129"/>
      <c r="E923" s="129"/>
      <c r="F923" s="129"/>
      <c r="G923" s="129"/>
      <c r="H923" s="110"/>
      <c r="I923" s="129"/>
      <c r="J923" t="s">
        <v>351</v>
      </c>
      <c r="K923" s="129"/>
      <c r="L923" s="129"/>
      <c r="M923" s="129"/>
      <c r="N923" s="129"/>
      <c r="O923" s="129"/>
      <c r="P923" s="129"/>
      <c r="Q923" s="129"/>
      <c r="R923" s="129"/>
      <c r="S923" s="141"/>
      <c r="T923" s="139"/>
      <c r="U923" s="129"/>
      <c r="V923" s="129"/>
      <c r="W923" s="129"/>
      <c r="X923" s="129"/>
      <c r="Y923" s="129"/>
      <c r="Z923" s="115"/>
      <c r="AA923" s="129"/>
      <c r="AB923" s="149"/>
      <c r="AC923" s="129"/>
      <c r="AD923" s="129"/>
      <c r="AE923" s="129"/>
    </row>
    <row r="924" spans="3:31" x14ac:dyDescent="0.35">
      <c r="C924" s="129"/>
      <c r="D924" s="129"/>
      <c r="E924" s="129"/>
      <c r="F924" s="129"/>
      <c r="G924" s="129"/>
      <c r="H924" s="110"/>
      <c r="I924" s="129"/>
      <c r="J924" t="s">
        <v>351</v>
      </c>
      <c r="K924" s="129"/>
      <c r="L924" s="129"/>
      <c r="M924" s="129"/>
      <c r="N924" s="129"/>
      <c r="O924" s="129"/>
      <c r="P924" s="129"/>
      <c r="Q924" s="129"/>
      <c r="R924" s="129"/>
      <c r="S924" s="141"/>
      <c r="T924" s="139"/>
      <c r="U924" s="129"/>
      <c r="V924" s="129"/>
      <c r="W924" s="129"/>
      <c r="X924" s="129"/>
      <c r="Y924" s="129"/>
      <c r="Z924" s="115"/>
      <c r="AA924" s="129"/>
      <c r="AB924" s="149"/>
      <c r="AC924" s="129"/>
      <c r="AD924" s="129"/>
      <c r="AE924" s="129"/>
    </row>
    <row r="925" spans="3:31" x14ac:dyDescent="0.35">
      <c r="C925" s="129"/>
      <c r="D925" s="129"/>
      <c r="E925" s="129"/>
      <c r="F925" s="129"/>
      <c r="G925" s="129"/>
      <c r="H925" s="110"/>
      <c r="I925" s="129"/>
      <c r="J925" t="s">
        <v>351</v>
      </c>
      <c r="K925" s="129"/>
      <c r="L925" s="129"/>
      <c r="M925" s="129"/>
      <c r="N925" s="129"/>
      <c r="O925" s="129"/>
      <c r="P925" s="129"/>
      <c r="Q925" s="129"/>
      <c r="R925" s="129"/>
      <c r="S925" s="141"/>
      <c r="T925" s="139"/>
      <c r="U925" s="129"/>
      <c r="V925" s="129"/>
      <c r="W925" s="129"/>
      <c r="X925" s="129"/>
      <c r="Y925" s="129"/>
      <c r="Z925" s="115"/>
      <c r="AA925" s="129"/>
      <c r="AB925" s="149"/>
      <c r="AC925" s="129"/>
      <c r="AD925" s="129"/>
      <c r="AE925" s="129"/>
    </row>
    <row r="926" spans="3:31" x14ac:dyDescent="0.35">
      <c r="C926" s="129"/>
      <c r="D926" s="129"/>
      <c r="E926" s="129"/>
      <c r="F926" s="129"/>
      <c r="G926" s="129"/>
      <c r="H926" s="110"/>
      <c r="I926" s="129"/>
      <c r="J926" t="s">
        <v>351</v>
      </c>
      <c r="K926" s="129"/>
      <c r="L926" s="129"/>
      <c r="M926" s="129"/>
      <c r="N926" s="129"/>
      <c r="O926" s="129"/>
      <c r="P926" s="129"/>
      <c r="Q926" s="129"/>
      <c r="R926" s="129"/>
      <c r="S926" s="141"/>
      <c r="T926" s="139"/>
      <c r="U926" s="129"/>
      <c r="V926" s="129"/>
      <c r="W926" s="129"/>
      <c r="X926" s="129"/>
      <c r="Y926" s="129"/>
      <c r="Z926" s="115"/>
      <c r="AA926" s="129"/>
      <c r="AB926" s="149"/>
      <c r="AC926" s="129"/>
      <c r="AD926" s="129"/>
      <c r="AE926" s="129"/>
    </row>
    <row r="927" spans="3:31" x14ac:dyDescent="0.35">
      <c r="C927" s="129"/>
      <c r="D927" s="129"/>
      <c r="E927" s="129"/>
      <c r="F927" s="129"/>
      <c r="G927" s="129"/>
      <c r="H927" s="110"/>
      <c r="I927" s="129"/>
      <c r="J927" t="s">
        <v>351</v>
      </c>
      <c r="K927" s="129"/>
      <c r="L927" s="129"/>
      <c r="M927" s="129"/>
      <c r="N927" s="129"/>
      <c r="O927" s="129"/>
      <c r="P927" s="129"/>
      <c r="Q927" s="129"/>
      <c r="R927" s="129"/>
      <c r="S927" s="141"/>
      <c r="T927" s="139"/>
      <c r="U927" s="129"/>
      <c r="V927" s="129"/>
      <c r="W927" s="129"/>
      <c r="X927" s="129"/>
      <c r="Y927" s="129"/>
      <c r="Z927" s="115"/>
      <c r="AA927" s="129"/>
      <c r="AB927" s="149"/>
      <c r="AC927" s="129"/>
      <c r="AD927" s="129"/>
      <c r="AE927" s="129"/>
    </row>
    <row r="928" spans="3:31" x14ac:dyDescent="0.35">
      <c r="C928" s="129"/>
      <c r="D928" s="129"/>
      <c r="E928" s="129"/>
      <c r="F928" s="129"/>
      <c r="G928" s="129"/>
      <c r="H928" s="110"/>
      <c r="I928" s="129"/>
      <c r="J928" t="s">
        <v>351</v>
      </c>
      <c r="K928" s="129"/>
      <c r="L928" s="129"/>
      <c r="M928" s="129"/>
      <c r="N928" s="129"/>
      <c r="O928" s="129"/>
      <c r="P928" s="129"/>
      <c r="Q928" s="129"/>
      <c r="R928" s="129"/>
      <c r="S928" s="141"/>
      <c r="T928" s="139"/>
      <c r="U928" s="129"/>
      <c r="V928" s="129"/>
      <c r="W928" s="129"/>
      <c r="X928" s="129"/>
      <c r="Y928" s="129"/>
      <c r="Z928" s="115"/>
      <c r="AA928" s="129"/>
      <c r="AB928" s="149"/>
      <c r="AC928" s="129"/>
      <c r="AD928" s="129"/>
      <c r="AE928" s="129"/>
    </row>
    <row r="929" spans="3:31" x14ac:dyDescent="0.35">
      <c r="C929" s="129"/>
      <c r="D929" s="129"/>
      <c r="E929" s="129"/>
      <c r="F929" s="129"/>
      <c r="G929" s="129"/>
      <c r="H929" s="110"/>
      <c r="I929" s="129"/>
      <c r="J929" t="s">
        <v>351</v>
      </c>
      <c r="K929" s="129"/>
      <c r="L929" s="129"/>
      <c r="M929" s="129"/>
      <c r="N929" s="129"/>
      <c r="O929" s="129"/>
      <c r="P929" s="129"/>
      <c r="Q929" s="129"/>
      <c r="R929" s="129"/>
      <c r="S929" s="141"/>
      <c r="T929" s="139"/>
      <c r="U929" s="129"/>
      <c r="V929" s="129"/>
      <c r="W929" s="129"/>
      <c r="X929" s="129"/>
      <c r="Y929" s="129"/>
      <c r="Z929" s="115"/>
      <c r="AA929" s="129"/>
      <c r="AB929" s="149"/>
      <c r="AC929" s="129"/>
      <c r="AD929" s="129"/>
      <c r="AE929" s="129"/>
    </row>
    <row r="930" spans="3:31" x14ac:dyDescent="0.35">
      <c r="C930" s="129"/>
      <c r="D930" s="129"/>
      <c r="E930" s="129"/>
      <c r="F930" s="129"/>
      <c r="G930" s="129"/>
      <c r="H930" s="110"/>
      <c r="I930" s="129"/>
      <c r="J930" t="s">
        <v>351</v>
      </c>
      <c r="K930" s="129"/>
      <c r="L930" s="129"/>
      <c r="M930" s="129"/>
      <c r="N930" s="129"/>
      <c r="O930" s="129"/>
      <c r="P930" s="129"/>
      <c r="Q930" s="129"/>
      <c r="R930" s="129"/>
      <c r="S930" s="141"/>
      <c r="T930" s="139"/>
      <c r="U930" s="129"/>
      <c r="V930" s="129"/>
      <c r="W930" s="129"/>
      <c r="X930" s="129"/>
      <c r="Y930" s="129"/>
      <c r="Z930" s="115"/>
      <c r="AA930" s="129"/>
      <c r="AB930" s="149"/>
      <c r="AC930" s="129"/>
      <c r="AD930" s="129"/>
      <c r="AE930" s="129"/>
    </row>
    <row r="931" spans="3:31" x14ac:dyDescent="0.35">
      <c r="C931" s="129"/>
      <c r="D931" s="129"/>
      <c r="E931" s="129"/>
      <c r="F931" s="129"/>
      <c r="G931" s="129"/>
      <c r="H931" s="110"/>
      <c r="I931" s="129"/>
      <c r="J931" t="s">
        <v>351</v>
      </c>
      <c r="K931" s="129"/>
      <c r="L931" s="129"/>
      <c r="M931" s="129"/>
      <c r="N931" s="129"/>
      <c r="O931" s="129"/>
      <c r="P931" s="129"/>
      <c r="Q931" s="129"/>
      <c r="R931" s="129"/>
      <c r="S931" s="141"/>
      <c r="T931" s="139"/>
      <c r="U931" s="129"/>
      <c r="V931" s="129"/>
      <c r="W931" s="129"/>
      <c r="X931" s="129"/>
      <c r="Y931" s="129"/>
      <c r="Z931" s="115"/>
      <c r="AA931" s="129"/>
      <c r="AB931" s="149"/>
      <c r="AC931" s="129"/>
      <c r="AD931" s="129"/>
      <c r="AE931" s="129"/>
    </row>
    <row r="932" spans="3:31" x14ac:dyDescent="0.35">
      <c r="C932" s="129"/>
      <c r="D932" s="129"/>
      <c r="E932" s="129"/>
      <c r="F932" s="129"/>
      <c r="G932" s="129"/>
      <c r="H932" s="110"/>
      <c r="I932" s="129"/>
      <c r="J932" t="s">
        <v>351</v>
      </c>
      <c r="K932" s="129"/>
      <c r="L932" s="129"/>
      <c r="M932" s="129"/>
      <c r="N932" s="129"/>
      <c r="O932" s="129"/>
      <c r="P932" s="129"/>
      <c r="Q932" s="129"/>
      <c r="R932" s="129"/>
      <c r="S932" s="141"/>
      <c r="T932" s="139"/>
      <c r="U932" s="129"/>
      <c r="V932" s="129"/>
      <c r="W932" s="129"/>
      <c r="X932" s="129"/>
      <c r="Y932" s="129"/>
      <c r="Z932" s="115"/>
      <c r="AA932" s="129"/>
      <c r="AB932" s="149"/>
      <c r="AC932" s="129"/>
      <c r="AD932" s="129"/>
      <c r="AE932" s="129"/>
    </row>
    <row r="933" spans="3:31" x14ac:dyDescent="0.35">
      <c r="C933" s="129"/>
      <c r="D933" s="129"/>
      <c r="E933" s="129"/>
      <c r="F933" s="129"/>
      <c r="G933" s="129"/>
      <c r="H933" s="110"/>
      <c r="I933" s="129"/>
      <c r="J933" t="s">
        <v>351</v>
      </c>
      <c r="K933" s="129"/>
      <c r="L933" s="129"/>
      <c r="M933" s="129"/>
      <c r="N933" s="129"/>
      <c r="O933" s="129"/>
      <c r="P933" s="129"/>
      <c r="Q933" s="129"/>
      <c r="R933" s="129"/>
      <c r="S933" s="141"/>
      <c r="T933" s="139"/>
      <c r="U933" s="129"/>
      <c r="V933" s="129"/>
      <c r="W933" s="129"/>
      <c r="X933" s="129"/>
      <c r="Y933" s="129"/>
      <c r="Z933" s="115"/>
      <c r="AA933" s="129"/>
      <c r="AB933" s="149"/>
      <c r="AC933" s="129"/>
      <c r="AD933" s="129"/>
      <c r="AE933" s="129"/>
    </row>
    <row r="934" spans="3:31" x14ac:dyDescent="0.35">
      <c r="C934" s="129"/>
      <c r="D934" s="129"/>
      <c r="E934" s="129"/>
      <c r="F934" s="129"/>
      <c r="G934" s="129"/>
      <c r="H934" s="110"/>
      <c r="I934" s="129"/>
      <c r="J934" t="s">
        <v>351</v>
      </c>
      <c r="K934" s="129"/>
      <c r="L934" s="129"/>
      <c r="M934" s="129"/>
      <c r="N934" s="129"/>
      <c r="O934" s="129"/>
      <c r="P934" s="129"/>
      <c r="Q934" s="129"/>
      <c r="R934" s="129"/>
      <c r="S934" s="141"/>
      <c r="T934" s="139"/>
      <c r="U934" s="129"/>
      <c r="V934" s="129"/>
      <c r="W934" s="129"/>
      <c r="X934" s="129"/>
      <c r="Y934" s="129"/>
      <c r="Z934" s="115"/>
      <c r="AA934" s="129"/>
      <c r="AB934" s="149"/>
      <c r="AC934" s="129"/>
      <c r="AD934" s="129"/>
      <c r="AE934" s="129"/>
    </row>
    <row r="935" spans="3:31" x14ac:dyDescent="0.35">
      <c r="C935" s="129"/>
      <c r="D935" s="129"/>
      <c r="E935" s="129"/>
      <c r="F935" s="129"/>
      <c r="G935" s="129"/>
      <c r="H935" s="110"/>
      <c r="I935" s="129"/>
      <c r="J935" t="s">
        <v>351</v>
      </c>
      <c r="K935" s="129"/>
      <c r="L935" s="129"/>
      <c r="M935" s="129"/>
      <c r="N935" s="129"/>
      <c r="O935" s="129"/>
      <c r="P935" s="129"/>
      <c r="Q935" s="129"/>
      <c r="R935" s="129"/>
      <c r="S935" s="141"/>
      <c r="T935" s="139"/>
      <c r="U935" s="129"/>
      <c r="V935" s="129"/>
      <c r="W935" s="129"/>
      <c r="X935" s="129"/>
      <c r="Y935" s="129"/>
      <c r="Z935" s="115"/>
      <c r="AA935" s="129"/>
      <c r="AB935" s="149"/>
      <c r="AC935" s="129"/>
      <c r="AD935" s="129"/>
      <c r="AE935" s="129"/>
    </row>
    <row r="936" spans="3:31" x14ac:dyDescent="0.35">
      <c r="C936" s="129"/>
      <c r="D936" s="129"/>
      <c r="E936" s="129"/>
      <c r="F936" s="129"/>
      <c r="G936" s="129"/>
      <c r="H936" s="110"/>
      <c r="I936" s="129"/>
      <c r="J936" t="s">
        <v>351</v>
      </c>
      <c r="K936" s="129"/>
      <c r="L936" s="129"/>
      <c r="M936" s="129"/>
      <c r="N936" s="129"/>
      <c r="O936" s="129"/>
      <c r="P936" s="129"/>
      <c r="Q936" s="129"/>
      <c r="R936" s="129"/>
      <c r="S936" s="141"/>
      <c r="T936" s="139"/>
      <c r="U936" s="129"/>
      <c r="V936" s="129"/>
      <c r="W936" s="129"/>
      <c r="X936" s="129"/>
      <c r="Y936" s="129"/>
      <c r="Z936" s="115"/>
      <c r="AA936" s="129"/>
      <c r="AB936" s="149"/>
      <c r="AC936" s="129"/>
      <c r="AD936" s="129"/>
      <c r="AE936" s="129"/>
    </row>
    <row r="937" spans="3:31" x14ac:dyDescent="0.35">
      <c r="C937" s="129"/>
      <c r="D937" s="129"/>
      <c r="E937" s="129"/>
      <c r="F937" s="129"/>
      <c r="G937" s="129"/>
      <c r="H937" s="110"/>
      <c r="I937" s="129"/>
      <c r="J937" t="s">
        <v>351</v>
      </c>
      <c r="K937" s="129"/>
      <c r="L937" s="129"/>
      <c r="M937" s="129"/>
      <c r="N937" s="129"/>
      <c r="O937" s="129"/>
      <c r="P937" s="129"/>
      <c r="Q937" s="129"/>
      <c r="R937" s="129"/>
      <c r="S937" s="141"/>
      <c r="T937" s="139"/>
      <c r="U937" s="129"/>
      <c r="V937" s="129"/>
      <c r="W937" s="129"/>
      <c r="X937" s="129"/>
      <c r="Y937" s="129"/>
      <c r="Z937" s="115"/>
      <c r="AA937" s="129"/>
      <c r="AB937" s="149"/>
      <c r="AC937" s="129"/>
      <c r="AD937" s="129"/>
      <c r="AE937" s="129"/>
    </row>
    <row r="938" spans="3:31" x14ac:dyDescent="0.35">
      <c r="C938" s="129"/>
      <c r="D938" s="129"/>
      <c r="E938" s="129"/>
      <c r="F938" s="129"/>
      <c r="G938" s="129"/>
      <c r="H938" s="110"/>
      <c r="I938" s="129"/>
      <c r="J938" t="s">
        <v>351</v>
      </c>
      <c r="K938" s="129"/>
      <c r="L938" s="129"/>
      <c r="M938" s="129"/>
      <c r="N938" s="129"/>
      <c r="O938" s="129"/>
      <c r="P938" s="129"/>
      <c r="Q938" s="129"/>
      <c r="R938" s="129"/>
      <c r="S938" s="141"/>
      <c r="T938" s="139"/>
      <c r="U938" s="129"/>
      <c r="V938" s="129"/>
      <c r="W938" s="129"/>
      <c r="X938" s="129"/>
      <c r="Y938" s="129"/>
      <c r="Z938" s="115"/>
      <c r="AA938" s="129"/>
      <c r="AB938" s="149"/>
      <c r="AC938" s="129"/>
      <c r="AD938" s="129"/>
      <c r="AE938" s="129"/>
    </row>
    <row r="939" spans="3:31" x14ac:dyDescent="0.35">
      <c r="C939" s="129"/>
      <c r="D939" s="129"/>
      <c r="E939" s="129"/>
      <c r="F939" s="129"/>
      <c r="G939" s="129"/>
      <c r="H939" s="110"/>
      <c r="I939" s="129"/>
      <c r="J939" t="s">
        <v>351</v>
      </c>
      <c r="K939" s="129"/>
      <c r="L939" s="129"/>
      <c r="M939" s="129"/>
      <c r="N939" s="129"/>
      <c r="O939" s="129"/>
      <c r="P939" s="129"/>
      <c r="Q939" s="129"/>
      <c r="R939" s="129"/>
      <c r="S939" s="141"/>
      <c r="T939" s="139"/>
      <c r="U939" s="129"/>
      <c r="V939" s="129"/>
      <c r="W939" s="129"/>
      <c r="X939" s="129"/>
      <c r="Y939" s="129"/>
      <c r="Z939" s="115"/>
      <c r="AA939" s="129"/>
      <c r="AB939" s="149"/>
      <c r="AC939" s="129"/>
      <c r="AD939" s="129"/>
      <c r="AE939" s="129"/>
    </row>
    <row r="940" spans="3:31" x14ac:dyDescent="0.35">
      <c r="C940" s="129"/>
      <c r="D940" s="129"/>
      <c r="E940" s="129"/>
      <c r="F940" s="129"/>
      <c r="G940" s="129"/>
      <c r="H940" s="110"/>
      <c r="I940" s="129"/>
      <c r="J940" t="s">
        <v>351</v>
      </c>
      <c r="K940" s="129"/>
      <c r="L940" s="129"/>
      <c r="M940" s="129"/>
      <c r="N940" s="129"/>
      <c r="O940" s="129"/>
      <c r="P940" s="129"/>
      <c r="Q940" s="129"/>
      <c r="R940" s="129"/>
      <c r="S940" s="141"/>
      <c r="T940" s="139"/>
      <c r="U940" s="129"/>
      <c r="V940" s="129"/>
      <c r="W940" s="129"/>
      <c r="X940" s="129"/>
      <c r="Y940" s="129"/>
      <c r="Z940" s="115"/>
      <c r="AA940" s="129"/>
      <c r="AB940" s="149"/>
      <c r="AC940" s="129"/>
      <c r="AD940" s="129"/>
      <c r="AE940" s="129"/>
    </row>
    <row r="941" spans="3:31" x14ac:dyDescent="0.35">
      <c r="C941" s="129"/>
      <c r="D941" s="129"/>
      <c r="E941" s="129"/>
      <c r="F941" s="129"/>
      <c r="G941" s="129"/>
      <c r="H941" s="110"/>
      <c r="I941" s="129"/>
      <c r="J941" t="s">
        <v>351</v>
      </c>
      <c r="K941" s="129"/>
      <c r="L941" s="129"/>
      <c r="M941" s="129"/>
      <c r="N941" s="129"/>
      <c r="O941" s="129"/>
      <c r="P941" s="129"/>
      <c r="Q941" s="129"/>
      <c r="R941" s="129"/>
      <c r="S941" s="141"/>
      <c r="T941" s="139"/>
      <c r="U941" s="129"/>
      <c r="V941" s="129"/>
      <c r="W941" s="129"/>
      <c r="X941" s="129"/>
      <c r="Y941" s="129"/>
      <c r="Z941" s="115"/>
      <c r="AA941" s="129"/>
      <c r="AB941" s="149"/>
      <c r="AC941" s="129"/>
      <c r="AD941" s="129"/>
      <c r="AE941" s="129"/>
    </row>
    <row r="942" spans="3:31" x14ac:dyDescent="0.35">
      <c r="C942" s="129"/>
      <c r="D942" s="129"/>
      <c r="E942" s="129"/>
      <c r="F942" s="129"/>
      <c r="G942" s="129"/>
      <c r="H942" s="110"/>
      <c r="I942" s="129"/>
      <c r="J942" t="s">
        <v>351</v>
      </c>
      <c r="K942" s="129"/>
      <c r="L942" s="129"/>
      <c r="M942" s="129"/>
      <c r="N942" s="129"/>
      <c r="O942" s="129"/>
      <c r="P942" s="129"/>
      <c r="Q942" s="129"/>
      <c r="R942" s="129"/>
      <c r="S942" s="141"/>
      <c r="T942" s="139"/>
      <c r="U942" s="129"/>
      <c r="V942" s="129"/>
      <c r="W942" s="129"/>
      <c r="X942" s="129"/>
      <c r="Y942" s="129"/>
      <c r="Z942" s="115"/>
      <c r="AA942" s="129"/>
      <c r="AB942" s="149"/>
      <c r="AC942" s="129"/>
      <c r="AD942" s="129"/>
      <c r="AE942" s="129"/>
    </row>
    <row r="943" spans="3:31" x14ac:dyDescent="0.35">
      <c r="C943" s="129"/>
      <c r="D943" s="129"/>
      <c r="E943" s="129"/>
      <c r="F943" s="129"/>
      <c r="G943" s="129"/>
      <c r="H943" s="110"/>
      <c r="I943" s="129"/>
      <c r="J943" t="s">
        <v>351</v>
      </c>
      <c r="K943" s="129"/>
      <c r="L943" s="129"/>
      <c r="M943" s="129"/>
      <c r="N943" s="129"/>
      <c r="O943" s="129"/>
      <c r="P943" s="129"/>
      <c r="Q943" s="129"/>
      <c r="R943" s="129"/>
      <c r="S943" s="141"/>
      <c r="T943" s="139"/>
      <c r="U943" s="129"/>
      <c r="V943" s="129"/>
      <c r="W943" s="129"/>
      <c r="X943" s="129"/>
      <c r="Y943" s="129"/>
      <c r="Z943" s="115"/>
      <c r="AA943" s="129"/>
      <c r="AB943" s="149"/>
      <c r="AC943" s="129"/>
      <c r="AD943" s="129"/>
      <c r="AE943" s="129"/>
    </row>
    <row r="944" spans="3:31" x14ac:dyDescent="0.35">
      <c r="C944" s="129"/>
      <c r="D944" s="129"/>
      <c r="E944" s="129"/>
      <c r="F944" s="129"/>
      <c r="G944" s="129"/>
      <c r="H944" s="110"/>
      <c r="I944" s="129"/>
      <c r="J944" t="s">
        <v>351</v>
      </c>
      <c r="K944" s="129"/>
      <c r="L944" s="129"/>
      <c r="M944" s="129"/>
      <c r="N944" s="129"/>
      <c r="O944" s="129"/>
      <c r="P944" s="129"/>
      <c r="Q944" s="129"/>
      <c r="R944" s="129"/>
      <c r="S944" s="141"/>
      <c r="T944" s="139"/>
      <c r="U944" s="129"/>
      <c r="V944" s="129"/>
      <c r="W944" s="129"/>
      <c r="X944" s="129"/>
      <c r="Y944" s="129"/>
      <c r="Z944" s="115"/>
      <c r="AA944" s="129"/>
      <c r="AB944" s="149"/>
      <c r="AC944" s="129"/>
      <c r="AD944" s="129"/>
      <c r="AE944" s="129"/>
    </row>
    <row r="945" spans="3:31" x14ac:dyDescent="0.35">
      <c r="C945" s="129"/>
      <c r="D945" s="129"/>
      <c r="E945" s="129"/>
      <c r="F945" s="129"/>
      <c r="G945" s="129"/>
      <c r="H945" s="110"/>
      <c r="I945" s="129"/>
      <c r="J945" t="s">
        <v>351</v>
      </c>
      <c r="K945" s="129"/>
      <c r="L945" s="129"/>
      <c r="M945" s="129"/>
      <c r="N945" s="129"/>
      <c r="O945" s="129"/>
      <c r="P945" s="129"/>
      <c r="Q945" s="129"/>
      <c r="R945" s="129"/>
      <c r="S945" s="141"/>
      <c r="T945" s="139"/>
      <c r="U945" s="129"/>
      <c r="V945" s="129"/>
      <c r="W945" s="129"/>
      <c r="X945" s="129"/>
      <c r="Y945" s="129"/>
      <c r="Z945" s="115"/>
      <c r="AA945" s="129"/>
      <c r="AB945" s="149"/>
      <c r="AC945" s="129"/>
      <c r="AD945" s="129"/>
      <c r="AE945" s="129"/>
    </row>
    <row r="946" spans="3:31" x14ac:dyDescent="0.35">
      <c r="C946" s="129"/>
      <c r="D946" s="129"/>
      <c r="E946" s="129"/>
      <c r="F946" s="129"/>
      <c r="G946" s="129"/>
      <c r="H946" s="110"/>
      <c r="I946" s="129"/>
      <c r="J946" t="s">
        <v>351</v>
      </c>
      <c r="K946" s="129"/>
      <c r="L946" s="129"/>
      <c r="M946" s="129"/>
      <c r="N946" s="129"/>
      <c r="O946" s="129"/>
      <c r="P946" s="129"/>
      <c r="Q946" s="129"/>
      <c r="R946" s="129"/>
      <c r="S946" s="141"/>
      <c r="T946" s="139"/>
      <c r="U946" s="129"/>
      <c r="V946" s="129"/>
      <c r="W946" s="129"/>
      <c r="X946" s="129"/>
      <c r="Y946" s="129"/>
      <c r="Z946" s="115"/>
      <c r="AA946" s="129"/>
      <c r="AB946" s="149"/>
      <c r="AC946" s="129"/>
      <c r="AD946" s="129"/>
      <c r="AE946" s="129"/>
    </row>
    <row r="947" spans="3:31" x14ac:dyDescent="0.35">
      <c r="C947" s="129"/>
      <c r="D947" s="129"/>
      <c r="E947" s="129"/>
      <c r="F947" s="129"/>
      <c r="G947" s="129"/>
      <c r="H947" s="110"/>
      <c r="I947" s="129"/>
      <c r="J947" t="s">
        <v>351</v>
      </c>
      <c r="K947" s="129"/>
      <c r="L947" s="129"/>
      <c r="M947" s="129"/>
      <c r="N947" s="129"/>
      <c r="O947" s="129"/>
      <c r="P947" s="129"/>
      <c r="Q947" s="129"/>
      <c r="R947" s="129"/>
      <c r="S947" s="141"/>
      <c r="T947" s="139"/>
      <c r="U947" s="129"/>
      <c r="V947" s="129"/>
      <c r="W947" s="129"/>
      <c r="X947" s="129"/>
      <c r="Y947" s="129"/>
      <c r="Z947" s="115"/>
      <c r="AA947" s="129"/>
      <c r="AB947" s="149"/>
      <c r="AC947" s="129"/>
      <c r="AD947" s="129"/>
      <c r="AE947" s="129"/>
    </row>
    <row r="948" spans="3:31" x14ac:dyDescent="0.35">
      <c r="C948" s="129"/>
      <c r="D948" s="129"/>
      <c r="E948" s="129"/>
      <c r="F948" s="129"/>
      <c r="G948" s="129"/>
      <c r="H948" s="110"/>
      <c r="I948" s="129"/>
      <c r="J948" t="s">
        <v>351</v>
      </c>
      <c r="K948" s="129"/>
      <c r="L948" s="129"/>
      <c r="M948" s="129"/>
      <c r="N948" s="129"/>
      <c r="O948" s="129"/>
      <c r="P948" s="129"/>
      <c r="Q948" s="129"/>
      <c r="R948" s="129"/>
      <c r="S948" s="141"/>
      <c r="T948" s="139"/>
      <c r="U948" s="129"/>
      <c r="V948" s="129"/>
      <c r="W948" s="129"/>
      <c r="X948" s="129"/>
      <c r="Y948" s="129"/>
      <c r="Z948" s="115"/>
      <c r="AA948" s="129"/>
      <c r="AB948" s="149"/>
      <c r="AC948" s="129"/>
      <c r="AD948" s="129"/>
      <c r="AE948" s="129"/>
    </row>
    <row r="949" spans="3:31" x14ac:dyDescent="0.35">
      <c r="C949" s="129"/>
      <c r="D949" s="129"/>
      <c r="E949" s="129"/>
      <c r="F949" s="129"/>
      <c r="G949" s="129"/>
      <c r="H949" s="110"/>
      <c r="I949" s="129"/>
      <c r="J949" t="s">
        <v>351</v>
      </c>
      <c r="K949" s="129"/>
      <c r="L949" s="129"/>
      <c r="M949" s="129"/>
      <c r="N949" s="129"/>
      <c r="O949" s="129"/>
      <c r="P949" s="129"/>
      <c r="Q949" s="129"/>
      <c r="R949" s="129"/>
      <c r="S949" s="141"/>
      <c r="T949" s="139"/>
      <c r="U949" s="129"/>
      <c r="V949" s="129"/>
      <c r="W949" s="129"/>
      <c r="X949" s="129"/>
      <c r="Y949" s="129"/>
      <c r="Z949" s="115"/>
      <c r="AA949" s="129"/>
      <c r="AB949" s="149"/>
      <c r="AC949" s="129"/>
      <c r="AD949" s="129"/>
      <c r="AE949" s="129"/>
    </row>
    <row r="950" spans="3:31" x14ac:dyDescent="0.35">
      <c r="C950" s="129"/>
      <c r="D950" s="129"/>
      <c r="E950" s="129"/>
      <c r="F950" s="129"/>
      <c r="G950" s="129"/>
      <c r="H950" s="110"/>
      <c r="I950" s="129"/>
      <c r="J950" t="s">
        <v>351</v>
      </c>
      <c r="K950" s="129"/>
      <c r="L950" s="129"/>
      <c r="M950" s="129"/>
      <c r="N950" s="129"/>
      <c r="O950" s="129"/>
      <c r="P950" s="129"/>
      <c r="Q950" s="129"/>
      <c r="R950" s="129"/>
      <c r="S950" s="141"/>
      <c r="T950" s="139"/>
      <c r="U950" s="129"/>
      <c r="V950" s="129"/>
      <c r="W950" s="129"/>
      <c r="X950" s="129"/>
      <c r="Y950" s="129"/>
      <c r="Z950" s="115"/>
      <c r="AA950" s="129"/>
      <c r="AB950" s="149"/>
      <c r="AC950" s="129"/>
      <c r="AD950" s="129"/>
      <c r="AE950" s="129"/>
    </row>
    <row r="951" spans="3:31" x14ac:dyDescent="0.35">
      <c r="C951" s="129"/>
      <c r="D951" s="129"/>
      <c r="E951" s="129"/>
      <c r="F951" s="129"/>
      <c r="G951" s="129"/>
      <c r="H951" s="110"/>
      <c r="I951" s="129"/>
      <c r="J951" t="s">
        <v>351</v>
      </c>
      <c r="K951" s="129"/>
      <c r="L951" s="129"/>
      <c r="M951" s="129"/>
      <c r="N951" s="129"/>
      <c r="O951" s="129"/>
      <c r="P951" s="129"/>
      <c r="Q951" s="129"/>
      <c r="R951" s="129"/>
      <c r="S951" s="141"/>
      <c r="T951" s="139"/>
      <c r="U951" s="129"/>
      <c r="V951" s="129"/>
      <c r="W951" s="129"/>
      <c r="X951" s="129"/>
      <c r="Y951" s="129"/>
      <c r="Z951" s="115"/>
      <c r="AA951" s="129"/>
      <c r="AB951" s="149"/>
      <c r="AC951" s="129"/>
      <c r="AD951" s="129"/>
      <c r="AE951" s="129"/>
    </row>
    <row r="952" spans="3:31" x14ac:dyDescent="0.35">
      <c r="C952" s="129"/>
      <c r="D952" s="129"/>
      <c r="E952" s="129"/>
      <c r="F952" s="129"/>
      <c r="G952" s="129"/>
      <c r="H952" s="110"/>
      <c r="I952" s="129"/>
      <c r="J952" t="s">
        <v>351</v>
      </c>
      <c r="K952" s="129"/>
      <c r="L952" s="129"/>
      <c r="M952" s="129"/>
      <c r="N952" s="129"/>
      <c r="O952" s="129"/>
      <c r="P952" s="129"/>
      <c r="Q952" s="129"/>
      <c r="R952" s="129"/>
      <c r="S952" s="141"/>
      <c r="T952" s="139"/>
      <c r="U952" s="129"/>
      <c r="V952" s="129"/>
      <c r="W952" s="129"/>
      <c r="X952" s="129"/>
      <c r="Y952" s="129"/>
      <c r="Z952" s="115"/>
      <c r="AA952" s="129"/>
      <c r="AB952" s="149"/>
      <c r="AC952" s="129"/>
      <c r="AD952" s="129"/>
      <c r="AE952" s="129"/>
    </row>
    <row r="953" spans="3:31" x14ac:dyDescent="0.35">
      <c r="C953" s="129"/>
      <c r="D953" s="129"/>
      <c r="E953" s="129"/>
      <c r="F953" s="129"/>
      <c r="G953" s="129"/>
      <c r="H953" s="110"/>
      <c r="I953" s="129"/>
      <c r="J953" t="s">
        <v>351</v>
      </c>
      <c r="K953" s="129"/>
      <c r="L953" s="129"/>
      <c r="M953" s="129"/>
      <c r="N953" s="129"/>
      <c r="O953" s="129"/>
      <c r="P953" s="129"/>
      <c r="Q953" s="129"/>
      <c r="R953" s="129"/>
      <c r="S953" s="141"/>
      <c r="T953" s="139"/>
      <c r="U953" s="129"/>
      <c r="V953" s="129"/>
      <c r="W953" s="129"/>
      <c r="X953" s="129"/>
      <c r="Y953" s="129"/>
      <c r="Z953" s="115"/>
      <c r="AA953" s="129"/>
      <c r="AB953" s="149"/>
      <c r="AC953" s="129"/>
      <c r="AD953" s="129"/>
      <c r="AE953" s="129"/>
    </row>
    <row r="954" spans="3:31" x14ac:dyDescent="0.35">
      <c r="C954" s="129"/>
      <c r="D954" s="129"/>
      <c r="E954" s="129"/>
      <c r="F954" s="129"/>
      <c r="G954" s="129"/>
      <c r="H954" s="110"/>
      <c r="I954" s="129"/>
      <c r="J954" t="s">
        <v>351</v>
      </c>
      <c r="K954" s="129"/>
      <c r="L954" s="129"/>
      <c r="M954" s="129"/>
      <c r="N954" s="129"/>
      <c r="O954" s="129"/>
      <c r="P954" s="129"/>
      <c r="Q954" s="129"/>
      <c r="R954" s="129"/>
      <c r="S954" s="141"/>
      <c r="T954" s="139"/>
      <c r="U954" s="129"/>
      <c r="V954" s="129"/>
      <c r="W954" s="129"/>
      <c r="X954" s="129"/>
      <c r="Y954" s="129"/>
      <c r="Z954" s="115"/>
      <c r="AA954" s="129"/>
      <c r="AB954" s="149"/>
      <c r="AC954" s="129"/>
      <c r="AD954" s="129"/>
      <c r="AE954" s="129"/>
    </row>
    <row r="955" spans="3:31" x14ac:dyDescent="0.35">
      <c r="C955" s="129"/>
      <c r="D955" s="129"/>
      <c r="E955" s="129"/>
      <c r="F955" s="129"/>
      <c r="G955" s="129"/>
      <c r="H955" s="110"/>
      <c r="I955" s="129"/>
      <c r="J955" t="s">
        <v>351</v>
      </c>
      <c r="K955" s="129"/>
      <c r="L955" s="129"/>
      <c r="M955" s="129"/>
      <c r="N955" s="129"/>
      <c r="O955" s="129"/>
      <c r="P955" s="129"/>
      <c r="Q955" s="129"/>
      <c r="R955" s="129"/>
      <c r="S955" s="141"/>
      <c r="T955" s="139"/>
      <c r="U955" s="129"/>
      <c r="V955" s="129"/>
      <c r="W955" s="129"/>
      <c r="X955" s="129"/>
      <c r="Y955" s="129"/>
      <c r="Z955" s="115"/>
      <c r="AA955" s="129"/>
      <c r="AB955" s="149"/>
      <c r="AC955" s="129"/>
      <c r="AD955" s="129"/>
      <c r="AE955" s="129"/>
    </row>
    <row r="956" spans="3:31" x14ac:dyDescent="0.35">
      <c r="C956" s="129"/>
      <c r="D956" s="129"/>
      <c r="E956" s="129"/>
      <c r="F956" s="129"/>
      <c r="G956" s="129"/>
      <c r="H956" s="110"/>
      <c r="I956" s="129"/>
      <c r="J956" t="s">
        <v>351</v>
      </c>
      <c r="K956" s="129"/>
      <c r="L956" s="129"/>
      <c r="M956" s="129"/>
      <c r="N956" s="129"/>
      <c r="O956" s="129"/>
      <c r="P956" s="129"/>
      <c r="Q956" s="129"/>
      <c r="R956" s="129"/>
      <c r="S956" s="141"/>
      <c r="T956" s="139"/>
      <c r="U956" s="129"/>
      <c r="V956" s="129"/>
      <c r="W956" s="129"/>
      <c r="X956" s="129"/>
      <c r="Y956" s="129"/>
      <c r="Z956" s="115"/>
      <c r="AA956" s="129"/>
      <c r="AB956" s="149"/>
      <c r="AC956" s="129"/>
      <c r="AD956" s="129"/>
      <c r="AE956" s="129"/>
    </row>
    <row r="957" spans="3:31" x14ac:dyDescent="0.35">
      <c r="C957" s="129"/>
      <c r="D957" s="129"/>
      <c r="E957" s="129"/>
      <c r="F957" s="129"/>
      <c r="G957" s="129"/>
      <c r="H957" s="110"/>
      <c r="I957" s="129"/>
      <c r="J957" t="s">
        <v>351</v>
      </c>
      <c r="K957" s="129"/>
      <c r="L957" s="129"/>
      <c r="M957" s="129"/>
      <c r="N957" s="129"/>
      <c r="O957" s="129"/>
      <c r="P957" s="129"/>
      <c r="Q957" s="129"/>
      <c r="R957" s="129"/>
      <c r="S957" s="141"/>
      <c r="T957" s="139"/>
      <c r="U957" s="129"/>
      <c r="V957" s="129"/>
      <c r="W957" s="129"/>
      <c r="X957" s="129"/>
      <c r="Y957" s="129"/>
      <c r="Z957" s="115"/>
      <c r="AA957" s="129"/>
      <c r="AB957" s="149"/>
      <c r="AC957" s="129"/>
      <c r="AD957" s="129"/>
      <c r="AE957" s="129"/>
    </row>
    <row r="958" spans="3:31" x14ac:dyDescent="0.35">
      <c r="C958" s="129"/>
      <c r="D958" s="129"/>
      <c r="E958" s="129"/>
      <c r="F958" s="129"/>
      <c r="G958" s="129"/>
      <c r="H958" s="110"/>
      <c r="I958" s="129"/>
      <c r="J958" t="s">
        <v>351</v>
      </c>
      <c r="K958" s="129"/>
      <c r="L958" s="129"/>
      <c r="M958" s="129"/>
      <c r="N958" s="129"/>
      <c r="O958" s="129"/>
      <c r="P958" s="129"/>
      <c r="Q958" s="129"/>
      <c r="R958" s="129"/>
      <c r="S958" s="141"/>
      <c r="T958" s="139"/>
      <c r="U958" s="129"/>
      <c r="V958" s="129"/>
      <c r="W958" s="129"/>
      <c r="X958" s="129"/>
      <c r="Y958" s="129"/>
      <c r="Z958" s="115"/>
      <c r="AA958" s="129"/>
      <c r="AB958" s="149"/>
      <c r="AC958" s="129"/>
      <c r="AD958" s="129"/>
      <c r="AE958" s="129"/>
    </row>
    <row r="959" spans="3:31" x14ac:dyDescent="0.35">
      <c r="C959" s="129"/>
      <c r="D959" s="129"/>
      <c r="E959" s="129"/>
      <c r="F959" s="129"/>
      <c r="G959" s="129"/>
      <c r="H959" s="110"/>
      <c r="I959" s="129"/>
      <c r="J959" t="s">
        <v>351</v>
      </c>
      <c r="K959" s="129"/>
      <c r="L959" s="129"/>
      <c r="M959" s="129"/>
      <c r="N959" s="129"/>
      <c r="O959" s="129"/>
      <c r="P959" s="129"/>
      <c r="Q959" s="129"/>
      <c r="R959" s="129"/>
      <c r="S959" s="141"/>
      <c r="T959" s="139"/>
      <c r="U959" s="129"/>
      <c r="V959" s="129"/>
      <c r="W959" s="129"/>
      <c r="X959" s="129"/>
      <c r="Y959" s="129"/>
      <c r="Z959" s="115"/>
      <c r="AA959" s="129"/>
      <c r="AB959" s="149"/>
      <c r="AC959" s="129"/>
      <c r="AD959" s="129"/>
      <c r="AE959" s="129"/>
    </row>
    <row r="960" spans="3:31" x14ac:dyDescent="0.35">
      <c r="C960" s="129"/>
      <c r="D960" s="129"/>
      <c r="E960" s="129"/>
      <c r="F960" s="129"/>
      <c r="G960" s="129"/>
      <c r="H960" s="110"/>
      <c r="I960" s="129"/>
      <c r="J960" t="s">
        <v>351</v>
      </c>
      <c r="K960" s="129"/>
      <c r="L960" s="129"/>
      <c r="M960" s="129"/>
      <c r="N960" s="129"/>
      <c r="O960" s="129"/>
      <c r="P960" s="129"/>
      <c r="Q960" s="129"/>
      <c r="R960" s="129"/>
      <c r="S960" s="141"/>
      <c r="T960" s="139"/>
      <c r="U960" s="129"/>
      <c r="V960" s="129"/>
      <c r="W960" s="129"/>
      <c r="X960" s="129"/>
      <c r="Y960" s="129"/>
      <c r="Z960" s="115"/>
      <c r="AA960" s="129"/>
      <c r="AB960" s="149"/>
      <c r="AC960" s="129"/>
      <c r="AD960" s="129"/>
      <c r="AE960" s="129"/>
    </row>
    <row r="961" spans="3:31" x14ac:dyDescent="0.35">
      <c r="C961" s="129"/>
      <c r="D961" s="129"/>
      <c r="E961" s="129"/>
      <c r="F961" s="129"/>
      <c r="G961" s="129"/>
      <c r="H961" s="110"/>
      <c r="I961" s="129"/>
      <c r="J961" t="s">
        <v>351</v>
      </c>
      <c r="K961" s="129"/>
      <c r="L961" s="129"/>
      <c r="M961" s="129"/>
      <c r="N961" s="129"/>
      <c r="O961" s="129"/>
      <c r="P961" s="129"/>
      <c r="Q961" s="129"/>
      <c r="R961" s="129"/>
      <c r="S961" s="141"/>
      <c r="T961" s="139"/>
      <c r="U961" s="129"/>
      <c r="V961" s="129"/>
      <c r="W961" s="129"/>
      <c r="X961" s="129"/>
      <c r="Y961" s="129"/>
      <c r="Z961" s="115"/>
      <c r="AA961" s="129"/>
      <c r="AB961" s="149"/>
      <c r="AC961" s="129"/>
      <c r="AD961" s="129"/>
      <c r="AE961" s="129"/>
    </row>
    <row r="962" spans="3:31" x14ac:dyDescent="0.35">
      <c r="C962" s="129"/>
      <c r="D962" s="129"/>
      <c r="E962" s="129"/>
      <c r="F962" s="129"/>
      <c r="G962" s="129"/>
      <c r="H962" s="110"/>
      <c r="I962" s="129"/>
      <c r="J962" t="s">
        <v>351</v>
      </c>
      <c r="K962" s="129"/>
      <c r="L962" s="129"/>
      <c r="M962" s="129"/>
      <c r="N962" s="129"/>
      <c r="O962" s="129"/>
      <c r="P962" s="129"/>
      <c r="Q962" s="129"/>
      <c r="R962" s="129"/>
      <c r="S962" s="141"/>
      <c r="T962" s="139"/>
      <c r="U962" s="129"/>
      <c r="V962" s="129"/>
      <c r="W962" s="129"/>
      <c r="X962" s="129"/>
      <c r="Y962" s="129"/>
      <c r="Z962" s="115"/>
      <c r="AA962" s="129"/>
      <c r="AB962" s="149"/>
      <c r="AC962" s="129"/>
      <c r="AD962" s="129"/>
      <c r="AE962" s="129"/>
    </row>
    <row r="963" spans="3:31" x14ac:dyDescent="0.35">
      <c r="C963" s="129"/>
      <c r="D963" s="129"/>
      <c r="E963" s="129"/>
      <c r="F963" s="129"/>
      <c r="G963" s="129"/>
      <c r="H963" s="110"/>
      <c r="I963" s="129"/>
      <c r="J963" t="s">
        <v>351</v>
      </c>
      <c r="K963" s="129"/>
      <c r="L963" s="129"/>
      <c r="M963" s="129"/>
      <c r="N963" s="129"/>
      <c r="O963" s="129"/>
      <c r="P963" s="129"/>
      <c r="Q963" s="129"/>
      <c r="R963" s="129"/>
      <c r="S963" s="141"/>
      <c r="T963" s="139"/>
      <c r="U963" s="129"/>
      <c r="V963" s="129"/>
      <c r="W963" s="129"/>
      <c r="X963" s="129"/>
      <c r="Y963" s="129"/>
      <c r="Z963" s="115"/>
      <c r="AA963" s="129"/>
      <c r="AB963" s="149"/>
      <c r="AC963" s="129"/>
      <c r="AD963" s="129"/>
      <c r="AE963" s="129"/>
    </row>
    <row r="964" spans="3:31" x14ac:dyDescent="0.35">
      <c r="C964" s="129"/>
      <c r="D964" s="129"/>
      <c r="E964" s="129"/>
      <c r="F964" s="129"/>
      <c r="G964" s="129"/>
      <c r="H964" s="110"/>
      <c r="I964" s="129"/>
      <c r="J964" t="s">
        <v>351</v>
      </c>
      <c r="K964" s="129"/>
      <c r="L964" s="129"/>
      <c r="M964" s="129"/>
      <c r="N964" s="129"/>
      <c r="O964" s="129"/>
      <c r="P964" s="129"/>
      <c r="Q964" s="129"/>
      <c r="R964" s="129"/>
      <c r="S964" s="141"/>
      <c r="T964" s="139"/>
      <c r="U964" s="129"/>
      <c r="V964" s="129"/>
      <c r="W964" s="129"/>
      <c r="X964" s="129"/>
      <c r="Y964" s="129"/>
      <c r="Z964" s="115"/>
      <c r="AA964" s="129"/>
      <c r="AB964" s="149"/>
      <c r="AC964" s="129"/>
      <c r="AD964" s="129"/>
      <c r="AE964" s="129"/>
    </row>
    <row r="965" spans="3:31" x14ac:dyDescent="0.35">
      <c r="C965" s="129"/>
      <c r="D965" s="129"/>
      <c r="E965" s="129"/>
      <c r="F965" s="129"/>
      <c r="G965" s="129"/>
      <c r="H965" s="110"/>
      <c r="I965" s="129"/>
      <c r="J965" t="s">
        <v>351</v>
      </c>
      <c r="K965" s="129"/>
      <c r="L965" s="129"/>
      <c r="M965" s="129"/>
      <c r="N965" s="129"/>
      <c r="O965" s="129"/>
      <c r="P965" s="129"/>
      <c r="Q965" s="129"/>
      <c r="R965" s="129"/>
      <c r="S965" s="141"/>
      <c r="T965" s="139"/>
      <c r="U965" s="129"/>
      <c r="V965" s="129"/>
      <c r="W965" s="129"/>
      <c r="X965" s="129"/>
      <c r="Y965" s="129"/>
      <c r="Z965" s="115"/>
      <c r="AA965" s="129"/>
      <c r="AB965" s="149"/>
      <c r="AC965" s="129"/>
      <c r="AD965" s="129"/>
      <c r="AE965" s="129"/>
    </row>
    <row r="966" spans="3:31" x14ac:dyDescent="0.35">
      <c r="C966" s="129"/>
      <c r="D966" s="129"/>
      <c r="E966" s="129"/>
      <c r="F966" s="129"/>
      <c r="G966" s="129"/>
      <c r="H966" s="110"/>
      <c r="I966" s="129"/>
      <c r="J966" t="s">
        <v>351</v>
      </c>
      <c r="K966" s="129"/>
      <c r="L966" s="129"/>
      <c r="M966" s="129"/>
      <c r="N966" s="129"/>
      <c r="O966" s="129"/>
      <c r="P966" s="129"/>
      <c r="Q966" s="129"/>
      <c r="R966" s="129"/>
      <c r="S966" s="141"/>
      <c r="T966" s="139"/>
      <c r="U966" s="129"/>
      <c r="V966" s="129"/>
      <c r="W966" s="129"/>
      <c r="X966" s="129"/>
      <c r="Y966" s="129"/>
      <c r="Z966" s="115"/>
      <c r="AA966" s="129"/>
      <c r="AB966" s="149"/>
      <c r="AC966" s="129"/>
      <c r="AD966" s="129"/>
      <c r="AE966" s="129"/>
    </row>
    <row r="967" spans="3:31" x14ac:dyDescent="0.35">
      <c r="C967" s="129"/>
      <c r="D967" s="129"/>
      <c r="E967" s="129"/>
      <c r="F967" s="129"/>
      <c r="G967" s="129"/>
      <c r="H967" s="110"/>
      <c r="I967" s="129"/>
      <c r="J967" t="s">
        <v>351</v>
      </c>
      <c r="K967" s="129"/>
      <c r="L967" s="129"/>
      <c r="M967" s="129"/>
      <c r="N967" s="129"/>
      <c r="O967" s="129"/>
      <c r="P967" s="129"/>
      <c r="Q967" s="129"/>
      <c r="R967" s="129"/>
      <c r="S967" s="141"/>
      <c r="T967" s="139"/>
      <c r="U967" s="129"/>
      <c r="V967" s="129"/>
      <c r="W967" s="129"/>
      <c r="X967" s="129"/>
      <c r="Y967" s="129"/>
      <c r="Z967" s="115"/>
      <c r="AA967" s="129"/>
      <c r="AB967" s="149"/>
      <c r="AC967" s="129"/>
      <c r="AD967" s="129"/>
      <c r="AE967" s="129"/>
    </row>
    <row r="968" spans="3:31" x14ac:dyDescent="0.35">
      <c r="C968" s="129"/>
      <c r="D968" s="129"/>
      <c r="E968" s="129"/>
      <c r="F968" s="129"/>
      <c r="G968" s="129"/>
      <c r="H968" s="110"/>
      <c r="I968" s="129"/>
      <c r="J968" t="s">
        <v>351</v>
      </c>
      <c r="K968" s="129"/>
      <c r="L968" s="129"/>
      <c r="M968" s="129"/>
      <c r="N968" s="129"/>
      <c r="O968" s="129"/>
      <c r="P968" s="129"/>
      <c r="Q968" s="129"/>
      <c r="R968" s="129"/>
      <c r="S968" s="141"/>
      <c r="T968" s="139"/>
      <c r="U968" s="129"/>
      <c r="V968" s="129"/>
      <c r="W968" s="129"/>
      <c r="X968" s="129"/>
      <c r="Y968" s="129"/>
      <c r="Z968" s="115"/>
      <c r="AA968" s="129"/>
      <c r="AB968" s="149"/>
      <c r="AC968" s="129"/>
      <c r="AD968" s="129"/>
      <c r="AE968" s="129"/>
    </row>
    <row r="969" spans="3:31" x14ac:dyDescent="0.35">
      <c r="C969" s="129"/>
      <c r="D969" s="129"/>
      <c r="E969" s="129"/>
      <c r="F969" s="129"/>
      <c r="G969" s="129"/>
      <c r="H969" s="110"/>
      <c r="I969" s="129"/>
      <c r="J969" t="s">
        <v>351</v>
      </c>
      <c r="K969" s="129"/>
      <c r="L969" s="129"/>
      <c r="M969" s="129"/>
      <c r="N969" s="129"/>
      <c r="O969" s="129"/>
      <c r="P969" s="129"/>
      <c r="Q969" s="129"/>
      <c r="R969" s="129"/>
      <c r="S969" s="141"/>
      <c r="T969" s="139"/>
      <c r="U969" s="129"/>
      <c r="V969" s="129"/>
      <c r="W969" s="129"/>
      <c r="X969" s="129"/>
      <c r="Y969" s="129"/>
      <c r="Z969" s="115"/>
      <c r="AA969" s="129"/>
      <c r="AB969" s="149"/>
      <c r="AC969" s="129"/>
      <c r="AD969" s="129"/>
      <c r="AE969" s="129"/>
    </row>
    <row r="970" spans="3:31" x14ac:dyDescent="0.35">
      <c r="C970" s="129"/>
      <c r="D970" s="129"/>
      <c r="E970" s="129"/>
      <c r="F970" s="129"/>
      <c r="G970" s="129"/>
      <c r="H970" s="110"/>
      <c r="I970" s="129"/>
      <c r="J970" t="s">
        <v>351</v>
      </c>
      <c r="K970" s="129"/>
      <c r="L970" s="129"/>
      <c r="M970" s="129"/>
      <c r="N970" s="129"/>
      <c r="O970" s="129"/>
      <c r="P970" s="129"/>
      <c r="Q970" s="129"/>
      <c r="R970" s="129"/>
      <c r="S970" s="141"/>
      <c r="T970" s="139"/>
      <c r="U970" s="129"/>
      <c r="V970" s="129"/>
      <c r="W970" s="129"/>
      <c r="X970" s="129"/>
      <c r="Y970" s="129"/>
      <c r="Z970" s="115"/>
      <c r="AA970" s="129"/>
      <c r="AB970" s="149"/>
      <c r="AC970" s="129"/>
      <c r="AD970" s="129"/>
      <c r="AE970" s="129"/>
    </row>
    <row r="971" spans="3:31" x14ac:dyDescent="0.35">
      <c r="C971" s="129"/>
      <c r="D971" s="129"/>
      <c r="E971" s="129"/>
      <c r="F971" s="129"/>
      <c r="G971" s="129"/>
      <c r="H971" s="110"/>
      <c r="I971" s="129"/>
      <c r="J971" t="s">
        <v>351</v>
      </c>
      <c r="K971" s="129"/>
      <c r="L971" s="129"/>
      <c r="M971" s="129"/>
      <c r="N971" s="129"/>
      <c r="O971" s="129"/>
      <c r="P971" s="129"/>
      <c r="Q971" s="129"/>
      <c r="R971" s="129"/>
      <c r="S971" s="141"/>
      <c r="T971" s="139"/>
      <c r="U971" s="129"/>
      <c r="V971" s="129"/>
      <c r="W971" s="129"/>
      <c r="X971" s="129"/>
      <c r="Y971" s="129"/>
      <c r="Z971" s="115"/>
      <c r="AA971" s="129"/>
      <c r="AB971" s="149"/>
      <c r="AC971" s="129"/>
      <c r="AD971" s="129"/>
      <c r="AE971" s="129"/>
    </row>
    <row r="972" spans="3:31" x14ac:dyDescent="0.35">
      <c r="C972" s="129"/>
      <c r="D972" s="129"/>
      <c r="E972" s="129"/>
      <c r="F972" s="129"/>
      <c r="G972" s="129"/>
      <c r="H972" s="110"/>
      <c r="I972" s="129"/>
      <c r="J972" t="s">
        <v>351</v>
      </c>
      <c r="K972" s="129"/>
      <c r="L972" s="129"/>
      <c r="M972" s="129"/>
      <c r="N972" s="129"/>
      <c r="O972" s="129"/>
      <c r="P972" s="129"/>
      <c r="Q972" s="129"/>
      <c r="R972" s="129"/>
      <c r="S972" s="141"/>
      <c r="T972" s="139"/>
      <c r="U972" s="129"/>
      <c r="V972" s="129"/>
      <c r="W972" s="129"/>
      <c r="X972" s="129"/>
      <c r="Y972" s="129"/>
      <c r="Z972" s="115"/>
      <c r="AA972" s="129"/>
      <c r="AB972" s="149"/>
      <c r="AC972" s="129"/>
      <c r="AD972" s="129"/>
      <c r="AE972" s="129"/>
    </row>
    <row r="973" spans="3:31" x14ac:dyDescent="0.35">
      <c r="C973" s="129"/>
      <c r="D973" s="129"/>
      <c r="E973" s="129"/>
      <c r="F973" s="129"/>
      <c r="G973" s="129"/>
      <c r="H973" s="110"/>
      <c r="I973" s="129"/>
      <c r="J973" t="s">
        <v>351</v>
      </c>
      <c r="K973" s="129"/>
      <c r="L973" s="129"/>
      <c r="M973" s="129"/>
      <c r="N973" s="129"/>
      <c r="O973" s="129"/>
      <c r="P973" s="129"/>
      <c r="Q973" s="129"/>
      <c r="R973" s="129"/>
      <c r="S973" s="141"/>
      <c r="T973" s="139"/>
      <c r="U973" s="129"/>
      <c r="V973" s="129"/>
      <c r="W973" s="129"/>
      <c r="X973" s="129"/>
      <c r="Y973" s="129"/>
      <c r="Z973" s="115"/>
      <c r="AA973" s="129"/>
      <c r="AB973" s="149"/>
      <c r="AC973" s="129"/>
      <c r="AD973" s="129"/>
      <c r="AE973" s="129"/>
    </row>
    <row r="974" spans="3:31" x14ac:dyDescent="0.35">
      <c r="C974" s="129"/>
      <c r="D974" s="129"/>
      <c r="E974" s="129"/>
      <c r="F974" s="129"/>
      <c r="G974" s="129"/>
      <c r="H974" s="110"/>
      <c r="I974" s="129"/>
      <c r="J974" t="s">
        <v>351</v>
      </c>
      <c r="K974" s="129"/>
      <c r="L974" s="129"/>
      <c r="M974" s="129"/>
      <c r="N974" s="129"/>
      <c r="O974" s="129"/>
      <c r="P974" s="129"/>
      <c r="Q974" s="129"/>
      <c r="R974" s="129"/>
      <c r="S974" s="141"/>
      <c r="T974" s="139"/>
      <c r="U974" s="129"/>
      <c r="V974" s="129"/>
      <c r="W974" s="129"/>
      <c r="X974" s="129"/>
      <c r="Y974" s="129"/>
      <c r="Z974" s="115"/>
      <c r="AA974" s="129"/>
      <c r="AB974" s="149"/>
      <c r="AC974" s="129"/>
      <c r="AD974" s="129"/>
      <c r="AE974" s="129"/>
    </row>
    <row r="975" spans="3:31" x14ac:dyDescent="0.35">
      <c r="C975" s="129"/>
      <c r="D975" s="129"/>
      <c r="E975" s="129"/>
      <c r="F975" s="129"/>
      <c r="G975" s="129"/>
      <c r="H975" s="110"/>
      <c r="I975" s="129"/>
      <c r="J975" t="s">
        <v>351</v>
      </c>
      <c r="K975" s="129"/>
      <c r="L975" s="129"/>
      <c r="M975" s="129"/>
      <c r="N975" s="129"/>
      <c r="O975" s="129"/>
      <c r="P975" s="129"/>
      <c r="Q975" s="129"/>
      <c r="R975" s="129"/>
      <c r="S975" s="141"/>
      <c r="T975" s="139"/>
      <c r="U975" s="129"/>
      <c r="V975" s="129"/>
      <c r="W975" s="129"/>
      <c r="X975" s="129"/>
      <c r="Y975" s="129"/>
      <c r="Z975" s="115"/>
      <c r="AA975" s="129"/>
      <c r="AB975" s="149"/>
      <c r="AC975" s="129"/>
      <c r="AD975" s="129"/>
      <c r="AE975" s="129"/>
    </row>
    <row r="976" spans="3:31" x14ac:dyDescent="0.35">
      <c r="C976" s="129"/>
      <c r="D976" s="129"/>
      <c r="E976" s="129"/>
      <c r="F976" s="129"/>
      <c r="G976" s="129"/>
      <c r="H976" s="110"/>
      <c r="I976" s="129"/>
      <c r="J976" t="s">
        <v>351</v>
      </c>
      <c r="K976" s="129"/>
      <c r="L976" s="129"/>
      <c r="M976" s="129"/>
      <c r="N976" s="129"/>
      <c r="O976" s="129"/>
      <c r="P976" s="129"/>
      <c r="Q976" s="129"/>
      <c r="R976" s="129"/>
      <c r="S976" s="141"/>
      <c r="T976" s="139"/>
      <c r="U976" s="129"/>
      <c r="V976" s="129"/>
      <c r="W976" s="129"/>
      <c r="X976" s="129"/>
      <c r="Y976" s="129"/>
      <c r="Z976" s="115"/>
      <c r="AA976" s="129"/>
      <c r="AB976" s="149"/>
      <c r="AC976" s="129"/>
      <c r="AD976" s="129"/>
      <c r="AE976" s="129"/>
    </row>
    <row r="977" spans="3:31" x14ac:dyDescent="0.35">
      <c r="C977" s="129"/>
      <c r="D977" s="129"/>
      <c r="E977" s="129"/>
      <c r="F977" s="129"/>
      <c r="G977" s="129"/>
      <c r="H977" s="110"/>
      <c r="I977" s="129"/>
      <c r="J977" t="s">
        <v>351</v>
      </c>
      <c r="K977" s="129"/>
      <c r="L977" s="129"/>
      <c r="M977" s="129"/>
      <c r="N977" s="129"/>
      <c r="O977" s="129"/>
      <c r="P977" s="129"/>
      <c r="Q977" s="129"/>
      <c r="R977" s="129"/>
      <c r="S977" s="141"/>
      <c r="T977" s="139"/>
      <c r="U977" s="129"/>
      <c r="V977" s="129"/>
      <c r="W977" s="129"/>
      <c r="X977" s="129"/>
      <c r="Y977" s="129"/>
      <c r="Z977" s="115"/>
      <c r="AA977" s="129"/>
      <c r="AB977" s="149"/>
      <c r="AC977" s="129"/>
      <c r="AD977" s="129"/>
      <c r="AE977" s="129"/>
    </row>
    <row r="978" spans="3:31" x14ac:dyDescent="0.35">
      <c r="C978" s="129"/>
      <c r="D978" s="129"/>
      <c r="E978" s="129"/>
      <c r="F978" s="129"/>
      <c r="G978" s="129"/>
      <c r="H978" s="110"/>
      <c r="I978" s="129"/>
      <c r="J978" t="s">
        <v>351</v>
      </c>
      <c r="K978" s="129"/>
      <c r="L978" s="129"/>
      <c r="M978" s="129"/>
      <c r="N978" s="129"/>
      <c r="O978" s="129"/>
      <c r="P978" s="129"/>
      <c r="Q978" s="129"/>
      <c r="R978" s="129"/>
      <c r="S978" s="141"/>
      <c r="T978" s="139"/>
      <c r="U978" s="129"/>
      <c r="V978" s="129"/>
      <c r="W978" s="129"/>
      <c r="X978" s="129"/>
      <c r="Y978" s="129"/>
      <c r="Z978" s="115"/>
      <c r="AA978" s="129"/>
      <c r="AB978" s="149"/>
      <c r="AC978" s="129"/>
      <c r="AD978" s="129"/>
      <c r="AE978" s="129"/>
    </row>
    <row r="979" spans="3:31" x14ac:dyDescent="0.35">
      <c r="C979" s="129"/>
      <c r="D979" s="129"/>
      <c r="E979" s="129"/>
      <c r="F979" s="129"/>
      <c r="G979" s="129"/>
      <c r="H979" s="110"/>
      <c r="I979" s="129"/>
      <c r="J979" t="s">
        <v>351</v>
      </c>
      <c r="K979" s="129"/>
      <c r="L979" s="129"/>
      <c r="M979" s="129"/>
      <c r="N979" s="129"/>
      <c r="O979" s="129"/>
      <c r="P979" s="129"/>
      <c r="Q979" s="129"/>
      <c r="R979" s="129"/>
      <c r="S979" s="141"/>
      <c r="T979" s="139"/>
      <c r="U979" s="129"/>
      <c r="V979" s="129"/>
      <c r="W979" s="129"/>
      <c r="X979" s="129"/>
      <c r="Y979" s="129"/>
      <c r="Z979" s="115"/>
      <c r="AA979" s="129"/>
      <c r="AB979" s="149"/>
      <c r="AC979" s="129"/>
      <c r="AD979" s="129"/>
      <c r="AE979" s="129"/>
    </row>
    <row r="980" spans="3:31" x14ac:dyDescent="0.35">
      <c r="C980" s="129"/>
      <c r="D980" s="129"/>
      <c r="E980" s="129"/>
      <c r="F980" s="129"/>
      <c r="G980" s="129"/>
      <c r="H980" s="110"/>
      <c r="I980" s="129"/>
      <c r="J980" t="s">
        <v>351</v>
      </c>
      <c r="K980" s="129"/>
      <c r="L980" s="129"/>
      <c r="M980" s="129"/>
      <c r="N980" s="129"/>
      <c r="O980" s="129"/>
      <c r="P980" s="129"/>
      <c r="Q980" s="129"/>
      <c r="R980" s="129"/>
      <c r="S980" s="141"/>
      <c r="T980" s="139"/>
      <c r="U980" s="129"/>
      <c r="V980" s="129"/>
      <c r="W980" s="129"/>
      <c r="X980" s="129"/>
      <c r="Y980" s="129"/>
      <c r="Z980" s="115"/>
      <c r="AA980" s="129"/>
      <c r="AB980" s="149"/>
      <c r="AC980" s="129"/>
      <c r="AD980" s="129"/>
      <c r="AE980" s="129"/>
    </row>
    <row r="981" spans="3:31" x14ac:dyDescent="0.35">
      <c r="C981" s="129"/>
      <c r="D981" s="129"/>
      <c r="E981" s="129"/>
      <c r="F981" s="129"/>
      <c r="G981" s="129"/>
      <c r="H981" s="110"/>
      <c r="I981" s="129"/>
      <c r="J981" t="s">
        <v>351</v>
      </c>
      <c r="K981" s="129"/>
      <c r="L981" s="129"/>
      <c r="M981" s="129"/>
      <c r="N981" s="129"/>
      <c r="O981" s="129"/>
      <c r="P981" s="129"/>
      <c r="Q981" s="129"/>
      <c r="R981" s="129"/>
      <c r="S981" s="141"/>
      <c r="T981" s="139"/>
      <c r="U981" s="129"/>
      <c r="V981" s="129"/>
      <c r="W981" s="129"/>
      <c r="X981" s="129"/>
      <c r="Y981" s="129"/>
      <c r="Z981" s="115"/>
      <c r="AA981" s="129"/>
      <c r="AB981" s="149"/>
      <c r="AC981" s="129"/>
      <c r="AD981" s="129"/>
      <c r="AE981" s="129"/>
    </row>
    <row r="982" spans="3:31" x14ac:dyDescent="0.35">
      <c r="C982" s="129"/>
      <c r="D982" s="129"/>
      <c r="E982" s="129"/>
      <c r="F982" s="129"/>
      <c r="G982" s="129"/>
      <c r="H982" s="110"/>
      <c r="I982" s="129"/>
      <c r="J982" t="s">
        <v>351</v>
      </c>
      <c r="K982" s="129"/>
      <c r="L982" s="129"/>
      <c r="M982" s="129"/>
      <c r="N982" s="129"/>
      <c r="O982" s="129"/>
      <c r="P982" s="129"/>
      <c r="Q982" s="129"/>
      <c r="R982" s="129"/>
      <c r="S982" s="141"/>
      <c r="T982" s="139"/>
      <c r="U982" s="129"/>
      <c r="V982" s="129"/>
      <c r="W982" s="129"/>
      <c r="X982" s="129"/>
      <c r="Y982" s="129"/>
      <c r="Z982" s="115"/>
      <c r="AA982" s="129"/>
      <c r="AB982" s="149"/>
      <c r="AC982" s="129"/>
      <c r="AD982" s="129"/>
      <c r="AE982" s="129"/>
    </row>
    <row r="983" spans="3:31" x14ac:dyDescent="0.35">
      <c r="C983" s="129"/>
      <c r="D983" s="129"/>
      <c r="E983" s="129"/>
      <c r="F983" s="129"/>
      <c r="G983" s="129"/>
      <c r="H983" s="110"/>
      <c r="I983" s="129"/>
      <c r="J983" t="s">
        <v>351</v>
      </c>
      <c r="K983" s="129"/>
      <c r="L983" s="129"/>
      <c r="M983" s="129"/>
      <c r="N983" s="129"/>
      <c r="O983" s="129"/>
      <c r="P983" s="129"/>
      <c r="Q983" s="129"/>
      <c r="R983" s="129"/>
      <c r="S983" s="141"/>
      <c r="T983" s="139"/>
      <c r="U983" s="129"/>
      <c r="V983" s="129"/>
      <c r="W983" s="129"/>
      <c r="X983" s="129"/>
      <c r="Y983" s="129"/>
      <c r="Z983" s="115"/>
      <c r="AA983" s="129"/>
      <c r="AB983" s="149"/>
      <c r="AC983" s="129"/>
      <c r="AD983" s="129"/>
      <c r="AE983" s="129"/>
    </row>
    <row r="984" spans="3:31" x14ac:dyDescent="0.35">
      <c r="C984" s="129"/>
      <c r="D984" s="129"/>
      <c r="E984" s="129"/>
      <c r="F984" s="129"/>
      <c r="G984" s="129"/>
      <c r="H984" s="110"/>
      <c r="I984" s="129"/>
      <c r="J984" t="s">
        <v>351</v>
      </c>
      <c r="K984" s="129"/>
      <c r="L984" s="129"/>
      <c r="M984" s="129"/>
      <c r="N984" s="129"/>
      <c r="O984" s="129"/>
      <c r="P984" s="129"/>
      <c r="Q984" s="129"/>
      <c r="R984" s="129"/>
      <c r="S984" s="141"/>
      <c r="T984" s="139"/>
      <c r="U984" s="129"/>
      <c r="V984" s="129"/>
      <c r="W984" s="129"/>
      <c r="X984" s="129"/>
      <c r="Y984" s="129"/>
      <c r="Z984" s="115"/>
      <c r="AA984" s="129"/>
      <c r="AB984" s="149"/>
      <c r="AC984" s="129"/>
      <c r="AD984" s="129"/>
      <c r="AE984" s="129"/>
    </row>
    <row r="985" spans="3:31" x14ac:dyDescent="0.35">
      <c r="C985" s="129"/>
      <c r="D985" s="129"/>
      <c r="E985" s="129"/>
      <c r="F985" s="129"/>
      <c r="G985" s="129"/>
      <c r="H985" s="110"/>
      <c r="I985" s="129"/>
      <c r="J985" t="s">
        <v>351</v>
      </c>
      <c r="K985" s="129"/>
      <c r="L985" s="129"/>
      <c r="M985" s="129"/>
      <c r="N985" s="129"/>
      <c r="O985" s="129"/>
      <c r="P985" s="129"/>
      <c r="Q985" s="129"/>
      <c r="R985" s="129"/>
      <c r="S985" s="141"/>
      <c r="T985" s="139"/>
      <c r="U985" s="129"/>
      <c r="V985" s="129"/>
      <c r="W985" s="129"/>
      <c r="X985" s="129"/>
      <c r="Y985" s="129"/>
      <c r="Z985" s="115"/>
      <c r="AA985" s="129"/>
      <c r="AB985" s="149"/>
      <c r="AC985" s="129"/>
      <c r="AD985" s="129"/>
      <c r="AE985" s="129"/>
    </row>
    <row r="986" spans="3:31" x14ac:dyDescent="0.35">
      <c r="C986" s="129"/>
      <c r="D986" s="129"/>
      <c r="E986" s="129"/>
      <c r="F986" s="129"/>
      <c r="G986" s="129"/>
      <c r="H986" s="110"/>
      <c r="I986" s="129"/>
      <c r="J986" t="s">
        <v>351</v>
      </c>
      <c r="K986" s="129"/>
      <c r="L986" s="129"/>
      <c r="M986" s="129"/>
      <c r="N986" s="129"/>
      <c r="O986" s="129"/>
      <c r="P986" s="129"/>
      <c r="Q986" s="129"/>
      <c r="R986" s="129"/>
      <c r="S986" s="141"/>
      <c r="T986" s="139"/>
      <c r="U986" s="129"/>
      <c r="V986" s="129"/>
      <c r="W986" s="129"/>
      <c r="X986" s="129"/>
      <c r="Y986" s="129"/>
      <c r="Z986" s="115"/>
      <c r="AA986" s="129"/>
      <c r="AB986" s="149"/>
      <c r="AC986" s="129"/>
      <c r="AD986" s="129"/>
      <c r="AE986" s="129"/>
    </row>
    <row r="987" spans="3:31" x14ac:dyDescent="0.35">
      <c r="C987" s="129"/>
      <c r="D987" s="129"/>
      <c r="E987" s="129"/>
      <c r="F987" s="129"/>
      <c r="G987" s="129"/>
      <c r="H987" s="110"/>
      <c r="I987" s="129"/>
      <c r="J987" t="s">
        <v>351</v>
      </c>
      <c r="K987" s="129"/>
      <c r="L987" s="129"/>
      <c r="M987" s="129"/>
      <c r="N987" s="129"/>
      <c r="O987" s="129"/>
      <c r="P987" s="129"/>
      <c r="Q987" s="129"/>
      <c r="R987" s="129"/>
      <c r="S987" s="141"/>
      <c r="T987" s="139"/>
      <c r="U987" s="129"/>
      <c r="V987" s="129"/>
      <c r="W987" s="129"/>
      <c r="X987" s="129"/>
      <c r="Y987" s="129"/>
      <c r="Z987" s="115"/>
      <c r="AA987" s="129"/>
      <c r="AB987" s="149"/>
      <c r="AC987" s="129"/>
      <c r="AD987" s="129"/>
      <c r="AE987" s="129"/>
    </row>
    <row r="988" spans="3:31" x14ac:dyDescent="0.35">
      <c r="C988" s="129"/>
      <c r="D988" s="129"/>
      <c r="E988" s="129"/>
      <c r="F988" s="129"/>
      <c r="G988" s="129"/>
      <c r="H988" s="110"/>
      <c r="I988" s="129"/>
      <c r="J988" t="s">
        <v>351</v>
      </c>
      <c r="K988" s="129"/>
      <c r="L988" s="129"/>
      <c r="M988" s="129"/>
      <c r="N988" s="129"/>
      <c r="O988" s="129"/>
      <c r="P988" s="129"/>
      <c r="Q988" s="129"/>
      <c r="R988" s="129"/>
      <c r="S988" s="141"/>
      <c r="T988" s="139"/>
      <c r="U988" s="129"/>
      <c r="V988" s="129"/>
      <c r="W988" s="129"/>
      <c r="X988" s="129"/>
      <c r="Y988" s="129"/>
      <c r="Z988" s="115"/>
      <c r="AA988" s="129"/>
      <c r="AB988" s="149"/>
      <c r="AC988" s="129"/>
      <c r="AD988" s="129"/>
      <c r="AE988" s="129"/>
    </row>
    <row r="989" spans="3:31" x14ac:dyDescent="0.35">
      <c r="C989" s="129"/>
      <c r="D989" s="129"/>
      <c r="E989" s="129"/>
      <c r="F989" s="129"/>
      <c r="G989" s="129"/>
      <c r="H989" s="110"/>
      <c r="I989" s="129"/>
      <c r="J989" t="s">
        <v>351</v>
      </c>
      <c r="K989" s="129"/>
      <c r="L989" s="129"/>
      <c r="M989" s="129"/>
      <c r="N989" s="129"/>
      <c r="O989" s="129"/>
      <c r="P989" s="129"/>
      <c r="Q989" s="129"/>
      <c r="R989" s="129"/>
      <c r="S989" s="141"/>
      <c r="T989" s="139"/>
      <c r="U989" s="129"/>
      <c r="V989" s="129"/>
      <c r="W989" s="129"/>
      <c r="X989" s="129"/>
      <c r="Y989" s="129"/>
      <c r="Z989" s="115"/>
      <c r="AA989" s="129"/>
      <c r="AB989" s="149"/>
      <c r="AC989" s="129"/>
      <c r="AD989" s="129"/>
      <c r="AE989" s="129"/>
    </row>
    <row r="990" spans="3:31" x14ac:dyDescent="0.35">
      <c r="C990" s="129"/>
      <c r="D990" s="129"/>
      <c r="E990" s="129"/>
      <c r="F990" s="129"/>
      <c r="G990" s="129"/>
      <c r="H990" s="110"/>
      <c r="I990" s="129"/>
      <c r="J990" t="s">
        <v>351</v>
      </c>
      <c r="K990" s="129"/>
      <c r="L990" s="129"/>
      <c r="M990" s="129"/>
      <c r="N990" s="129"/>
      <c r="O990" s="129"/>
      <c r="P990" s="129"/>
      <c r="Q990" s="129"/>
      <c r="R990" s="129"/>
      <c r="S990" s="141"/>
      <c r="T990" s="139"/>
      <c r="U990" s="129"/>
      <c r="V990" s="129"/>
      <c r="W990" s="129"/>
      <c r="X990" s="129"/>
      <c r="Y990" s="129"/>
      <c r="Z990" s="115"/>
      <c r="AA990" s="129"/>
      <c r="AB990" s="149"/>
      <c r="AC990" s="129"/>
      <c r="AD990" s="129"/>
      <c r="AE990" s="129"/>
    </row>
    <row r="991" spans="3:31" x14ac:dyDescent="0.35">
      <c r="C991" s="129"/>
      <c r="D991" s="129"/>
      <c r="E991" s="129"/>
      <c r="F991" s="129"/>
      <c r="G991" s="129"/>
      <c r="H991" s="110"/>
      <c r="I991" s="129"/>
      <c r="J991" t="s">
        <v>351</v>
      </c>
      <c r="K991" s="129"/>
      <c r="L991" s="129"/>
      <c r="M991" s="129"/>
      <c r="N991" s="129"/>
      <c r="O991" s="129"/>
      <c r="P991" s="129"/>
      <c r="Q991" s="129"/>
      <c r="R991" s="129"/>
      <c r="S991" s="141"/>
      <c r="T991" s="139"/>
      <c r="U991" s="129"/>
      <c r="V991" s="129"/>
      <c r="W991" s="129"/>
      <c r="X991" s="129"/>
      <c r="Y991" s="129"/>
      <c r="Z991" s="115"/>
      <c r="AA991" s="129"/>
      <c r="AB991" s="149"/>
      <c r="AC991" s="129"/>
      <c r="AD991" s="129"/>
      <c r="AE991" s="129"/>
    </row>
    <row r="992" spans="3:31" x14ac:dyDescent="0.35">
      <c r="C992" s="129"/>
      <c r="D992" s="129"/>
      <c r="E992" s="129"/>
      <c r="F992" s="129"/>
      <c r="G992" s="129"/>
      <c r="H992" s="110"/>
      <c r="I992" s="129"/>
      <c r="J992" t="s">
        <v>351</v>
      </c>
      <c r="K992" s="129"/>
      <c r="L992" s="129"/>
      <c r="M992" s="129"/>
      <c r="N992" s="129"/>
      <c r="O992" s="129"/>
      <c r="P992" s="129"/>
      <c r="Q992" s="129"/>
      <c r="R992" s="129"/>
      <c r="S992" s="141"/>
      <c r="T992" s="139"/>
      <c r="U992" s="129"/>
      <c r="V992" s="129"/>
      <c r="W992" s="129"/>
      <c r="X992" s="129"/>
      <c r="Y992" s="129"/>
      <c r="Z992" s="115"/>
      <c r="AA992" s="129"/>
      <c r="AB992" s="149"/>
      <c r="AC992" s="129"/>
      <c r="AD992" s="129"/>
      <c r="AE992" s="129"/>
    </row>
    <row r="993" spans="3:31" x14ac:dyDescent="0.35">
      <c r="C993" s="129"/>
      <c r="D993" s="129"/>
      <c r="E993" s="129"/>
      <c r="F993" s="129"/>
      <c r="G993" s="129"/>
      <c r="H993" s="110"/>
      <c r="I993" s="129"/>
      <c r="J993" t="s">
        <v>351</v>
      </c>
      <c r="K993" s="129"/>
      <c r="L993" s="129"/>
      <c r="M993" s="129"/>
      <c r="N993" s="129"/>
      <c r="O993" s="129"/>
      <c r="P993" s="129"/>
      <c r="Q993" s="129"/>
      <c r="R993" s="129"/>
      <c r="S993" s="141"/>
      <c r="T993" s="139"/>
      <c r="U993" s="129"/>
      <c r="V993" s="129"/>
      <c r="W993" s="129"/>
      <c r="X993" s="129"/>
      <c r="Y993" s="129"/>
      <c r="Z993" s="115"/>
      <c r="AA993" s="129"/>
      <c r="AB993" s="149"/>
      <c r="AC993" s="129"/>
      <c r="AD993" s="129"/>
      <c r="AE993" s="129"/>
    </row>
    <row r="994" spans="3:31" x14ac:dyDescent="0.35">
      <c r="C994" s="129"/>
      <c r="D994" s="129"/>
      <c r="E994" s="129"/>
      <c r="F994" s="129"/>
      <c r="G994" s="129"/>
      <c r="H994" s="110"/>
      <c r="I994" s="129"/>
      <c r="J994" t="s">
        <v>351</v>
      </c>
      <c r="K994" s="129"/>
      <c r="L994" s="129"/>
      <c r="M994" s="129"/>
      <c r="N994" s="129"/>
      <c r="O994" s="129"/>
      <c r="P994" s="129"/>
      <c r="Q994" s="129"/>
      <c r="R994" s="129"/>
      <c r="S994" s="141"/>
      <c r="T994" s="139"/>
      <c r="U994" s="129"/>
      <c r="V994" s="129"/>
      <c r="W994" s="129"/>
      <c r="X994" s="129"/>
      <c r="Y994" s="129"/>
      <c r="Z994" s="115"/>
      <c r="AA994" s="129"/>
      <c r="AB994" s="149"/>
      <c r="AC994" s="129"/>
      <c r="AD994" s="129"/>
      <c r="AE994" s="129"/>
    </row>
    <row r="995" spans="3:31" x14ac:dyDescent="0.35">
      <c r="C995" s="129"/>
      <c r="D995" s="129"/>
      <c r="E995" s="129"/>
      <c r="F995" s="129"/>
      <c r="G995" s="129"/>
      <c r="H995" s="110"/>
      <c r="I995" s="129"/>
      <c r="J995" t="s">
        <v>351</v>
      </c>
      <c r="K995" s="129"/>
      <c r="L995" s="129"/>
      <c r="M995" s="129"/>
      <c r="N995" s="129"/>
      <c r="O995" s="129"/>
      <c r="P995" s="129"/>
      <c r="Q995" s="129"/>
      <c r="R995" s="129"/>
      <c r="S995" s="141"/>
      <c r="T995" s="139"/>
      <c r="U995" s="129"/>
      <c r="V995" s="129"/>
      <c r="W995" s="129"/>
      <c r="X995" s="129"/>
      <c r="Y995" s="129"/>
      <c r="Z995" s="115"/>
      <c r="AA995" s="129"/>
      <c r="AB995" s="149"/>
      <c r="AC995" s="129"/>
      <c r="AD995" s="129"/>
      <c r="AE995" s="129"/>
    </row>
    <row r="996" spans="3:31" x14ac:dyDescent="0.35">
      <c r="C996" s="129"/>
      <c r="D996" s="129"/>
      <c r="E996" s="129"/>
      <c r="F996" s="129"/>
      <c r="G996" s="129"/>
      <c r="H996" s="110"/>
      <c r="I996" s="129"/>
      <c r="J996" t="s">
        <v>351</v>
      </c>
      <c r="K996" s="129"/>
      <c r="L996" s="129"/>
      <c r="M996" s="129"/>
      <c r="N996" s="129"/>
      <c r="O996" s="129"/>
      <c r="P996" s="129"/>
      <c r="Q996" s="129"/>
      <c r="R996" s="129"/>
      <c r="S996" s="141"/>
      <c r="T996" s="139"/>
      <c r="U996" s="129"/>
      <c r="V996" s="129"/>
      <c r="W996" s="129"/>
      <c r="X996" s="129"/>
      <c r="Y996" s="129"/>
      <c r="Z996" s="115"/>
      <c r="AA996" s="129"/>
      <c r="AB996" s="149"/>
      <c r="AC996" s="129"/>
      <c r="AD996" s="129"/>
      <c r="AE996" s="129"/>
    </row>
    <row r="997" spans="3:31" x14ac:dyDescent="0.35">
      <c r="C997" s="129"/>
      <c r="D997" s="129"/>
      <c r="E997" s="129"/>
      <c r="F997" s="129"/>
      <c r="G997" s="129"/>
      <c r="H997" s="110"/>
      <c r="I997" s="129"/>
      <c r="J997" t="s">
        <v>351</v>
      </c>
      <c r="K997" s="129"/>
      <c r="L997" s="129"/>
      <c r="M997" s="129"/>
      <c r="N997" s="129"/>
      <c r="O997" s="129"/>
      <c r="P997" s="129"/>
      <c r="Q997" s="129"/>
      <c r="R997" s="129"/>
      <c r="S997" s="141"/>
      <c r="T997" s="139"/>
      <c r="U997" s="129"/>
      <c r="V997" s="129"/>
      <c r="W997" s="129"/>
      <c r="X997" s="129"/>
      <c r="Y997" s="129"/>
      <c r="Z997" s="115"/>
      <c r="AA997" s="129"/>
      <c r="AB997" s="149"/>
      <c r="AC997" s="129"/>
      <c r="AD997" s="129"/>
      <c r="AE997" s="129"/>
    </row>
    <row r="998" spans="3:31" x14ac:dyDescent="0.35">
      <c r="C998" s="129"/>
      <c r="D998" s="129"/>
      <c r="E998" s="129"/>
      <c r="F998" s="129"/>
      <c r="G998" s="129"/>
      <c r="H998" s="110"/>
      <c r="I998" s="129"/>
      <c r="J998" t="s">
        <v>351</v>
      </c>
      <c r="K998" s="129"/>
      <c r="L998" s="129"/>
      <c r="M998" s="129"/>
      <c r="N998" s="129"/>
      <c r="O998" s="129"/>
      <c r="P998" s="129"/>
      <c r="Q998" s="129"/>
      <c r="R998" s="129"/>
      <c r="S998" s="141"/>
      <c r="T998" s="139"/>
      <c r="U998" s="129"/>
      <c r="V998" s="129"/>
      <c r="W998" s="129"/>
      <c r="X998" s="129"/>
      <c r="Y998" s="129"/>
      <c r="Z998" s="115"/>
      <c r="AA998" s="129"/>
      <c r="AB998" s="149"/>
      <c r="AC998" s="129"/>
      <c r="AD998" s="129"/>
      <c r="AE998" s="129"/>
    </row>
    <row r="999" spans="3:31" x14ac:dyDescent="0.35">
      <c r="C999" s="129"/>
      <c r="D999" s="129"/>
      <c r="E999" s="129"/>
      <c r="F999" s="129"/>
      <c r="G999" s="129"/>
      <c r="H999" s="110"/>
      <c r="I999" s="129"/>
      <c r="J999" t="s">
        <v>351</v>
      </c>
      <c r="K999" s="129"/>
      <c r="L999" s="129"/>
      <c r="M999" s="129"/>
      <c r="N999" s="129"/>
      <c r="O999" s="129"/>
      <c r="P999" s="129"/>
      <c r="Q999" s="129"/>
      <c r="R999" s="129"/>
      <c r="S999" s="141"/>
      <c r="T999" s="139"/>
      <c r="U999" s="129"/>
      <c r="V999" s="129"/>
      <c r="W999" s="129"/>
      <c r="X999" s="129"/>
      <c r="Y999" s="129"/>
      <c r="Z999" s="115"/>
      <c r="AA999" s="129"/>
      <c r="AB999" s="149"/>
      <c r="AC999" s="129"/>
      <c r="AD999" s="129"/>
      <c r="AE999" s="129"/>
    </row>
    <row r="1000" spans="3:31" x14ac:dyDescent="0.35">
      <c r="C1000" s="129"/>
      <c r="D1000" s="129"/>
      <c r="E1000" s="129"/>
      <c r="F1000" s="129"/>
      <c r="G1000" s="129"/>
      <c r="H1000" s="110"/>
      <c r="I1000" s="129"/>
      <c r="J1000" t="s">
        <v>351</v>
      </c>
      <c r="K1000" s="129"/>
      <c r="L1000" s="129"/>
      <c r="M1000" s="129"/>
      <c r="N1000" s="129"/>
      <c r="O1000" s="129"/>
      <c r="P1000" s="129"/>
      <c r="Q1000" s="129"/>
      <c r="R1000" s="129"/>
      <c r="S1000" s="141"/>
      <c r="T1000" s="139"/>
      <c r="U1000" s="129"/>
      <c r="V1000" s="129"/>
      <c r="W1000" s="129"/>
      <c r="X1000" s="129"/>
      <c r="Y1000" s="129"/>
      <c r="Z1000" s="115"/>
      <c r="AA1000" s="129"/>
      <c r="AB1000" s="149"/>
      <c r="AC1000" s="129"/>
      <c r="AD1000" s="129"/>
      <c r="AE1000" s="129"/>
    </row>
    <row r="1001" spans="3:31" x14ac:dyDescent="0.35">
      <c r="C1001" s="129"/>
      <c r="D1001" s="129"/>
      <c r="E1001" s="129"/>
      <c r="F1001" s="129"/>
      <c r="G1001" s="129"/>
      <c r="H1001" s="110"/>
      <c r="I1001" s="129"/>
      <c r="J1001" t="s">
        <v>351</v>
      </c>
      <c r="K1001" s="129"/>
      <c r="L1001" s="129"/>
      <c r="M1001" s="129"/>
      <c r="N1001" s="129"/>
      <c r="O1001" s="129"/>
      <c r="P1001" s="129"/>
      <c r="Q1001" s="129"/>
      <c r="R1001" s="129"/>
      <c r="S1001" s="141"/>
      <c r="T1001" s="139"/>
      <c r="U1001" s="129"/>
      <c r="V1001" s="129"/>
      <c r="W1001" s="129"/>
      <c r="X1001" s="129"/>
      <c r="Y1001" s="129"/>
      <c r="Z1001" s="115"/>
      <c r="AA1001" s="129"/>
      <c r="AB1001" s="149"/>
      <c r="AC1001" s="129"/>
      <c r="AD1001" s="129"/>
      <c r="AE1001" s="129"/>
    </row>
    <row r="1002" spans="3:31" x14ac:dyDescent="0.35">
      <c r="C1002" s="129"/>
      <c r="D1002" s="129"/>
      <c r="E1002" s="129"/>
      <c r="F1002" s="129"/>
      <c r="G1002" s="129"/>
      <c r="H1002" s="110"/>
      <c r="I1002" s="129"/>
      <c r="J1002" t="s">
        <v>351</v>
      </c>
      <c r="K1002" s="129"/>
      <c r="L1002" s="129"/>
      <c r="M1002" s="129"/>
      <c r="N1002" s="129"/>
      <c r="O1002" s="129"/>
      <c r="P1002" s="129"/>
      <c r="Q1002" s="129"/>
      <c r="R1002" s="129"/>
      <c r="S1002" s="141"/>
      <c r="T1002" s="139"/>
      <c r="U1002" s="129"/>
      <c r="V1002" s="129"/>
      <c r="W1002" s="129"/>
      <c r="X1002" s="129"/>
      <c r="Y1002" s="129"/>
      <c r="Z1002" s="115"/>
      <c r="AA1002" s="129"/>
      <c r="AB1002" s="149"/>
      <c r="AC1002" s="129"/>
      <c r="AD1002" s="129"/>
      <c r="AE1002" s="129"/>
    </row>
    <row r="1003" spans="3:31" x14ac:dyDescent="0.35">
      <c r="C1003" s="129"/>
      <c r="D1003" s="129"/>
      <c r="E1003" s="129"/>
      <c r="F1003" s="129"/>
      <c r="G1003" s="129"/>
      <c r="H1003" s="110"/>
      <c r="I1003" s="129"/>
      <c r="J1003" t="s">
        <v>351</v>
      </c>
      <c r="K1003" s="129"/>
      <c r="L1003" s="129"/>
      <c r="M1003" s="129"/>
      <c r="N1003" s="129"/>
      <c r="O1003" s="129"/>
      <c r="P1003" s="129"/>
      <c r="Q1003" s="129"/>
      <c r="R1003" s="129"/>
      <c r="S1003" s="141"/>
      <c r="T1003" s="139"/>
      <c r="U1003" s="129"/>
      <c r="V1003" s="129"/>
      <c r="W1003" s="129"/>
      <c r="X1003" s="129"/>
      <c r="Y1003" s="129"/>
      <c r="Z1003" s="115"/>
      <c r="AA1003" s="129"/>
      <c r="AB1003" s="149"/>
      <c r="AC1003" s="129"/>
      <c r="AD1003" s="129"/>
      <c r="AE1003" s="129"/>
    </row>
    <row r="1004" spans="3:31" x14ac:dyDescent="0.35">
      <c r="C1004" s="129"/>
      <c r="D1004" s="129"/>
      <c r="E1004" s="129"/>
      <c r="F1004" s="129"/>
      <c r="G1004" s="129"/>
      <c r="H1004" s="110"/>
      <c r="I1004" s="129"/>
      <c r="J1004" t="s">
        <v>351</v>
      </c>
      <c r="K1004" s="129"/>
      <c r="L1004" s="129"/>
      <c r="M1004" s="129"/>
      <c r="N1004" s="129"/>
      <c r="O1004" s="129"/>
      <c r="P1004" s="129"/>
      <c r="Q1004" s="129"/>
      <c r="R1004" s="129"/>
      <c r="S1004" s="141"/>
      <c r="T1004" s="139"/>
      <c r="U1004" s="129"/>
      <c r="V1004" s="129"/>
      <c r="W1004" s="129"/>
      <c r="X1004" s="129"/>
      <c r="Y1004" s="129"/>
      <c r="Z1004" s="115"/>
      <c r="AA1004" s="129"/>
      <c r="AB1004" s="149"/>
      <c r="AC1004" s="129"/>
      <c r="AD1004" s="129"/>
      <c r="AE1004" s="129"/>
    </row>
    <row r="1005" spans="3:31" x14ac:dyDescent="0.35">
      <c r="C1005" s="129"/>
      <c r="D1005" s="129"/>
      <c r="E1005" s="129"/>
      <c r="F1005" s="129"/>
      <c r="G1005" s="129"/>
      <c r="H1005" s="110"/>
      <c r="I1005" s="129"/>
      <c r="J1005" t="s">
        <v>351</v>
      </c>
      <c r="K1005" s="129"/>
      <c r="L1005" s="129"/>
      <c r="M1005" s="129"/>
      <c r="N1005" s="129"/>
      <c r="O1005" s="129"/>
      <c r="P1005" s="129"/>
      <c r="Q1005" s="129"/>
      <c r="R1005" s="129"/>
      <c r="S1005" s="141"/>
      <c r="T1005" s="139"/>
      <c r="U1005" s="129"/>
      <c r="V1005" s="129"/>
      <c r="W1005" s="129"/>
      <c r="X1005" s="129"/>
      <c r="Y1005" s="129"/>
      <c r="Z1005" s="115"/>
      <c r="AA1005" s="129"/>
      <c r="AB1005" s="149"/>
      <c r="AC1005" s="129"/>
      <c r="AD1005" s="129"/>
      <c r="AE1005" s="129"/>
    </row>
    <row r="1006" spans="3:31" x14ac:dyDescent="0.35">
      <c r="C1006" s="129"/>
      <c r="D1006" s="129"/>
      <c r="E1006" s="129"/>
      <c r="F1006" s="129"/>
      <c r="G1006" s="129"/>
      <c r="H1006" s="110"/>
      <c r="I1006" s="129"/>
      <c r="J1006" t="s">
        <v>351</v>
      </c>
      <c r="K1006" s="129"/>
      <c r="L1006" s="129"/>
      <c r="M1006" s="129"/>
      <c r="N1006" s="129"/>
      <c r="O1006" s="129"/>
      <c r="P1006" s="129"/>
      <c r="Q1006" s="129"/>
      <c r="R1006" s="129"/>
      <c r="S1006" s="141"/>
      <c r="T1006" s="139"/>
      <c r="U1006" s="129"/>
      <c r="V1006" s="129"/>
      <c r="W1006" s="129"/>
      <c r="X1006" s="129"/>
      <c r="Y1006" s="129"/>
      <c r="Z1006" s="115"/>
      <c r="AA1006" s="129"/>
      <c r="AB1006" s="149"/>
      <c r="AC1006" s="129"/>
      <c r="AD1006" s="129"/>
      <c r="AE1006" s="129"/>
    </row>
    <row r="1007" spans="3:31" x14ac:dyDescent="0.35">
      <c r="C1007" s="129"/>
      <c r="D1007" s="129"/>
      <c r="E1007" s="129"/>
      <c r="F1007" s="129"/>
      <c r="G1007" s="129"/>
      <c r="H1007" s="110"/>
      <c r="I1007" s="129"/>
      <c r="J1007" t="s">
        <v>351</v>
      </c>
      <c r="K1007" s="129"/>
      <c r="L1007" s="129"/>
      <c r="M1007" s="129"/>
      <c r="N1007" s="129"/>
      <c r="O1007" s="129"/>
      <c r="P1007" s="129"/>
      <c r="Q1007" s="129"/>
      <c r="R1007" s="129"/>
      <c r="S1007" s="141"/>
      <c r="T1007" s="139"/>
      <c r="U1007" s="129"/>
      <c r="V1007" s="129"/>
      <c r="W1007" s="129"/>
      <c r="X1007" s="129"/>
      <c r="Y1007" s="129"/>
      <c r="Z1007" s="115"/>
      <c r="AA1007" s="129"/>
      <c r="AB1007" s="149"/>
      <c r="AC1007" s="129"/>
      <c r="AD1007" s="129"/>
      <c r="AE1007" s="129"/>
    </row>
    <row r="1008" spans="3:31" x14ac:dyDescent="0.35">
      <c r="C1008" s="129"/>
      <c r="D1008" s="129"/>
      <c r="E1008" s="129"/>
      <c r="F1008" s="129"/>
      <c r="G1008" s="129"/>
      <c r="H1008" s="110"/>
      <c r="I1008" s="129"/>
      <c r="J1008" t="s">
        <v>351</v>
      </c>
      <c r="K1008" s="129"/>
      <c r="L1008" s="129"/>
      <c r="M1008" s="129"/>
      <c r="N1008" s="129"/>
      <c r="O1008" s="129"/>
      <c r="P1008" s="129"/>
      <c r="Q1008" s="129"/>
      <c r="R1008" s="129"/>
      <c r="S1008" s="141"/>
      <c r="T1008" s="139"/>
      <c r="U1008" s="129"/>
      <c r="V1008" s="129"/>
      <c r="W1008" s="129"/>
      <c r="X1008" s="129"/>
      <c r="Y1008" s="129"/>
      <c r="Z1008" s="115"/>
      <c r="AA1008" s="129"/>
      <c r="AB1008" s="149"/>
      <c r="AC1008" s="129"/>
      <c r="AD1008" s="129"/>
      <c r="AE1008" s="129"/>
    </row>
    <row r="1009" spans="3:31" x14ac:dyDescent="0.35">
      <c r="C1009" s="129"/>
      <c r="D1009" s="129"/>
      <c r="E1009" s="129"/>
      <c r="F1009" s="129"/>
      <c r="G1009" s="129"/>
      <c r="H1009" s="110"/>
      <c r="I1009" s="129"/>
      <c r="J1009" t="s">
        <v>351</v>
      </c>
      <c r="K1009" s="129"/>
      <c r="L1009" s="129"/>
      <c r="M1009" s="129"/>
      <c r="N1009" s="129"/>
      <c r="O1009" s="129"/>
      <c r="P1009" s="129"/>
      <c r="Q1009" s="129"/>
      <c r="R1009" s="129"/>
      <c r="S1009" s="141"/>
      <c r="T1009" s="139"/>
      <c r="U1009" s="129"/>
      <c r="V1009" s="129"/>
      <c r="W1009" s="129"/>
      <c r="X1009" s="129"/>
      <c r="Y1009" s="129"/>
      <c r="Z1009" s="115"/>
      <c r="AA1009" s="129"/>
      <c r="AB1009" s="149"/>
      <c r="AC1009" s="129"/>
      <c r="AD1009" s="129"/>
      <c r="AE1009" s="129"/>
    </row>
    <row r="1010" spans="3:31" x14ac:dyDescent="0.35">
      <c r="C1010" s="129"/>
      <c r="D1010" s="129"/>
      <c r="E1010" s="129"/>
      <c r="F1010" s="129"/>
      <c r="G1010" s="129"/>
      <c r="H1010" s="110"/>
      <c r="I1010" s="129"/>
      <c r="J1010" t="s">
        <v>351</v>
      </c>
      <c r="K1010" s="129"/>
      <c r="L1010" s="129"/>
      <c r="M1010" s="129"/>
      <c r="N1010" s="129"/>
      <c r="O1010" s="129"/>
      <c r="P1010" s="129"/>
      <c r="Q1010" s="129"/>
      <c r="R1010" s="129"/>
      <c r="S1010" s="141"/>
      <c r="T1010" s="139"/>
      <c r="U1010" s="129"/>
      <c r="V1010" s="129"/>
      <c r="W1010" s="129"/>
      <c r="X1010" s="129"/>
      <c r="Y1010" s="129"/>
      <c r="Z1010" s="115"/>
      <c r="AA1010" s="129"/>
      <c r="AB1010" s="149"/>
      <c r="AC1010" s="129"/>
      <c r="AD1010" s="129"/>
      <c r="AE1010" s="129"/>
    </row>
    <row r="1011" spans="3:31" x14ac:dyDescent="0.35">
      <c r="C1011" s="129"/>
      <c r="D1011" s="129"/>
      <c r="E1011" s="129"/>
      <c r="F1011" s="129"/>
      <c r="G1011" s="129"/>
      <c r="H1011" s="110"/>
      <c r="I1011" s="129"/>
      <c r="J1011" t="s">
        <v>351</v>
      </c>
      <c r="K1011" s="129"/>
      <c r="L1011" s="129"/>
      <c r="M1011" s="129"/>
      <c r="N1011" s="129"/>
      <c r="O1011" s="129"/>
      <c r="P1011" s="129"/>
      <c r="Q1011" s="129"/>
      <c r="R1011" s="129"/>
      <c r="S1011" s="141"/>
      <c r="T1011" s="139"/>
      <c r="U1011" s="129"/>
      <c r="V1011" s="129"/>
      <c r="W1011" s="129"/>
      <c r="X1011" s="129"/>
      <c r="Y1011" s="129"/>
      <c r="Z1011" s="115"/>
      <c r="AA1011" s="129"/>
      <c r="AB1011" s="149"/>
      <c r="AC1011" s="129"/>
      <c r="AD1011" s="129"/>
      <c r="AE1011" s="129"/>
    </row>
    <row r="1012" spans="3:31" x14ac:dyDescent="0.35">
      <c r="C1012" s="129"/>
      <c r="D1012" s="129"/>
      <c r="E1012" s="129"/>
      <c r="F1012" s="129"/>
      <c r="G1012" s="129"/>
      <c r="H1012" s="110"/>
      <c r="I1012" s="129"/>
      <c r="J1012" t="s">
        <v>351</v>
      </c>
      <c r="K1012" s="129"/>
      <c r="L1012" s="129"/>
      <c r="M1012" s="129"/>
      <c r="N1012" s="129"/>
      <c r="O1012" s="129"/>
      <c r="P1012" s="129"/>
      <c r="Q1012" s="129"/>
      <c r="R1012" s="129"/>
      <c r="S1012" s="141"/>
      <c r="T1012" s="139"/>
      <c r="U1012" s="129"/>
      <c r="V1012" s="129"/>
      <c r="W1012" s="129"/>
      <c r="X1012" s="129"/>
      <c r="Y1012" s="129"/>
      <c r="Z1012" s="115"/>
      <c r="AA1012" s="129"/>
      <c r="AB1012" s="149"/>
      <c r="AC1012" s="129"/>
      <c r="AD1012" s="129"/>
      <c r="AE1012" s="129"/>
    </row>
    <row r="1013" spans="3:31" x14ac:dyDescent="0.35">
      <c r="C1013" s="129"/>
      <c r="D1013" s="129"/>
      <c r="E1013" s="129"/>
      <c r="F1013" s="129"/>
      <c r="G1013" s="129"/>
      <c r="H1013" s="110"/>
      <c r="I1013" s="129"/>
      <c r="J1013" t="s">
        <v>351</v>
      </c>
      <c r="K1013" s="129"/>
      <c r="L1013" s="129"/>
      <c r="M1013" s="129"/>
      <c r="N1013" s="129"/>
      <c r="O1013" s="129"/>
      <c r="P1013" s="129"/>
      <c r="Q1013" s="129"/>
      <c r="R1013" s="129"/>
      <c r="S1013" s="141"/>
      <c r="T1013" s="139"/>
      <c r="U1013" s="129"/>
      <c r="V1013" s="129"/>
      <c r="W1013" s="129"/>
      <c r="X1013" s="129"/>
      <c r="Y1013" s="129"/>
      <c r="Z1013" s="115"/>
      <c r="AA1013" s="129"/>
      <c r="AB1013" s="149"/>
      <c r="AC1013" s="129"/>
      <c r="AD1013" s="129"/>
      <c r="AE1013" s="129"/>
    </row>
    <row r="1014" spans="3:31" x14ac:dyDescent="0.35">
      <c r="C1014" s="129"/>
      <c r="D1014" s="129"/>
      <c r="E1014" s="129"/>
      <c r="F1014" s="129"/>
      <c r="G1014" s="129"/>
      <c r="H1014" s="110"/>
      <c r="I1014" s="129"/>
      <c r="J1014" t="s">
        <v>351</v>
      </c>
      <c r="K1014" s="129"/>
      <c r="L1014" s="129"/>
      <c r="M1014" s="129"/>
      <c r="N1014" s="129"/>
      <c r="O1014" s="129"/>
      <c r="P1014" s="129"/>
      <c r="Q1014" s="129"/>
      <c r="R1014" s="129"/>
      <c r="S1014" s="141"/>
      <c r="T1014" s="139"/>
      <c r="U1014" s="129"/>
      <c r="V1014" s="129"/>
      <c r="W1014" s="129"/>
      <c r="X1014" s="129"/>
      <c r="Y1014" s="129"/>
      <c r="Z1014" s="115"/>
      <c r="AA1014" s="129"/>
      <c r="AB1014" s="149"/>
      <c r="AC1014" s="129"/>
      <c r="AD1014" s="129"/>
      <c r="AE1014" s="129"/>
    </row>
    <row r="1015" spans="3:31" x14ac:dyDescent="0.35">
      <c r="C1015" s="129"/>
      <c r="D1015" s="129"/>
      <c r="E1015" s="129"/>
      <c r="F1015" s="129"/>
      <c r="G1015" s="129"/>
      <c r="H1015" s="110"/>
      <c r="I1015" s="129"/>
      <c r="J1015" t="s">
        <v>351</v>
      </c>
      <c r="K1015" s="129"/>
      <c r="L1015" s="129"/>
      <c r="M1015" s="129"/>
      <c r="N1015" s="129"/>
      <c r="O1015" s="129"/>
      <c r="P1015" s="129"/>
      <c r="Q1015" s="129"/>
      <c r="R1015" s="129"/>
      <c r="S1015" s="141"/>
      <c r="T1015" s="139"/>
      <c r="U1015" s="129"/>
      <c r="V1015" s="129"/>
      <c r="W1015" s="129"/>
      <c r="X1015" s="129"/>
      <c r="Y1015" s="129"/>
      <c r="Z1015" s="115"/>
      <c r="AA1015" s="129"/>
      <c r="AB1015" s="149"/>
      <c r="AC1015" s="129"/>
      <c r="AD1015" s="129"/>
      <c r="AE1015" s="129"/>
    </row>
  </sheetData>
  <conditionalFormatting sqref="H4:H1015">
    <cfRule type="containsText" dxfId="59" priority="3" operator="containsText" text="Final">
      <formula>NOT(ISERROR(SEARCH("Final",H4)))</formula>
    </cfRule>
    <cfRule type="cellIs" dxfId="58" priority="4" operator="equal">
      <formula>"Issue"</formula>
    </cfRule>
    <cfRule type="containsText" dxfId="57" priority="5" operator="containsText" text="Unchecked">
      <formula>NOT(ISERROR(SEARCH("Unchecked",H4)))</formula>
    </cfRule>
    <cfRule type="containsText" dxfId="56" priority="6" operator="containsText" text="Placeholder">
      <formula>NOT(ISERROR(SEARCH("Placeholder",H4)))</formula>
    </cfRule>
    <cfRule type="containsText" dxfId="55" priority="7" operator="containsText" text="Incomplete">
      <formula>NOT(ISERROR(SEARCH("Incomplete",H4)))</formula>
    </cfRule>
  </conditionalFormatting>
  <conditionalFormatting sqref="J4:J1015 N4:N1015">
    <cfRule type="containsText" dxfId="54" priority="1" operator="containsText" text="Yes">
      <formula>NOT(ISERROR(SEARCH("Yes",J4)))</formula>
    </cfRule>
    <cfRule type="containsText" dxfId="53" priority="2" operator="containsText" text="No">
      <formula>NOT(ISERROR(SEARCH("No",J4)))</formula>
    </cfRule>
  </conditionalFormatting>
  <conditionalFormatting sqref="Q1016:R1130 Q4:Q1015">
    <cfRule type="containsText" dxfId="52" priority="8" operator="containsText" text="Yes">
      <formula>NOT(ISERROR(SEARCH("Yes",Q4)))</formula>
    </cfRule>
    <cfRule type="containsText" dxfId="51" priority="9" operator="containsText" text="Partial">
      <formula>NOT(ISERROR(SEARCH("Partial",Q4)))</formula>
    </cfRule>
    <cfRule type="containsText" dxfId="50" priority="10" operator="containsText" text="No">
      <formula>NOT(ISERROR(SEARCH("No",Q4)))</formula>
    </cfRule>
  </conditionalFormatting>
  <dataValidations count="3">
    <dataValidation type="list" allowBlank="1" showInputMessage="1" showErrorMessage="1" sqref="H4:H1015" xr:uid="{9B9577AE-1391-4AAF-880E-39E015676C5C}">
      <formula1>"Final, Unchecked, Placeholder, Incomplete, Issue"</formula1>
    </dataValidation>
    <dataValidation type="list" allowBlank="1" showInputMessage="1" showErrorMessage="1" sqref="J4:J1015 N4:N1015" xr:uid="{C7EA7D58-B1BD-4A0B-BE88-3312E53B5062}">
      <formula1>"Yes, No"</formula1>
    </dataValidation>
    <dataValidation type="list" allowBlank="1" showInputMessage="1" showErrorMessage="1" sqref="Q4:Q1015" xr:uid="{0D52E220-8538-4D2F-8C7B-5DBD3240703A}">
      <formula1>"Yes, Partial, No"</formula1>
    </dataValidation>
  </dataValidations>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6">
        <x14:dataValidation type="list" allowBlank="1" showInputMessage="1" showErrorMessage="1" xr:uid="{2ABD9386-CDAE-4D61-AC48-6F1810E18FBA}">
          <x14:formula1>
            <xm:f>'RAW GWP FOSSIL'!$A$2:$A$1048576</xm:f>
          </x14:formula1>
          <xm:sqref>K52 K19 K63 K83:K84 K100 K106 K126 K135 K144 K153 K173:K174 K162:K163 K184:K185 K202 K209 K216:K217 K117 K228 K239 K131 K122 K140 K111 K88 K149 K158 K167 K178 K189 K204 K211 K222 K233 K244 K255 K259 K197 K77 K65 K57 K46 K38 K21 K10 K115 K226 K237 K248 K250</xm:sqref>
        </x14:dataValidation>
        <x14:dataValidation type="list" allowBlank="1" showInputMessage="1" showErrorMessage="1" xr:uid="{00A2F521-2A53-41A3-BA6C-792356962E9A}">
          <x14:formula1>
            <xm:f>MATERIALS!$A$2:$A$500</xm:f>
          </x14:formula1>
          <xm:sqref>K257 K15:K17 K37 K45 K71:K76 K85:K87 K98:K99 K110 K113 K121 K26:K28 K130 K124 K139 K133 K148 K142 K157 K151 K164:K166 K175:K177 K186:K188 K196 K221 K224 K232 K235 K243 K246 K254 K160</xm:sqref>
        </x14:dataValidation>
        <x14:dataValidation type="list" allowBlank="1" showInputMessage="1" showErrorMessage="1" xr:uid="{9D33BCC1-7FE4-4B4F-8364-B66B63CD6E06}">
          <x14:formula1>
            <xm:f>'SCENARIO ASSUMPTIONS'!$V$6:$V$21</xm:f>
          </x14:formula1>
          <xm:sqref>G4:G1015</xm:sqref>
        </x14:dataValidation>
        <x14:dataValidation type="list" allowBlank="1" showInputMessage="1" showErrorMessage="1" xr:uid="{7CAAE609-1B47-408E-922C-A8EE98B14088}">
          <x14:formula1>
            <xm:f>'SCENARIO ASSUMPTIONS'!$N$6:$N$21</xm:f>
          </x14:formula1>
          <xm:sqref>L4:L1015</xm:sqref>
        </x14:dataValidation>
        <x14:dataValidation type="list" allowBlank="1" showInputMessage="1" showErrorMessage="1" xr:uid="{D6331A57-0E91-4C6B-83E5-BF49475DD57C}">
          <x14:formula1>
            <xm:f>'SCENARIO ASSUMPTIONS'!$T$6:$T$21</xm:f>
          </x14:formula1>
          <xm:sqref>C4:C1015</xm:sqref>
        </x14:dataValidation>
        <x14:dataValidation type="list" allowBlank="1" showInputMessage="1" showErrorMessage="1" xr:uid="{EFCD5EFA-41A6-4047-BC73-456424D4999F}">
          <x14:formula1>
            <xm:f>'SCENARIO ASSUMPTIONS'!$F$6:$F$21</xm:f>
          </x14:formula1>
          <xm:sqref>M4:M1015</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21DF0-91A7-41B6-B5AE-10C4EF6FA156}">
  <sheetPr codeName="Sheet12">
    <tabColor rgb="FFFFFF00"/>
  </sheetPr>
  <dimension ref="A1:AE769"/>
  <sheetViews>
    <sheetView workbookViewId="0">
      <selection activeCell="A22" sqref="A22"/>
    </sheetView>
  </sheetViews>
  <sheetFormatPr defaultRowHeight="14.5" x14ac:dyDescent="0.35"/>
  <cols>
    <col min="1" max="1" width="10.81640625" bestFit="1" customWidth="1"/>
    <col min="2" max="2" width="25.54296875" bestFit="1" customWidth="1"/>
    <col min="3" max="3" width="14.26953125" customWidth="1"/>
    <col min="4" max="4" width="15.90625" customWidth="1"/>
    <col min="5" max="5" width="14" customWidth="1"/>
    <col min="6" max="10" width="37.6328125" customWidth="1"/>
    <col min="11" max="11" width="27.7265625" bestFit="1" customWidth="1"/>
    <col min="12" max="12" width="27.7265625" customWidth="1"/>
    <col min="13" max="13" width="15.26953125" bestFit="1" customWidth="1"/>
    <col min="14" max="14" width="20.08984375" bestFit="1" customWidth="1"/>
    <col min="15" max="15" width="22.26953125" bestFit="1" customWidth="1"/>
    <col min="16" max="16" width="42" customWidth="1"/>
    <col min="17" max="18" width="21.90625" customWidth="1"/>
    <col min="19" max="19" width="18.90625" style="106" customWidth="1"/>
    <col min="20" max="20" width="32.453125" style="12" customWidth="1"/>
    <col min="21" max="21" width="27.36328125" customWidth="1"/>
    <col min="22" max="22" width="22.6328125" customWidth="1"/>
    <col min="23" max="23" width="11.7265625" customWidth="1"/>
    <col min="24" max="24" width="11.54296875" customWidth="1"/>
    <col min="25" max="25" width="14.1796875" customWidth="1"/>
    <col min="26" max="26" width="21.81640625" customWidth="1"/>
    <col min="27" max="27" width="24.54296875" customWidth="1"/>
    <col min="28" max="28" width="19.26953125" customWidth="1"/>
    <col min="29" max="29" width="24.453125" customWidth="1"/>
    <col min="31" max="31" width="12.08984375" customWidth="1"/>
  </cols>
  <sheetData>
    <row r="1" spans="1:31" s="11" customFormat="1" x14ac:dyDescent="0.35">
      <c r="F1"/>
      <c r="G1"/>
      <c r="H1"/>
      <c r="I1"/>
      <c r="J1"/>
    </row>
    <row r="2" spans="1:31" s="11" customFormat="1" ht="101.5" x14ac:dyDescent="0.35">
      <c r="A2" s="11" t="s">
        <v>518</v>
      </c>
      <c r="F2"/>
      <c r="G2"/>
      <c r="H2" s="11" t="s">
        <v>669</v>
      </c>
      <c r="J2"/>
      <c r="N2" s="11" t="s">
        <v>525</v>
      </c>
      <c r="S2" s="11" t="s">
        <v>555</v>
      </c>
      <c r="W2" s="11" t="s">
        <v>587</v>
      </c>
      <c r="AB2" s="11" t="s">
        <v>586</v>
      </c>
    </row>
    <row r="3" spans="1:31" s="63" customFormat="1" ht="68.5" customHeight="1" x14ac:dyDescent="0.35">
      <c r="B3" s="63" t="s">
        <v>451</v>
      </c>
      <c r="C3" s="63" t="s">
        <v>519</v>
      </c>
      <c r="D3" s="63" t="s">
        <v>557</v>
      </c>
      <c r="E3" s="63" t="s">
        <v>856</v>
      </c>
      <c r="F3" s="110" t="s">
        <v>598</v>
      </c>
      <c r="G3" s="110" t="s">
        <v>991</v>
      </c>
      <c r="H3" s="110" t="s">
        <v>661</v>
      </c>
      <c r="I3" s="110" t="s">
        <v>658</v>
      </c>
      <c r="J3" s="110" t="s">
        <v>662</v>
      </c>
      <c r="K3" s="63" t="s">
        <v>521</v>
      </c>
      <c r="L3" s="63" t="s">
        <v>818</v>
      </c>
      <c r="M3" s="63" t="s">
        <v>531</v>
      </c>
      <c r="N3" s="63" t="s">
        <v>524</v>
      </c>
      <c r="O3" s="63" t="s">
        <v>526</v>
      </c>
      <c r="P3" s="63" t="s">
        <v>540</v>
      </c>
      <c r="Q3" s="63" t="s">
        <v>522</v>
      </c>
      <c r="R3" s="63" t="s">
        <v>570</v>
      </c>
      <c r="S3" s="63" t="s">
        <v>523</v>
      </c>
      <c r="T3" s="63" t="s">
        <v>541</v>
      </c>
      <c r="U3" s="63" t="s">
        <v>527</v>
      </c>
      <c r="V3" s="63" t="s">
        <v>528</v>
      </c>
      <c r="W3" s="63" t="s">
        <v>547</v>
      </c>
      <c r="X3" s="63" t="s">
        <v>7</v>
      </c>
      <c r="Y3" s="63" t="s">
        <v>8</v>
      </c>
      <c r="Z3" s="63" t="s">
        <v>537</v>
      </c>
      <c r="AA3" s="63" t="s">
        <v>538</v>
      </c>
      <c r="AB3" s="63" t="s">
        <v>544</v>
      </c>
      <c r="AC3" s="63" t="s">
        <v>546</v>
      </c>
      <c r="AD3" s="63" t="s">
        <v>565</v>
      </c>
      <c r="AE3" s="63" t="s">
        <v>567</v>
      </c>
    </row>
    <row r="4" spans="1:31" x14ac:dyDescent="0.35">
      <c r="B4" s="115" t="str">
        <f>_xlfn.CONCAT(Master_Table4[[#This Row],[Model Source]],"_",Master_Table4[[#This Row],[External Finish Type]])</f>
        <v>LCA_Solid Brick</v>
      </c>
      <c r="C4" s="129" t="s">
        <v>512</v>
      </c>
      <c r="D4" s="129" t="s">
        <v>849</v>
      </c>
      <c r="E4" s="129" t="s">
        <v>873</v>
      </c>
      <c r="F4" s="129"/>
      <c r="G4" s="129" t="s">
        <v>992</v>
      </c>
      <c r="H4" s="110" t="s">
        <v>663</v>
      </c>
      <c r="I4" s="129"/>
      <c r="J4" t="s">
        <v>351</v>
      </c>
      <c r="K4" s="130" t="s">
        <v>285</v>
      </c>
      <c r="L4" s="129" t="s">
        <v>663</v>
      </c>
      <c r="M4" s="129" t="s">
        <v>346</v>
      </c>
      <c r="N4" t="s">
        <v>351</v>
      </c>
      <c r="O4" s="129" t="s">
        <v>564</v>
      </c>
      <c r="P4" s="129" t="s">
        <v>563</v>
      </c>
      <c r="Q4" t="s">
        <v>352</v>
      </c>
      <c r="R4" s="129" t="s">
        <v>334</v>
      </c>
      <c r="S4" s="140">
        <v>0.12987012987012989</v>
      </c>
      <c r="T4" s="138">
        <f>Master_Table4[[#This Row],[Raw A1-A3/Conversion factor]]*Master_Table4[[#This Row],[Total Mass per m^2 (kg)]]</f>
        <v>42.199999999999996</v>
      </c>
      <c r="U4" s="134">
        <v>0.21099999999999999</v>
      </c>
      <c r="V4" s="134" t="s">
        <v>545</v>
      </c>
      <c r="W4" s="134">
        <v>1</v>
      </c>
      <c r="X4" s="134">
        <v>1</v>
      </c>
      <c r="Y4" s="134">
        <v>0.1</v>
      </c>
      <c r="Z4" s="115">
        <f>Master_Table4[[#This Row],[Length (m) (on wall)]]*Master_Table4[[#This Row],[Height (m)]]*Master_Table4[[#This Row],[Thickness (m)]]</f>
        <v>0.1</v>
      </c>
      <c r="AA4" s="134">
        <v>1</v>
      </c>
      <c r="AB4" s="152">
        <v>1</v>
      </c>
      <c r="AC4" s="153">
        <v>2000</v>
      </c>
      <c r="AD4" s="150">
        <f>Master_Table4[[#This Row],[Element Volume (m^3)]]*Master_Table4[[#This Row],[No. of elements in 1 panel]]*Master_Table4[[#This Row],[Material Density (kg/m^3)]]</f>
        <v>200</v>
      </c>
      <c r="AE4" s="129">
        <v>0.77</v>
      </c>
    </row>
    <row r="5" spans="1:31" x14ac:dyDescent="0.35">
      <c r="B5" s="115" t="str">
        <f>_xlfn.CONCAT(Master_Table4[[#This Row],[Model Source]],"_",Master_Table4[[#This Row],[External Finish Type]])</f>
        <v>LCA_Solid Brick</v>
      </c>
      <c r="C5" s="129" t="s">
        <v>512</v>
      </c>
      <c r="D5" s="129" t="s">
        <v>849</v>
      </c>
      <c r="E5" s="129" t="s">
        <v>873</v>
      </c>
      <c r="F5" s="129"/>
      <c r="G5" s="129" t="s">
        <v>992</v>
      </c>
      <c r="H5" s="110" t="s">
        <v>659</v>
      </c>
      <c r="I5" s="129" t="s">
        <v>807</v>
      </c>
      <c r="J5" t="s">
        <v>351</v>
      </c>
      <c r="K5" s="79" t="s">
        <v>796</v>
      </c>
      <c r="L5" s="134" t="s">
        <v>815</v>
      </c>
      <c r="M5" s="134" t="s">
        <v>346</v>
      </c>
      <c r="N5" t="s">
        <v>351</v>
      </c>
      <c r="O5" s="134" t="s">
        <v>584</v>
      </c>
      <c r="P5" s="129" t="s">
        <v>576</v>
      </c>
      <c r="Q5" t="s">
        <v>351</v>
      </c>
      <c r="R5" s="129" t="s">
        <v>808</v>
      </c>
      <c r="S5" s="140">
        <v>0</v>
      </c>
      <c r="T5" s="124">
        <f>_xlfn.XLOOKUP(Master_Table4[[#This Row],[Component Name]],'GWP NORMALISED'!$A$2:$A$500,'GWP NORMALISED'!$H$2:$H$500,FALSE)</f>
        <v>4.1849999999999996</v>
      </c>
      <c r="U5" s="125">
        <f>_xlfn.XLOOKUP(Master_Table4[[#This Row],[Component Name]],'RAW GWP FOSSIL'!$A$2:$A$500,'RAW GWP FOSSIL'!$H$2:$H$500,FALSE)</f>
        <v>135</v>
      </c>
      <c r="V5" s="129" t="s">
        <v>545</v>
      </c>
      <c r="W5" s="129">
        <v>1</v>
      </c>
      <c r="X5" s="129">
        <v>1.2E-2</v>
      </c>
      <c r="Y5" s="129">
        <v>0.1</v>
      </c>
      <c r="Z5" s="115">
        <f>Master_Table4[[#This Row],[Length (m) (on wall)]]*Master_Table4[[#This Row],[Height (m)]]*Master_Table4[[#This Row],[Thickness (m)]]</f>
        <v>1.2000000000000001E-3</v>
      </c>
      <c r="AA5" s="129">
        <v>5</v>
      </c>
      <c r="AB5" s="149">
        <f>Master_Table4[[#This Row],[Length (m) (on wall)]]*Master_Table4[[#This Row],[Height (m)]]/1</f>
        <v>1.2E-2</v>
      </c>
      <c r="AC5" s="147">
        <v>2000</v>
      </c>
      <c r="AD5" s="129">
        <f>0.031*1000</f>
        <v>31</v>
      </c>
      <c r="AE5" s="147">
        <v>2</v>
      </c>
    </row>
    <row r="6" spans="1:31" x14ac:dyDescent="0.35">
      <c r="B6" s="115" t="str">
        <f>_xlfn.CONCAT(Master_Table4[[#This Row],[Model Source]],"_",Master_Table4[[#This Row],[External Finish Type]])</f>
        <v>LCA_Solid Brick</v>
      </c>
      <c r="C6" s="129" t="s">
        <v>512</v>
      </c>
      <c r="D6" s="129" t="s">
        <v>849</v>
      </c>
      <c r="E6" s="129" t="s">
        <v>873</v>
      </c>
      <c r="F6" s="129"/>
      <c r="G6" s="129" t="s">
        <v>992</v>
      </c>
      <c r="H6" s="110" t="s">
        <v>663</v>
      </c>
      <c r="I6" s="129"/>
      <c r="J6" t="s">
        <v>351</v>
      </c>
      <c r="K6" s="129" t="s">
        <v>355</v>
      </c>
      <c r="L6" s="129" t="s">
        <v>817</v>
      </c>
      <c r="M6" s="129" t="s">
        <v>346</v>
      </c>
      <c r="N6" t="s">
        <v>351</v>
      </c>
      <c r="O6" s="129" t="s">
        <v>583</v>
      </c>
      <c r="P6" s="129" t="s">
        <v>577</v>
      </c>
      <c r="Q6" t="s">
        <v>352</v>
      </c>
      <c r="R6" s="129" t="s">
        <v>334</v>
      </c>
      <c r="S6" s="140">
        <v>2</v>
      </c>
      <c r="T6" s="138">
        <v>0</v>
      </c>
      <c r="U6" s="147">
        <v>0</v>
      </c>
      <c r="V6" s="129" t="s">
        <v>545</v>
      </c>
      <c r="W6" s="129">
        <v>1</v>
      </c>
      <c r="X6" s="129">
        <v>1</v>
      </c>
      <c r="Y6" s="129">
        <v>0.1</v>
      </c>
      <c r="Z6" s="115">
        <f>Master_Table4[[#This Row],[Length (m) (on wall)]]*Master_Table4[[#This Row],[Height (m)]]*Master_Table4[[#This Row],[Thickness (m)]]</f>
        <v>0.1</v>
      </c>
      <c r="AA6" s="129">
        <v>1</v>
      </c>
      <c r="AB6" s="149">
        <v>1</v>
      </c>
      <c r="AC6" s="129">
        <v>1.2</v>
      </c>
      <c r="AD6" s="129">
        <f>Master_Table4[[#This Row],[Material Density (kg/m^3)]]*Master_Table4[[#This Row],[Thickness (m)]]</f>
        <v>0.12</v>
      </c>
      <c r="AE6" s="129">
        <v>2.5000000000000001E-2</v>
      </c>
    </row>
    <row r="7" spans="1:31" x14ac:dyDescent="0.35">
      <c r="B7" s="115" t="str">
        <f>_xlfn.CONCAT(Master_Table4[[#This Row],[Model Source]],"_",Master_Table4[[#This Row],[External Finish Type]])</f>
        <v>LCA_Solid Brick</v>
      </c>
      <c r="C7" s="129" t="s">
        <v>512</v>
      </c>
      <c r="D7" s="129" t="s">
        <v>849</v>
      </c>
      <c r="E7" s="129" t="s">
        <v>873</v>
      </c>
      <c r="F7" s="129"/>
      <c r="G7" s="129" t="s">
        <v>992</v>
      </c>
      <c r="H7" s="110" t="s">
        <v>663</v>
      </c>
      <c r="I7" s="129" t="s">
        <v>809</v>
      </c>
      <c r="J7" s="179" t="s">
        <v>351</v>
      </c>
      <c r="K7" s="178" t="s">
        <v>810</v>
      </c>
      <c r="L7" s="134" t="s">
        <v>663</v>
      </c>
      <c r="M7" s="129" t="s">
        <v>811</v>
      </c>
      <c r="N7" t="s">
        <v>352</v>
      </c>
      <c r="O7" s="178" t="s">
        <v>812</v>
      </c>
      <c r="P7" s="129"/>
      <c r="Q7" t="s">
        <v>351</v>
      </c>
      <c r="R7" s="129" t="s">
        <v>813</v>
      </c>
      <c r="S7" s="140">
        <v>0</v>
      </c>
      <c r="T7" s="138">
        <v>1</v>
      </c>
      <c r="U7" s="147">
        <v>0</v>
      </c>
      <c r="V7" s="129"/>
      <c r="W7" s="134">
        <v>1</v>
      </c>
      <c r="X7" s="134">
        <v>1</v>
      </c>
      <c r="Y7" s="134">
        <v>1</v>
      </c>
      <c r="Z7" s="115">
        <f>Master_Table4[[#This Row],[Length (m) (on wall)]]*Master_Table4[[#This Row],[Height (m)]]*Master_Table4[[#This Row],[Thickness (m)]]</f>
        <v>1</v>
      </c>
      <c r="AA7" s="134">
        <v>1</v>
      </c>
      <c r="AB7" s="152">
        <v>1</v>
      </c>
      <c r="AC7" s="134">
        <v>0</v>
      </c>
      <c r="AD7" s="134">
        <v>0.05</v>
      </c>
      <c r="AE7" s="134">
        <v>0</v>
      </c>
    </row>
    <row r="8" spans="1:31" x14ac:dyDescent="0.35">
      <c r="B8" s="115" t="str">
        <f>_xlfn.CONCAT(Master_Table4[[#This Row],[Model Source]],"_",Master_Table4[[#This Row],[External Finish Type]])</f>
        <v>EPD_Solid Brick</v>
      </c>
      <c r="C8" s="129" t="s">
        <v>513</v>
      </c>
      <c r="D8" s="129" t="s">
        <v>849</v>
      </c>
      <c r="E8" s="129" t="s">
        <v>885</v>
      </c>
      <c r="F8" s="129"/>
      <c r="G8" s="129" t="s">
        <v>992</v>
      </c>
      <c r="H8" s="110" t="s">
        <v>659</v>
      </c>
      <c r="I8" s="129" t="s">
        <v>666</v>
      </c>
      <c r="J8" t="s">
        <v>351</v>
      </c>
      <c r="K8" s="136" t="s">
        <v>571</v>
      </c>
      <c r="L8" s="129" t="s">
        <v>815</v>
      </c>
      <c r="M8" s="129" t="s">
        <v>346</v>
      </c>
      <c r="N8" t="s">
        <v>351</v>
      </c>
      <c r="O8" s="129" t="s">
        <v>585</v>
      </c>
      <c r="P8" s="129" t="s">
        <v>563</v>
      </c>
      <c r="Q8" t="s">
        <v>352</v>
      </c>
      <c r="R8" s="129" t="s">
        <v>334</v>
      </c>
      <c r="S8" s="141">
        <f>Master_Table4[[#This Row],[Thickness (m)]]/Master_Table4[[#This Row],[Thermal Conductivity W/m-K]]</f>
        <v>0.16269841269841268</v>
      </c>
      <c r="T8" s="139">
        <f>_xlfn.XLOOKUP(Master_Table4[[#This Row],[Component Name]],'GWP NORMALISED'!$A$2:$A$500,'GWP NORMALISED'!$H$2:$H$500,FALSE)</f>
        <v>42.616724999999995</v>
      </c>
      <c r="U8" s="129">
        <f>_xlfn.XLOOKUP(Master_Table4[[#This Row],[Component Name]],'RAW GWP FOSSIL'!$A$2:$A$500,'RAW GWP FOSSIL'!$H$2:$H$500,FALSE)</f>
        <v>211</v>
      </c>
      <c r="V8" s="129" t="s">
        <v>575</v>
      </c>
      <c r="W8" s="129">
        <v>1</v>
      </c>
      <c r="X8" s="129">
        <v>1</v>
      </c>
      <c r="Y8" s="129">
        <v>0.10249999999999999</v>
      </c>
      <c r="Z8" s="115">
        <f>Master_Table4[[#This Row],[Length (m) (on wall)]]*Master_Table4[[#This Row],[Height (m)]]*Master_Table4[[#This Row],[Thickness (m)]]</f>
        <v>0.10249999999999999</v>
      </c>
      <c r="AA8" s="129">
        <v>1</v>
      </c>
      <c r="AB8" s="149">
        <v>1</v>
      </c>
      <c r="AC8" s="129">
        <v>1970</v>
      </c>
      <c r="AD8" s="129">
        <f>Master_Table4[[#This Row],[Material Density (kg/m^3)]]*Master_Table4[[#This Row],[Thickness (m)]]</f>
        <v>201.92499999999998</v>
      </c>
      <c r="AE8" s="129">
        <v>0.63</v>
      </c>
    </row>
    <row r="9" spans="1:31" x14ac:dyDescent="0.35">
      <c r="B9" s="115" t="str">
        <f>_xlfn.CONCAT(Master_Table4[[#This Row],[Model Source]],"_",Master_Table4[[#This Row],[External Finish Type]])</f>
        <v>EPD_Solid Brick</v>
      </c>
      <c r="C9" s="129" t="s">
        <v>513</v>
      </c>
      <c r="D9" s="129" t="s">
        <v>849</v>
      </c>
      <c r="E9" s="129" t="s">
        <v>885</v>
      </c>
      <c r="F9" s="129"/>
      <c r="G9" s="129" t="s">
        <v>992</v>
      </c>
      <c r="H9" s="110" t="s">
        <v>659</v>
      </c>
      <c r="I9" s="129" t="s">
        <v>807</v>
      </c>
      <c r="J9" t="s">
        <v>351</v>
      </c>
      <c r="K9" s="79" t="s">
        <v>796</v>
      </c>
      <c r="L9" s="134" t="s">
        <v>815</v>
      </c>
      <c r="M9" s="134" t="s">
        <v>346</v>
      </c>
      <c r="N9" t="s">
        <v>351</v>
      </c>
      <c r="O9" s="134" t="s">
        <v>584</v>
      </c>
      <c r="P9" s="129" t="s">
        <v>576</v>
      </c>
      <c r="Q9" t="s">
        <v>351</v>
      </c>
      <c r="R9" s="129" t="s">
        <v>808</v>
      </c>
      <c r="S9" s="140">
        <v>0</v>
      </c>
      <c r="T9" s="124">
        <f>_xlfn.XLOOKUP(Master_Table4[[#This Row],[Component Name]],'GWP NORMALISED'!$A$2:$A$500,'GWP NORMALISED'!$H$2:$H$500,FALSE)</f>
        <v>4.1849999999999996</v>
      </c>
      <c r="U9" s="125">
        <f>_xlfn.XLOOKUP(Master_Table4[[#This Row],[Component Name]],'RAW GWP FOSSIL'!$A$2:$A$500,'RAW GWP FOSSIL'!$H$2:$H$500,FALSE)</f>
        <v>135</v>
      </c>
      <c r="V9" s="129" t="s">
        <v>545</v>
      </c>
      <c r="W9" s="129">
        <v>1</v>
      </c>
      <c r="X9" s="129">
        <v>1.2E-2</v>
      </c>
      <c r="Y9" s="129">
        <v>0.1</v>
      </c>
      <c r="Z9" s="115">
        <f>Master_Table4[[#This Row],[Length (m) (on wall)]]*Master_Table4[[#This Row],[Height (m)]]*Master_Table4[[#This Row],[Thickness (m)]]</f>
        <v>1.2000000000000001E-3</v>
      </c>
      <c r="AA9" s="129">
        <v>5</v>
      </c>
      <c r="AB9" s="149">
        <f>Master_Table4[[#This Row],[Length (m) (on wall)]]*Master_Table4[[#This Row],[Height (m)]]/1</f>
        <v>1.2E-2</v>
      </c>
      <c r="AC9" s="147">
        <v>2000</v>
      </c>
      <c r="AD9" s="129">
        <f>0.031*1000</f>
        <v>31</v>
      </c>
      <c r="AE9" s="147">
        <v>2</v>
      </c>
    </row>
    <row r="10" spans="1:31" x14ac:dyDescent="0.35">
      <c r="B10" s="115" t="str">
        <f>_xlfn.CONCAT(Master_Table4[[#This Row],[Model Source]],"_",Master_Table4[[#This Row],[External Finish Type]])</f>
        <v>EPD_Solid Brick</v>
      </c>
      <c r="C10" s="129" t="s">
        <v>513</v>
      </c>
      <c r="D10" s="129" t="s">
        <v>849</v>
      </c>
      <c r="E10" s="129" t="s">
        <v>885</v>
      </c>
      <c r="F10" s="129"/>
      <c r="G10" s="129" t="s">
        <v>992</v>
      </c>
      <c r="H10" s="110" t="s">
        <v>663</v>
      </c>
      <c r="I10" s="129"/>
      <c r="J10" t="s">
        <v>351</v>
      </c>
      <c r="K10" s="129" t="s">
        <v>355</v>
      </c>
      <c r="L10" s="129" t="s">
        <v>663</v>
      </c>
      <c r="M10" s="129" t="s">
        <v>346</v>
      </c>
      <c r="N10" t="s">
        <v>351</v>
      </c>
      <c r="O10" s="129" t="s">
        <v>583</v>
      </c>
      <c r="P10" s="129" t="s">
        <v>577</v>
      </c>
      <c r="Q10" t="s">
        <v>352</v>
      </c>
      <c r="R10" s="129" t="s">
        <v>334</v>
      </c>
      <c r="S10" s="140">
        <v>2</v>
      </c>
      <c r="T10" s="138">
        <v>0</v>
      </c>
      <c r="U10" s="147">
        <v>0</v>
      </c>
      <c r="V10" s="129" t="s">
        <v>545</v>
      </c>
      <c r="W10" s="129">
        <v>1</v>
      </c>
      <c r="X10" s="129">
        <v>1</v>
      </c>
      <c r="Y10" s="129">
        <v>0.1</v>
      </c>
      <c r="Z10" s="115">
        <f>Master_Table4[[#This Row],[Length (m) (on wall)]]*Master_Table4[[#This Row],[Height (m)]]*Master_Table4[[#This Row],[Thickness (m)]]</f>
        <v>0.1</v>
      </c>
      <c r="AA10" s="129">
        <v>1</v>
      </c>
      <c r="AB10" s="149">
        <v>1</v>
      </c>
      <c r="AC10" s="129">
        <v>1.2</v>
      </c>
      <c r="AD10" s="129">
        <f>Master_Table4[[#This Row],[Material Density (kg/m^3)]]*Master_Table4[[#This Row],[Thickness (m)]]</f>
        <v>0.12</v>
      </c>
      <c r="AE10" s="129">
        <v>2.5000000000000001E-2</v>
      </c>
    </row>
    <row r="11" spans="1:31" x14ac:dyDescent="0.35">
      <c r="B11" s="115" t="str">
        <f>_xlfn.CONCAT(Master_Table4[[#This Row],[Model Source]],"_",Master_Table4[[#This Row],[External Finish Type]])</f>
        <v>EPD_Solid Brick</v>
      </c>
      <c r="C11" s="129" t="s">
        <v>513</v>
      </c>
      <c r="D11" s="129" t="s">
        <v>849</v>
      </c>
      <c r="E11" s="129" t="s">
        <v>885</v>
      </c>
      <c r="F11" s="129"/>
      <c r="G11" s="129" t="s">
        <v>992</v>
      </c>
      <c r="H11" s="110" t="s">
        <v>663</v>
      </c>
      <c r="I11" s="129" t="s">
        <v>809</v>
      </c>
      <c r="J11" s="179" t="s">
        <v>351</v>
      </c>
      <c r="K11" s="178" t="s">
        <v>810</v>
      </c>
      <c r="L11" s="129" t="s">
        <v>663</v>
      </c>
      <c r="M11" s="129" t="s">
        <v>811</v>
      </c>
      <c r="N11" t="s">
        <v>352</v>
      </c>
      <c r="O11" s="178" t="s">
        <v>812</v>
      </c>
      <c r="P11" s="129"/>
      <c r="Q11" t="s">
        <v>351</v>
      </c>
      <c r="R11" s="129" t="s">
        <v>813</v>
      </c>
      <c r="S11" s="140">
        <v>0</v>
      </c>
      <c r="T11" s="138">
        <v>1</v>
      </c>
      <c r="U11" s="147">
        <v>0</v>
      </c>
      <c r="V11" s="129"/>
      <c r="W11" s="134">
        <v>1</v>
      </c>
      <c r="X11" s="134">
        <v>1</v>
      </c>
      <c r="Y11" s="134">
        <v>1</v>
      </c>
      <c r="Z11" s="115">
        <f>Master_Table4[[#This Row],[Length (m) (on wall)]]*Master_Table4[[#This Row],[Height (m)]]*Master_Table4[[#This Row],[Thickness (m)]]</f>
        <v>1</v>
      </c>
      <c r="AA11" s="134">
        <v>1</v>
      </c>
      <c r="AB11" s="152">
        <v>1</v>
      </c>
      <c r="AC11" s="134">
        <v>0</v>
      </c>
      <c r="AD11" s="134">
        <v>0.05</v>
      </c>
      <c r="AE11" s="134">
        <v>0</v>
      </c>
    </row>
    <row r="12" spans="1:31" x14ac:dyDescent="0.35">
      <c r="B12" s="115" t="str">
        <f>_xlfn.CONCAT(Master_Table4[[#This Row],[Model Source]],"_",Master_Table4[[#This Row],[External Finish Type]])</f>
        <v>EPD_Composite Fiber</v>
      </c>
      <c r="C12" s="129" t="s">
        <v>513</v>
      </c>
      <c r="D12" s="129" t="s">
        <v>464</v>
      </c>
      <c r="E12" s="129" t="s">
        <v>911</v>
      </c>
      <c r="F12" s="129"/>
      <c r="G12" s="129" t="s">
        <v>992</v>
      </c>
      <c r="H12" s="110" t="s">
        <v>670</v>
      </c>
      <c r="I12" s="129" t="s">
        <v>674</v>
      </c>
      <c r="J12" t="s">
        <v>351</v>
      </c>
      <c r="K12" s="137" t="s">
        <v>274</v>
      </c>
      <c r="L12" s="129" t="s">
        <v>814</v>
      </c>
      <c r="M12" s="129" t="s">
        <v>346</v>
      </c>
      <c r="N12" t="s">
        <v>351</v>
      </c>
      <c r="O12" s="129" t="s">
        <v>644</v>
      </c>
      <c r="P12" s="129" t="s">
        <v>645</v>
      </c>
      <c r="Q12" t="s">
        <v>529</v>
      </c>
      <c r="R12" s="129" t="s">
        <v>646</v>
      </c>
      <c r="S12" s="140">
        <v>0.47</v>
      </c>
      <c r="T12" s="124">
        <f>_xlfn.XLOOKUP(Master_Table4[[#This Row],[Component Name]],'GWP NORMALISED'!$A$2:$A$500,'GWP NORMALISED'!$H$2:$H$500,FALSE)</f>
        <v>21</v>
      </c>
      <c r="U12" s="125">
        <f>_xlfn.XLOOKUP(Master_Table4[[#This Row],[Component Name]],'RAW GWP FOSSIL'!$A$2:$A$500,'RAW GWP FOSSIL'!$H$2:$H$500,FALSE)</f>
        <v>21</v>
      </c>
      <c r="V12" s="129" t="s">
        <v>618</v>
      </c>
      <c r="W12" s="134"/>
      <c r="X12" s="134"/>
      <c r="Y12" s="134"/>
      <c r="Z12" s="115"/>
      <c r="AA12" s="134"/>
      <c r="AB12" s="152"/>
      <c r="AC12" s="153"/>
      <c r="AD12" s="150"/>
      <c r="AE12" s="129"/>
    </row>
    <row r="13" spans="1:31" x14ac:dyDescent="0.35">
      <c r="B13" s="115" t="str">
        <f>_xlfn.CONCAT(Master_Table4[[#This Row],[Model Source]],"_",Master_Table4[[#This Row],[External Finish Type]])</f>
        <v>EPD_Composite Fiber</v>
      </c>
      <c r="C13" s="129" t="s">
        <v>513</v>
      </c>
      <c r="D13" s="129" t="s">
        <v>464</v>
      </c>
      <c r="E13" s="129" t="s">
        <v>911</v>
      </c>
      <c r="F13" s="129"/>
      <c r="G13" s="129" t="s">
        <v>992</v>
      </c>
      <c r="H13" s="110" t="s">
        <v>663</v>
      </c>
      <c r="I13" s="129"/>
      <c r="J13" t="s">
        <v>351</v>
      </c>
      <c r="K13" s="129" t="s">
        <v>355</v>
      </c>
      <c r="L13" s="129" t="s">
        <v>817</v>
      </c>
      <c r="M13" s="129" t="s">
        <v>346</v>
      </c>
      <c r="N13" t="s">
        <v>351</v>
      </c>
      <c r="O13" s="129" t="s">
        <v>583</v>
      </c>
      <c r="P13" s="129" t="s">
        <v>577</v>
      </c>
      <c r="Q13" t="s">
        <v>352</v>
      </c>
      <c r="R13" s="129" t="s">
        <v>334</v>
      </c>
      <c r="S13" s="140">
        <v>2</v>
      </c>
      <c r="T13" s="138">
        <v>0</v>
      </c>
      <c r="U13" s="147">
        <v>0</v>
      </c>
      <c r="V13" s="129" t="s">
        <v>545</v>
      </c>
      <c r="W13" s="129">
        <v>1</v>
      </c>
      <c r="X13" s="129">
        <v>1</v>
      </c>
      <c r="Y13" s="129">
        <v>0.1</v>
      </c>
      <c r="Z13" s="115">
        <f>Master_Table4[[#This Row],[Length (m) (on wall)]]*Master_Table4[[#This Row],[Height (m)]]*Master_Table4[[#This Row],[Thickness (m)]]</f>
        <v>0.1</v>
      </c>
      <c r="AA13" s="129">
        <v>1</v>
      </c>
      <c r="AB13" s="149">
        <v>1</v>
      </c>
      <c r="AC13" s="129">
        <v>1.2</v>
      </c>
      <c r="AD13" s="129">
        <f>Master_Table4[[#This Row],[Material Density (kg/m^3)]]*Master_Table4[[#This Row],[Thickness (m)]]</f>
        <v>0.12</v>
      </c>
      <c r="AE13" s="129">
        <v>2.5000000000000001E-2</v>
      </c>
    </row>
    <row r="14" spans="1:31" x14ac:dyDescent="0.35">
      <c r="B14" s="115" t="str">
        <f>_xlfn.CONCAT(Master_Table4[[#This Row],[Model Source]],"_",Master_Table4[[#This Row],[External Finish Type]])</f>
        <v>EPD_Composite Fiber</v>
      </c>
      <c r="C14" s="129" t="s">
        <v>513</v>
      </c>
      <c r="D14" s="129" t="s">
        <v>464</v>
      </c>
      <c r="E14" s="129" t="s">
        <v>911</v>
      </c>
      <c r="F14" s="129"/>
      <c r="G14" s="129" t="s">
        <v>992</v>
      </c>
      <c r="H14" s="110" t="s">
        <v>663</v>
      </c>
      <c r="I14" s="129" t="s">
        <v>809</v>
      </c>
      <c r="J14" s="179" t="s">
        <v>351</v>
      </c>
      <c r="K14" s="178" t="s">
        <v>810</v>
      </c>
      <c r="L14" s="129" t="s">
        <v>663</v>
      </c>
      <c r="M14" s="129" t="s">
        <v>811</v>
      </c>
      <c r="N14" t="s">
        <v>352</v>
      </c>
      <c r="O14" s="178" t="s">
        <v>812</v>
      </c>
      <c r="P14" s="129"/>
      <c r="Q14" t="s">
        <v>351</v>
      </c>
      <c r="R14" s="129" t="s">
        <v>813</v>
      </c>
      <c r="S14" s="140">
        <v>0</v>
      </c>
      <c r="T14" s="138">
        <v>1</v>
      </c>
      <c r="U14" s="147">
        <v>0</v>
      </c>
      <c r="V14" s="129"/>
      <c r="W14" s="134">
        <v>1</v>
      </c>
      <c r="X14" s="134">
        <v>1</v>
      </c>
      <c r="Y14" s="134">
        <v>1</v>
      </c>
      <c r="Z14" s="115">
        <f>Master_Table4[[#This Row],[Length (m) (on wall)]]*Master_Table4[[#This Row],[Height (m)]]*Master_Table4[[#This Row],[Thickness (m)]]</f>
        <v>1</v>
      </c>
      <c r="AA14" s="134">
        <v>1</v>
      </c>
      <c r="AB14" s="152">
        <v>1</v>
      </c>
      <c r="AC14" s="134">
        <v>0</v>
      </c>
      <c r="AD14" s="134">
        <v>0.05</v>
      </c>
      <c r="AE14" s="134">
        <v>0</v>
      </c>
    </row>
    <row r="15" spans="1:31" x14ac:dyDescent="0.35">
      <c r="C15" s="129"/>
      <c r="D15" s="129"/>
      <c r="E15" s="129"/>
      <c r="F15" s="129"/>
      <c r="G15" s="129"/>
      <c r="H15" s="110"/>
      <c r="I15" s="129"/>
      <c r="J15" t="s">
        <v>351</v>
      </c>
      <c r="K15" s="129"/>
      <c r="L15" s="129"/>
      <c r="M15" s="129"/>
      <c r="N15" s="129"/>
      <c r="O15" s="129"/>
      <c r="P15" s="129"/>
      <c r="Q15" s="129"/>
      <c r="R15" s="129"/>
      <c r="S15" s="141"/>
      <c r="T15" s="139"/>
      <c r="U15" s="129"/>
      <c r="V15" s="129"/>
      <c r="W15" s="129"/>
      <c r="X15" s="129"/>
      <c r="Y15" s="129"/>
      <c r="Z15" s="115"/>
      <c r="AA15" s="129"/>
      <c r="AB15" s="149"/>
      <c r="AC15" s="129"/>
      <c r="AD15" s="129"/>
      <c r="AE15" s="129"/>
    </row>
    <row r="16" spans="1:31" x14ac:dyDescent="0.35">
      <c r="C16" s="129"/>
      <c r="D16" s="129"/>
      <c r="E16" s="129"/>
      <c r="F16" s="129"/>
      <c r="G16" s="129"/>
      <c r="H16" s="110"/>
      <c r="I16" s="129"/>
      <c r="J16" t="s">
        <v>351</v>
      </c>
      <c r="K16" s="129"/>
      <c r="L16" s="129"/>
      <c r="M16" s="129"/>
      <c r="N16" s="129"/>
      <c r="O16" s="129"/>
      <c r="P16" s="129"/>
      <c r="Q16" s="129"/>
      <c r="R16" s="129"/>
      <c r="S16" s="141"/>
      <c r="T16" s="139"/>
      <c r="U16" s="129"/>
      <c r="V16" s="129"/>
      <c r="W16" s="129"/>
      <c r="X16" s="129"/>
      <c r="Y16" s="129"/>
      <c r="Z16" s="115"/>
      <c r="AA16" s="129"/>
      <c r="AB16" s="149"/>
      <c r="AC16" s="129"/>
      <c r="AD16" s="129"/>
      <c r="AE16" s="129"/>
    </row>
    <row r="17" spans="3:31" x14ac:dyDescent="0.35">
      <c r="C17" s="129"/>
      <c r="D17" s="129"/>
      <c r="E17" s="129"/>
      <c r="F17" s="129"/>
      <c r="G17" s="129"/>
      <c r="H17" s="110"/>
      <c r="I17" s="129"/>
      <c r="J17" t="s">
        <v>351</v>
      </c>
      <c r="K17" s="129"/>
      <c r="L17" s="129"/>
      <c r="M17" s="129"/>
      <c r="N17" s="129"/>
      <c r="O17" s="129"/>
      <c r="P17" s="129"/>
      <c r="Q17" s="129"/>
      <c r="R17" s="129"/>
      <c r="S17" s="141"/>
      <c r="T17" s="139"/>
      <c r="U17" s="129"/>
      <c r="V17" s="129"/>
      <c r="W17" s="129"/>
      <c r="X17" s="129"/>
      <c r="Y17" s="129"/>
      <c r="Z17" s="115"/>
      <c r="AA17" s="129"/>
      <c r="AB17" s="149"/>
      <c r="AC17" s="129"/>
      <c r="AD17" s="129"/>
      <c r="AE17" s="129"/>
    </row>
    <row r="18" spans="3:31" x14ac:dyDescent="0.35">
      <c r="C18" s="129"/>
      <c r="D18" s="129"/>
      <c r="E18" s="129"/>
      <c r="F18" s="129"/>
      <c r="G18" s="129"/>
      <c r="H18" s="110"/>
      <c r="I18" s="129"/>
      <c r="J18" t="s">
        <v>351</v>
      </c>
      <c r="K18" s="129"/>
      <c r="L18" s="129"/>
      <c r="M18" s="129"/>
      <c r="N18" s="129"/>
      <c r="O18" s="129"/>
      <c r="P18" s="129"/>
      <c r="Q18" s="129"/>
      <c r="R18" s="129"/>
      <c r="S18" s="141"/>
      <c r="T18" s="139"/>
      <c r="U18" s="129"/>
      <c r="V18" s="129"/>
      <c r="W18" s="129"/>
      <c r="X18" s="129"/>
      <c r="Y18" s="129"/>
      <c r="Z18" s="115"/>
      <c r="AA18" s="129"/>
      <c r="AB18" s="149"/>
      <c r="AC18" s="129"/>
      <c r="AD18" s="129"/>
      <c r="AE18" s="129"/>
    </row>
    <row r="19" spans="3:31" x14ac:dyDescent="0.35">
      <c r="C19" s="129"/>
      <c r="D19" s="129"/>
      <c r="E19" s="129"/>
      <c r="F19" s="129"/>
      <c r="G19" s="129"/>
      <c r="H19" s="110"/>
      <c r="I19" s="129"/>
      <c r="J19" t="s">
        <v>351</v>
      </c>
      <c r="K19" s="129"/>
      <c r="L19" s="129"/>
      <c r="M19" s="129"/>
      <c r="N19" s="129"/>
      <c r="O19" s="129"/>
      <c r="P19" s="129"/>
      <c r="Q19" s="129"/>
      <c r="R19" s="129"/>
      <c r="S19" s="141"/>
      <c r="T19" s="139"/>
      <c r="U19" s="129"/>
      <c r="V19" s="129"/>
      <c r="W19" s="129"/>
      <c r="X19" s="129"/>
      <c r="Y19" s="129"/>
      <c r="Z19" s="115"/>
      <c r="AA19" s="129"/>
      <c r="AB19" s="149"/>
      <c r="AC19" s="129"/>
      <c r="AD19" s="129"/>
      <c r="AE19" s="129"/>
    </row>
    <row r="20" spans="3:31" x14ac:dyDescent="0.35">
      <c r="C20" s="129"/>
      <c r="D20" s="129"/>
      <c r="E20" s="129"/>
      <c r="F20" s="129"/>
      <c r="G20" s="129"/>
      <c r="H20" s="110"/>
      <c r="I20" s="129"/>
      <c r="J20" t="s">
        <v>351</v>
      </c>
      <c r="K20" s="129"/>
      <c r="L20" s="129"/>
      <c r="M20" s="129"/>
      <c r="N20" s="129"/>
      <c r="O20" s="129"/>
      <c r="P20" s="129"/>
      <c r="Q20" s="129"/>
      <c r="R20" s="129"/>
      <c r="S20" s="141"/>
      <c r="T20" s="139"/>
      <c r="U20" s="129"/>
      <c r="V20" s="129"/>
      <c r="W20" s="129"/>
      <c r="X20" s="129"/>
      <c r="Y20" s="129"/>
      <c r="Z20" s="115"/>
      <c r="AA20" s="129"/>
      <c r="AB20" s="149"/>
      <c r="AC20" s="129"/>
      <c r="AD20" s="129"/>
      <c r="AE20" s="129"/>
    </row>
    <row r="21" spans="3:31" x14ac:dyDescent="0.35">
      <c r="C21" s="129"/>
      <c r="D21" s="129"/>
      <c r="E21" s="129"/>
      <c r="F21" s="129"/>
      <c r="G21" s="129"/>
      <c r="H21" s="110"/>
      <c r="I21" s="129"/>
      <c r="J21" t="s">
        <v>351</v>
      </c>
      <c r="K21" s="129"/>
      <c r="L21" s="129"/>
      <c r="M21" s="129"/>
      <c r="N21" s="129"/>
      <c r="O21" s="129"/>
      <c r="P21" s="129"/>
      <c r="Q21" s="129"/>
      <c r="R21" s="129"/>
      <c r="S21" s="141"/>
      <c r="T21" s="139"/>
      <c r="U21" s="129"/>
      <c r="V21" s="129"/>
      <c r="W21" s="129"/>
      <c r="X21" s="129"/>
      <c r="Y21" s="129"/>
      <c r="Z21" s="115"/>
      <c r="AA21" s="129"/>
      <c r="AB21" s="149"/>
      <c r="AC21" s="129"/>
      <c r="AD21" s="129"/>
      <c r="AE21" s="129"/>
    </row>
    <row r="22" spans="3:31" x14ac:dyDescent="0.35">
      <c r="C22" s="129"/>
      <c r="D22" s="129"/>
      <c r="E22" s="129"/>
      <c r="F22" s="129"/>
      <c r="G22" s="129"/>
      <c r="H22" s="110"/>
      <c r="I22" s="129"/>
      <c r="J22" t="s">
        <v>351</v>
      </c>
      <c r="K22" s="129"/>
      <c r="L22" s="129"/>
      <c r="M22" s="129"/>
      <c r="N22" s="129"/>
      <c r="O22" s="129"/>
      <c r="P22" s="129"/>
      <c r="Q22" s="129"/>
      <c r="R22" s="129"/>
      <c r="S22" s="141"/>
      <c r="T22" s="139"/>
      <c r="U22" s="129"/>
      <c r="V22" s="129"/>
      <c r="W22" s="129"/>
      <c r="X22" s="129"/>
      <c r="Y22" s="129"/>
      <c r="Z22" s="115"/>
      <c r="AA22" s="129"/>
      <c r="AB22" s="149"/>
      <c r="AC22" s="129"/>
      <c r="AD22" s="129"/>
      <c r="AE22" s="129"/>
    </row>
    <row r="23" spans="3:31" x14ac:dyDescent="0.35">
      <c r="C23" s="129"/>
      <c r="D23" s="129"/>
      <c r="E23" s="129"/>
      <c r="F23" s="129"/>
      <c r="G23" s="129"/>
      <c r="H23" s="110"/>
      <c r="I23" s="129"/>
      <c r="J23" t="s">
        <v>351</v>
      </c>
      <c r="K23" s="129"/>
      <c r="L23" s="129"/>
      <c r="M23" s="129"/>
      <c r="N23" s="129"/>
      <c r="O23" s="129"/>
      <c r="P23" s="129"/>
      <c r="Q23" s="129"/>
      <c r="R23" s="129"/>
      <c r="S23" s="141"/>
      <c r="T23" s="139"/>
      <c r="U23" s="129"/>
      <c r="V23" s="129"/>
      <c r="W23" s="129"/>
      <c r="X23" s="129"/>
      <c r="Y23" s="129"/>
      <c r="Z23" s="115"/>
      <c r="AA23" s="129"/>
      <c r="AB23" s="149"/>
      <c r="AC23" s="129"/>
      <c r="AD23" s="129"/>
      <c r="AE23" s="129"/>
    </row>
    <row r="24" spans="3:31" x14ac:dyDescent="0.35">
      <c r="C24" s="129"/>
      <c r="D24" s="129"/>
      <c r="E24" s="129"/>
      <c r="F24" s="129"/>
      <c r="G24" s="129"/>
      <c r="H24" s="110"/>
      <c r="I24" s="129"/>
      <c r="J24" t="s">
        <v>351</v>
      </c>
      <c r="K24" s="129"/>
      <c r="L24" s="129"/>
      <c r="M24" s="129"/>
      <c r="N24" s="129"/>
      <c r="O24" s="129"/>
      <c r="P24" s="129"/>
      <c r="Q24" s="129"/>
      <c r="R24" s="129"/>
      <c r="S24" s="141"/>
      <c r="T24" s="139"/>
      <c r="U24" s="129"/>
      <c r="V24" s="129"/>
      <c r="W24" s="129"/>
      <c r="X24" s="129"/>
      <c r="Y24" s="129"/>
      <c r="Z24" s="115"/>
      <c r="AA24" s="129"/>
      <c r="AB24" s="149"/>
      <c r="AC24" s="129"/>
      <c r="AD24" s="129"/>
      <c r="AE24" s="129"/>
    </row>
    <row r="25" spans="3:31" x14ac:dyDescent="0.35">
      <c r="C25" s="129"/>
      <c r="D25" s="129"/>
      <c r="E25" s="129"/>
      <c r="F25" s="129"/>
      <c r="G25" s="129"/>
      <c r="H25" s="110"/>
      <c r="I25" s="129"/>
      <c r="J25" t="s">
        <v>351</v>
      </c>
      <c r="K25" s="129"/>
      <c r="L25" s="129"/>
      <c r="M25" s="129"/>
      <c r="N25" s="129"/>
      <c r="O25" s="129"/>
      <c r="P25" s="129"/>
      <c r="Q25" s="129"/>
      <c r="R25" s="129"/>
      <c r="S25" s="141"/>
      <c r="T25" s="139"/>
      <c r="U25" s="129"/>
      <c r="V25" s="129"/>
      <c r="W25" s="129"/>
      <c r="X25" s="129"/>
      <c r="Y25" s="129"/>
      <c r="Z25" s="115"/>
      <c r="AA25" s="129"/>
      <c r="AB25" s="149"/>
      <c r="AC25" s="129"/>
      <c r="AD25" s="129"/>
      <c r="AE25" s="129"/>
    </row>
    <row r="26" spans="3:31" x14ac:dyDescent="0.35">
      <c r="C26" s="129"/>
      <c r="D26" s="129"/>
      <c r="E26" s="129"/>
      <c r="F26" s="129"/>
      <c r="G26" s="129"/>
      <c r="H26" s="110"/>
      <c r="I26" s="129"/>
      <c r="J26" t="s">
        <v>351</v>
      </c>
      <c r="K26" s="129"/>
      <c r="L26" s="129"/>
      <c r="M26" s="129"/>
      <c r="N26" s="129"/>
      <c r="O26" s="129"/>
      <c r="P26" s="129"/>
      <c r="Q26" s="129"/>
      <c r="R26" s="129"/>
      <c r="S26" s="141"/>
      <c r="T26" s="139"/>
      <c r="U26" s="129"/>
      <c r="V26" s="129"/>
      <c r="W26" s="129"/>
      <c r="X26" s="129"/>
      <c r="Y26" s="129"/>
      <c r="Z26" s="115"/>
      <c r="AA26" s="129"/>
      <c r="AB26" s="149"/>
      <c r="AC26" s="129"/>
      <c r="AD26" s="129"/>
      <c r="AE26" s="129"/>
    </row>
    <row r="27" spans="3:31" x14ac:dyDescent="0.35">
      <c r="C27" s="129"/>
      <c r="D27" s="129"/>
      <c r="E27" s="129"/>
      <c r="F27" s="129"/>
      <c r="G27" s="129"/>
      <c r="H27" s="110"/>
      <c r="I27" s="129"/>
      <c r="J27" t="s">
        <v>351</v>
      </c>
      <c r="K27" s="129"/>
      <c r="L27" s="129"/>
      <c r="M27" s="129"/>
      <c r="N27" s="129"/>
      <c r="O27" s="129"/>
      <c r="P27" s="129"/>
      <c r="Q27" s="129"/>
      <c r="R27" s="129"/>
      <c r="S27" s="141"/>
      <c r="T27" s="139"/>
      <c r="U27" s="129"/>
      <c r="V27" s="129"/>
      <c r="W27" s="129"/>
      <c r="X27" s="129"/>
      <c r="Y27" s="129"/>
      <c r="Z27" s="115"/>
      <c r="AA27" s="129"/>
      <c r="AB27" s="149"/>
      <c r="AC27" s="129"/>
      <c r="AD27" s="129"/>
      <c r="AE27" s="129"/>
    </row>
    <row r="28" spans="3:31" x14ac:dyDescent="0.35">
      <c r="C28" s="129"/>
      <c r="D28" s="129"/>
      <c r="E28" s="129"/>
      <c r="F28" s="129"/>
      <c r="G28" s="129"/>
      <c r="H28" s="110"/>
      <c r="I28" s="129"/>
      <c r="J28" t="s">
        <v>351</v>
      </c>
      <c r="K28" s="129"/>
      <c r="L28" s="129"/>
      <c r="M28" s="129"/>
      <c r="N28" s="129"/>
      <c r="O28" s="129"/>
      <c r="P28" s="129"/>
      <c r="Q28" s="129"/>
      <c r="R28" s="129"/>
      <c r="S28" s="141"/>
      <c r="T28" s="139"/>
      <c r="U28" s="129"/>
      <c r="V28" s="129"/>
      <c r="W28" s="129"/>
      <c r="X28" s="129"/>
      <c r="Y28" s="129"/>
      <c r="Z28" s="115"/>
      <c r="AA28" s="129"/>
      <c r="AB28" s="149"/>
      <c r="AC28" s="129"/>
      <c r="AD28" s="129"/>
      <c r="AE28" s="129"/>
    </row>
    <row r="29" spans="3:31" x14ac:dyDescent="0.35">
      <c r="C29" s="129"/>
      <c r="D29" s="129"/>
      <c r="E29" s="129"/>
      <c r="F29" s="129"/>
      <c r="G29" s="129"/>
      <c r="H29" s="110"/>
      <c r="I29" s="129"/>
      <c r="J29" t="s">
        <v>351</v>
      </c>
      <c r="K29" s="129"/>
      <c r="L29" s="129"/>
      <c r="M29" s="129"/>
      <c r="N29" s="129"/>
      <c r="O29" s="129"/>
      <c r="P29" s="129"/>
      <c r="Q29" s="129"/>
      <c r="R29" s="129"/>
      <c r="S29" s="141"/>
      <c r="T29" s="139"/>
      <c r="U29" s="129"/>
      <c r="V29" s="129"/>
      <c r="W29" s="129"/>
      <c r="X29" s="129"/>
      <c r="Y29" s="129"/>
      <c r="Z29" s="115"/>
      <c r="AA29" s="129"/>
      <c r="AB29" s="149"/>
      <c r="AC29" s="129"/>
      <c r="AD29" s="129"/>
      <c r="AE29" s="129"/>
    </row>
    <row r="30" spans="3:31" x14ac:dyDescent="0.35">
      <c r="C30" s="129"/>
      <c r="D30" s="129"/>
      <c r="E30" s="129"/>
      <c r="F30" s="129"/>
      <c r="G30" s="129"/>
      <c r="H30" s="110"/>
      <c r="I30" s="129"/>
      <c r="J30" t="s">
        <v>351</v>
      </c>
      <c r="K30" s="129"/>
      <c r="L30" s="129"/>
      <c r="M30" s="129"/>
      <c r="N30" s="129"/>
      <c r="O30" s="129"/>
      <c r="P30" s="129"/>
      <c r="Q30" s="129"/>
      <c r="R30" s="129"/>
      <c r="S30" s="141"/>
      <c r="T30" s="139"/>
      <c r="U30" s="129"/>
      <c r="V30" s="129"/>
      <c r="W30" s="129"/>
      <c r="X30" s="129"/>
      <c r="Y30" s="129"/>
      <c r="Z30" s="115"/>
      <c r="AA30" s="129"/>
      <c r="AB30" s="149"/>
      <c r="AC30" s="129"/>
      <c r="AD30" s="129"/>
      <c r="AE30" s="129"/>
    </row>
    <row r="31" spans="3:31" x14ac:dyDescent="0.35">
      <c r="C31" s="129"/>
      <c r="D31" s="129"/>
      <c r="E31" s="129"/>
      <c r="F31" s="129"/>
      <c r="G31" s="129"/>
      <c r="H31" s="110"/>
      <c r="I31" s="129"/>
      <c r="J31" t="s">
        <v>351</v>
      </c>
      <c r="K31" s="129"/>
      <c r="L31" s="129"/>
      <c r="M31" s="129"/>
      <c r="N31" s="129"/>
      <c r="O31" s="129"/>
      <c r="P31" s="129"/>
      <c r="Q31" s="129"/>
      <c r="R31" s="129"/>
      <c r="S31" s="141"/>
      <c r="T31" s="139"/>
      <c r="U31" s="129"/>
      <c r="V31" s="129"/>
      <c r="W31" s="129"/>
      <c r="X31" s="129"/>
      <c r="Y31" s="129"/>
      <c r="Z31" s="115"/>
      <c r="AA31" s="129"/>
      <c r="AB31" s="149"/>
      <c r="AC31" s="129"/>
      <c r="AD31" s="129"/>
      <c r="AE31" s="129"/>
    </row>
    <row r="32" spans="3:31" x14ac:dyDescent="0.35">
      <c r="C32" s="129"/>
      <c r="D32" s="129"/>
      <c r="E32" s="129"/>
      <c r="F32" s="129"/>
      <c r="G32" s="129"/>
      <c r="H32" s="110"/>
      <c r="I32" s="129"/>
      <c r="J32" t="s">
        <v>351</v>
      </c>
      <c r="K32" s="129"/>
      <c r="L32" s="129"/>
      <c r="M32" s="129"/>
      <c r="N32" s="129"/>
      <c r="O32" s="129"/>
      <c r="P32" s="129"/>
      <c r="Q32" s="129"/>
      <c r="R32" s="129"/>
      <c r="S32" s="141"/>
      <c r="T32" s="139"/>
      <c r="U32" s="129"/>
      <c r="V32" s="129"/>
      <c r="W32" s="129"/>
      <c r="X32" s="129"/>
      <c r="Y32" s="129"/>
      <c r="Z32" s="115"/>
      <c r="AA32" s="129"/>
      <c r="AB32" s="149"/>
      <c r="AC32" s="129"/>
      <c r="AD32" s="129"/>
      <c r="AE32" s="129"/>
    </row>
    <row r="33" spans="3:31" x14ac:dyDescent="0.35">
      <c r="C33" s="129"/>
      <c r="D33" s="129"/>
      <c r="E33" s="129"/>
      <c r="F33" s="129"/>
      <c r="G33" s="129"/>
      <c r="H33" s="110"/>
      <c r="I33" s="129"/>
      <c r="J33" t="s">
        <v>351</v>
      </c>
      <c r="K33" s="129"/>
      <c r="L33" s="129"/>
      <c r="M33" s="129"/>
      <c r="N33" s="129"/>
      <c r="O33" s="129"/>
      <c r="P33" s="129"/>
      <c r="Q33" s="129"/>
      <c r="R33" s="129"/>
      <c r="S33" s="141"/>
      <c r="T33" s="139"/>
      <c r="U33" s="129"/>
      <c r="V33" s="129"/>
      <c r="W33" s="129"/>
      <c r="X33" s="129"/>
      <c r="Y33" s="129"/>
      <c r="Z33" s="115"/>
      <c r="AA33" s="129"/>
      <c r="AB33" s="149"/>
      <c r="AC33" s="129"/>
      <c r="AD33" s="129"/>
      <c r="AE33" s="129"/>
    </row>
    <row r="34" spans="3:31" x14ac:dyDescent="0.35">
      <c r="C34" s="129"/>
      <c r="D34" s="129"/>
      <c r="E34" s="129"/>
      <c r="F34" s="129"/>
      <c r="G34" s="129"/>
      <c r="H34" s="110"/>
      <c r="I34" s="129"/>
      <c r="J34" t="s">
        <v>351</v>
      </c>
      <c r="K34" s="129"/>
      <c r="L34" s="129"/>
      <c r="M34" s="129"/>
      <c r="N34" s="129"/>
      <c r="O34" s="129"/>
      <c r="P34" s="129"/>
      <c r="Q34" s="129"/>
      <c r="R34" s="129"/>
      <c r="S34" s="141"/>
      <c r="T34" s="139"/>
      <c r="U34" s="129"/>
      <c r="V34" s="129"/>
      <c r="W34" s="129"/>
      <c r="X34" s="129"/>
      <c r="Y34" s="129"/>
      <c r="Z34" s="115"/>
      <c r="AA34" s="129"/>
      <c r="AB34" s="149"/>
      <c r="AC34" s="129"/>
      <c r="AD34" s="129"/>
      <c r="AE34" s="129"/>
    </row>
    <row r="35" spans="3:31" x14ac:dyDescent="0.35">
      <c r="C35" s="129"/>
      <c r="D35" s="129"/>
      <c r="E35" s="129"/>
      <c r="F35" s="129"/>
      <c r="G35" s="129"/>
      <c r="H35" s="110"/>
      <c r="I35" s="129"/>
      <c r="J35" t="s">
        <v>351</v>
      </c>
      <c r="K35" s="129"/>
      <c r="L35" s="129"/>
      <c r="M35" s="129"/>
      <c r="N35" s="129"/>
      <c r="O35" s="129"/>
      <c r="P35" s="129"/>
      <c r="Q35" s="129"/>
      <c r="R35" s="129"/>
      <c r="S35" s="141"/>
      <c r="T35" s="139"/>
      <c r="U35" s="129"/>
      <c r="V35" s="129"/>
      <c r="W35" s="129"/>
      <c r="X35" s="129"/>
      <c r="Y35" s="129"/>
      <c r="Z35" s="115"/>
      <c r="AA35" s="129"/>
      <c r="AB35" s="149"/>
      <c r="AC35" s="129"/>
      <c r="AD35" s="129"/>
      <c r="AE35" s="129"/>
    </row>
    <row r="36" spans="3:31" x14ac:dyDescent="0.35">
      <c r="C36" s="129"/>
      <c r="D36" s="129"/>
      <c r="E36" s="129"/>
      <c r="F36" s="129"/>
      <c r="G36" s="129"/>
      <c r="H36" s="110"/>
      <c r="I36" s="129"/>
      <c r="J36" t="s">
        <v>351</v>
      </c>
      <c r="K36" s="129"/>
      <c r="L36" s="129"/>
      <c r="M36" s="129"/>
      <c r="N36" s="129"/>
      <c r="O36" s="129"/>
      <c r="P36" s="129"/>
      <c r="Q36" s="129"/>
      <c r="R36" s="129"/>
      <c r="S36" s="141"/>
      <c r="T36" s="139"/>
      <c r="U36" s="129"/>
      <c r="V36" s="129"/>
      <c r="W36" s="129"/>
      <c r="X36" s="129"/>
      <c r="Y36" s="129"/>
      <c r="Z36" s="115"/>
      <c r="AA36" s="129"/>
      <c r="AB36" s="149"/>
      <c r="AC36" s="129"/>
      <c r="AD36" s="129"/>
      <c r="AE36" s="129"/>
    </row>
    <row r="37" spans="3:31" x14ac:dyDescent="0.35">
      <c r="C37" s="129"/>
      <c r="D37" s="129"/>
      <c r="E37" s="129"/>
      <c r="F37" s="129"/>
      <c r="G37" s="129"/>
      <c r="H37" s="110"/>
      <c r="I37" s="129"/>
      <c r="J37" t="s">
        <v>351</v>
      </c>
      <c r="K37" s="129"/>
      <c r="L37" s="129"/>
      <c r="M37" s="129"/>
      <c r="N37" s="129"/>
      <c r="O37" s="129"/>
      <c r="P37" s="129"/>
      <c r="Q37" s="129"/>
      <c r="R37" s="129"/>
      <c r="S37" s="141"/>
      <c r="T37" s="139"/>
      <c r="U37" s="129"/>
      <c r="V37" s="129"/>
      <c r="W37" s="129"/>
      <c r="X37" s="129"/>
      <c r="Y37" s="129"/>
      <c r="Z37" s="115"/>
      <c r="AA37" s="129"/>
      <c r="AB37" s="149"/>
      <c r="AC37" s="129"/>
      <c r="AD37" s="129"/>
      <c r="AE37" s="129"/>
    </row>
    <row r="38" spans="3:31" x14ac:dyDescent="0.35">
      <c r="C38" s="129"/>
      <c r="D38" s="129"/>
      <c r="E38" s="129"/>
      <c r="F38" s="129"/>
      <c r="G38" s="129"/>
      <c r="H38" s="110"/>
      <c r="I38" s="129"/>
      <c r="J38" t="s">
        <v>351</v>
      </c>
      <c r="K38" s="129"/>
      <c r="L38" s="129"/>
      <c r="M38" s="129"/>
      <c r="N38" s="129"/>
      <c r="O38" s="129"/>
      <c r="P38" s="129"/>
      <c r="Q38" s="129"/>
      <c r="R38" s="129"/>
      <c r="S38" s="141"/>
      <c r="T38" s="139"/>
      <c r="U38" s="129"/>
      <c r="V38" s="129"/>
      <c r="W38" s="129"/>
      <c r="X38" s="129"/>
      <c r="Y38" s="129"/>
      <c r="Z38" s="115"/>
      <c r="AA38" s="129"/>
      <c r="AB38" s="149"/>
      <c r="AC38" s="129"/>
      <c r="AD38" s="129"/>
      <c r="AE38" s="129"/>
    </row>
    <row r="39" spans="3:31" x14ac:dyDescent="0.35">
      <c r="C39" s="129"/>
      <c r="D39" s="129"/>
      <c r="E39" s="129"/>
      <c r="F39" s="129"/>
      <c r="G39" s="129"/>
      <c r="H39" s="110"/>
      <c r="I39" s="129"/>
      <c r="J39" t="s">
        <v>351</v>
      </c>
      <c r="K39" s="129"/>
      <c r="L39" s="129"/>
      <c r="M39" s="129"/>
      <c r="N39" s="129"/>
      <c r="O39" s="129"/>
      <c r="P39" s="129"/>
      <c r="Q39" s="129"/>
      <c r="R39" s="129"/>
      <c r="S39" s="141"/>
      <c r="T39" s="139"/>
      <c r="U39" s="129"/>
      <c r="V39" s="129"/>
      <c r="W39" s="129"/>
      <c r="X39" s="129"/>
      <c r="Y39" s="129"/>
      <c r="Z39" s="115"/>
      <c r="AA39" s="129"/>
      <c r="AB39" s="149"/>
      <c r="AC39" s="129"/>
      <c r="AD39" s="129"/>
      <c r="AE39" s="129"/>
    </row>
    <row r="40" spans="3:31" x14ac:dyDescent="0.35">
      <c r="C40" s="129"/>
      <c r="D40" s="129"/>
      <c r="E40" s="129"/>
      <c r="F40" s="129"/>
      <c r="G40" s="129"/>
      <c r="H40" s="110"/>
      <c r="I40" s="129"/>
      <c r="J40" t="s">
        <v>351</v>
      </c>
      <c r="K40" s="129"/>
      <c r="L40" s="129"/>
      <c r="M40" s="129"/>
      <c r="N40" s="129"/>
      <c r="O40" s="129"/>
      <c r="P40" s="129"/>
      <c r="Q40" s="129"/>
      <c r="R40" s="129"/>
      <c r="S40" s="141"/>
      <c r="T40" s="139"/>
      <c r="U40" s="129"/>
      <c r="V40" s="129"/>
      <c r="W40" s="129"/>
      <c r="X40" s="129"/>
      <c r="Y40" s="129"/>
      <c r="Z40" s="115"/>
      <c r="AA40" s="129"/>
      <c r="AB40" s="149"/>
      <c r="AC40" s="129"/>
      <c r="AD40" s="129"/>
      <c r="AE40" s="129"/>
    </row>
    <row r="41" spans="3:31" x14ac:dyDescent="0.35">
      <c r="C41" s="129"/>
      <c r="D41" s="129"/>
      <c r="E41" s="129"/>
      <c r="F41" s="129"/>
      <c r="G41" s="129"/>
      <c r="H41" s="110"/>
      <c r="I41" s="129"/>
      <c r="J41" t="s">
        <v>351</v>
      </c>
      <c r="K41" s="129"/>
      <c r="L41" s="129"/>
      <c r="M41" s="129"/>
      <c r="N41" s="129"/>
      <c r="O41" s="129"/>
      <c r="P41" s="129"/>
      <c r="Q41" s="129"/>
      <c r="R41" s="129"/>
      <c r="S41" s="141"/>
      <c r="T41" s="139"/>
      <c r="U41" s="129"/>
      <c r="V41" s="129"/>
      <c r="W41" s="129"/>
      <c r="X41" s="129"/>
      <c r="Y41" s="129"/>
      <c r="Z41" s="115"/>
      <c r="AA41" s="129"/>
      <c r="AB41" s="149"/>
      <c r="AC41" s="129"/>
      <c r="AD41" s="129"/>
      <c r="AE41" s="129"/>
    </row>
    <row r="42" spans="3:31" x14ac:dyDescent="0.35">
      <c r="C42" s="129"/>
      <c r="D42" s="129"/>
      <c r="E42" s="129"/>
      <c r="F42" s="129"/>
      <c r="G42" s="129"/>
      <c r="H42" s="110"/>
      <c r="I42" s="129"/>
      <c r="J42" t="s">
        <v>351</v>
      </c>
      <c r="K42" s="129"/>
      <c r="L42" s="129"/>
      <c r="M42" s="129"/>
      <c r="N42" s="129"/>
      <c r="O42" s="129"/>
      <c r="P42" s="129"/>
      <c r="Q42" s="129"/>
      <c r="R42" s="129"/>
      <c r="S42" s="141"/>
      <c r="T42" s="139"/>
      <c r="U42" s="129"/>
      <c r="V42" s="129"/>
      <c r="W42" s="129"/>
      <c r="X42" s="129"/>
      <c r="Y42" s="129"/>
      <c r="Z42" s="115"/>
      <c r="AA42" s="129"/>
      <c r="AB42" s="149"/>
      <c r="AC42" s="129"/>
      <c r="AD42" s="129"/>
      <c r="AE42" s="129"/>
    </row>
    <row r="43" spans="3:31" x14ac:dyDescent="0.35">
      <c r="C43" s="129"/>
      <c r="D43" s="129"/>
      <c r="E43" s="129"/>
      <c r="F43" s="129"/>
      <c r="G43" s="129"/>
      <c r="H43" s="110"/>
      <c r="I43" s="129"/>
      <c r="J43" t="s">
        <v>351</v>
      </c>
      <c r="K43" s="129"/>
      <c r="L43" s="129"/>
      <c r="M43" s="129"/>
      <c r="N43" s="129"/>
      <c r="O43" s="129"/>
      <c r="P43" s="129"/>
      <c r="Q43" s="129"/>
      <c r="R43" s="129"/>
      <c r="S43" s="141"/>
      <c r="T43" s="139"/>
      <c r="U43" s="129"/>
      <c r="V43" s="129"/>
      <c r="W43" s="129"/>
      <c r="X43" s="129"/>
      <c r="Y43" s="129"/>
      <c r="Z43" s="115"/>
      <c r="AA43" s="129"/>
      <c r="AB43" s="149"/>
      <c r="AC43" s="129"/>
      <c r="AD43" s="129"/>
      <c r="AE43" s="129"/>
    </row>
    <row r="44" spans="3:31" x14ac:dyDescent="0.35">
      <c r="C44" s="129"/>
      <c r="D44" s="129"/>
      <c r="E44" s="129"/>
      <c r="F44" s="129"/>
      <c r="G44" s="129"/>
      <c r="H44" s="110"/>
      <c r="I44" s="129"/>
      <c r="J44" t="s">
        <v>351</v>
      </c>
      <c r="K44" s="129"/>
      <c r="L44" s="129"/>
      <c r="M44" s="129"/>
      <c r="N44" s="129"/>
      <c r="O44" s="129"/>
      <c r="P44" s="129"/>
      <c r="Q44" s="129"/>
      <c r="R44" s="129"/>
      <c r="S44" s="141"/>
      <c r="T44" s="139"/>
      <c r="U44" s="129"/>
      <c r="V44" s="129"/>
      <c r="W44" s="129"/>
      <c r="X44" s="129"/>
      <c r="Y44" s="129"/>
      <c r="Z44" s="115"/>
      <c r="AA44" s="129"/>
      <c r="AB44" s="149"/>
      <c r="AC44" s="129"/>
      <c r="AD44" s="129"/>
      <c r="AE44" s="129"/>
    </row>
    <row r="45" spans="3:31" x14ac:dyDescent="0.35">
      <c r="C45" s="129"/>
      <c r="D45" s="129"/>
      <c r="E45" s="129"/>
      <c r="F45" s="129"/>
      <c r="G45" s="129"/>
      <c r="H45" s="110"/>
      <c r="I45" s="129"/>
      <c r="J45" t="s">
        <v>351</v>
      </c>
      <c r="K45" s="129"/>
      <c r="L45" s="129"/>
      <c r="M45" s="129"/>
      <c r="N45" s="129"/>
      <c r="O45" s="129"/>
      <c r="P45" s="129"/>
      <c r="Q45" s="129"/>
      <c r="R45" s="129"/>
      <c r="S45" s="141"/>
      <c r="T45" s="139"/>
      <c r="U45" s="129"/>
      <c r="V45" s="129"/>
      <c r="W45" s="129"/>
      <c r="X45" s="129"/>
      <c r="Y45" s="129"/>
      <c r="Z45" s="115"/>
      <c r="AA45" s="129"/>
      <c r="AB45" s="149"/>
      <c r="AC45" s="129"/>
      <c r="AD45" s="129"/>
      <c r="AE45" s="129"/>
    </row>
    <row r="46" spans="3:31" x14ac:dyDescent="0.35">
      <c r="C46" s="129"/>
      <c r="D46" s="129"/>
      <c r="E46" s="129"/>
      <c r="F46" s="129"/>
      <c r="G46" s="129"/>
      <c r="H46" s="110"/>
      <c r="I46" s="129"/>
      <c r="J46" t="s">
        <v>351</v>
      </c>
      <c r="K46" s="129"/>
      <c r="L46" s="129"/>
      <c r="M46" s="129"/>
      <c r="N46" s="129"/>
      <c r="O46" s="129"/>
      <c r="P46" s="129"/>
      <c r="Q46" s="129"/>
      <c r="R46" s="129"/>
      <c r="S46" s="141"/>
      <c r="T46" s="139"/>
      <c r="U46" s="129"/>
      <c r="V46" s="129"/>
      <c r="W46" s="129"/>
      <c r="X46" s="129"/>
      <c r="Y46" s="129"/>
      <c r="Z46" s="115"/>
      <c r="AA46" s="129"/>
      <c r="AB46" s="149"/>
      <c r="AC46" s="129"/>
      <c r="AD46" s="129"/>
      <c r="AE46" s="129"/>
    </row>
    <row r="47" spans="3:31" x14ac:dyDescent="0.35">
      <c r="C47" s="129"/>
      <c r="D47" s="129"/>
      <c r="E47" s="129"/>
      <c r="F47" s="129"/>
      <c r="G47" s="129"/>
      <c r="H47" s="110"/>
      <c r="I47" s="129"/>
      <c r="J47" t="s">
        <v>351</v>
      </c>
      <c r="K47" s="129"/>
      <c r="L47" s="129"/>
      <c r="M47" s="129"/>
      <c r="N47" s="129"/>
      <c r="O47" s="129"/>
      <c r="P47" s="129"/>
      <c r="Q47" s="129"/>
      <c r="R47" s="129"/>
      <c r="S47" s="141"/>
      <c r="T47" s="139"/>
      <c r="U47" s="129"/>
      <c r="V47" s="129"/>
      <c r="W47" s="129"/>
      <c r="X47" s="129"/>
      <c r="Y47" s="129"/>
      <c r="Z47" s="115"/>
      <c r="AA47" s="129"/>
      <c r="AB47" s="149"/>
      <c r="AC47" s="129"/>
      <c r="AD47" s="129"/>
      <c r="AE47" s="129"/>
    </row>
    <row r="48" spans="3:31" x14ac:dyDescent="0.35">
      <c r="C48" s="129"/>
      <c r="D48" s="129"/>
      <c r="E48" s="129"/>
      <c r="F48" s="129"/>
      <c r="G48" s="129"/>
      <c r="H48" s="110"/>
      <c r="I48" s="129"/>
      <c r="J48" t="s">
        <v>351</v>
      </c>
      <c r="K48" s="129"/>
      <c r="L48" s="129"/>
      <c r="M48" s="129"/>
      <c r="N48" s="129"/>
      <c r="O48" s="129"/>
      <c r="P48" s="129"/>
      <c r="Q48" s="129"/>
      <c r="R48" s="129"/>
      <c r="S48" s="141"/>
      <c r="T48" s="139"/>
      <c r="U48" s="129"/>
      <c r="V48" s="129"/>
      <c r="W48" s="129"/>
      <c r="X48" s="129"/>
      <c r="Y48" s="129"/>
      <c r="Z48" s="115"/>
      <c r="AA48" s="129"/>
      <c r="AB48" s="149"/>
      <c r="AC48" s="129"/>
      <c r="AD48" s="129"/>
      <c r="AE48" s="129"/>
    </row>
    <row r="49" spans="3:31" x14ac:dyDescent="0.35">
      <c r="C49" s="129"/>
      <c r="D49" s="129"/>
      <c r="E49" s="129"/>
      <c r="F49" s="129"/>
      <c r="G49" s="129"/>
      <c r="H49" s="110"/>
      <c r="I49" s="129"/>
      <c r="J49" t="s">
        <v>351</v>
      </c>
      <c r="K49" s="129"/>
      <c r="L49" s="129"/>
      <c r="M49" s="129"/>
      <c r="N49" s="129"/>
      <c r="O49" s="129"/>
      <c r="P49" s="129"/>
      <c r="Q49" s="129"/>
      <c r="R49" s="129"/>
      <c r="S49" s="141"/>
      <c r="T49" s="139"/>
      <c r="U49" s="129"/>
      <c r="V49" s="129"/>
      <c r="W49" s="129"/>
      <c r="X49" s="129"/>
      <c r="Y49" s="129"/>
      <c r="Z49" s="115"/>
      <c r="AA49" s="129"/>
      <c r="AB49" s="149"/>
      <c r="AC49" s="129"/>
      <c r="AD49" s="129"/>
      <c r="AE49" s="129"/>
    </row>
    <row r="50" spans="3:31" x14ac:dyDescent="0.35">
      <c r="C50" s="129"/>
      <c r="D50" s="129"/>
      <c r="E50" s="129"/>
      <c r="F50" s="129"/>
      <c r="G50" s="129"/>
      <c r="H50" s="110"/>
      <c r="I50" s="129"/>
      <c r="J50" t="s">
        <v>351</v>
      </c>
      <c r="K50" s="129"/>
      <c r="L50" s="129"/>
      <c r="M50" s="129"/>
      <c r="N50" s="129"/>
      <c r="O50" s="129"/>
      <c r="P50" s="129"/>
      <c r="Q50" s="129"/>
      <c r="R50" s="129"/>
      <c r="S50" s="141"/>
      <c r="T50" s="139"/>
      <c r="U50" s="129"/>
      <c r="V50" s="129"/>
      <c r="W50" s="129"/>
      <c r="X50" s="129"/>
      <c r="Y50" s="129"/>
      <c r="Z50" s="115"/>
      <c r="AA50" s="129"/>
      <c r="AB50" s="149"/>
      <c r="AC50" s="129"/>
      <c r="AD50" s="129"/>
      <c r="AE50" s="129"/>
    </row>
    <row r="51" spans="3:31" x14ac:dyDescent="0.35">
      <c r="C51" s="129"/>
      <c r="D51" s="129"/>
      <c r="E51" s="129"/>
      <c r="F51" s="129"/>
      <c r="G51" s="129"/>
      <c r="H51" s="110"/>
      <c r="I51" s="129"/>
      <c r="J51" t="s">
        <v>351</v>
      </c>
      <c r="K51" s="129"/>
      <c r="L51" s="129"/>
      <c r="M51" s="129"/>
      <c r="N51" s="129"/>
      <c r="O51" s="129"/>
      <c r="P51" s="129"/>
      <c r="Q51" s="129"/>
      <c r="R51" s="129"/>
      <c r="S51" s="141"/>
      <c r="T51" s="139"/>
      <c r="U51" s="129"/>
      <c r="V51" s="129"/>
      <c r="W51" s="129"/>
      <c r="X51" s="129"/>
      <c r="Y51" s="129"/>
      <c r="Z51" s="115"/>
      <c r="AA51" s="129"/>
      <c r="AB51" s="149"/>
      <c r="AC51" s="129"/>
      <c r="AD51" s="129"/>
      <c r="AE51" s="129"/>
    </row>
    <row r="52" spans="3:31" x14ac:dyDescent="0.35">
      <c r="C52" s="129"/>
      <c r="D52" s="129"/>
      <c r="E52" s="129"/>
      <c r="F52" s="129"/>
      <c r="G52" s="129"/>
      <c r="H52" s="110"/>
      <c r="I52" s="129"/>
      <c r="J52" t="s">
        <v>351</v>
      </c>
      <c r="K52" s="129"/>
      <c r="L52" s="129"/>
      <c r="M52" s="129"/>
      <c r="N52" s="129"/>
      <c r="O52" s="129"/>
      <c r="P52" s="129"/>
      <c r="Q52" s="129"/>
      <c r="R52" s="129"/>
      <c r="S52" s="141"/>
      <c r="T52" s="139"/>
      <c r="U52" s="129"/>
      <c r="V52" s="129"/>
      <c r="W52" s="129"/>
      <c r="X52" s="129"/>
      <c r="Y52" s="129"/>
      <c r="Z52" s="115"/>
      <c r="AA52" s="129"/>
      <c r="AB52" s="149"/>
      <c r="AC52" s="129"/>
      <c r="AD52" s="129"/>
      <c r="AE52" s="129"/>
    </row>
    <row r="53" spans="3:31" x14ac:dyDescent="0.35">
      <c r="C53" s="129"/>
      <c r="D53" s="129"/>
      <c r="E53" s="129"/>
      <c r="F53" s="129"/>
      <c r="G53" s="129"/>
      <c r="H53" s="110"/>
      <c r="I53" s="129"/>
      <c r="J53" t="s">
        <v>351</v>
      </c>
      <c r="K53" s="129"/>
      <c r="L53" s="129"/>
      <c r="M53" s="129"/>
      <c r="N53" s="129"/>
      <c r="O53" s="129"/>
      <c r="P53" s="129"/>
      <c r="Q53" s="129"/>
      <c r="R53" s="129"/>
      <c r="S53" s="141"/>
      <c r="T53" s="139"/>
      <c r="U53" s="129"/>
      <c r="V53" s="129"/>
      <c r="W53" s="129"/>
      <c r="X53" s="129"/>
      <c r="Y53" s="129"/>
      <c r="Z53" s="115"/>
      <c r="AA53" s="129"/>
      <c r="AB53" s="149"/>
      <c r="AC53" s="129"/>
      <c r="AD53" s="129"/>
      <c r="AE53" s="129"/>
    </row>
    <row r="54" spans="3:31" x14ac:dyDescent="0.35">
      <c r="C54" s="129"/>
      <c r="D54" s="129"/>
      <c r="E54" s="129"/>
      <c r="F54" s="129"/>
      <c r="G54" s="129"/>
      <c r="H54" s="110"/>
      <c r="I54" s="129"/>
      <c r="J54" t="s">
        <v>351</v>
      </c>
      <c r="K54" s="129"/>
      <c r="L54" s="129"/>
      <c r="M54" s="129"/>
      <c r="N54" s="129"/>
      <c r="O54" s="129"/>
      <c r="P54" s="129"/>
      <c r="Q54" s="129"/>
      <c r="R54" s="129"/>
      <c r="S54" s="141"/>
      <c r="T54" s="139"/>
      <c r="U54" s="129"/>
      <c r="V54" s="129"/>
      <c r="W54" s="129"/>
      <c r="X54" s="129"/>
      <c r="Y54" s="129"/>
      <c r="Z54" s="115"/>
      <c r="AA54" s="129"/>
      <c r="AB54" s="149"/>
      <c r="AC54" s="129"/>
      <c r="AD54" s="129"/>
      <c r="AE54" s="129"/>
    </row>
    <row r="55" spans="3:31" x14ac:dyDescent="0.35">
      <c r="C55" s="129"/>
      <c r="D55" s="129"/>
      <c r="E55" s="129"/>
      <c r="F55" s="129"/>
      <c r="G55" s="129"/>
      <c r="H55" s="110"/>
      <c r="I55" s="129"/>
      <c r="J55" t="s">
        <v>351</v>
      </c>
      <c r="K55" s="129"/>
      <c r="L55" s="129"/>
      <c r="M55" s="129"/>
      <c r="N55" s="129"/>
      <c r="O55" s="129"/>
      <c r="P55" s="129"/>
      <c r="Q55" s="129"/>
      <c r="R55" s="129"/>
      <c r="S55" s="141"/>
      <c r="T55" s="139"/>
      <c r="U55" s="129"/>
      <c r="V55" s="129"/>
      <c r="W55" s="129"/>
      <c r="X55" s="129"/>
      <c r="Y55" s="129"/>
      <c r="Z55" s="115"/>
      <c r="AA55" s="129"/>
      <c r="AB55" s="149"/>
      <c r="AC55" s="129"/>
      <c r="AD55" s="129"/>
      <c r="AE55" s="129"/>
    </row>
    <row r="56" spans="3:31" x14ac:dyDescent="0.35">
      <c r="C56" s="129"/>
      <c r="D56" s="129"/>
      <c r="E56" s="129"/>
      <c r="F56" s="129"/>
      <c r="G56" s="129"/>
      <c r="H56" s="110"/>
      <c r="I56" s="129"/>
      <c r="J56" t="s">
        <v>351</v>
      </c>
      <c r="K56" s="129"/>
      <c r="L56" s="129"/>
      <c r="M56" s="129"/>
      <c r="N56" s="129"/>
      <c r="O56" s="129"/>
      <c r="P56" s="129"/>
      <c r="Q56" s="129"/>
      <c r="R56" s="129"/>
      <c r="S56" s="141"/>
      <c r="T56" s="139"/>
      <c r="U56" s="129"/>
      <c r="V56" s="129"/>
      <c r="W56" s="129"/>
      <c r="X56" s="129"/>
      <c r="Y56" s="129"/>
      <c r="Z56" s="115"/>
      <c r="AA56" s="129"/>
      <c r="AB56" s="149"/>
      <c r="AC56" s="129"/>
      <c r="AD56" s="129"/>
      <c r="AE56" s="129"/>
    </row>
    <row r="57" spans="3:31" x14ac:dyDescent="0.35">
      <c r="C57" s="129"/>
      <c r="D57" s="129"/>
      <c r="E57" s="129"/>
      <c r="F57" s="129"/>
      <c r="G57" s="129"/>
      <c r="H57" s="110"/>
      <c r="I57" s="129"/>
      <c r="J57" t="s">
        <v>351</v>
      </c>
      <c r="K57" s="129"/>
      <c r="L57" s="129"/>
      <c r="M57" s="129"/>
      <c r="N57" s="129"/>
      <c r="O57" s="129"/>
      <c r="P57" s="129"/>
      <c r="Q57" s="129"/>
      <c r="R57" s="129"/>
      <c r="S57" s="141"/>
      <c r="T57" s="139"/>
      <c r="U57" s="129"/>
      <c r="V57" s="129"/>
      <c r="W57" s="129"/>
      <c r="X57" s="129"/>
      <c r="Y57" s="129"/>
      <c r="Z57" s="115"/>
      <c r="AA57" s="129"/>
      <c r="AB57" s="149"/>
      <c r="AC57" s="129"/>
      <c r="AD57" s="129"/>
      <c r="AE57" s="129"/>
    </row>
    <row r="58" spans="3:31" x14ac:dyDescent="0.35">
      <c r="C58" s="129"/>
      <c r="D58" s="129"/>
      <c r="E58" s="129"/>
      <c r="F58" s="129"/>
      <c r="G58" s="129"/>
      <c r="H58" s="110"/>
      <c r="I58" s="129"/>
      <c r="J58" t="s">
        <v>351</v>
      </c>
      <c r="K58" s="129"/>
      <c r="L58" s="129"/>
      <c r="M58" s="129"/>
      <c r="N58" s="129"/>
      <c r="O58" s="129"/>
      <c r="P58" s="129"/>
      <c r="Q58" s="129"/>
      <c r="R58" s="129"/>
      <c r="S58" s="141"/>
      <c r="T58" s="139"/>
      <c r="U58" s="129"/>
      <c r="V58" s="129"/>
      <c r="W58" s="129"/>
      <c r="X58" s="129"/>
      <c r="Y58" s="129"/>
      <c r="Z58" s="115"/>
      <c r="AA58" s="129"/>
      <c r="AB58" s="149"/>
      <c r="AC58" s="129"/>
      <c r="AD58" s="129"/>
      <c r="AE58" s="129"/>
    </row>
    <row r="59" spans="3:31" x14ac:dyDescent="0.35">
      <c r="C59" s="129"/>
      <c r="D59" s="129"/>
      <c r="E59" s="129"/>
      <c r="F59" s="129"/>
      <c r="G59" s="129"/>
      <c r="H59" s="110"/>
      <c r="I59" s="129"/>
      <c r="J59" t="s">
        <v>351</v>
      </c>
      <c r="K59" s="129"/>
      <c r="L59" s="129"/>
      <c r="M59" s="129"/>
      <c r="N59" s="129"/>
      <c r="O59" s="129"/>
      <c r="P59" s="129"/>
      <c r="Q59" s="129"/>
      <c r="R59" s="129"/>
      <c r="S59" s="141"/>
      <c r="T59" s="139"/>
      <c r="U59" s="129"/>
      <c r="V59" s="129"/>
      <c r="W59" s="129"/>
      <c r="X59" s="129"/>
      <c r="Y59" s="129"/>
      <c r="Z59" s="115"/>
      <c r="AA59" s="129"/>
      <c r="AB59" s="149"/>
      <c r="AC59" s="129"/>
      <c r="AD59" s="129"/>
      <c r="AE59" s="129"/>
    </row>
    <row r="60" spans="3:31" x14ac:dyDescent="0.35">
      <c r="C60" s="129"/>
      <c r="D60" s="129"/>
      <c r="E60" s="129"/>
      <c r="F60" s="129"/>
      <c r="G60" s="129"/>
      <c r="H60" s="110"/>
      <c r="I60" s="129"/>
      <c r="J60" t="s">
        <v>351</v>
      </c>
      <c r="K60" s="129"/>
      <c r="L60" s="129"/>
      <c r="M60" s="129"/>
      <c r="N60" s="129"/>
      <c r="O60" s="129"/>
      <c r="P60" s="129"/>
      <c r="Q60" s="129"/>
      <c r="R60" s="129"/>
      <c r="S60" s="141"/>
      <c r="T60" s="139"/>
      <c r="U60" s="129"/>
      <c r="V60" s="129"/>
      <c r="W60" s="129"/>
      <c r="X60" s="129"/>
      <c r="Y60" s="129"/>
      <c r="Z60" s="115"/>
      <c r="AA60" s="129"/>
      <c r="AB60" s="149"/>
      <c r="AC60" s="129"/>
      <c r="AD60" s="129"/>
      <c r="AE60" s="129"/>
    </row>
    <row r="61" spans="3:31" x14ac:dyDescent="0.35">
      <c r="C61" s="129"/>
      <c r="D61" s="129"/>
      <c r="E61" s="129"/>
      <c r="F61" s="129"/>
      <c r="G61" s="129"/>
      <c r="H61" s="110"/>
      <c r="I61" s="129"/>
      <c r="J61" t="s">
        <v>351</v>
      </c>
      <c r="K61" s="129"/>
      <c r="L61" s="129"/>
      <c r="M61" s="129"/>
      <c r="N61" s="129"/>
      <c r="O61" s="129"/>
      <c r="P61" s="129"/>
      <c r="Q61" s="129"/>
      <c r="R61" s="129"/>
      <c r="S61" s="141"/>
      <c r="T61" s="139"/>
      <c r="U61" s="129"/>
      <c r="V61" s="129"/>
      <c r="W61" s="129"/>
      <c r="X61" s="129"/>
      <c r="Y61" s="129"/>
      <c r="Z61" s="115"/>
      <c r="AA61" s="129"/>
      <c r="AB61" s="149"/>
      <c r="AC61" s="129"/>
      <c r="AD61" s="129"/>
      <c r="AE61" s="129"/>
    </row>
    <row r="62" spans="3:31" x14ac:dyDescent="0.35">
      <c r="C62" s="129"/>
      <c r="D62" s="129"/>
      <c r="E62" s="129"/>
      <c r="F62" s="129"/>
      <c r="G62" s="129"/>
      <c r="H62" s="110"/>
      <c r="I62" s="129"/>
      <c r="J62" t="s">
        <v>351</v>
      </c>
      <c r="K62" s="129"/>
      <c r="L62" s="129"/>
      <c r="M62" s="129"/>
      <c r="N62" s="129"/>
      <c r="O62" s="129"/>
      <c r="P62" s="129"/>
      <c r="Q62" s="129"/>
      <c r="R62" s="129"/>
      <c r="S62" s="141"/>
      <c r="T62" s="139"/>
      <c r="U62" s="129"/>
      <c r="V62" s="129"/>
      <c r="W62" s="129"/>
      <c r="X62" s="129"/>
      <c r="Y62" s="129"/>
      <c r="Z62" s="115"/>
      <c r="AA62" s="129"/>
      <c r="AB62" s="149"/>
      <c r="AC62" s="129"/>
      <c r="AD62" s="129"/>
      <c r="AE62" s="129"/>
    </row>
    <row r="63" spans="3:31" x14ac:dyDescent="0.35">
      <c r="C63" s="129"/>
      <c r="D63" s="129"/>
      <c r="E63" s="129"/>
      <c r="F63" s="129"/>
      <c r="G63" s="129"/>
      <c r="H63" s="110"/>
      <c r="I63" s="129"/>
      <c r="J63" t="s">
        <v>351</v>
      </c>
      <c r="K63" s="129"/>
      <c r="L63" s="129"/>
      <c r="M63" s="129"/>
      <c r="N63" s="129"/>
      <c r="O63" s="129"/>
      <c r="P63" s="129"/>
      <c r="Q63" s="129"/>
      <c r="R63" s="129"/>
      <c r="S63" s="141"/>
      <c r="T63" s="139"/>
      <c r="U63" s="129"/>
      <c r="V63" s="129"/>
      <c r="W63" s="129"/>
      <c r="X63" s="129"/>
      <c r="Y63" s="129"/>
      <c r="Z63" s="115"/>
      <c r="AA63" s="129"/>
      <c r="AB63" s="149"/>
      <c r="AC63" s="129"/>
      <c r="AD63" s="129"/>
      <c r="AE63" s="129"/>
    </row>
    <row r="64" spans="3:31" x14ac:dyDescent="0.35">
      <c r="C64" s="129"/>
      <c r="D64" s="129"/>
      <c r="E64" s="129"/>
      <c r="F64" s="129"/>
      <c r="G64" s="129"/>
      <c r="H64" s="110"/>
      <c r="I64" s="129"/>
      <c r="J64" t="s">
        <v>351</v>
      </c>
      <c r="K64" s="129"/>
      <c r="L64" s="129"/>
      <c r="M64" s="129"/>
      <c r="N64" s="129"/>
      <c r="O64" s="129"/>
      <c r="P64" s="129"/>
      <c r="Q64" s="129"/>
      <c r="R64" s="129"/>
      <c r="S64" s="141"/>
      <c r="T64" s="139"/>
      <c r="U64" s="129"/>
      <c r="V64" s="129"/>
      <c r="W64" s="129"/>
      <c r="X64" s="129"/>
      <c r="Y64" s="129"/>
      <c r="Z64" s="115"/>
      <c r="AA64" s="129"/>
      <c r="AB64" s="149"/>
      <c r="AC64" s="129"/>
      <c r="AD64" s="129"/>
      <c r="AE64" s="129"/>
    </row>
    <row r="65" spans="3:31" x14ac:dyDescent="0.35">
      <c r="C65" s="129"/>
      <c r="D65" s="129"/>
      <c r="E65" s="129"/>
      <c r="F65" s="129"/>
      <c r="G65" s="129"/>
      <c r="H65" s="110"/>
      <c r="I65" s="129"/>
      <c r="J65" t="s">
        <v>351</v>
      </c>
      <c r="K65" s="129"/>
      <c r="L65" s="129"/>
      <c r="M65" s="129"/>
      <c r="N65" s="129"/>
      <c r="O65" s="129"/>
      <c r="P65" s="129"/>
      <c r="Q65" s="129"/>
      <c r="R65" s="129"/>
      <c r="S65" s="141"/>
      <c r="T65" s="139"/>
      <c r="U65" s="129"/>
      <c r="V65" s="129"/>
      <c r="W65" s="129"/>
      <c r="X65" s="129"/>
      <c r="Y65" s="129"/>
      <c r="Z65" s="115"/>
      <c r="AA65" s="129"/>
      <c r="AB65" s="149"/>
      <c r="AC65" s="129"/>
      <c r="AD65" s="129"/>
      <c r="AE65" s="129"/>
    </row>
    <row r="66" spans="3:31" x14ac:dyDescent="0.35">
      <c r="C66" s="129"/>
      <c r="D66" s="129"/>
      <c r="E66" s="129"/>
      <c r="F66" s="129"/>
      <c r="G66" s="129"/>
      <c r="H66" s="110"/>
      <c r="I66" s="129"/>
      <c r="J66" t="s">
        <v>351</v>
      </c>
      <c r="K66" s="129"/>
      <c r="L66" s="129"/>
      <c r="M66" s="129"/>
      <c r="N66" s="129"/>
      <c r="O66" s="129"/>
      <c r="P66" s="129"/>
      <c r="Q66" s="129"/>
      <c r="R66" s="129"/>
      <c r="S66" s="141"/>
      <c r="T66" s="139"/>
      <c r="U66" s="129"/>
      <c r="V66" s="129"/>
      <c r="W66" s="129"/>
      <c r="X66" s="129"/>
      <c r="Y66" s="129"/>
      <c r="Z66" s="115"/>
      <c r="AA66" s="129"/>
      <c r="AB66" s="149"/>
      <c r="AC66" s="129"/>
      <c r="AD66" s="129"/>
      <c r="AE66" s="129"/>
    </row>
    <row r="67" spans="3:31" x14ac:dyDescent="0.35">
      <c r="C67" s="129"/>
      <c r="D67" s="129"/>
      <c r="E67" s="129"/>
      <c r="F67" s="129"/>
      <c r="G67" s="129"/>
      <c r="H67" s="110"/>
      <c r="I67" s="129"/>
      <c r="J67" t="s">
        <v>351</v>
      </c>
      <c r="K67" s="129"/>
      <c r="L67" s="129"/>
      <c r="M67" s="129"/>
      <c r="N67" s="129"/>
      <c r="O67" s="129"/>
      <c r="P67" s="129"/>
      <c r="Q67" s="129"/>
      <c r="R67" s="129"/>
      <c r="S67" s="141"/>
      <c r="T67" s="139"/>
      <c r="U67" s="129"/>
      <c r="V67" s="129"/>
      <c r="W67" s="129"/>
      <c r="X67" s="129"/>
      <c r="Y67" s="129"/>
      <c r="Z67" s="115"/>
      <c r="AA67" s="129"/>
      <c r="AB67" s="149"/>
      <c r="AC67" s="129"/>
      <c r="AD67" s="129"/>
      <c r="AE67" s="129"/>
    </row>
    <row r="68" spans="3:31" x14ac:dyDescent="0.35">
      <c r="C68" s="129"/>
      <c r="D68" s="129"/>
      <c r="E68" s="129"/>
      <c r="F68" s="129"/>
      <c r="G68" s="129"/>
      <c r="H68" s="110"/>
      <c r="I68" s="129"/>
      <c r="J68" t="s">
        <v>351</v>
      </c>
      <c r="K68" s="129"/>
      <c r="L68" s="129"/>
      <c r="M68" s="129"/>
      <c r="N68" s="129"/>
      <c r="O68" s="129"/>
      <c r="P68" s="129"/>
      <c r="Q68" s="129"/>
      <c r="R68" s="129"/>
      <c r="S68" s="141"/>
      <c r="T68" s="139"/>
      <c r="U68" s="129"/>
      <c r="V68" s="129"/>
      <c r="W68" s="129"/>
      <c r="X68" s="129"/>
      <c r="Y68" s="129"/>
      <c r="Z68" s="115"/>
      <c r="AA68" s="129"/>
      <c r="AB68" s="149"/>
      <c r="AC68" s="129"/>
      <c r="AD68" s="129"/>
      <c r="AE68" s="129"/>
    </row>
    <row r="69" spans="3:31" x14ac:dyDescent="0.35">
      <c r="C69" s="129"/>
      <c r="D69" s="129"/>
      <c r="E69" s="129"/>
      <c r="F69" s="129"/>
      <c r="G69" s="129"/>
      <c r="H69" s="110"/>
      <c r="I69" s="129"/>
      <c r="J69" t="s">
        <v>351</v>
      </c>
      <c r="K69" s="129"/>
      <c r="L69" s="129"/>
      <c r="M69" s="129"/>
      <c r="N69" s="129"/>
      <c r="O69" s="129"/>
      <c r="P69" s="129"/>
      <c r="Q69" s="129"/>
      <c r="R69" s="129"/>
      <c r="S69" s="141"/>
      <c r="T69" s="139"/>
      <c r="U69" s="129"/>
      <c r="V69" s="129"/>
      <c r="W69" s="129"/>
      <c r="X69" s="129"/>
      <c r="Y69" s="129"/>
      <c r="Z69" s="115"/>
      <c r="AA69" s="129"/>
      <c r="AB69" s="149"/>
      <c r="AC69" s="129"/>
      <c r="AD69" s="129"/>
      <c r="AE69" s="129"/>
    </row>
    <row r="70" spans="3:31" x14ac:dyDescent="0.35">
      <c r="C70" s="129"/>
      <c r="D70" s="129"/>
      <c r="E70" s="129"/>
      <c r="F70" s="129"/>
      <c r="G70" s="129"/>
      <c r="H70" s="110"/>
      <c r="I70" s="129"/>
      <c r="J70" t="s">
        <v>351</v>
      </c>
      <c r="K70" s="129"/>
      <c r="L70" s="129"/>
      <c r="M70" s="129"/>
      <c r="N70" s="129"/>
      <c r="O70" s="129"/>
      <c r="P70" s="129"/>
      <c r="Q70" s="129"/>
      <c r="R70" s="129"/>
      <c r="S70" s="141"/>
      <c r="T70" s="139"/>
      <c r="U70" s="129"/>
      <c r="V70" s="129"/>
      <c r="W70" s="129"/>
      <c r="X70" s="129"/>
      <c r="Y70" s="129"/>
      <c r="Z70" s="115"/>
      <c r="AA70" s="129"/>
      <c r="AB70" s="149"/>
      <c r="AC70" s="129"/>
      <c r="AD70" s="129"/>
      <c r="AE70" s="129"/>
    </row>
    <row r="71" spans="3:31" x14ac:dyDescent="0.35">
      <c r="C71" s="129"/>
      <c r="D71" s="129"/>
      <c r="E71" s="129"/>
      <c r="F71" s="129"/>
      <c r="G71" s="129"/>
      <c r="H71" s="110"/>
      <c r="I71" s="129"/>
      <c r="J71" t="s">
        <v>351</v>
      </c>
      <c r="K71" s="129"/>
      <c r="L71" s="129"/>
      <c r="M71" s="129"/>
      <c r="N71" s="129"/>
      <c r="O71" s="129"/>
      <c r="P71" s="129"/>
      <c r="Q71" s="129"/>
      <c r="R71" s="129"/>
      <c r="S71" s="141"/>
      <c r="T71" s="139"/>
      <c r="U71" s="129"/>
      <c r="V71" s="129"/>
      <c r="W71" s="129"/>
      <c r="X71" s="129"/>
      <c r="Y71" s="129"/>
      <c r="Z71" s="115"/>
      <c r="AA71" s="129"/>
      <c r="AB71" s="149"/>
      <c r="AC71" s="129"/>
      <c r="AD71" s="129"/>
      <c r="AE71" s="129"/>
    </row>
    <row r="72" spans="3:31" x14ac:dyDescent="0.35">
      <c r="C72" s="129"/>
      <c r="D72" s="129"/>
      <c r="E72" s="129"/>
      <c r="F72" s="129"/>
      <c r="G72" s="129"/>
      <c r="H72" s="110"/>
      <c r="I72" s="129"/>
      <c r="J72" t="s">
        <v>351</v>
      </c>
      <c r="K72" s="129"/>
      <c r="L72" s="129"/>
      <c r="M72" s="129"/>
      <c r="N72" s="129"/>
      <c r="O72" s="129"/>
      <c r="P72" s="129"/>
      <c r="Q72" s="129"/>
      <c r="R72" s="129"/>
      <c r="S72" s="141"/>
      <c r="T72" s="139"/>
      <c r="U72" s="129"/>
      <c r="V72" s="129"/>
      <c r="W72" s="129"/>
      <c r="X72" s="129"/>
      <c r="Y72" s="129"/>
      <c r="Z72" s="115"/>
      <c r="AA72" s="129"/>
      <c r="AB72" s="149"/>
      <c r="AC72" s="129"/>
      <c r="AD72" s="129"/>
      <c r="AE72" s="129"/>
    </row>
    <row r="73" spans="3:31" x14ac:dyDescent="0.35">
      <c r="C73" s="129"/>
      <c r="D73" s="129"/>
      <c r="E73" s="129"/>
      <c r="F73" s="129"/>
      <c r="G73" s="129"/>
      <c r="H73" s="110"/>
      <c r="I73" s="129"/>
      <c r="J73" t="s">
        <v>351</v>
      </c>
      <c r="K73" s="129"/>
      <c r="L73" s="129"/>
      <c r="M73" s="129"/>
      <c r="N73" s="129"/>
      <c r="O73" s="129"/>
      <c r="P73" s="129"/>
      <c r="Q73" s="129"/>
      <c r="R73" s="129"/>
      <c r="S73" s="141"/>
      <c r="T73" s="139"/>
      <c r="U73" s="129"/>
      <c r="V73" s="129"/>
      <c r="W73" s="129"/>
      <c r="X73" s="129"/>
      <c r="Y73" s="129"/>
      <c r="Z73" s="115"/>
      <c r="AA73" s="129"/>
      <c r="AB73" s="149"/>
      <c r="AC73" s="129"/>
      <c r="AD73" s="129"/>
      <c r="AE73" s="129"/>
    </row>
    <row r="74" spans="3:31" x14ac:dyDescent="0.35">
      <c r="C74" s="129"/>
      <c r="D74" s="129"/>
      <c r="E74" s="129"/>
      <c r="F74" s="129"/>
      <c r="G74" s="129"/>
      <c r="H74" s="110"/>
      <c r="I74" s="129"/>
      <c r="J74" t="s">
        <v>351</v>
      </c>
      <c r="K74" s="129"/>
      <c r="L74" s="129"/>
      <c r="M74" s="129"/>
      <c r="N74" s="129"/>
      <c r="O74" s="129"/>
      <c r="P74" s="129"/>
      <c r="Q74" s="129"/>
      <c r="R74" s="129"/>
      <c r="S74" s="141"/>
      <c r="T74" s="139"/>
      <c r="U74" s="129"/>
      <c r="V74" s="129"/>
      <c r="W74" s="129"/>
      <c r="X74" s="129"/>
      <c r="Y74" s="129"/>
      <c r="Z74" s="115"/>
      <c r="AA74" s="129"/>
      <c r="AB74" s="149"/>
      <c r="AC74" s="129"/>
      <c r="AD74" s="129"/>
      <c r="AE74" s="129"/>
    </row>
    <row r="75" spans="3:31" x14ac:dyDescent="0.35">
      <c r="C75" s="129"/>
      <c r="D75" s="129"/>
      <c r="E75" s="129"/>
      <c r="F75" s="129"/>
      <c r="G75" s="129"/>
      <c r="H75" s="110"/>
      <c r="I75" s="129"/>
      <c r="J75" t="s">
        <v>351</v>
      </c>
      <c r="K75" s="129"/>
      <c r="L75" s="129"/>
      <c r="M75" s="129"/>
      <c r="N75" s="129"/>
      <c r="O75" s="129"/>
      <c r="P75" s="129"/>
      <c r="Q75" s="129"/>
      <c r="R75" s="129"/>
      <c r="S75" s="141"/>
      <c r="T75" s="139"/>
      <c r="U75" s="129"/>
      <c r="V75" s="129"/>
      <c r="W75" s="129"/>
      <c r="X75" s="129"/>
      <c r="Y75" s="129"/>
      <c r="Z75" s="115"/>
      <c r="AA75" s="129"/>
      <c r="AB75" s="149"/>
      <c r="AC75" s="129"/>
      <c r="AD75" s="129"/>
      <c r="AE75" s="129"/>
    </row>
    <row r="76" spans="3:31" x14ac:dyDescent="0.35">
      <c r="C76" s="129"/>
      <c r="D76" s="129"/>
      <c r="E76" s="129"/>
      <c r="F76" s="129"/>
      <c r="G76" s="129"/>
      <c r="H76" s="110"/>
      <c r="I76" s="129"/>
      <c r="J76" t="s">
        <v>351</v>
      </c>
      <c r="K76" s="129"/>
      <c r="L76" s="129"/>
      <c r="M76" s="129"/>
      <c r="N76" s="129"/>
      <c r="O76" s="129"/>
      <c r="P76" s="129"/>
      <c r="Q76" s="129"/>
      <c r="R76" s="129"/>
      <c r="S76" s="141"/>
      <c r="T76" s="139"/>
      <c r="U76" s="129"/>
      <c r="V76" s="129"/>
      <c r="W76" s="129"/>
      <c r="X76" s="129"/>
      <c r="Y76" s="129"/>
      <c r="Z76" s="115"/>
      <c r="AA76" s="129"/>
      <c r="AB76" s="149"/>
      <c r="AC76" s="129"/>
      <c r="AD76" s="129"/>
      <c r="AE76" s="129"/>
    </row>
    <row r="77" spans="3:31" x14ac:dyDescent="0.35">
      <c r="C77" s="129"/>
      <c r="D77" s="129"/>
      <c r="E77" s="129"/>
      <c r="F77" s="129"/>
      <c r="G77" s="129"/>
      <c r="H77" s="110"/>
      <c r="I77" s="129"/>
      <c r="J77" t="s">
        <v>351</v>
      </c>
      <c r="K77" s="129"/>
      <c r="L77" s="129"/>
      <c r="M77" s="129"/>
      <c r="N77" s="129"/>
      <c r="O77" s="129"/>
      <c r="P77" s="129"/>
      <c r="Q77" s="129"/>
      <c r="R77" s="129"/>
      <c r="S77" s="141"/>
      <c r="T77" s="139"/>
      <c r="U77" s="129"/>
      <c r="V77" s="129"/>
      <c r="W77" s="129"/>
      <c r="X77" s="129"/>
      <c r="Y77" s="129"/>
      <c r="Z77" s="115"/>
      <c r="AA77" s="129"/>
      <c r="AB77" s="149"/>
      <c r="AC77" s="129"/>
      <c r="AD77" s="129"/>
      <c r="AE77" s="129"/>
    </row>
    <row r="78" spans="3:31" x14ac:dyDescent="0.35">
      <c r="C78" s="129"/>
      <c r="D78" s="129"/>
      <c r="E78" s="129"/>
      <c r="F78" s="129"/>
      <c r="G78" s="129"/>
      <c r="H78" s="110"/>
      <c r="I78" s="129"/>
      <c r="J78" t="s">
        <v>351</v>
      </c>
      <c r="K78" s="129"/>
      <c r="L78" s="129"/>
      <c r="M78" s="129"/>
      <c r="N78" s="129"/>
      <c r="O78" s="129"/>
      <c r="P78" s="129"/>
      <c r="Q78" s="129"/>
      <c r="R78" s="129"/>
      <c r="S78" s="141"/>
      <c r="T78" s="139"/>
      <c r="U78" s="129"/>
      <c r="V78" s="129"/>
      <c r="W78" s="129"/>
      <c r="X78" s="129"/>
      <c r="Y78" s="129"/>
      <c r="Z78" s="115"/>
      <c r="AA78" s="129"/>
      <c r="AB78" s="149"/>
      <c r="AC78" s="129"/>
      <c r="AD78" s="129"/>
      <c r="AE78" s="129"/>
    </row>
    <row r="79" spans="3:31" x14ac:dyDescent="0.35">
      <c r="C79" s="129"/>
      <c r="D79" s="129"/>
      <c r="E79" s="129"/>
      <c r="F79" s="129"/>
      <c r="G79" s="129"/>
      <c r="H79" s="110"/>
      <c r="I79" s="129"/>
      <c r="J79" t="s">
        <v>351</v>
      </c>
      <c r="K79" s="129"/>
      <c r="L79" s="129"/>
      <c r="M79" s="129"/>
      <c r="N79" s="129"/>
      <c r="O79" s="129"/>
      <c r="P79" s="129"/>
      <c r="Q79" s="129"/>
      <c r="R79" s="129"/>
      <c r="S79" s="141"/>
      <c r="T79" s="139"/>
      <c r="U79" s="129"/>
      <c r="V79" s="129"/>
      <c r="W79" s="129"/>
      <c r="X79" s="129"/>
      <c r="Y79" s="129"/>
      <c r="Z79" s="115"/>
      <c r="AA79" s="129"/>
      <c r="AB79" s="149"/>
      <c r="AC79" s="129"/>
      <c r="AD79" s="129"/>
      <c r="AE79" s="129"/>
    </row>
    <row r="80" spans="3:31" x14ac:dyDescent="0.35">
      <c r="C80" s="129"/>
      <c r="D80" s="129"/>
      <c r="E80" s="129"/>
      <c r="F80" s="129"/>
      <c r="G80" s="129"/>
      <c r="H80" s="110"/>
      <c r="I80" s="129"/>
      <c r="J80" t="s">
        <v>351</v>
      </c>
      <c r="K80" s="129"/>
      <c r="L80" s="129"/>
      <c r="M80" s="129"/>
      <c r="N80" s="129"/>
      <c r="O80" s="129"/>
      <c r="P80" s="129"/>
      <c r="Q80" s="129"/>
      <c r="R80" s="129"/>
      <c r="S80" s="141"/>
      <c r="T80" s="139"/>
      <c r="U80" s="129"/>
      <c r="V80" s="129"/>
      <c r="W80" s="129"/>
      <c r="X80" s="129"/>
      <c r="Y80" s="129"/>
      <c r="Z80" s="115"/>
      <c r="AA80" s="129"/>
      <c r="AB80" s="149"/>
      <c r="AC80" s="129"/>
      <c r="AD80" s="129"/>
      <c r="AE80" s="129"/>
    </row>
    <row r="81" spans="3:31" x14ac:dyDescent="0.35">
      <c r="C81" s="129"/>
      <c r="D81" s="129"/>
      <c r="E81" s="129"/>
      <c r="F81" s="129"/>
      <c r="G81" s="129"/>
      <c r="H81" s="110"/>
      <c r="I81" s="129"/>
      <c r="J81" t="s">
        <v>351</v>
      </c>
      <c r="K81" s="129"/>
      <c r="L81" s="129"/>
      <c r="M81" s="129"/>
      <c r="N81" s="129"/>
      <c r="O81" s="129"/>
      <c r="P81" s="129"/>
      <c r="Q81" s="129"/>
      <c r="R81" s="129"/>
      <c r="S81" s="141"/>
      <c r="T81" s="139"/>
      <c r="U81" s="129"/>
      <c r="V81" s="129"/>
      <c r="W81" s="129"/>
      <c r="X81" s="129"/>
      <c r="Y81" s="129"/>
      <c r="Z81" s="115"/>
      <c r="AA81" s="129"/>
      <c r="AB81" s="149"/>
      <c r="AC81" s="129"/>
      <c r="AD81" s="129"/>
      <c r="AE81" s="129"/>
    </row>
    <row r="82" spans="3:31" x14ac:dyDescent="0.35">
      <c r="C82" s="129"/>
      <c r="D82" s="129"/>
      <c r="E82" s="129"/>
      <c r="F82" s="129"/>
      <c r="G82" s="129"/>
      <c r="H82" s="110"/>
      <c r="I82" s="129"/>
      <c r="J82" t="s">
        <v>351</v>
      </c>
      <c r="K82" s="129"/>
      <c r="L82" s="129"/>
      <c r="M82" s="129"/>
      <c r="N82" s="129"/>
      <c r="O82" s="129"/>
      <c r="P82" s="129"/>
      <c r="Q82" s="129"/>
      <c r="R82" s="129"/>
      <c r="S82" s="141"/>
      <c r="T82" s="139"/>
      <c r="U82" s="129"/>
      <c r="V82" s="129"/>
      <c r="W82" s="129"/>
      <c r="X82" s="129"/>
      <c r="Y82" s="129"/>
      <c r="Z82" s="115"/>
      <c r="AA82" s="129"/>
      <c r="AB82" s="149"/>
      <c r="AC82" s="129"/>
      <c r="AD82" s="129"/>
      <c r="AE82" s="129"/>
    </row>
    <row r="83" spans="3:31" x14ac:dyDescent="0.35">
      <c r="C83" s="129"/>
      <c r="D83" s="129"/>
      <c r="E83" s="129"/>
      <c r="F83" s="129"/>
      <c r="G83" s="129"/>
      <c r="H83" s="110"/>
      <c r="I83" s="129"/>
      <c r="J83" t="s">
        <v>351</v>
      </c>
      <c r="K83" s="129"/>
      <c r="L83" s="129"/>
      <c r="M83" s="129"/>
      <c r="N83" s="129"/>
      <c r="O83" s="129"/>
      <c r="P83" s="129"/>
      <c r="Q83" s="129"/>
      <c r="R83" s="129"/>
      <c r="S83" s="141"/>
      <c r="T83" s="139"/>
      <c r="U83" s="129"/>
      <c r="V83" s="129"/>
      <c r="W83" s="129"/>
      <c r="X83" s="129"/>
      <c r="Y83" s="129"/>
      <c r="Z83" s="115"/>
      <c r="AA83" s="129"/>
      <c r="AB83" s="149"/>
      <c r="AC83" s="129"/>
      <c r="AD83" s="129"/>
      <c r="AE83" s="129"/>
    </row>
    <row r="84" spans="3:31" x14ac:dyDescent="0.35">
      <c r="C84" s="129"/>
      <c r="D84" s="129"/>
      <c r="E84" s="129"/>
      <c r="F84" s="129"/>
      <c r="G84" s="129"/>
      <c r="H84" s="110"/>
      <c r="I84" s="129"/>
      <c r="J84" t="s">
        <v>351</v>
      </c>
      <c r="K84" s="129"/>
      <c r="L84" s="129"/>
      <c r="M84" s="129"/>
      <c r="N84" s="129"/>
      <c r="O84" s="129"/>
      <c r="P84" s="129"/>
      <c r="Q84" s="129"/>
      <c r="R84" s="129"/>
      <c r="S84" s="141"/>
      <c r="T84" s="139"/>
      <c r="U84" s="129"/>
      <c r="V84" s="129"/>
      <c r="W84" s="129"/>
      <c r="X84" s="129"/>
      <c r="Y84" s="129"/>
      <c r="Z84" s="115"/>
      <c r="AA84" s="129"/>
      <c r="AB84" s="149"/>
      <c r="AC84" s="129"/>
      <c r="AD84" s="129"/>
      <c r="AE84" s="129"/>
    </row>
    <row r="85" spans="3:31" x14ac:dyDescent="0.35">
      <c r="C85" s="129"/>
      <c r="D85" s="129"/>
      <c r="E85" s="129"/>
      <c r="F85" s="129"/>
      <c r="G85" s="129"/>
      <c r="H85" s="110"/>
      <c r="I85" s="129"/>
      <c r="J85" t="s">
        <v>351</v>
      </c>
      <c r="K85" s="129"/>
      <c r="L85" s="129"/>
      <c r="M85" s="129"/>
      <c r="N85" s="129"/>
      <c r="O85" s="129"/>
      <c r="P85" s="129"/>
      <c r="Q85" s="129"/>
      <c r="R85" s="129"/>
      <c r="S85" s="141"/>
      <c r="T85" s="139"/>
      <c r="U85" s="129"/>
      <c r="V85" s="129"/>
      <c r="W85" s="129"/>
      <c r="X85" s="129"/>
      <c r="Y85" s="129"/>
      <c r="Z85" s="115"/>
      <c r="AA85" s="129"/>
      <c r="AB85" s="149"/>
      <c r="AC85" s="129"/>
      <c r="AD85" s="129"/>
      <c r="AE85" s="129"/>
    </row>
    <row r="86" spans="3:31" x14ac:dyDescent="0.35">
      <c r="C86" s="129"/>
      <c r="D86" s="129"/>
      <c r="E86" s="129"/>
      <c r="F86" s="129"/>
      <c r="G86" s="129"/>
      <c r="H86" s="110"/>
      <c r="I86" s="129"/>
      <c r="J86" t="s">
        <v>351</v>
      </c>
      <c r="K86" s="129"/>
      <c r="L86" s="129"/>
      <c r="M86" s="129"/>
      <c r="N86" s="129"/>
      <c r="O86" s="129"/>
      <c r="P86" s="129"/>
      <c r="Q86" s="129"/>
      <c r="R86" s="129"/>
      <c r="S86" s="141"/>
      <c r="T86" s="139"/>
      <c r="U86" s="129"/>
      <c r="V86" s="129"/>
      <c r="W86" s="129"/>
      <c r="X86" s="129"/>
      <c r="Y86" s="129"/>
      <c r="Z86" s="115"/>
      <c r="AA86" s="129"/>
      <c r="AB86" s="149"/>
      <c r="AC86" s="129"/>
      <c r="AD86" s="129"/>
      <c r="AE86" s="129"/>
    </row>
    <row r="87" spans="3:31" x14ac:dyDescent="0.35">
      <c r="C87" s="129"/>
      <c r="D87" s="129"/>
      <c r="E87" s="129"/>
      <c r="F87" s="129"/>
      <c r="G87" s="129"/>
      <c r="H87" s="110"/>
      <c r="I87" s="129"/>
      <c r="J87" t="s">
        <v>351</v>
      </c>
      <c r="K87" s="129"/>
      <c r="L87" s="129"/>
      <c r="M87" s="129"/>
      <c r="N87" s="129"/>
      <c r="O87" s="129"/>
      <c r="P87" s="129"/>
      <c r="Q87" s="129"/>
      <c r="R87" s="129"/>
      <c r="S87" s="141"/>
      <c r="T87" s="139"/>
      <c r="U87" s="129"/>
      <c r="V87" s="129"/>
      <c r="W87" s="129"/>
      <c r="X87" s="129"/>
      <c r="Y87" s="129"/>
      <c r="Z87" s="115"/>
      <c r="AA87" s="129"/>
      <c r="AB87" s="149"/>
      <c r="AC87" s="129"/>
      <c r="AD87" s="129"/>
      <c r="AE87" s="129"/>
    </row>
    <row r="88" spans="3:31" x14ac:dyDescent="0.35">
      <c r="C88" s="129"/>
      <c r="D88" s="129"/>
      <c r="E88" s="129"/>
      <c r="F88" s="129"/>
      <c r="G88" s="129"/>
      <c r="H88" s="110"/>
      <c r="I88" s="129"/>
      <c r="J88" t="s">
        <v>351</v>
      </c>
      <c r="K88" s="129"/>
      <c r="L88" s="129"/>
      <c r="M88" s="129"/>
      <c r="N88" s="129"/>
      <c r="O88" s="129"/>
      <c r="P88" s="129"/>
      <c r="Q88" s="129"/>
      <c r="R88" s="129"/>
      <c r="S88" s="141"/>
      <c r="T88" s="139"/>
      <c r="U88" s="129"/>
      <c r="V88" s="129"/>
      <c r="W88" s="129"/>
      <c r="X88" s="129"/>
      <c r="Y88" s="129"/>
      <c r="Z88" s="115"/>
      <c r="AA88" s="129"/>
      <c r="AB88" s="149"/>
      <c r="AC88" s="129"/>
      <c r="AD88" s="129"/>
      <c r="AE88" s="129"/>
    </row>
    <row r="89" spans="3:31" x14ac:dyDescent="0.35">
      <c r="C89" s="129"/>
      <c r="D89" s="129"/>
      <c r="E89" s="129"/>
      <c r="F89" s="129"/>
      <c r="G89" s="129"/>
      <c r="H89" s="110"/>
      <c r="I89" s="129"/>
      <c r="J89" t="s">
        <v>351</v>
      </c>
      <c r="K89" s="129"/>
      <c r="L89" s="129"/>
      <c r="M89" s="129"/>
      <c r="N89" s="129"/>
      <c r="O89" s="129"/>
      <c r="P89" s="129"/>
      <c r="Q89" s="129"/>
      <c r="R89" s="129"/>
      <c r="S89" s="141"/>
      <c r="T89" s="139"/>
      <c r="U89" s="129"/>
      <c r="V89" s="129"/>
      <c r="W89" s="129"/>
      <c r="X89" s="129"/>
      <c r="Y89" s="129"/>
      <c r="Z89" s="115"/>
      <c r="AA89" s="129"/>
      <c r="AB89" s="149"/>
      <c r="AC89" s="129"/>
      <c r="AD89" s="129"/>
      <c r="AE89" s="129"/>
    </row>
    <row r="90" spans="3:31" x14ac:dyDescent="0.35">
      <c r="C90" s="129"/>
      <c r="D90" s="129"/>
      <c r="E90" s="129"/>
      <c r="F90" s="129"/>
      <c r="G90" s="129"/>
      <c r="H90" s="110"/>
      <c r="I90" s="129"/>
      <c r="J90" t="s">
        <v>351</v>
      </c>
      <c r="K90" s="129"/>
      <c r="L90" s="129"/>
      <c r="M90" s="129"/>
      <c r="N90" s="129"/>
      <c r="O90" s="129"/>
      <c r="P90" s="129"/>
      <c r="Q90" s="129"/>
      <c r="R90" s="129"/>
      <c r="S90" s="141"/>
      <c r="T90" s="139"/>
      <c r="U90" s="129"/>
      <c r="V90" s="129"/>
      <c r="W90" s="129"/>
      <c r="X90" s="129"/>
      <c r="Y90" s="129"/>
      <c r="Z90" s="115"/>
      <c r="AA90" s="129"/>
      <c r="AB90" s="149"/>
      <c r="AC90" s="129"/>
      <c r="AD90" s="129"/>
      <c r="AE90" s="129"/>
    </row>
    <row r="91" spans="3:31" x14ac:dyDescent="0.35">
      <c r="C91" s="129"/>
      <c r="D91" s="129"/>
      <c r="E91" s="129"/>
      <c r="F91" s="129"/>
      <c r="G91" s="129"/>
      <c r="H91" s="110"/>
      <c r="I91" s="129"/>
      <c r="J91" t="s">
        <v>351</v>
      </c>
      <c r="K91" s="129"/>
      <c r="L91" s="129"/>
      <c r="M91" s="129"/>
      <c r="N91" s="129"/>
      <c r="O91" s="129"/>
      <c r="P91" s="129"/>
      <c r="Q91" s="129"/>
      <c r="R91" s="129"/>
      <c r="S91" s="141"/>
      <c r="T91" s="139"/>
      <c r="U91" s="129"/>
      <c r="V91" s="129"/>
      <c r="W91" s="129"/>
      <c r="X91" s="129"/>
      <c r="Y91" s="129"/>
      <c r="Z91" s="115"/>
      <c r="AA91" s="129"/>
      <c r="AB91" s="149"/>
      <c r="AC91" s="129"/>
      <c r="AD91" s="129"/>
      <c r="AE91" s="129"/>
    </row>
    <row r="92" spans="3:31" x14ac:dyDescent="0.35">
      <c r="C92" s="129"/>
      <c r="D92" s="129"/>
      <c r="E92" s="129"/>
      <c r="F92" s="129"/>
      <c r="G92" s="129"/>
      <c r="H92" s="110"/>
      <c r="I92" s="129"/>
      <c r="J92" t="s">
        <v>351</v>
      </c>
      <c r="K92" s="129"/>
      <c r="L92" s="129"/>
      <c r="M92" s="129"/>
      <c r="N92" s="129"/>
      <c r="O92" s="129"/>
      <c r="P92" s="129"/>
      <c r="Q92" s="129"/>
      <c r="R92" s="129"/>
      <c r="S92" s="141"/>
      <c r="T92" s="139"/>
      <c r="U92" s="129"/>
      <c r="V92" s="129"/>
      <c r="W92" s="129"/>
      <c r="X92" s="129"/>
      <c r="Y92" s="129"/>
      <c r="Z92" s="115"/>
      <c r="AA92" s="129"/>
      <c r="AB92" s="149"/>
      <c r="AC92" s="129"/>
      <c r="AD92" s="129"/>
      <c r="AE92" s="129"/>
    </row>
    <row r="93" spans="3:31" x14ac:dyDescent="0.35">
      <c r="C93" s="129"/>
      <c r="D93" s="129"/>
      <c r="E93" s="129"/>
      <c r="F93" s="129"/>
      <c r="G93" s="129"/>
      <c r="H93" s="110"/>
      <c r="I93" s="129"/>
      <c r="J93" t="s">
        <v>351</v>
      </c>
      <c r="K93" s="129"/>
      <c r="L93" s="129"/>
      <c r="M93" s="129"/>
      <c r="N93" s="129"/>
      <c r="O93" s="129"/>
      <c r="P93" s="129"/>
      <c r="Q93" s="129"/>
      <c r="R93" s="129"/>
      <c r="S93" s="141"/>
      <c r="T93" s="139"/>
      <c r="U93" s="129"/>
      <c r="V93" s="129"/>
      <c r="W93" s="129"/>
      <c r="X93" s="129"/>
      <c r="Y93" s="129"/>
      <c r="Z93" s="115"/>
      <c r="AA93" s="129"/>
      <c r="AB93" s="149"/>
      <c r="AC93" s="129"/>
      <c r="AD93" s="129"/>
      <c r="AE93" s="129"/>
    </row>
    <row r="94" spans="3:31" x14ac:dyDescent="0.35">
      <c r="C94" s="129"/>
      <c r="D94" s="129"/>
      <c r="E94" s="129"/>
      <c r="F94" s="129"/>
      <c r="G94" s="129"/>
      <c r="H94" s="110"/>
      <c r="I94" s="129"/>
      <c r="J94" t="s">
        <v>351</v>
      </c>
      <c r="K94" s="129"/>
      <c r="L94" s="129"/>
      <c r="M94" s="129"/>
      <c r="N94" s="129"/>
      <c r="O94" s="129"/>
      <c r="P94" s="129"/>
      <c r="Q94" s="129"/>
      <c r="R94" s="129"/>
      <c r="S94" s="141"/>
      <c r="T94" s="139"/>
      <c r="U94" s="129"/>
      <c r="V94" s="129"/>
      <c r="W94" s="129"/>
      <c r="X94" s="129"/>
      <c r="Y94" s="129"/>
      <c r="Z94" s="115"/>
      <c r="AA94" s="129"/>
      <c r="AB94" s="149"/>
      <c r="AC94" s="129"/>
      <c r="AD94" s="129"/>
      <c r="AE94" s="129"/>
    </row>
    <row r="95" spans="3:31" x14ac:dyDescent="0.35">
      <c r="C95" s="129"/>
      <c r="D95" s="129"/>
      <c r="E95" s="129"/>
      <c r="F95" s="129"/>
      <c r="G95" s="129"/>
      <c r="H95" s="110"/>
      <c r="I95" s="129"/>
      <c r="J95" t="s">
        <v>351</v>
      </c>
      <c r="K95" s="129"/>
      <c r="L95" s="129"/>
      <c r="M95" s="129"/>
      <c r="N95" s="129"/>
      <c r="O95" s="129"/>
      <c r="P95" s="129"/>
      <c r="Q95" s="129"/>
      <c r="R95" s="129"/>
      <c r="S95" s="141"/>
      <c r="T95" s="139"/>
      <c r="U95" s="129"/>
      <c r="V95" s="129"/>
      <c r="W95" s="129"/>
      <c r="X95" s="129"/>
      <c r="Y95" s="129"/>
      <c r="Z95" s="115"/>
      <c r="AA95" s="129"/>
      <c r="AB95" s="149"/>
      <c r="AC95" s="129"/>
      <c r="AD95" s="129"/>
      <c r="AE95" s="129"/>
    </row>
    <row r="96" spans="3:31" x14ac:dyDescent="0.35">
      <c r="C96" s="129"/>
      <c r="D96" s="129"/>
      <c r="E96" s="129"/>
      <c r="F96" s="129"/>
      <c r="G96" s="129"/>
      <c r="H96" s="110"/>
      <c r="I96" s="129"/>
      <c r="J96" t="s">
        <v>351</v>
      </c>
      <c r="K96" s="129"/>
      <c r="L96" s="129"/>
      <c r="M96" s="129"/>
      <c r="N96" s="129"/>
      <c r="O96" s="129"/>
      <c r="P96" s="129"/>
      <c r="Q96" s="129"/>
      <c r="R96" s="129"/>
      <c r="S96" s="141"/>
      <c r="T96" s="139"/>
      <c r="U96" s="129"/>
      <c r="V96" s="129"/>
      <c r="W96" s="129"/>
      <c r="X96" s="129"/>
      <c r="Y96" s="129"/>
      <c r="Z96" s="115"/>
      <c r="AA96" s="129"/>
      <c r="AB96" s="149"/>
      <c r="AC96" s="129"/>
      <c r="AD96" s="129"/>
      <c r="AE96" s="129"/>
    </row>
    <row r="97" spans="3:31" x14ac:dyDescent="0.35">
      <c r="C97" s="129"/>
      <c r="D97" s="129"/>
      <c r="E97" s="129"/>
      <c r="F97" s="129"/>
      <c r="G97" s="129"/>
      <c r="H97" s="110"/>
      <c r="I97" s="129"/>
      <c r="J97" t="s">
        <v>351</v>
      </c>
      <c r="K97" s="129"/>
      <c r="L97" s="129"/>
      <c r="M97" s="129"/>
      <c r="N97" s="129"/>
      <c r="O97" s="129"/>
      <c r="P97" s="129"/>
      <c r="Q97" s="129"/>
      <c r="R97" s="129"/>
      <c r="S97" s="141"/>
      <c r="T97" s="139"/>
      <c r="U97" s="129"/>
      <c r="V97" s="129"/>
      <c r="W97" s="129"/>
      <c r="X97" s="129"/>
      <c r="Y97" s="129"/>
      <c r="Z97" s="115"/>
      <c r="AA97" s="129"/>
      <c r="AB97" s="149"/>
      <c r="AC97" s="129"/>
      <c r="AD97" s="129"/>
      <c r="AE97" s="129"/>
    </row>
    <row r="98" spans="3:31" x14ac:dyDescent="0.35">
      <c r="C98" s="129"/>
      <c r="D98" s="129"/>
      <c r="E98" s="129"/>
      <c r="F98" s="129"/>
      <c r="G98" s="129"/>
      <c r="H98" s="110"/>
      <c r="I98" s="129"/>
      <c r="J98" t="s">
        <v>351</v>
      </c>
      <c r="K98" s="129"/>
      <c r="L98" s="129"/>
      <c r="M98" s="129"/>
      <c r="N98" s="129"/>
      <c r="O98" s="129"/>
      <c r="P98" s="129"/>
      <c r="Q98" s="129"/>
      <c r="R98" s="129"/>
      <c r="S98" s="141"/>
      <c r="T98" s="139"/>
      <c r="U98" s="129"/>
      <c r="V98" s="129"/>
      <c r="W98" s="129"/>
      <c r="X98" s="129"/>
      <c r="Y98" s="129"/>
      <c r="Z98" s="115"/>
      <c r="AA98" s="129"/>
      <c r="AB98" s="149"/>
      <c r="AC98" s="129"/>
      <c r="AD98" s="129"/>
      <c r="AE98" s="129"/>
    </row>
    <row r="99" spans="3:31" x14ac:dyDescent="0.35">
      <c r="C99" s="129"/>
      <c r="D99" s="129"/>
      <c r="E99" s="129"/>
      <c r="F99" s="129"/>
      <c r="G99" s="129"/>
      <c r="H99" s="110"/>
      <c r="I99" s="129"/>
      <c r="J99" t="s">
        <v>351</v>
      </c>
      <c r="K99" s="129"/>
      <c r="L99" s="129"/>
      <c r="M99" s="129"/>
      <c r="N99" s="129"/>
      <c r="O99" s="129"/>
      <c r="P99" s="129"/>
      <c r="Q99" s="129"/>
      <c r="R99" s="129"/>
      <c r="S99" s="141"/>
      <c r="T99" s="139"/>
      <c r="U99" s="129"/>
      <c r="V99" s="129"/>
      <c r="W99" s="129"/>
      <c r="X99" s="129"/>
      <c r="Y99" s="129"/>
      <c r="Z99" s="115"/>
      <c r="AA99" s="129"/>
      <c r="AB99" s="149"/>
      <c r="AC99" s="129"/>
      <c r="AD99" s="129"/>
      <c r="AE99" s="129"/>
    </row>
    <row r="100" spans="3:31" x14ac:dyDescent="0.35">
      <c r="C100" s="129"/>
      <c r="D100" s="129"/>
      <c r="E100" s="129"/>
      <c r="F100" s="129"/>
      <c r="G100" s="129"/>
      <c r="H100" s="110"/>
      <c r="I100" s="129"/>
      <c r="J100" t="s">
        <v>351</v>
      </c>
      <c r="K100" s="129"/>
      <c r="L100" s="129"/>
      <c r="M100" s="129"/>
      <c r="N100" s="129"/>
      <c r="O100" s="129"/>
      <c r="P100" s="129"/>
      <c r="Q100" s="129"/>
      <c r="R100" s="129"/>
      <c r="S100" s="141"/>
      <c r="T100" s="139"/>
      <c r="U100" s="129"/>
      <c r="V100" s="129"/>
      <c r="W100" s="129"/>
      <c r="X100" s="129"/>
      <c r="Y100" s="129"/>
      <c r="Z100" s="115"/>
      <c r="AA100" s="129"/>
      <c r="AB100" s="149"/>
      <c r="AC100" s="129"/>
      <c r="AD100" s="129"/>
      <c r="AE100" s="129"/>
    </row>
    <row r="101" spans="3:31" x14ac:dyDescent="0.35">
      <c r="C101" s="129"/>
      <c r="D101" s="129"/>
      <c r="E101" s="129"/>
      <c r="F101" s="129"/>
      <c r="G101" s="129"/>
      <c r="H101" s="110"/>
      <c r="I101" s="129"/>
      <c r="J101" t="s">
        <v>351</v>
      </c>
      <c r="K101" s="129"/>
      <c r="L101" s="129"/>
      <c r="M101" s="129"/>
      <c r="N101" s="129"/>
      <c r="O101" s="129"/>
      <c r="P101" s="129"/>
      <c r="Q101" s="129"/>
      <c r="R101" s="129"/>
      <c r="S101" s="141"/>
      <c r="T101" s="139"/>
      <c r="U101" s="129"/>
      <c r="V101" s="129"/>
      <c r="W101" s="129"/>
      <c r="X101" s="129"/>
      <c r="Y101" s="129"/>
      <c r="Z101" s="115"/>
      <c r="AA101" s="129"/>
      <c r="AB101" s="149"/>
      <c r="AC101" s="129"/>
      <c r="AD101" s="129"/>
      <c r="AE101" s="129"/>
    </row>
    <row r="102" spans="3:31" x14ac:dyDescent="0.35">
      <c r="C102" s="129"/>
      <c r="D102" s="129"/>
      <c r="E102" s="129"/>
      <c r="F102" s="129"/>
      <c r="G102" s="129"/>
      <c r="H102" s="110"/>
      <c r="I102" s="129"/>
      <c r="J102" t="s">
        <v>351</v>
      </c>
      <c r="K102" s="129"/>
      <c r="L102" s="129"/>
      <c r="M102" s="129"/>
      <c r="N102" s="129"/>
      <c r="O102" s="129"/>
      <c r="P102" s="129"/>
      <c r="Q102" s="129"/>
      <c r="R102" s="129"/>
      <c r="S102" s="141"/>
      <c r="T102" s="139"/>
      <c r="U102" s="129"/>
      <c r="V102" s="129"/>
      <c r="W102" s="129"/>
      <c r="X102" s="129"/>
      <c r="Y102" s="129"/>
      <c r="Z102" s="115"/>
      <c r="AA102" s="129"/>
      <c r="AB102" s="149"/>
      <c r="AC102" s="129"/>
      <c r="AD102" s="129"/>
      <c r="AE102" s="129"/>
    </row>
    <row r="103" spans="3:31" x14ac:dyDescent="0.35">
      <c r="C103" s="129"/>
      <c r="D103" s="129"/>
      <c r="E103" s="129"/>
      <c r="F103" s="129"/>
      <c r="G103" s="129"/>
      <c r="H103" s="110"/>
      <c r="I103" s="129"/>
      <c r="J103" t="s">
        <v>351</v>
      </c>
      <c r="K103" s="129"/>
      <c r="L103" s="129"/>
      <c r="M103" s="129"/>
      <c r="N103" s="129"/>
      <c r="O103" s="129"/>
      <c r="P103" s="129"/>
      <c r="Q103" s="129"/>
      <c r="R103" s="129"/>
      <c r="S103" s="141"/>
      <c r="T103" s="139"/>
      <c r="U103" s="129"/>
      <c r="V103" s="129"/>
      <c r="W103" s="129"/>
      <c r="X103" s="129"/>
      <c r="Y103" s="129"/>
      <c r="Z103" s="115"/>
      <c r="AA103" s="129"/>
      <c r="AB103" s="149"/>
      <c r="AC103" s="129"/>
      <c r="AD103" s="129"/>
      <c r="AE103" s="129"/>
    </row>
    <row r="104" spans="3:31" x14ac:dyDescent="0.35">
      <c r="C104" s="129"/>
      <c r="D104" s="129"/>
      <c r="E104" s="129"/>
      <c r="F104" s="129"/>
      <c r="G104" s="129"/>
      <c r="H104" s="110"/>
      <c r="I104" s="129"/>
      <c r="J104" t="s">
        <v>351</v>
      </c>
      <c r="K104" s="129"/>
      <c r="L104" s="129"/>
      <c r="M104" s="129"/>
      <c r="N104" s="129"/>
      <c r="O104" s="129"/>
      <c r="P104" s="129"/>
      <c r="Q104" s="129"/>
      <c r="R104" s="129"/>
      <c r="S104" s="141"/>
      <c r="T104" s="139"/>
      <c r="U104" s="129"/>
      <c r="V104" s="129"/>
      <c r="W104" s="129"/>
      <c r="X104" s="129"/>
      <c r="Y104" s="129"/>
      <c r="Z104" s="115"/>
      <c r="AA104" s="129"/>
      <c r="AB104" s="149"/>
      <c r="AC104" s="129"/>
      <c r="AD104" s="129"/>
      <c r="AE104" s="129"/>
    </row>
    <row r="105" spans="3:31" x14ac:dyDescent="0.35">
      <c r="C105" s="129"/>
      <c r="D105" s="129"/>
      <c r="E105" s="129"/>
      <c r="F105" s="129"/>
      <c r="G105" s="129"/>
      <c r="H105" s="110"/>
      <c r="I105" s="129"/>
      <c r="J105" t="s">
        <v>351</v>
      </c>
      <c r="K105" s="129"/>
      <c r="L105" s="129"/>
      <c r="M105" s="129"/>
      <c r="N105" s="129"/>
      <c r="O105" s="129"/>
      <c r="P105" s="129"/>
      <c r="Q105" s="129"/>
      <c r="R105" s="129"/>
      <c r="S105" s="141"/>
      <c r="T105" s="139"/>
      <c r="U105" s="129"/>
      <c r="V105" s="129"/>
      <c r="W105" s="129"/>
      <c r="X105" s="129"/>
      <c r="Y105" s="129"/>
      <c r="Z105" s="115"/>
      <c r="AA105" s="129"/>
      <c r="AB105" s="149"/>
      <c r="AC105" s="129"/>
      <c r="AD105" s="129"/>
      <c r="AE105" s="129"/>
    </row>
    <row r="106" spans="3:31" x14ac:dyDescent="0.35">
      <c r="C106" s="129"/>
      <c r="D106" s="129"/>
      <c r="E106" s="129"/>
      <c r="F106" s="129"/>
      <c r="G106" s="129"/>
      <c r="H106" s="110"/>
      <c r="I106" s="129"/>
      <c r="J106" t="s">
        <v>351</v>
      </c>
      <c r="K106" s="129"/>
      <c r="L106" s="129"/>
      <c r="M106" s="129"/>
      <c r="N106" s="129"/>
      <c r="O106" s="129"/>
      <c r="P106" s="129"/>
      <c r="Q106" s="129"/>
      <c r="R106" s="129"/>
      <c r="S106" s="141"/>
      <c r="T106" s="139"/>
      <c r="U106" s="129"/>
      <c r="V106" s="129"/>
      <c r="W106" s="129"/>
      <c r="X106" s="129"/>
      <c r="Y106" s="129"/>
      <c r="Z106" s="115"/>
      <c r="AA106" s="129"/>
      <c r="AB106" s="149"/>
      <c r="AC106" s="129"/>
      <c r="AD106" s="129"/>
      <c r="AE106" s="129"/>
    </row>
    <row r="107" spans="3:31" x14ac:dyDescent="0.35">
      <c r="C107" s="129"/>
      <c r="D107" s="129"/>
      <c r="E107" s="129"/>
      <c r="F107" s="129"/>
      <c r="G107" s="129"/>
      <c r="H107" s="110"/>
      <c r="I107" s="129"/>
      <c r="J107" t="s">
        <v>351</v>
      </c>
      <c r="K107" s="129"/>
      <c r="L107" s="129"/>
      <c r="M107" s="129"/>
      <c r="N107" s="129"/>
      <c r="O107" s="129"/>
      <c r="P107" s="129"/>
      <c r="Q107" s="129"/>
      <c r="R107" s="129"/>
      <c r="S107" s="141"/>
      <c r="T107" s="139"/>
      <c r="U107" s="129"/>
      <c r="V107" s="129"/>
      <c r="W107" s="129"/>
      <c r="X107" s="129"/>
      <c r="Y107" s="129"/>
      <c r="Z107" s="115"/>
      <c r="AA107" s="129"/>
      <c r="AB107" s="149"/>
      <c r="AC107" s="129"/>
      <c r="AD107" s="129"/>
      <c r="AE107" s="129"/>
    </row>
    <row r="108" spans="3:31" x14ac:dyDescent="0.35">
      <c r="C108" s="129"/>
      <c r="D108" s="129"/>
      <c r="E108" s="129"/>
      <c r="F108" s="129"/>
      <c r="G108" s="129"/>
      <c r="H108" s="110"/>
      <c r="I108" s="129"/>
      <c r="J108" t="s">
        <v>351</v>
      </c>
      <c r="K108" s="129"/>
      <c r="L108" s="129"/>
      <c r="M108" s="129"/>
      <c r="N108" s="129"/>
      <c r="O108" s="129"/>
      <c r="P108" s="129"/>
      <c r="Q108" s="129"/>
      <c r="R108" s="129"/>
      <c r="S108" s="141"/>
      <c r="T108" s="139"/>
      <c r="U108" s="129"/>
      <c r="V108" s="129"/>
      <c r="W108" s="129"/>
      <c r="X108" s="129"/>
      <c r="Y108" s="129"/>
      <c r="Z108" s="115"/>
      <c r="AA108" s="129"/>
      <c r="AB108" s="149"/>
      <c r="AC108" s="129"/>
      <c r="AD108" s="129"/>
      <c r="AE108" s="129"/>
    </row>
    <row r="109" spans="3:31" x14ac:dyDescent="0.35">
      <c r="C109" s="129"/>
      <c r="D109" s="129"/>
      <c r="E109" s="129"/>
      <c r="F109" s="129"/>
      <c r="G109" s="129"/>
      <c r="H109" s="110"/>
      <c r="I109" s="129"/>
      <c r="J109" t="s">
        <v>351</v>
      </c>
      <c r="K109" s="129"/>
      <c r="L109" s="129"/>
      <c r="M109" s="129"/>
      <c r="N109" s="129"/>
      <c r="O109" s="129"/>
      <c r="P109" s="129"/>
      <c r="Q109" s="129"/>
      <c r="R109" s="129"/>
      <c r="S109" s="141"/>
      <c r="T109" s="139"/>
      <c r="U109" s="129"/>
      <c r="V109" s="129"/>
      <c r="W109" s="129"/>
      <c r="X109" s="129"/>
      <c r="Y109" s="129"/>
      <c r="Z109" s="115"/>
      <c r="AA109" s="129"/>
      <c r="AB109" s="149"/>
      <c r="AC109" s="129"/>
      <c r="AD109" s="129"/>
      <c r="AE109" s="129"/>
    </row>
    <row r="110" spans="3:31" x14ac:dyDescent="0.35">
      <c r="C110" s="129"/>
      <c r="D110" s="129"/>
      <c r="E110" s="129"/>
      <c r="F110" s="129"/>
      <c r="G110" s="129"/>
      <c r="H110" s="110"/>
      <c r="I110" s="129"/>
      <c r="J110" t="s">
        <v>351</v>
      </c>
      <c r="K110" s="129"/>
      <c r="L110" s="129"/>
      <c r="M110" s="129"/>
      <c r="N110" s="129"/>
      <c r="O110" s="129"/>
      <c r="P110" s="129"/>
      <c r="Q110" s="129"/>
      <c r="R110" s="129"/>
      <c r="S110" s="141"/>
      <c r="T110" s="139"/>
      <c r="U110" s="129"/>
      <c r="V110" s="129"/>
      <c r="W110" s="129"/>
      <c r="X110" s="129"/>
      <c r="Y110" s="129"/>
      <c r="Z110" s="115"/>
      <c r="AA110" s="129"/>
      <c r="AB110" s="149"/>
      <c r="AC110" s="129"/>
      <c r="AD110" s="129"/>
      <c r="AE110" s="129"/>
    </row>
    <row r="111" spans="3:31" x14ac:dyDescent="0.35">
      <c r="C111" s="129"/>
      <c r="D111" s="129"/>
      <c r="E111" s="129"/>
      <c r="F111" s="129"/>
      <c r="G111" s="129"/>
      <c r="H111" s="110"/>
      <c r="I111" s="129"/>
      <c r="J111" t="s">
        <v>351</v>
      </c>
      <c r="K111" s="129"/>
      <c r="L111" s="129"/>
      <c r="M111" s="129"/>
      <c r="N111" s="129"/>
      <c r="O111" s="129"/>
      <c r="P111" s="129"/>
      <c r="Q111" s="129"/>
      <c r="R111" s="129"/>
      <c r="S111" s="141"/>
      <c r="T111" s="139"/>
      <c r="U111" s="129"/>
      <c r="V111" s="129"/>
      <c r="W111" s="129"/>
      <c r="X111" s="129"/>
      <c r="Y111" s="129"/>
      <c r="Z111" s="115"/>
      <c r="AA111" s="129"/>
      <c r="AB111" s="149"/>
      <c r="AC111" s="129"/>
      <c r="AD111" s="129"/>
      <c r="AE111" s="129"/>
    </row>
    <row r="112" spans="3:31" x14ac:dyDescent="0.35">
      <c r="C112" s="129"/>
      <c r="D112" s="129"/>
      <c r="E112" s="129"/>
      <c r="F112" s="129"/>
      <c r="G112" s="129"/>
      <c r="H112" s="110"/>
      <c r="I112" s="129"/>
      <c r="J112" t="s">
        <v>351</v>
      </c>
      <c r="K112" s="129"/>
      <c r="L112" s="129"/>
      <c r="M112" s="129"/>
      <c r="N112" s="129"/>
      <c r="O112" s="129"/>
      <c r="P112" s="129"/>
      <c r="Q112" s="129"/>
      <c r="R112" s="129"/>
      <c r="S112" s="141"/>
      <c r="T112" s="139"/>
      <c r="U112" s="129"/>
      <c r="V112" s="129"/>
      <c r="W112" s="129"/>
      <c r="X112" s="129"/>
      <c r="Y112" s="129"/>
      <c r="Z112" s="115"/>
      <c r="AA112" s="129"/>
      <c r="AB112" s="149"/>
      <c r="AC112" s="129"/>
      <c r="AD112" s="129"/>
      <c r="AE112" s="129"/>
    </row>
    <row r="113" spans="3:31" x14ac:dyDescent="0.35">
      <c r="C113" s="129"/>
      <c r="D113" s="129"/>
      <c r="E113" s="129"/>
      <c r="F113" s="129"/>
      <c r="G113" s="129"/>
      <c r="H113" s="110"/>
      <c r="I113" s="129"/>
      <c r="J113" t="s">
        <v>351</v>
      </c>
      <c r="K113" s="129"/>
      <c r="L113" s="129"/>
      <c r="M113" s="129"/>
      <c r="N113" s="129"/>
      <c r="O113" s="129"/>
      <c r="P113" s="129"/>
      <c r="Q113" s="129"/>
      <c r="R113" s="129"/>
      <c r="S113" s="141"/>
      <c r="T113" s="139"/>
      <c r="U113" s="129"/>
      <c r="V113" s="129"/>
      <c r="W113" s="129"/>
      <c r="X113" s="129"/>
      <c r="Y113" s="129"/>
      <c r="Z113" s="115"/>
      <c r="AA113" s="129"/>
      <c r="AB113" s="149"/>
      <c r="AC113" s="129"/>
      <c r="AD113" s="129"/>
      <c r="AE113" s="129"/>
    </row>
    <row r="114" spans="3:31" x14ac:dyDescent="0.35">
      <c r="C114" s="129"/>
      <c r="D114" s="129"/>
      <c r="E114" s="129"/>
      <c r="F114" s="129"/>
      <c r="G114" s="129"/>
      <c r="H114" s="110"/>
      <c r="I114" s="129"/>
      <c r="J114" t="s">
        <v>351</v>
      </c>
      <c r="K114" s="129"/>
      <c r="L114" s="129"/>
      <c r="M114" s="129"/>
      <c r="N114" s="129"/>
      <c r="O114" s="129"/>
      <c r="P114" s="129"/>
      <c r="Q114" s="129"/>
      <c r="R114" s="129"/>
      <c r="S114" s="141"/>
      <c r="T114" s="139"/>
      <c r="U114" s="129"/>
      <c r="V114" s="129"/>
      <c r="W114" s="129"/>
      <c r="X114" s="129"/>
      <c r="Y114" s="129"/>
      <c r="Z114" s="115"/>
      <c r="AA114" s="129"/>
      <c r="AB114" s="149"/>
      <c r="AC114" s="129"/>
      <c r="AD114" s="129"/>
      <c r="AE114" s="129"/>
    </row>
    <row r="115" spans="3:31" x14ac:dyDescent="0.35">
      <c r="C115" s="129"/>
      <c r="D115" s="129"/>
      <c r="E115" s="129"/>
      <c r="F115" s="129"/>
      <c r="G115" s="129"/>
      <c r="H115" s="110"/>
      <c r="I115" s="129"/>
      <c r="J115" t="s">
        <v>351</v>
      </c>
      <c r="K115" s="129"/>
      <c r="L115" s="129"/>
      <c r="M115" s="129"/>
      <c r="N115" s="129"/>
      <c r="O115" s="129"/>
      <c r="P115" s="129"/>
      <c r="Q115" s="129"/>
      <c r="R115" s="129"/>
      <c r="S115" s="141"/>
      <c r="T115" s="139"/>
      <c r="U115" s="129"/>
      <c r="V115" s="129"/>
      <c r="W115" s="129"/>
      <c r="X115" s="129"/>
      <c r="Y115" s="129"/>
      <c r="Z115" s="115"/>
      <c r="AA115" s="129"/>
      <c r="AB115" s="149"/>
      <c r="AC115" s="129"/>
      <c r="AD115" s="129"/>
      <c r="AE115" s="129"/>
    </row>
    <row r="116" spans="3:31" x14ac:dyDescent="0.35">
      <c r="C116" s="129"/>
      <c r="D116" s="129"/>
      <c r="E116" s="129"/>
      <c r="F116" s="129"/>
      <c r="G116" s="129"/>
      <c r="H116" s="110"/>
      <c r="I116" s="129"/>
      <c r="J116" t="s">
        <v>351</v>
      </c>
      <c r="K116" s="129"/>
      <c r="L116" s="129"/>
      <c r="M116" s="129"/>
      <c r="N116" s="129"/>
      <c r="O116" s="129"/>
      <c r="P116" s="129"/>
      <c r="Q116" s="129"/>
      <c r="R116" s="129"/>
      <c r="S116" s="141"/>
      <c r="T116" s="139"/>
      <c r="U116" s="129"/>
      <c r="V116" s="129"/>
      <c r="W116" s="129"/>
      <c r="X116" s="129"/>
      <c r="Y116" s="129"/>
      <c r="Z116" s="115"/>
      <c r="AA116" s="129"/>
      <c r="AB116" s="149"/>
      <c r="AC116" s="129"/>
      <c r="AD116" s="129"/>
      <c r="AE116" s="129"/>
    </row>
    <row r="117" spans="3:31" x14ac:dyDescent="0.35">
      <c r="C117" s="129"/>
      <c r="D117" s="129"/>
      <c r="E117" s="129"/>
      <c r="F117" s="129"/>
      <c r="G117" s="129"/>
      <c r="H117" s="110"/>
      <c r="I117" s="129"/>
      <c r="J117" t="s">
        <v>351</v>
      </c>
      <c r="K117" s="129"/>
      <c r="L117" s="129"/>
      <c r="M117" s="129"/>
      <c r="N117" s="129"/>
      <c r="O117" s="129"/>
      <c r="P117" s="129"/>
      <c r="Q117" s="129"/>
      <c r="R117" s="129"/>
      <c r="S117" s="141"/>
      <c r="T117" s="139"/>
      <c r="U117" s="129"/>
      <c r="V117" s="129"/>
      <c r="W117" s="129"/>
      <c r="X117" s="129"/>
      <c r="Y117" s="129"/>
      <c r="Z117" s="115"/>
      <c r="AA117" s="129"/>
      <c r="AB117" s="149"/>
      <c r="AC117" s="129"/>
      <c r="AD117" s="129"/>
      <c r="AE117" s="129"/>
    </row>
    <row r="118" spans="3:31" x14ac:dyDescent="0.35">
      <c r="C118" s="129"/>
      <c r="D118" s="129"/>
      <c r="E118" s="129"/>
      <c r="F118" s="129"/>
      <c r="G118" s="129"/>
      <c r="H118" s="110"/>
      <c r="I118" s="129"/>
      <c r="J118" t="s">
        <v>351</v>
      </c>
      <c r="K118" s="129"/>
      <c r="L118" s="129"/>
      <c r="M118" s="129"/>
      <c r="N118" s="129"/>
      <c r="O118" s="129"/>
      <c r="P118" s="129"/>
      <c r="Q118" s="129"/>
      <c r="R118" s="129"/>
      <c r="S118" s="141"/>
      <c r="T118" s="139"/>
      <c r="U118" s="129"/>
      <c r="V118" s="129"/>
      <c r="W118" s="129"/>
      <c r="X118" s="129"/>
      <c r="Y118" s="129"/>
      <c r="Z118" s="115"/>
      <c r="AA118" s="129"/>
      <c r="AB118" s="149"/>
      <c r="AC118" s="129"/>
      <c r="AD118" s="129"/>
      <c r="AE118" s="129"/>
    </row>
    <row r="119" spans="3:31" x14ac:dyDescent="0.35">
      <c r="C119" s="129"/>
      <c r="D119" s="129"/>
      <c r="E119" s="129"/>
      <c r="F119" s="129"/>
      <c r="G119" s="129"/>
      <c r="H119" s="110"/>
      <c r="I119" s="129"/>
      <c r="J119" t="s">
        <v>351</v>
      </c>
      <c r="K119" s="129"/>
      <c r="L119" s="129"/>
      <c r="M119" s="129"/>
      <c r="N119" s="129"/>
      <c r="O119" s="129"/>
      <c r="P119" s="129"/>
      <c r="Q119" s="129"/>
      <c r="R119" s="129"/>
      <c r="S119" s="141"/>
      <c r="T119" s="139"/>
      <c r="U119" s="129"/>
      <c r="V119" s="129"/>
      <c r="W119" s="129"/>
      <c r="X119" s="129"/>
      <c r="Y119" s="129"/>
      <c r="Z119" s="115"/>
      <c r="AA119" s="129"/>
      <c r="AB119" s="149"/>
      <c r="AC119" s="129"/>
      <c r="AD119" s="129"/>
      <c r="AE119" s="129"/>
    </row>
    <row r="120" spans="3:31" x14ac:dyDescent="0.35">
      <c r="C120" s="129"/>
      <c r="D120" s="129"/>
      <c r="E120" s="129"/>
      <c r="F120" s="129"/>
      <c r="G120" s="129"/>
      <c r="H120" s="110"/>
      <c r="I120" s="129"/>
      <c r="J120" t="s">
        <v>351</v>
      </c>
      <c r="K120" s="129"/>
      <c r="L120" s="129"/>
      <c r="M120" s="129"/>
      <c r="N120" s="129"/>
      <c r="O120" s="129"/>
      <c r="P120" s="129"/>
      <c r="Q120" s="129"/>
      <c r="R120" s="129"/>
      <c r="S120" s="141"/>
      <c r="T120" s="139"/>
      <c r="U120" s="129"/>
      <c r="V120" s="129"/>
      <c r="W120" s="129"/>
      <c r="X120" s="129"/>
      <c r="Y120" s="129"/>
      <c r="Z120" s="115"/>
      <c r="AA120" s="129"/>
      <c r="AB120" s="149"/>
      <c r="AC120" s="129"/>
      <c r="AD120" s="129"/>
      <c r="AE120" s="129"/>
    </row>
    <row r="121" spans="3:31" x14ac:dyDescent="0.35">
      <c r="C121" s="129"/>
      <c r="D121" s="129"/>
      <c r="E121" s="129"/>
      <c r="F121" s="129"/>
      <c r="G121" s="129"/>
      <c r="H121" s="110"/>
      <c r="I121" s="129"/>
      <c r="J121" t="s">
        <v>351</v>
      </c>
      <c r="K121" s="129"/>
      <c r="L121" s="129"/>
      <c r="M121" s="129"/>
      <c r="N121" s="129"/>
      <c r="O121" s="129"/>
      <c r="P121" s="129"/>
      <c r="Q121" s="129"/>
      <c r="R121" s="129"/>
      <c r="S121" s="141"/>
      <c r="T121" s="139"/>
      <c r="U121" s="129"/>
      <c r="V121" s="129"/>
      <c r="W121" s="129"/>
      <c r="X121" s="129"/>
      <c r="Y121" s="129"/>
      <c r="Z121" s="115"/>
      <c r="AA121" s="129"/>
      <c r="AB121" s="149"/>
      <c r="AC121" s="129"/>
      <c r="AD121" s="129"/>
      <c r="AE121" s="129"/>
    </row>
    <row r="122" spans="3:31" x14ac:dyDescent="0.35">
      <c r="C122" s="129"/>
      <c r="D122" s="129"/>
      <c r="E122" s="129"/>
      <c r="F122" s="129"/>
      <c r="G122" s="129"/>
      <c r="H122" s="110"/>
      <c r="I122" s="129"/>
      <c r="J122" t="s">
        <v>351</v>
      </c>
      <c r="K122" s="129"/>
      <c r="L122" s="129"/>
      <c r="M122" s="129"/>
      <c r="N122" s="129"/>
      <c r="O122" s="129"/>
      <c r="P122" s="129"/>
      <c r="Q122" s="129"/>
      <c r="R122" s="129"/>
      <c r="S122" s="141"/>
      <c r="T122" s="139"/>
      <c r="U122" s="129"/>
      <c r="V122" s="129"/>
      <c r="W122" s="129"/>
      <c r="X122" s="129"/>
      <c r="Y122" s="129"/>
      <c r="Z122" s="115"/>
      <c r="AA122" s="129"/>
      <c r="AB122" s="149"/>
      <c r="AC122" s="129"/>
      <c r="AD122" s="129"/>
      <c r="AE122" s="129"/>
    </row>
    <row r="123" spans="3:31" x14ac:dyDescent="0.35">
      <c r="C123" s="129"/>
      <c r="D123" s="129"/>
      <c r="E123" s="129"/>
      <c r="F123" s="129"/>
      <c r="G123" s="129"/>
      <c r="H123" s="110"/>
      <c r="I123" s="129"/>
      <c r="J123" t="s">
        <v>351</v>
      </c>
      <c r="K123" s="129"/>
      <c r="L123" s="129"/>
      <c r="M123" s="129"/>
      <c r="N123" s="129"/>
      <c r="O123" s="129"/>
      <c r="P123" s="129"/>
      <c r="Q123" s="129"/>
      <c r="R123" s="129"/>
      <c r="S123" s="141"/>
      <c r="T123" s="139"/>
      <c r="U123" s="129"/>
      <c r="V123" s="129"/>
      <c r="W123" s="129"/>
      <c r="X123" s="129"/>
      <c r="Y123" s="129"/>
      <c r="Z123" s="115"/>
      <c r="AA123" s="129"/>
      <c r="AB123" s="149"/>
      <c r="AC123" s="129"/>
      <c r="AD123" s="129"/>
      <c r="AE123" s="129"/>
    </row>
    <row r="124" spans="3:31" x14ac:dyDescent="0.35">
      <c r="C124" s="129"/>
      <c r="D124" s="129"/>
      <c r="E124" s="129"/>
      <c r="F124" s="129"/>
      <c r="G124" s="129"/>
      <c r="H124" s="110"/>
      <c r="I124" s="129"/>
      <c r="J124" t="s">
        <v>351</v>
      </c>
      <c r="K124" s="129"/>
      <c r="L124" s="129"/>
      <c r="M124" s="129"/>
      <c r="N124" s="129"/>
      <c r="O124" s="129"/>
      <c r="P124" s="129"/>
      <c r="Q124" s="129"/>
      <c r="R124" s="129"/>
      <c r="S124" s="141"/>
      <c r="T124" s="139"/>
      <c r="U124" s="129"/>
      <c r="V124" s="129"/>
      <c r="W124" s="129"/>
      <c r="X124" s="129"/>
      <c r="Y124" s="129"/>
      <c r="Z124" s="115"/>
      <c r="AA124" s="129"/>
      <c r="AB124" s="149"/>
      <c r="AC124" s="129"/>
      <c r="AD124" s="129"/>
      <c r="AE124" s="129"/>
    </row>
    <row r="125" spans="3:31" x14ac:dyDescent="0.35">
      <c r="C125" s="129"/>
      <c r="D125" s="129"/>
      <c r="E125" s="129"/>
      <c r="F125" s="129"/>
      <c r="G125" s="129"/>
      <c r="H125" s="110"/>
      <c r="I125" s="129"/>
      <c r="J125" t="s">
        <v>351</v>
      </c>
      <c r="K125" s="129"/>
      <c r="L125" s="129"/>
      <c r="M125" s="129"/>
      <c r="N125" s="129"/>
      <c r="O125" s="129"/>
      <c r="P125" s="129"/>
      <c r="Q125" s="129"/>
      <c r="R125" s="129"/>
      <c r="S125" s="141"/>
      <c r="T125" s="139"/>
      <c r="U125" s="129"/>
      <c r="V125" s="129"/>
      <c r="W125" s="129"/>
      <c r="X125" s="129"/>
      <c r="Y125" s="129"/>
      <c r="Z125" s="115"/>
      <c r="AA125" s="129"/>
      <c r="AB125" s="149"/>
      <c r="AC125" s="129"/>
      <c r="AD125" s="129"/>
      <c r="AE125" s="129"/>
    </row>
    <row r="126" spans="3:31" x14ac:dyDescent="0.35">
      <c r="C126" s="129"/>
      <c r="D126" s="129"/>
      <c r="E126" s="129"/>
      <c r="F126" s="129"/>
      <c r="G126" s="129"/>
      <c r="H126" s="110"/>
      <c r="I126" s="129"/>
      <c r="J126" t="s">
        <v>351</v>
      </c>
      <c r="K126" s="129"/>
      <c r="L126" s="129"/>
      <c r="M126" s="129"/>
      <c r="N126" s="129"/>
      <c r="O126" s="129"/>
      <c r="P126" s="129"/>
      <c r="Q126" s="129"/>
      <c r="R126" s="129"/>
      <c r="S126" s="141"/>
      <c r="T126" s="139"/>
      <c r="U126" s="129"/>
      <c r="V126" s="129"/>
      <c r="W126" s="129"/>
      <c r="X126" s="129"/>
      <c r="Y126" s="129"/>
      <c r="Z126" s="115"/>
      <c r="AA126" s="129"/>
      <c r="AB126" s="149"/>
      <c r="AC126" s="129"/>
      <c r="AD126" s="129"/>
      <c r="AE126" s="129"/>
    </row>
    <row r="127" spans="3:31" x14ac:dyDescent="0.35">
      <c r="C127" s="129"/>
      <c r="D127" s="129"/>
      <c r="E127" s="129"/>
      <c r="F127" s="129"/>
      <c r="G127" s="129"/>
      <c r="H127" s="110"/>
      <c r="I127" s="129"/>
      <c r="J127" t="s">
        <v>351</v>
      </c>
      <c r="K127" s="129"/>
      <c r="L127" s="129"/>
      <c r="M127" s="129"/>
      <c r="N127" s="129"/>
      <c r="O127" s="129"/>
      <c r="P127" s="129"/>
      <c r="Q127" s="129"/>
      <c r="R127" s="129"/>
      <c r="S127" s="141"/>
      <c r="T127" s="139"/>
      <c r="U127" s="129"/>
      <c r="V127" s="129"/>
      <c r="W127" s="129"/>
      <c r="X127" s="129"/>
      <c r="Y127" s="129"/>
      <c r="Z127" s="115"/>
      <c r="AA127" s="129"/>
      <c r="AB127" s="149"/>
      <c r="AC127" s="129"/>
      <c r="AD127" s="129"/>
      <c r="AE127" s="129"/>
    </row>
    <row r="128" spans="3:31" x14ac:dyDescent="0.35">
      <c r="C128" s="129"/>
      <c r="D128" s="129"/>
      <c r="E128" s="129"/>
      <c r="F128" s="129"/>
      <c r="G128" s="129"/>
      <c r="H128" s="110"/>
      <c r="I128" s="129"/>
      <c r="J128" t="s">
        <v>351</v>
      </c>
      <c r="K128" s="129"/>
      <c r="L128" s="129"/>
      <c r="M128" s="129"/>
      <c r="N128" s="129"/>
      <c r="O128" s="129"/>
      <c r="P128" s="129"/>
      <c r="Q128" s="129"/>
      <c r="R128" s="129"/>
      <c r="S128" s="141"/>
      <c r="T128" s="139"/>
      <c r="U128" s="129"/>
      <c r="V128" s="129"/>
      <c r="W128" s="129"/>
      <c r="X128" s="129"/>
      <c r="Y128" s="129"/>
      <c r="Z128" s="115"/>
      <c r="AA128" s="129"/>
      <c r="AB128" s="149"/>
      <c r="AC128" s="129"/>
      <c r="AD128" s="129"/>
      <c r="AE128" s="129"/>
    </row>
    <row r="129" spans="3:31" x14ac:dyDescent="0.35">
      <c r="C129" s="129"/>
      <c r="D129" s="129"/>
      <c r="E129" s="129"/>
      <c r="F129" s="129"/>
      <c r="G129" s="129"/>
      <c r="H129" s="110"/>
      <c r="I129" s="129"/>
      <c r="J129" t="s">
        <v>351</v>
      </c>
      <c r="K129" s="129"/>
      <c r="L129" s="129"/>
      <c r="M129" s="129"/>
      <c r="N129" s="129"/>
      <c r="O129" s="129"/>
      <c r="P129" s="129"/>
      <c r="Q129" s="129"/>
      <c r="R129" s="129"/>
      <c r="S129" s="141"/>
      <c r="T129" s="139"/>
      <c r="U129" s="129"/>
      <c r="V129" s="129"/>
      <c r="W129" s="129"/>
      <c r="X129" s="129"/>
      <c r="Y129" s="129"/>
      <c r="Z129" s="115"/>
      <c r="AA129" s="129"/>
      <c r="AB129" s="149"/>
      <c r="AC129" s="129"/>
      <c r="AD129" s="129"/>
      <c r="AE129" s="129"/>
    </row>
    <row r="130" spans="3:31" x14ac:dyDescent="0.35">
      <c r="C130" s="129"/>
      <c r="D130" s="129"/>
      <c r="E130" s="129"/>
      <c r="F130" s="129"/>
      <c r="G130" s="129"/>
      <c r="H130" s="110"/>
      <c r="I130" s="129"/>
      <c r="J130" t="s">
        <v>351</v>
      </c>
      <c r="K130" s="129"/>
      <c r="L130" s="129"/>
      <c r="M130" s="129"/>
      <c r="N130" s="129"/>
      <c r="O130" s="129"/>
      <c r="P130" s="129"/>
      <c r="Q130" s="129"/>
      <c r="R130" s="129"/>
      <c r="S130" s="141"/>
      <c r="T130" s="139"/>
      <c r="U130" s="129"/>
      <c r="V130" s="129"/>
      <c r="W130" s="129"/>
      <c r="X130" s="129"/>
      <c r="Y130" s="129"/>
      <c r="Z130" s="115"/>
      <c r="AA130" s="129"/>
      <c r="AB130" s="149"/>
      <c r="AC130" s="129"/>
      <c r="AD130" s="129"/>
      <c r="AE130" s="129"/>
    </row>
    <row r="131" spans="3:31" x14ac:dyDescent="0.35">
      <c r="C131" s="129"/>
      <c r="D131" s="129"/>
      <c r="E131" s="129"/>
      <c r="F131" s="129"/>
      <c r="G131" s="129"/>
      <c r="H131" s="110"/>
      <c r="I131" s="129"/>
      <c r="J131" t="s">
        <v>351</v>
      </c>
      <c r="K131" s="129"/>
      <c r="L131" s="129"/>
      <c r="M131" s="129"/>
      <c r="N131" s="129"/>
      <c r="O131" s="129"/>
      <c r="P131" s="129"/>
      <c r="Q131" s="129"/>
      <c r="R131" s="129"/>
      <c r="S131" s="141"/>
      <c r="T131" s="139"/>
      <c r="U131" s="129"/>
      <c r="V131" s="129"/>
      <c r="W131" s="129"/>
      <c r="X131" s="129"/>
      <c r="Y131" s="129"/>
      <c r="Z131" s="115"/>
      <c r="AA131" s="129"/>
      <c r="AB131" s="149"/>
      <c r="AC131" s="129"/>
      <c r="AD131" s="129"/>
      <c r="AE131" s="129"/>
    </row>
    <row r="132" spans="3:31" x14ac:dyDescent="0.35">
      <c r="C132" s="129"/>
      <c r="D132" s="129"/>
      <c r="E132" s="129"/>
      <c r="F132" s="129"/>
      <c r="G132" s="129"/>
      <c r="H132" s="110"/>
      <c r="I132" s="129"/>
      <c r="J132" t="s">
        <v>351</v>
      </c>
      <c r="K132" s="129"/>
      <c r="L132" s="129"/>
      <c r="M132" s="129"/>
      <c r="N132" s="129"/>
      <c r="O132" s="129"/>
      <c r="P132" s="129"/>
      <c r="Q132" s="129"/>
      <c r="R132" s="129"/>
      <c r="S132" s="141"/>
      <c r="T132" s="139"/>
      <c r="U132" s="129"/>
      <c r="V132" s="129"/>
      <c r="W132" s="129"/>
      <c r="X132" s="129"/>
      <c r="Y132" s="129"/>
      <c r="Z132" s="115"/>
      <c r="AA132" s="129"/>
      <c r="AB132" s="149"/>
      <c r="AC132" s="129"/>
      <c r="AD132" s="129"/>
      <c r="AE132" s="129"/>
    </row>
    <row r="133" spans="3:31" x14ac:dyDescent="0.35">
      <c r="C133" s="129"/>
      <c r="D133" s="129"/>
      <c r="E133" s="129"/>
      <c r="F133" s="129"/>
      <c r="G133" s="129"/>
      <c r="H133" s="110"/>
      <c r="I133" s="129"/>
      <c r="J133" t="s">
        <v>351</v>
      </c>
      <c r="K133" s="129"/>
      <c r="L133" s="129"/>
      <c r="M133" s="129"/>
      <c r="N133" s="129"/>
      <c r="O133" s="129"/>
      <c r="P133" s="129"/>
      <c r="Q133" s="129"/>
      <c r="R133" s="129"/>
      <c r="S133" s="141"/>
      <c r="T133" s="139"/>
      <c r="U133" s="129"/>
      <c r="V133" s="129"/>
      <c r="W133" s="129"/>
      <c r="X133" s="129"/>
      <c r="Y133" s="129"/>
      <c r="Z133" s="115"/>
      <c r="AA133" s="129"/>
      <c r="AB133" s="149"/>
      <c r="AC133" s="129"/>
      <c r="AD133" s="129"/>
      <c r="AE133" s="129"/>
    </row>
    <row r="134" spans="3:31" x14ac:dyDescent="0.35">
      <c r="C134" s="129"/>
      <c r="D134" s="129"/>
      <c r="E134" s="129"/>
      <c r="F134" s="129"/>
      <c r="G134" s="129"/>
      <c r="H134" s="110"/>
      <c r="I134" s="129"/>
      <c r="J134" t="s">
        <v>351</v>
      </c>
      <c r="K134" s="129"/>
      <c r="L134" s="129"/>
      <c r="M134" s="129"/>
      <c r="N134" s="129"/>
      <c r="O134" s="129"/>
      <c r="P134" s="129"/>
      <c r="Q134" s="129"/>
      <c r="R134" s="129"/>
      <c r="S134" s="141"/>
      <c r="T134" s="139"/>
      <c r="U134" s="129"/>
      <c r="V134" s="129"/>
      <c r="W134" s="129"/>
      <c r="X134" s="129"/>
      <c r="Y134" s="129"/>
      <c r="Z134" s="115"/>
      <c r="AA134" s="129"/>
      <c r="AB134" s="149"/>
      <c r="AC134" s="129"/>
      <c r="AD134" s="129"/>
      <c r="AE134" s="129"/>
    </row>
    <row r="135" spans="3:31" x14ac:dyDescent="0.35">
      <c r="C135" s="129"/>
      <c r="D135" s="129"/>
      <c r="E135" s="129"/>
      <c r="F135" s="129"/>
      <c r="G135" s="129"/>
      <c r="H135" s="110"/>
      <c r="I135" s="129"/>
      <c r="J135" t="s">
        <v>351</v>
      </c>
      <c r="K135" s="129"/>
      <c r="L135" s="129"/>
      <c r="M135" s="129"/>
      <c r="N135" s="129"/>
      <c r="O135" s="129"/>
      <c r="P135" s="129"/>
      <c r="Q135" s="129"/>
      <c r="R135" s="129"/>
      <c r="S135" s="141"/>
      <c r="T135" s="139"/>
      <c r="U135" s="129"/>
      <c r="V135" s="129"/>
      <c r="W135" s="129"/>
      <c r="X135" s="129"/>
      <c r="Y135" s="129"/>
      <c r="Z135" s="115"/>
      <c r="AA135" s="129"/>
      <c r="AB135" s="149"/>
      <c r="AC135" s="129"/>
      <c r="AD135" s="129"/>
      <c r="AE135" s="129"/>
    </row>
    <row r="136" spans="3:31" x14ac:dyDescent="0.35">
      <c r="C136" s="129"/>
      <c r="D136" s="129"/>
      <c r="E136" s="129"/>
      <c r="F136" s="129"/>
      <c r="G136" s="129"/>
      <c r="H136" s="110"/>
      <c r="I136" s="129"/>
      <c r="J136" t="s">
        <v>351</v>
      </c>
      <c r="K136" s="129"/>
      <c r="L136" s="129"/>
      <c r="M136" s="129"/>
      <c r="N136" s="129"/>
      <c r="O136" s="129"/>
      <c r="P136" s="129"/>
      <c r="Q136" s="129"/>
      <c r="R136" s="129"/>
      <c r="S136" s="141"/>
      <c r="T136" s="139"/>
      <c r="U136" s="129"/>
      <c r="V136" s="129"/>
      <c r="W136" s="129"/>
      <c r="X136" s="129"/>
      <c r="Y136" s="129"/>
      <c r="Z136" s="115"/>
      <c r="AA136" s="129"/>
      <c r="AB136" s="149"/>
      <c r="AC136" s="129"/>
      <c r="AD136" s="129"/>
      <c r="AE136" s="129"/>
    </row>
    <row r="137" spans="3:31" x14ac:dyDescent="0.35">
      <c r="C137" s="129"/>
      <c r="D137" s="129"/>
      <c r="E137" s="129"/>
      <c r="F137" s="129"/>
      <c r="G137" s="129"/>
      <c r="H137" s="110"/>
      <c r="I137" s="129"/>
      <c r="J137" t="s">
        <v>351</v>
      </c>
      <c r="K137" s="129"/>
      <c r="L137" s="129"/>
      <c r="M137" s="129"/>
      <c r="N137" s="129"/>
      <c r="O137" s="129"/>
      <c r="P137" s="129"/>
      <c r="Q137" s="129"/>
      <c r="R137" s="129"/>
      <c r="S137" s="141"/>
      <c r="T137" s="139"/>
      <c r="U137" s="129"/>
      <c r="V137" s="129"/>
      <c r="W137" s="129"/>
      <c r="X137" s="129"/>
      <c r="Y137" s="129"/>
      <c r="Z137" s="115"/>
      <c r="AA137" s="129"/>
      <c r="AB137" s="149"/>
      <c r="AC137" s="129"/>
      <c r="AD137" s="129"/>
      <c r="AE137" s="129"/>
    </row>
    <row r="138" spans="3:31" x14ac:dyDescent="0.35">
      <c r="C138" s="129"/>
      <c r="D138" s="129"/>
      <c r="E138" s="129"/>
      <c r="F138" s="129"/>
      <c r="G138" s="129"/>
      <c r="H138" s="110"/>
      <c r="I138" s="129"/>
      <c r="J138" t="s">
        <v>351</v>
      </c>
      <c r="K138" s="129"/>
      <c r="L138" s="129"/>
      <c r="M138" s="129"/>
      <c r="N138" s="129"/>
      <c r="O138" s="129"/>
      <c r="P138" s="129"/>
      <c r="Q138" s="129"/>
      <c r="R138" s="129"/>
      <c r="S138" s="141"/>
      <c r="T138" s="139"/>
      <c r="U138" s="129"/>
      <c r="V138" s="129"/>
      <c r="W138" s="129"/>
      <c r="X138" s="129"/>
      <c r="Y138" s="129"/>
      <c r="Z138" s="115"/>
      <c r="AA138" s="129"/>
      <c r="AB138" s="149"/>
      <c r="AC138" s="129"/>
      <c r="AD138" s="129"/>
      <c r="AE138" s="129"/>
    </row>
    <row r="139" spans="3:31" x14ac:dyDescent="0.35">
      <c r="C139" s="129"/>
      <c r="D139" s="129"/>
      <c r="E139" s="129"/>
      <c r="F139" s="129"/>
      <c r="G139" s="129"/>
      <c r="H139" s="110"/>
      <c r="I139" s="129"/>
      <c r="J139" t="s">
        <v>351</v>
      </c>
      <c r="K139" s="129"/>
      <c r="L139" s="129"/>
      <c r="M139" s="129"/>
      <c r="N139" s="129"/>
      <c r="O139" s="129"/>
      <c r="P139" s="129"/>
      <c r="Q139" s="129"/>
      <c r="R139" s="129"/>
      <c r="S139" s="141"/>
      <c r="T139" s="139"/>
      <c r="U139" s="129"/>
      <c r="V139" s="129"/>
      <c r="W139" s="129"/>
      <c r="X139" s="129"/>
      <c r="Y139" s="129"/>
      <c r="Z139" s="115"/>
      <c r="AA139" s="129"/>
      <c r="AB139" s="149"/>
      <c r="AC139" s="129"/>
      <c r="AD139" s="129"/>
      <c r="AE139" s="129"/>
    </row>
    <row r="140" spans="3:31" x14ac:dyDescent="0.35">
      <c r="C140" s="129"/>
      <c r="D140" s="129"/>
      <c r="E140" s="129"/>
      <c r="F140" s="129"/>
      <c r="G140" s="129"/>
      <c r="H140" s="110"/>
      <c r="I140" s="129"/>
      <c r="J140" t="s">
        <v>351</v>
      </c>
      <c r="K140" s="129"/>
      <c r="L140" s="129"/>
      <c r="M140" s="129"/>
      <c r="N140" s="129"/>
      <c r="O140" s="129"/>
      <c r="P140" s="129"/>
      <c r="Q140" s="129"/>
      <c r="R140" s="129"/>
      <c r="S140" s="141"/>
      <c r="T140" s="139"/>
      <c r="U140" s="129"/>
      <c r="V140" s="129"/>
      <c r="W140" s="129"/>
      <c r="X140" s="129"/>
      <c r="Y140" s="129"/>
      <c r="Z140" s="115"/>
      <c r="AA140" s="129"/>
      <c r="AB140" s="149"/>
      <c r="AC140" s="129"/>
      <c r="AD140" s="129"/>
      <c r="AE140" s="129"/>
    </row>
    <row r="141" spans="3:31" x14ac:dyDescent="0.35">
      <c r="C141" s="129"/>
      <c r="D141" s="129"/>
      <c r="E141" s="129"/>
      <c r="F141" s="129"/>
      <c r="G141" s="129"/>
      <c r="H141" s="110"/>
      <c r="I141" s="129"/>
      <c r="J141" t="s">
        <v>351</v>
      </c>
      <c r="K141" s="129"/>
      <c r="L141" s="129"/>
      <c r="M141" s="129"/>
      <c r="N141" s="129"/>
      <c r="O141" s="129"/>
      <c r="P141" s="129"/>
      <c r="Q141" s="129"/>
      <c r="R141" s="129"/>
      <c r="S141" s="141"/>
      <c r="T141" s="139"/>
      <c r="U141" s="129"/>
      <c r="V141" s="129"/>
      <c r="W141" s="129"/>
      <c r="X141" s="129"/>
      <c r="Y141" s="129"/>
      <c r="Z141" s="115"/>
      <c r="AA141" s="129"/>
      <c r="AB141" s="149"/>
      <c r="AC141" s="129"/>
      <c r="AD141" s="129"/>
      <c r="AE141" s="129"/>
    </row>
    <row r="142" spans="3:31" x14ac:dyDescent="0.35">
      <c r="C142" s="129"/>
      <c r="D142" s="129"/>
      <c r="E142" s="129"/>
      <c r="F142" s="129"/>
      <c r="G142" s="129"/>
      <c r="H142" s="110"/>
      <c r="I142" s="129"/>
      <c r="J142" t="s">
        <v>351</v>
      </c>
      <c r="K142" s="129"/>
      <c r="L142" s="129"/>
      <c r="M142" s="129"/>
      <c r="N142" s="129"/>
      <c r="O142" s="129"/>
      <c r="P142" s="129"/>
      <c r="Q142" s="129"/>
      <c r="R142" s="129"/>
      <c r="S142" s="141"/>
      <c r="T142" s="139"/>
      <c r="U142" s="129"/>
      <c r="V142" s="129"/>
      <c r="W142" s="129"/>
      <c r="X142" s="129"/>
      <c r="Y142" s="129"/>
      <c r="Z142" s="115"/>
      <c r="AA142" s="129"/>
      <c r="AB142" s="149"/>
      <c r="AC142" s="129"/>
      <c r="AD142" s="129"/>
      <c r="AE142" s="129"/>
    </row>
    <row r="143" spans="3:31" x14ac:dyDescent="0.35">
      <c r="C143" s="129"/>
      <c r="D143" s="129"/>
      <c r="E143" s="129"/>
      <c r="F143" s="129"/>
      <c r="G143" s="129"/>
      <c r="H143" s="110"/>
      <c r="I143" s="129"/>
      <c r="J143" t="s">
        <v>351</v>
      </c>
      <c r="K143" s="129"/>
      <c r="L143" s="129"/>
      <c r="M143" s="129"/>
      <c r="N143" s="129"/>
      <c r="O143" s="129"/>
      <c r="P143" s="129"/>
      <c r="Q143" s="129"/>
      <c r="R143" s="129"/>
      <c r="S143" s="141"/>
      <c r="T143" s="139"/>
      <c r="U143" s="129"/>
      <c r="V143" s="129"/>
      <c r="W143" s="129"/>
      <c r="X143" s="129"/>
      <c r="Y143" s="129"/>
      <c r="Z143" s="115"/>
      <c r="AA143" s="129"/>
      <c r="AB143" s="149"/>
      <c r="AC143" s="129"/>
      <c r="AD143" s="129"/>
      <c r="AE143" s="129"/>
    </row>
    <row r="144" spans="3:31" x14ac:dyDescent="0.35">
      <c r="C144" s="129"/>
      <c r="D144" s="129"/>
      <c r="E144" s="129"/>
      <c r="F144" s="129"/>
      <c r="G144" s="129"/>
      <c r="H144" s="110"/>
      <c r="I144" s="129"/>
      <c r="J144" t="s">
        <v>351</v>
      </c>
      <c r="K144" s="129"/>
      <c r="L144" s="129"/>
      <c r="M144" s="129"/>
      <c r="N144" s="129"/>
      <c r="O144" s="129"/>
      <c r="P144" s="129"/>
      <c r="Q144" s="129"/>
      <c r="R144" s="129"/>
      <c r="S144" s="141"/>
      <c r="T144" s="139"/>
      <c r="U144" s="129"/>
      <c r="V144" s="129"/>
      <c r="W144" s="129"/>
      <c r="X144" s="129"/>
      <c r="Y144" s="129"/>
      <c r="Z144" s="115"/>
      <c r="AA144" s="129"/>
      <c r="AB144" s="149"/>
      <c r="AC144" s="129"/>
      <c r="AD144" s="129"/>
      <c r="AE144" s="129"/>
    </row>
    <row r="145" spans="3:31" x14ac:dyDescent="0.35">
      <c r="C145" s="129"/>
      <c r="D145" s="129"/>
      <c r="E145" s="129"/>
      <c r="F145" s="129"/>
      <c r="G145" s="129"/>
      <c r="H145" s="110"/>
      <c r="I145" s="129"/>
      <c r="J145" t="s">
        <v>351</v>
      </c>
      <c r="K145" s="129"/>
      <c r="L145" s="129"/>
      <c r="M145" s="129"/>
      <c r="N145" s="129"/>
      <c r="O145" s="129"/>
      <c r="P145" s="129"/>
      <c r="Q145" s="129"/>
      <c r="R145" s="129"/>
      <c r="S145" s="141"/>
      <c r="T145" s="139"/>
      <c r="U145" s="129"/>
      <c r="V145" s="129"/>
      <c r="W145" s="129"/>
      <c r="X145" s="129"/>
      <c r="Y145" s="129"/>
      <c r="Z145" s="115"/>
      <c r="AA145" s="129"/>
      <c r="AB145" s="149"/>
      <c r="AC145" s="129"/>
      <c r="AD145" s="129"/>
      <c r="AE145" s="129"/>
    </row>
    <row r="146" spans="3:31" x14ac:dyDescent="0.35">
      <c r="C146" s="129"/>
      <c r="D146" s="129"/>
      <c r="E146" s="129"/>
      <c r="F146" s="129"/>
      <c r="G146" s="129"/>
      <c r="H146" s="110"/>
      <c r="I146" s="129"/>
      <c r="J146" t="s">
        <v>351</v>
      </c>
      <c r="K146" s="129"/>
      <c r="L146" s="129"/>
      <c r="M146" s="129"/>
      <c r="N146" s="129"/>
      <c r="O146" s="129"/>
      <c r="P146" s="129"/>
      <c r="Q146" s="129"/>
      <c r="R146" s="129"/>
      <c r="S146" s="141"/>
      <c r="T146" s="139"/>
      <c r="U146" s="129"/>
      <c r="V146" s="129"/>
      <c r="W146" s="129"/>
      <c r="X146" s="129"/>
      <c r="Y146" s="129"/>
      <c r="Z146" s="115"/>
      <c r="AA146" s="129"/>
      <c r="AB146" s="149"/>
      <c r="AC146" s="129"/>
      <c r="AD146" s="129"/>
      <c r="AE146" s="129"/>
    </row>
    <row r="147" spans="3:31" x14ac:dyDescent="0.35">
      <c r="C147" s="129"/>
      <c r="D147" s="129"/>
      <c r="E147" s="129"/>
      <c r="F147" s="129"/>
      <c r="G147" s="129"/>
      <c r="H147" s="110"/>
      <c r="I147" s="129"/>
      <c r="J147" t="s">
        <v>351</v>
      </c>
      <c r="K147" s="129"/>
      <c r="L147" s="129"/>
      <c r="M147" s="129"/>
      <c r="N147" s="129"/>
      <c r="O147" s="129"/>
      <c r="P147" s="129"/>
      <c r="Q147" s="129"/>
      <c r="R147" s="129"/>
      <c r="S147" s="141"/>
      <c r="T147" s="139"/>
      <c r="U147" s="129"/>
      <c r="V147" s="129"/>
      <c r="W147" s="129"/>
      <c r="X147" s="129"/>
      <c r="Y147" s="129"/>
      <c r="Z147" s="115"/>
      <c r="AA147" s="129"/>
      <c r="AB147" s="149"/>
      <c r="AC147" s="129"/>
      <c r="AD147" s="129"/>
      <c r="AE147" s="129"/>
    </row>
    <row r="148" spans="3:31" x14ac:dyDescent="0.35">
      <c r="C148" s="129"/>
      <c r="D148" s="129"/>
      <c r="E148" s="129"/>
      <c r="F148" s="129"/>
      <c r="G148" s="129"/>
      <c r="H148" s="110"/>
      <c r="I148" s="129"/>
      <c r="J148" t="s">
        <v>351</v>
      </c>
      <c r="K148" s="129"/>
      <c r="L148" s="129"/>
      <c r="M148" s="129"/>
      <c r="N148" s="129"/>
      <c r="O148" s="129"/>
      <c r="P148" s="129"/>
      <c r="Q148" s="129"/>
      <c r="R148" s="129"/>
      <c r="S148" s="141"/>
      <c r="T148" s="139"/>
      <c r="U148" s="129"/>
      <c r="V148" s="129"/>
      <c r="W148" s="129"/>
      <c r="X148" s="129"/>
      <c r="Y148" s="129"/>
      <c r="Z148" s="115"/>
      <c r="AA148" s="129"/>
      <c r="AB148" s="149"/>
      <c r="AC148" s="129"/>
      <c r="AD148" s="129"/>
      <c r="AE148" s="129"/>
    </row>
    <row r="149" spans="3:31" x14ac:dyDescent="0.35">
      <c r="C149" s="129"/>
      <c r="D149" s="129"/>
      <c r="E149" s="129"/>
      <c r="F149" s="129"/>
      <c r="G149" s="129"/>
      <c r="H149" s="110"/>
      <c r="I149" s="129"/>
      <c r="J149" t="s">
        <v>351</v>
      </c>
      <c r="K149" s="129"/>
      <c r="L149" s="129"/>
      <c r="M149" s="129"/>
      <c r="N149" s="129"/>
      <c r="O149" s="129"/>
      <c r="P149" s="129"/>
      <c r="Q149" s="129"/>
      <c r="R149" s="129"/>
      <c r="S149" s="141"/>
      <c r="T149" s="139"/>
      <c r="U149" s="129"/>
      <c r="V149" s="129"/>
      <c r="W149" s="129"/>
      <c r="X149" s="129"/>
      <c r="Y149" s="129"/>
      <c r="Z149" s="115"/>
      <c r="AA149" s="129"/>
      <c r="AB149" s="149"/>
      <c r="AC149" s="129"/>
      <c r="AD149" s="129"/>
      <c r="AE149" s="129"/>
    </row>
    <row r="150" spans="3:31" x14ac:dyDescent="0.35">
      <c r="C150" s="129"/>
      <c r="D150" s="129"/>
      <c r="E150" s="129"/>
      <c r="F150" s="129"/>
      <c r="G150" s="129"/>
      <c r="H150" s="110"/>
      <c r="I150" s="129"/>
      <c r="J150" t="s">
        <v>351</v>
      </c>
      <c r="K150" s="129"/>
      <c r="L150" s="129"/>
      <c r="M150" s="129"/>
      <c r="N150" s="129"/>
      <c r="O150" s="129"/>
      <c r="P150" s="129"/>
      <c r="Q150" s="129"/>
      <c r="R150" s="129"/>
      <c r="S150" s="141"/>
      <c r="T150" s="139"/>
      <c r="U150" s="129"/>
      <c r="V150" s="129"/>
      <c r="W150" s="129"/>
      <c r="X150" s="129"/>
      <c r="Y150" s="129"/>
      <c r="Z150" s="115"/>
      <c r="AA150" s="129"/>
      <c r="AB150" s="149"/>
      <c r="AC150" s="129"/>
      <c r="AD150" s="129"/>
      <c r="AE150" s="129"/>
    </row>
    <row r="151" spans="3:31" x14ac:dyDescent="0.35">
      <c r="C151" s="129"/>
      <c r="D151" s="129"/>
      <c r="E151" s="129"/>
      <c r="F151" s="129"/>
      <c r="G151" s="129"/>
      <c r="H151" s="110"/>
      <c r="I151" s="129"/>
      <c r="J151" t="s">
        <v>351</v>
      </c>
      <c r="K151" s="129"/>
      <c r="L151" s="129"/>
      <c r="M151" s="129"/>
      <c r="N151" s="129"/>
      <c r="O151" s="129"/>
      <c r="P151" s="129"/>
      <c r="Q151" s="129"/>
      <c r="R151" s="129"/>
      <c r="S151" s="141"/>
      <c r="T151" s="139"/>
      <c r="U151" s="129"/>
      <c r="V151" s="129"/>
      <c r="W151" s="129"/>
      <c r="X151" s="129"/>
      <c r="Y151" s="129"/>
      <c r="Z151" s="115"/>
      <c r="AA151" s="129"/>
      <c r="AB151" s="149"/>
      <c r="AC151" s="129"/>
      <c r="AD151" s="129"/>
      <c r="AE151" s="129"/>
    </row>
    <row r="152" spans="3:31" x14ac:dyDescent="0.35">
      <c r="C152" s="129"/>
      <c r="D152" s="129"/>
      <c r="E152" s="129"/>
      <c r="F152" s="129"/>
      <c r="G152" s="129"/>
      <c r="H152" s="110"/>
      <c r="I152" s="129"/>
      <c r="J152" t="s">
        <v>351</v>
      </c>
      <c r="K152" s="129"/>
      <c r="L152" s="129"/>
      <c r="M152" s="129"/>
      <c r="N152" s="129"/>
      <c r="O152" s="129"/>
      <c r="P152" s="129"/>
      <c r="Q152" s="129"/>
      <c r="R152" s="129"/>
      <c r="S152" s="141"/>
      <c r="T152" s="139"/>
      <c r="U152" s="129"/>
      <c r="V152" s="129"/>
      <c r="W152" s="129"/>
      <c r="X152" s="129"/>
      <c r="Y152" s="129"/>
      <c r="Z152" s="115"/>
      <c r="AA152" s="129"/>
      <c r="AB152" s="149"/>
      <c r="AC152" s="129"/>
      <c r="AD152" s="129"/>
      <c r="AE152" s="129"/>
    </row>
    <row r="153" spans="3:31" x14ac:dyDescent="0.35">
      <c r="C153" s="129"/>
      <c r="D153" s="129"/>
      <c r="E153" s="129"/>
      <c r="F153" s="129"/>
      <c r="G153" s="129"/>
      <c r="H153" s="110"/>
      <c r="I153" s="129"/>
      <c r="J153" t="s">
        <v>351</v>
      </c>
      <c r="K153" s="129"/>
      <c r="L153" s="129"/>
      <c r="M153" s="129"/>
      <c r="N153" s="129"/>
      <c r="O153" s="129"/>
      <c r="P153" s="129"/>
      <c r="Q153" s="129"/>
      <c r="R153" s="129"/>
      <c r="S153" s="141"/>
      <c r="T153" s="139"/>
      <c r="U153" s="129"/>
      <c r="V153" s="129"/>
      <c r="W153" s="129"/>
      <c r="X153" s="129"/>
      <c r="Y153" s="129"/>
      <c r="Z153" s="115"/>
      <c r="AA153" s="129"/>
      <c r="AB153" s="149"/>
      <c r="AC153" s="129"/>
      <c r="AD153" s="129"/>
      <c r="AE153" s="129"/>
    </row>
    <row r="154" spans="3:31" x14ac:dyDescent="0.35">
      <c r="C154" s="129"/>
      <c r="D154" s="129"/>
      <c r="E154" s="129"/>
      <c r="F154" s="129"/>
      <c r="G154" s="129"/>
      <c r="H154" s="110"/>
      <c r="I154" s="129"/>
      <c r="J154" t="s">
        <v>351</v>
      </c>
      <c r="K154" s="129"/>
      <c r="L154" s="129"/>
      <c r="M154" s="129"/>
      <c r="N154" s="129"/>
      <c r="O154" s="129"/>
      <c r="P154" s="129"/>
      <c r="Q154" s="129"/>
      <c r="R154" s="129"/>
      <c r="S154" s="141"/>
      <c r="T154" s="139"/>
      <c r="U154" s="129"/>
      <c r="V154" s="129"/>
      <c r="W154" s="129"/>
      <c r="X154" s="129"/>
      <c r="Y154" s="129"/>
      <c r="Z154" s="115"/>
      <c r="AA154" s="129"/>
      <c r="AB154" s="149"/>
      <c r="AC154" s="129"/>
      <c r="AD154" s="129"/>
      <c r="AE154" s="129"/>
    </row>
    <row r="155" spans="3:31" x14ac:dyDescent="0.35">
      <c r="C155" s="129"/>
      <c r="D155" s="129"/>
      <c r="E155" s="129"/>
      <c r="F155" s="129"/>
      <c r="G155" s="129"/>
      <c r="H155" s="110"/>
      <c r="I155" s="129"/>
      <c r="J155" t="s">
        <v>351</v>
      </c>
      <c r="K155" s="129"/>
      <c r="L155" s="129"/>
      <c r="M155" s="129"/>
      <c r="N155" s="129"/>
      <c r="O155" s="129"/>
      <c r="P155" s="129"/>
      <c r="Q155" s="129"/>
      <c r="R155" s="129"/>
      <c r="S155" s="141"/>
      <c r="T155" s="139"/>
      <c r="U155" s="129"/>
      <c r="V155" s="129"/>
      <c r="W155" s="129"/>
      <c r="X155" s="129"/>
      <c r="Y155" s="129"/>
      <c r="Z155" s="115"/>
      <c r="AA155" s="129"/>
      <c r="AB155" s="149"/>
      <c r="AC155" s="129"/>
      <c r="AD155" s="129"/>
      <c r="AE155" s="129"/>
    </row>
    <row r="156" spans="3:31" x14ac:dyDescent="0.35">
      <c r="C156" s="129"/>
      <c r="D156" s="129"/>
      <c r="E156" s="129"/>
      <c r="F156" s="129"/>
      <c r="G156" s="129"/>
      <c r="H156" s="110"/>
      <c r="I156" s="129"/>
      <c r="J156" t="s">
        <v>351</v>
      </c>
      <c r="K156" s="129"/>
      <c r="L156" s="129"/>
      <c r="M156" s="129"/>
      <c r="N156" s="129"/>
      <c r="O156" s="129"/>
      <c r="P156" s="129"/>
      <c r="Q156" s="129"/>
      <c r="R156" s="129"/>
      <c r="S156" s="141"/>
      <c r="T156" s="139"/>
      <c r="U156" s="129"/>
      <c r="V156" s="129"/>
      <c r="W156" s="129"/>
      <c r="X156" s="129"/>
      <c r="Y156" s="129"/>
      <c r="Z156" s="115"/>
      <c r="AA156" s="129"/>
      <c r="AB156" s="149"/>
      <c r="AC156" s="129"/>
      <c r="AD156" s="129"/>
      <c r="AE156" s="129"/>
    </row>
    <row r="157" spans="3:31" x14ac:dyDescent="0.35">
      <c r="C157" s="129"/>
      <c r="D157" s="129"/>
      <c r="E157" s="129"/>
      <c r="F157" s="129"/>
      <c r="G157" s="129"/>
      <c r="H157" s="110"/>
      <c r="I157" s="129"/>
      <c r="J157" t="s">
        <v>351</v>
      </c>
      <c r="K157" s="129"/>
      <c r="L157" s="129"/>
      <c r="M157" s="129"/>
      <c r="N157" s="129"/>
      <c r="O157" s="129"/>
      <c r="P157" s="129"/>
      <c r="Q157" s="129"/>
      <c r="R157" s="129"/>
      <c r="S157" s="141"/>
      <c r="T157" s="139"/>
      <c r="U157" s="129"/>
      <c r="V157" s="129"/>
      <c r="W157" s="129"/>
      <c r="X157" s="129"/>
      <c r="Y157" s="129"/>
      <c r="Z157" s="115"/>
      <c r="AA157" s="129"/>
      <c r="AB157" s="149"/>
      <c r="AC157" s="129"/>
      <c r="AD157" s="129"/>
      <c r="AE157" s="129"/>
    </row>
    <row r="158" spans="3:31" x14ac:dyDescent="0.35">
      <c r="C158" s="129"/>
      <c r="D158" s="129"/>
      <c r="E158" s="129"/>
      <c r="F158" s="129"/>
      <c r="G158" s="129"/>
      <c r="H158" s="110"/>
      <c r="I158" s="129"/>
      <c r="J158" t="s">
        <v>351</v>
      </c>
      <c r="K158" s="129"/>
      <c r="L158" s="129"/>
      <c r="M158" s="129"/>
      <c r="N158" s="129"/>
      <c r="O158" s="129"/>
      <c r="P158" s="129"/>
      <c r="Q158" s="129"/>
      <c r="R158" s="129"/>
      <c r="S158" s="141"/>
      <c r="T158" s="139"/>
      <c r="U158" s="129"/>
      <c r="V158" s="129"/>
      <c r="W158" s="129"/>
      <c r="X158" s="129"/>
      <c r="Y158" s="129"/>
      <c r="Z158" s="115"/>
      <c r="AA158" s="129"/>
      <c r="AB158" s="149"/>
      <c r="AC158" s="129"/>
      <c r="AD158" s="129"/>
      <c r="AE158" s="129"/>
    </row>
    <row r="159" spans="3:31" x14ac:dyDescent="0.35">
      <c r="C159" s="129"/>
      <c r="D159" s="129"/>
      <c r="E159" s="129"/>
      <c r="F159" s="129"/>
      <c r="G159" s="129"/>
      <c r="H159" s="110"/>
      <c r="I159" s="129"/>
      <c r="J159" t="s">
        <v>351</v>
      </c>
      <c r="K159" s="129"/>
      <c r="L159" s="129"/>
      <c r="M159" s="129"/>
      <c r="N159" s="129"/>
      <c r="O159" s="129"/>
      <c r="P159" s="129"/>
      <c r="Q159" s="129"/>
      <c r="R159" s="129"/>
      <c r="S159" s="141"/>
      <c r="T159" s="139"/>
      <c r="U159" s="129"/>
      <c r="V159" s="129"/>
      <c r="W159" s="129"/>
      <c r="X159" s="129"/>
      <c r="Y159" s="129"/>
      <c r="Z159" s="115"/>
      <c r="AA159" s="129"/>
      <c r="AB159" s="149"/>
      <c r="AC159" s="129"/>
      <c r="AD159" s="129"/>
      <c r="AE159" s="129"/>
    </row>
    <row r="160" spans="3:31" x14ac:dyDescent="0.35">
      <c r="C160" s="129"/>
      <c r="D160" s="129"/>
      <c r="E160" s="129"/>
      <c r="F160" s="129"/>
      <c r="G160" s="129"/>
      <c r="H160" s="110"/>
      <c r="I160" s="129"/>
      <c r="J160" t="s">
        <v>351</v>
      </c>
      <c r="K160" s="129"/>
      <c r="L160" s="129"/>
      <c r="M160" s="129"/>
      <c r="N160" s="129"/>
      <c r="O160" s="129"/>
      <c r="P160" s="129"/>
      <c r="Q160" s="129"/>
      <c r="R160" s="129"/>
      <c r="S160" s="141"/>
      <c r="T160" s="139"/>
      <c r="U160" s="129"/>
      <c r="V160" s="129"/>
      <c r="W160" s="129"/>
      <c r="X160" s="129"/>
      <c r="Y160" s="129"/>
      <c r="Z160" s="115"/>
      <c r="AA160" s="129"/>
      <c r="AB160" s="149"/>
      <c r="AC160" s="129"/>
      <c r="AD160" s="129"/>
      <c r="AE160" s="129"/>
    </row>
    <row r="161" spans="3:31" x14ac:dyDescent="0.35">
      <c r="C161" s="129"/>
      <c r="D161" s="129"/>
      <c r="E161" s="129"/>
      <c r="F161" s="129"/>
      <c r="G161" s="129"/>
      <c r="H161" s="110"/>
      <c r="I161" s="129"/>
      <c r="J161" t="s">
        <v>351</v>
      </c>
      <c r="K161" s="129"/>
      <c r="L161" s="129"/>
      <c r="M161" s="129"/>
      <c r="N161" s="129"/>
      <c r="O161" s="129"/>
      <c r="P161" s="129"/>
      <c r="Q161" s="129"/>
      <c r="R161" s="129"/>
      <c r="S161" s="141"/>
      <c r="T161" s="139"/>
      <c r="U161" s="129"/>
      <c r="V161" s="129"/>
      <c r="W161" s="129"/>
      <c r="X161" s="129"/>
      <c r="Y161" s="129"/>
      <c r="Z161" s="115"/>
      <c r="AA161" s="129"/>
      <c r="AB161" s="149"/>
      <c r="AC161" s="129"/>
      <c r="AD161" s="129"/>
      <c r="AE161" s="129"/>
    </row>
    <row r="162" spans="3:31" x14ac:dyDescent="0.35">
      <c r="C162" s="129"/>
      <c r="D162" s="129"/>
      <c r="E162" s="129"/>
      <c r="F162" s="129"/>
      <c r="G162" s="129"/>
      <c r="H162" s="110"/>
      <c r="I162" s="129"/>
      <c r="J162" t="s">
        <v>351</v>
      </c>
      <c r="K162" s="129"/>
      <c r="L162" s="129"/>
      <c r="M162" s="129"/>
      <c r="N162" s="129"/>
      <c r="O162" s="129"/>
      <c r="P162" s="129"/>
      <c r="Q162" s="129"/>
      <c r="R162" s="129"/>
      <c r="S162" s="141"/>
      <c r="T162" s="139"/>
      <c r="U162" s="129"/>
      <c r="V162" s="129"/>
      <c r="W162" s="129"/>
      <c r="X162" s="129"/>
      <c r="Y162" s="129"/>
      <c r="Z162" s="115"/>
      <c r="AA162" s="129"/>
      <c r="AB162" s="149"/>
      <c r="AC162" s="129"/>
      <c r="AD162" s="129"/>
      <c r="AE162" s="129"/>
    </row>
    <row r="163" spans="3:31" x14ac:dyDescent="0.35">
      <c r="C163" s="129"/>
      <c r="D163" s="129"/>
      <c r="E163" s="129"/>
      <c r="F163" s="129"/>
      <c r="G163" s="129"/>
      <c r="H163" s="110"/>
      <c r="I163" s="129"/>
      <c r="J163" t="s">
        <v>351</v>
      </c>
      <c r="K163" s="129"/>
      <c r="L163" s="129"/>
      <c r="M163" s="129"/>
      <c r="N163" s="129"/>
      <c r="O163" s="129"/>
      <c r="P163" s="129"/>
      <c r="Q163" s="129"/>
      <c r="R163" s="129"/>
      <c r="S163" s="141"/>
      <c r="T163" s="139"/>
      <c r="U163" s="129"/>
      <c r="V163" s="129"/>
      <c r="W163" s="129"/>
      <c r="X163" s="129"/>
      <c r="Y163" s="129"/>
      <c r="Z163" s="115"/>
      <c r="AA163" s="129"/>
      <c r="AB163" s="149"/>
      <c r="AC163" s="129"/>
      <c r="AD163" s="129"/>
      <c r="AE163" s="129"/>
    </row>
    <row r="164" spans="3:31" x14ac:dyDescent="0.35">
      <c r="C164" s="129"/>
      <c r="D164" s="129"/>
      <c r="E164" s="129"/>
      <c r="F164" s="129"/>
      <c r="G164" s="129"/>
      <c r="H164" s="110"/>
      <c r="I164" s="129"/>
      <c r="J164" t="s">
        <v>351</v>
      </c>
      <c r="K164" s="129"/>
      <c r="L164" s="129"/>
      <c r="M164" s="129"/>
      <c r="N164" s="129"/>
      <c r="O164" s="129"/>
      <c r="P164" s="129"/>
      <c r="Q164" s="129"/>
      <c r="R164" s="129"/>
      <c r="S164" s="141"/>
      <c r="T164" s="139"/>
      <c r="U164" s="129"/>
      <c r="V164" s="129"/>
      <c r="W164" s="129"/>
      <c r="X164" s="129"/>
      <c r="Y164" s="129"/>
      <c r="Z164" s="115"/>
      <c r="AA164" s="129"/>
      <c r="AB164" s="149"/>
      <c r="AC164" s="129"/>
      <c r="AD164" s="129"/>
      <c r="AE164" s="129"/>
    </row>
    <row r="165" spans="3:31" x14ac:dyDescent="0.35">
      <c r="C165" s="129"/>
      <c r="D165" s="129"/>
      <c r="E165" s="129"/>
      <c r="F165" s="129"/>
      <c r="G165" s="129"/>
      <c r="H165" s="110"/>
      <c r="I165" s="129"/>
      <c r="J165" t="s">
        <v>351</v>
      </c>
      <c r="K165" s="129"/>
      <c r="L165" s="129"/>
      <c r="M165" s="129"/>
      <c r="N165" s="129"/>
      <c r="O165" s="129"/>
      <c r="P165" s="129"/>
      <c r="Q165" s="129"/>
      <c r="R165" s="129"/>
      <c r="S165" s="141"/>
      <c r="T165" s="139"/>
      <c r="U165" s="129"/>
      <c r="V165" s="129"/>
      <c r="W165" s="129"/>
      <c r="X165" s="129"/>
      <c r="Y165" s="129"/>
      <c r="Z165" s="115"/>
      <c r="AA165" s="129"/>
      <c r="AB165" s="149"/>
      <c r="AC165" s="129"/>
      <c r="AD165" s="129"/>
      <c r="AE165" s="129"/>
    </row>
    <row r="166" spans="3:31" x14ac:dyDescent="0.35">
      <c r="C166" s="129"/>
      <c r="D166" s="129"/>
      <c r="E166" s="129"/>
      <c r="F166" s="129"/>
      <c r="G166" s="129"/>
      <c r="H166" s="110"/>
      <c r="I166" s="129"/>
      <c r="J166" t="s">
        <v>351</v>
      </c>
      <c r="K166" s="129"/>
      <c r="L166" s="129"/>
      <c r="M166" s="129"/>
      <c r="N166" s="129"/>
      <c r="O166" s="129"/>
      <c r="P166" s="129"/>
      <c r="Q166" s="129"/>
      <c r="R166" s="129"/>
      <c r="S166" s="141"/>
      <c r="T166" s="139"/>
      <c r="U166" s="129"/>
      <c r="V166" s="129"/>
      <c r="W166" s="129"/>
      <c r="X166" s="129"/>
      <c r="Y166" s="129"/>
      <c r="Z166" s="115"/>
      <c r="AA166" s="129"/>
      <c r="AB166" s="149"/>
      <c r="AC166" s="129"/>
      <c r="AD166" s="129"/>
      <c r="AE166" s="129"/>
    </row>
    <row r="167" spans="3:31" x14ac:dyDescent="0.35">
      <c r="C167" s="129"/>
      <c r="D167" s="129"/>
      <c r="E167" s="129"/>
      <c r="F167" s="129"/>
      <c r="G167" s="129"/>
      <c r="H167" s="110"/>
      <c r="I167" s="129"/>
      <c r="J167" t="s">
        <v>351</v>
      </c>
      <c r="K167" s="129"/>
      <c r="L167" s="129"/>
      <c r="M167" s="129"/>
      <c r="N167" s="129"/>
      <c r="O167" s="129"/>
      <c r="P167" s="129"/>
      <c r="Q167" s="129"/>
      <c r="R167" s="129"/>
      <c r="S167" s="141"/>
      <c r="T167" s="139"/>
      <c r="U167" s="129"/>
      <c r="V167" s="129"/>
      <c r="W167" s="129"/>
      <c r="X167" s="129"/>
      <c r="Y167" s="129"/>
      <c r="Z167" s="115"/>
      <c r="AA167" s="129"/>
      <c r="AB167" s="149"/>
      <c r="AC167" s="129"/>
      <c r="AD167" s="129"/>
      <c r="AE167" s="129"/>
    </row>
    <row r="168" spans="3:31" x14ac:dyDescent="0.35">
      <c r="C168" s="129"/>
      <c r="D168" s="129"/>
      <c r="E168" s="129"/>
      <c r="F168" s="129"/>
      <c r="G168" s="129"/>
      <c r="H168" s="110"/>
      <c r="I168" s="129"/>
      <c r="J168" t="s">
        <v>351</v>
      </c>
      <c r="K168" s="129"/>
      <c r="L168" s="129"/>
      <c r="M168" s="129"/>
      <c r="N168" s="129"/>
      <c r="O168" s="129"/>
      <c r="P168" s="129"/>
      <c r="Q168" s="129"/>
      <c r="R168" s="129"/>
      <c r="S168" s="141"/>
      <c r="T168" s="139"/>
      <c r="U168" s="129"/>
      <c r="V168" s="129"/>
      <c r="W168" s="129"/>
      <c r="X168" s="129"/>
      <c r="Y168" s="129"/>
      <c r="Z168" s="115"/>
      <c r="AA168" s="129"/>
      <c r="AB168" s="149"/>
      <c r="AC168" s="129"/>
      <c r="AD168" s="129"/>
      <c r="AE168" s="129"/>
    </row>
    <row r="169" spans="3:31" x14ac:dyDescent="0.35">
      <c r="C169" s="129"/>
      <c r="D169" s="129"/>
      <c r="E169" s="129"/>
      <c r="F169" s="129"/>
      <c r="G169" s="129"/>
      <c r="H169" s="110"/>
      <c r="I169" s="129"/>
      <c r="J169" t="s">
        <v>351</v>
      </c>
      <c r="K169" s="129"/>
      <c r="L169" s="129"/>
      <c r="M169" s="129"/>
      <c r="N169" s="129"/>
      <c r="O169" s="129"/>
      <c r="P169" s="129"/>
      <c r="Q169" s="129"/>
      <c r="R169" s="129"/>
      <c r="S169" s="141"/>
      <c r="T169" s="139"/>
      <c r="U169" s="129"/>
      <c r="V169" s="129"/>
      <c r="W169" s="129"/>
      <c r="X169" s="129"/>
      <c r="Y169" s="129"/>
      <c r="Z169" s="115"/>
      <c r="AA169" s="129"/>
      <c r="AB169" s="149"/>
      <c r="AC169" s="129"/>
      <c r="AD169" s="129"/>
      <c r="AE169" s="129"/>
    </row>
    <row r="170" spans="3:31" x14ac:dyDescent="0.35">
      <c r="C170" s="129"/>
      <c r="D170" s="129"/>
      <c r="E170" s="129"/>
      <c r="F170" s="129"/>
      <c r="G170" s="129"/>
      <c r="H170" s="110"/>
      <c r="I170" s="129"/>
      <c r="J170" t="s">
        <v>351</v>
      </c>
      <c r="K170" s="129"/>
      <c r="L170" s="129"/>
      <c r="M170" s="129"/>
      <c r="N170" s="129"/>
      <c r="O170" s="129"/>
      <c r="P170" s="129"/>
      <c r="Q170" s="129"/>
      <c r="R170" s="129"/>
      <c r="S170" s="141"/>
      <c r="T170" s="139"/>
      <c r="U170" s="129"/>
      <c r="V170" s="129"/>
      <c r="W170" s="129"/>
      <c r="X170" s="129"/>
      <c r="Y170" s="129"/>
      <c r="Z170" s="115"/>
      <c r="AA170" s="129"/>
      <c r="AB170" s="149"/>
      <c r="AC170" s="129"/>
      <c r="AD170" s="129"/>
      <c r="AE170" s="129"/>
    </row>
    <row r="171" spans="3:31" x14ac:dyDescent="0.35">
      <c r="C171" s="129"/>
      <c r="D171" s="129"/>
      <c r="E171" s="129"/>
      <c r="F171" s="129"/>
      <c r="G171" s="129"/>
      <c r="H171" s="110"/>
      <c r="I171" s="129"/>
      <c r="J171" t="s">
        <v>351</v>
      </c>
      <c r="K171" s="129"/>
      <c r="L171" s="129"/>
      <c r="M171" s="129"/>
      <c r="N171" s="129"/>
      <c r="O171" s="129"/>
      <c r="P171" s="129"/>
      <c r="Q171" s="129"/>
      <c r="R171" s="129"/>
      <c r="S171" s="141"/>
      <c r="T171" s="139"/>
      <c r="U171" s="129"/>
      <c r="V171" s="129"/>
      <c r="W171" s="129"/>
      <c r="X171" s="129"/>
      <c r="Y171" s="129"/>
      <c r="Z171" s="115"/>
      <c r="AA171" s="129"/>
      <c r="AB171" s="149"/>
      <c r="AC171" s="129"/>
      <c r="AD171" s="129"/>
      <c r="AE171" s="129"/>
    </row>
    <row r="172" spans="3:31" x14ac:dyDescent="0.35">
      <c r="C172" s="129"/>
      <c r="D172" s="129"/>
      <c r="E172" s="129"/>
      <c r="F172" s="129"/>
      <c r="G172" s="129"/>
      <c r="H172" s="110"/>
      <c r="I172" s="129"/>
      <c r="J172" t="s">
        <v>351</v>
      </c>
      <c r="K172" s="129"/>
      <c r="L172" s="129"/>
      <c r="M172" s="129"/>
      <c r="N172" s="129"/>
      <c r="O172" s="129"/>
      <c r="P172" s="129"/>
      <c r="Q172" s="129"/>
      <c r="R172" s="129"/>
      <c r="S172" s="141"/>
      <c r="T172" s="139"/>
      <c r="U172" s="129"/>
      <c r="V172" s="129"/>
      <c r="W172" s="129"/>
      <c r="X172" s="129"/>
      <c r="Y172" s="129"/>
      <c r="Z172" s="115"/>
      <c r="AA172" s="129"/>
      <c r="AB172" s="149"/>
      <c r="AC172" s="129"/>
      <c r="AD172" s="129"/>
      <c r="AE172" s="129"/>
    </row>
    <row r="173" spans="3:31" x14ac:dyDescent="0.35">
      <c r="C173" s="129"/>
      <c r="D173" s="129"/>
      <c r="E173" s="129"/>
      <c r="F173" s="129"/>
      <c r="G173" s="129"/>
      <c r="H173" s="110"/>
      <c r="I173" s="129"/>
      <c r="J173" t="s">
        <v>351</v>
      </c>
      <c r="K173" s="129"/>
      <c r="L173" s="129"/>
      <c r="M173" s="129"/>
      <c r="N173" s="129"/>
      <c r="O173" s="129"/>
      <c r="P173" s="129"/>
      <c r="Q173" s="129"/>
      <c r="R173" s="129"/>
      <c r="S173" s="141"/>
      <c r="T173" s="139"/>
      <c r="U173" s="129"/>
      <c r="V173" s="129"/>
      <c r="W173" s="129"/>
      <c r="X173" s="129"/>
      <c r="Y173" s="129"/>
      <c r="Z173" s="115"/>
      <c r="AA173" s="129"/>
      <c r="AB173" s="149"/>
      <c r="AC173" s="129"/>
      <c r="AD173" s="129"/>
      <c r="AE173" s="129"/>
    </row>
    <row r="174" spans="3:31" x14ac:dyDescent="0.35">
      <c r="C174" s="129"/>
      <c r="D174" s="129"/>
      <c r="E174" s="129"/>
      <c r="F174" s="129"/>
      <c r="G174" s="129"/>
      <c r="H174" s="110"/>
      <c r="I174" s="129"/>
      <c r="J174" t="s">
        <v>351</v>
      </c>
      <c r="K174" s="129"/>
      <c r="L174" s="129"/>
      <c r="M174" s="129"/>
      <c r="N174" s="129"/>
      <c r="O174" s="129"/>
      <c r="P174" s="129"/>
      <c r="Q174" s="129"/>
      <c r="R174" s="129"/>
      <c r="S174" s="141"/>
      <c r="T174" s="139"/>
      <c r="U174" s="129"/>
      <c r="V174" s="129"/>
      <c r="W174" s="129"/>
      <c r="X174" s="129"/>
      <c r="Y174" s="129"/>
      <c r="Z174" s="115"/>
      <c r="AA174" s="129"/>
      <c r="AB174" s="149"/>
      <c r="AC174" s="129"/>
      <c r="AD174" s="129"/>
      <c r="AE174" s="129"/>
    </row>
    <row r="175" spans="3:31" x14ac:dyDescent="0.35">
      <c r="C175" s="129"/>
      <c r="D175" s="129"/>
      <c r="E175" s="129"/>
      <c r="F175" s="129"/>
      <c r="G175" s="129"/>
      <c r="H175" s="110"/>
      <c r="I175" s="129"/>
      <c r="J175" t="s">
        <v>351</v>
      </c>
      <c r="K175" s="129"/>
      <c r="L175" s="129"/>
      <c r="M175" s="129"/>
      <c r="N175" s="129"/>
      <c r="O175" s="129"/>
      <c r="P175" s="129"/>
      <c r="Q175" s="129"/>
      <c r="R175" s="129"/>
      <c r="S175" s="141"/>
      <c r="T175" s="139"/>
      <c r="U175" s="129"/>
      <c r="V175" s="129"/>
      <c r="W175" s="129"/>
      <c r="X175" s="129"/>
      <c r="Y175" s="129"/>
      <c r="Z175" s="115"/>
      <c r="AA175" s="129"/>
      <c r="AB175" s="149"/>
      <c r="AC175" s="129"/>
      <c r="AD175" s="129"/>
      <c r="AE175" s="129"/>
    </row>
    <row r="176" spans="3:31" x14ac:dyDescent="0.35">
      <c r="C176" s="129"/>
      <c r="D176" s="129"/>
      <c r="E176" s="129"/>
      <c r="F176" s="129"/>
      <c r="G176" s="129"/>
      <c r="H176" s="110"/>
      <c r="I176" s="129"/>
      <c r="J176" t="s">
        <v>351</v>
      </c>
      <c r="K176" s="129"/>
      <c r="L176" s="129"/>
      <c r="M176" s="129"/>
      <c r="N176" s="129"/>
      <c r="O176" s="129"/>
      <c r="P176" s="129"/>
      <c r="Q176" s="129"/>
      <c r="R176" s="129"/>
      <c r="S176" s="141"/>
      <c r="T176" s="139"/>
      <c r="U176" s="129"/>
      <c r="V176" s="129"/>
      <c r="W176" s="129"/>
      <c r="X176" s="129"/>
      <c r="Y176" s="129"/>
      <c r="Z176" s="115"/>
      <c r="AA176" s="129"/>
      <c r="AB176" s="149"/>
      <c r="AC176" s="129"/>
      <c r="AD176" s="129"/>
      <c r="AE176" s="129"/>
    </row>
    <row r="177" spans="3:31" x14ac:dyDescent="0.35">
      <c r="C177" s="129"/>
      <c r="D177" s="129"/>
      <c r="E177" s="129"/>
      <c r="F177" s="129"/>
      <c r="G177" s="129"/>
      <c r="H177" s="110"/>
      <c r="I177" s="129"/>
      <c r="J177" t="s">
        <v>351</v>
      </c>
      <c r="K177" s="129"/>
      <c r="L177" s="129"/>
      <c r="M177" s="129"/>
      <c r="N177" s="129"/>
      <c r="O177" s="129"/>
      <c r="P177" s="129"/>
      <c r="Q177" s="129"/>
      <c r="R177" s="129"/>
      <c r="S177" s="141"/>
      <c r="T177" s="139"/>
      <c r="U177" s="129"/>
      <c r="V177" s="129"/>
      <c r="W177" s="129"/>
      <c r="X177" s="129"/>
      <c r="Y177" s="129"/>
      <c r="Z177" s="115"/>
      <c r="AA177" s="129"/>
      <c r="AB177" s="149"/>
      <c r="AC177" s="129"/>
      <c r="AD177" s="129"/>
      <c r="AE177" s="129"/>
    </row>
    <row r="178" spans="3:31" x14ac:dyDescent="0.35">
      <c r="C178" s="129"/>
      <c r="D178" s="129"/>
      <c r="E178" s="129"/>
      <c r="F178" s="129"/>
      <c r="G178" s="129"/>
      <c r="H178" s="110"/>
      <c r="I178" s="129"/>
      <c r="J178" t="s">
        <v>351</v>
      </c>
      <c r="K178" s="129"/>
      <c r="L178" s="129"/>
      <c r="M178" s="129"/>
      <c r="N178" s="129"/>
      <c r="O178" s="129"/>
      <c r="P178" s="129"/>
      <c r="Q178" s="129"/>
      <c r="R178" s="129"/>
      <c r="S178" s="141"/>
      <c r="T178" s="139"/>
      <c r="U178" s="129"/>
      <c r="V178" s="129"/>
      <c r="W178" s="129"/>
      <c r="X178" s="129"/>
      <c r="Y178" s="129"/>
      <c r="Z178" s="115"/>
      <c r="AA178" s="129"/>
      <c r="AB178" s="149"/>
      <c r="AC178" s="129"/>
      <c r="AD178" s="129"/>
      <c r="AE178" s="129"/>
    </row>
    <row r="179" spans="3:31" x14ac:dyDescent="0.35">
      <c r="C179" s="129"/>
      <c r="D179" s="129"/>
      <c r="E179" s="129"/>
      <c r="F179" s="129"/>
      <c r="G179" s="129"/>
      <c r="H179" s="110"/>
      <c r="I179" s="129"/>
      <c r="J179" t="s">
        <v>351</v>
      </c>
      <c r="K179" s="129"/>
      <c r="L179" s="129"/>
      <c r="M179" s="129"/>
      <c r="N179" s="129"/>
      <c r="O179" s="129"/>
      <c r="P179" s="129"/>
      <c r="Q179" s="129"/>
      <c r="R179" s="129"/>
      <c r="S179" s="141"/>
      <c r="T179" s="139"/>
      <c r="U179" s="129"/>
      <c r="V179" s="129"/>
      <c r="W179" s="129"/>
      <c r="X179" s="129"/>
      <c r="Y179" s="129"/>
      <c r="Z179" s="115"/>
      <c r="AA179" s="129"/>
      <c r="AB179" s="149"/>
      <c r="AC179" s="129"/>
      <c r="AD179" s="129"/>
      <c r="AE179" s="129"/>
    </row>
    <row r="180" spans="3:31" x14ac:dyDescent="0.35">
      <c r="C180" s="129"/>
      <c r="D180" s="129"/>
      <c r="E180" s="129"/>
      <c r="F180" s="129"/>
      <c r="G180" s="129"/>
      <c r="H180" s="110"/>
      <c r="I180" s="129"/>
      <c r="J180" t="s">
        <v>351</v>
      </c>
      <c r="K180" s="129"/>
      <c r="L180" s="129"/>
      <c r="M180" s="129"/>
      <c r="N180" s="129"/>
      <c r="O180" s="129"/>
      <c r="P180" s="129"/>
      <c r="Q180" s="129"/>
      <c r="R180" s="129"/>
      <c r="S180" s="141"/>
      <c r="T180" s="139"/>
      <c r="U180" s="129"/>
      <c r="V180" s="129"/>
      <c r="W180" s="129"/>
      <c r="X180" s="129"/>
      <c r="Y180" s="129"/>
      <c r="Z180" s="115"/>
      <c r="AA180" s="129"/>
      <c r="AB180" s="149"/>
      <c r="AC180" s="129"/>
      <c r="AD180" s="129"/>
      <c r="AE180" s="129"/>
    </row>
    <row r="181" spans="3:31" x14ac:dyDescent="0.35">
      <c r="C181" s="129"/>
      <c r="D181" s="129"/>
      <c r="E181" s="129"/>
      <c r="F181" s="129"/>
      <c r="G181" s="129"/>
      <c r="H181" s="110"/>
      <c r="I181" s="129"/>
      <c r="J181" t="s">
        <v>351</v>
      </c>
      <c r="K181" s="129"/>
      <c r="L181" s="129"/>
      <c r="M181" s="129"/>
      <c r="N181" s="129"/>
      <c r="O181" s="129"/>
      <c r="P181" s="129"/>
      <c r="Q181" s="129"/>
      <c r="R181" s="129"/>
      <c r="S181" s="141"/>
      <c r="T181" s="139"/>
      <c r="U181" s="129"/>
      <c r="V181" s="129"/>
      <c r="W181" s="129"/>
      <c r="X181" s="129"/>
      <c r="Y181" s="129"/>
      <c r="Z181" s="115"/>
      <c r="AA181" s="129"/>
      <c r="AB181" s="149"/>
      <c r="AC181" s="129"/>
      <c r="AD181" s="129"/>
      <c r="AE181" s="129"/>
    </row>
    <row r="182" spans="3:31" x14ac:dyDescent="0.35">
      <c r="C182" s="129"/>
      <c r="D182" s="129"/>
      <c r="E182" s="129"/>
      <c r="F182" s="129"/>
      <c r="G182" s="129"/>
      <c r="H182" s="110"/>
      <c r="I182" s="129"/>
      <c r="J182" t="s">
        <v>351</v>
      </c>
      <c r="K182" s="129"/>
      <c r="L182" s="129"/>
      <c r="M182" s="129"/>
      <c r="N182" s="129"/>
      <c r="O182" s="129"/>
      <c r="P182" s="129"/>
      <c r="Q182" s="129"/>
      <c r="R182" s="129"/>
      <c r="S182" s="141"/>
      <c r="T182" s="139"/>
      <c r="U182" s="129"/>
      <c r="V182" s="129"/>
      <c r="W182" s="129"/>
      <c r="X182" s="129"/>
      <c r="Y182" s="129"/>
      <c r="Z182" s="115"/>
      <c r="AA182" s="129"/>
      <c r="AB182" s="149"/>
      <c r="AC182" s="129"/>
      <c r="AD182" s="129"/>
      <c r="AE182" s="129"/>
    </row>
    <row r="183" spans="3:31" x14ac:dyDescent="0.35">
      <c r="C183" s="129"/>
      <c r="D183" s="129"/>
      <c r="E183" s="129"/>
      <c r="F183" s="129"/>
      <c r="G183" s="129"/>
      <c r="H183" s="110"/>
      <c r="I183" s="129"/>
      <c r="J183" t="s">
        <v>351</v>
      </c>
      <c r="K183" s="129"/>
      <c r="L183" s="129"/>
      <c r="M183" s="129"/>
      <c r="N183" s="129"/>
      <c r="O183" s="129"/>
      <c r="P183" s="129"/>
      <c r="Q183" s="129"/>
      <c r="R183" s="129"/>
      <c r="S183" s="141"/>
      <c r="T183" s="139"/>
      <c r="U183" s="129"/>
      <c r="V183" s="129"/>
      <c r="W183" s="129"/>
      <c r="X183" s="129"/>
      <c r="Y183" s="129"/>
      <c r="Z183" s="115"/>
      <c r="AA183" s="129"/>
      <c r="AB183" s="149"/>
      <c r="AC183" s="129"/>
      <c r="AD183" s="129"/>
      <c r="AE183" s="129"/>
    </row>
    <row r="184" spans="3:31" x14ac:dyDescent="0.35">
      <c r="C184" s="129"/>
      <c r="D184" s="129"/>
      <c r="E184" s="129"/>
      <c r="F184" s="129"/>
      <c r="G184" s="129"/>
      <c r="H184" s="110"/>
      <c r="I184" s="129"/>
      <c r="J184" t="s">
        <v>351</v>
      </c>
      <c r="K184" s="129"/>
      <c r="L184" s="129"/>
      <c r="M184" s="129"/>
      <c r="N184" s="129"/>
      <c r="O184" s="129"/>
      <c r="P184" s="129"/>
      <c r="Q184" s="129"/>
      <c r="R184" s="129"/>
      <c r="S184" s="141"/>
      <c r="T184" s="139"/>
      <c r="U184" s="129"/>
      <c r="V184" s="129"/>
      <c r="W184" s="129"/>
      <c r="X184" s="129"/>
      <c r="Y184" s="129"/>
      <c r="Z184" s="115"/>
      <c r="AA184" s="129"/>
      <c r="AB184" s="149"/>
      <c r="AC184" s="129"/>
      <c r="AD184" s="129"/>
      <c r="AE184" s="129"/>
    </row>
    <row r="185" spans="3:31" x14ac:dyDescent="0.35">
      <c r="C185" s="129"/>
      <c r="D185" s="129"/>
      <c r="E185" s="129"/>
      <c r="F185" s="129"/>
      <c r="G185" s="129"/>
      <c r="H185" s="110"/>
      <c r="I185" s="129"/>
      <c r="J185" t="s">
        <v>351</v>
      </c>
      <c r="K185" s="129"/>
      <c r="L185" s="129"/>
      <c r="M185" s="129"/>
      <c r="N185" s="129"/>
      <c r="O185" s="129"/>
      <c r="P185" s="129"/>
      <c r="Q185" s="129"/>
      <c r="R185" s="129"/>
      <c r="S185" s="141"/>
      <c r="T185" s="139"/>
      <c r="U185" s="129"/>
      <c r="V185" s="129"/>
      <c r="W185" s="129"/>
      <c r="X185" s="129"/>
      <c r="Y185" s="129"/>
      <c r="Z185" s="115"/>
      <c r="AA185" s="129"/>
      <c r="AB185" s="149"/>
      <c r="AC185" s="129"/>
      <c r="AD185" s="129"/>
      <c r="AE185" s="129"/>
    </row>
    <row r="186" spans="3:31" x14ac:dyDescent="0.35">
      <c r="C186" s="129"/>
      <c r="D186" s="129"/>
      <c r="E186" s="129"/>
      <c r="F186" s="129"/>
      <c r="G186" s="129"/>
      <c r="H186" s="110"/>
      <c r="I186" s="129"/>
      <c r="J186" t="s">
        <v>351</v>
      </c>
      <c r="K186" s="129"/>
      <c r="L186" s="129"/>
      <c r="M186" s="129"/>
      <c r="N186" s="129"/>
      <c r="O186" s="129"/>
      <c r="P186" s="129"/>
      <c r="Q186" s="129"/>
      <c r="R186" s="129"/>
      <c r="S186" s="141"/>
      <c r="T186" s="139"/>
      <c r="U186" s="129"/>
      <c r="V186" s="129"/>
      <c r="W186" s="129"/>
      <c r="X186" s="129"/>
      <c r="Y186" s="129"/>
      <c r="Z186" s="115"/>
      <c r="AA186" s="129"/>
      <c r="AB186" s="149"/>
      <c r="AC186" s="129"/>
      <c r="AD186" s="129"/>
      <c r="AE186" s="129"/>
    </row>
    <row r="187" spans="3:31" x14ac:dyDescent="0.35">
      <c r="C187" s="129"/>
      <c r="D187" s="129"/>
      <c r="E187" s="129"/>
      <c r="F187" s="129"/>
      <c r="G187" s="129"/>
      <c r="H187" s="110"/>
      <c r="I187" s="129"/>
      <c r="J187" t="s">
        <v>351</v>
      </c>
      <c r="K187" s="129"/>
      <c r="L187" s="129"/>
      <c r="M187" s="129"/>
      <c r="N187" s="129"/>
      <c r="O187" s="129"/>
      <c r="P187" s="129"/>
      <c r="Q187" s="129"/>
      <c r="R187" s="129"/>
      <c r="S187" s="141"/>
      <c r="T187" s="139"/>
      <c r="U187" s="129"/>
      <c r="V187" s="129"/>
      <c r="W187" s="129"/>
      <c r="X187" s="129"/>
      <c r="Y187" s="129"/>
      <c r="Z187" s="115"/>
      <c r="AA187" s="129"/>
      <c r="AB187" s="149"/>
      <c r="AC187" s="129"/>
      <c r="AD187" s="129"/>
      <c r="AE187" s="129"/>
    </row>
    <row r="188" spans="3:31" x14ac:dyDescent="0.35">
      <c r="C188" s="129"/>
      <c r="D188" s="129"/>
      <c r="E188" s="129"/>
      <c r="F188" s="129"/>
      <c r="G188" s="129"/>
      <c r="H188" s="110"/>
      <c r="I188" s="129"/>
      <c r="J188" t="s">
        <v>351</v>
      </c>
      <c r="K188" s="129"/>
      <c r="L188" s="129"/>
      <c r="M188" s="129"/>
      <c r="N188" s="129"/>
      <c r="O188" s="129"/>
      <c r="P188" s="129"/>
      <c r="Q188" s="129"/>
      <c r="R188" s="129"/>
      <c r="S188" s="141"/>
      <c r="T188" s="139"/>
      <c r="U188" s="129"/>
      <c r="V188" s="129"/>
      <c r="W188" s="129"/>
      <c r="X188" s="129"/>
      <c r="Y188" s="129"/>
      <c r="Z188" s="115"/>
      <c r="AA188" s="129"/>
      <c r="AB188" s="149"/>
      <c r="AC188" s="129"/>
      <c r="AD188" s="129"/>
      <c r="AE188" s="129"/>
    </row>
    <row r="189" spans="3:31" x14ac:dyDescent="0.35">
      <c r="C189" s="129"/>
      <c r="D189" s="129"/>
      <c r="E189" s="129"/>
      <c r="F189" s="129"/>
      <c r="G189" s="129"/>
      <c r="H189" s="110"/>
      <c r="I189" s="129"/>
      <c r="J189" t="s">
        <v>351</v>
      </c>
      <c r="K189" s="129"/>
      <c r="L189" s="129"/>
      <c r="M189" s="129"/>
      <c r="N189" s="129"/>
      <c r="O189" s="129"/>
      <c r="P189" s="129"/>
      <c r="Q189" s="129"/>
      <c r="R189" s="129"/>
      <c r="S189" s="141"/>
      <c r="T189" s="139"/>
      <c r="U189" s="129"/>
      <c r="V189" s="129"/>
      <c r="W189" s="129"/>
      <c r="X189" s="129"/>
      <c r="Y189" s="129"/>
      <c r="Z189" s="115"/>
      <c r="AA189" s="129"/>
      <c r="AB189" s="149"/>
      <c r="AC189" s="129"/>
      <c r="AD189" s="129"/>
      <c r="AE189" s="129"/>
    </row>
    <row r="190" spans="3:31" x14ac:dyDescent="0.35">
      <c r="C190" s="129"/>
      <c r="D190" s="129"/>
      <c r="E190" s="129"/>
      <c r="F190" s="129"/>
      <c r="G190" s="129"/>
      <c r="H190" s="110"/>
      <c r="I190" s="129"/>
      <c r="J190" t="s">
        <v>351</v>
      </c>
      <c r="K190" s="129"/>
      <c r="L190" s="129"/>
      <c r="M190" s="129"/>
      <c r="N190" s="129"/>
      <c r="O190" s="129"/>
      <c r="P190" s="129"/>
      <c r="Q190" s="129"/>
      <c r="R190" s="129"/>
      <c r="S190" s="141"/>
      <c r="T190" s="139"/>
      <c r="U190" s="129"/>
      <c r="V190" s="129"/>
      <c r="W190" s="129"/>
      <c r="X190" s="129"/>
      <c r="Y190" s="129"/>
      <c r="Z190" s="115"/>
      <c r="AA190" s="129"/>
      <c r="AB190" s="149"/>
      <c r="AC190" s="129"/>
      <c r="AD190" s="129"/>
      <c r="AE190" s="129"/>
    </row>
    <row r="191" spans="3:31" x14ac:dyDescent="0.35">
      <c r="C191" s="129"/>
      <c r="D191" s="129"/>
      <c r="E191" s="129"/>
      <c r="F191" s="129"/>
      <c r="G191" s="129"/>
      <c r="H191" s="110"/>
      <c r="I191" s="129"/>
      <c r="J191" t="s">
        <v>351</v>
      </c>
      <c r="K191" s="129"/>
      <c r="L191" s="129"/>
      <c r="M191" s="129"/>
      <c r="N191" s="129"/>
      <c r="O191" s="129"/>
      <c r="P191" s="129"/>
      <c r="Q191" s="129"/>
      <c r="R191" s="129"/>
      <c r="S191" s="141"/>
      <c r="T191" s="139"/>
      <c r="U191" s="129"/>
      <c r="V191" s="129"/>
      <c r="W191" s="129"/>
      <c r="X191" s="129"/>
      <c r="Y191" s="129"/>
      <c r="Z191" s="115"/>
      <c r="AA191" s="129"/>
      <c r="AB191" s="149"/>
      <c r="AC191" s="129"/>
      <c r="AD191" s="129"/>
      <c r="AE191" s="129"/>
    </row>
    <row r="192" spans="3:31" x14ac:dyDescent="0.35">
      <c r="C192" s="129"/>
      <c r="D192" s="129"/>
      <c r="E192" s="129"/>
      <c r="F192" s="129"/>
      <c r="G192" s="129"/>
      <c r="H192" s="110"/>
      <c r="I192" s="129"/>
      <c r="J192" t="s">
        <v>351</v>
      </c>
      <c r="K192" s="129"/>
      <c r="L192" s="129"/>
      <c r="M192" s="129"/>
      <c r="N192" s="129"/>
      <c r="O192" s="129"/>
      <c r="P192" s="129"/>
      <c r="Q192" s="129"/>
      <c r="R192" s="129"/>
      <c r="S192" s="141"/>
      <c r="T192" s="139"/>
      <c r="U192" s="129"/>
      <c r="V192" s="129"/>
      <c r="W192" s="129"/>
      <c r="X192" s="129"/>
      <c r="Y192" s="129"/>
      <c r="Z192" s="115"/>
      <c r="AA192" s="129"/>
      <c r="AB192" s="149"/>
      <c r="AC192" s="129"/>
      <c r="AD192" s="129"/>
      <c r="AE192" s="129"/>
    </row>
    <row r="193" spans="3:31" x14ac:dyDescent="0.35">
      <c r="C193" s="129"/>
      <c r="D193" s="129"/>
      <c r="E193" s="129"/>
      <c r="F193" s="129"/>
      <c r="G193" s="129"/>
      <c r="H193" s="110"/>
      <c r="I193" s="129"/>
      <c r="J193" t="s">
        <v>351</v>
      </c>
      <c r="K193" s="129"/>
      <c r="L193" s="129"/>
      <c r="M193" s="129"/>
      <c r="N193" s="129"/>
      <c r="O193" s="129"/>
      <c r="P193" s="129"/>
      <c r="Q193" s="129"/>
      <c r="R193" s="129"/>
      <c r="S193" s="141"/>
      <c r="T193" s="139"/>
      <c r="U193" s="129"/>
      <c r="V193" s="129"/>
      <c r="W193" s="129"/>
      <c r="X193" s="129"/>
      <c r="Y193" s="129"/>
      <c r="Z193" s="115"/>
      <c r="AA193" s="129"/>
      <c r="AB193" s="149"/>
      <c r="AC193" s="129"/>
      <c r="AD193" s="129"/>
      <c r="AE193" s="129"/>
    </row>
    <row r="194" spans="3:31" x14ac:dyDescent="0.35">
      <c r="C194" s="129"/>
      <c r="D194" s="129"/>
      <c r="E194" s="129"/>
      <c r="F194" s="129"/>
      <c r="G194" s="129"/>
      <c r="H194" s="110"/>
      <c r="I194" s="129"/>
      <c r="J194" t="s">
        <v>351</v>
      </c>
      <c r="K194" s="129"/>
      <c r="L194" s="129"/>
      <c r="M194" s="129"/>
      <c r="N194" s="129"/>
      <c r="O194" s="129"/>
      <c r="P194" s="129"/>
      <c r="Q194" s="129"/>
      <c r="R194" s="129"/>
      <c r="S194" s="141"/>
      <c r="T194" s="139"/>
      <c r="U194" s="129"/>
      <c r="V194" s="129"/>
      <c r="W194" s="129"/>
      <c r="X194" s="129"/>
      <c r="Y194" s="129"/>
      <c r="Z194" s="115"/>
      <c r="AA194" s="129"/>
      <c r="AB194" s="149"/>
      <c r="AC194" s="129"/>
      <c r="AD194" s="129"/>
      <c r="AE194" s="129"/>
    </row>
    <row r="195" spans="3:31" x14ac:dyDescent="0.35">
      <c r="C195" s="129"/>
      <c r="D195" s="129"/>
      <c r="E195" s="129"/>
      <c r="F195" s="129"/>
      <c r="G195" s="129"/>
      <c r="H195" s="110"/>
      <c r="I195" s="129"/>
      <c r="J195" t="s">
        <v>351</v>
      </c>
      <c r="K195" s="129"/>
      <c r="L195" s="129"/>
      <c r="M195" s="129"/>
      <c r="N195" s="129"/>
      <c r="O195" s="129"/>
      <c r="P195" s="129"/>
      <c r="Q195" s="129"/>
      <c r="R195" s="129"/>
      <c r="S195" s="141"/>
      <c r="T195" s="139"/>
      <c r="U195" s="129"/>
      <c r="V195" s="129"/>
      <c r="W195" s="129"/>
      <c r="X195" s="129"/>
      <c r="Y195" s="129"/>
      <c r="Z195" s="115"/>
      <c r="AA195" s="129"/>
      <c r="AB195" s="149"/>
      <c r="AC195" s="129"/>
      <c r="AD195" s="129"/>
      <c r="AE195" s="129"/>
    </row>
    <row r="196" spans="3:31" x14ac:dyDescent="0.35">
      <c r="C196" s="129"/>
      <c r="D196" s="129"/>
      <c r="E196" s="129"/>
      <c r="F196" s="129"/>
      <c r="G196" s="129"/>
      <c r="H196" s="110"/>
      <c r="I196" s="129"/>
      <c r="J196" t="s">
        <v>351</v>
      </c>
      <c r="K196" s="129"/>
      <c r="L196" s="129"/>
      <c r="M196" s="129"/>
      <c r="N196" s="129"/>
      <c r="O196" s="129"/>
      <c r="P196" s="129"/>
      <c r="Q196" s="129"/>
      <c r="R196" s="129"/>
      <c r="S196" s="141"/>
      <c r="T196" s="139"/>
      <c r="U196" s="129"/>
      <c r="V196" s="129"/>
      <c r="W196" s="129"/>
      <c r="X196" s="129"/>
      <c r="Y196" s="129"/>
      <c r="Z196" s="115"/>
      <c r="AA196" s="129"/>
      <c r="AB196" s="149"/>
      <c r="AC196" s="129"/>
      <c r="AD196" s="129"/>
      <c r="AE196" s="129"/>
    </row>
    <row r="197" spans="3:31" x14ac:dyDescent="0.35">
      <c r="C197" s="129"/>
      <c r="D197" s="129"/>
      <c r="E197" s="129"/>
      <c r="F197" s="129"/>
      <c r="G197" s="129"/>
      <c r="H197" s="110"/>
      <c r="I197" s="129"/>
      <c r="J197" t="s">
        <v>351</v>
      </c>
      <c r="K197" s="129"/>
      <c r="L197" s="129"/>
      <c r="M197" s="129"/>
      <c r="N197" s="129"/>
      <c r="O197" s="129"/>
      <c r="P197" s="129"/>
      <c r="Q197" s="129"/>
      <c r="R197" s="129"/>
      <c r="S197" s="141"/>
      <c r="T197" s="139"/>
      <c r="U197" s="129"/>
      <c r="V197" s="129"/>
      <c r="W197" s="129"/>
      <c r="X197" s="129"/>
      <c r="Y197" s="129"/>
      <c r="Z197" s="115"/>
      <c r="AA197" s="129"/>
      <c r="AB197" s="149"/>
      <c r="AC197" s="129"/>
      <c r="AD197" s="129"/>
      <c r="AE197" s="129"/>
    </row>
    <row r="198" spans="3:31" x14ac:dyDescent="0.35">
      <c r="C198" s="129"/>
      <c r="D198" s="129"/>
      <c r="E198" s="129"/>
      <c r="F198" s="129"/>
      <c r="G198" s="129"/>
      <c r="H198" s="110"/>
      <c r="I198" s="129"/>
      <c r="J198" t="s">
        <v>351</v>
      </c>
      <c r="K198" s="129"/>
      <c r="L198" s="129"/>
      <c r="M198" s="129"/>
      <c r="N198" s="129"/>
      <c r="O198" s="129"/>
      <c r="P198" s="129"/>
      <c r="Q198" s="129"/>
      <c r="R198" s="129"/>
      <c r="S198" s="141"/>
      <c r="T198" s="139"/>
      <c r="U198" s="129"/>
      <c r="V198" s="129"/>
      <c r="W198" s="129"/>
      <c r="X198" s="129"/>
      <c r="Y198" s="129"/>
      <c r="Z198" s="115"/>
      <c r="AA198" s="129"/>
      <c r="AB198" s="149"/>
      <c r="AC198" s="129"/>
      <c r="AD198" s="129"/>
      <c r="AE198" s="129"/>
    </row>
    <row r="199" spans="3:31" x14ac:dyDescent="0.35">
      <c r="C199" s="129"/>
      <c r="D199" s="129"/>
      <c r="E199" s="129"/>
      <c r="F199" s="129"/>
      <c r="G199" s="129"/>
      <c r="H199" s="110"/>
      <c r="I199" s="129"/>
      <c r="J199" t="s">
        <v>351</v>
      </c>
      <c r="K199" s="129"/>
      <c r="L199" s="129"/>
      <c r="M199" s="129"/>
      <c r="N199" s="129"/>
      <c r="O199" s="129"/>
      <c r="P199" s="129"/>
      <c r="Q199" s="129"/>
      <c r="R199" s="129"/>
      <c r="S199" s="141"/>
      <c r="T199" s="139"/>
      <c r="U199" s="129"/>
      <c r="V199" s="129"/>
      <c r="W199" s="129"/>
      <c r="X199" s="129"/>
      <c r="Y199" s="129"/>
      <c r="Z199" s="115"/>
      <c r="AA199" s="129"/>
      <c r="AB199" s="149"/>
      <c r="AC199" s="129"/>
      <c r="AD199" s="129"/>
      <c r="AE199" s="129"/>
    </row>
    <row r="200" spans="3:31" x14ac:dyDescent="0.35">
      <c r="C200" s="129"/>
      <c r="D200" s="129"/>
      <c r="E200" s="129"/>
      <c r="F200" s="129"/>
      <c r="G200" s="129"/>
      <c r="H200" s="110"/>
      <c r="I200" s="129"/>
      <c r="J200" t="s">
        <v>351</v>
      </c>
      <c r="K200" s="129"/>
      <c r="L200" s="129"/>
      <c r="M200" s="129"/>
      <c r="N200" s="129"/>
      <c r="O200" s="129"/>
      <c r="P200" s="129"/>
      <c r="Q200" s="129"/>
      <c r="R200" s="129"/>
      <c r="S200" s="141"/>
      <c r="T200" s="139"/>
      <c r="U200" s="129"/>
      <c r="V200" s="129"/>
      <c r="W200" s="129"/>
      <c r="X200" s="129"/>
      <c r="Y200" s="129"/>
      <c r="Z200" s="115"/>
      <c r="AA200" s="129"/>
      <c r="AB200" s="149"/>
      <c r="AC200" s="129"/>
      <c r="AD200" s="129"/>
      <c r="AE200" s="129"/>
    </row>
    <row r="201" spans="3:31" x14ac:dyDescent="0.35">
      <c r="C201" s="129"/>
      <c r="D201" s="129"/>
      <c r="E201" s="129"/>
      <c r="F201" s="129"/>
      <c r="G201" s="129"/>
      <c r="H201" s="110"/>
      <c r="I201" s="129"/>
      <c r="J201" t="s">
        <v>351</v>
      </c>
      <c r="K201" s="129"/>
      <c r="L201" s="129"/>
      <c r="M201" s="129"/>
      <c r="N201" s="129"/>
      <c r="O201" s="129"/>
      <c r="P201" s="129"/>
      <c r="Q201" s="129"/>
      <c r="R201" s="129"/>
      <c r="S201" s="141"/>
      <c r="T201" s="139"/>
      <c r="U201" s="129"/>
      <c r="V201" s="129"/>
      <c r="W201" s="129"/>
      <c r="X201" s="129"/>
      <c r="Y201" s="129"/>
      <c r="Z201" s="115"/>
      <c r="AA201" s="129"/>
      <c r="AB201" s="149"/>
      <c r="AC201" s="129"/>
      <c r="AD201" s="129"/>
      <c r="AE201" s="129"/>
    </row>
    <row r="202" spans="3:31" x14ac:dyDescent="0.35">
      <c r="C202" s="129"/>
      <c r="D202" s="129"/>
      <c r="E202" s="129"/>
      <c r="F202" s="129"/>
      <c r="G202" s="129"/>
      <c r="H202" s="110"/>
      <c r="I202" s="129"/>
      <c r="J202" t="s">
        <v>351</v>
      </c>
      <c r="K202" s="129"/>
      <c r="L202" s="129"/>
      <c r="M202" s="129"/>
      <c r="N202" s="129"/>
      <c r="O202" s="129"/>
      <c r="P202" s="129"/>
      <c r="Q202" s="129"/>
      <c r="R202" s="129"/>
      <c r="S202" s="141"/>
      <c r="T202" s="139"/>
      <c r="U202" s="129"/>
      <c r="V202" s="129"/>
      <c r="W202" s="129"/>
      <c r="X202" s="129"/>
      <c r="Y202" s="129"/>
      <c r="Z202" s="115"/>
      <c r="AA202" s="129"/>
      <c r="AB202" s="149"/>
      <c r="AC202" s="129"/>
      <c r="AD202" s="129"/>
      <c r="AE202" s="129"/>
    </row>
    <row r="203" spans="3:31" x14ac:dyDescent="0.35">
      <c r="C203" s="129"/>
      <c r="D203" s="129"/>
      <c r="E203" s="129"/>
      <c r="F203" s="129"/>
      <c r="G203" s="129"/>
      <c r="H203" s="110"/>
      <c r="I203" s="129"/>
      <c r="J203" t="s">
        <v>351</v>
      </c>
      <c r="K203" s="129"/>
      <c r="L203" s="129"/>
      <c r="M203" s="129"/>
      <c r="N203" s="129"/>
      <c r="O203" s="129"/>
      <c r="P203" s="129"/>
      <c r="Q203" s="129"/>
      <c r="R203" s="129"/>
      <c r="S203" s="141"/>
      <c r="T203" s="139"/>
      <c r="U203" s="129"/>
      <c r="V203" s="129"/>
      <c r="W203" s="129"/>
      <c r="X203" s="129"/>
      <c r="Y203" s="129"/>
      <c r="Z203" s="115"/>
      <c r="AA203" s="129"/>
      <c r="AB203" s="149"/>
      <c r="AC203" s="129"/>
      <c r="AD203" s="129"/>
      <c r="AE203" s="129"/>
    </row>
    <row r="204" spans="3:31" x14ac:dyDescent="0.35">
      <c r="C204" s="129"/>
      <c r="D204" s="129"/>
      <c r="E204" s="129"/>
      <c r="F204" s="129"/>
      <c r="G204" s="129"/>
      <c r="H204" s="110"/>
      <c r="I204" s="129"/>
      <c r="J204" t="s">
        <v>351</v>
      </c>
      <c r="K204" s="129"/>
      <c r="L204" s="129"/>
      <c r="M204" s="129"/>
      <c r="N204" s="129"/>
      <c r="O204" s="129"/>
      <c r="P204" s="129"/>
      <c r="Q204" s="129"/>
      <c r="R204" s="129"/>
      <c r="S204" s="141"/>
      <c r="T204" s="139"/>
      <c r="U204" s="129"/>
      <c r="V204" s="129"/>
      <c r="W204" s="129"/>
      <c r="X204" s="129"/>
      <c r="Y204" s="129"/>
      <c r="Z204" s="115"/>
      <c r="AA204" s="129"/>
      <c r="AB204" s="149"/>
      <c r="AC204" s="129"/>
      <c r="AD204" s="129"/>
      <c r="AE204" s="129"/>
    </row>
    <row r="205" spans="3:31" x14ac:dyDescent="0.35">
      <c r="C205" s="129"/>
      <c r="D205" s="129"/>
      <c r="E205" s="129"/>
      <c r="F205" s="129"/>
      <c r="G205" s="129"/>
      <c r="H205" s="110"/>
      <c r="I205" s="129"/>
      <c r="J205" t="s">
        <v>351</v>
      </c>
      <c r="K205" s="129"/>
      <c r="L205" s="129"/>
      <c r="M205" s="129"/>
      <c r="N205" s="129"/>
      <c r="O205" s="129"/>
      <c r="P205" s="129"/>
      <c r="Q205" s="129"/>
      <c r="R205" s="129"/>
      <c r="S205" s="141"/>
      <c r="T205" s="139"/>
      <c r="U205" s="129"/>
      <c r="V205" s="129"/>
      <c r="W205" s="129"/>
      <c r="X205" s="129"/>
      <c r="Y205" s="129"/>
      <c r="Z205" s="115"/>
      <c r="AA205" s="129"/>
      <c r="AB205" s="149"/>
      <c r="AC205" s="129"/>
      <c r="AD205" s="129"/>
      <c r="AE205" s="129"/>
    </row>
    <row r="206" spans="3:31" x14ac:dyDescent="0.35">
      <c r="C206" s="129"/>
      <c r="D206" s="129"/>
      <c r="E206" s="129"/>
      <c r="F206" s="129"/>
      <c r="G206" s="129"/>
      <c r="H206" s="110"/>
      <c r="I206" s="129"/>
      <c r="J206" t="s">
        <v>351</v>
      </c>
      <c r="K206" s="129"/>
      <c r="L206" s="129"/>
      <c r="M206" s="129"/>
      <c r="N206" s="129"/>
      <c r="O206" s="129"/>
      <c r="P206" s="129"/>
      <c r="Q206" s="129"/>
      <c r="R206" s="129"/>
      <c r="S206" s="141"/>
      <c r="T206" s="139"/>
      <c r="U206" s="129"/>
      <c r="V206" s="129"/>
      <c r="W206" s="129"/>
      <c r="X206" s="129"/>
      <c r="Y206" s="129"/>
      <c r="Z206" s="115"/>
      <c r="AA206" s="129"/>
      <c r="AB206" s="149"/>
      <c r="AC206" s="129"/>
      <c r="AD206" s="129"/>
      <c r="AE206" s="129"/>
    </row>
    <row r="207" spans="3:31" x14ac:dyDescent="0.35">
      <c r="C207" s="129"/>
      <c r="D207" s="129"/>
      <c r="E207" s="129"/>
      <c r="F207" s="129"/>
      <c r="G207" s="129"/>
      <c r="H207" s="110"/>
      <c r="I207" s="129"/>
      <c r="J207" t="s">
        <v>351</v>
      </c>
      <c r="K207" s="129"/>
      <c r="L207" s="129"/>
      <c r="M207" s="129"/>
      <c r="N207" s="129"/>
      <c r="O207" s="129"/>
      <c r="P207" s="129"/>
      <c r="Q207" s="129"/>
      <c r="R207" s="129"/>
      <c r="S207" s="141"/>
      <c r="T207" s="139"/>
      <c r="U207" s="129"/>
      <c r="V207" s="129"/>
      <c r="W207" s="129"/>
      <c r="X207" s="129"/>
      <c r="Y207" s="129"/>
      <c r="Z207" s="115"/>
      <c r="AA207" s="129"/>
      <c r="AB207" s="149"/>
      <c r="AC207" s="129"/>
      <c r="AD207" s="129"/>
      <c r="AE207" s="129"/>
    </row>
    <row r="208" spans="3:31" x14ac:dyDescent="0.35">
      <c r="C208" s="129"/>
      <c r="D208" s="129"/>
      <c r="E208" s="129"/>
      <c r="F208" s="129"/>
      <c r="G208" s="129"/>
      <c r="H208" s="110"/>
      <c r="I208" s="129"/>
      <c r="J208" t="s">
        <v>351</v>
      </c>
      <c r="K208" s="129"/>
      <c r="L208" s="129"/>
      <c r="M208" s="129"/>
      <c r="N208" s="129"/>
      <c r="O208" s="129"/>
      <c r="P208" s="129"/>
      <c r="Q208" s="129"/>
      <c r="R208" s="129"/>
      <c r="S208" s="141"/>
      <c r="T208" s="139"/>
      <c r="U208" s="129"/>
      <c r="V208" s="129"/>
      <c r="W208" s="129"/>
      <c r="X208" s="129"/>
      <c r="Y208" s="129"/>
      <c r="Z208" s="115"/>
      <c r="AA208" s="129"/>
      <c r="AB208" s="149"/>
      <c r="AC208" s="129"/>
      <c r="AD208" s="129"/>
      <c r="AE208" s="129"/>
    </row>
    <row r="209" spans="3:31" x14ac:dyDescent="0.35">
      <c r="C209" s="129"/>
      <c r="D209" s="129"/>
      <c r="E209" s="129"/>
      <c r="F209" s="129"/>
      <c r="G209" s="129"/>
      <c r="H209" s="110"/>
      <c r="I209" s="129"/>
      <c r="J209" t="s">
        <v>351</v>
      </c>
      <c r="K209" s="129"/>
      <c r="L209" s="129"/>
      <c r="M209" s="129"/>
      <c r="N209" s="129"/>
      <c r="O209" s="129"/>
      <c r="P209" s="129"/>
      <c r="Q209" s="129"/>
      <c r="R209" s="129"/>
      <c r="S209" s="141"/>
      <c r="T209" s="139"/>
      <c r="U209" s="129"/>
      <c r="V209" s="129"/>
      <c r="W209" s="129"/>
      <c r="X209" s="129"/>
      <c r="Y209" s="129"/>
      <c r="Z209" s="115"/>
      <c r="AA209" s="129"/>
      <c r="AB209" s="149"/>
      <c r="AC209" s="129"/>
      <c r="AD209" s="129"/>
      <c r="AE209" s="129"/>
    </row>
    <row r="210" spans="3:31" x14ac:dyDescent="0.35">
      <c r="C210" s="129"/>
      <c r="D210" s="129"/>
      <c r="E210" s="129"/>
      <c r="F210" s="129"/>
      <c r="G210" s="129"/>
      <c r="H210" s="110"/>
      <c r="I210" s="129"/>
      <c r="J210" t="s">
        <v>351</v>
      </c>
      <c r="K210" s="129"/>
      <c r="L210" s="129"/>
      <c r="M210" s="129"/>
      <c r="N210" s="129"/>
      <c r="O210" s="129"/>
      <c r="P210" s="129"/>
      <c r="Q210" s="129"/>
      <c r="R210" s="129"/>
      <c r="S210" s="141"/>
      <c r="T210" s="139"/>
      <c r="U210" s="129"/>
      <c r="V210" s="129"/>
      <c r="W210" s="129"/>
      <c r="X210" s="129"/>
      <c r="Y210" s="129"/>
      <c r="Z210" s="115"/>
      <c r="AA210" s="129"/>
      <c r="AB210" s="149"/>
      <c r="AC210" s="129"/>
      <c r="AD210" s="129"/>
      <c r="AE210" s="129"/>
    </row>
    <row r="211" spans="3:31" x14ac:dyDescent="0.35">
      <c r="C211" s="129"/>
      <c r="D211" s="129"/>
      <c r="E211" s="129"/>
      <c r="F211" s="129"/>
      <c r="G211" s="129"/>
      <c r="H211" s="110"/>
      <c r="I211" s="129"/>
      <c r="J211" t="s">
        <v>351</v>
      </c>
      <c r="K211" s="129"/>
      <c r="L211" s="129"/>
      <c r="M211" s="129"/>
      <c r="N211" s="129"/>
      <c r="O211" s="129"/>
      <c r="P211" s="129"/>
      <c r="Q211" s="129"/>
      <c r="R211" s="129"/>
      <c r="S211" s="141"/>
      <c r="T211" s="139"/>
      <c r="U211" s="129"/>
      <c r="V211" s="129"/>
      <c r="W211" s="129"/>
      <c r="X211" s="129"/>
      <c r="Y211" s="129"/>
      <c r="Z211" s="115"/>
      <c r="AA211" s="129"/>
      <c r="AB211" s="149"/>
      <c r="AC211" s="129"/>
      <c r="AD211" s="129"/>
      <c r="AE211" s="129"/>
    </row>
    <row r="212" spans="3:31" x14ac:dyDescent="0.35">
      <c r="C212" s="129"/>
      <c r="D212" s="129"/>
      <c r="E212" s="129"/>
      <c r="F212" s="129"/>
      <c r="G212" s="129"/>
      <c r="H212" s="110"/>
      <c r="I212" s="129"/>
      <c r="J212" t="s">
        <v>351</v>
      </c>
      <c r="K212" s="129"/>
      <c r="L212" s="129"/>
      <c r="M212" s="129"/>
      <c r="N212" s="129"/>
      <c r="O212" s="129"/>
      <c r="P212" s="129"/>
      <c r="Q212" s="129"/>
      <c r="R212" s="129"/>
      <c r="S212" s="141"/>
      <c r="T212" s="139"/>
      <c r="U212" s="129"/>
      <c r="V212" s="129"/>
      <c r="W212" s="129"/>
      <c r="X212" s="129"/>
      <c r="Y212" s="129"/>
      <c r="Z212" s="115"/>
      <c r="AA212" s="129"/>
      <c r="AB212" s="149"/>
      <c r="AC212" s="129"/>
      <c r="AD212" s="129"/>
      <c r="AE212" s="129"/>
    </row>
    <row r="213" spans="3:31" x14ac:dyDescent="0.35">
      <c r="C213" s="129"/>
      <c r="D213" s="129"/>
      <c r="E213" s="129"/>
      <c r="F213" s="129"/>
      <c r="G213" s="129"/>
      <c r="H213" s="110"/>
      <c r="I213" s="129"/>
      <c r="J213" t="s">
        <v>351</v>
      </c>
      <c r="K213" s="129"/>
      <c r="L213" s="129"/>
      <c r="M213" s="129"/>
      <c r="N213" s="129"/>
      <c r="O213" s="129"/>
      <c r="P213" s="129"/>
      <c r="Q213" s="129"/>
      <c r="R213" s="129"/>
      <c r="S213" s="141"/>
      <c r="T213" s="139"/>
      <c r="U213" s="129"/>
      <c r="V213" s="129"/>
      <c r="W213" s="129"/>
      <c r="X213" s="129"/>
      <c r="Y213" s="129"/>
      <c r="Z213" s="115"/>
      <c r="AA213" s="129"/>
      <c r="AB213" s="149"/>
      <c r="AC213" s="129"/>
      <c r="AD213" s="129"/>
      <c r="AE213" s="129"/>
    </row>
    <row r="214" spans="3:31" x14ac:dyDescent="0.35">
      <c r="C214" s="129"/>
      <c r="D214" s="129"/>
      <c r="E214" s="129"/>
      <c r="F214" s="129"/>
      <c r="G214" s="129"/>
      <c r="H214" s="110"/>
      <c r="I214" s="129"/>
      <c r="J214" t="s">
        <v>351</v>
      </c>
      <c r="K214" s="129"/>
      <c r="L214" s="129"/>
      <c r="M214" s="129"/>
      <c r="N214" s="129"/>
      <c r="O214" s="129"/>
      <c r="P214" s="129"/>
      <c r="Q214" s="129"/>
      <c r="R214" s="129"/>
      <c r="S214" s="141"/>
      <c r="T214" s="139"/>
      <c r="U214" s="129"/>
      <c r="V214" s="129"/>
      <c r="W214" s="129"/>
      <c r="X214" s="129"/>
      <c r="Y214" s="129"/>
      <c r="Z214" s="115"/>
      <c r="AA214" s="129"/>
      <c r="AB214" s="149"/>
      <c r="AC214" s="129"/>
      <c r="AD214" s="129"/>
      <c r="AE214" s="129"/>
    </row>
    <row r="215" spans="3:31" x14ac:dyDescent="0.35">
      <c r="C215" s="129"/>
      <c r="D215" s="129"/>
      <c r="E215" s="129"/>
      <c r="F215" s="129"/>
      <c r="G215" s="129"/>
      <c r="H215" s="110"/>
      <c r="I215" s="129"/>
      <c r="J215" t="s">
        <v>351</v>
      </c>
      <c r="K215" s="129"/>
      <c r="L215" s="129"/>
      <c r="M215" s="129"/>
      <c r="N215" s="129"/>
      <c r="O215" s="129"/>
      <c r="P215" s="129"/>
      <c r="Q215" s="129"/>
      <c r="R215" s="129"/>
      <c r="S215" s="141"/>
      <c r="T215" s="139"/>
      <c r="U215" s="129"/>
      <c r="V215" s="129"/>
      <c r="W215" s="129"/>
      <c r="X215" s="129"/>
      <c r="Y215" s="129"/>
      <c r="Z215" s="115"/>
      <c r="AA215" s="129"/>
      <c r="AB215" s="149"/>
      <c r="AC215" s="129"/>
      <c r="AD215" s="129"/>
      <c r="AE215" s="129"/>
    </row>
    <row r="216" spans="3:31" x14ac:dyDescent="0.35">
      <c r="C216" s="129"/>
      <c r="D216" s="129"/>
      <c r="E216" s="129"/>
      <c r="F216" s="129"/>
      <c r="G216" s="129"/>
      <c r="H216" s="110"/>
      <c r="I216" s="129"/>
      <c r="J216" t="s">
        <v>351</v>
      </c>
      <c r="K216" s="129"/>
      <c r="L216" s="129"/>
      <c r="M216" s="129"/>
      <c r="N216" s="129"/>
      <c r="O216" s="129"/>
      <c r="P216" s="129"/>
      <c r="Q216" s="129"/>
      <c r="R216" s="129"/>
      <c r="S216" s="141"/>
      <c r="T216" s="139"/>
      <c r="U216" s="129"/>
      <c r="V216" s="129"/>
      <c r="W216" s="129"/>
      <c r="X216" s="129"/>
      <c r="Y216" s="129"/>
      <c r="Z216" s="115"/>
      <c r="AA216" s="129"/>
      <c r="AB216" s="149"/>
      <c r="AC216" s="129"/>
      <c r="AD216" s="129"/>
      <c r="AE216" s="129"/>
    </row>
    <row r="217" spans="3:31" x14ac:dyDescent="0.35">
      <c r="C217" s="129"/>
      <c r="D217" s="129"/>
      <c r="E217" s="129"/>
      <c r="F217" s="129"/>
      <c r="G217" s="129"/>
      <c r="H217" s="110"/>
      <c r="I217" s="129"/>
      <c r="J217" t="s">
        <v>351</v>
      </c>
      <c r="K217" s="129"/>
      <c r="L217" s="129"/>
      <c r="M217" s="129"/>
      <c r="N217" s="129"/>
      <c r="O217" s="129"/>
      <c r="P217" s="129"/>
      <c r="Q217" s="129"/>
      <c r="R217" s="129"/>
      <c r="S217" s="141"/>
      <c r="T217" s="139"/>
      <c r="U217" s="129"/>
      <c r="V217" s="129"/>
      <c r="W217" s="129"/>
      <c r="X217" s="129"/>
      <c r="Y217" s="129"/>
      <c r="Z217" s="115"/>
      <c r="AA217" s="129"/>
      <c r="AB217" s="149"/>
      <c r="AC217" s="129"/>
      <c r="AD217" s="129"/>
      <c r="AE217" s="129"/>
    </row>
    <row r="218" spans="3:31" x14ac:dyDescent="0.35">
      <c r="C218" s="129"/>
      <c r="D218" s="129"/>
      <c r="E218" s="129"/>
      <c r="F218" s="129"/>
      <c r="G218" s="129"/>
      <c r="H218" s="110"/>
      <c r="I218" s="129"/>
      <c r="J218" t="s">
        <v>351</v>
      </c>
      <c r="K218" s="129"/>
      <c r="L218" s="129"/>
      <c r="M218" s="129"/>
      <c r="N218" s="129"/>
      <c r="O218" s="129"/>
      <c r="P218" s="129"/>
      <c r="Q218" s="129"/>
      <c r="R218" s="129"/>
      <c r="S218" s="141"/>
      <c r="T218" s="139"/>
      <c r="U218" s="129"/>
      <c r="V218" s="129"/>
      <c r="W218" s="129"/>
      <c r="X218" s="129"/>
      <c r="Y218" s="129"/>
      <c r="Z218" s="115"/>
      <c r="AA218" s="129"/>
      <c r="AB218" s="149"/>
      <c r="AC218" s="129"/>
      <c r="AD218" s="129"/>
      <c r="AE218" s="129"/>
    </row>
    <row r="219" spans="3:31" x14ac:dyDescent="0.35">
      <c r="C219" s="129"/>
      <c r="D219" s="129"/>
      <c r="E219" s="129"/>
      <c r="F219" s="129"/>
      <c r="G219" s="129"/>
      <c r="H219" s="110"/>
      <c r="I219" s="129"/>
      <c r="J219" t="s">
        <v>351</v>
      </c>
      <c r="K219" s="129"/>
      <c r="L219" s="129"/>
      <c r="M219" s="129"/>
      <c r="N219" s="129"/>
      <c r="O219" s="129"/>
      <c r="P219" s="129"/>
      <c r="Q219" s="129"/>
      <c r="R219" s="129"/>
      <c r="S219" s="141"/>
      <c r="T219" s="139"/>
      <c r="U219" s="129"/>
      <c r="V219" s="129"/>
      <c r="W219" s="129"/>
      <c r="X219" s="129"/>
      <c r="Y219" s="129"/>
      <c r="Z219" s="115"/>
      <c r="AA219" s="129"/>
      <c r="AB219" s="149"/>
      <c r="AC219" s="129"/>
      <c r="AD219" s="129"/>
      <c r="AE219" s="129"/>
    </row>
    <row r="220" spans="3:31" x14ac:dyDescent="0.35">
      <c r="C220" s="129"/>
      <c r="D220" s="129"/>
      <c r="E220" s="129"/>
      <c r="F220" s="129"/>
      <c r="G220" s="129"/>
      <c r="H220" s="110"/>
      <c r="I220" s="129"/>
      <c r="J220" t="s">
        <v>351</v>
      </c>
      <c r="K220" s="129"/>
      <c r="L220" s="129"/>
      <c r="M220" s="129"/>
      <c r="N220" s="129"/>
      <c r="O220" s="129"/>
      <c r="P220" s="129"/>
      <c r="Q220" s="129"/>
      <c r="R220" s="129"/>
      <c r="S220" s="141"/>
      <c r="T220" s="139"/>
      <c r="U220" s="129"/>
      <c r="V220" s="129"/>
      <c r="W220" s="129"/>
      <c r="X220" s="129"/>
      <c r="Y220" s="129"/>
      <c r="Z220" s="115"/>
      <c r="AA220" s="129"/>
      <c r="AB220" s="149"/>
      <c r="AC220" s="129"/>
      <c r="AD220" s="129"/>
      <c r="AE220" s="129"/>
    </row>
    <row r="221" spans="3:31" x14ac:dyDescent="0.35">
      <c r="C221" s="129"/>
      <c r="D221" s="129"/>
      <c r="E221" s="129"/>
      <c r="F221" s="129"/>
      <c r="G221" s="129"/>
      <c r="H221" s="110"/>
      <c r="I221" s="129"/>
      <c r="J221" t="s">
        <v>351</v>
      </c>
      <c r="K221" s="129"/>
      <c r="L221" s="129"/>
      <c r="M221" s="129"/>
      <c r="N221" s="129"/>
      <c r="O221" s="129"/>
      <c r="P221" s="129"/>
      <c r="Q221" s="129"/>
      <c r="R221" s="129"/>
      <c r="S221" s="141"/>
      <c r="T221" s="139"/>
      <c r="U221" s="129"/>
      <c r="V221" s="129"/>
      <c r="W221" s="129"/>
      <c r="X221" s="129"/>
      <c r="Y221" s="129"/>
      <c r="Z221" s="115"/>
      <c r="AA221" s="129"/>
      <c r="AB221" s="149"/>
      <c r="AC221" s="129"/>
      <c r="AD221" s="129"/>
      <c r="AE221" s="129"/>
    </row>
    <row r="222" spans="3:31" x14ac:dyDescent="0.35">
      <c r="C222" s="129"/>
      <c r="D222" s="129"/>
      <c r="E222" s="129"/>
      <c r="F222" s="129"/>
      <c r="G222" s="129"/>
      <c r="H222" s="110"/>
      <c r="I222" s="129"/>
      <c r="J222" t="s">
        <v>351</v>
      </c>
      <c r="K222" s="129"/>
      <c r="L222" s="129"/>
      <c r="M222" s="129"/>
      <c r="N222" s="129"/>
      <c r="O222" s="129"/>
      <c r="P222" s="129"/>
      <c r="Q222" s="129"/>
      <c r="R222" s="129"/>
      <c r="S222" s="141"/>
      <c r="T222" s="139"/>
      <c r="U222" s="129"/>
      <c r="V222" s="129"/>
      <c r="W222" s="129"/>
      <c r="X222" s="129"/>
      <c r="Y222" s="129"/>
      <c r="Z222" s="115"/>
      <c r="AA222" s="129"/>
      <c r="AB222" s="149"/>
      <c r="AC222" s="129"/>
      <c r="AD222" s="129"/>
      <c r="AE222" s="129"/>
    </row>
    <row r="223" spans="3:31" x14ac:dyDescent="0.35">
      <c r="C223" s="129"/>
      <c r="D223" s="129"/>
      <c r="E223" s="129"/>
      <c r="F223" s="129"/>
      <c r="G223" s="129"/>
      <c r="H223" s="110"/>
      <c r="I223" s="129"/>
      <c r="J223" t="s">
        <v>351</v>
      </c>
      <c r="K223" s="129"/>
      <c r="L223" s="129"/>
      <c r="M223" s="129"/>
      <c r="N223" s="129"/>
      <c r="O223" s="129"/>
      <c r="P223" s="129"/>
      <c r="Q223" s="129"/>
      <c r="R223" s="129"/>
      <c r="S223" s="141"/>
      <c r="T223" s="139"/>
      <c r="U223" s="129"/>
      <c r="V223" s="129"/>
      <c r="W223" s="129"/>
      <c r="X223" s="129"/>
      <c r="Y223" s="129"/>
      <c r="Z223" s="115"/>
      <c r="AA223" s="129"/>
      <c r="AB223" s="149"/>
      <c r="AC223" s="129"/>
      <c r="AD223" s="129"/>
      <c r="AE223" s="129"/>
    </row>
    <row r="224" spans="3:31" x14ac:dyDescent="0.35">
      <c r="C224" s="129"/>
      <c r="D224" s="129"/>
      <c r="E224" s="129"/>
      <c r="F224" s="129"/>
      <c r="G224" s="129"/>
      <c r="H224" s="110"/>
      <c r="I224" s="129"/>
      <c r="J224" t="s">
        <v>351</v>
      </c>
      <c r="K224" s="129"/>
      <c r="L224" s="129"/>
      <c r="M224" s="129"/>
      <c r="N224" s="129"/>
      <c r="O224" s="129"/>
      <c r="P224" s="129"/>
      <c r="Q224" s="129"/>
      <c r="R224" s="129"/>
      <c r="S224" s="141"/>
      <c r="T224" s="139"/>
      <c r="U224" s="129"/>
      <c r="V224" s="129"/>
      <c r="W224" s="129"/>
      <c r="X224" s="129"/>
      <c r="Y224" s="129"/>
      <c r="Z224" s="115"/>
      <c r="AA224" s="129"/>
      <c r="AB224" s="149"/>
      <c r="AC224" s="129"/>
      <c r="AD224" s="129"/>
      <c r="AE224" s="129"/>
    </row>
    <row r="225" spans="3:31" x14ac:dyDescent="0.35">
      <c r="C225" s="129"/>
      <c r="D225" s="129"/>
      <c r="E225" s="129"/>
      <c r="F225" s="129"/>
      <c r="G225" s="129"/>
      <c r="H225" s="110"/>
      <c r="I225" s="129"/>
      <c r="J225" t="s">
        <v>351</v>
      </c>
      <c r="K225" s="129"/>
      <c r="L225" s="129"/>
      <c r="M225" s="129"/>
      <c r="N225" s="129"/>
      <c r="O225" s="129"/>
      <c r="P225" s="129"/>
      <c r="Q225" s="129"/>
      <c r="R225" s="129"/>
      <c r="S225" s="141"/>
      <c r="T225" s="139"/>
      <c r="U225" s="129"/>
      <c r="V225" s="129"/>
      <c r="W225" s="129"/>
      <c r="X225" s="129"/>
      <c r="Y225" s="129"/>
      <c r="Z225" s="115"/>
      <c r="AA225" s="129"/>
      <c r="AB225" s="149"/>
      <c r="AC225" s="129"/>
      <c r="AD225" s="129"/>
      <c r="AE225" s="129"/>
    </row>
    <row r="226" spans="3:31" x14ac:dyDescent="0.35">
      <c r="C226" s="129"/>
      <c r="D226" s="129"/>
      <c r="E226" s="129"/>
      <c r="F226" s="129"/>
      <c r="G226" s="129"/>
      <c r="H226" s="110"/>
      <c r="I226" s="129"/>
      <c r="J226" t="s">
        <v>351</v>
      </c>
      <c r="K226" s="129"/>
      <c r="L226" s="129"/>
      <c r="M226" s="129"/>
      <c r="N226" s="129"/>
      <c r="O226" s="129"/>
      <c r="P226" s="129"/>
      <c r="Q226" s="129"/>
      <c r="R226" s="129"/>
      <c r="S226" s="141"/>
      <c r="T226" s="139"/>
      <c r="U226" s="129"/>
      <c r="V226" s="129"/>
      <c r="W226" s="129"/>
      <c r="X226" s="129"/>
      <c r="Y226" s="129"/>
      <c r="Z226" s="115"/>
      <c r="AA226" s="129"/>
      <c r="AB226" s="149"/>
      <c r="AC226" s="129"/>
      <c r="AD226" s="129"/>
      <c r="AE226" s="129"/>
    </row>
    <row r="227" spans="3:31" x14ac:dyDescent="0.35">
      <c r="C227" s="129"/>
      <c r="D227" s="129"/>
      <c r="E227" s="129"/>
      <c r="F227" s="129"/>
      <c r="G227" s="129"/>
      <c r="H227" s="110"/>
      <c r="I227" s="129"/>
      <c r="J227" t="s">
        <v>351</v>
      </c>
      <c r="K227" s="129"/>
      <c r="L227" s="129"/>
      <c r="M227" s="129"/>
      <c r="N227" s="129"/>
      <c r="O227" s="129"/>
      <c r="P227" s="129"/>
      <c r="Q227" s="129"/>
      <c r="R227" s="129"/>
      <c r="S227" s="141"/>
      <c r="T227" s="139"/>
      <c r="U227" s="129"/>
      <c r="V227" s="129"/>
      <c r="W227" s="129"/>
      <c r="X227" s="129"/>
      <c r="Y227" s="129"/>
      <c r="Z227" s="115"/>
      <c r="AA227" s="129"/>
      <c r="AB227" s="149"/>
      <c r="AC227" s="129"/>
      <c r="AD227" s="129"/>
      <c r="AE227" s="129"/>
    </row>
    <row r="228" spans="3:31" x14ac:dyDescent="0.35">
      <c r="C228" s="129"/>
      <c r="D228" s="129"/>
      <c r="E228" s="129"/>
      <c r="F228" s="129"/>
      <c r="G228" s="129"/>
      <c r="H228" s="110"/>
      <c r="I228" s="129"/>
      <c r="J228" t="s">
        <v>351</v>
      </c>
      <c r="K228" s="129"/>
      <c r="L228" s="129"/>
      <c r="M228" s="129"/>
      <c r="N228" s="129"/>
      <c r="O228" s="129"/>
      <c r="P228" s="129"/>
      <c r="Q228" s="129"/>
      <c r="R228" s="129"/>
      <c r="S228" s="141"/>
      <c r="T228" s="139"/>
      <c r="U228" s="129"/>
      <c r="V228" s="129"/>
      <c r="W228" s="129"/>
      <c r="X228" s="129"/>
      <c r="Y228" s="129"/>
      <c r="Z228" s="115"/>
      <c r="AA228" s="129"/>
      <c r="AB228" s="149"/>
      <c r="AC228" s="129"/>
      <c r="AD228" s="129"/>
      <c r="AE228" s="129"/>
    </row>
    <row r="229" spans="3:31" x14ac:dyDescent="0.35">
      <c r="C229" s="129"/>
      <c r="D229" s="129"/>
      <c r="E229" s="129"/>
      <c r="F229" s="129"/>
      <c r="G229" s="129"/>
      <c r="H229" s="110"/>
      <c r="I229" s="129"/>
      <c r="J229" t="s">
        <v>351</v>
      </c>
      <c r="K229" s="129"/>
      <c r="L229" s="129"/>
      <c r="M229" s="129"/>
      <c r="N229" s="129"/>
      <c r="O229" s="129"/>
      <c r="P229" s="129"/>
      <c r="Q229" s="129"/>
      <c r="R229" s="129"/>
      <c r="S229" s="141"/>
      <c r="T229" s="139"/>
      <c r="U229" s="129"/>
      <c r="V229" s="129"/>
      <c r="W229" s="129"/>
      <c r="X229" s="129"/>
      <c r="Y229" s="129"/>
      <c r="Z229" s="115"/>
      <c r="AA229" s="129"/>
      <c r="AB229" s="149"/>
      <c r="AC229" s="129"/>
      <c r="AD229" s="129"/>
      <c r="AE229" s="129"/>
    </row>
    <row r="230" spans="3:31" x14ac:dyDescent="0.35">
      <c r="C230" s="129"/>
      <c r="D230" s="129"/>
      <c r="E230" s="129"/>
      <c r="F230" s="129"/>
      <c r="G230" s="129"/>
      <c r="H230" s="110"/>
      <c r="I230" s="129"/>
      <c r="J230" t="s">
        <v>351</v>
      </c>
      <c r="K230" s="129"/>
      <c r="L230" s="129"/>
      <c r="M230" s="129"/>
      <c r="N230" s="129"/>
      <c r="O230" s="129"/>
      <c r="P230" s="129"/>
      <c r="Q230" s="129"/>
      <c r="R230" s="129"/>
      <c r="S230" s="141"/>
      <c r="T230" s="139"/>
      <c r="U230" s="129"/>
      <c r="V230" s="129"/>
      <c r="W230" s="129"/>
      <c r="X230" s="129"/>
      <c r="Y230" s="129"/>
      <c r="Z230" s="115"/>
      <c r="AA230" s="129"/>
      <c r="AB230" s="149"/>
      <c r="AC230" s="129"/>
      <c r="AD230" s="129"/>
      <c r="AE230" s="129"/>
    </row>
    <row r="231" spans="3:31" x14ac:dyDescent="0.35">
      <c r="C231" s="129"/>
      <c r="D231" s="129"/>
      <c r="E231" s="129"/>
      <c r="F231" s="129"/>
      <c r="G231" s="129"/>
      <c r="H231" s="110"/>
      <c r="I231" s="129"/>
      <c r="J231" t="s">
        <v>351</v>
      </c>
      <c r="K231" s="129"/>
      <c r="L231" s="129"/>
      <c r="M231" s="129"/>
      <c r="N231" s="129"/>
      <c r="O231" s="129"/>
      <c r="P231" s="129"/>
      <c r="Q231" s="129"/>
      <c r="R231" s="129"/>
      <c r="S231" s="141"/>
      <c r="T231" s="139"/>
      <c r="U231" s="129"/>
      <c r="V231" s="129"/>
      <c r="W231" s="129"/>
      <c r="X231" s="129"/>
      <c r="Y231" s="129"/>
      <c r="Z231" s="115"/>
      <c r="AA231" s="129"/>
      <c r="AB231" s="149"/>
      <c r="AC231" s="129"/>
      <c r="AD231" s="129"/>
      <c r="AE231" s="129"/>
    </row>
    <row r="232" spans="3:31" x14ac:dyDescent="0.35">
      <c r="C232" s="129"/>
      <c r="D232" s="129"/>
      <c r="E232" s="129"/>
      <c r="F232" s="129"/>
      <c r="G232" s="129"/>
      <c r="H232" s="110"/>
      <c r="I232" s="129"/>
      <c r="J232" t="s">
        <v>351</v>
      </c>
      <c r="K232" s="129"/>
      <c r="L232" s="129"/>
      <c r="M232" s="129"/>
      <c r="N232" s="129"/>
      <c r="O232" s="129"/>
      <c r="P232" s="129"/>
      <c r="Q232" s="129"/>
      <c r="R232" s="129"/>
      <c r="S232" s="141"/>
      <c r="T232" s="139"/>
      <c r="U232" s="129"/>
      <c r="V232" s="129"/>
      <c r="W232" s="129"/>
      <c r="X232" s="129"/>
      <c r="Y232" s="129"/>
      <c r="Z232" s="115"/>
      <c r="AA232" s="129"/>
      <c r="AB232" s="149"/>
      <c r="AC232" s="129"/>
      <c r="AD232" s="129"/>
      <c r="AE232" s="129"/>
    </row>
    <row r="233" spans="3:31" x14ac:dyDescent="0.35">
      <c r="C233" s="129"/>
      <c r="D233" s="129"/>
      <c r="E233" s="129"/>
      <c r="F233" s="129"/>
      <c r="G233" s="129"/>
      <c r="H233" s="110"/>
      <c r="I233" s="129"/>
      <c r="J233" t="s">
        <v>351</v>
      </c>
      <c r="K233" s="129"/>
      <c r="L233" s="129"/>
      <c r="M233" s="129"/>
      <c r="N233" s="129"/>
      <c r="O233" s="129"/>
      <c r="P233" s="129"/>
      <c r="Q233" s="129"/>
      <c r="R233" s="129"/>
      <c r="S233" s="141"/>
      <c r="T233" s="139"/>
      <c r="U233" s="129"/>
      <c r="V233" s="129"/>
      <c r="W233" s="129"/>
      <c r="X233" s="129"/>
      <c r="Y233" s="129"/>
      <c r="Z233" s="115"/>
      <c r="AA233" s="129"/>
      <c r="AB233" s="149"/>
      <c r="AC233" s="129"/>
      <c r="AD233" s="129"/>
      <c r="AE233" s="129"/>
    </row>
    <row r="234" spans="3:31" x14ac:dyDescent="0.35">
      <c r="C234" s="129"/>
      <c r="D234" s="129"/>
      <c r="E234" s="129"/>
      <c r="F234" s="129"/>
      <c r="G234" s="129"/>
      <c r="H234" s="110"/>
      <c r="I234" s="129"/>
      <c r="J234" t="s">
        <v>351</v>
      </c>
      <c r="K234" s="129"/>
      <c r="L234" s="129"/>
      <c r="M234" s="129"/>
      <c r="N234" s="129"/>
      <c r="O234" s="129"/>
      <c r="P234" s="129"/>
      <c r="Q234" s="129"/>
      <c r="R234" s="129"/>
      <c r="S234" s="141"/>
      <c r="T234" s="139"/>
      <c r="U234" s="129"/>
      <c r="V234" s="129"/>
      <c r="W234" s="129"/>
      <c r="X234" s="129"/>
      <c r="Y234" s="129"/>
      <c r="Z234" s="115"/>
      <c r="AA234" s="129"/>
      <c r="AB234" s="149"/>
      <c r="AC234" s="129"/>
      <c r="AD234" s="129"/>
      <c r="AE234" s="129"/>
    </row>
    <row r="235" spans="3:31" x14ac:dyDescent="0.35">
      <c r="C235" s="129"/>
      <c r="D235" s="129"/>
      <c r="E235" s="129"/>
      <c r="F235" s="129"/>
      <c r="G235" s="129"/>
      <c r="H235" s="110"/>
      <c r="I235" s="129"/>
      <c r="J235" t="s">
        <v>351</v>
      </c>
      <c r="K235" s="129"/>
      <c r="L235" s="129"/>
      <c r="M235" s="129"/>
      <c r="N235" s="129"/>
      <c r="O235" s="129"/>
      <c r="P235" s="129"/>
      <c r="Q235" s="129"/>
      <c r="R235" s="129"/>
      <c r="S235" s="141"/>
      <c r="T235" s="139"/>
      <c r="U235" s="129"/>
      <c r="V235" s="129"/>
      <c r="W235" s="129"/>
      <c r="X235" s="129"/>
      <c r="Y235" s="129"/>
      <c r="Z235" s="115"/>
      <c r="AA235" s="129"/>
      <c r="AB235" s="149"/>
      <c r="AC235" s="129"/>
      <c r="AD235" s="129"/>
      <c r="AE235" s="129"/>
    </row>
    <row r="236" spans="3:31" x14ac:dyDescent="0.35">
      <c r="C236" s="129"/>
      <c r="D236" s="129"/>
      <c r="E236" s="129"/>
      <c r="F236" s="129"/>
      <c r="G236" s="129"/>
      <c r="H236" s="110"/>
      <c r="I236" s="129"/>
      <c r="J236" t="s">
        <v>351</v>
      </c>
      <c r="K236" s="129"/>
      <c r="L236" s="129"/>
      <c r="M236" s="129"/>
      <c r="N236" s="129"/>
      <c r="O236" s="129"/>
      <c r="P236" s="129"/>
      <c r="Q236" s="129"/>
      <c r="R236" s="129"/>
      <c r="S236" s="141"/>
      <c r="T236" s="139"/>
      <c r="U236" s="129"/>
      <c r="V236" s="129"/>
      <c r="W236" s="129"/>
      <c r="X236" s="129"/>
      <c r="Y236" s="129"/>
      <c r="Z236" s="115"/>
      <c r="AA236" s="129"/>
      <c r="AB236" s="149"/>
      <c r="AC236" s="129"/>
      <c r="AD236" s="129"/>
      <c r="AE236" s="129"/>
    </row>
    <row r="237" spans="3:31" x14ac:dyDescent="0.35">
      <c r="C237" s="129"/>
      <c r="D237" s="129"/>
      <c r="E237" s="129"/>
      <c r="F237" s="129"/>
      <c r="G237" s="129"/>
      <c r="H237" s="110"/>
      <c r="I237" s="129"/>
      <c r="J237" t="s">
        <v>351</v>
      </c>
      <c r="K237" s="129"/>
      <c r="L237" s="129"/>
      <c r="M237" s="129"/>
      <c r="N237" s="129"/>
      <c r="O237" s="129"/>
      <c r="P237" s="129"/>
      <c r="Q237" s="129"/>
      <c r="R237" s="129"/>
      <c r="S237" s="141"/>
      <c r="T237" s="139"/>
      <c r="U237" s="129"/>
      <c r="V237" s="129"/>
      <c r="W237" s="129"/>
      <c r="X237" s="129"/>
      <c r="Y237" s="129"/>
      <c r="Z237" s="115"/>
      <c r="AA237" s="129"/>
      <c r="AB237" s="149"/>
      <c r="AC237" s="129"/>
      <c r="AD237" s="129"/>
      <c r="AE237" s="129"/>
    </row>
    <row r="238" spans="3:31" x14ac:dyDescent="0.35">
      <c r="C238" s="129"/>
      <c r="D238" s="129"/>
      <c r="E238" s="129"/>
      <c r="F238" s="129"/>
      <c r="G238" s="129"/>
      <c r="H238" s="110"/>
      <c r="I238" s="129"/>
      <c r="J238" t="s">
        <v>351</v>
      </c>
      <c r="K238" s="129"/>
      <c r="L238" s="129"/>
      <c r="M238" s="129"/>
      <c r="N238" s="129"/>
      <c r="O238" s="129"/>
      <c r="P238" s="129"/>
      <c r="Q238" s="129"/>
      <c r="R238" s="129"/>
      <c r="S238" s="141"/>
      <c r="T238" s="139"/>
      <c r="U238" s="129"/>
      <c r="V238" s="129"/>
      <c r="W238" s="129"/>
      <c r="X238" s="129"/>
      <c r="Y238" s="129"/>
      <c r="Z238" s="115"/>
      <c r="AA238" s="129"/>
      <c r="AB238" s="149"/>
      <c r="AC238" s="129"/>
      <c r="AD238" s="129"/>
      <c r="AE238" s="129"/>
    </row>
    <row r="239" spans="3:31" x14ac:dyDescent="0.35">
      <c r="C239" s="129"/>
      <c r="D239" s="129"/>
      <c r="E239" s="129"/>
      <c r="F239" s="129"/>
      <c r="G239" s="129"/>
      <c r="H239" s="110"/>
      <c r="I239" s="129"/>
      <c r="J239" t="s">
        <v>351</v>
      </c>
      <c r="K239" s="129"/>
      <c r="L239" s="129"/>
      <c r="M239" s="129"/>
      <c r="N239" s="129"/>
      <c r="O239" s="129"/>
      <c r="P239" s="129"/>
      <c r="Q239" s="129"/>
      <c r="R239" s="129"/>
      <c r="S239" s="141"/>
      <c r="T239" s="139"/>
      <c r="U239" s="129"/>
      <c r="V239" s="129"/>
      <c r="W239" s="129"/>
      <c r="X239" s="129"/>
      <c r="Y239" s="129"/>
      <c r="Z239" s="115"/>
      <c r="AA239" s="129"/>
      <c r="AB239" s="149"/>
      <c r="AC239" s="129"/>
      <c r="AD239" s="129"/>
      <c r="AE239" s="129"/>
    </row>
    <row r="240" spans="3:31" x14ac:dyDescent="0.35">
      <c r="C240" s="129"/>
      <c r="D240" s="129"/>
      <c r="E240" s="129"/>
      <c r="F240" s="129"/>
      <c r="G240" s="129"/>
      <c r="H240" s="110"/>
      <c r="I240" s="129"/>
      <c r="J240" t="s">
        <v>351</v>
      </c>
      <c r="K240" s="129"/>
      <c r="L240" s="129"/>
      <c r="M240" s="129"/>
      <c r="N240" s="129"/>
      <c r="O240" s="129"/>
      <c r="P240" s="129"/>
      <c r="Q240" s="129"/>
      <c r="R240" s="129"/>
      <c r="S240" s="141"/>
      <c r="T240" s="139"/>
      <c r="U240" s="129"/>
      <c r="V240" s="129"/>
      <c r="W240" s="129"/>
      <c r="X240" s="129"/>
      <c r="Y240" s="129"/>
      <c r="Z240" s="115"/>
      <c r="AA240" s="129"/>
      <c r="AB240" s="149"/>
      <c r="AC240" s="129"/>
      <c r="AD240" s="129"/>
      <c r="AE240" s="129"/>
    </row>
    <row r="241" spans="3:31" x14ac:dyDescent="0.35">
      <c r="C241" s="129"/>
      <c r="D241" s="129"/>
      <c r="E241" s="129"/>
      <c r="F241" s="129"/>
      <c r="G241" s="129"/>
      <c r="H241" s="110"/>
      <c r="I241" s="129"/>
      <c r="J241" t="s">
        <v>351</v>
      </c>
      <c r="K241" s="129"/>
      <c r="L241" s="129"/>
      <c r="M241" s="129"/>
      <c r="N241" s="129"/>
      <c r="O241" s="129"/>
      <c r="P241" s="129"/>
      <c r="Q241" s="129"/>
      <c r="R241" s="129"/>
      <c r="S241" s="141"/>
      <c r="T241" s="139"/>
      <c r="U241" s="129"/>
      <c r="V241" s="129"/>
      <c r="W241" s="129"/>
      <c r="X241" s="129"/>
      <c r="Y241" s="129"/>
      <c r="Z241" s="115"/>
      <c r="AA241" s="129"/>
      <c r="AB241" s="149"/>
      <c r="AC241" s="129"/>
      <c r="AD241" s="129"/>
      <c r="AE241" s="129"/>
    </row>
    <row r="242" spans="3:31" x14ac:dyDescent="0.35">
      <c r="C242" s="129"/>
      <c r="D242" s="129"/>
      <c r="E242" s="129"/>
      <c r="F242" s="129"/>
      <c r="G242" s="129"/>
      <c r="H242" s="110"/>
      <c r="I242" s="129"/>
      <c r="J242" t="s">
        <v>351</v>
      </c>
      <c r="K242" s="129"/>
      <c r="L242" s="129"/>
      <c r="M242" s="129"/>
      <c r="N242" s="129"/>
      <c r="O242" s="129"/>
      <c r="P242" s="129"/>
      <c r="Q242" s="129"/>
      <c r="R242" s="129"/>
      <c r="S242" s="141"/>
      <c r="T242" s="139"/>
      <c r="U242" s="129"/>
      <c r="V242" s="129"/>
      <c r="W242" s="129"/>
      <c r="X242" s="129"/>
      <c r="Y242" s="129"/>
      <c r="Z242" s="115"/>
      <c r="AA242" s="129"/>
      <c r="AB242" s="149"/>
      <c r="AC242" s="129"/>
      <c r="AD242" s="129"/>
      <c r="AE242" s="129"/>
    </row>
    <row r="243" spans="3:31" x14ac:dyDescent="0.35">
      <c r="C243" s="129"/>
      <c r="D243" s="129"/>
      <c r="E243" s="129"/>
      <c r="F243" s="129"/>
      <c r="G243" s="129"/>
      <c r="H243" s="110"/>
      <c r="I243" s="129"/>
      <c r="J243" t="s">
        <v>351</v>
      </c>
      <c r="K243" s="129"/>
      <c r="L243" s="129"/>
      <c r="M243" s="129"/>
      <c r="N243" s="129"/>
      <c r="O243" s="129"/>
      <c r="P243" s="129"/>
      <c r="Q243" s="129"/>
      <c r="R243" s="129"/>
      <c r="S243" s="141"/>
      <c r="T243" s="139"/>
      <c r="U243" s="129"/>
      <c r="V243" s="129"/>
      <c r="W243" s="129"/>
      <c r="X243" s="129"/>
      <c r="Y243" s="129"/>
      <c r="Z243" s="115"/>
      <c r="AA243" s="129"/>
      <c r="AB243" s="149"/>
      <c r="AC243" s="129"/>
      <c r="AD243" s="129"/>
      <c r="AE243" s="129"/>
    </row>
    <row r="244" spans="3:31" x14ac:dyDescent="0.35">
      <c r="C244" s="129"/>
      <c r="D244" s="129"/>
      <c r="E244" s="129"/>
      <c r="F244" s="129"/>
      <c r="G244" s="129"/>
      <c r="H244" s="110"/>
      <c r="I244" s="129"/>
      <c r="J244" t="s">
        <v>351</v>
      </c>
      <c r="K244" s="129"/>
      <c r="L244" s="129"/>
      <c r="M244" s="129"/>
      <c r="N244" s="129"/>
      <c r="O244" s="129"/>
      <c r="P244" s="129"/>
      <c r="Q244" s="129"/>
      <c r="R244" s="129"/>
      <c r="S244" s="141"/>
      <c r="T244" s="139"/>
      <c r="U244" s="129"/>
      <c r="V244" s="129"/>
      <c r="W244" s="129"/>
      <c r="X244" s="129"/>
      <c r="Y244" s="129"/>
      <c r="Z244" s="115"/>
      <c r="AA244" s="129"/>
      <c r="AB244" s="149"/>
      <c r="AC244" s="129"/>
      <c r="AD244" s="129"/>
      <c r="AE244" s="129"/>
    </row>
    <row r="245" spans="3:31" x14ac:dyDescent="0.35">
      <c r="C245" s="129"/>
      <c r="D245" s="129"/>
      <c r="E245" s="129"/>
      <c r="F245" s="129"/>
      <c r="G245" s="129"/>
      <c r="H245" s="110"/>
      <c r="I245" s="129"/>
      <c r="J245" t="s">
        <v>351</v>
      </c>
      <c r="K245" s="129"/>
      <c r="L245" s="129"/>
      <c r="M245" s="129"/>
      <c r="N245" s="129"/>
      <c r="O245" s="129"/>
      <c r="P245" s="129"/>
      <c r="Q245" s="129"/>
      <c r="R245" s="129"/>
      <c r="S245" s="141"/>
      <c r="T245" s="139"/>
      <c r="U245" s="129"/>
      <c r="V245" s="129"/>
      <c r="W245" s="129"/>
      <c r="X245" s="129"/>
      <c r="Y245" s="129"/>
      <c r="Z245" s="115"/>
      <c r="AA245" s="129"/>
      <c r="AB245" s="149"/>
      <c r="AC245" s="129"/>
      <c r="AD245" s="129"/>
      <c r="AE245" s="129"/>
    </row>
    <row r="246" spans="3:31" x14ac:dyDescent="0.35">
      <c r="C246" s="129"/>
      <c r="D246" s="129"/>
      <c r="E246" s="129"/>
      <c r="F246" s="129"/>
      <c r="G246" s="129"/>
      <c r="H246" s="110"/>
      <c r="I246" s="129"/>
      <c r="J246" t="s">
        <v>351</v>
      </c>
      <c r="K246" s="129"/>
      <c r="L246" s="129"/>
      <c r="M246" s="129"/>
      <c r="N246" s="129"/>
      <c r="O246" s="129"/>
      <c r="P246" s="129"/>
      <c r="Q246" s="129"/>
      <c r="R246" s="129"/>
      <c r="S246" s="141"/>
      <c r="T246" s="139"/>
      <c r="U246" s="129"/>
      <c r="V246" s="129"/>
      <c r="W246" s="129"/>
      <c r="X246" s="129"/>
      <c r="Y246" s="129"/>
      <c r="Z246" s="115"/>
      <c r="AA246" s="129"/>
      <c r="AB246" s="149"/>
      <c r="AC246" s="129"/>
      <c r="AD246" s="129"/>
      <c r="AE246" s="129"/>
    </row>
    <row r="247" spans="3:31" x14ac:dyDescent="0.35">
      <c r="C247" s="129"/>
      <c r="D247" s="129"/>
      <c r="E247" s="129"/>
      <c r="F247" s="129"/>
      <c r="G247" s="129"/>
      <c r="H247" s="110"/>
      <c r="I247" s="129"/>
      <c r="J247" t="s">
        <v>351</v>
      </c>
      <c r="K247" s="129"/>
      <c r="L247" s="129"/>
      <c r="M247" s="129"/>
      <c r="N247" s="129"/>
      <c r="O247" s="129"/>
      <c r="P247" s="129"/>
      <c r="Q247" s="129"/>
      <c r="R247" s="129"/>
      <c r="S247" s="141"/>
      <c r="T247" s="139"/>
      <c r="U247" s="129"/>
      <c r="V247" s="129"/>
      <c r="W247" s="129"/>
      <c r="X247" s="129"/>
      <c r="Y247" s="129"/>
      <c r="Z247" s="115"/>
      <c r="AA247" s="129"/>
      <c r="AB247" s="149"/>
      <c r="AC247" s="129"/>
      <c r="AD247" s="129"/>
      <c r="AE247" s="129"/>
    </row>
    <row r="248" spans="3:31" x14ac:dyDescent="0.35">
      <c r="C248" s="129"/>
      <c r="D248" s="129"/>
      <c r="E248" s="129"/>
      <c r="F248" s="129"/>
      <c r="G248" s="129"/>
      <c r="H248" s="110"/>
      <c r="I248" s="129"/>
      <c r="J248" t="s">
        <v>351</v>
      </c>
      <c r="K248" s="129"/>
      <c r="L248" s="129"/>
      <c r="M248" s="129"/>
      <c r="N248" s="129"/>
      <c r="O248" s="129"/>
      <c r="P248" s="129"/>
      <c r="Q248" s="129"/>
      <c r="R248" s="129"/>
      <c r="S248" s="141"/>
      <c r="T248" s="139"/>
      <c r="U248" s="129"/>
      <c r="V248" s="129"/>
      <c r="W248" s="129"/>
      <c r="X248" s="129"/>
      <c r="Y248" s="129"/>
      <c r="Z248" s="115"/>
      <c r="AA248" s="129"/>
      <c r="AB248" s="149"/>
      <c r="AC248" s="129"/>
      <c r="AD248" s="129"/>
      <c r="AE248" s="129"/>
    </row>
    <row r="249" spans="3:31" x14ac:dyDescent="0.35">
      <c r="C249" s="129"/>
      <c r="D249" s="129"/>
      <c r="E249" s="129"/>
      <c r="F249" s="129"/>
      <c r="G249" s="129"/>
      <c r="H249" s="110"/>
      <c r="I249" s="129"/>
      <c r="J249" t="s">
        <v>351</v>
      </c>
      <c r="K249" s="129"/>
      <c r="L249" s="129"/>
      <c r="M249" s="129"/>
      <c r="N249" s="129"/>
      <c r="O249" s="129"/>
      <c r="P249" s="129"/>
      <c r="Q249" s="129"/>
      <c r="R249" s="129"/>
      <c r="S249" s="141"/>
      <c r="T249" s="139"/>
      <c r="U249" s="129"/>
      <c r="V249" s="129"/>
      <c r="W249" s="129"/>
      <c r="X249" s="129"/>
      <c r="Y249" s="129"/>
      <c r="Z249" s="115"/>
      <c r="AA249" s="129"/>
      <c r="AB249" s="149"/>
      <c r="AC249" s="129"/>
      <c r="AD249" s="129"/>
      <c r="AE249" s="129"/>
    </row>
    <row r="250" spans="3:31" x14ac:dyDescent="0.35">
      <c r="C250" s="129"/>
      <c r="D250" s="129"/>
      <c r="E250" s="129"/>
      <c r="F250" s="129"/>
      <c r="G250" s="129"/>
      <c r="H250" s="110"/>
      <c r="I250" s="129"/>
      <c r="J250" t="s">
        <v>351</v>
      </c>
      <c r="K250" s="129"/>
      <c r="L250" s="129"/>
      <c r="M250" s="129"/>
      <c r="N250" s="129"/>
      <c r="O250" s="129"/>
      <c r="P250" s="129"/>
      <c r="Q250" s="129"/>
      <c r="R250" s="129"/>
      <c r="S250" s="141"/>
      <c r="T250" s="139"/>
      <c r="U250" s="129"/>
      <c r="V250" s="129"/>
      <c r="W250" s="129"/>
      <c r="X250" s="129"/>
      <c r="Y250" s="129"/>
      <c r="Z250" s="115"/>
      <c r="AA250" s="129"/>
      <c r="AB250" s="149"/>
      <c r="AC250" s="129"/>
      <c r="AD250" s="129"/>
      <c r="AE250" s="129"/>
    </row>
    <row r="251" spans="3:31" x14ac:dyDescent="0.35">
      <c r="C251" s="129"/>
      <c r="D251" s="129"/>
      <c r="E251" s="129"/>
      <c r="F251" s="129"/>
      <c r="G251" s="129"/>
      <c r="H251" s="110"/>
      <c r="I251" s="129"/>
      <c r="J251" t="s">
        <v>351</v>
      </c>
      <c r="K251" s="129"/>
      <c r="L251" s="129"/>
      <c r="M251" s="129"/>
      <c r="N251" s="129"/>
      <c r="O251" s="129"/>
      <c r="P251" s="129"/>
      <c r="Q251" s="129"/>
      <c r="R251" s="129"/>
      <c r="S251" s="141"/>
      <c r="T251" s="139"/>
      <c r="U251" s="129"/>
      <c r="V251" s="129"/>
      <c r="W251" s="129"/>
      <c r="X251" s="129"/>
      <c r="Y251" s="129"/>
      <c r="Z251" s="115"/>
      <c r="AA251" s="129"/>
      <c r="AB251" s="149"/>
      <c r="AC251" s="129"/>
      <c r="AD251" s="129"/>
      <c r="AE251" s="129"/>
    </row>
    <row r="252" spans="3:31" x14ac:dyDescent="0.35">
      <c r="C252" s="129"/>
      <c r="D252" s="129"/>
      <c r="E252" s="129"/>
      <c r="F252" s="129"/>
      <c r="G252" s="129"/>
      <c r="H252" s="110"/>
      <c r="I252" s="129"/>
      <c r="J252" t="s">
        <v>351</v>
      </c>
      <c r="K252" s="129"/>
      <c r="L252" s="129"/>
      <c r="M252" s="129"/>
      <c r="N252" s="129"/>
      <c r="O252" s="129"/>
      <c r="P252" s="129"/>
      <c r="Q252" s="129"/>
      <c r="R252" s="129"/>
      <c r="S252" s="141"/>
      <c r="T252" s="139"/>
      <c r="U252" s="129"/>
      <c r="V252" s="129"/>
      <c r="W252" s="129"/>
      <c r="X252" s="129"/>
      <c r="Y252" s="129"/>
      <c r="Z252" s="115"/>
      <c r="AA252" s="129"/>
      <c r="AB252" s="149"/>
      <c r="AC252" s="129"/>
      <c r="AD252" s="129"/>
      <c r="AE252" s="129"/>
    </row>
    <row r="253" spans="3:31" x14ac:dyDescent="0.35">
      <c r="C253" s="129"/>
      <c r="D253" s="129"/>
      <c r="E253" s="129"/>
      <c r="F253" s="129"/>
      <c r="G253" s="129"/>
      <c r="H253" s="110"/>
      <c r="I253" s="129"/>
      <c r="J253" t="s">
        <v>351</v>
      </c>
      <c r="K253" s="129"/>
      <c r="L253" s="129"/>
      <c r="M253" s="129"/>
      <c r="N253" s="129"/>
      <c r="O253" s="129"/>
      <c r="P253" s="129"/>
      <c r="Q253" s="129"/>
      <c r="R253" s="129"/>
      <c r="S253" s="141"/>
      <c r="T253" s="139"/>
      <c r="U253" s="129"/>
      <c r="V253" s="129"/>
      <c r="W253" s="129"/>
      <c r="X253" s="129"/>
      <c r="Y253" s="129"/>
      <c r="Z253" s="115"/>
      <c r="AA253" s="129"/>
      <c r="AB253" s="149"/>
      <c r="AC253" s="129"/>
      <c r="AD253" s="129"/>
      <c r="AE253" s="129"/>
    </row>
    <row r="254" spans="3:31" x14ac:dyDescent="0.35">
      <c r="C254" s="129"/>
      <c r="D254" s="129"/>
      <c r="E254" s="129"/>
      <c r="F254" s="129"/>
      <c r="G254" s="129"/>
      <c r="H254" s="110"/>
      <c r="I254" s="129"/>
      <c r="J254" t="s">
        <v>351</v>
      </c>
      <c r="K254" s="129"/>
      <c r="L254" s="129"/>
      <c r="M254" s="129"/>
      <c r="N254" s="129"/>
      <c r="O254" s="129"/>
      <c r="P254" s="129"/>
      <c r="Q254" s="129"/>
      <c r="R254" s="129"/>
      <c r="S254" s="141"/>
      <c r="T254" s="139"/>
      <c r="U254" s="129"/>
      <c r="V254" s="129"/>
      <c r="W254" s="129"/>
      <c r="X254" s="129"/>
      <c r="Y254" s="129"/>
      <c r="Z254" s="115"/>
      <c r="AA254" s="129"/>
      <c r="AB254" s="149"/>
      <c r="AC254" s="129"/>
      <c r="AD254" s="129"/>
      <c r="AE254" s="129"/>
    </row>
    <row r="255" spans="3:31" x14ac:dyDescent="0.35">
      <c r="C255" s="129"/>
      <c r="D255" s="129"/>
      <c r="E255" s="129"/>
      <c r="F255" s="129"/>
      <c r="G255" s="129"/>
      <c r="H255" s="110"/>
      <c r="I255" s="129"/>
      <c r="J255" t="s">
        <v>351</v>
      </c>
      <c r="K255" s="129"/>
      <c r="L255" s="129"/>
      <c r="M255" s="129"/>
      <c r="N255" s="129"/>
      <c r="O255" s="129"/>
      <c r="P255" s="129"/>
      <c r="Q255" s="129"/>
      <c r="R255" s="129"/>
      <c r="S255" s="141"/>
      <c r="T255" s="139"/>
      <c r="U255" s="129"/>
      <c r="V255" s="129"/>
      <c r="W255" s="129"/>
      <c r="X255" s="129"/>
      <c r="Y255" s="129"/>
      <c r="Z255" s="115"/>
      <c r="AA255" s="129"/>
      <c r="AB255" s="149"/>
      <c r="AC255" s="129"/>
      <c r="AD255" s="129"/>
      <c r="AE255" s="129"/>
    </row>
    <row r="256" spans="3:31" x14ac:dyDescent="0.35">
      <c r="C256" s="129"/>
      <c r="D256" s="129"/>
      <c r="E256" s="129"/>
      <c r="F256" s="129"/>
      <c r="G256" s="129"/>
      <c r="H256" s="110"/>
      <c r="I256" s="129"/>
      <c r="J256" t="s">
        <v>351</v>
      </c>
      <c r="K256" s="129"/>
      <c r="L256" s="129"/>
      <c r="M256" s="129"/>
      <c r="N256" s="129"/>
      <c r="O256" s="129"/>
      <c r="P256" s="129"/>
      <c r="Q256" s="129"/>
      <c r="R256" s="129"/>
      <c r="S256" s="141"/>
      <c r="T256" s="139"/>
      <c r="U256" s="129"/>
      <c r="V256" s="129"/>
      <c r="W256" s="129"/>
      <c r="X256" s="129"/>
      <c r="Y256" s="129"/>
      <c r="Z256" s="115"/>
      <c r="AA256" s="129"/>
      <c r="AB256" s="149"/>
      <c r="AC256" s="129"/>
      <c r="AD256" s="129"/>
      <c r="AE256" s="129"/>
    </row>
    <row r="257" spans="3:31" x14ac:dyDescent="0.35">
      <c r="C257" s="129"/>
      <c r="D257" s="129"/>
      <c r="E257" s="129"/>
      <c r="F257" s="129"/>
      <c r="G257" s="129"/>
      <c r="H257" s="110"/>
      <c r="I257" s="129"/>
      <c r="J257" t="s">
        <v>351</v>
      </c>
      <c r="K257" s="129"/>
      <c r="L257" s="129"/>
      <c r="M257" s="129"/>
      <c r="N257" s="129"/>
      <c r="O257" s="129"/>
      <c r="P257" s="129"/>
      <c r="Q257" s="129"/>
      <c r="R257" s="129"/>
      <c r="S257" s="141"/>
      <c r="T257" s="139"/>
      <c r="U257" s="129"/>
      <c r="V257" s="129"/>
      <c r="W257" s="129"/>
      <c r="X257" s="129"/>
      <c r="Y257" s="129"/>
      <c r="Z257" s="115"/>
      <c r="AA257" s="129"/>
      <c r="AB257" s="149"/>
      <c r="AC257" s="129"/>
      <c r="AD257" s="129"/>
      <c r="AE257" s="129"/>
    </row>
    <row r="258" spans="3:31" x14ac:dyDescent="0.35">
      <c r="C258" s="129"/>
      <c r="D258" s="129"/>
      <c r="E258" s="129"/>
      <c r="F258" s="129"/>
      <c r="G258" s="129"/>
      <c r="H258" s="110"/>
      <c r="I258" s="129"/>
      <c r="J258" t="s">
        <v>351</v>
      </c>
      <c r="K258" s="129"/>
      <c r="L258" s="129"/>
      <c r="M258" s="129"/>
      <c r="N258" s="129"/>
      <c r="O258" s="129"/>
      <c r="P258" s="129"/>
      <c r="Q258" s="129"/>
      <c r="R258" s="129"/>
      <c r="S258" s="141"/>
      <c r="T258" s="139"/>
      <c r="U258" s="129"/>
      <c r="V258" s="129"/>
      <c r="W258" s="129"/>
      <c r="X258" s="129"/>
      <c r="Y258" s="129"/>
      <c r="Z258" s="115"/>
      <c r="AA258" s="129"/>
      <c r="AB258" s="149"/>
      <c r="AC258" s="129"/>
      <c r="AD258" s="129"/>
      <c r="AE258" s="129"/>
    </row>
    <row r="259" spans="3:31" x14ac:dyDescent="0.35">
      <c r="C259" s="129"/>
      <c r="D259" s="129"/>
      <c r="E259" s="129"/>
      <c r="F259" s="129"/>
      <c r="G259" s="129"/>
      <c r="H259" s="110"/>
      <c r="I259" s="129"/>
      <c r="J259" t="s">
        <v>351</v>
      </c>
      <c r="K259" s="129"/>
      <c r="L259" s="129"/>
      <c r="M259" s="129"/>
      <c r="N259" s="129"/>
      <c r="O259" s="129"/>
      <c r="P259" s="129"/>
      <c r="Q259" s="129"/>
      <c r="R259" s="129"/>
      <c r="S259" s="141"/>
      <c r="T259" s="139"/>
      <c r="U259" s="129"/>
      <c r="V259" s="129"/>
      <c r="W259" s="129"/>
      <c r="X259" s="129"/>
      <c r="Y259" s="129"/>
      <c r="Z259" s="115"/>
      <c r="AA259" s="129"/>
      <c r="AB259" s="149"/>
      <c r="AC259" s="129"/>
      <c r="AD259" s="129"/>
      <c r="AE259" s="129"/>
    </row>
    <row r="260" spans="3:31" x14ac:dyDescent="0.35">
      <c r="C260" s="129"/>
      <c r="D260" s="129"/>
      <c r="E260" s="129"/>
      <c r="F260" s="129"/>
      <c r="G260" s="129"/>
      <c r="H260" s="110"/>
      <c r="I260" s="129"/>
      <c r="J260" t="s">
        <v>351</v>
      </c>
      <c r="K260" s="129"/>
      <c r="L260" s="129"/>
      <c r="M260" s="129"/>
      <c r="N260" s="129"/>
      <c r="O260" s="129"/>
      <c r="P260" s="129"/>
      <c r="Q260" s="129"/>
      <c r="R260" s="129"/>
      <c r="S260" s="141"/>
      <c r="T260" s="139"/>
      <c r="U260" s="129"/>
      <c r="V260" s="129"/>
      <c r="W260" s="129"/>
      <c r="X260" s="129"/>
      <c r="Y260" s="129"/>
      <c r="Z260" s="115"/>
      <c r="AA260" s="129"/>
      <c r="AB260" s="149"/>
      <c r="AC260" s="129"/>
      <c r="AD260" s="129"/>
      <c r="AE260" s="129"/>
    </row>
    <row r="261" spans="3:31" x14ac:dyDescent="0.35">
      <c r="C261" s="129"/>
      <c r="D261" s="129"/>
      <c r="E261" s="129"/>
      <c r="F261" s="129"/>
      <c r="G261" s="129"/>
      <c r="H261" s="110"/>
      <c r="I261" s="129"/>
      <c r="J261" t="s">
        <v>351</v>
      </c>
      <c r="K261" s="129"/>
      <c r="L261" s="129"/>
      <c r="M261" s="129"/>
      <c r="N261" s="129"/>
      <c r="O261" s="129"/>
      <c r="P261" s="129"/>
      <c r="Q261" s="129"/>
      <c r="R261" s="129"/>
      <c r="S261" s="141"/>
      <c r="T261" s="139"/>
      <c r="U261" s="129"/>
      <c r="V261" s="129"/>
      <c r="W261" s="129"/>
      <c r="X261" s="129"/>
      <c r="Y261" s="129"/>
      <c r="Z261" s="115"/>
      <c r="AA261" s="129"/>
      <c r="AB261" s="149"/>
      <c r="AC261" s="129"/>
      <c r="AD261" s="129"/>
      <c r="AE261" s="129"/>
    </row>
    <row r="262" spans="3:31" x14ac:dyDescent="0.35">
      <c r="C262" s="129"/>
      <c r="D262" s="129"/>
      <c r="E262" s="129"/>
      <c r="F262" s="129"/>
      <c r="G262" s="129"/>
      <c r="H262" s="110"/>
      <c r="I262" s="129"/>
      <c r="J262" t="s">
        <v>351</v>
      </c>
      <c r="K262" s="129"/>
      <c r="L262" s="129"/>
      <c r="M262" s="129"/>
      <c r="N262" s="129"/>
      <c r="O262" s="129"/>
      <c r="P262" s="129"/>
      <c r="Q262" s="129"/>
      <c r="R262" s="129"/>
      <c r="S262" s="141"/>
      <c r="T262" s="139"/>
      <c r="U262" s="129"/>
      <c r="V262" s="129"/>
      <c r="W262" s="129"/>
      <c r="X262" s="129"/>
      <c r="Y262" s="129"/>
      <c r="Z262" s="115"/>
      <c r="AA262" s="129"/>
      <c r="AB262" s="149"/>
      <c r="AC262" s="129"/>
      <c r="AD262" s="129"/>
      <c r="AE262" s="129"/>
    </row>
    <row r="263" spans="3:31" x14ac:dyDescent="0.35">
      <c r="C263" s="129"/>
      <c r="D263" s="129"/>
      <c r="E263" s="129"/>
      <c r="F263" s="129"/>
      <c r="G263" s="129"/>
      <c r="H263" s="110"/>
      <c r="I263" s="129"/>
      <c r="J263" t="s">
        <v>351</v>
      </c>
      <c r="K263" s="129"/>
      <c r="L263" s="129"/>
      <c r="M263" s="129"/>
      <c r="N263" s="129"/>
      <c r="O263" s="129"/>
      <c r="P263" s="129"/>
      <c r="Q263" s="129"/>
      <c r="R263" s="129"/>
      <c r="S263" s="141"/>
      <c r="T263" s="139"/>
      <c r="U263" s="129"/>
      <c r="V263" s="129"/>
      <c r="W263" s="129"/>
      <c r="X263" s="129"/>
      <c r="Y263" s="129"/>
      <c r="Z263" s="115"/>
      <c r="AA263" s="129"/>
      <c r="AB263" s="149"/>
      <c r="AC263" s="129"/>
      <c r="AD263" s="129"/>
      <c r="AE263" s="129"/>
    </row>
    <row r="264" spans="3:31" x14ac:dyDescent="0.35">
      <c r="C264" s="129"/>
      <c r="D264" s="129"/>
      <c r="E264" s="129"/>
      <c r="F264" s="129"/>
      <c r="G264" s="129"/>
      <c r="H264" s="110"/>
      <c r="I264" s="129"/>
      <c r="J264" t="s">
        <v>351</v>
      </c>
      <c r="K264" s="129"/>
      <c r="L264" s="129"/>
      <c r="M264" s="129"/>
      <c r="N264" s="129"/>
      <c r="O264" s="129"/>
      <c r="P264" s="129"/>
      <c r="Q264" s="129"/>
      <c r="R264" s="129"/>
      <c r="S264" s="141"/>
      <c r="T264" s="139"/>
      <c r="U264" s="129"/>
      <c r="V264" s="129"/>
      <c r="W264" s="129"/>
      <c r="X264" s="129"/>
      <c r="Y264" s="129"/>
      <c r="Z264" s="115"/>
      <c r="AA264" s="129"/>
      <c r="AB264" s="149"/>
      <c r="AC264" s="129"/>
      <c r="AD264" s="129"/>
      <c r="AE264" s="129"/>
    </row>
    <row r="265" spans="3:31" x14ac:dyDescent="0.35">
      <c r="C265" s="129"/>
      <c r="D265" s="129"/>
      <c r="E265" s="129"/>
      <c r="F265" s="129"/>
      <c r="G265" s="129"/>
      <c r="H265" s="110"/>
      <c r="I265" s="129"/>
      <c r="J265" t="s">
        <v>351</v>
      </c>
      <c r="K265" s="129"/>
      <c r="L265" s="129"/>
      <c r="M265" s="129"/>
      <c r="N265" s="129"/>
      <c r="O265" s="129"/>
      <c r="P265" s="129"/>
      <c r="Q265" s="129"/>
      <c r="R265" s="129"/>
      <c r="S265" s="141"/>
      <c r="T265" s="139"/>
      <c r="U265" s="129"/>
      <c r="V265" s="129"/>
      <c r="W265" s="129"/>
      <c r="X265" s="129"/>
      <c r="Y265" s="129"/>
      <c r="Z265" s="115"/>
      <c r="AA265" s="129"/>
      <c r="AB265" s="149"/>
      <c r="AC265" s="129"/>
      <c r="AD265" s="129"/>
      <c r="AE265" s="129"/>
    </row>
    <row r="266" spans="3:31" x14ac:dyDescent="0.35">
      <c r="C266" s="129"/>
      <c r="D266" s="129"/>
      <c r="E266" s="129"/>
      <c r="F266" s="129"/>
      <c r="G266" s="129"/>
      <c r="H266" s="110"/>
      <c r="I266" s="129"/>
      <c r="J266" t="s">
        <v>351</v>
      </c>
      <c r="K266" s="129"/>
      <c r="L266" s="129"/>
      <c r="M266" s="129"/>
      <c r="N266" s="129"/>
      <c r="O266" s="129"/>
      <c r="P266" s="129"/>
      <c r="Q266" s="129"/>
      <c r="R266" s="129"/>
      <c r="S266" s="141"/>
      <c r="T266" s="139"/>
      <c r="U266" s="129"/>
      <c r="V266" s="129"/>
      <c r="W266" s="129"/>
      <c r="X266" s="129"/>
      <c r="Y266" s="129"/>
      <c r="Z266" s="115"/>
      <c r="AA266" s="129"/>
      <c r="AB266" s="149"/>
      <c r="AC266" s="129"/>
      <c r="AD266" s="129"/>
      <c r="AE266" s="129"/>
    </row>
    <row r="267" spans="3:31" x14ac:dyDescent="0.35">
      <c r="C267" s="129"/>
      <c r="D267" s="129"/>
      <c r="E267" s="129"/>
      <c r="F267" s="129"/>
      <c r="G267" s="129"/>
      <c r="H267" s="110"/>
      <c r="I267" s="129"/>
      <c r="J267" t="s">
        <v>351</v>
      </c>
      <c r="K267" s="129"/>
      <c r="L267" s="129"/>
      <c r="M267" s="129"/>
      <c r="N267" s="129"/>
      <c r="O267" s="129"/>
      <c r="P267" s="129"/>
      <c r="Q267" s="129"/>
      <c r="R267" s="129"/>
      <c r="S267" s="141"/>
      <c r="T267" s="139"/>
      <c r="U267" s="129"/>
      <c r="V267" s="129"/>
      <c r="W267" s="129"/>
      <c r="X267" s="129"/>
      <c r="Y267" s="129"/>
      <c r="Z267" s="115"/>
      <c r="AA267" s="129"/>
      <c r="AB267" s="149"/>
      <c r="AC267" s="129"/>
      <c r="AD267" s="129"/>
      <c r="AE267" s="129"/>
    </row>
    <row r="268" spans="3:31" x14ac:dyDescent="0.35">
      <c r="C268" s="129"/>
      <c r="D268" s="129"/>
      <c r="E268" s="129"/>
      <c r="F268" s="129"/>
      <c r="G268" s="129"/>
      <c r="H268" s="110"/>
      <c r="I268" s="129"/>
      <c r="J268" t="s">
        <v>351</v>
      </c>
      <c r="K268" s="129"/>
      <c r="L268" s="129"/>
      <c r="M268" s="129"/>
      <c r="N268" s="129"/>
      <c r="O268" s="129"/>
      <c r="P268" s="129"/>
      <c r="Q268" s="129"/>
      <c r="R268" s="129"/>
      <c r="S268" s="141"/>
      <c r="T268" s="139"/>
      <c r="U268" s="129"/>
      <c r="V268" s="129"/>
      <c r="W268" s="129"/>
      <c r="X268" s="129"/>
      <c r="Y268" s="129"/>
      <c r="Z268" s="115"/>
      <c r="AA268" s="129"/>
      <c r="AB268" s="149"/>
      <c r="AC268" s="129"/>
      <c r="AD268" s="129"/>
      <c r="AE268" s="129"/>
    </row>
    <row r="269" spans="3:31" x14ac:dyDescent="0.35">
      <c r="C269" s="129"/>
      <c r="D269" s="129"/>
      <c r="E269" s="129"/>
      <c r="F269" s="129"/>
      <c r="G269" s="129"/>
      <c r="H269" s="110"/>
      <c r="I269" s="129"/>
      <c r="J269" t="s">
        <v>351</v>
      </c>
      <c r="K269" s="129"/>
      <c r="L269" s="129"/>
      <c r="M269" s="129"/>
      <c r="N269" s="129"/>
      <c r="O269" s="129"/>
      <c r="P269" s="129"/>
      <c r="Q269" s="129"/>
      <c r="R269" s="129"/>
      <c r="S269" s="141"/>
      <c r="T269" s="139"/>
      <c r="U269" s="129"/>
      <c r="V269" s="129"/>
      <c r="W269" s="129"/>
      <c r="X269" s="129"/>
      <c r="Y269" s="129"/>
      <c r="Z269" s="115"/>
      <c r="AA269" s="129"/>
      <c r="AB269" s="149"/>
      <c r="AC269" s="129"/>
      <c r="AD269" s="129"/>
      <c r="AE269" s="129"/>
    </row>
    <row r="270" spans="3:31" x14ac:dyDescent="0.35">
      <c r="C270" s="129"/>
      <c r="D270" s="129"/>
      <c r="E270" s="129"/>
      <c r="F270" s="129"/>
      <c r="G270" s="129"/>
      <c r="H270" s="110"/>
      <c r="I270" s="129"/>
      <c r="J270" t="s">
        <v>351</v>
      </c>
      <c r="K270" s="129"/>
      <c r="L270" s="129"/>
      <c r="M270" s="129"/>
      <c r="N270" s="129"/>
      <c r="O270" s="129"/>
      <c r="P270" s="129"/>
      <c r="Q270" s="129"/>
      <c r="R270" s="129"/>
      <c r="S270" s="141"/>
      <c r="T270" s="139"/>
      <c r="U270" s="129"/>
      <c r="V270" s="129"/>
      <c r="W270" s="129"/>
      <c r="X270" s="129"/>
      <c r="Y270" s="129"/>
      <c r="Z270" s="115"/>
      <c r="AA270" s="129"/>
      <c r="AB270" s="149"/>
      <c r="AC270" s="129"/>
      <c r="AD270" s="129"/>
      <c r="AE270" s="129"/>
    </row>
    <row r="271" spans="3:31" x14ac:dyDescent="0.35">
      <c r="C271" s="129"/>
      <c r="D271" s="129"/>
      <c r="E271" s="129"/>
      <c r="F271" s="129"/>
      <c r="G271" s="129"/>
      <c r="H271" s="110"/>
      <c r="I271" s="129"/>
      <c r="J271" t="s">
        <v>351</v>
      </c>
      <c r="K271" s="129"/>
      <c r="L271" s="129"/>
      <c r="M271" s="129"/>
      <c r="N271" s="129"/>
      <c r="O271" s="129"/>
      <c r="P271" s="129"/>
      <c r="Q271" s="129"/>
      <c r="R271" s="129"/>
      <c r="S271" s="141"/>
      <c r="T271" s="139"/>
      <c r="U271" s="129"/>
      <c r="V271" s="129"/>
      <c r="W271" s="129"/>
      <c r="X271" s="129"/>
      <c r="Y271" s="129"/>
      <c r="Z271" s="115"/>
      <c r="AA271" s="129"/>
      <c r="AB271" s="149"/>
      <c r="AC271" s="129"/>
      <c r="AD271" s="129"/>
      <c r="AE271" s="129"/>
    </row>
    <row r="272" spans="3:31" x14ac:dyDescent="0.35">
      <c r="C272" s="129"/>
      <c r="D272" s="129"/>
      <c r="E272" s="129"/>
      <c r="F272" s="129"/>
      <c r="G272" s="129"/>
      <c r="H272" s="110"/>
      <c r="I272" s="129"/>
      <c r="J272" t="s">
        <v>351</v>
      </c>
      <c r="K272" s="129"/>
      <c r="L272" s="129"/>
      <c r="M272" s="129"/>
      <c r="N272" s="129"/>
      <c r="O272" s="129"/>
      <c r="P272" s="129"/>
      <c r="Q272" s="129"/>
      <c r="R272" s="129"/>
      <c r="S272" s="141"/>
      <c r="T272" s="139"/>
      <c r="U272" s="129"/>
      <c r="V272" s="129"/>
      <c r="W272" s="129"/>
      <c r="X272" s="129"/>
      <c r="Y272" s="129"/>
      <c r="Z272" s="115"/>
      <c r="AA272" s="129"/>
      <c r="AB272" s="149"/>
      <c r="AC272" s="129"/>
      <c r="AD272" s="129"/>
      <c r="AE272" s="129"/>
    </row>
    <row r="273" spans="3:31" x14ac:dyDescent="0.35">
      <c r="C273" s="129"/>
      <c r="D273" s="129"/>
      <c r="E273" s="129"/>
      <c r="F273" s="129"/>
      <c r="G273" s="129"/>
      <c r="H273" s="110"/>
      <c r="I273" s="129"/>
      <c r="J273" t="s">
        <v>351</v>
      </c>
      <c r="K273" s="129"/>
      <c r="L273" s="129"/>
      <c r="M273" s="129"/>
      <c r="N273" s="129"/>
      <c r="O273" s="129"/>
      <c r="P273" s="129"/>
      <c r="Q273" s="129"/>
      <c r="R273" s="129"/>
      <c r="S273" s="141"/>
      <c r="T273" s="139"/>
      <c r="U273" s="129"/>
      <c r="V273" s="129"/>
      <c r="W273" s="129"/>
      <c r="X273" s="129"/>
      <c r="Y273" s="129"/>
      <c r="Z273" s="115"/>
      <c r="AA273" s="129"/>
      <c r="AB273" s="149"/>
      <c r="AC273" s="129"/>
      <c r="AD273" s="129"/>
      <c r="AE273" s="129"/>
    </row>
    <row r="274" spans="3:31" x14ac:dyDescent="0.35">
      <c r="C274" s="129"/>
      <c r="D274" s="129"/>
      <c r="E274" s="129"/>
      <c r="F274" s="129"/>
      <c r="G274" s="129"/>
      <c r="H274" s="110"/>
      <c r="I274" s="129"/>
      <c r="J274" t="s">
        <v>351</v>
      </c>
      <c r="K274" s="129"/>
      <c r="L274" s="129"/>
      <c r="M274" s="129"/>
      <c r="N274" s="129"/>
      <c r="O274" s="129"/>
      <c r="P274" s="129"/>
      <c r="Q274" s="129"/>
      <c r="R274" s="129"/>
      <c r="S274" s="141"/>
      <c r="T274" s="139"/>
      <c r="U274" s="129"/>
      <c r="V274" s="129"/>
      <c r="W274" s="129"/>
      <c r="X274" s="129"/>
      <c r="Y274" s="129"/>
      <c r="Z274" s="115"/>
      <c r="AA274" s="129"/>
      <c r="AB274" s="149"/>
      <c r="AC274" s="129"/>
      <c r="AD274" s="129"/>
      <c r="AE274" s="129"/>
    </row>
    <row r="275" spans="3:31" x14ac:dyDescent="0.35">
      <c r="C275" s="129"/>
      <c r="D275" s="129"/>
      <c r="E275" s="129"/>
      <c r="F275" s="129"/>
      <c r="G275" s="129"/>
      <c r="H275" s="110"/>
      <c r="I275" s="129"/>
      <c r="J275" t="s">
        <v>351</v>
      </c>
      <c r="K275" s="129"/>
      <c r="L275" s="129"/>
      <c r="M275" s="129"/>
      <c r="N275" s="129"/>
      <c r="O275" s="129"/>
      <c r="P275" s="129"/>
      <c r="Q275" s="129"/>
      <c r="R275" s="129"/>
      <c r="S275" s="141"/>
      <c r="T275" s="139"/>
      <c r="U275" s="129"/>
      <c r="V275" s="129"/>
      <c r="W275" s="129"/>
      <c r="X275" s="129"/>
      <c r="Y275" s="129"/>
      <c r="Z275" s="115"/>
      <c r="AA275" s="129"/>
      <c r="AB275" s="149"/>
      <c r="AC275" s="129"/>
      <c r="AD275" s="129"/>
      <c r="AE275" s="129"/>
    </row>
    <row r="276" spans="3:31" x14ac:dyDescent="0.35">
      <c r="C276" s="129"/>
      <c r="D276" s="129"/>
      <c r="E276" s="129"/>
      <c r="F276" s="129"/>
      <c r="G276" s="129"/>
      <c r="H276" s="110"/>
      <c r="I276" s="129"/>
      <c r="J276" t="s">
        <v>351</v>
      </c>
      <c r="K276" s="129"/>
      <c r="L276" s="129"/>
      <c r="M276" s="129"/>
      <c r="N276" s="129"/>
      <c r="O276" s="129"/>
      <c r="P276" s="129"/>
      <c r="Q276" s="129"/>
      <c r="R276" s="129"/>
      <c r="S276" s="141"/>
      <c r="T276" s="139"/>
      <c r="U276" s="129"/>
      <c r="V276" s="129"/>
      <c r="W276" s="129"/>
      <c r="X276" s="129"/>
      <c r="Y276" s="129"/>
      <c r="Z276" s="115"/>
      <c r="AA276" s="129"/>
      <c r="AB276" s="149"/>
      <c r="AC276" s="129"/>
      <c r="AD276" s="129"/>
      <c r="AE276" s="129"/>
    </row>
    <row r="277" spans="3:31" x14ac:dyDescent="0.35">
      <c r="C277" s="129"/>
      <c r="D277" s="129"/>
      <c r="E277" s="129"/>
      <c r="F277" s="129"/>
      <c r="G277" s="129"/>
      <c r="H277" s="110"/>
      <c r="I277" s="129"/>
      <c r="J277" t="s">
        <v>351</v>
      </c>
      <c r="K277" s="129"/>
      <c r="L277" s="129"/>
      <c r="M277" s="129"/>
      <c r="N277" s="129"/>
      <c r="O277" s="129"/>
      <c r="P277" s="129"/>
      <c r="Q277" s="129"/>
      <c r="R277" s="129"/>
      <c r="S277" s="141"/>
      <c r="T277" s="139"/>
      <c r="U277" s="129"/>
      <c r="V277" s="129"/>
      <c r="W277" s="129"/>
      <c r="X277" s="129"/>
      <c r="Y277" s="129"/>
      <c r="Z277" s="115"/>
      <c r="AA277" s="129"/>
      <c r="AB277" s="149"/>
      <c r="AC277" s="129"/>
      <c r="AD277" s="129"/>
      <c r="AE277" s="129"/>
    </row>
    <row r="278" spans="3:31" x14ac:dyDescent="0.35">
      <c r="C278" s="129"/>
      <c r="D278" s="129"/>
      <c r="E278" s="129"/>
      <c r="F278" s="129"/>
      <c r="G278" s="129"/>
      <c r="H278" s="110"/>
      <c r="I278" s="129"/>
      <c r="J278" t="s">
        <v>351</v>
      </c>
      <c r="K278" s="129"/>
      <c r="L278" s="129"/>
      <c r="M278" s="129"/>
      <c r="N278" s="129"/>
      <c r="O278" s="129"/>
      <c r="P278" s="129"/>
      <c r="Q278" s="129"/>
      <c r="R278" s="129"/>
      <c r="S278" s="141"/>
      <c r="T278" s="139"/>
      <c r="U278" s="129"/>
      <c r="V278" s="129"/>
      <c r="W278" s="129"/>
      <c r="X278" s="129"/>
      <c r="Y278" s="129"/>
      <c r="Z278" s="115"/>
      <c r="AA278" s="129"/>
      <c r="AB278" s="149"/>
      <c r="AC278" s="129"/>
      <c r="AD278" s="129"/>
      <c r="AE278" s="129"/>
    </row>
    <row r="279" spans="3:31" x14ac:dyDescent="0.35">
      <c r="C279" s="129"/>
      <c r="D279" s="129"/>
      <c r="E279" s="129"/>
      <c r="F279" s="129"/>
      <c r="G279" s="129"/>
      <c r="H279" s="110"/>
      <c r="I279" s="129"/>
      <c r="J279" t="s">
        <v>351</v>
      </c>
      <c r="K279" s="129"/>
      <c r="L279" s="129"/>
      <c r="M279" s="129"/>
      <c r="N279" s="129"/>
      <c r="O279" s="129"/>
      <c r="P279" s="129"/>
      <c r="Q279" s="129"/>
      <c r="R279" s="129"/>
      <c r="S279" s="141"/>
      <c r="T279" s="139"/>
      <c r="U279" s="129"/>
      <c r="V279" s="129"/>
      <c r="W279" s="129"/>
      <c r="X279" s="129"/>
      <c r="Y279" s="129"/>
      <c r="Z279" s="115"/>
      <c r="AA279" s="129"/>
      <c r="AB279" s="149"/>
      <c r="AC279" s="129"/>
      <c r="AD279" s="129"/>
      <c r="AE279" s="129"/>
    </row>
    <row r="280" spans="3:31" x14ac:dyDescent="0.35">
      <c r="C280" s="129"/>
      <c r="D280" s="129"/>
      <c r="E280" s="129"/>
      <c r="F280" s="129"/>
      <c r="G280" s="129"/>
      <c r="H280" s="110"/>
      <c r="I280" s="129"/>
      <c r="J280" t="s">
        <v>351</v>
      </c>
      <c r="K280" s="129"/>
      <c r="L280" s="129"/>
      <c r="M280" s="129"/>
      <c r="N280" s="129"/>
      <c r="O280" s="129"/>
      <c r="P280" s="129"/>
      <c r="Q280" s="129"/>
      <c r="R280" s="129"/>
      <c r="S280" s="141"/>
      <c r="T280" s="139"/>
      <c r="U280" s="129"/>
      <c r="V280" s="129"/>
      <c r="W280" s="129"/>
      <c r="X280" s="129"/>
      <c r="Y280" s="129"/>
      <c r="Z280" s="115"/>
      <c r="AA280" s="129"/>
      <c r="AB280" s="149"/>
      <c r="AC280" s="129"/>
      <c r="AD280" s="129"/>
      <c r="AE280" s="129"/>
    </row>
    <row r="281" spans="3:31" x14ac:dyDescent="0.35">
      <c r="C281" s="129"/>
      <c r="D281" s="129"/>
      <c r="E281" s="129"/>
      <c r="F281" s="129"/>
      <c r="G281" s="129"/>
      <c r="H281" s="110"/>
      <c r="I281" s="129"/>
      <c r="J281" t="s">
        <v>351</v>
      </c>
      <c r="K281" s="129"/>
      <c r="L281" s="129"/>
      <c r="M281" s="129"/>
      <c r="N281" s="129"/>
      <c r="O281" s="129"/>
      <c r="P281" s="129"/>
      <c r="Q281" s="129"/>
      <c r="R281" s="129"/>
      <c r="S281" s="141"/>
      <c r="T281" s="139"/>
      <c r="U281" s="129"/>
      <c r="V281" s="129"/>
      <c r="W281" s="129"/>
      <c r="X281" s="129"/>
      <c r="Y281" s="129"/>
      <c r="Z281" s="115"/>
      <c r="AA281" s="129"/>
      <c r="AB281" s="149"/>
      <c r="AC281" s="129"/>
      <c r="AD281" s="129"/>
      <c r="AE281" s="129"/>
    </row>
    <row r="282" spans="3:31" x14ac:dyDescent="0.35">
      <c r="C282" s="129"/>
      <c r="D282" s="129"/>
      <c r="E282" s="129"/>
      <c r="F282" s="129"/>
      <c r="G282" s="129"/>
      <c r="H282" s="110"/>
      <c r="I282" s="129"/>
      <c r="J282" t="s">
        <v>351</v>
      </c>
      <c r="K282" s="129"/>
      <c r="L282" s="129"/>
      <c r="M282" s="129"/>
      <c r="N282" s="129"/>
      <c r="O282" s="129"/>
      <c r="P282" s="129"/>
      <c r="Q282" s="129"/>
      <c r="R282" s="129"/>
      <c r="S282" s="141"/>
      <c r="T282" s="139"/>
      <c r="U282" s="129"/>
      <c r="V282" s="129"/>
      <c r="W282" s="129"/>
      <c r="X282" s="129"/>
      <c r="Y282" s="129"/>
      <c r="Z282" s="115"/>
      <c r="AA282" s="129"/>
      <c r="AB282" s="149"/>
      <c r="AC282" s="129"/>
      <c r="AD282" s="129"/>
      <c r="AE282" s="129"/>
    </row>
    <row r="283" spans="3:31" x14ac:dyDescent="0.35">
      <c r="C283" s="129"/>
      <c r="D283" s="129"/>
      <c r="E283" s="129"/>
      <c r="F283" s="129"/>
      <c r="G283" s="129"/>
      <c r="H283" s="110"/>
      <c r="I283" s="129"/>
      <c r="J283" t="s">
        <v>351</v>
      </c>
      <c r="K283" s="129"/>
      <c r="L283" s="129"/>
      <c r="M283" s="129"/>
      <c r="N283" s="129"/>
      <c r="O283" s="129"/>
      <c r="P283" s="129"/>
      <c r="Q283" s="129"/>
      <c r="R283" s="129"/>
      <c r="S283" s="141"/>
      <c r="T283" s="139"/>
      <c r="U283" s="129"/>
      <c r="V283" s="129"/>
      <c r="W283" s="129"/>
      <c r="X283" s="129"/>
      <c r="Y283" s="129"/>
      <c r="Z283" s="115"/>
      <c r="AA283" s="129"/>
      <c r="AB283" s="149"/>
      <c r="AC283" s="129"/>
      <c r="AD283" s="129"/>
      <c r="AE283" s="129"/>
    </row>
    <row r="284" spans="3:31" x14ac:dyDescent="0.35">
      <c r="C284" s="129"/>
      <c r="D284" s="129"/>
      <c r="E284" s="129"/>
      <c r="F284" s="129"/>
      <c r="G284" s="129"/>
      <c r="H284" s="110"/>
      <c r="I284" s="129"/>
      <c r="J284" t="s">
        <v>351</v>
      </c>
      <c r="K284" s="129"/>
      <c r="L284" s="129"/>
      <c r="M284" s="129"/>
      <c r="N284" s="129"/>
      <c r="O284" s="129"/>
      <c r="P284" s="129"/>
      <c r="Q284" s="129"/>
      <c r="R284" s="129"/>
      <c r="S284" s="141"/>
      <c r="T284" s="139"/>
      <c r="U284" s="129"/>
      <c r="V284" s="129"/>
      <c r="W284" s="129"/>
      <c r="X284" s="129"/>
      <c r="Y284" s="129"/>
      <c r="Z284" s="115"/>
      <c r="AA284" s="129"/>
      <c r="AB284" s="149"/>
      <c r="AC284" s="129"/>
      <c r="AD284" s="129"/>
      <c r="AE284" s="129"/>
    </row>
    <row r="285" spans="3:31" x14ac:dyDescent="0.35">
      <c r="C285" s="129"/>
      <c r="D285" s="129"/>
      <c r="E285" s="129"/>
      <c r="F285" s="129"/>
      <c r="G285" s="129"/>
      <c r="H285" s="110"/>
      <c r="I285" s="129"/>
      <c r="J285" t="s">
        <v>351</v>
      </c>
      <c r="K285" s="129"/>
      <c r="L285" s="129"/>
      <c r="M285" s="129"/>
      <c r="N285" s="129"/>
      <c r="O285" s="129"/>
      <c r="P285" s="129"/>
      <c r="Q285" s="129"/>
      <c r="R285" s="129"/>
      <c r="S285" s="141"/>
      <c r="T285" s="139"/>
      <c r="U285" s="129"/>
      <c r="V285" s="129"/>
      <c r="W285" s="129"/>
      <c r="X285" s="129"/>
      <c r="Y285" s="129"/>
      <c r="Z285" s="115"/>
      <c r="AA285" s="129"/>
      <c r="AB285" s="149"/>
      <c r="AC285" s="129"/>
      <c r="AD285" s="129"/>
      <c r="AE285" s="129"/>
    </row>
    <row r="286" spans="3:31" x14ac:dyDescent="0.35">
      <c r="C286" s="129"/>
      <c r="D286" s="129"/>
      <c r="E286" s="129"/>
      <c r="F286" s="129"/>
      <c r="G286" s="129"/>
      <c r="H286" s="110"/>
      <c r="I286" s="129"/>
      <c r="J286" t="s">
        <v>351</v>
      </c>
      <c r="K286" s="129"/>
      <c r="L286" s="129"/>
      <c r="M286" s="129"/>
      <c r="N286" s="129"/>
      <c r="O286" s="129"/>
      <c r="P286" s="129"/>
      <c r="Q286" s="129"/>
      <c r="R286" s="129"/>
      <c r="S286" s="141"/>
      <c r="T286" s="139"/>
      <c r="U286" s="129"/>
      <c r="V286" s="129"/>
      <c r="W286" s="129"/>
      <c r="X286" s="129"/>
      <c r="Y286" s="129"/>
      <c r="Z286" s="115"/>
      <c r="AA286" s="129"/>
      <c r="AB286" s="149"/>
      <c r="AC286" s="129"/>
      <c r="AD286" s="129"/>
      <c r="AE286" s="129"/>
    </row>
    <row r="287" spans="3:31" x14ac:dyDescent="0.35">
      <c r="C287" s="129"/>
      <c r="D287" s="129"/>
      <c r="E287" s="129"/>
      <c r="F287" s="129"/>
      <c r="G287" s="129"/>
      <c r="H287" s="110"/>
      <c r="I287" s="129"/>
      <c r="J287" t="s">
        <v>351</v>
      </c>
      <c r="K287" s="129"/>
      <c r="L287" s="129"/>
      <c r="M287" s="129"/>
      <c r="N287" s="129"/>
      <c r="O287" s="129"/>
      <c r="P287" s="129"/>
      <c r="Q287" s="129"/>
      <c r="R287" s="129"/>
      <c r="S287" s="141"/>
      <c r="T287" s="139"/>
      <c r="U287" s="129"/>
      <c r="V287" s="129"/>
      <c r="W287" s="129"/>
      <c r="X287" s="129"/>
      <c r="Y287" s="129"/>
      <c r="Z287" s="115"/>
      <c r="AA287" s="129"/>
      <c r="AB287" s="149"/>
      <c r="AC287" s="129"/>
      <c r="AD287" s="129"/>
      <c r="AE287" s="129"/>
    </row>
    <row r="288" spans="3:31" x14ac:dyDescent="0.35">
      <c r="C288" s="129"/>
      <c r="D288" s="129"/>
      <c r="E288" s="129"/>
      <c r="F288" s="129"/>
      <c r="G288" s="129"/>
      <c r="H288" s="110"/>
      <c r="I288" s="129"/>
      <c r="J288" t="s">
        <v>351</v>
      </c>
      <c r="K288" s="129"/>
      <c r="L288" s="129"/>
      <c r="M288" s="129"/>
      <c r="N288" s="129"/>
      <c r="O288" s="129"/>
      <c r="P288" s="129"/>
      <c r="Q288" s="129"/>
      <c r="R288" s="129"/>
      <c r="S288" s="141"/>
      <c r="T288" s="139"/>
      <c r="U288" s="129"/>
      <c r="V288" s="129"/>
      <c r="W288" s="129"/>
      <c r="X288" s="129"/>
      <c r="Y288" s="129"/>
      <c r="Z288" s="115"/>
      <c r="AA288" s="129"/>
      <c r="AB288" s="149"/>
      <c r="AC288" s="129"/>
      <c r="AD288" s="129"/>
      <c r="AE288" s="129"/>
    </row>
    <row r="289" spans="3:31" x14ac:dyDescent="0.35">
      <c r="C289" s="129"/>
      <c r="D289" s="129"/>
      <c r="E289" s="129"/>
      <c r="F289" s="129"/>
      <c r="G289" s="129"/>
      <c r="H289" s="110"/>
      <c r="I289" s="129"/>
      <c r="J289" t="s">
        <v>351</v>
      </c>
      <c r="K289" s="129"/>
      <c r="L289" s="129"/>
      <c r="M289" s="129"/>
      <c r="N289" s="129"/>
      <c r="O289" s="129"/>
      <c r="P289" s="129"/>
      <c r="Q289" s="129"/>
      <c r="R289" s="129"/>
      <c r="S289" s="141"/>
      <c r="T289" s="139"/>
      <c r="U289" s="129"/>
      <c r="V289" s="129"/>
      <c r="W289" s="129"/>
      <c r="X289" s="129"/>
      <c r="Y289" s="129"/>
      <c r="Z289" s="115"/>
      <c r="AA289" s="129"/>
      <c r="AB289" s="149"/>
      <c r="AC289" s="129"/>
      <c r="AD289" s="129"/>
      <c r="AE289" s="129"/>
    </row>
    <row r="290" spans="3:31" x14ac:dyDescent="0.35">
      <c r="C290" s="129"/>
      <c r="D290" s="129"/>
      <c r="E290" s="129"/>
      <c r="F290" s="129"/>
      <c r="G290" s="129"/>
      <c r="H290" s="110"/>
      <c r="I290" s="129"/>
      <c r="J290" t="s">
        <v>351</v>
      </c>
      <c r="K290" s="129"/>
      <c r="L290" s="129"/>
      <c r="M290" s="129"/>
      <c r="N290" s="129"/>
      <c r="O290" s="129"/>
      <c r="P290" s="129"/>
      <c r="Q290" s="129"/>
      <c r="R290" s="129"/>
      <c r="S290" s="141"/>
      <c r="T290" s="139"/>
      <c r="U290" s="129"/>
      <c r="V290" s="129"/>
      <c r="W290" s="129"/>
      <c r="X290" s="129"/>
      <c r="Y290" s="129"/>
      <c r="Z290" s="115"/>
      <c r="AA290" s="129"/>
      <c r="AB290" s="149"/>
      <c r="AC290" s="129"/>
      <c r="AD290" s="129"/>
      <c r="AE290" s="129"/>
    </row>
    <row r="291" spans="3:31" x14ac:dyDescent="0.35">
      <c r="C291" s="129"/>
      <c r="D291" s="129"/>
      <c r="E291" s="129"/>
      <c r="F291" s="129"/>
      <c r="G291" s="129"/>
      <c r="H291" s="110"/>
      <c r="I291" s="129"/>
      <c r="J291" t="s">
        <v>351</v>
      </c>
      <c r="K291" s="129"/>
      <c r="L291" s="129"/>
      <c r="M291" s="129"/>
      <c r="N291" s="129"/>
      <c r="O291" s="129"/>
      <c r="P291" s="129"/>
      <c r="Q291" s="129"/>
      <c r="R291" s="129"/>
      <c r="S291" s="141"/>
      <c r="T291" s="139"/>
      <c r="U291" s="129"/>
      <c r="V291" s="129"/>
      <c r="W291" s="129"/>
      <c r="X291" s="129"/>
      <c r="Y291" s="129"/>
      <c r="Z291" s="115"/>
      <c r="AA291" s="129"/>
      <c r="AB291" s="149"/>
      <c r="AC291" s="129"/>
      <c r="AD291" s="129"/>
      <c r="AE291" s="129"/>
    </row>
    <row r="292" spans="3:31" x14ac:dyDescent="0.35">
      <c r="C292" s="129"/>
      <c r="D292" s="129"/>
      <c r="E292" s="129"/>
      <c r="F292" s="129"/>
      <c r="G292" s="129"/>
      <c r="H292" s="110"/>
      <c r="I292" s="129"/>
      <c r="J292" t="s">
        <v>351</v>
      </c>
      <c r="K292" s="129"/>
      <c r="L292" s="129"/>
      <c r="M292" s="129"/>
      <c r="N292" s="129"/>
      <c r="O292" s="129"/>
      <c r="P292" s="129"/>
      <c r="Q292" s="129"/>
      <c r="R292" s="129"/>
      <c r="S292" s="141"/>
      <c r="T292" s="139"/>
      <c r="U292" s="129"/>
      <c r="V292" s="129"/>
      <c r="W292" s="129"/>
      <c r="X292" s="129"/>
      <c r="Y292" s="129"/>
      <c r="Z292" s="115"/>
      <c r="AA292" s="129"/>
      <c r="AB292" s="149"/>
      <c r="AC292" s="129"/>
      <c r="AD292" s="129"/>
      <c r="AE292" s="129"/>
    </row>
    <row r="293" spans="3:31" x14ac:dyDescent="0.35">
      <c r="C293" s="129"/>
      <c r="D293" s="129"/>
      <c r="E293" s="129"/>
      <c r="F293" s="129"/>
      <c r="G293" s="129"/>
      <c r="H293" s="110"/>
      <c r="I293" s="129"/>
      <c r="J293" t="s">
        <v>351</v>
      </c>
      <c r="K293" s="129"/>
      <c r="L293" s="129"/>
      <c r="M293" s="129"/>
      <c r="N293" s="129"/>
      <c r="O293" s="129"/>
      <c r="P293" s="129"/>
      <c r="Q293" s="129"/>
      <c r="R293" s="129"/>
      <c r="S293" s="141"/>
      <c r="T293" s="139"/>
      <c r="U293" s="129"/>
      <c r="V293" s="129"/>
      <c r="W293" s="129"/>
      <c r="X293" s="129"/>
      <c r="Y293" s="129"/>
      <c r="Z293" s="115"/>
      <c r="AA293" s="129"/>
      <c r="AB293" s="149"/>
      <c r="AC293" s="129"/>
      <c r="AD293" s="129"/>
      <c r="AE293" s="129"/>
    </row>
    <row r="294" spans="3:31" x14ac:dyDescent="0.35">
      <c r="C294" s="129"/>
      <c r="D294" s="129"/>
      <c r="E294" s="129"/>
      <c r="F294" s="129"/>
      <c r="G294" s="129"/>
      <c r="H294" s="110"/>
      <c r="I294" s="129"/>
      <c r="J294" t="s">
        <v>351</v>
      </c>
      <c r="K294" s="129"/>
      <c r="L294" s="129"/>
      <c r="M294" s="129"/>
      <c r="N294" s="129"/>
      <c r="O294" s="129"/>
      <c r="P294" s="129"/>
      <c r="Q294" s="129"/>
      <c r="R294" s="129"/>
      <c r="S294" s="141"/>
      <c r="T294" s="139"/>
      <c r="U294" s="129"/>
      <c r="V294" s="129"/>
      <c r="W294" s="129"/>
      <c r="X294" s="129"/>
      <c r="Y294" s="129"/>
      <c r="Z294" s="115"/>
      <c r="AA294" s="129"/>
      <c r="AB294" s="149"/>
      <c r="AC294" s="129"/>
      <c r="AD294" s="129"/>
      <c r="AE294" s="129"/>
    </row>
    <row r="295" spans="3:31" x14ac:dyDescent="0.35">
      <c r="C295" s="129"/>
      <c r="D295" s="129"/>
      <c r="E295" s="129"/>
      <c r="F295" s="129"/>
      <c r="G295" s="129"/>
      <c r="H295" s="110"/>
      <c r="I295" s="129"/>
      <c r="J295" t="s">
        <v>351</v>
      </c>
      <c r="K295" s="129"/>
      <c r="L295" s="129"/>
      <c r="M295" s="129"/>
      <c r="N295" s="129"/>
      <c r="O295" s="129"/>
      <c r="P295" s="129"/>
      <c r="Q295" s="129"/>
      <c r="R295" s="129"/>
      <c r="S295" s="141"/>
      <c r="T295" s="139"/>
      <c r="U295" s="129"/>
      <c r="V295" s="129"/>
      <c r="W295" s="129"/>
      <c r="X295" s="129"/>
      <c r="Y295" s="129"/>
      <c r="Z295" s="115"/>
      <c r="AA295" s="129"/>
      <c r="AB295" s="149"/>
      <c r="AC295" s="129"/>
      <c r="AD295" s="129"/>
      <c r="AE295" s="129"/>
    </row>
    <row r="296" spans="3:31" x14ac:dyDescent="0.35">
      <c r="C296" s="129"/>
      <c r="D296" s="129"/>
      <c r="E296" s="129"/>
      <c r="F296" s="129"/>
      <c r="G296" s="129"/>
      <c r="H296" s="110"/>
      <c r="I296" s="129"/>
      <c r="J296" t="s">
        <v>351</v>
      </c>
      <c r="K296" s="129"/>
      <c r="L296" s="129"/>
      <c r="M296" s="129"/>
      <c r="N296" s="129"/>
      <c r="O296" s="129"/>
      <c r="P296" s="129"/>
      <c r="Q296" s="129"/>
      <c r="R296" s="129"/>
      <c r="S296" s="141"/>
      <c r="T296" s="139"/>
      <c r="U296" s="129"/>
      <c r="V296" s="129"/>
      <c r="W296" s="129"/>
      <c r="X296" s="129"/>
      <c r="Y296" s="129"/>
      <c r="Z296" s="115"/>
      <c r="AA296" s="129"/>
      <c r="AB296" s="149"/>
      <c r="AC296" s="129"/>
      <c r="AD296" s="129"/>
      <c r="AE296" s="129"/>
    </row>
    <row r="297" spans="3:31" x14ac:dyDescent="0.35">
      <c r="C297" s="129"/>
      <c r="D297" s="129"/>
      <c r="E297" s="129"/>
      <c r="F297" s="129"/>
      <c r="G297" s="129"/>
      <c r="H297" s="110"/>
      <c r="I297" s="129"/>
      <c r="J297" t="s">
        <v>351</v>
      </c>
      <c r="K297" s="129"/>
      <c r="L297" s="129"/>
      <c r="M297" s="129"/>
      <c r="N297" s="129"/>
      <c r="O297" s="129"/>
      <c r="P297" s="129"/>
      <c r="Q297" s="129"/>
      <c r="R297" s="129"/>
      <c r="S297" s="141"/>
      <c r="T297" s="139"/>
      <c r="U297" s="129"/>
      <c r="V297" s="129"/>
      <c r="W297" s="129"/>
      <c r="X297" s="129"/>
      <c r="Y297" s="129"/>
      <c r="Z297" s="115"/>
      <c r="AA297" s="129"/>
      <c r="AB297" s="149"/>
      <c r="AC297" s="129"/>
      <c r="AD297" s="129"/>
      <c r="AE297" s="129"/>
    </row>
    <row r="298" spans="3:31" x14ac:dyDescent="0.35">
      <c r="C298" s="129"/>
      <c r="D298" s="129"/>
      <c r="E298" s="129"/>
      <c r="F298" s="129"/>
      <c r="G298" s="129"/>
      <c r="H298" s="110"/>
      <c r="I298" s="129"/>
      <c r="J298" t="s">
        <v>351</v>
      </c>
      <c r="K298" s="129"/>
      <c r="L298" s="129"/>
      <c r="M298" s="129"/>
      <c r="N298" s="129"/>
      <c r="O298" s="129"/>
      <c r="P298" s="129"/>
      <c r="Q298" s="129"/>
      <c r="R298" s="129"/>
      <c r="S298" s="141"/>
      <c r="T298" s="139"/>
      <c r="U298" s="129"/>
      <c r="V298" s="129"/>
      <c r="W298" s="129"/>
      <c r="X298" s="129"/>
      <c r="Y298" s="129"/>
      <c r="Z298" s="115"/>
      <c r="AA298" s="129"/>
      <c r="AB298" s="149"/>
      <c r="AC298" s="129"/>
      <c r="AD298" s="129"/>
      <c r="AE298" s="129"/>
    </row>
    <row r="299" spans="3:31" x14ac:dyDescent="0.35">
      <c r="C299" s="129"/>
      <c r="D299" s="129"/>
      <c r="E299" s="129"/>
      <c r="F299" s="129"/>
      <c r="G299" s="129"/>
      <c r="H299" s="110"/>
      <c r="I299" s="129"/>
      <c r="J299" t="s">
        <v>351</v>
      </c>
      <c r="K299" s="129"/>
      <c r="L299" s="129"/>
      <c r="M299" s="129"/>
      <c r="N299" s="129"/>
      <c r="O299" s="129"/>
      <c r="P299" s="129"/>
      <c r="Q299" s="129"/>
      <c r="R299" s="129"/>
      <c r="S299" s="141"/>
      <c r="T299" s="139"/>
      <c r="U299" s="129"/>
      <c r="V299" s="129"/>
      <c r="W299" s="129"/>
      <c r="X299" s="129"/>
      <c r="Y299" s="129"/>
      <c r="Z299" s="115"/>
      <c r="AA299" s="129"/>
      <c r="AB299" s="149"/>
      <c r="AC299" s="129"/>
      <c r="AD299" s="129"/>
      <c r="AE299" s="129"/>
    </row>
    <row r="300" spans="3:31" x14ac:dyDescent="0.35">
      <c r="C300" s="129"/>
      <c r="D300" s="129"/>
      <c r="E300" s="129"/>
      <c r="F300" s="129"/>
      <c r="G300" s="129"/>
      <c r="H300" s="110"/>
      <c r="I300" s="129"/>
      <c r="J300" t="s">
        <v>351</v>
      </c>
      <c r="K300" s="129"/>
      <c r="L300" s="129"/>
      <c r="M300" s="129"/>
      <c r="N300" s="129"/>
      <c r="O300" s="129"/>
      <c r="P300" s="129"/>
      <c r="Q300" s="129"/>
      <c r="R300" s="129"/>
      <c r="S300" s="141"/>
      <c r="T300" s="139"/>
      <c r="U300" s="129"/>
      <c r="V300" s="129"/>
      <c r="W300" s="129"/>
      <c r="X300" s="129"/>
      <c r="Y300" s="129"/>
      <c r="Z300" s="115"/>
      <c r="AA300" s="129"/>
      <c r="AB300" s="149"/>
      <c r="AC300" s="129"/>
      <c r="AD300" s="129"/>
      <c r="AE300" s="129"/>
    </row>
    <row r="301" spans="3:31" x14ac:dyDescent="0.35">
      <c r="C301" s="129"/>
      <c r="D301" s="129"/>
      <c r="E301" s="129"/>
      <c r="F301" s="129"/>
      <c r="G301" s="129"/>
      <c r="H301" s="110"/>
      <c r="I301" s="129"/>
      <c r="J301" t="s">
        <v>351</v>
      </c>
      <c r="K301" s="129"/>
      <c r="L301" s="129"/>
      <c r="M301" s="129"/>
      <c r="N301" s="129"/>
      <c r="O301" s="129"/>
      <c r="P301" s="129"/>
      <c r="Q301" s="129"/>
      <c r="R301" s="129"/>
      <c r="S301" s="141"/>
      <c r="T301" s="139"/>
      <c r="U301" s="129"/>
      <c r="V301" s="129"/>
      <c r="W301" s="129"/>
      <c r="X301" s="129"/>
      <c r="Y301" s="129"/>
      <c r="Z301" s="115"/>
      <c r="AA301" s="129"/>
      <c r="AB301" s="149"/>
      <c r="AC301" s="129"/>
      <c r="AD301" s="129"/>
      <c r="AE301" s="129"/>
    </row>
    <row r="302" spans="3:31" x14ac:dyDescent="0.35">
      <c r="C302" s="129"/>
      <c r="D302" s="129"/>
      <c r="E302" s="129"/>
      <c r="F302" s="129"/>
      <c r="G302" s="129"/>
      <c r="H302" s="110"/>
      <c r="I302" s="129"/>
      <c r="J302" t="s">
        <v>351</v>
      </c>
      <c r="K302" s="129"/>
      <c r="L302" s="129"/>
      <c r="M302" s="129"/>
      <c r="N302" s="129"/>
      <c r="O302" s="129"/>
      <c r="P302" s="129"/>
      <c r="Q302" s="129"/>
      <c r="R302" s="129"/>
      <c r="S302" s="141"/>
      <c r="T302" s="139"/>
      <c r="U302" s="129"/>
      <c r="V302" s="129"/>
      <c r="W302" s="129"/>
      <c r="X302" s="129"/>
      <c r="Y302" s="129"/>
      <c r="Z302" s="115"/>
      <c r="AA302" s="129"/>
      <c r="AB302" s="149"/>
      <c r="AC302" s="129"/>
      <c r="AD302" s="129"/>
      <c r="AE302" s="129"/>
    </row>
    <row r="303" spans="3:31" x14ac:dyDescent="0.35">
      <c r="C303" s="129"/>
      <c r="D303" s="129"/>
      <c r="E303" s="129"/>
      <c r="F303" s="129"/>
      <c r="G303" s="129"/>
      <c r="H303" s="110"/>
      <c r="I303" s="129"/>
      <c r="J303" t="s">
        <v>351</v>
      </c>
      <c r="K303" s="129"/>
      <c r="L303" s="129"/>
      <c r="M303" s="129"/>
      <c r="N303" s="129"/>
      <c r="O303" s="129"/>
      <c r="P303" s="129"/>
      <c r="Q303" s="129"/>
      <c r="R303" s="129"/>
      <c r="S303" s="141"/>
      <c r="T303" s="139"/>
      <c r="U303" s="129"/>
      <c r="V303" s="129"/>
      <c r="W303" s="129"/>
      <c r="X303" s="129"/>
      <c r="Y303" s="129"/>
      <c r="Z303" s="115"/>
      <c r="AA303" s="129"/>
      <c r="AB303" s="149"/>
      <c r="AC303" s="129"/>
      <c r="AD303" s="129"/>
      <c r="AE303" s="129"/>
    </row>
    <row r="304" spans="3:31" x14ac:dyDescent="0.35">
      <c r="C304" s="129"/>
      <c r="D304" s="129"/>
      <c r="E304" s="129"/>
      <c r="F304" s="129"/>
      <c r="G304" s="129"/>
      <c r="H304" s="110"/>
      <c r="I304" s="129"/>
      <c r="J304" t="s">
        <v>351</v>
      </c>
      <c r="K304" s="129"/>
      <c r="L304" s="129"/>
      <c r="M304" s="129"/>
      <c r="N304" s="129"/>
      <c r="O304" s="129"/>
      <c r="P304" s="129"/>
      <c r="Q304" s="129"/>
      <c r="R304" s="129"/>
      <c r="S304" s="141"/>
      <c r="T304" s="139"/>
      <c r="U304" s="129"/>
      <c r="V304" s="129"/>
      <c r="W304" s="129"/>
      <c r="X304" s="129"/>
      <c r="Y304" s="129"/>
      <c r="Z304" s="115"/>
      <c r="AA304" s="129"/>
      <c r="AB304" s="149"/>
      <c r="AC304" s="129"/>
      <c r="AD304" s="129"/>
      <c r="AE304" s="129"/>
    </row>
    <row r="305" spans="3:31" x14ac:dyDescent="0.35">
      <c r="C305" s="129"/>
      <c r="D305" s="129"/>
      <c r="E305" s="129"/>
      <c r="F305" s="129"/>
      <c r="G305" s="129"/>
      <c r="H305" s="110"/>
      <c r="I305" s="129"/>
      <c r="J305" t="s">
        <v>351</v>
      </c>
      <c r="K305" s="129"/>
      <c r="L305" s="129"/>
      <c r="M305" s="129"/>
      <c r="N305" s="129"/>
      <c r="O305" s="129"/>
      <c r="P305" s="129"/>
      <c r="Q305" s="129"/>
      <c r="R305" s="129"/>
      <c r="S305" s="141"/>
      <c r="T305" s="139"/>
      <c r="U305" s="129"/>
      <c r="V305" s="129"/>
      <c r="W305" s="129"/>
      <c r="X305" s="129"/>
      <c r="Y305" s="129"/>
      <c r="Z305" s="115"/>
      <c r="AA305" s="129"/>
      <c r="AB305" s="149"/>
      <c r="AC305" s="129"/>
      <c r="AD305" s="129"/>
      <c r="AE305" s="129"/>
    </row>
    <row r="306" spans="3:31" x14ac:dyDescent="0.35">
      <c r="C306" s="129"/>
      <c r="D306" s="129"/>
      <c r="E306" s="129"/>
      <c r="F306" s="129"/>
      <c r="G306" s="129"/>
      <c r="H306" s="110"/>
      <c r="I306" s="129"/>
      <c r="J306" t="s">
        <v>351</v>
      </c>
      <c r="K306" s="129"/>
      <c r="L306" s="129"/>
      <c r="M306" s="129"/>
      <c r="N306" s="129"/>
      <c r="O306" s="129"/>
      <c r="P306" s="129"/>
      <c r="Q306" s="129"/>
      <c r="R306" s="129"/>
      <c r="S306" s="141"/>
      <c r="T306" s="139"/>
      <c r="U306" s="129"/>
      <c r="V306" s="129"/>
      <c r="W306" s="129"/>
      <c r="X306" s="129"/>
      <c r="Y306" s="129"/>
      <c r="Z306" s="115"/>
      <c r="AA306" s="129"/>
      <c r="AB306" s="149"/>
      <c r="AC306" s="129"/>
      <c r="AD306" s="129"/>
      <c r="AE306" s="129"/>
    </row>
    <row r="307" spans="3:31" x14ac:dyDescent="0.35">
      <c r="C307" s="129"/>
      <c r="D307" s="129"/>
      <c r="E307" s="129"/>
      <c r="F307" s="129"/>
      <c r="G307" s="129"/>
      <c r="H307" s="110"/>
      <c r="I307" s="129"/>
      <c r="J307" t="s">
        <v>351</v>
      </c>
      <c r="K307" s="129"/>
      <c r="L307" s="129"/>
      <c r="M307" s="129"/>
      <c r="N307" s="129"/>
      <c r="O307" s="129"/>
      <c r="P307" s="129"/>
      <c r="Q307" s="129"/>
      <c r="R307" s="129"/>
      <c r="S307" s="141"/>
      <c r="T307" s="139"/>
      <c r="U307" s="129"/>
      <c r="V307" s="129"/>
      <c r="W307" s="129"/>
      <c r="X307" s="129"/>
      <c r="Y307" s="129"/>
      <c r="Z307" s="115"/>
      <c r="AA307" s="129"/>
      <c r="AB307" s="149"/>
      <c r="AC307" s="129"/>
      <c r="AD307" s="129"/>
      <c r="AE307" s="129"/>
    </row>
    <row r="308" spans="3:31" x14ac:dyDescent="0.35">
      <c r="C308" s="129"/>
      <c r="D308" s="129"/>
      <c r="E308" s="129"/>
      <c r="F308" s="129"/>
      <c r="G308" s="129"/>
      <c r="H308" s="110"/>
      <c r="I308" s="129"/>
      <c r="J308" t="s">
        <v>351</v>
      </c>
      <c r="K308" s="129"/>
      <c r="L308" s="129"/>
      <c r="M308" s="129"/>
      <c r="N308" s="129"/>
      <c r="O308" s="129"/>
      <c r="P308" s="129"/>
      <c r="Q308" s="129"/>
      <c r="R308" s="129"/>
      <c r="S308" s="141"/>
      <c r="T308" s="139"/>
      <c r="U308" s="129"/>
      <c r="V308" s="129"/>
      <c r="W308" s="129"/>
      <c r="X308" s="129"/>
      <c r="Y308" s="129"/>
      <c r="Z308" s="115"/>
      <c r="AA308" s="129"/>
      <c r="AB308" s="149"/>
      <c r="AC308" s="129"/>
      <c r="AD308" s="129"/>
      <c r="AE308" s="129"/>
    </row>
    <row r="309" spans="3:31" x14ac:dyDescent="0.35">
      <c r="C309" s="129"/>
      <c r="D309" s="129"/>
      <c r="E309" s="129"/>
      <c r="F309" s="129"/>
      <c r="G309" s="129"/>
      <c r="H309" s="110"/>
      <c r="I309" s="129"/>
      <c r="J309" t="s">
        <v>351</v>
      </c>
      <c r="K309" s="129"/>
      <c r="L309" s="129"/>
      <c r="M309" s="129"/>
      <c r="N309" s="129"/>
      <c r="O309" s="129"/>
      <c r="P309" s="129"/>
      <c r="Q309" s="129"/>
      <c r="R309" s="129"/>
      <c r="S309" s="141"/>
      <c r="T309" s="139"/>
      <c r="U309" s="129"/>
      <c r="V309" s="129"/>
      <c r="W309" s="129"/>
      <c r="X309" s="129"/>
      <c r="Y309" s="129"/>
      <c r="Z309" s="115"/>
      <c r="AA309" s="129"/>
      <c r="AB309" s="149"/>
      <c r="AC309" s="129"/>
      <c r="AD309" s="129"/>
      <c r="AE309" s="129"/>
    </row>
    <row r="310" spans="3:31" x14ac:dyDescent="0.35">
      <c r="C310" s="129"/>
      <c r="D310" s="129"/>
      <c r="E310" s="129"/>
      <c r="F310" s="129"/>
      <c r="G310" s="129"/>
      <c r="H310" s="110"/>
      <c r="I310" s="129"/>
      <c r="J310" t="s">
        <v>351</v>
      </c>
      <c r="K310" s="129"/>
      <c r="L310" s="129"/>
      <c r="M310" s="129"/>
      <c r="N310" s="129"/>
      <c r="O310" s="129"/>
      <c r="P310" s="129"/>
      <c r="Q310" s="129"/>
      <c r="R310" s="129"/>
      <c r="S310" s="141"/>
      <c r="T310" s="139"/>
      <c r="U310" s="129"/>
      <c r="V310" s="129"/>
      <c r="W310" s="129"/>
      <c r="X310" s="129"/>
      <c r="Y310" s="129"/>
      <c r="Z310" s="115"/>
      <c r="AA310" s="129"/>
      <c r="AB310" s="149"/>
      <c r="AC310" s="129"/>
      <c r="AD310" s="129"/>
      <c r="AE310" s="129"/>
    </row>
    <row r="311" spans="3:31" x14ac:dyDescent="0.35">
      <c r="C311" s="129"/>
      <c r="D311" s="129"/>
      <c r="E311" s="129"/>
      <c r="F311" s="129"/>
      <c r="G311" s="129"/>
      <c r="H311" s="110"/>
      <c r="I311" s="129"/>
      <c r="J311" t="s">
        <v>351</v>
      </c>
      <c r="K311" s="129"/>
      <c r="L311" s="129"/>
      <c r="M311" s="129"/>
      <c r="N311" s="129"/>
      <c r="O311" s="129"/>
      <c r="P311" s="129"/>
      <c r="Q311" s="129"/>
      <c r="R311" s="129"/>
      <c r="S311" s="141"/>
      <c r="T311" s="139"/>
      <c r="U311" s="129"/>
      <c r="V311" s="129"/>
      <c r="W311" s="129"/>
      <c r="X311" s="129"/>
      <c r="Y311" s="129"/>
      <c r="Z311" s="115"/>
      <c r="AA311" s="129"/>
      <c r="AB311" s="149"/>
      <c r="AC311" s="129"/>
      <c r="AD311" s="129"/>
      <c r="AE311" s="129"/>
    </row>
    <row r="312" spans="3:31" x14ac:dyDescent="0.35">
      <c r="C312" s="129"/>
      <c r="D312" s="129"/>
      <c r="E312" s="129"/>
      <c r="F312" s="129"/>
      <c r="G312" s="129"/>
      <c r="H312" s="110"/>
      <c r="I312" s="129"/>
      <c r="J312" t="s">
        <v>351</v>
      </c>
      <c r="K312" s="129"/>
      <c r="L312" s="129"/>
      <c r="M312" s="129"/>
      <c r="N312" s="129"/>
      <c r="O312" s="129"/>
      <c r="P312" s="129"/>
      <c r="Q312" s="129"/>
      <c r="R312" s="129"/>
      <c r="S312" s="141"/>
      <c r="T312" s="139"/>
      <c r="U312" s="129"/>
      <c r="V312" s="129"/>
      <c r="W312" s="129"/>
      <c r="X312" s="129"/>
      <c r="Y312" s="129"/>
      <c r="Z312" s="115"/>
      <c r="AA312" s="129"/>
      <c r="AB312" s="149"/>
      <c r="AC312" s="129"/>
      <c r="AD312" s="129"/>
      <c r="AE312" s="129"/>
    </row>
    <row r="313" spans="3:31" x14ac:dyDescent="0.35">
      <c r="C313" s="129"/>
      <c r="D313" s="129"/>
      <c r="E313" s="129"/>
      <c r="F313" s="129"/>
      <c r="G313" s="129"/>
      <c r="H313" s="110"/>
      <c r="I313" s="129"/>
      <c r="J313" t="s">
        <v>351</v>
      </c>
      <c r="K313" s="129"/>
      <c r="L313" s="129"/>
      <c r="M313" s="129"/>
      <c r="N313" s="129"/>
      <c r="O313" s="129"/>
      <c r="P313" s="129"/>
      <c r="Q313" s="129"/>
      <c r="R313" s="129"/>
      <c r="S313" s="141"/>
      <c r="T313" s="139"/>
      <c r="U313" s="129"/>
      <c r="V313" s="129"/>
      <c r="W313" s="129"/>
      <c r="X313" s="129"/>
      <c r="Y313" s="129"/>
      <c r="Z313" s="115"/>
      <c r="AA313" s="129"/>
      <c r="AB313" s="149"/>
      <c r="AC313" s="129"/>
      <c r="AD313" s="129"/>
      <c r="AE313" s="129"/>
    </row>
    <row r="314" spans="3:31" x14ac:dyDescent="0.35">
      <c r="C314" s="129"/>
      <c r="D314" s="129"/>
      <c r="E314" s="129"/>
      <c r="F314" s="129"/>
      <c r="G314" s="129"/>
      <c r="H314" s="110"/>
      <c r="I314" s="129"/>
      <c r="J314" t="s">
        <v>351</v>
      </c>
      <c r="K314" s="129"/>
      <c r="L314" s="129"/>
      <c r="M314" s="129"/>
      <c r="N314" s="129"/>
      <c r="O314" s="129"/>
      <c r="P314" s="129"/>
      <c r="Q314" s="129"/>
      <c r="R314" s="129"/>
      <c r="S314" s="141"/>
      <c r="T314" s="139"/>
      <c r="U314" s="129"/>
      <c r="V314" s="129"/>
      <c r="W314" s="129"/>
      <c r="X314" s="129"/>
      <c r="Y314" s="129"/>
      <c r="Z314" s="115"/>
      <c r="AA314" s="129"/>
      <c r="AB314" s="149"/>
      <c r="AC314" s="129"/>
      <c r="AD314" s="129"/>
      <c r="AE314" s="129"/>
    </row>
    <row r="315" spans="3:31" x14ac:dyDescent="0.35">
      <c r="C315" s="129"/>
      <c r="D315" s="129"/>
      <c r="E315" s="129"/>
      <c r="F315" s="129"/>
      <c r="G315" s="129"/>
      <c r="H315" s="110"/>
      <c r="I315" s="129"/>
      <c r="J315" t="s">
        <v>351</v>
      </c>
      <c r="K315" s="129"/>
      <c r="L315" s="129"/>
      <c r="M315" s="129"/>
      <c r="N315" s="129"/>
      <c r="O315" s="129"/>
      <c r="P315" s="129"/>
      <c r="Q315" s="129"/>
      <c r="R315" s="129"/>
      <c r="S315" s="141"/>
      <c r="T315" s="139"/>
      <c r="U315" s="129"/>
      <c r="V315" s="129"/>
      <c r="W315" s="129"/>
      <c r="X315" s="129"/>
      <c r="Y315" s="129"/>
      <c r="Z315" s="115"/>
      <c r="AA315" s="129"/>
      <c r="AB315" s="149"/>
      <c r="AC315" s="129"/>
      <c r="AD315" s="129"/>
      <c r="AE315" s="129"/>
    </row>
    <row r="316" spans="3:31" x14ac:dyDescent="0.35">
      <c r="C316" s="129"/>
      <c r="D316" s="129"/>
      <c r="E316" s="129"/>
      <c r="F316" s="129"/>
      <c r="G316" s="129"/>
      <c r="H316" s="110"/>
      <c r="I316" s="129"/>
      <c r="J316" t="s">
        <v>351</v>
      </c>
      <c r="K316" s="129"/>
      <c r="L316" s="129"/>
      <c r="M316" s="129"/>
      <c r="N316" s="129"/>
      <c r="O316" s="129"/>
      <c r="P316" s="129"/>
      <c r="Q316" s="129"/>
      <c r="R316" s="129"/>
      <c r="S316" s="141"/>
      <c r="T316" s="139"/>
      <c r="U316" s="129"/>
      <c r="V316" s="129"/>
      <c r="W316" s="129"/>
      <c r="X316" s="129"/>
      <c r="Y316" s="129"/>
      <c r="Z316" s="115"/>
      <c r="AA316" s="129"/>
      <c r="AB316" s="149"/>
      <c r="AC316" s="129"/>
      <c r="AD316" s="129"/>
      <c r="AE316" s="129"/>
    </row>
    <row r="317" spans="3:31" x14ac:dyDescent="0.35">
      <c r="C317" s="129"/>
      <c r="D317" s="129"/>
      <c r="E317" s="129"/>
      <c r="F317" s="129"/>
      <c r="G317" s="129"/>
      <c r="H317" s="110"/>
      <c r="I317" s="129"/>
      <c r="J317" t="s">
        <v>351</v>
      </c>
      <c r="K317" s="129"/>
      <c r="L317" s="129"/>
      <c r="M317" s="129"/>
      <c r="N317" s="129"/>
      <c r="O317" s="129"/>
      <c r="P317" s="129"/>
      <c r="Q317" s="129"/>
      <c r="R317" s="129"/>
      <c r="S317" s="141"/>
      <c r="T317" s="139"/>
      <c r="U317" s="129"/>
      <c r="V317" s="129"/>
      <c r="W317" s="129"/>
      <c r="X317" s="129"/>
      <c r="Y317" s="129"/>
      <c r="Z317" s="115"/>
      <c r="AA317" s="129"/>
      <c r="AB317" s="149"/>
      <c r="AC317" s="129"/>
      <c r="AD317" s="129"/>
      <c r="AE317" s="129"/>
    </row>
    <row r="318" spans="3:31" x14ac:dyDescent="0.35">
      <c r="C318" s="129"/>
      <c r="D318" s="129"/>
      <c r="E318" s="129"/>
      <c r="F318" s="129"/>
      <c r="G318" s="129"/>
      <c r="H318" s="110"/>
      <c r="I318" s="129"/>
      <c r="J318" t="s">
        <v>351</v>
      </c>
      <c r="K318" s="129"/>
      <c r="L318" s="129"/>
      <c r="M318" s="129"/>
      <c r="N318" s="129"/>
      <c r="O318" s="129"/>
      <c r="P318" s="129"/>
      <c r="Q318" s="129"/>
      <c r="R318" s="129"/>
      <c r="S318" s="141"/>
      <c r="T318" s="139"/>
      <c r="U318" s="129"/>
      <c r="V318" s="129"/>
      <c r="W318" s="129"/>
      <c r="X318" s="129"/>
      <c r="Y318" s="129"/>
      <c r="Z318" s="115"/>
      <c r="AA318" s="129"/>
      <c r="AB318" s="149"/>
      <c r="AC318" s="129"/>
      <c r="AD318" s="129"/>
      <c r="AE318" s="129"/>
    </row>
    <row r="319" spans="3:31" x14ac:dyDescent="0.35">
      <c r="C319" s="129"/>
      <c r="D319" s="129"/>
      <c r="E319" s="129"/>
      <c r="F319" s="129"/>
      <c r="G319" s="129"/>
      <c r="H319" s="110"/>
      <c r="I319" s="129"/>
      <c r="J319" t="s">
        <v>351</v>
      </c>
      <c r="K319" s="129"/>
      <c r="L319" s="129"/>
      <c r="M319" s="129"/>
      <c r="N319" s="129"/>
      <c r="O319" s="129"/>
      <c r="P319" s="129"/>
      <c r="Q319" s="129"/>
      <c r="R319" s="129"/>
      <c r="S319" s="141"/>
      <c r="T319" s="139"/>
      <c r="U319" s="129"/>
      <c r="V319" s="129"/>
      <c r="W319" s="129"/>
      <c r="X319" s="129"/>
      <c r="Y319" s="129"/>
      <c r="Z319" s="115"/>
      <c r="AA319" s="129"/>
      <c r="AB319" s="149"/>
      <c r="AC319" s="129"/>
      <c r="AD319" s="129"/>
      <c r="AE319" s="129"/>
    </row>
    <row r="320" spans="3:31" x14ac:dyDescent="0.35">
      <c r="C320" s="129"/>
      <c r="D320" s="129"/>
      <c r="E320" s="129"/>
      <c r="F320" s="129"/>
      <c r="G320" s="129"/>
      <c r="H320" s="110"/>
      <c r="I320" s="129"/>
      <c r="J320" t="s">
        <v>351</v>
      </c>
      <c r="K320" s="129"/>
      <c r="L320" s="129"/>
      <c r="M320" s="129"/>
      <c r="N320" s="129"/>
      <c r="O320" s="129"/>
      <c r="P320" s="129"/>
      <c r="Q320" s="129"/>
      <c r="R320" s="129"/>
      <c r="S320" s="141"/>
      <c r="T320" s="139"/>
      <c r="U320" s="129"/>
      <c r="V320" s="129"/>
      <c r="W320" s="129"/>
      <c r="X320" s="129"/>
      <c r="Y320" s="129"/>
      <c r="Z320" s="115"/>
      <c r="AA320" s="129"/>
      <c r="AB320" s="149"/>
      <c r="AC320" s="129"/>
      <c r="AD320" s="129"/>
      <c r="AE320" s="129"/>
    </row>
    <row r="321" spans="3:31" x14ac:dyDescent="0.35">
      <c r="C321" s="129"/>
      <c r="D321" s="129"/>
      <c r="E321" s="129"/>
      <c r="F321" s="129"/>
      <c r="G321" s="129"/>
      <c r="H321" s="110"/>
      <c r="I321" s="129"/>
      <c r="J321" t="s">
        <v>351</v>
      </c>
      <c r="K321" s="129"/>
      <c r="L321" s="129"/>
      <c r="M321" s="129"/>
      <c r="N321" s="129"/>
      <c r="O321" s="129"/>
      <c r="P321" s="129"/>
      <c r="Q321" s="129"/>
      <c r="R321" s="129"/>
      <c r="S321" s="141"/>
      <c r="T321" s="139"/>
      <c r="U321" s="129"/>
      <c r="V321" s="129"/>
      <c r="W321" s="129"/>
      <c r="X321" s="129"/>
      <c r="Y321" s="129"/>
      <c r="Z321" s="115"/>
      <c r="AA321" s="129"/>
      <c r="AB321" s="149"/>
      <c r="AC321" s="129"/>
      <c r="AD321" s="129"/>
      <c r="AE321" s="129"/>
    </row>
    <row r="322" spans="3:31" x14ac:dyDescent="0.35">
      <c r="C322" s="129"/>
      <c r="D322" s="129"/>
      <c r="E322" s="129"/>
      <c r="F322" s="129"/>
      <c r="G322" s="129"/>
      <c r="H322" s="110"/>
      <c r="I322" s="129"/>
      <c r="J322" t="s">
        <v>351</v>
      </c>
      <c r="K322" s="129"/>
      <c r="L322" s="129"/>
      <c r="M322" s="129"/>
      <c r="N322" s="129"/>
      <c r="O322" s="129"/>
      <c r="P322" s="129"/>
      <c r="Q322" s="129"/>
      <c r="R322" s="129"/>
      <c r="S322" s="141"/>
      <c r="T322" s="139"/>
      <c r="U322" s="129"/>
      <c r="V322" s="129"/>
      <c r="W322" s="129"/>
      <c r="X322" s="129"/>
      <c r="Y322" s="129"/>
      <c r="Z322" s="115"/>
      <c r="AA322" s="129"/>
      <c r="AB322" s="149"/>
      <c r="AC322" s="129"/>
      <c r="AD322" s="129"/>
      <c r="AE322" s="129"/>
    </row>
    <row r="323" spans="3:31" x14ac:dyDescent="0.35">
      <c r="C323" s="129"/>
      <c r="D323" s="129"/>
      <c r="E323" s="129"/>
      <c r="F323" s="129"/>
      <c r="G323" s="129"/>
      <c r="H323" s="110"/>
      <c r="I323" s="129"/>
      <c r="J323" t="s">
        <v>351</v>
      </c>
      <c r="K323" s="129"/>
      <c r="L323" s="129"/>
      <c r="M323" s="129"/>
      <c r="N323" s="129"/>
      <c r="O323" s="129"/>
      <c r="P323" s="129"/>
      <c r="Q323" s="129"/>
      <c r="R323" s="129"/>
      <c r="S323" s="141"/>
      <c r="T323" s="139"/>
      <c r="U323" s="129"/>
      <c r="V323" s="129"/>
      <c r="W323" s="129"/>
      <c r="X323" s="129"/>
      <c r="Y323" s="129"/>
      <c r="Z323" s="115"/>
      <c r="AA323" s="129"/>
      <c r="AB323" s="149"/>
      <c r="AC323" s="129"/>
      <c r="AD323" s="129"/>
      <c r="AE323" s="129"/>
    </row>
    <row r="324" spans="3:31" x14ac:dyDescent="0.35">
      <c r="C324" s="129"/>
      <c r="D324" s="129"/>
      <c r="E324" s="129"/>
      <c r="F324" s="129"/>
      <c r="G324" s="129"/>
      <c r="H324" s="110"/>
      <c r="I324" s="129"/>
      <c r="J324" t="s">
        <v>351</v>
      </c>
      <c r="K324" s="129"/>
      <c r="L324" s="129"/>
      <c r="M324" s="129"/>
      <c r="N324" s="129"/>
      <c r="O324" s="129"/>
      <c r="P324" s="129"/>
      <c r="Q324" s="129"/>
      <c r="R324" s="129"/>
      <c r="S324" s="141"/>
      <c r="T324" s="139"/>
      <c r="U324" s="129"/>
      <c r="V324" s="129"/>
      <c r="W324" s="129"/>
      <c r="X324" s="129"/>
      <c r="Y324" s="129"/>
      <c r="Z324" s="115"/>
      <c r="AA324" s="129"/>
      <c r="AB324" s="149"/>
      <c r="AC324" s="129"/>
      <c r="AD324" s="129"/>
      <c r="AE324" s="129"/>
    </row>
    <row r="325" spans="3:31" x14ac:dyDescent="0.35">
      <c r="C325" s="129"/>
      <c r="D325" s="129"/>
      <c r="E325" s="129"/>
      <c r="F325" s="129"/>
      <c r="G325" s="129"/>
      <c r="H325" s="110"/>
      <c r="I325" s="129"/>
      <c r="J325" t="s">
        <v>351</v>
      </c>
      <c r="K325" s="129"/>
      <c r="L325" s="129"/>
      <c r="M325" s="129"/>
      <c r="N325" s="129"/>
      <c r="O325" s="129"/>
      <c r="P325" s="129"/>
      <c r="Q325" s="129"/>
      <c r="R325" s="129"/>
      <c r="S325" s="141"/>
      <c r="T325" s="139"/>
      <c r="U325" s="129"/>
      <c r="V325" s="129"/>
      <c r="W325" s="129"/>
      <c r="X325" s="129"/>
      <c r="Y325" s="129"/>
      <c r="Z325" s="115"/>
      <c r="AA325" s="129"/>
      <c r="AB325" s="149"/>
      <c r="AC325" s="129"/>
      <c r="AD325" s="129"/>
      <c r="AE325" s="129"/>
    </row>
    <row r="326" spans="3:31" x14ac:dyDescent="0.35">
      <c r="C326" s="129"/>
      <c r="D326" s="129"/>
      <c r="E326" s="129"/>
      <c r="F326" s="129"/>
      <c r="G326" s="129"/>
      <c r="H326" s="110"/>
      <c r="I326" s="129"/>
      <c r="J326" t="s">
        <v>351</v>
      </c>
      <c r="K326" s="129"/>
      <c r="L326" s="129"/>
      <c r="M326" s="129"/>
      <c r="N326" s="129"/>
      <c r="O326" s="129"/>
      <c r="P326" s="129"/>
      <c r="Q326" s="129"/>
      <c r="R326" s="129"/>
      <c r="S326" s="141"/>
      <c r="T326" s="139"/>
      <c r="U326" s="129"/>
      <c r="V326" s="129"/>
      <c r="W326" s="129"/>
      <c r="X326" s="129"/>
      <c r="Y326" s="129"/>
      <c r="Z326" s="115"/>
      <c r="AA326" s="129"/>
      <c r="AB326" s="149"/>
      <c r="AC326" s="129"/>
      <c r="AD326" s="129"/>
      <c r="AE326" s="129"/>
    </row>
    <row r="327" spans="3:31" x14ac:dyDescent="0.35">
      <c r="C327" s="129"/>
      <c r="D327" s="129"/>
      <c r="E327" s="129"/>
      <c r="F327" s="129"/>
      <c r="G327" s="129"/>
      <c r="H327" s="110"/>
      <c r="I327" s="129"/>
      <c r="J327" t="s">
        <v>351</v>
      </c>
      <c r="K327" s="129"/>
      <c r="L327" s="129"/>
      <c r="M327" s="129"/>
      <c r="N327" s="129"/>
      <c r="O327" s="129"/>
      <c r="P327" s="129"/>
      <c r="Q327" s="129"/>
      <c r="R327" s="129"/>
      <c r="S327" s="141"/>
      <c r="T327" s="139"/>
      <c r="U327" s="129"/>
      <c r="V327" s="129"/>
      <c r="W327" s="129"/>
      <c r="X327" s="129"/>
      <c r="Y327" s="129"/>
      <c r="Z327" s="115"/>
      <c r="AA327" s="129"/>
      <c r="AB327" s="149"/>
      <c r="AC327" s="129"/>
      <c r="AD327" s="129"/>
      <c r="AE327" s="129"/>
    </row>
    <row r="328" spans="3:31" x14ac:dyDescent="0.35">
      <c r="C328" s="129"/>
      <c r="D328" s="129"/>
      <c r="E328" s="129"/>
      <c r="F328" s="129"/>
      <c r="G328" s="129"/>
      <c r="H328" s="110"/>
      <c r="I328" s="129"/>
      <c r="J328" t="s">
        <v>351</v>
      </c>
      <c r="K328" s="129"/>
      <c r="L328" s="129"/>
      <c r="M328" s="129"/>
      <c r="N328" s="129"/>
      <c r="O328" s="129"/>
      <c r="P328" s="129"/>
      <c r="Q328" s="129"/>
      <c r="R328" s="129"/>
      <c r="S328" s="141"/>
      <c r="T328" s="139"/>
      <c r="U328" s="129"/>
      <c r="V328" s="129"/>
      <c r="W328" s="129"/>
      <c r="X328" s="129"/>
      <c r="Y328" s="129"/>
      <c r="Z328" s="115"/>
      <c r="AA328" s="129"/>
      <c r="AB328" s="149"/>
      <c r="AC328" s="129"/>
      <c r="AD328" s="129"/>
      <c r="AE328" s="129"/>
    </row>
    <row r="329" spans="3:31" x14ac:dyDescent="0.35">
      <c r="C329" s="129"/>
      <c r="D329" s="129"/>
      <c r="E329" s="129"/>
      <c r="F329" s="129"/>
      <c r="G329" s="129"/>
      <c r="H329" s="110"/>
      <c r="I329" s="129"/>
      <c r="J329" t="s">
        <v>351</v>
      </c>
      <c r="K329" s="129"/>
      <c r="L329" s="129"/>
      <c r="M329" s="129"/>
      <c r="N329" s="129"/>
      <c r="O329" s="129"/>
      <c r="P329" s="129"/>
      <c r="Q329" s="129"/>
      <c r="R329" s="129"/>
      <c r="S329" s="141"/>
      <c r="T329" s="139"/>
      <c r="U329" s="129"/>
      <c r="V329" s="129"/>
      <c r="W329" s="129"/>
      <c r="X329" s="129"/>
      <c r="Y329" s="129"/>
      <c r="Z329" s="115"/>
      <c r="AA329" s="129"/>
      <c r="AB329" s="149"/>
      <c r="AC329" s="129"/>
      <c r="AD329" s="129"/>
      <c r="AE329" s="129"/>
    </row>
    <row r="330" spans="3:31" x14ac:dyDescent="0.35">
      <c r="C330" s="129"/>
      <c r="D330" s="129"/>
      <c r="E330" s="129"/>
      <c r="F330" s="129"/>
      <c r="G330" s="129"/>
      <c r="H330" s="110"/>
      <c r="I330" s="129"/>
      <c r="J330" t="s">
        <v>351</v>
      </c>
      <c r="K330" s="129"/>
      <c r="L330" s="129"/>
      <c r="M330" s="129"/>
      <c r="N330" s="129"/>
      <c r="O330" s="129"/>
      <c r="P330" s="129"/>
      <c r="Q330" s="129"/>
      <c r="R330" s="129"/>
      <c r="S330" s="141"/>
      <c r="T330" s="139"/>
      <c r="U330" s="129"/>
      <c r="V330" s="129"/>
      <c r="W330" s="129"/>
      <c r="X330" s="129"/>
      <c r="Y330" s="129"/>
      <c r="Z330" s="115"/>
      <c r="AA330" s="129"/>
      <c r="AB330" s="149"/>
      <c r="AC330" s="129"/>
      <c r="AD330" s="129"/>
      <c r="AE330" s="129"/>
    </row>
    <row r="331" spans="3:31" x14ac:dyDescent="0.35">
      <c r="C331" s="129"/>
      <c r="D331" s="129"/>
      <c r="E331" s="129"/>
      <c r="F331" s="129"/>
      <c r="G331" s="129"/>
      <c r="H331" s="110"/>
      <c r="I331" s="129"/>
      <c r="J331" t="s">
        <v>351</v>
      </c>
      <c r="K331" s="129"/>
      <c r="L331" s="129"/>
      <c r="M331" s="129"/>
      <c r="N331" s="129"/>
      <c r="O331" s="129"/>
      <c r="P331" s="129"/>
      <c r="Q331" s="129"/>
      <c r="R331" s="129"/>
      <c r="S331" s="141"/>
      <c r="T331" s="139"/>
      <c r="U331" s="129"/>
      <c r="V331" s="129"/>
      <c r="W331" s="129"/>
      <c r="X331" s="129"/>
      <c r="Y331" s="129"/>
      <c r="Z331" s="115"/>
      <c r="AA331" s="129"/>
      <c r="AB331" s="149"/>
      <c r="AC331" s="129"/>
      <c r="AD331" s="129"/>
      <c r="AE331" s="129"/>
    </row>
    <row r="332" spans="3:31" x14ac:dyDescent="0.35">
      <c r="C332" s="129"/>
      <c r="D332" s="129"/>
      <c r="E332" s="129"/>
      <c r="F332" s="129"/>
      <c r="G332" s="129"/>
      <c r="H332" s="110"/>
      <c r="I332" s="129"/>
      <c r="J332" t="s">
        <v>351</v>
      </c>
      <c r="K332" s="129"/>
      <c r="L332" s="129"/>
      <c r="M332" s="129"/>
      <c r="N332" s="129"/>
      <c r="O332" s="129"/>
      <c r="P332" s="129"/>
      <c r="Q332" s="129"/>
      <c r="R332" s="129"/>
      <c r="S332" s="141"/>
      <c r="T332" s="139"/>
      <c r="U332" s="129"/>
      <c r="V332" s="129"/>
      <c r="W332" s="129"/>
      <c r="X332" s="129"/>
      <c r="Y332" s="129"/>
      <c r="Z332" s="115"/>
      <c r="AA332" s="129"/>
      <c r="AB332" s="149"/>
      <c r="AC332" s="129"/>
      <c r="AD332" s="129"/>
      <c r="AE332" s="129"/>
    </row>
    <row r="333" spans="3:31" x14ac:dyDescent="0.35">
      <c r="C333" s="129"/>
      <c r="D333" s="129"/>
      <c r="E333" s="129"/>
      <c r="F333" s="129"/>
      <c r="G333" s="129"/>
      <c r="H333" s="110"/>
      <c r="I333" s="129"/>
      <c r="J333" t="s">
        <v>351</v>
      </c>
      <c r="K333" s="129"/>
      <c r="L333" s="129"/>
      <c r="M333" s="129"/>
      <c r="N333" s="129"/>
      <c r="O333" s="129"/>
      <c r="P333" s="129"/>
      <c r="Q333" s="129"/>
      <c r="R333" s="129"/>
      <c r="S333" s="141"/>
      <c r="T333" s="139"/>
      <c r="U333" s="129"/>
      <c r="V333" s="129"/>
      <c r="W333" s="129"/>
      <c r="X333" s="129"/>
      <c r="Y333" s="129"/>
      <c r="Z333" s="115"/>
      <c r="AA333" s="129"/>
      <c r="AB333" s="149"/>
      <c r="AC333" s="129"/>
      <c r="AD333" s="129"/>
      <c r="AE333" s="129"/>
    </row>
    <row r="334" spans="3:31" x14ac:dyDescent="0.35">
      <c r="C334" s="129"/>
      <c r="D334" s="129"/>
      <c r="E334" s="129"/>
      <c r="F334" s="129"/>
      <c r="G334" s="129"/>
      <c r="H334" s="110"/>
      <c r="I334" s="129"/>
      <c r="J334" t="s">
        <v>351</v>
      </c>
      <c r="K334" s="129"/>
      <c r="L334" s="129"/>
      <c r="M334" s="129"/>
      <c r="N334" s="129"/>
      <c r="O334" s="129"/>
      <c r="P334" s="129"/>
      <c r="Q334" s="129"/>
      <c r="R334" s="129"/>
      <c r="S334" s="141"/>
      <c r="T334" s="139"/>
      <c r="U334" s="129"/>
      <c r="V334" s="129"/>
      <c r="W334" s="129"/>
      <c r="X334" s="129"/>
      <c r="Y334" s="129"/>
      <c r="Z334" s="115"/>
      <c r="AA334" s="129"/>
      <c r="AB334" s="149"/>
      <c r="AC334" s="129"/>
      <c r="AD334" s="129"/>
      <c r="AE334" s="129"/>
    </row>
    <row r="335" spans="3:31" x14ac:dyDescent="0.35">
      <c r="C335" s="129"/>
      <c r="D335" s="129"/>
      <c r="E335" s="129"/>
      <c r="F335" s="129"/>
      <c r="G335" s="129"/>
      <c r="H335" s="110"/>
      <c r="I335" s="129"/>
      <c r="J335" t="s">
        <v>351</v>
      </c>
      <c r="K335" s="129"/>
      <c r="L335" s="129"/>
      <c r="M335" s="129"/>
      <c r="N335" s="129"/>
      <c r="O335" s="129"/>
      <c r="P335" s="129"/>
      <c r="Q335" s="129"/>
      <c r="R335" s="129"/>
      <c r="S335" s="141"/>
      <c r="T335" s="139"/>
      <c r="U335" s="129"/>
      <c r="V335" s="129"/>
      <c r="W335" s="129"/>
      <c r="X335" s="129"/>
      <c r="Y335" s="129"/>
      <c r="Z335" s="115"/>
      <c r="AA335" s="129"/>
      <c r="AB335" s="149"/>
      <c r="AC335" s="129"/>
      <c r="AD335" s="129"/>
      <c r="AE335" s="129"/>
    </row>
    <row r="336" spans="3:31" x14ac:dyDescent="0.35">
      <c r="C336" s="129"/>
      <c r="D336" s="129"/>
      <c r="E336" s="129"/>
      <c r="F336" s="129"/>
      <c r="G336" s="129"/>
      <c r="H336" s="110"/>
      <c r="I336" s="129"/>
      <c r="J336" t="s">
        <v>351</v>
      </c>
      <c r="K336" s="129"/>
      <c r="L336" s="129"/>
      <c r="M336" s="129"/>
      <c r="N336" s="129"/>
      <c r="O336" s="129"/>
      <c r="P336" s="129"/>
      <c r="Q336" s="129"/>
      <c r="R336" s="129"/>
      <c r="S336" s="141"/>
      <c r="T336" s="139"/>
      <c r="U336" s="129"/>
      <c r="V336" s="129"/>
      <c r="W336" s="129"/>
      <c r="X336" s="129"/>
      <c r="Y336" s="129"/>
      <c r="Z336" s="115"/>
      <c r="AA336" s="129"/>
      <c r="AB336" s="149"/>
      <c r="AC336" s="129"/>
      <c r="AD336" s="129"/>
      <c r="AE336" s="129"/>
    </row>
    <row r="337" spans="3:31" x14ac:dyDescent="0.35">
      <c r="C337" s="129"/>
      <c r="D337" s="129"/>
      <c r="E337" s="129"/>
      <c r="F337" s="129"/>
      <c r="G337" s="129"/>
      <c r="H337" s="110"/>
      <c r="I337" s="129"/>
      <c r="J337" t="s">
        <v>351</v>
      </c>
      <c r="K337" s="129"/>
      <c r="L337" s="129"/>
      <c r="M337" s="129"/>
      <c r="N337" s="129"/>
      <c r="O337" s="129"/>
      <c r="P337" s="129"/>
      <c r="Q337" s="129"/>
      <c r="R337" s="129"/>
      <c r="S337" s="141"/>
      <c r="T337" s="139"/>
      <c r="U337" s="129"/>
      <c r="V337" s="129"/>
      <c r="W337" s="129"/>
      <c r="X337" s="129"/>
      <c r="Y337" s="129"/>
      <c r="Z337" s="115"/>
      <c r="AA337" s="129"/>
      <c r="AB337" s="149"/>
      <c r="AC337" s="129"/>
      <c r="AD337" s="129"/>
      <c r="AE337" s="129"/>
    </row>
    <row r="338" spans="3:31" x14ac:dyDescent="0.35">
      <c r="C338" s="129"/>
      <c r="D338" s="129"/>
      <c r="E338" s="129"/>
      <c r="F338" s="129"/>
      <c r="G338" s="129"/>
      <c r="H338" s="110"/>
      <c r="I338" s="129"/>
      <c r="J338" t="s">
        <v>351</v>
      </c>
      <c r="K338" s="129"/>
      <c r="L338" s="129"/>
      <c r="M338" s="129"/>
      <c r="N338" s="129"/>
      <c r="O338" s="129"/>
      <c r="P338" s="129"/>
      <c r="Q338" s="129"/>
      <c r="R338" s="129"/>
      <c r="S338" s="141"/>
      <c r="T338" s="139"/>
      <c r="U338" s="129"/>
      <c r="V338" s="129"/>
      <c r="W338" s="129"/>
      <c r="X338" s="129"/>
      <c r="Y338" s="129"/>
      <c r="Z338" s="115"/>
      <c r="AA338" s="129"/>
      <c r="AB338" s="149"/>
      <c r="AC338" s="129"/>
      <c r="AD338" s="129"/>
      <c r="AE338" s="129"/>
    </row>
    <row r="339" spans="3:31" x14ac:dyDescent="0.35">
      <c r="C339" s="129"/>
      <c r="D339" s="129"/>
      <c r="E339" s="129"/>
      <c r="F339" s="129"/>
      <c r="G339" s="129"/>
      <c r="H339" s="110"/>
      <c r="I339" s="129"/>
      <c r="J339" t="s">
        <v>351</v>
      </c>
      <c r="K339" s="129"/>
      <c r="L339" s="129"/>
      <c r="M339" s="129"/>
      <c r="N339" s="129"/>
      <c r="O339" s="129"/>
      <c r="P339" s="129"/>
      <c r="Q339" s="129"/>
      <c r="R339" s="129"/>
      <c r="S339" s="141"/>
      <c r="T339" s="139"/>
      <c r="U339" s="129"/>
      <c r="V339" s="129"/>
      <c r="W339" s="129"/>
      <c r="X339" s="129"/>
      <c r="Y339" s="129"/>
      <c r="Z339" s="115"/>
      <c r="AA339" s="129"/>
      <c r="AB339" s="149"/>
      <c r="AC339" s="129"/>
      <c r="AD339" s="129"/>
      <c r="AE339" s="129"/>
    </row>
    <row r="340" spans="3:31" x14ac:dyDescent="0.35">
      <c r="C340" s="129"/>
      <c r="D340" s="129"/>
      <c r="E340" s="129"/>
      <c r="F340" s="129"/>
      <c r="G340" s="129"/>
      <c r="H340" s="110"/>
      <c r="I340" s="129"/>
      <c r="J340" t="s">
        <v>351</v>
      </c>
      <c r="K340" s="129"/>
      <c r="L340" s="129"/>
      <c r="M340" s="129"/>
      <c r="N340" s="129"/>
      <c r="O340" s="129"/>
      <c r="P340" s="129"/>
      <c r="Q340" s="129"/>
      <c r="R340" s="129"/>
      <c r="S340" s="141"/>
      <c r="T340" s="139"/>
      <c r="U340" s="129"/>
      <c r="V340" s="129"/>
      <c r="W340" s="129"/>
      <c r="X340" s="129"/>
      <c r="Y340" s="129"/>
      <c r="Z340" s="115"/>
      <c r="AA340" s="129"/>
      <c r="AB340" s="149"/>
      <c r="AC340" s="129"/>
      <c r="AD340" s="129"/>
      <c r="AE340" s="129"/>
    </row>
    <row r="341" spans="3:31" x14ac:dyDescent="0.35">
      <c r="C341" s="129"/>
      <c r="D341" s="129"/>
      <c r="E341" s="129"/>
      <c r="F341" s="129"/>
      <c r="G341" s="129"/>
      <c r="H341" s="110"/>
      <c r="I341" s="129"/>
      <c r="J341" t="s">
        <v>351</v>
      </c>
      <c r="K341" s="129"/>
      <c r="L341" s="129"/>
      <c r="M341" s="129"/>
      <c r="N341" s="129"/>
      <c r="O341" s="129"/>
      <c r="P341" s="129"/>
      <c r="Q341" s="129"/>
      <c r="R341" s="129"/>
      <c r="S341" s="141"/>
      <c r="T341" s="139"/>
      <c r="U341" s="129"/>
      <c r="V341" s="129"/>
      <c r="W341" s="129"/>
      <c r="X341" s="129"/>
      <c r="Y341" s="129"/>
      <c r="Z341" s="115"/>
      <c r="AA341" s="129"/>
      <c r="AB341" s="149"/>
      <c r="AC341" s="129"/>
      <c r="AD341" s="129"/>
      <c r="AE341" s="129"/>
    </row>
    <row r="342" spans="3:31" x14ac:dyDescent="0.35">
      <c r="C342" s="129"/>
      <c r="D342" s="129"/>
      <c r="E342" s="129"/>
      <c r="F342" s="129"/>
      <c r="G342" s="129"/>
      <c r="H342" s="110"/>
      <c r="I342" s="129"/>
      <c r="J342" t="s">
        <v>351</v>
      </c>
      <c r="K342" s="129"/>
      <c r="L342" s="129"/>
      <c r="M342" s="129"/>
      <c r="N342" s="129"/>
      <c r="O342" s="129"/>
      <c r="P342" s="129"/>
      <c r="Q342" s="129"/>
      <c r="R342" s="129"/>
      <c r="S342" s="141"/>
      <c r="T342" s="139"/>
      <c r="U342" s="129"/>
      <c r="V342" s="129"/>
      <c r="W342" s="129"/>
      <c r="X342" s="129"/>
      <c r="Y342" s="129"/>
      <c r="Z342" s="115"/>
      <c r="AA342" s="129"/>
      <c r="AB342" s="149"/>
      <c r="AC342" s="129"/>
      <c r="AD342" s="129"/>
      <c r="AE342" s="129"/>
    </row>
    <row r="343" spans="3:31" x14ac:dyDescent="0.35">
      <c r="C343" s="129"/>
      <c r="D343" s="129"/>
      <c r="E343" s="129"/>
      <c r="F343" s="129"/>
      <c r="G343" s="129"/>
      <c r="H343" s="110"/>
      <c r="I343" s="129"/>
      <c r="J343" t="s">
        <v>351</v>
      </c>
      <c r="K343" s="129"/>
      <c r="L343" s="129"/>
      <c r="M343" s="129"/>
      <c r="N343" s="129"/>
      <c r="O343" s="129"/>
      <c r="P343" s="129"/>
      <c r="Q343" s="129"/>
      <c r="R343" s="129"/>
      <c r="S343" s="141"/>
      <c r="T343" s="139"/>
      <c r="U343" s="129"/>
      <c r="V343" s="129"/>
      <c r="W343" s="129"/>
      <c r="X343" s="129"/>
      <c r="Y343" s="129"/>
      <c r="Z343" s="115"/>
      <c r="AA343" s="129"/>
      <c r="AB343" s="149"/>
      <c r="AC343" s="129"/>
      <c r="AD343" s="129"/>
      <c r="AE343" s="129"/>
    </row>
    <row r="344" spans="3:31" x14ac:dyDescent="0.35">
      <c r="C344" s="129"/>
      <c r="D344" s="129"/>
      <c r="E344" s="129"/>
      <c r="F344" s="129"/>
      <c r="G344" s="129"/>
      <c r="H344" s="110"/>
      <c r="I344" s="129"/>
      <c r="J344" t="s">
        <v>351</v>
      </c>
      <c r="K344" s="129"/>
      <c r="L344" s="129"/>
      <c r="M344" s="129"/>
      <c r="N344" s="129"/>
      <c r="O344" s="129"/>
      <c r="P344" s="129"/>
      <c r="Q344" s="129"/>
      <c r="R344" s="129"/>
      <c r="S344" s="141"/>
      <c r="T344" s="139"/>
      <c r="U344" s="129"/>
      <c r="V344" s="129"/>
      <c r="W344" s="129"/>
      <c r="X344" s="129"/>
      <c r="Y344" s="129"/>
      <c r="Z344" s="115"/>
      <c r="AA344" s="129"/>
      <c r="AB344" s="149"/>
      <c r="AC344" s="129"/>
      <c r="AD344" s="129"/>
      <c r="AE344" s="129"/>
    </row>
    <row r="345" spans="3:31" x14ac:dyDescent="0.35">
      <c r="C345" s="129"/>
      <c r="D345" s="129"/>
      <c r="E345" s="129"/>
      <c r="F345" s="129"/>
      <c r="G345" s="129"/>
      <c r="H345" s="110"/>
      <c r="I345" s="129"/>
      <c r="J345" t="s">
        <v>351</v>
      </c>
      <c r="K345" s="129"/>
      <c r="L345" s="129"/>
      <c r="M345" s="129"/>
      <c r="N345" s="129"/>
      <c r="O345" s="129"/>
      <c r="P345" s="129"/>
      <c r="Q345" s="129"/>
      <c r="R345" s="129"/>
      <c r="S345" s="141"/>
      <c r="T345" s="139"/>
      <c r="U345" s="129"/>
      <c r="V345" s="129"/>
      <c r="W345" s="129"/>
      <c r="X345" s="129"/>
      <c r="Y345" s="129"/>
      <c r="Z345" s="115"/>
      <c r="AA345" s="129"/>
      <c r="AB345" s="149"/>
      <c r="AC345" s="129"/>
      <c r="AD345" s="129"/>
      <c r="AE345" s="129"/>
    </row>
    <row r="346" spans="3:31" x14ac:dyDescent="0.35">
      <c r="C346" s="129"/>
      <c r="D346" s="129"/>
      <c r="E346" s="129"/>
      <c r="F346" s="129"/>
      <c r="G346" s="129"/>
      <c r="H346" s="110"/>
      <c r="I346" s="129"/>
      <c r="J346" t="s">
        <v>351</v>
      </c>
      <c r="K346" s="129"/>
      <c r="L346" s="129"/>
      <c r="M346" s="129"/>
      <c r="N346" s="129"/>
      <c r="O346" s="129"/>
      <c r="P346" s="129"/>
      <c r="Q346" s="129"/>
      <c r="R346" s="129"/>
      <c r="S346" s="141"/>
      <c r="T346" s="139"/>
      <c r="U346" s="129"/>
      <c r="V346" s="129"/>
      <c r="W346" s="129"/>
      <c r="X346" s="129"/>
      <c r="Y346" s="129"/>
      <c r="Z346" s="115"/>
      <c r="AA346" s="129"/>
      <c r="AB346" s="149"/>
      <c r="AC346" s="129"/>
      <c r="AD346" s="129"/>
      <c r="AE346" s="129"/>
    </row>
    <row r="347" spans="3:31" x14ac:dyDescent="0.35">
      <c r="C347" s="129"/>
      <c r="D347" s="129"/>
      <c r="E347" s="129"/>
      <c r="F347" s="129"/>
      <c r="G347" s="129"/>
      <c r="H347" s="110"/>
      <c r="I347" s="129"/>
      <c r="J347" t="s">
        <v>351</v>
      </c>
      <c r="K347" s="129"/>
      <c r="L347" s="129"/>
      <c r="M347" s="129"/>
      <c r="N347" s="129"/>
      <c r="O347" s="129"/>
      <c r="P347" s="129"/>
      <c r="Q347" s="129"/>
      <c r="R347" s="129"/>
      <c r="S347" s="141"/>
      <c r="T347" s="139"/>
      <c r="U347" s="129"/>
      <c r="V347" s="129"/>
      <c r="W347" s="129"/>
      <c r="X347" s="129"/>
      <c r="Y347" s="129"/>
      <c r="Z347" s="115"/>
      <c r="AA347" s="129"/>
      <c r="AB347" s="149"/>
      <c r="AC347" s="129"/>
      <c r="AD347" s="129"/>
      <c r="AE347" s="129"/>
    </row>
    <row r="348" spans="3:31" x14ac:dyDescent="0.35">
      <c r="C348" s="129"/>
      <c r="D348" s="129"/>
      <c r="E348" s="129"/>
      <c r="F348" s="129"/>
      <c r="G348" s="129"/>
      <c r="H348" s="110"/>
      <c r="I348" s="129"/>
      <c r="J348" t="s">
        <v>351</v>
      </c>
      <c r="K348" s="129"/>
      <c r="L348" s="129"/>
      <c r="M348" s="129"/>
      <c r="N348" s="129"/>
      <c r="O348" s="129"/>
      <c r="P348" s="129"/>
      <c r="Q348" s="129"/>
      <c r="R348" s="129"/>
      <c r="S348" s="141"/>
      <c r="T348" s="139"/>
      <c r="U348" s="129"/>
      <c r="V348" s="129"/>
      <c r="W348" s="129"/>
      <c r="X348" s="129"/>
      <c r="Y348" s="129"/>
      <c r="Z348" s="115"/>
      <c r="AA348" s="129"/>
      <c r="AB348" s="149"/>
      <c r="AC348" s="129"/>
      <c r="AD348" s="129"/>
      <c r="AE348" s="129"/>
    </row>
    <row r="349" spans="3:31" x14ac:dyDescent="0.35">
      <c r="C349" s="129"/>
      <c r="D349" s="129"/>
      <c r="E349" s="129"/>
      <c r="F349" s="129"/>
      <c r="G349" s="129"/>
      <c r="H349" s="110"/>
      <c r="I349" s="129"/>
      <c r="J349" t="s">
        <v>351</v>
      </c>
      <c r="K349" s="129"/>
      <c r="L349" s="129"/>
      <c r="M349" s="129"/>
      <c r="N349" s="129"/>
      <c r="O349" s="129"/>
      <c r="P349" s="129"/>
      <c r="Q349" s="129"/>
      <c r="R349" s="129"/>
      <c r="S349" s="141"/>
      <c r="T349" s="139"/>
      <c r="U349" s="129"/>
      <c r="V349" s="129"/>
      <c r="W349" s="129"/>
      <c r="X349" s="129"/>
      <c r="Y349" s="129"/>
      <c r="Z349" s="115"/>
      <c r="AA349" s="129"/>
      <c r="AB349" s="149"/>
      <c r="AC349" s="129"/>
      <c r="AD349" s="129"/>
      <c r="AE349" s="129"/>
    </row>
    <row r="350" spans="3:31" x14ac:dyDescent="0.35">
      <c r="C350" s="129"/>
      <c r="D350" s="129"/>
      <c r="E350" s="129"/>
      <c r="F350" s="129"/>
      <c r="G350" s="129"/>
      <c r="H350" s="110"/>
      <c r="I350" s="129"/>
      <c r="J350" t="s">
        <v>351</v>
      </c>
      <c r="K350" s="129"/>
      <c r="L350" s="129"/>
      <c r="M350" s="129"/>
      <c r="N350" s="129"/>
      <c r="O350" s="129"/>
      <c r="P350" s="129"/>
      <c r="Q350" s="129"/>
      <c r="R350" s="129"/>
      <c r="S350" s="141"/>
      <c r="T350" s="139"/>
      <c r="U350" s="129"/>
      <c r="V350" s="129"/>
      <c r="W350" s="129"/>
      <c r="X350" s="129"/>
      <c r="Y350" s="129"/>
      <c r="Z350" s="115"/>
      <c r="AA350" s="129"/>
      <c r="AB350" s="149"/>
      <c r="AC350" s="129"/>
      <c r="AD350" s="129"/>
      <c r="AE350" s="129"/>
    </row>
    <row r="351" spans="3:31" x14ac:dyDescent="0.35">
      <c r="C351" s="129"/>
      <c r="D351" s="129"/>
      <c r="E351" s="129"/>
      <c r="F351" s="129"/>
      <c r="G351" s="129"/>
      <c r="H351" s="110"/>
      <c r="I351" s="129"/>
      <c r="J351" t="s">
        <v>351</v>
      </c>
      <c r="K351" s="129"/>
      <c r="L351" s="129"/>
      <c r="M351" s="129"/>
      <c r="N351" s="129"/>
      <c r="O351" s="129"/>
      <c r="P351" s="129"/>
      <c r="Q351" s="129"/>
      <c r="R351" s="129"/>
      <c r="S351" s="141"/>
      <c r="T351" s="139"/>
      <c r="U351" s="129"/>
      <c r="V351" s="129"/>
      <c r="W351" s="129"/>
      <c r="X351" s="129"/>
      <c r="Y351" s="129"/>
      <c r="Z351" s="115"/>
      <c r="AA351" s="129"/>
      <c r="AB351" s="149"/>
      <c r="AC351" s="129"/>
      <c r="AD351" s="129"/>
      <c r="AE351" s="129"/>
    </row>
    <row r="352" spans="3:31" x14ac:dyDescent="0.35">
      <c r="C352" s="129"/>
      <c r="D352" s="129"/>
      <c r="E352" s="129"/>
      <c r="F352" s="129"/>
      <c r="G352" s="129"/>
      <c r="H352" s="110"/>
      <c r="I352" s="129"/>
      <c r="J352" t="s">
        <v>351</v>
      </c>
      <c r="K352" s="129"/>
      <c r="L352" s="129"/>
      <c r="M352" s="129"/>
      <c r="N352" s="129"/>
      <c r="O352" s="129"/>
      <c r="P352" s="129"/>
      <c r="Q352" s="129"/>
      <c r="R352" s="129"/>
      <c r="S352" s="141"/>
      <c r="T352" s="139"/>
      <c r="U352" s="129"/>
      <c r="V352" s="129"/>
      <c r="W352" s="129"/>
      <c r="X352" s="129"/>
      <c r="Y352" s="129"/>
      <c r="Z352" s="115"/>
      <c r="AA352" s="129"/>
      <c r="AB352" s="149"/>
      <c r="AC352" s="129"/>
      <c r="AD352" s="129"/>
      <c r="AE352" s="129"/>
    </row>
    <row r="353" spans="3:31" x14ac:dyDescent="0.35">
      <c r="C353" s="129"/>
      <c r="D353" s="129"/>
      <c r="E353" s="129"/>
      <c r="F353" s="129"/>
      <c r="G353" s="129"/>
      <c r="H353" s="110"/>
      <c r="I353" s="129"/>
      <c r="J353" t="s">
        <v>351</v>
      </c>
      <c r="K353" s="129"/>
      <c r="L353" s="129"/>
      <c r="M353" s="129"/>
      <c r="N353" s="129"/>
      <c r="O353" s="129"/>
      <c r="P353" s="129"/>
      <c r="Q353" s="129"/>
      <c r="R353" s="129"/>
      <c r="S353" s="141"/>
      <c r="T353" s="139"/>
      <c r="U353" s="129"/>
      <c r="V353" s="129"/>
      <c r="W353" s="129"/>
      <c r="X353" s="129"/>
      <c r="Y353" s="129"/>
      <c r="Z353" s="115"/>
      <c r="AA353" s="129"/>
      <c r="AB353" s="149"/>
      <c r="AC353" s="129"/>
      <c r="AD353" s="129"/>
      <c r="AE353" s="129"/>
    </row>
    <row r="354" spans="3:31" x14ac:dyDescent="0.35">
      <c r="C354" s="129"/>
      <c r="D354" s="129"/>
      <c r="E354" s="129"/>
      <c r="F354" s="129"/>
      <c r="G354" s="129"/>
      <c r="H354" s="110"/>
      <c r="I354" s="129"/>
      <c r="J354" t="s">
        <v>351</v>
      </c>
      <c r="K354" s="129"/>
      <c r="L354" s="129"/>
      <c r="M354" s="129"/>
      <c r="N354" s="129"/>
      <c r="O354" s="129"/>
      <c r="P354" s="129"/>
      <c r="Q354" s="129"/>
      <c r="R354" s="129"/>
      <c r="S354" s="141"/>
      <c r="T354" s="139"/>
      <c r="U354" s="129"/>
      <c r="V354" s="129"/>
      <c r="W354" s="129"/>
      <c r="X354" s="129"/>
      <c r="Y354" s="129"/>
      <c r="Z354" s="115"/>
      <c r="AA354" s="129"/>
      <c r="AB354" s="149"/>
      <c r="AC354" s="129"/>
      <c r="AD354" s="129"/>
      <c r="AE354" s="129"/>
    </row>
    <row r="355" spans="3:31" x14ac:dyDescent="0.35">
      <c r="C355" s="129"/>
      <c r="D355" s="129"/>
      <c r="E355" s="129"/>
      <c r="F355" s="129"/>
      <c r="G355" s="129"/>
      <c r="H355" s="110"/>
      <c r="I355" s="129"/>
      <c r="J355" t="s">
        <v>351</v>
      </c>
      <c r="K355" s="129"/>
      <c r="L355" s="129"/>
      <c r="M355" s="129"/>
      <c r="N355" s="129"/>
      <c r="O355" s="129"/>
      <c r="P355" s="129"/>
      <c r="Q355" s="129"/>
      <c r="R355" s="129"/>
      <c r="S355" s="141"/>
      <c r="T355" s="139"/>
      <c r="U355" s="129"/>
      <c r="V355" s="129"/>
      <c r="W355" s="129"/>
      <c r="X355" s="129"/>
      <c r="Y355" s="129"/>
      <c r="Z355" s="115"/>
      <c r="AA355" s="129"/>
      <c r="AB355" s="149"/>
      <c r="AC355" s="129"/>
      <c r="AD355" s="129"/>
      <c r="AE355" s="129"/>
    </row>
    <row r="356" spans="3:31" x14ac:dyDescent="0.35">
      <c r="C356" s="129"/>
      <c r="D356" s="129"/>
      <c r="E356" s="129"/>
      <c r="F356" s="129"/>
      <c r="G356" s="129"/>
      <c r="H356" s="110"/>
      <c r="I356" s="129"/>
      <c r="J356" t="s">
        <v>351</v>
      </c>
      <c r="K356" s="129"/>
      <c r="L356" s="129"/>
      <c r="M356" s="129"/>
      <c r="N356" s="129"/>
      <c r="O356" s="129"/>
      <c r="P356" s="129"/>
      <c r="Q356" s="129"/>
      <c r="R356" s="129"/>
      <c r="S356" s="141"/>
      <c r="T356" s="139"/>
      <c r="U356" s="129"/>
      <c r="V356" s="129"/>
      <c r="W356" s="129"/>
      <c r="X356" s="129"/>
      <c r="Y356" s="129"/>
      <c r="Z356" s="115"/>
      <c r="AA356" s="129"/>
      <c r="AB356" s="149"/>
      <c r="AC356" s="129"/>
      <c r="AD356" s="129"/>
      <c r="AE356" s="129"/>
    </row>
    <row r="357" spans="3:31" x14ac:dyDescent="0.35">
      <c r="C357" s="129"/>
      <c r="D357" s="129"/>
      <c r="E357" s="129"/>
      <c r="F357" s="129"/>
      <c r="G357" s="129"/>
      <c r="H357" s="110"/>
      <c r="I357" s="129"/>
      <c r="J357" t="s">
        <v>351</v>
      </c>
      <c r="K357" s="129"/>
      <c r="L357" s="129"/>
      <c r="M357" s="129"/>
      <c r="N357" s="129"/>
      <c r="O357" s="129"/>
      <c r="P357" s="129"/>
      <c r="Q357" s="129"/>
      <c r="R357" s="129"/>
      <c r="S357" s="141"/>
      <c r="T357" s="139"/>
      <c r="U357" s="129"/>
      <c r="V357" s="129"/>
      <c r="W357" s="129"/>
      <c r="X357" s="129"/>
      <c r="Y357" s="129"/>
      <c r="Z357" s="115"/>
      <c r="AA357" s="129"/>
      <c r="AB357" s="149"/>
      <c r="AC357" s="129"/>
      <c r="AD357" s="129"/>
      <c r="AE357" s="129"/>
    </row>
    <row r="358" spans="3:31" x14ac:dyDescent="0.35">
      <c r="C358" s="129"/>
      <c r="D358" s="129"/>
      <c r="E358" s="129"/>
      <c r="F358" s="129"/>
      <c r="G358" s="129"/>
      <c r="H358" s="110"/>
      <c r="I358" s="129"/>
      <c r="J358" t="s">
        <v>351</v>
      </c>
      <c r="K358" s="129"/>
      <c r="L358" s="129"/>
      <c r="M358" s="129"/>
      <c r="N358" s="129"/>
      <c r="O358" s="129"/>
      <c r="P358" s="129"/>
      <c r="Q358" s="129"/>
      <c r="R358" s="129"/>
      <c r="S358" s="141"/>
      <c r="T358" s="139"/>
      <c r="U358" s="129"/>
      <c r="V358" s="129"/>
      <c r="W358" s="129"/>
      <c r="X358" s="129"/>
      <c r="Y358" s="129"/>
      <c r="Z358" s="115"/>
      <c r="AA358" s="129"/>
      <c r="AB358" s="149"/>
      <c r="AC358" s="129"/>
      <c r="AD358" s="129"/>
      <c r="AE358" s="129"/>
    </row>
    <row r="359" spans="3:31" x14ac:dyDescent="0.35">
      <c r="C359" s="129"/>
      <c r="D359" s="129"/>
      <c r="E359" s="129"/>
      <c r="F359" s="129"/>
      <c r="G359" s="129"/>
      <c r="H359" s="110"/>
      <c r="I359" s="129"/>
      <c r="J359" t="s">
        <v>351</v>
      </c>
      <c r="K359" s="129"/>
      <c r="L359" s="129"/>
      <c r="M359" s="129"/>
      <c r="N359" s="129"/>
      <c r="O359" s="129"/>
      <c r="P359" s="129"/>
      <c r="Q359" s="129"/>
      <c r="R359" s="129"/>
      <c r="S359" s="141"/>
      <c r="T359" s="139"/>
      <c r="U359" s="129"/>
      <c r="V359" s="129"/>
      <c r="W359" s="129"/>
      <c r="X359" s="129"/>
      <c r="Y359" s="129"/>
      <c r="Z359" s="115"/>
      <c r="AA359" s="129"/>
      <c r="AB359" s="149"/>
      <c r="AC359" s="129"/>
      <c r="AD359" s="129"/>
      <c r="AE359" s="129"/>
    </row>
    <row r="360" spans="3:31" x14ac:dyDescent="0.35">
      <c r="C360" s="129"/>
      <c r="D360" s="129"/>
      <c r="E360" s="129"/>
      <c r="F360" s="129"/>
      <c r="G360" s="129"/>
      <c r="H360" s="110"/>
      <c r="I360" s="129"/>
      <c r="J360" t="s">
        <v>351</v>
      </c>
      <c r="K360" s="129"/>
      <c r="L360" s="129"/>
      <c r="M360" s="129"/>
      <c r="N360" s="129"/>
      <c r="O360" s="129"/>
      <c r="P360" s="129"/>
      <c r="Q360" s="129"/>
      <c r="R360" s="129"/>
      <c r="S360" s="141"/>
      <c r="T360" s="139"/>
      <c r="U360" s="129"/>
      <c r="V360" s="129"/>
      <c r="W360" s="129"/>
      <c r="X360" s="129"/>
      <c r="Y360" s="129"/>
      <c r="Z360" s="115"/>
      <c r="AA360" s="129"/>
      <c r="AB360" s="149"/>
      <c r="AC360" s="129"/>
      <c r="AD360" s="129"/>
      <c r="AE360" s="129"/>
    </row>
    <row r="361" spans="3:31" x14ac:dyDescent="0.35">
      <c r="C361" s="129"/>
      <c r="D361" s="129"/>
      <c r="E361" s="129"/>
      <c r="F361" s="129"/>
      <c r="G361" s="129"/>
      <c r="H361" s="110"/>
      <c r="I361" s="129"/>
      <c r="J361" t="s">
        <v>351</v>
      </c>
      <c r="K361" s="129"/>
      <c r="L361" s="129"/>
      <c r="M361" s="129"/>
      <c r="N361" s="129"/>
      <c r="O361" s="129"/>
      <c r="P361" s="129"/>
      <c r="Q361" s="129"/>
      <c r="R361" s="129"/>
      <c r="S361" s="141"/>
      <c r="T361" s="139"/>
      <c r="U361" s="129"/>
      <c r="V361" s="129"/>
      <c r="W361" s="129"/>
      <c r="X361" s="129"/>
      <c r="Y361" s="129"/>
      <c r="Z361" s="115"/>
      <c r="AA361" s="129"/>
      <c r="AB361" s="149"/>
      <c r="AC361" s="129"/>
      <c r="AD361" s="129"/>
      <c r="AE361" s="129"/>
    </row>
    <row r="362" spans="3:31" x14ac:dyDescent="0.35">
      <c r="C362" s="129"/>
      <c r="D362" s="129"/>
      <c r="E362" s="129"/>
      <c r="F362" s="129"/>
      <c r="G362" s="129"/>
      <c r="H362" s="110"/>
      <c r="I362" s="129"/>
      <c r="J362" t="s">
        <v>351</v>
      </c>
      <c r="K362" s="129"/>
      <c r="L362" s="129"/>
      <c r="M362" s="129"/>
      <c r="N362" s="129"/>
      <c r="O362" s="129"/>
      <c r="P362" s="129"/>
      <c r="Q362" s="129"/>
      <c r="R362" s="129"/>
      <c r="S362" s="141"/>
      <c r="T362" s="139"/>
      <c r="U362" s="129"/>
      <c r="V362" s="129"/>
      <c r="W362" s="129"/>
      <c r="X362" s="129"/>
      <c r="Y362" s="129"/>
      <c r="Z362" s="115"/>
      <c r="AA362" s="129"/>
      <c r="AB362" s="149"/>
      <c r="AC362" s="129"/>
      <c r="AD362" s="129"/>
      <c r="AE362" s="129"/>
    </row>
    <row r="363" spans="3:31" x14ac:dyDescent="0.35">
      <c r="C363" s="129"/>
      <c r="D363" s="129"/>
      <c r="E363" s="129"/>
      <c r="F363" s="129"/>
      <c r="G363" s="129"/>
      <c r="H363" s="110"/>
      <c r="I363" s="129"/>
      <c r="J363" t="s">
        <v>351</v>
      </c>
      <c r="K363" s="129"/>
      <c r="L363" s="129"/>
      <c r="M363" s="129"/>
      <c r="N363" s="129"/>
      <c r="O363" s="129"/>
      <c r="P363" s="129"/>
      <c r="Q363" s="129"/>
      <c r="R363" s="129"/>
      <c r="S363" s="141"/>
      <c r="T363" s="139"/>
      <c r="U363" s="129"/>
      <c r="V363" s="129"/>
      <c r="W363" s="129"/>
      <c r="X363" s="129"/>
      <c r="Y363" s="129"/>
      <c r="Z363" s="115"/>
      <c r="AA363" s="129"/>
      <c r="AB363" s="149"/>
      <c r="AC363" s="129"/>
      <c r="AD363" s="129"/>
      <c r="AE363" s="129"/>
    </row>
    <row r="364" spans="3:31" x14ac:dyDescent="0.35">
      <c r="C364" s="129"/>
      <c r="D364" s="129"/>
      <c r="E364" s="129"/>
      <c r="F364" s="129"/>
      <c r="G364" s="129"/>
      <c r="H364" s="110"/>
      <c r="I364" s="129"/>
      <c r="J364" t="s">
        <v>351</v>
      </c>
      <c r="K364" s="129"/>
      <c r="L364" s="129"/>
      <c r="M364" s="129"/>
      <c r="N364" s="129"/>
      <c r="O364" s="129"/>
      <c r="P364" s="129"/>
      <c r="Q364" s="129"/>
      <c r="R364" s="129"/>
      <c r="S364" s="141"/>
      <c r="T364" s="139"/>
      <c r="U364" s="129"/>
      <c r="V364" s="129"/>
      <c r="W364" s="129"/>
      <c r="X364" s="129"/>
      <c r="Y364" s="129"/>
      <c r="Z364" s="115"/>
      <c r="AA364" s="129"/>
      <c r="AB364" s="149"/>
      <c r="AC364" s="129"/>
      <c r="AD364" s="129"/>
      <c r="AE364" s="129"/>
    </row>
    <row r="365" spans="3:31" x14ac:dyDescent="0.35">
      <c r="C365" s="129"/>
      <c r="D365" s="129"/>
      <c r="E365" s="129"/>
      <c r="F365" s="129"/>
      <c r="G365" s="129"/>
      <c r="H365" s="110"/>
      <c r="I365" s="129"/>
      <c r="J365" t="s">
        <v>351</v>
      </c>
      <c r="K365" s="129"/>
      <c r="L365" s="129"/>
      <c r="M365" s="129"/>
      <c r="N365" s="129"/>
      <c r="O365" s="129"/>
      <c r="P365" s="129"/>
      <c r="Q365" s="129"/>
      <c r="R365" s="129"/>
      <c r="S365" s="141"/>
      <c r="T365" s="139"/>
      <c r="U365" s="129"/>
      <c r="V365" s="129"/>
      <c r="W365" s="129"/>
      <c r="X365" s="129"/>
      <c r="Y365" s="129"/>
      <c r="Z365" s="115"/>
      <c r="AA365" s="129"/>
      <c r="AB365" s="149"/>
      <c r="AC365" s="129"/>
      <c r="AD365" s="129"/>
      <c r="AE365" s="129"/>
    </row>
    <row r="366" spans="3:31" x14ac:dyDescent="0.35">
      <c r="C366" s="129"/>
      <c r="D366" s="129"/>
      <c r="E366" s="129"/>
      <c r="F366" s="129"/>
      <c r="G366" s="129"/>
      <c r="H366" s="110"/>
      <c r="I366" s="129"/>
      <c r="J366" t="s">
        <v>351</v>
      </c>
      <c r="K366" s="129"/>
      <c r="L366" s="129"/>
      <c r="M366" s="129"/>
      <c r="N366" s="129"/>
      <c r="O366" s="129"/>
      <c r="P366" s="129"/>
      <c r="Q366" s="129"/>
      <c r="R366" s="129"/>
      <c r="S366" s="141"/>
      <c r="T366" s="139"/>
      <c r="U366" s="129"/>
      <c r="V366" s="129"/>
      <c r="W366" s="129"/>
      <c r="X366" s="129"/>
      <c r="Y366" s="129"/>
      <c r="Z366" s="115"/>
      <c r="AA366" s="129"/>
      <c r="AB366" s="149"/>
      <c r="AC366" s="129"/>
      <c r="AD366" s="129"/>
      <c r="AE366" s="129"/>
    </row>
    <row r="367" spans="3:31" x14ac:dyDescent="0.35">
      <c r="C367" s="129"/>
      <c r="D367" s="129"/>
      <c r="E367" s="129"/>
      <c r="F367" s="129"/>
      <c r="G367" s="129"/>
      <c r="H367" s="110"/>
      <c r="I367" s="129"/>
      <c r="J367" t="s">
        <v>351</v>
      </c>
      <c r="K367" s="129"/>
      <c r="L367" s="129"/>
      <c r="M367" s="129"/>
      <c r="N367" s="129"/>
      <c r="O367" s="129"/>
      <c r="P367" s="129"/>
      <c r="Q367" s="129"/>
      <c r="R367" s="129"/>
      <c r="S367" s="141"/>
      <c r="T367" s="139"/>
      <c r="U367" s="129"/>
      <c r="V367" s="129"/>
      <c r="W367" s="129"/>
      <c r="X367" s="129"/>
      <c r="Y367" s="129"/>
      <c r="Z367" s="115"/>
      <c r="AA367" s="129"/>
      <c r="AB367" s="149"/>
      <c r="AC367" s="129"/>
      <c r="AD367" s="129"/>
      <c r="AE367" s="129"/>
    </row>
    <row r="368" spans="3:31" x14ac:dyDescent="0.35">
      <c r="C368" s="129"/>
      <c r="D368" s="129"/>
      <c r="E368" s="129"/>
      <c r="F368" s="129"/>
      <c r="G368" s="129"/>
      <c r="H368" s="110"/>
      <c r="I368" s="129"/>
      <c r="J368" t="s">
        <v>351</v>
      </c>
      <c r="K368" s="129"/>
      <c r="L368" s="129"/>
      <c r="M368" s="129"/>
      <c r="N368" s="129"/>
      <c r="O368" s="129"/>
      <c r="P368" s="129"/>
      <c r="Q368" s="129"/>
      <c r="R368" s="129"/>
      <c r="S368" s="141"/>
      <c r="T368" s="139"/>
      <c r="U368" s="129"/>
      <c r="V368" s="129"/>
      <c r="W368" s="129"/>
      <c r="X368" s="129"/>
      <c r="Y368" s="129"/>
      <c r="Z368" s="115"/>
      <c r="AA368" s="129"/>
      <c r="AB368" s="149"/>
      <c r="AC368" s="129"/>
      <c r="AD368" s="129"/>
      <c r="AE368" s="129"/>
    </row>
    <row r="369" spans="3:31" x14ac:dyDescent="0.35">
      <c r="C369" s="129"/>
      <c r="D369" s="129"/>
      <c r="E369" s="129"/>
      <c r="F369" s="129"/>
      <c r="G369" s="129"/>
      <c r="H369" s="110"/>
      <c r="I369" s="129"/>
      <c r="J369" t="s">
        <v>351</v>
      </c>
      <c r="K369" s="129"/>
      <c r="L369" s="129"/>
      <c r="M369" s="129"/>
      <c r="N369" s="129"/>
      <c r="O369" s="129"/>
      <c r="P369" s="129"/>
      <c r="Q369" s="129"/>
      <c r="R369" s="129"/>
      <c r="S369" s="141"/>
      <c r="T369" s="139"/>
      <c r="U369" s="129"/>
      <c r="V369" s="129"/>
      <c r="W369" s="129"/>
      <c r="X369" s="129"/>
      <c r="Y369" s="129"/>
      <c r="Z369" s="115"/>
      <c r="AA369" s="129"/>
      <c r="AB369" s="149"/>
      <c r="AC369" s="129"/>
      <c r="AD369" s="129"/>
      <c r="AE369" s="129"/>
    </row>
    <row r="370" spans="3:31" x14ac:dyDescent="0.35">
      <c r="C370" s="129"/>
      <c r="D370" s="129"/>
      <c r="E370" s="129"/>
      <c r="F370" s="129"/>
      <c r="G370" s="129"/>
      <c r="H370" s="110"/>
      <c r="I370" s="129"/>
      <c r="J370" t="s">
        <v>351</v>
      </c>
      <c r="K370" s="129"/>
      <c r="L370" s="129"/>
      <c r="M370" s="129"/>
      <c r="N370" s="129"/>
      <c r="O370" s="129"/>
      <c r="P370" s="129"/>
      <c r="Q370" s="129"/>
      <c r="R370" s="129"/>
      <c r="S370" s="141"/>
      <c r="T370" s="139"/>
      <c r="U370" s="129"/>
      <c r="V370" s="129"/>
      <c r="W370" s="129"/>
      <c r="X370" s="129"/>
      <c r="Y370" s="129"/>
      <c r="Z370" s="115"/>
      <c r="AA370" s="129"/>
      <c r="AB370" s="149"/>
      <c r="AC370" s="129"/>
      <c r="AD370" s="129"/>
      <c r="AE370" s="129"/>
    </row>
    <row r="371" spans="3:31" x14ac:dyDescent="0.35">
      <c r="C371" s="129"/>
      <c r="D371" s="129"/>
      <c r="E371" s="129"/>
      <c r="F371" s="129"/>
      <c r="G371" s="129"/>
      <c r="H371" s="110"/>
      <c r="I371" s="129"/>
      <c r="J371" t="s">
        <v>351</v>
      </c>
      <c r="K371" s="129"/>
      <c r="L371" s="129"/>
      <c r="M371" s="129"/>
      <c r="N371" s="129"/>
      <c r="O371" s="129"/>
      <c r="P371" s="129"/>
      <c r="Q371" s="129"/>
      <c r="R371" s="129"/>
      <c r="S371" s="141"/>
      <c r="T371" s="139"/>
      <c r="U371" s="129"/>
      <c r="V371" s="129"/>
      <c r="W371" s="129"/>
      <c r="X371" s="129"/>
      <c r="Y371" s="129"/>
      <c r="Z371" s="115"/>
      <c r="AA371" s="129"/>
      <c r="AB371" s="149"/>
      <c r="AC371" s="129"/>
      <c r="AD371" s="129"/>
      <c r="AE371" s="129"/>
    </row>
    <row r="372" spans="3:31" x14ac:dyDescent="0.35">
      <c r="C372" s="129"/>
      <c r="D372" s="129"/>
      <c r="E372" s="129"/>
      <c r="F372" s="129"/>
      <c r="G372" s="129"/>
      <c r="H372" s="110"/>
      <c r="I372" s="129"/>
      <c r="J372" t="s">
        <v>351</v>
      </c>
      <c r="K372" s="129"/>
      <c r="L372" s="129"/>
      <c r="M372" s="129"/>
      <c r="N372" s="129"/>
      <c r="O372" s="129"/>
      <c r="P372" s="129"/>
      <c r="Q372" s="129"/>
      <c r="R372" s="129"/>
      <c r="S372" s="141"/>
      <c r="T372" s="139"/>
      <c r="U372" s="129"/>
      <c r="V372" s="129"/>
      <c r="W372" s="129"/>
      <c r="X372" s="129"/>
      <c r="Y372" s="129"/>
      <c r="Z372" s="115"/>
      <c r="AA372" s="129"/>
      <c r="AB372" s="149"/>
      <c r="AC372" s="129"/>
      <c r="AD372" s="129"/>
      <c r="AE372" s="129"/>
    </row>
    <row r="373" spans="3:31" x14ac:dyDescent="0.35">
      <c r="C373" s="129"/>
      <c r="D373" s="129"/>
      <c r="E373" s="129"/>
      <c r="F373" s="129"/>
      <c r="G373" s="129"/>
      <c r="H373" s="110"/>
      <c r="I373" s="129"/>
      <c r="J373" t="s">
        <v>351</v>
      </c>
      <c r="K373" s="129"/>
      <c r="L373" s="129"/>
      <c r="M373" s="129"/>
      <c r="N373" s="129"/>
      <c r="O373" s="129"/>
      <c r="P373" s="129"/>
      <c r="Q373" s="129"/>
      <c r="R373" s="129"/>
      <c r="S373" s="141"/>
      <c r="T373" s="139"/>
      <c r="U373" s="129"/>
      <c r="V373" s="129"/>
      <c r="W373" s="129"/>
      <c r="X373" s="129"/>
      <c r="Y373" s="129"/>
      <c r="Z373" s="115"/>
      <c r="AA373" s="129"/>
      <c r="AB373" s="149"/>
      <c r="AC373" s="129"/>
      <c r="AD373" s="129"/>
      <c r="AE373" s="129"/>
    </row>
    <row r="374" spans="3:31" x14ac:dyDescent="0.35">
      <c r="C374" s="129"/>
      <c r="D374" s="129"/>
      <c r="E374" s="129"/>
      <c r="F374" s="129"/>
      <c r="G374" s="129"/>
      <c r="H374" s="110"/>
      <c r="I374" s="129"/>
      <c r="J374" t="s">
        <v>351</v>
      </c>
      <c r="K374" s="129"/>
      <c r="L374" s="129"/>
      <c r="M374" s="129"/>
      <c r="N374" s="129"/>
      <c r="O374" s="129"/>
      <c r="P374" s="129"/>
      <c r="Q374" s="129"/>
      <c r="R374" s="129"/>
      <c r="S374" s="141"/>
      <c r="T374" s="139"/>
      <c r="U374" s="129"/>
      <c r="V374" s="129"/>
      <c r="W374" s="129"/>
      <c r="X374" s="129"/>
      <c r="Y374" s="129"/>
      <c r="Z374" s="115"/>
      <c r="AA374" s="129"/>
      <c r="AB374" s="149"/>
      <c r="AC374" s="129"/>
      <c r="AD374" s="129"/>
      <c r="AE374" s="129"/>
    </row>
    <row r="375" spans="3:31" x14ac:dyDescent="0.35">
      <c r="C375" s="129"/>
      <c r="D375" s="129"/>
      <c r="E375" s="129"/>
      <c r="F375" s="129"/>
      <c r="G375" s="129"/>
      <c r="H375" s="110"/>
      <c r="I375" s="129"/>
      <c r="J375" t="s">
        <v>351</v>
      </c>
      <c r="K375" s="129"/>
      <c r="L375" s="129"/>
      <c r="M375" s="129"/>
      <c r="N375" s="129"/>
      <c r="O375" s="129"/>
      <c r="P375" s="129"/>
      <c r="Q375" s="129"/>
      <c r="R375" s="129"/>
      <c r="S375" s="141"/>
      <c r="T375" s="139"/>
      <c r="U375" s="129"/>
      <c r="V375" s="129"/>
      <c r="W375" s="129"/>
      <c r="X375" s="129"/>
      <c r="Y375" s="129"/>
      <c r="Z375" s="115"/>
      <c r="AA375" s="129"/>
      <c r="AB375" s="149"/>
      <c r="AC375" s="129"/>
      <c r="AD375" s="129"/>
      <c r="AE375" s="129"/>
    </row>
    <row r="376" spans="3:31" x14ac:dyDescent="0.35">
      <c r="C376" s="129"/>
      <c r="D376" s="129"/>
      <c r="E376" s="129"/>
      <c r="F376" s="129"/>
      <c r="G376" s="129"/>
      <c r="H376" s="110"/>
      <c r="I376" s="129"/>
      <c r="J376" t="s">
        <v>351</v>
      </c>
      <c r="K376" s="129"/>
      <c r="L376" s="129"/>
      <c r="M376" s="129"/>
      <c r="N376" s="129"/>
      <c r="O376" s="129"/>
      <c r="P376" s="129"/>
      <c r="Q376" s="129"/>
      <c r="R376" s="129"/>
      <c r="S376" s="141"/>
      <c r="T376" s="139"/>
      <c r="U376" s="129"/>
      <c r="V376" s="129"/>
      <c r="W376" s="129"/>
      <c r="X376" s="129"/>
      <c r="Y376" s="129"/>
      <c r="Z376" s="115"/>
      <c r="AA376" s="129"/>
      <c r="AB376" s="149"/>
      <c r="AC376" s="129"/>
      <c r="AD376" s="129"/>
      <c r="AE376" s="129"/>
    </row>
    <row r="377" spans="3:31" x14ac:dyDescent="0.35">
      <c r="C377" s="129"/>
      <c r="D377" s="129"/>
      <c r="E377" s="129"/>
      <c r="F377" s="129"/>
      <c r="G377" s="129"/>
      <c r="H377" s="110"/>
      <c r="I377" s="129"/>
      <c r="J377" t="s">
        <v>351</v>
      </c>
      <c r="K377" s="129"/>
      <c r="L377" s="129"/>
      <c r="M377" s="129"/>
      <c r="N377" s="129"/>
      <c r="O377" s="129"/>
      <c r="P377" s="129"/>
      <c r="Q377" s="129"/>
      <c r="R377" s="129"/>
      <c r="S377" s="141"/>
      <c r="T377" s="139"/>
      <c r="U377" s="129"/>
      <c r="V377" s="129"/>
      <c r="W377" s="129"/>
      <c r="X377" s="129"/>
      <c r="Y377" s="129"/>
      <c r="Z377" s="115"/>
      <c r="AA377" s="129"/>
      <c r="AB377" s="149"/>
      <c r="AC377" s="129"/>
      <c r="AD377" s="129"/>
      <c r="AE377" s="129"/>
    </row>
    <row r="378" spans="3:31" x14ac:dyDescent="0.35">
      <c r="C378" s="129"/>
      <c r="D378" s="129"/>
      <c r="E378" s="129"/>
      <c r="F378" s="129"/>
      <c r="G378" s="129"/>
      <c r="H378" s="110"/>
      <c r="I378" s="129"/>
      <c r="J378" t="s">
        <v>351</v>
      </c>
      <c r="K378" s="129"/>
      <c r="L378" s="129"/>
      <c r="M378" s="129"/>
      <c r="N378" s="129"/>
      <c r="O378" s="129"/>
      <c r="P378" s="129"/>
      <c r="Q378" s="129"/>
      <c r="R378" s="129"/>
      <c r="S378" s="141"/>
      <c r="T378" s="139"/>
      <c r="U378" s="129"/>
      <c r="V378" s="129"/>
      <c r="W378" s="129"/>
      <c r="X378" s="129"/>
      <c r="Y378" s="129"/>
      <c r="Z378" s="115"/>
      <c r="AA378" s="129"/>
      <c r="AB378" s="149"/>
      <c r="AC378" s="129"/>
      <c r="AD378" s="129"/>
      <c r="AE378" s="129"/>
    </row>
    <row r="379" spans="3:31" x14ac:dyDescent="0.35">
      <c r="C379" s="129"/>
      <c r="D379" s="129"/>
      <c r="E379" s="129"/>
      <c r="F379" s="129"/>
      <c r="G379" s="129"/>
      <c r="H379" s="110"/>
      <c r="I379" s="129"/>
      <c r="J379" t="s">
        <v>351</v>
      </c>
      <c r="K379" s="129"/>
      <c r="L379" s="129"/>
      <c r="M379" s="129"/>
      <c r="N379" s="129"/>
      <c r="O379" s="129"/>
      <c r="P379" s="129"/>
      <c r="Q379" s="129"/>
      <c r="R379" s="129"/>
      <c r="S379" s="141"/>
      <c r="T379" s="139"/>
      <c r="U379" s="129"/>
      <c r="V379" s="129"/>
      <c r="W379" s="129"/>
      <c r="X379" s="129"/>
      <c r="Y379" s="129"/>
      <c r="Z379" s="115"/>
      <c r="AA379" s="129"/>
      <c r="AB379" s="149"/>
      <c r="AC379" s="129"/>
      <c r="AD379" s="129"/>
      <c r="AE379" s="129"/>
    </row>
    <row r="380" spans="3:31" x14ac:dyDescent="0.35">
      <c r="C380" s="129"/>
      <c r="D380" s="129"/>
      <c r="E380" s="129"/>
      <c r="F380" s="129"/>
      <c r="G380" s="129"/>
      <c r="H380" s="110"/>
      <c r="I380" s="129"/>
      <c r="J380" t="s">
        <v>351</v>
      </c>
      <c r="K380" s="129"/>
      <c r="L380" s="129"/>
      <c r="M380" s="129"/>
      <c r="N380" s="129"/>
      <c r="O380" s="129"/>
      <c r="P380" s="129"/>
      <c r="Q380" s="129"/>
      <c r="R380" s="129"/>
      <c r="S380" s="141"/>
      <c r="T380" s="139"/>
      <c r="U380" s="129"/>
      <c r="V380" s="129"/>
      <c r="W380" s="129"/>
      <c r="X380" s="129"/>
      <c r="Y380" s="129"/>
      <c r="Z380" s="115"/>
      <c r="AA380" s="129"/>
      <c r="AB380" s="149"/>
      <c r="AC380" s="129"/>
      <c r="AD380" s="129"/>
      <c r="AE380" s="129"/>
    </row>
    <row r="381" spans="3:31" x14ac:dyDescent="0.35">
      <c r="C381" s="129"/>
      <c r="D381" s="129"/>
      <c r="E381" s="129"/>
      <c r="F381" s="129"/>
      <c r="G381" s="129"/>
      <c r="H381" s="110"/>
      <c r="I381" s="129"/>
      <c r="J381" t="s">
        <v>351</v>
      </c>
      <c r="K381" s="129"/>
      <c r="L381" s="129"/>
      <c r="M381" s="129"/>
      <c r="N381" s="129"/>
      <c r="O381" s="129"/>
      <c r="P381" s="129"/>
      <c r="Q381" s="129"/>
      <c r="R381" s="129"/>
      <c r="S381" s="141"/>
      <c r="T381" s="139"/>
      <c r="U381" s="129"/>
      <c r="V381" s="129"/>
      <c r="W381" s="129"/>
      <c r="X381" s="129"/>
      <c r="Y381" s="129"/>
      <c r="Z381" s="115"/>
      <c r="AA381" s="129"/>
      <c r="AB381" s="149"/>
      <c r="AC381" s="129"/>
      <c r="AD381" s="129"/>
      <c r="AE381" s="129"/>
    </row>
    <row r="382" spans="3:31" x14ac:dyDescent="0.35">
      <c r="C382" s="129"/>
      <c r="D382" s="129"/>
      <c r="E382" s="129"/>
      <c r="F382" s="129"/>
      <c r="G382" s="129"/>
      <c r="H382" s="110"/>
      <c r="I382" s="129"/>
      <c r="J382" t="s">
        <v>351</v>
      </c>
      <c r="K382" s="129"/>
      <c r="L382" s="129"/>
      <c r="M382" s="129"/>
      <c r="N382" s="129"/>
      <c r="O382" s="129"/>
      <c r="P382" s="129"/>
      <c r="Q382" s="129"/>
      <c r="R382" s="129"/>
      <c r="S382" s="141"/>
      <c r="T382" s="139"/>
      <c r="U382" s="129"/>
      <c r="V382" s="129"/>
      <c r="W382" s="129"/>
      <c r="X382" s="129"/>
      <c r="Y382" s="129"/>
      <c r="Z382" s="115"/>
      <c r="AA382" s="129"/>
      <c r="AB382" s="149"/>
      <c r="AC382" s="129"/>
      <c r="AD382" s="129"/>
      <c r="AE382" s="129"/>
    </row>
    <row r="383" spans="3:31" x14ac:dyDescent="0.35">
      <c r="C383" s="129"/>
      <c r="D383" s="129"/>
      <c r="E383" s="129"/>
      <c r="F383" s="129"/>
      <c r="G383" s="129"/>
      <c r="H383" s="110"/>
      <c r="I383" s="129"/>
      <c r="J383" t="s">
        <v>351</v>
      </c>
      <c r="K383" s="129"/>
      <c r="L383" s="129"/>
      <c r="M383" s="129"/>
      <c r="N383" s="129"/>
      <c r="O383" s="129"/>
      <c r="P383" s="129"/>
      <c r="Q383" s="129"/>
      <c r="R383" s="129"/>
      <c r="S383" s="141"/>
      <c r="T383" s="139"/>
      <c r="U383" s="129"/>
      <c r="V383" s="129"/>
      <c r="W383" s="129"/>
      <c r="X383" s="129"/>
      <c r="Y383" s="129"/>
      <c r="Z383" s="115"/>
      <c r="AA383" s="129"/>
      <c r="AB383" s="149"/>
      <c r="AC383" s="129"/>
      <c r="AD383" s="129"/>
      <c r="AE383" s="129"/>
    </row>
    <row r="384" spans="3:31" x14ac:dyDescent="0.35">
      <c r="C384" s="129"/>
      <c r="D384" s="129"/>
      <c r="E384" s="129"/>
      <c r="F384" s="129"/>
      <c r="G384" s="129"/>
      <c r="H384" s="110"/>
      <c r="I384" s="129"/>
      <c r="J384" t="s">
        <v>351</v>
      </c>
      <c r="K384" s="129"/>
      <c r="L384" s="129"/>
      <c r="M384" s="129"/>
      <c r="N384" s="129"/>
      <c r="O384" s="129"/>
      <c r="P384" s="129"/>
      <c r="Q384" s="129"/>
      <c r="R384" s="129"/>
      <c r="S384" s="141"/>
      <c r="T384" s="139"/>
      <c r="U384" s="129"/>
      <c r="V384" s="129"/>
      <c r="W384" s="129"/>
      <c r="X384" s="129"/>
      <c r="Y384" s="129"/>
      <c r="Z384" s="115"/>
      <c r="AA384" s="129"/>
      <c r="AB384" s="149"/>
      <c r="AC384" s="129"/>
      <c r="AD384" s="129"/>
      <c r="AE384" s="129"/>
    </row>
    <row r="385" spans="3:31" x14ac:dyDescent="0.35">
      <c r="C385" s="129"/>
      <c r="D385" s="129"/>
      <c r="E385" s="129"/>
      <c r="F385" s="129"/>
      <c r="G385" s="129"/>
      <c r="H385" s="110"/>
      <c r="I385" s="129"/>
      <c r="J385" t="s">
        <v>351</v>
      </c>
      <c r="K385" s="129"/>
      <c r="L385" s="129"/>
      <c r="M385" s="129"/>
      <c r="N385" s="129"/>
      <c r="O385" s="129"/>
      <c r="P385" s="129"/>
      <c r="Q385" s="129"/>
      <c r="R385" s="129"/>
      <c r="S385" s="141"/>
      <c r="T385" s="139"/>
      <c r="U385" s="129"/>
      <c r="V385" s="129"/>
      <c r="W385" s="129"/>
      <c r="X385" s="129"/>
      <c r="Y385" s="129"/>
      <c r="Z385" s="115"/>
      <c r="AA385" s="129"/>
      <c r="AB385" s="149"/>
      <c r="AC385" s="129"/>
      <c r="AD385" s="129"/>
      <c r="AE385" s="129"/>
    </row>
    <row r="386" spans="3:31" x14ac:dyDescent="0.35">
      <c r="C386" s="129"/>
      <c r="D386" s="129"/>
      <c r="E386" s="129"/>
      <c r="F386" s="129"/>
      <c r="G386" s="129"/>
      <c r="H386" s="110"/>
      <c r="I386" s="129"/>
      <c r="J386" t="s">
        <v>351</v>
      </c>
      <c r="K386" s="129"/>
      <c r="L386" s="129"/>
      <c r="M386" s="129"/>
      <c r="N386" s="129"/>
      <c r="O386" s="129"/>
      <c r="P386" s="129"/>
      <c r="Q386" s="129"/>
      <c r="R386" s="129"/>
      <c r="S386" s="141"/>
      <c r="T386" s="139"/>
      <c r="U386" s="129"/>
      <c r="V386" s="129"/>
      <c r="W386" s="129"/>
      <c r="X386" s="129"/>
      <c r="Y386" s="129"/>
      <c r="Z386" s="115"/>
      <c r="AA386" s="129"/>
      <c r="AB386" s="149"/>
      <c r="AC386" s="129"/>
      <c r="AD386" s="129"/>
      <c r="AE386" s="129"/>
    </row>
    <row r="387" spans="3:31" x14ac:dyDescent="0.35">
      <c r="C387" s="129"/>
      <c r="D387" s="129"/>
      <c r="E387" s="129"/>
      <c r="F387" s="129"/>
      <c r="G387" s="129"/>
      <c r="H387" s="110"/>
      <c r="I387" s="129"/>
      <c r="J387" t="s">
        <v>351</v>
      </c>
      <c r="K387" s="129"/>
      <c r="L387" s="129"/>
      <c r="M387" s="129"/>
      <c r="N387" s="129"/>
      <c r="O387" s="129"/>
      <c r="P387" s="129"/>
      <c r="Q387" s="129"/>
      <c r="R387" s="129"/>
      <c r="S387" s="141"/>
      <c r="T387" s="139"/>
      <c r="U387" s="129"/>
      <c r="V387" s="129"/>
      <c r="W387" s="129"/>
      <c r="X387" s="129"/>
      <c r="Y387" s="129"/>
      <c r="Z387" s="115"/>
      <c r="AA387" s="129"/>
      <c r="AB387" s="149"/>
      <c r="AC387" s="129"/>
      <c r="AD387" s="129"/>
      <c r="AE387" s="129"/>
    </row>
    <row r="388" spans="3:31" x14ac:dyDescent="0.35">
      <c r="C388" s="129"/>
      <c r="D388" s="129"/>
      <c r="E388" s="129"/>
      <c r="F388" s="129"/>
      <c r="G388" s="129"/>
      <c r="H388" s="110"/>
      <c r="I388" s="129"/>
      <c r="J388" t="s">
        <v>351</v>
      </c>
      <c r="K388" s="129"/>
      <c r="L388" s="129"/>
      <c r="M388" s="129"/>
      <c r="N388" s="129"/>
      <c r="O388" s="129"/>
      <c r="P388" s="129"/>
      <c r="Q388" s="129"/>
      <c r="R388" s="129"/>
      <c r="S388" s="141"/>
      <c r="T388" s="139"/>
      <c r="U388" s="129"/>
      <c r="V388" s="129"/>
      <c r="W388" s="129"/>
      <c r="X388" s="129"/>
      <c r="Y388" s="129"/>
      <c r="Z388" s="115"/>
      <c r="AA388" s="129"/>
      <c r="AB388" s="149"/>
      <c r="AC388" s="129"/>
      <c r="AD388" s="129"/>
      <c r="AE388" s="129"/>
    </row>
    <row r="389" spans="3:31" x14ac:dyDescent="0.35">
      <c r="C389" s="129"/>
      <c r="D389" s="129"/>
      <c r="E389" s="129"/>
      <c r="F389" s="129"/>
      <c r="G389" s="129"/>
      <c r="H389" s="110"/>
      <c r="I389" s="129"/>
      <c r="J389" t="s">
        <v>351</v>
      </c>
      <c r="K389" s="129"/>
      <c r="L389" s="129"/>
      <c r="M389" s="129"/>
      <c r="N389" s="129"/>
      <c r="O389" s="129"/>
      <c r="P389" s="129"/>
      <c r="Q389" s="129"/>
      <c r="R389" s="129"/>
      <c r="S389" s="141"/>
      <c r="T389" s="139"/>
      <c r="U389" s="129"/>
      <c r="V389" s="129"/>
      <c r="W389" s="129"/>
      <c r="X389" s="129"/>
      <c r="Y389" s="129"/>
      <c r="Z389" s="115"/>
      <c r="AA389" s="129"/>
      <c r="AB389" s="149"/>
      <c r="AC389" s="129"/>
      <c r="AD389" s="129"/>
      <c r="AE389" s="129"/>
    </row>
    <row r="390" spans="3:31" x14ac:dyDescent="0.35">
      <c r="C390" s="129"/>
      <c r="D390" s="129"/>
      <c r="E390" s="129"/>
      <c r="F390" s="129"/>
      <c r="G390" s="129"/>
      <c r="H390" s="110"/>
      <c r="I390" s="129"/>
      <c r="J390" t="s">
        <v>351</v>
      </c>
      <c r="K390" s="129"/>
      <c r="L390" s="129"/>
      <c r="M390" s="129"/>
      <c r="N390" s="129"/>
      <c r="O390" s="129"/>
      <c r="P390" s="129"/>
      <c r="Q390" s="129"/>
      <c r="R390" s="129"/>
      <c r="S390" s="141"/>
      <c r="T390" s="139"/>
      <c r="U390" s="129"/>
      <c r="V390" s="129"/>
      <c r="W390" s="129"/>
      <c r="X390" s="129"/>
      <c r="Y390" s="129"/>
      <c r="Z390" s="115"/>
      <c r="AA390" s="129"/>
      <c r="AB390" s="149"/>
      <c r="AC390" s="129"/>
      <c r="AD390" s="129"/>
      <c r="AE390" s="129"/>
    </row>
    <row r="391" spans="3:31" x14ac:dyDescent="0.35">
      <c r="C391" s="129"/>
      <c r="D391" s="129"/>
      <c r="E391" s="129"/>
      <c r="F391" s="129"/>
      <c r="G391" s="129"/>
      <c r="H391" s="110"/>
      <c r="I391" s="129"/>
      <c r="J391" t="s">
        <v>351</v>
      </c>
      <c r="K391" s="129"/>
      <c r="L391" s="129"/>
      <c r="M391" s="129"/>
      <c r="N391" s="129"/>
      <c r="O391" s="129"/>
      <c r="P391" s="129"/>
      <c r="Q391" s="129"/>
      <c r="R391" s="129"/>
      <c r="S391" s="141"/>
      <c r="T391" s="139"/>
      <c r="U391" s="129"/>
      <c r="V391" s="129"/>
      <c r="W391" s="129"/>
      <c r="X391" s="129"/>
      <c r="Y391" s="129"/>
      <c r="Z391" s="115"/>
      <c r="AA391" s="129"/>
      <c r="AB391" s="149"/>
      <c r="AC391" s="129"/>
      <c r="AD391" s="129"/>
      <c r="AE391" s="129"/>
    </row>
    <row r="392" spans="3:31" x14ac:dyDescent="0.35">
      <c r="C392" s="129"/>
      <c r="D392" s="129"/>
      <c r="E392" s="129"/>
      <c r="F392" s="129"/>
      <c r="G392" s="129"/>
      <c r="H392" s="110"/>
      <c r="I392" s="129"/>
      <c r="J392" t="s">
        <v>351</v>
      </c>
      <c r="K392" s="129"/>
      <c r="L392" s="129"/>
      <c r="M392" s="129"/>
      <c r="N392" s="129"/>
      <c r="O392" s="129"/>
      <c r="P392" s="129"/>
      <c r="Q392" s="129"/>
      <c r="R392" s="129"/>
      <c r="S392" s="141"/>
      <c r="T392" s="139"/>
      <c r="U392" s="129"/>
      <c r="V392" s="129"/>
      <c r="W392" s="129"/>
      <c r="X392" s="129"/>
      <c r="Y392" s="129"/>
      <c r="Z392" s="115"/>
      <c r="AA392" s="129"/>
      <c r="AB392" s="149"/>
      <c r="AC392" s="129"/>
      <c r="AD392" s="129"/>
      <c r="AE392" s="129"/>
    </row>
    <row r="393" spans="3:31" x14ac:dyDescent="0.35">
      <c r="C393" s="129"/>
      <c r="D393" s="129"/>
      <c r="E393" s="129"/>
      <c r="F393" s="129"/>
      <c r="G393" s="129"/>
      <c r="H393" s="110"/>
      <c r="I393" s="129"/>
      <c r="J393" t="s">
        <v>351</v>
      </c>
      <c r="K393" s="129"/>
      <c r="L393" s="129"/>
      <c r="M393" s="129"/>
      <c r="N393" s="129"/>
      <c r="O393" s="129"/>
      <c r="P393" s="129"/>
      <c r="Q393" s="129"/>
      <c r="R393" s="129"/>
      <c r="S393" s="141"/>
      <c r="T393" s="139"/>
      <c r="U393" s="129"/>
      <c r="V393" s="129"/>
      <c r="W393" s="129"/>
      <c r="X393" s="129"/>
      <c r="Y393" s="129"/>
      <c r="Z393" s="115"/>
      <c r="AA393" s="129"/>
      <c r="AB393" s="149"/>
      <c r="AC393" s="129"/>
      <c r="AD393" s="129"/>
      <c r="AE393" s="129"/>
    </row>
    <row r="394" spans="3:31" x14ac:dyDescent="0.35">
      <c r="C394" s="129"/>
      <c r="D394" s="129"/>
      <c r="E394" s="129"/>
      <c r="F394" s="129"/>
      <c r="G394" s="129"/>
      <c r="H394" s="110"/>
      <c r="I394" s="129"/>
      <c r="J394" t="s">
        <v>351</v>
      </c>
      <c r="K394" s="129"/>
      <c r="L394" s="129"/>
      <c r="M394" s="129"/>
      <c r="N394" s="129"/>
      <c r="O394" s="129"/>
      <c r="P394" s="129"/>
      <c r="Q394" s="129"/>
      <c r="R394" s="129"/>
      <c r="S394" s="141"/>
      <c r="T394" s="139"/>
      <c r="U394" s="129"/>
      <c r="V394" s="129"/>
      <c r="W394" s="129"/>
      <c r="X394" s="129"/>
      <c r="Y394" s="129"/>
      <c r="Z394" s="115"/>
      <c r="AA394" s="129"/>
      <c r="AB394" s="149"/>
      <c r="AC394" s="129"/>
      <c r="AD394" s="129"/>
      <c r="AE394" s="129"/>
    </row>
    <row r="395" spans="3:31" x14ac:dyDescent="0.35">
      <c r="C395" s="129"/>
      <c r="D395" s="129"/>
      <c r="E395" s="129"/>
      <c r="F395" s="129"/>
      <c r="G395" s="129"/>
      <c r="H395" s="110"/>
      <c r="I395" s="129"/>
      <c r="J395" t="s">
        <v>351</v>
      </c>
      <c r="K395" s="129"/>
      <c r="L395" s="129"/>
      <c r="M395" s="129"/>
      <c r="N395" s="129"/>
      <c r="O395" s="129"/>
      <c r="P395" s="129"/>
      <c r="Q395" s="129"/>
      <c r="R395" s="129"/>
      <c r="S395" s="141"/>
      <c r="T395" s="139"/>
      <c r="U395" s="129"/>
      <c r="V395" s="129"/>
      <c r="W395" s="129"/>
      <c r="X395" s="129"/>
      <c r="Y395" s="129"/>
      <c r="Z395" s="115"/>
      <c r="AA395" s="129"/>
      <c r="AB395" s="149"/>
      <c r="AC395" s="129"/>
      <c r="AD395" s="129"/>
      <c r="AE395" s="129"/>
    </row>
    <row r="396" spans="3:31" x14ac:dyDescent="0.35">
      <c r="C396" s="129"/>
      <c r="D396" s="129"/>
      <c r="E396" s="129"/>
      <c r="F396" s="129"/>
      <c r="G396" s="129"/>
      <c r="H396" s="110"/>
      <c r="I396" s="129"/>
      <c r="J396" t="s">
        <v>351</v>
      </c>
      <c r="K396" s="129"/>
      <c r="L396" s="129"/>
      <c r="M396" s="129"/>
      <c r="N396" s="129"/>
      <c r="O396" s="129"/>
      <c r="P396" s="129"/>
      <c r="Q396" s="129"/>
      <c r="R396" s="129"/>
      <c r="S396" s="141"/>
      <c r="T396" s="139"/>
      <c r="U396" s="129"/>
      <c r="V396" s="129"/>
      <c r="W396" s="129"/>
      <c r="X396" s="129"/>
      <c r="Y396" s="129"/>
      <c r="Z396" s="115"/>
      <c r="AA396" s="129"/>
      <c r="AB396" s="149"/>
      <c r="AC396" s="129"/>
      <c r="AD396" s="129"/>
      <c r="AE396" s="129"/>
    </row>
    <row r="397" spans="3:31" x14ac:dyDescent="0.35">
      <c r="C397" s="129"/>
      <c r="D397" s="129"/>
      <c r="E397" s="129"/>
      <c r="F397" s="129"/>
      <c r="G397" s="129"/>
      <c r="H397" s="110"/>
      <c r="I397" s="129"/>
      <c r="J397" t="s">
        <v>351</v>
      </c>
      <c r="K397" s="129"/>
      <c r="L397" s="129"/>
      <c r="M397" s="129"/>
      <c r="N397" s="129"/>
      <c r="O397" s="129"/>
      <c r="P397" s="129"/>
      <c r="Q397" s="129"/>
      <c r="R397" s="129"/>
      <c r="S397" s="141"/>
      <c r="T397" s="139"/>
      <c r="U397" s="129"/>
      <c r="V397" s="129"/>
      <c r="W397" s="129"/>
      <c r="X397" s="129"/>
      <c r="Y397" s="129"/>
      <c r="Z397" s="115"/>
      <c r="AA397" s="129"/>
      <c r="AB397" s="149"/>
      <c r="AC397" s="129"/>
      <c r="AD397" s="129"/>
      <c r="AE397" s="129"/>
    </row>
    <row r="398" spans="3:31" x14ac:dyDescent="0.35">
      <c r="C398" s="129"/>
      <c r="D398" s="129"/>
      <c r="E398" s="129"/>
      <c r="F398" s="129"/>
      <c r="G398" s="129"/>
      <c r="H398" s="110"/>
      <c r="I398" s="129"/>
      <c r="J398" t="s">
        <v>351</v>
      </c>
      <c r="K398" s="129"/>
      <c r="L398" s="129"/>
      <c r="M398" s="129"/>
      <c r="N398" s="129"/>
      <c r="O398" s="129"/>
      <c r="P398" s="129"/>
      <c r="Q398" s="129"/>
      <c r="R398" s="129"/>
      <c r="S398" s="141"/>
      <c r="T398" s="139"/>
      <c r="U398" s="129"/>
      <c r="V398" s="129"/>
      <c r="W398" s="129"/>
      <c r="X398" s="129"/>
      <c r="Y398" s="129"/>
      <c r="Z398" s="115"/>
      <c r="AA398" s="129"/>
      <c r="AB398" s="149"/>
      <c r="AC398" s="129"/>
      <c r="AD398" s="129"/>
      <c r="AE398" s="129"/>
    </row>
    <row r="399" spans="3:31" x14ac:dyDescent="0.35">
      <c r="C399" s="129"/>
      <c r="D399" s="129"/>
      <c r="E399" s="129"/>
      <c r="F399" s="129"/>
      <c r="G399" s="129"/>
      <c r="H399" s="110"/>
      <c r="I399" s="129"/>
      <c r="J399" t="s">
        <v>351</v>
      </c>
      <c r="K399" s="129"/>
      <c r="L399" s="129"/>
      <c r="M399" s="129"/>
      <c r="N399" s="129"/>
      <c r="O399" s="129"/>
      <c r="P399" s="129"/>
      <c r="Q399" s="129"/>
      <c r="R399" s="129"/>
      <c r="S399" s="141"/>
      <c r="T399" s="139"/>
      <c r="U399" s="129"/>
      <c r="V399" s="129"/>
      <c r="W399" s="129"/>
      <c r="X399" s="129"/>
      <c r="Y399" s="129"/>
      <c r="Z399" s="115"/>
      <c r="AA399" s="129"/>
      <c r="AB399" s="149"/>
      <c r="AC399" s="129"/>
      <c r="AD399" s="129"/>
      <c r="AE399" s="129"/>
    </row>
    <row r="400" spans="3:31" x14ac:dyDescent="0.35">
      <c r="C400" s="129"/>
      <c r="D400" s="129"/>
      <c r="E400" s="129"/>
      <c r="F400" s="129"/>
      <c r="G400" s="129"/>
      <c r="H400" s="110"/>
      <c r="I400" s="129"/>
      <c r="J400" t="s">
        <v>351</v>
      </c>
      <c r="K400" s="129"/>
      <c r="L400" s="129"/>
      <c r="M400" s="129"/>
      <c r="N400" s="129"/>
      <c r="O400" s="129"/>
      <c r="P400" s="129"/>
      <c r="Q400" s="129"/>
      <c r="R400" s="129"/>
      <c r="S400" s="141"/>
      <c r="T400" s="139"/>
      <c r="U400" s="129"/>
      <c r="V400" s="129"/>
      <c r="W400" s="129"/>
      <c r="X400" s="129"/>
      <c r="Y400" s="129"/>
      <c r="Z400" s="115"/>
      <c r="AA400" s="129"/>
      <c r="AB400" s="149"/>
      <c r="AC400" s="129"/>
      <c r="AD400" s="129"/>
      <c r="AE400" s="129"/>
    </row>
    <row r="401" spans="3:31" x14ac:dyDescent="0.35">
      <c r="C401" s="129"/>
      <c r="D401" s="129"/>
      <c r="E401" s="129"/>
      <c r="F401" s="129"/>
      <c r="G401" s="129"/>
      <c r="H401" s="110"/>
      <c r="I401" s="129"/>
      <c r="J401" t="s">
        <v>351</v>
      </c>
      <c r="K401" s="129"/>
      <c r="L401" s="129"/>
      <c r="M401" s="129"/>
      <c r="N401" s="129"/>
      <c r="O401" s="129"/>
      <c r="P401" s="129"/>
      <c r="Q401" s="129"/>
      <c r="R401" s="129"/>
      <c r="S401" s="141"/>
      <c r="T401" s="139"/>
      <c r="U401" s="129"/>
      <c r="V401" s="129"/>
      <c r="W401" s="129"/>
      <c r="X401" s="129"/>
      <c r="Y401" s="129"/>
      <c r="Z401" s="115"/>
      <c r="AA401" s="129"/>
      <c r="AB401" s="149"/>
      <c r="AC401" s="129"/>
      <c r="AD401" s="129"/>
      <c r="AE401" s="129"/>
    </row>
    <row r="402" spans="3:31" x14ac:dyDescent="0.35">
      <c r="C402" s="129"/>
      <c r="D402" s="129"/>
      <c r="E402" s="129"/>
      <c r="F402" s="129"/>
      <c r="G402" s="129"/>
      <c r="H402" s="110"/>
      <c r="I402" s="129"/>
      <c r="J402" t="s">
        <v>351</v>
      </c>
      <c r="K402" s="129"/>
      <c r="L402" s="129"/>
      <c r="M402" s="129"/>
      <c r="N402" s="129"/>
      <c r="O402" s="129"/>
      <c r="P402" s="129"/>
      <c r="Q402" s="129"/>
      <c r="R402" s="129"/>
      <c r="S402" s="141"/>
      <c r="T402" s="139"/>
      <c r="U402" s="129"/>
      <c r="V402" s="129"/>
      <c r="W402" s="129"/>
      <c r="X402" s="129"/>
      <c r="Y402" s="129"/>
      <c r="Z402" s="115"/>
      <c r="AA402" s="129"/>
      <c r="AB402" s="149"/>
      <c r="AC402" s="129"/>
      <c r="AD402" s="129"/>
      <c r="AE402" s="129"/>
    </row>
    <row r="403" spans="3:31" x14ac:dyDescent="0.35">
      <c r="C403" s="129"/>
      <c r="D403" s="129"/>
      <c r="E403" s="129"/>
      <c r="F403" s="129"/>
      <c r="G403" s="129"/>
      <c r="H403" s="110"/>
      <c r="I403" s="129"/>
      <c r="J403" t="s">
        <v>351</v>
      </c>
      <c r="K403" s="129"/>
      <c r="L403" s="129"/>
      <c r="M403" s="129"/>
      <c r="N403" s="129"/>
      <c r="O403" s="129"/>
      <c r="P403" s="129"/>
      <c r="Q403" s="129"/>
      <c r="R403" s="129"/>
      <c r="S403" s="141"/>
      <c r="T403" s="139"/>
      <c r="U403" s="129"/>
      <c r="V403" s="129"/>
      <c r="W403" s="129"/>
      <c r="X403" s="129"/>
      <c r="Y403" s="129"/>
      <c r="Z403" s="115"/>
      <c r="AA403" s="129"/>
      <c r="AB403" s="149"/>
      <c r="AC403" s="129"/>
      <c r="AD403" s="129"/>
      <c r="AE403" s="129"/>
    </row>
    <row r="404" spans="3:31" x14ac:dyDescent="0.35">
      <c r="C404" s="129"/>
      <c r="D404" s="129"/>
      <c r="E404" s="129"/>
      <c r="F404" s="129"/>
      <c r="G404" s="129"/>
      <c r="H404" s="110"/>
      <c r="I404" s="129"/>
      <c r="J404" t="s">
        <v>351</v>
      </c>
      <c r="K404" s="129"/>
      <c r="L404" s="129"/>
      <c r="M404" s="129"/>
      <c r="N404" s="129"/>
      <c r="O404" s="129"/>
      <c r="P404" s="129"/>
      <c r="Q404" s="129"/>
      <c r="R404" s="129"/>
      <c r="S404" s="141"/>
      <c r="T404" s="139"/>
      <c r="U404" s="129"/>
      <c r="V404" s="129"/>
      <c r="W404" s="129"/>
      <c r="X404" s="129"/>
      <c r="Y404" s="129"/>
      <c r="Z404" s="115"/>
      <c r="AA404" s="129"/>
      <c r="AB404" s="149"/>
      <c r="AC404" s="129"/>
      <c r="AD404" s="129"/>
      <c r="AE404" s="129"/>
    </row>
    <row r="405" spans="3:31" x14ac:dyDescent="0.35">
      <c r="C405" s="129"/>
      <c r="D405" s="129"/>
      <c r="E405" s="129"/>
      <c r="F405" s="129"/>
      <c r="G405" s="129"/>
      <c r="H405" s="110"/>
      <c r="I405" s="129"/>
      <c r="J405" t="s">
        <v>351</v>
      </c>
      <c r="K405" s="129"/>
      <c r="L405" s="129"/>
      <c r="M405" s="129"/>
      <c r="N405" s="129"/>
      <c r="O405" s="129"/>
      <c r="P405" s="129"/>
      <c r="Q405" s="129"/>
      <c r="R405" s="129"/>
      <c r="S405" s="141"/>
      <c r="T405" s="139"/>
      <c r="U405" s="129"/>
      <c r="V405" s="129"/>
      <c r="W405" s="129"/>
      <c r="X405" s="129"/>
      <c r="Y405" s="129"/>
      <c r="Z405" s="115"/>
      <c r="AA405" s="129"/>
      <c r="AB405" s="149"/>
      <c r="AC405" s="129"/>
      <c r="AD405" s="129"/>
      <c r="AE405" s="129"/>
    </row>
    <row r="406" spans="3:31" x14ac:dyDescent="0.35">
      <c r="C406" s="129"/>
      <c r="D406" s="129"/>
      <c r="E406" s="129"/>
      <c r="F406" s="129"/>
      <c r="G406" s="129"/>
      <c r="H406" s="110"/>
      <c r="I406" s="129"/>
      <c r="J406" t="s">
        <v>351</v>
      </c>
      <c r="K406" s="129"/>
      <c r="L406" s="129"/>
      <c r="M406" s="129"/>
      <c r="N406" s="129"/>
      <c r="O406" s="129"/>
      <c r="P406" s="129"/>
      <c r="Q406" s="129"/>
      <c r="R406" s="129"/>
      <c r="S406" s="141"/>
      <c r="T406" s="139"/>
      <c r="U406" s="129"/>
      <c r="V406" s="129"/>
      <c r="W406" s="129"/>
      <c r="X406" s="129"/>
      <c r="Y406" s="129"/>
      <c r="Z406" s="115"/>
      <c r="AA406" s="129"/>
      <c r="AB406" s="149"/>
      <c r="AC406" s="129"/>
      <c r="AD406" s="129"/>
      <c r="AE406" s="129"/>
    </row>
    <row r="407" spans="3:31" x14ac:dyDescent="0.35">
      <c r="C407" s="129"/>
      <c r="D407" s="129"/>
      <c r="E407" s="129"/>
      <c r="F407" s="129"/>
      <c r="G407" s="129"/>
      <c r="H407" s="110"/>
      <c r="I407" s="129"/>
      <c r="J407" t="s">
        <v>351</v>
      </c>
      <c r="K407" s="129"/>
      <c r="L407" s="129"/>
      <c r="M407" s="129"/>
      <c r="N407" s="129"/>
      <c r="O407" s="129"/>
      <c r="P407" s="129"/>
      <c r="Q407" s="129"/>
      <c r="R407" s="129"/>
      <c r="S407" s="141"/>
      <c r="T407" s="139"/>
      <c r="U407" s="129"/>
      <c r="V407" s="129"/>
      <c r="W407" s="129"/>
      <c r="X407" s="129"/>
      <c r="Y407" s="129"/>
      <c r="Z407" s="115"/>
      <c r="AA407" s="129"/>
      <c r="AB407" s="149"/>
      <c r="AC407" s="129"/>
      <c r="AD407" s="129"/>
      <c r="AE407" s="129"/>
    </row>
    <row r="408" spans="3:31" x14ac:dyDescent="0.35">
      <c r="C408" s="129"/>
      <c r="D408" s="129"/>
      <c r="E408" s="129"/>
      <c r="F408" s="129"/>
      <c r="G408" s="129"/>
      <c r="H408" s="110"/>
      <c r="I408" s="129"/>
      <c r="J408" t="s">
        <v>351</v>
      </c>
      <c r="K408" s="129"/>
      <c r="L408" s="129"/>
      <c r="M408" s="129"/>
      <c r="N408" s="129"/>
      <c r="O408" s="129"/>
      <c r="P408" s="129"/>
      <c r="Q408" s="129"/>
      <c r="R408" s="129"/>
      <c r="S408" s="141"/>
      <c r="T408" s="139"/>
      <c r="U408" s="129"/>
      <c r="V408" s="129"/>
      <c r="W408" s="129"/>
      <c r="X408" s="129"/>
      <c r="Y408" s="129"/>
      <c r="Z408" s="115"/>
      <c r="AA408" s="129"/>
      <c r="AB408" s="149"/>
      <c r="AC408" s="129"/>
      <c r="AD408" s="129"/>
      <c r="AE408" s="129"/>
    </row>
    <row r="409" spans="3:31" x14ac:dyDescent="0.35">
      <c r="C409" s="129"/>
      <c r="D409" s="129"/>
      <c r="E409" s="129"/>
      <c r="F409" s="129"/>
      <c r="G409" s="129"/>
      <c r="H409" s="110"/>
      <c r="I409" s="129"/>
      <c r="J409" t="s">
        <v>351</v>
      </c>
      <c r="K409" s="129"/>
      <c r="L409" s="129"/>
      <c r="M409" s="129"/>
      <c r="N409" s="129"/>
      <c r="O409" s="129"/>
      <c r="P409" s="129"/>
      <c r="Q409" s="129"/>
      <c r="R409" s="129"/>
      <c r="S409" s="141"/>
      <c r="T409" s="139"/>
      <c r="U409" s="129"/>
      <c r="V409" s="129"/>
      <c r="W409" s="129"/>
      <c r="X409" s="129"/>
      <c r="Y409" s="129"/>
      <c r="Z409" s="115"/>
      <c r="AA409" s="129"/>
      <c r="AB409" s="149"/>
      <c r="AC409" s="129"/>
      <c r="AD409" s="129"/>
      <c r="AE409" s="129"/>
    </row>
    <row r="410" spans="3:31" x14ac:dyDescent="0.35">
      <c r="C410" s="129"/>
      <c r="D410" s="129"/>
      <c r="E410" s="129"/>
      <c r="F410" s="129"/>
      <c r="G410" s="129"/>
      <c r="H410" s="110"/>
      <c r="I410" s="129"/>
      <c r="J410" t="s">
        <v>351</v>
      </c>
      <c r="K410" s="129"/>
      <c r="L410" s="129"/>
      <c r="M410" s="129"/>
      <c r="N410" s="129"/>
      <c r="O410" s="129"/>
      <c r="P410" s="129"/>
      <c r="Q410" s="129"/>
      <c r="R410" s="129"/>
      <c r="S410" s="141"/>
      <c r="T410" s="139"/>
      <c r="U410" s="129"/>
      <c r="V410" s="129"/>
      <c r="W410" s="129"/>
      <c r="X410" s="129"/>
      <c r="Y410" s="129"/>
      <c r="Z410" s="115"/>
      <c r="AA410" s="129"/>
      <c r="AB410" s="149"/>
      <c r="AC410" s="129"/>
      <c r="AD410" s="129"/>
      <c r="AE410" s="129"/>
    </row>
    <row r="411" spans="3:31" x14ac:dyDescent="0.35">
      <c r="C411" s="129"/>
      <c r="D411" s="129"/>
      <c r="E411" s="129"/>
      <c r="F411" s="129"/>
      <c r="G411" s="129"/>
      <c r="H411" s="110"/>
      <c r="I411" s="129"/>
      <c r="J411" t="s">
        <v>351</v>
      </c>
      <c r="K411" s="129"/>
      <c r="L411" s="129"/>
      <c r="M411" s="129"/>
      <c r="N411" s="129"/>
      <c r="O411" s="129"/>
      <c r="P411" s="129"/>
      <c r="Q411" s="129"/>
      <c r="R411" s="129"/>
      <c r="S411" s="141"/>
      <c r="T411" s="139"/>
      <c r="U411" s="129"/>
      <c r="V411" s="129"/>
      <c r="W411" s="129"/>
      <c r="X411" s="129"/>
      <c r="Y411" s="129"/>
      <c r="Z411" s="115"/>
      <c r="AA411" s="129"/>
      <c r="AB411" s="149"/>
      <c r="AC411" s="129"/>
      <c r="AD411" s="129"/>
      <c r="AE411" s="129"/>
    </row>
    <row r="412" spans="3:31" x14ac:dyDescent="0.35">
      <c r="C412" s="129"/>
      <c r="D412" s="129"/>
      <c r="E412" s="129"/>
      <c r="F412" s="129"/>
      <c r="G412" s="129"/>
      <c r="H412" s="110"/>
      <c r="I412" s="129"/>
      <c r="J412" t="s">
        <v>351</v>
      </c>
      <c r="K412" s="129"/>
      <c r="L412" s="129"/>
      <c r="M412" s="129"/>
      <c r="N412" s="129"/>
      <c r="O412" s="129"/>
      <c r="P412" s="129"/>
      <c r="Q412" s="129"/>
      <c r="R412" s="129"/>
      <c r="S412" s="141"/>
      <c r="T412" s="139"/>
      <c r="U412" s="129"/>
      <c r="V412" s="129"/>
      <c r="W412" s="129"/>
      <c r="X412" s="129"/>
      <c r="Y412" s="129"/>
      <c r="Z412" s="115"/>
      <c r="AA412" s="129"/>
      <c r="AB412" s="149"/>
      <c r="AC412" s="129"/>
      <c r="AD412" s="129"/>
      <c r="AE412" s="129"/>
    </row>
    <row r="413" spans="3:31" x14ac:dyDescent="0.35">
      <c r="C413" s="129"/>
      <c r="D413" s="129"/>
      <c r="E413" s="129"/>
      <c r="F413" s="129"/>
      <c r="G413" s="129"/>
      <c r="H413" s="110"/>
      <c r="I413" s="129"/>
      <c r="J413" t="s">
        <v>351</v>
      </c>
      <c r="K413" s="129"/>
      <c r="L413" s="129"/>
      <c r="M413" s="129"/>
      <c r="N413" s="129"/>
      <c r="O413" s="129"/>
      <c r="P413" s="129"/>
      <c r="Q413" s="129"/>
      <c r="R413" s="129"/>
      <c r="S413" s="141"/>
      <c r="T413" s="139"/>
      <c r="U413" s="129"/>
      <c r="V413" s="129"/>
      <c r="W413" s="129"/>
      <c r="X413" s="129"/>
      <c r="Y413" s="129"/>
      <c r="Z413" s="115"/>
      <c r="AA413" s="129"/>
      <c r="AB413" s="149"/>
      <c r="AC413" s="129"/>
      <c r="AD413" s="129"/>
      <c r="AE413" s="129"/>
    </row>
    <row r="414" spans="3:31" x14ac:dyDescent="0.35">
      <c r="C414" s="129"/>
      <c r="D414" s="129"/>
      <c r="E414" s="129"/>
      <c r="F414" s="129"/>
      <c r="G414" s="129"/>
      <c r="H414" s="110"/>
      <c r="I414" s="129"/>
      <c r="J414" t="s">
        <v>351</v>
      </c>
      <c r="K414" s="129"/>
      <c r="L414" s="129"/>
      <c r="M414" s="129"/>
      <c r="N414" s="129"/>
      <c r="O414" s="129"/>
      <c r="P414" s="129"/>
      <c r="Q414" s="129"/>
      <c r="R414" s="129"/>
      <c r="S414" s="141"/>
      <c r="T414" s="139"/>
      <c r="U414" s="129"/>
      <c r="V414" s="129"/>
      <c r="W414" s="129"/>
      <c r="X414" s="129"/>
      <c r="Y414" s="129"/>
      <c r="Z414" s="115"/>
      <c r="AA414" s="129"/>
      <c r="AB414" s="149"/>
      <c r="AC414" s="129"/>
      <c r="AD414" s="129"/>
      <c r="AE414" s="129"/>
    </row>
    <row r="415" spans="3:31" x14ac:dyDescent="0.35">
      <c r="C415" s="129"/>
      <c r="D415" s="129"/>
      <c r="E415" s="129"/>
      <c r="F415" s="129"/>
      <c r="G415" s="129"/>
      <c r="H415" s="110"/>
      <c r="I415" s="129"/>
      <c r="J415" t="s">
        <v>351</v>
      </c>
      <c r="K415" s="129"/>
      <c r="L415" s="129"/>
      <c r="M415" s="129"/>
      <c r="N415" s="129"/>
      <c r="O415" s="129"/>
      <c r="P415" s="129"/>
      <c r="Q415" s="129"/>
      <c r="R415" s="129"/>
      <c r="S415" s="141"/>
      <c r="T415" s="139"/>
      <c r="U415" s="129"/>
      <c r="V415" s="129"/>
      <c r="W415" s="129"/>
      <c r="X415" s="129"/>
      <c r="Y415" s="129"/>
      <c r="Z415" s="115"/>
      <c r="AA415" s="129"/>
      <c r="AB415" s="149"/>
      <c r="AC415" s="129"/>
      <c r="AD415" s="129"/>
      <c r="AE415" s="129"/>
    </row>
    <row r="416" spans="3:31" x14ac:dyDescent="0.35">
      <c r="C416" s="129"/>
      <c r="D416" s="129"/>
      <c r="E416" s="129"/>
      <c r="F416" s="129"/>
      <c r="G416" s="129"/>
      <c r="H416" s="110"/>
      <c r="I416" s="129"/>
      <c r="J416" t="s">
        <v>351</v>
      </c>
      <c r="K416" s="129"/>
      <c r="L416" s="129"/>
      <c r="M416" s="129"/>
      <c r="N416" s="129"/>
      <c r="O416" s="129"/>
      <c r="P416" s="129"/>
      <c r="Q416" s="129"/>
      <c r="R416" s="129"/>
      <c r="S416" s="141"/>
      <c r="T416" s="139"/>
      <c r="U416" s="129"/>
      <c r="V416" s="129"/>
      <c r="W416" s="129"/>
      <c r="X416" s="129"/>
      <c r="Y416" s="129"/>
      <c r="Z416" s="115"/>
      <c r="AA416" s="129"/>
      <c r="AB416" s="149"/>
      <c r="AC416" s="129"/>
      <c r="AD416" s="129"/>
      <c r="AE416" s="129"/>
    </row>
    <row r="417" spans="3:31" x14ac:dyDescent="0.35">
      <c r="C417" s="129"/>
      <c r="D417" s="129"/>
      <c r="E417" s="129"/>
      <c r="F417" s="129"/>
      <c r="G417" s="129"/>
      <c r="H417" s="110"/>
      <c r="I417" s="129"/>
      <c r="J417" t="s">
        <v>351</v>
      </c>
      <c r="K417" s="129"/>
      <c r="L417" s="129"/>
      <c r="M417" s="129"/>
      <c r="N417" s="129"/>
      <c r="O417" s="129"/>
      <c r="P417" s="129"/>
      <c r="Q417" s="129"/>
      <c r="R417" s="129"/>
      <c r="S417" s="141"/>
      <c r="T417" s="139"/>
      <c r="U417" s="129"/>
      <c r="V417" s="129"/>
      <c r="W417" s="129"/>
      <c r="X417" s="129"/>
      <c r="Y417" s="129"/>
      <c r="Z417" s="115"/>
      <c r="AA417" s="129"/>
      <c r="AB417" s="149"/>
      <c r="AC417" s="129"/>
      <c r="AD417" s="129"/>
      <c r="AE417" s="129"/>
    </row>
    <row r="418" spans="3:31" x14ac:dyDescent="0.35">
      <c r="C418" s="129"/>
      <c r="D418" s="129"/>
      <c r="E418" s="129"/>
      <c r="F418" s="129"/>
      <c r="G418" s="129"/>
      <c r="H418" s="110"/>
      <c r="I418" s="129"/>
      <c r="J418" t="s">
        <v>351</v>
      </c>
      <c r="K418" s="129"/>
      <c r="L418" s="129"/>
      <c r="M418" s="129"/>
      <c r="N418" s="129"/>
      <c r="O418" s="129"/>
      <c r="P418" s="129"/>
      <c r="Q418" s="129"/>
      <c r="R418" s="129"/>
      <c r="S418" s="141"/>
      <c r="T418" s="139"/>
      <c r="U418" s="129"/>
      <c r="V418" s="129"/>
      <c r="W418" s="129"/>
      <c r="X418" s="129"/>
      <c r="Y418" s="129"/>
      <c r="Z418" s="115"/>
      <c r="AA418" s="129"/>
      <c r="AB418" s="149"/>
      <c r="AC418" s="129"/>
      <c r="AD418" s="129"/>
      <c r="AE418" s="129"/>
    </row>
    <row r="419" spans="3:31" x14ac:dyDescent="0.35">
      <c r="C419" s="129"/>
      <c r="D419" s="129"/>
      <c r="E419" s="129"/>
      <c r="F419" s="129"/>
      <c r="G419" s="129"/>
      <c r="H419" s="110"/>
      <c r="I419" s="129"/>
      <c r="J419" t="s">
        <v>351</v>
      </c>
      <c r="K419" s="129"/>
      <c r="L419" s="129"/>
      <c r="M419" s="129"/>
      <c r="N419" s="129"/>
      <c r="O419" s="129"/>
      <c r="P419" s="129"/>
      <c r="Q419" s="129"/>
      <c r="R419" s="129"/>
      <c r="S419" s="141"/>
      <c r="T419" s="139"/>
      <c r="U419" s="129"/>
      <c r="V419" s="129"/>
      <c r="W419" s="129"/>
      <c r="X419" s="129"/>
      <c r="Y419" s="129"/>
      <c r="Z419" s="115"/>
      <c r="AA419" s="129"/>
      <c r="AB419" s="149"/>
      <c r="AC419" s="129"/>
      <c r="AD419" s="129"/>
      <c r="AE419" s="129"/>
    </row>
    <row r="420" spans="3:31" x14ac:dyDescent="0.35">
      <c r="C420" s="129"/>
      <c r="D420" s="129"/>
      <c r="E420" s="129"/>
      <c r="F420" s="129"/>
      <c r="G420" s="129"/>
      <c r="H420" s="110"/>
      <c r="I420" s="129"/>
      <c r="J420" t="s">
        <v>351</v>
      </c>
      <c r="K420" s="129"/>
      <c r="L420" s="129"/>
      <c r="M420" s="129"/>
      <c r="N420" s="129"/>
      <c r="O420" s="129"/>
      <c r="P420" s="129"/>
      <c r="Q420" s="129"/>
      <c r="R420" s="129"/>
      <c r="S420" s="141"/>
      <c r="T420" s="139"/>
      <c r="U420" s="129"/>
      <c r="V420" s="129"/>
      <c r="W420" s="129"/>
      <c r="X420" s="129"/>
      <c r="Y420" s="129"/>
      <c r="Z420" s="115"/>
      <c r="AA420" s="129"/>
      <c r="AB420" s="149"/>
      <c r="AC420" s="129"/>
      <c r="AD420" s="129"/>
      <c r="AE420" s="129"/>
    </row>
    <row r="421" spans="3:31" x14ac:dyDescent="0.35">
      <c r="C421" s="129"/>
      <c r="D421" s="129"/>
      <c r="E421" s="129"/>
      <c r="F421" s="129"/>
      <c r="G421" s="129"/>
      <c r="H421" s="110"/>
      <c r="I421" s="129"/>
      <c r="J421" t="s">
        <v>351</v>
      </c>
      <c r="K421" s="129"/>
      <c r="L421" s="129"/>
      <c r="M421" s="129"/>
      <c r="N421" s="129"/>
      <c r="O421" s="129"/>
      <c r="P421" s="129"/>
      <c r="Q421" s="129"/>
      <c r="R421" s="129"/>
      <c r="S421" s="141"/>
      <c r="T421" s="139"/>
      <c r="U421" s="129"/>
      <c r="V421" s="129"/>
      <c r="W421" s="129"/>
      <c r="X421" s="129"/>
      <c r="Y421" s="129"/>
      <c r="Z421" s="115"/>
      <c r="AA421" s="129"/>
      <c r="AB421" s="149"/>
      <c r="AC421" s="129"/>
      <c r="AD421" s="129"/>
      <c r="AE421" s="129"/>
    </row>
    <row r="422" spans="3:31" x14ac:dyDescent="0.35">
      <c r="C422" s="129"/>
      <c r="D422" s="129"/>
      <c r="E422" s="129"/>
      <c r="F422" s="129"/>
      <c r="G422" s="129"/>
      <c r="H422" s="110"/>
      <c r="I422" s="129"/>
      <c r="J422" t="s">
        <v>351</v>
      </c>
      <c r="K422" s="129"/>
      <c r="L422" s="129"/>
      <c r="M422" s="129"/>
      <c r="N422" s="129"/>
      <c r="O422" s="129"/>
      <c r="P422" s="129"/>
      <c r="Q422" s="129"/>
      <c r="R422" s="129"/>
      <c r="S422" s="141"/>
      <c r="T422" s="139"/>
      <c r="U422" s="129"/>
      <c r="V422" s="129"/>
      <c r="W422" s="129"/>
      <c r="X422" s="129"/>
      <c r="Y422" s="129"/>
      <c r="Z422" s="115"/>
      <c r="AA422" s="129"/>
      <c r="AB422" s="149"/>
      <c r="AC422" s="129"/>
      <c r="AD422" s="129"/>
      <c r="AE422" s="129"/>
    </row>
    <row r="423" spans="3:31" x14ac:dyDescent="0.35">
      <c r="C423" s="129"/>
      <c r="D423" s="129"/>
      <c r="E423" s="129"/>
      <c r="F423" s="129"/>
      <c r="G423" s="129"/>
      <c r="H423" s="110"/>
      <c r="I423" s="129"/>
      <c r="J423" t="s">
        <v>351</v>
      </c>
      <c r="K423" s="129"/>
      <c r="L423" s="129"/>
      <c r="M423" s="129"/>
      <c r="N423" s="129"/>
      <c r="O423" s="129"/>
      <c r="P423" s="129"/>
      <c r="Q423" s="129"/>
      <c r="R423" s="129"/>
      <c r="S423" s="141"/>
      <c r="T423" s="139"/>
      <c r="U423" s="129"/>
      <c r="V423" s="129"/>
      <c r="W423" s="129"/>
      <c r="X423" s="129"/>
      <c r="Y423" s="129"/>
      <c r="Z423" s="115"/>
      <c r="AA423" s="129"/>
      <c r="AB423" s="149"/>
      <c r="AC423" s="129"/>
      <c r="AD423" s="129"/>
      <c r="AE423" s="129"/>
    </row>
    <row r="424" spans="3:31" x14ac:dyDescent="0.35">
      <c r="C424" s="129"/>
      <c r="D424" s="129"/>
      <c r="E424" s="129"/>
      <c r="F424" s="129"/>
      <c r="G424" s="129"/>
      <c r="H424" s="110"/>
      <c r="I424" s="129"/>
      <c r="J424" t="s">
        <v>351</v>
      </c>
      <c r="K424" s="129"/>
      <c r="L424" s="129"/>
      <c r="M424" s="129"/>
      <c r="N424" s="129"/>
      <c r="O424" s="129"/>
      <c r="P424" s="129"/>
      <c r="Q424" s="129"/>
      <c r="R424" s="129"/>
      <c r="S424" s="141"/>
      <c r="T424" s="139"/>
      <c r="U424" s="129"/>
      <c r="V424" s="129"/>
      <c r="W424" s="129"/>
      <c r="X424" s="129"/>
      <c r="Y424" s="129"/>
      <c r="Z424" s="115"/>
      <c r="AA424" s="129"/>
      <c r="AB424" s="149"/>
      <c r="AC424" s="129"/>
      <c r="AD424" s="129"/>
      <c r="AE424" s="129"/>
    </row>
    <row r="425" spans="3:31" x14ac:dyDescent="0.35">
      <c r="C425" s="129"/>
      <c r="D425" s="129"/>
      <c r="E425" s="129"/>
      <c r="F425" s="129"/>
      <c r="G425" s="129"/>
      <c r="H425" s="110"/>
      <c r="I425" s="129"/>
      <c r="J425" t="s">
        <v>351</v>
      </c>
      <c r="K425" s="129"/>
      <c r="L425" s="129"/>
      <c r="M425" s="129"/>
      <c r="N425" s="129"/>
      <c r="O425" s="129"/>
      <c r="P425" s="129"/>
      <c r="Q425" s="129"/>
      <c r="R425" s="129"/>
      <c r="S425" s="141"/>
      <c r="T425" s="139"/>
      <c r="U425" s="129"/>
      <c r="V425" s="129"/>
      <c r="W425" s="129"/>
      <c r="X425" s="129"/>
      <c r="Y425" s="129"/>
      <c r="Z425" s="115"/>
      <c r="AA425" s="129"/>
      <c r="AB425" s="149"/>
      <c r="AC425" s="129"/>
      <c r="AD425" s="129"/>
      <c r="AE425" s="129"/>
    </row>
    <row r="426" spans="3:31" x14ac:dyDescent="0.35">
      <c r="C426" s="129"/>
      <c r="D426" s="129"/>
      <c r="E426" s="129"/>
      <c r="F426" s="129"/>
      <c r="G426" s="129"/>
      <c r="H426" s="110"/>
      <c r="I426" s="129"/>
      <c r="J426" t="s">
        <v>351</v>
      </c>
      <c r="K426" s="129"/>
      <c r="L426" s="129"/>
      <c r="M426" s="129"/>
      <c r="N426" s="129"/>
      <c r="O426" s="129"/>
      <c r="P426" s="129"/>
      <c r="Q426" s="129"/>
      <c r="R426" s="129"/>
      <c r="S426" s="141"/>
      <c r="T426" s="139"/>
      <c r="U426" s="129"/>
      <c r="V426" s="129"/>
      <c r="W426" s="129"/>
      <c r="X426" s="129"/>
      <c r="Y426" s="129"/>
      <c r="Z426" s="115"/>
      <c r="AA426" s="129"/>
      <c r="AB426" s="149"/>
      <c r="AC426" s="129"/>
      <c r="AD426" s="129"/>
      <c r="AE426" s="129"/>
    </row>
    <row r="427" spans="3:31" x14ac:dyDescent="0.35">
      <c r="C427" s="129"/>
      <c r="D427" s="129"/>
      <c r="E427" s="129"/>
      <c r="F427" s="129"/>
      <c r="G427" s="129"/>
      <c r="H427" s="110"/>
      <c r="I427" s="129"/>
      <c r="J427" t="s">
        <v>351</v>
      </c>
      <c r="K427" s="129"/>
      <c r="L427" s="129"/>
      <c r="M427" s="129"/>
      <c r="N427" s="129"/>
      <c r="O427" s="129"/>
      <c r="P427" s="129"/>
      <c r="Q427" s="129"/>
      <c r="R427" s="129"/>
      <c r="S427" s="141"/>
      <c r="T427" s="139"/>
      <c r="U427" s="129"/>
      <c r="V427" s="129"/>
      <c r="W427" s="129"/>
      <c r="X427" s="129"/>
      <c r="Y427" s="129"/>
      <c r="Z427" s="115"/>
      <c r="AA427" s="129"/>
      <c r="AB427" s="149"/>
      <c r="AC427" s="129"/>
      <c r="AD427" s="129"/>
      <c r="AE427" s="129"/>
    </row>
    <row r="428" spans="3:31" x14ac:dyDescent="0.35">
      <c r="C428" s="129"/>
      <c r="D428" s="129"/>
      <c r="E428" s="129"/>
      <c r="F428" s="129"/>
      <c r="G428" s="129"/>
      <c r="H428" s="110"/>
      <c r="I428" s="129"/>
      <c r="J428" t="s">
        <v>351</v>
      </c>
      <c r="K428" s="129"/>
      <c r="L428" s="129"/>
      <c r="M428" s="129"/>
      <c r="N428" s="129"/>
      <c r="O428" s="129"/>
      <c r="P428" s="129"/>
      <c r="Q428" s="129"/>
      <c r="R428" s="129"/>
      <c r="S428" s="141"/>
      <c r="T428" s="139"/>
      <c r="U428" s="129"/>
      <c r="V428" s="129"/>
      <c r="W428" s="129"/>
      <c r="X428" s="129"/>
      <c r="Y428" s="129"/>
      <c r="Z428" s="115"/>
      <c r="AA428" s="129"/>
      <c r="AB428" s="149"/>
      <c r="AC428" s="129"/>
      <c r="AD428" s="129"/>
      <c r="AE428" s="129"/>
    </row>
    <row r="429" spans="3:31" x14ac:dyDescent="0.35">
      <c r="C429" s="129"/>
      <c r="D429" s="129"/>
      <c r="E429" s="129"/>
      <c r="F429" s="129"/>
      <c r="G429" s="129"/>
      <c r="H429" s="110"/>
      <c r="I429" s="129"/>
      <c r="J429" t="s">
        <v>351</v>
      </c>
      <c r="K429" s="129"/>
      <c r="L429" s="129"/>
      <c r="M429" s="129"/>
      <c r="N429" s="129"/>
      <c r="O429" s="129"/>
      <c r="P429" s="129"/>
      <c r="Q429" s="129"/>
      <c r="R429" s="129"/>
      <c r="S429" s="141"/>
      <c r="T429" s="139"/>
      <c r="U429" s="129"/>
      <c r="V429" s="129"/>
      <c r="W429" s="129"/>
      <c r="X429" s="129"/>
      <c r="Y429" s="129"/>
      <c r="Z429" s="115"/>
      <c r="AA429" s="129"/>
      <c r="AB429" s="149"/>
      <c r="AC429" s="129"/>
      <c r="AD429" s="129"/>
      <c r="AE429" s="129"/>
    </row>
    <row r="430" spans="3:31" x14ac:dyDescent="0.35">
      <c r="C430" s="129"/>
      <c r="D430" s="129"/>
      <c r="E430" s="129"/>
      <c r="F430" s="129"/>
      <c r="G430" s="129"/>
      <c r="H430" s="110"/>
      <c r="I430" s="129"/>
      <c r="J430" t="s">
        <v>351</v>
      </c>
      <c r="K430" s="129"/>
      <c r="L430" s="129"/>
      <c r="M430" s="129"/>
      <c r="N430" s="129"/>
      <c r="O430" s="129"/>
      <c r="P430" s="129"/>
      <c r="Q430" s="129"/>
      <c r="R430" s="129"/>
      <c r="S430" s="141"/>
      <c r="T430" s="139"/>
      <c r="U430" s="129"/>
      <c r="V430" s="129"/>
      <c r="W430" s="129"/>
      <c r="X430" s="129"/>
      <c r="Y430" s="129"/>
      <c r="Z430" s="115"/>
      <c r="AA430" s="129"/>
      <c r="AB430" s="149"/>
      <c r="AC430" s="129"/>
      <c r="AD430" s="129"/>
      <c r="AE430" s="129"/>
    </row>
    <row r="431" spans="3:31" x14ac:dyDescent="0.35">
      <c r="C431" s="129"/>
      <c r="D431" s="129"/>
      <c r="E431" s="129"/>
      <c r="F431" s="129"/>
      <c r="G431" s="129"/>
      <c r="H431" s="110"/>
      <c r="I431" s="129"/>
      <c r="J431" t="s">
        <v>351</v>
      </c>
      <c r="K431" s="129"/>
      <c r="L431" s="129"/>
      <c r="M431" s="129"/>
      <c r="N431" s="129"/>
      <c r="O431" s="129"/>
      <c r="P431" s="129"/>
      <c r="Q431" s="129"/>
      <c r="R431" s="129"/>
      <c r="S431" s="141"/>
      <c r="T431" s="139"/>
      <c r="U431" s="129"/>
      <c r="V431" s="129"/>
      <c r="W431" s="129"/>
      <c r="X431" s="129"/>
      <c r="Y431" s="129"/>
      <c r="Z431" s="115"/>
      <c r="AA431" s="129"/>
      <c r="AB431" s="149"/>
      <c r="AC431" s="129"/>
      <c r="AD431" s="129"/>
      <c r="AE431" s="129"/>
    </row>
    <row r="432" spans="3:31" x14ac:dyDescent="0.35">
      <c r="C432" s="129"/>
      <c r="D432" s="129"/>
      <c r="E432" s="129"/>
      <c r="F432" s="129"/>
      <c r="G432" s="129"/>
      <c r="H432" s="110"/>
      <c r="I432" s="129"/>
      <c r="J432" t="s">
        <v>351</v>
      </c>
      <c r="K432" s="129"/>
      <c r="L432" s="129"/>
      <c r="M432" s="129"/>
      <c r="N432" s="129"/>
      <c r="O432" s="129"/>
      <c r="P432" s="129"/>
      <c r="Q432" s="129"/>
      <c r="R432" s="129"/>
      <c r="S432" s="141"/>
      <c r="T432" s="139"/>
      <c r="U432" s="129"/>
      <c r="V432" s="129"/>
      <c r="W432" s="129"/>
      <c r="X432" s="129"/>
      <c r="Y432" s="129"/>
      <c r="Z432" s="115"/>
      <c r="AA432" s="129"/>
      <c r="AB432" s="149"/>
      <c r="AC432" s="129"/>
      <c r="AD432" s="129"/>
      <c r="AE432" s="129"/>
    </row>
    <row r="433" spans="3:31" x14ac:dyDescent="0.35">
      <c r="C433" s="129"/>
      <c r="D433" s="129"/>
      <c r="E433" s="129"/>
      <c r="F433" s="129"/>
      <c r="G433" s="129"/>
      <c r="H433" s="110"/>
      <c r="I433" s="129"/>
      <c r="J433" t="s">
        <v>351</v>
      </c>
      <c r="K433" s="129"/>
      <c r="L433" s="129"/>
      <c r="M433" s="129"/>
      <c r="N433" s="129"/>
      <c r="O433" s="129"/>
      <c r="P433" s="129"/>
      <c r="Q433" s="129"/>
      <c r="R433" s="129"/>
      <c r="S433" s="141"/>
      <c r="T433" s="139"/>
      <c r="U433" s="129"/>
      <c r="V433" s="129"/>
      <c r="W433" s="129"/>
      <c r="X433" s="129"/>
      <c r="Y433" s="129"/>
      <c r="Z433" s="115"/>
      <c r="AA433" s="129"/>
      <c r="AB433" s="149"/>
      <c r="AC433" s="129"/>
      <c r="AD433" s="129"/>
      <c r="AE433" s="129"/>
    </row>
    <row r="434" spans="3:31" x14ac:dyDescent="0.35">
      <c r="C434" s="129"/>
      <c r="D434" s="129"/>
      <c r="E434" s="129"/>
      <c r="F434" s="129"/>
      <c r="G434" s="129"/>
      <c r="H434" s="110"/>
      <c r="I434" s="129"/>
      <c r="J434" t="s">
        <v>351</v>
      </c>
      <c r="K434" s="129"/>
      <c r="L434" s="129"/>
      <c r="M434" s="129"/>
      <c r="N434" s="129"/>
      <c r="O434" s="129"/>
      <c r="P434" s="129"/>
      <c r="Q434" s="129"/>
      <c r="R434" s="129"/>
      <c r="S434" s="141"/>
      <c r="T434" s="139"/>
      <c r="U434" s="129"/>
      <c r="V434" s="129"/>
      <c r="W434" s="129"/>
      <c r="X434" s="129"/>
      <c r="Y434" s="129"/>
      <c r="Z434" s="115"/>
      <c r="AA434" s="129"/>
      <c r="AB434" s="149"/>
      <c r="AC434" s="129"/>
      <c r="AD434" s="129"/>
      <c r="AE434" s="129"/>
    </row>
    <row r="435" spans="3:31" x14ac:dyDescent="0.35">
      <c r="C435" s="129"/>
      <c r="D435" s="129"/>
      <c r="E435" s="129"/>
      <c r="F435" s="129"/>
      <c r="G435" s="129"/>
      <c r="H435" s="110"/>
      <c r="I435" s="129"/>
      <c r="J435" t="s">
        <v>351</v>
      </c>
      <c r="K435" s="129"/>
      <c r="L435" s="129"/>
      <c r="M435" s="129"/>
      <c r="N435" s="129"/>
      <c r="O435" s="129"/>
      <c r="P435" s="129"/>
      <c r="Q435" s="129"/>
      <c r="R435" s="129"/>
      <c r="S435" s="141"/>
      <c r="T435" s="139"/>
      <c r="U435" s="129"/>
      <c r="V435" s="129"/>
      <c r="W435" s="129"/>
      <c r="X435" s="129"/>
      <c r="Y435" s="129"/>
      <c r="Z435" s="115"/>
      <c r="AA435" s="129"/>
      <c r="AB435" s="149"/>
      <c r="AC435" s="129"/>
      <c r="AD435" s="129"/>
      <c r="AE435" s="129"/>
    </row>
    <row r="436" spans="3:31" x14ac:dyDescent="0.35">
      <c r="C436" s="129"/>
      <c r="D436" s="129"/>
      <c r="E436" s="129"/>
      <c r="F436" s="129"/>
      <c r="G436" s="129"/>
      <c r="H436" s="110"/>
      <c r="I436" s="129"/>
      <c r="J436" t="s">
        <v>351</v>
      </c>
      <c r="K436" s="129"/>
      <c r="L436" s="129"/>
      <c r="M436" s="129"/>
      <c r="N436" s="129"/>
      <c r="O436" s="129"/>
      <c r="P436" s="129"/>
      <c r="Q436" s="129"/>
      <c r="R436" s="129"/>
      <c r="S436" s="141"/>
      <c r="T436" s="139"/>
      <c r="U436" s="129"/>
      <c r="V436" s="129"/>
      <c r="W436" s="129"/>
      <c r="X436" s="129"/>
      <c r="Y436" s="129"/>
      <c r="Z436" s="115"/>
      <c r="AA436" s="129"/>
      <c r="AB436" s="149"/>
      <c r="AC436" s="129"/>
      <c r="AD436" s="129"/>
      <c r="AE436" s="129"/>
    </row>
    <row r="437" spans="3:31" x14ac:dyDescent="0.35">
      <c r="C437" s="129"/>
      <c r="D437" s="129"/>
      <c r="E437" s="129"/>
      <c r="F437" s="129"/>
      <c r="G437" s="129"/>
      <c r="H437" s="110"/>
      <c r="I437" s="129"/>
      <c r="J437" t="s">
        <v>351</v>
      </c>
      <c r="K437" s="129"/>
      <c r="L437" s="129"/>
      <c r="M437" s="129"/>
      <c r="N437" s="129"/>
      <c r="O437" s="129"/>
      <c r="P437" s="129"/>
      <c r="Q437" s="129"/>
      <c r="R437" s="129"/>
      <c r="S437" s="141"/>
      <c r="T437" s="139"/>
      <c r="U437" s="129"/>
      <c r="V437" s="129"/>
      <c r="W437" s="129"/>
      <c r="X437" s="129"/>
      <c r="Y437" s="129"/>
      <c r="Z437" s="115"/>
      <c r="AA437" s="129"/>
      <c r="AB437" s="149"/>
      <c r="AC437" s="129"/>
      <c r="AD437" s="129"/>
      <c r="AE437" s="129"/>
    </row>
    <row r="438" spans="3:31" x14ac:dyDescent="0.35">
      <c r="C438" s="129"/>
      <c r="D438" s="129"/>
      <c r="E438" s="129"/>
      <c r="F438" s="129"/>
      <c r="G438" s="129"/>
      <c r="H438" s="110"/>
      <c r="I438" s="129"/>
      <c r="J438" t="s">
        <v>351</v>
      </c>
      <c r="K438" s="129"/>
      <c r="L438" s="129"/>
      <c r="M438" s="129"/>
      <c r="N438" s="129"/>
      <c r="O438" s="129"/>
      <c r="P438" s="129"/>
      <c r="Q438" s="129"/>
      <c r="R438" s="129"/>
      <c r="S438" s="141"/>
      <c r="T438" s="139"/>
      <c r="U438" s="129"/>
      <c r="V438" s="129"/>
      <c r="W438" s="129"/>
      <c r="X438" s="129"/>
      <c r="Y438" s="129"/>
      <c r="Z438" s="115"/>
      <c r="AA438" s="129"/>
      <c r="AB438" s="149"/>
      <c r="AC438" s="129"/>
      <c r="AD438" s="129"/>
      <c r="AE438" s="129"/>
    </row>
    <row r="439" spans="3:31" x14ac:dyDescent="0.35">
      <c r="C439" s="129"/>
      <c r="D439" s="129"/>
      <c r="E439" s="129"/>
      <c r="F439" s="129"/>
      <c r="G439" s="129"/>
      <c r="H439" s="110"/>
      <c r="I439" s="129"/>
      <c r="J439" t="s">
        <v>351</v>
      </c>
      <c r="K439" s="129"/>
      <c r="L439" s="129"/>
      <c r="M439" s="129"/>
      <c r="N439" s="129"/>
      <c r="O439" s="129"/>
      <c r="P439" s="129"/>
      <c r="Q439" s="129"/>
      <c r="R439" s="129"/>
      <c r="S439" s="141"/>
      <c r="T439" s="139"/>
      <c r="U439" s="129"/>
      <c r="V439" s="129"/>
      <c r="W439" s="129"/>
      <c r="X439" s="129"/>
      <c r="Y439" s="129"/>
      <c r="Z439" s="115"/>
      <c r="AA439" s="129"/>
      <c r="AB439" s="149"/>
      <c r="AC439" s="129"/>
      <c r="AD439" s="129"/>
      <c r="AE439" s="129"/>
    </row>
    <row r="440" spans="3:31" x14ac:dyDescent="0.35">
      <c r="C440" s="129"/>
      <c r="D440" s="129"/>
      <c r="E440" s="129"/>
      <c r="F440" s="129"/>
      <c r="G440" s="129"/>
      <c r="H440" s="110"/>
      <c r="I440" s="129"/>
      <c r="J440" t="s">
        <v>351</v>
      </c>
      <c r="K440" s="129"/>
      <c r="L440" s="129"/>
      <c r="M440" s="129"/>
      <c r="N440" s="129"/>
      <c r="O440" s="129"/>
      <c r="P440" s="129"/>
      <c r="Q440" s="129"/>
      <c r="R440" s="129"/>
      <c r="S440" s="141"/>
      <c r="T440" s="139"/>
      <c r="U440" s="129"/>
      <c r="V440" s="129"/>
      <c r="W440" s="129"/>
      <c r="X440" s="129"/>
      <c r="Y440" s="129"/>
      <c r="Z440" s="115"/>
      <c r="AA440" s="129"/>
      <c r="AB440" s="149"/>
      <c r="AC440" s="129"/>
      <c r="AD440" s="129"/>
      <c r="AE440" s="129"/>
    </row>
    <row r="441" spans="3:31" x14ac:dyDescent="0.35">
      <c r="C441" s="129"/>
      <c r="D441" s="129"/>
      <c r="E441" s="129"/>
      <c r="F441" s="129"/>
      <c r="G441" s="129"/>
      <c r="H441" s="110"/>
      <c r="I441" s="129"/>
      <c r="J441" t="s">
        <v>351</v>
      </c>
      <c r="K441" s="129"/>
      <c r="L441" s="129"/>
      <c r="M441" s="129"/>
      <c r="N441" s="129"/>
      <c r="O441" s="129"/>
      <c r="P441" s="129"/>
      <c r="Q441" s="129"/>
      <c r="R441" s="129"/>
      <c r="S441" s="141"/>
      <c r="T441" s="139"/>
      <c r="U441" s="129"/>
      <c r="V441" s="129"/>
      <c r="W441" s="129"/>
      <c r="X441" s="129"/>
      <c r="Y441" s="129"/>
      <c r="Z441" s="115"/>
      <c r="AA441" s="129"/>
      <c r="AB441" s="149"/>
      <c r="AC441" s="129"/>
      <c r="AD441" s="129"/>
      <c r="AE441" s="129"/>
    </row>
    <row r="442" spans="3:31" x14ac:dyDescent="0.35">
      <c r="C442" s="129"/>
      <c r="D442" s="129"/>
      <c r="E442" s="129"/>
      <c r="F442" s="129"/>
      <c r="G442" s="129"/>
      <c r="H442" s="110"/>
      <c r="I442" s="129"/>
      <c r="J442" t="s">
        <v>351</v>
      </c>
      <c r="K442" s="129"/>
      <c r="L442" s="129"/>
      <c r="M442" s="129"/>
      <c r="N442" s="129"/>
      <c r="O442" s="129"/>
      <c r="P442" s="129"/>
      <c r="Q442" s="129"/>
      <c r="R442" s="129"/>
      <c r="S442" s="141"/>
      <c r="T442" s="139"/>
      <c r="U442" s="129"/>
      <c r="V442" s="129"/>
      <c r="W442" s="129"/>
      <c r="X442" s="129"/>
      <c r="Y442" s="129"/>
      <c r="Z442" s="115"/>
      <c r="AA442" s="129"/>
      <c r="AB442" s="149"/>
      <c r="AC442" s="129"/>
      <c r="AD442" s="129"/>
      <c r="AE442" s="129"/>
    </row>
    <row r="443" spans="3:31" x14ac:dyDescent="0.35">
      <c r="C443" s="129"/>
      <c r="D443" s="129"/>
      <c r="E443" s="129"/>
      <c r="F443" s="129"/>
      <c r="G443" s="129"/>
      <c r="H443" s="110"/>
      <c r="I443" s="129"/>
      <c r="J443" t="s">
        <v>351</v>
      </c>
      <c r="K443" s="129"/>
      <c r="L443" s="129"/>
      <c r="M443" s="129"/>
      <c r="N443" s="129"/>
      <c r="O443" s="129"/>
      <c r="P443" s="129"/>
      <c r="Q443" s="129"/>
      <c r="R443" s="129"/>
      <c r="S443" s="141"/>
      <c r="T443" s="139"/>
      <c r="U443" s="129"/>
      <c r="V443" s="129"/>
      <c r="W443" s="129"/>
      <c r="X443" s="129"/>
      <c r="Y443" s="129"/>
      <c r="Z443" s="115"/>
      <c r="AA443" s="129"/>
      <c r="AB443" s="149"/>
      <c r="AC443" s="129"/>
      <c r="AD443" s="129"/>
      <c r="AE443" s="129"/>
    </row>
    <row r="444" spans="3:31" x14ac:dyDescent="0.35">
      <c r="C444" s="129"/>
      <c r="D444" s="129"/>
      <c r="E444" s="129"/>
      <c r="F444" s="129"/>
      <c r="G444" s="129"/>
      <c r="H444" s="110"/>
      <c r="I444" s="129"/>
      <c r="J444" t="s">
        <v>351</v>
      </c>
      <c r="K444" s="129"/>
      <c r="L444" s="129"/>
      <c r="M444" s="129"/>
      <c r="N444" s="129"/>
      <c r="O444" s="129"/>
      <c r="P444" s="129"/>
      <c r="Q444" s="129"/>
      <c r="R444" s="129"/>
      <c r="S444" s="141"/>
      <c r="T444" s="139"/>
      <c r="U444" s="129"/>
      <c r="V444" s="129"/>
      <c r="W444" s="129"/>
      <c r="X444" s="129"/>
      <c r="Y444" s="129"/>
      <c r="Z444" s="115"/>
      <c r="AA444" s="129"/>
      <c r="AB444" s="149"/>
      <c r="AC444" s="129"/>
      <c r="AD444" s="129"/>
      <c r="AE444" s="129"/>
    </row>
    <row r="445" spans="3:31" x14ac:dyDescent="0.35">
      <c r="C445" s="129"/>
      <c r="D445" s="129"/>
      <c r="E445" s="129"/>
      <c r="F445" s="129"/>
      <c r="G445" s="129"/>
      <c r="H445" s="110"/>
      <c r="I445" s="129"/>
      <c r="J445" t="s">
        <v>351</v>
      </c>
      <c r="K445" s="129"/>
      <c r="L445" s="129"/>
      <c r="M445" s="129"/>
      <c r="N445" s="129"/>
      <c r="O445" s="129"/>
      <c r="P445" s="129"/>
      <c r="Q445" s="129"/>
      <c r="R445" s="129"/>
      <c r="S445" s="141"/>
      <c r="T445" s="139"/>
      <c r="U445" s="129"/>
      <c r="V445" s="129"/>
      <c r="W445" s="129"/>
      <c r="X445" s="129"/>
      <c r="Y445" s="129"/>
      <c r="Z445" s="115"/>
      <c r="AA445" s="129"/>
      <c r="AB445" s="149"/>
      <c r="AC445" s="129"/>
      <c r="AD445" s="129"/>
      <c r="AE445" s="129"/>
    </row>
    <row r="446" spans="3:31" x14ac:dyDescent="0.35">
      <c r="C446" s="129"/>
      <c r="D446" s="129"/>
      <c r="E446" s="129"/>
      <c r="F446" s="129"/>
      <c r="G446" s="129"/>
      <c r="H446" s="110"/>
      <c r="I446" s="129"/>
      <c r="J446" t="s">
        <v>351</v>
      </c>
      <c r="K446" s="129"/>
      <c r="L446" s="129"/>
      <c r="M446" s="129"/>
      <c r="N446" s="129"/>
      <c r="O446" s="129"/>
      <c r="P446" s="129"/>
      <c r="Q446" s="129"/>
      <c r="R446" s="129"/>
      <c r="S446" s="141"/>
      <c r="T446" s="139"/>
      <c r="U446" s="129"/>
      <c r="V446" s="129"/>
      <c r="W446" s="129"/>
      <c r="X446" s="129"/>
      <c r="Y446" s="129"/>
      <c r="Z446" s="115"/>
      <c r="AA446" s="129"/>
      <c r="AB446" s="149"/>
      <c r="AC446" s="129"/>
      <c r="AD446" s="129"/>
      <c r="AE446" s="129"/>
    </row>
    <row r="447" spans="3:31" x14ac:dyDescent="0.35">
      <c r="C447" s="129"/>
      <c r="D447" s="129"/>
      <c r="E447" s="129"/>
      <c r="F447" s="129"/>
      <c r="G447" s="129"/>
      <c r="H447" s="110"/>
      <c r="I447" s="129"/>
      <c r="J447" t="s">
        <v>351</v>
      </c>
      <c r="K447" s="129"/>
      <c r="L447" s="129"/>
      <c r="M447" s="129"/>
      <c r="N447" s="129"/>
      <c r="O447" s="129"/>
      <c r="P447" s="129"/>
      <c r="Q447" s="129"/>
      <c r="R447" s="129"/>
      <c r="S447" s="141"/>
      <c r="T447" s="139"/>
      <c r="U447" s="129"/>
      <c r="V447" s="129"/>
      <c r="W447" s="129"/>
      <c r="X447" s="129"/>
      <c r="Y447" s="129"/>
      <c r="Z447" s="115"/>
      <c r="AA447" s="129"/>
      <c r="AB447" s="149"/>
      <c r="AC447" s="129"/>
      <c r="AD447" s="129"/>
      <c r="AE447" s="129"/>
    </row>
    <row r="448" spans="3:31" x14ac:dyDescent="0.35">
      <c r="C448" s="129"/>
      <c r="D448" s="129"/>
      <c r="E448" s="129"/>
      <c r="F448" s="129"/>
      <c r="G448" s="129"/>
      <c r="H448" s="110"/>
      <c r="I448" s="129"/>
      <c r="J448" t="s">
        <v>351</v>
      </c>
      <c r="K448" s="129"/>
      <c r="L448" s="129"/>
      <c r="M448" s="129"/>
      <c r="N448" s="129"/>
      <c r="O448" s="129"/>
      <c r="P448" s="129"/>
      <c r="Q448" s="129"/>
      <c r="R448" s="129"/>
      <c r="S448" s="141"/>
      <c r="T448" s="139"/>
      <c r="U448" s="129"/>
      <c r="V448" s="129"/>
      <c r="W448" s="129"/>
      <c r="X448" s="129"/>
      <c r="Y448" s="129"/>
      <c r="Z448" s="115"/>
      <c r="AA448" s="129"/>
      <c r="AB448" s="149"/>
      <c r="AC448" s="129"/>
      <c r="AD448" s="129"/>
      <c r="AE448" s="129"/>
    </row>
    <row r="449" spans="3:31" x14ac:dyDescent="0.35">
      <c r="C449" s="129"/>
      <c r="D449" s="129"/>
      <c r="E449" s="129"/>
      <c r="F449" s="129"/>
      <c r="G449" s="129"/>
      <c r="H449" s="110"/>
      <c r="I449" s="129"/>
      <c r="J449" t="s">
        <v>351</v>
      </c>
      <c r="K449" s="129"/>
      <c r="L449" s="129"/>
      <c r="M449" s="129"/>
      <c r="N449" s="129"/>
      <c r="O449" s="129"/>
      <c r="P449" s="129"/>
      <c r="Q449" s="129"/>
      <c r="R449" s="129"/>
      <c r="S449" s="141"/>
      <c r="T449" s="139"/>
      <c r="U449" s="129"/>
      <c r="V449" s="129"/>
      <c r="W449" s="129"/>
      <c r="X449" s="129"/>
      <c r="Y449" s="129"/>
      <c r="Z449" s="115"/>
      <c r="AA449" s="129"/>
      <c r="AB449" s="149"/>
      <c r="AC449" s="129"/>
      <c r="AD449" s="129"/>
      <c r="AE449" s="129"/>
    </row>
    <row r="450" spans="3:31" x14ac:dyDescent="0.35">
      <c r="C450" s="129"/>
      <c r="D450" s="129"/>
      <c r="E450" s="129"/>
      <c r="F450" s="129"/>
      <c r="G450" s="129"/>
      <c r="H450" s="110"/>
      <c r="I450" s="129"/>
      <c r="J450" t="s">
        <v>351</v>
      </c>
      <c r="K450" s="129"/>
      <c r="L450" s="129"/>
      <c r="M450" s="129"/>
      <c r="N450" s="129"/>
      <c r="O450" s="129"/>
      <c r="P450" s="129"/>
      <c r="Q450" s="129"/>
      <c r="R450" s="129"/>
      <c r="S450" s="141"/>
      <c r="T450" s="139"/>
      <c r="U450" s="129"/>
      <c r="V450" s="129"/>
      <c r="W450" s="129"/>
      <c r="X450" s="129"/>
      <c r="Y450" s="129"/>
      <c r="Z450" s="115"/>
      <c r="AA450" s="129"/>
      <c r="AB450" s="149"/>
      <c r="AC450" s="129"/>
      <c r="AD450" s="129"/>
      <c r="AE450" s="129"/>
    </row>
    <row r="451" spans="3:31" x14ac:dyDescent="0.35">
      <c r="C451" s="129"/>
      <c r="D451" s="129"/>
      <c r="E451" s="129"/>
      <c r="F451" s="129"/>
      <c r="G451" s="129"/>
      <c r="H451" s="110"/>
      <c r="I451" s="129"/>
      <c r="J451" t="s">
        <v>351</v>
      </c>
      <c r="K451" s="129"/>
      <c r="L451" s="129"/>
      <c r="M451" s="129"/>
      <c r="N451" s="129"/>
      <c r="O451" s="129"/>
      <c r="P451" s="129"/>
      <c r="Q451" s="129"/>
      <c r="R451" s="129"/>
      <c r="S451" s="141"/>
      <c r="T451" s="139"/>
      <c r="U451" s="129"/>
      <c r="V451" s="129"/>
      <c r="W451" s="129"/>
      <c r="X451" s="129"/>
      <c r="Y451" s="129"/>
      <c r="Z451" s="115"/>
      <c r="AA451" s="129"/>
      <c r="AB451" s="149"/>
      <c r="AC451" s="129"/>
      <c r="AD451" s="129"/>
      <c r="AE451" s="129"/>
    </row>
    <row r="452" spans="3:31" x14ac:dyDescent="0.35">
      <c r="C452" s="129"/>
      <c r="D452" s="129"/>
      <c r="E452" s="129"/>
      <c r="F452" s="129"/>
      <c r="G452" s="129"/>
      <c r="H452" s="110"/>
      <c r="I452" s="129"/>
      <c r="J452" t="s">
        <v>351</v>
      </c>
      <c r="K452" s="129"/>
      <c r="L452" s="129"/>
      <c r="M452" s="129"/>
      <c r="N452" s="129"/>
      <c r="O452" s="129"/>
      <c r="P452" s="129"/>
      <c r="Q452" s="129"/>
      <c r="R452" s="129"/>
      <c r="S452" s="141"/>
      <c r="T452" s="139"/>
      <c r="U452" s="129"/>
      <c r="V452" s="129"/>
      <c r="W452" s="129"/>
      <c r="X452" s="129"/>
      <c r="Y452" s="129"/>
      <c r="Z452" s="115"/>
      <c r="AA452" s="129"/>
      <c r="AB452" s="149"/>
      <c r="AC452" s="129"/>
      <c r="AD452" s="129"/>
      <c r="AE452" s="129"/>
    </row>
    <row r="453" spans="3:31" x14ac:dyDescent="0.35">
      <c r="C453" s="129"/>
      <c r="D453" s="129"/>
      <c r="E453" s="129"/>
      <c r="F453" s="129"/>
      <c r="G453" s="129"/>
      <c r="H453" s="110"/>
      <c r="I453" s="129"/>
      <c r="J453" t="s">
        <v>351</v>
      </c>
      <c r="K453" s="129"/>
      <c r="L453" s="129"/>
      <c r="M453" s="129"/>
      <c r="N453" s="129"/>
      <c r="O453" s="129"/>
      <c r="P453" s="129"/>
      <c r="Q453" s="129"/>
      <c r="R453" s="129"/>
      <c r="S453" s="141"/>
      <c r="T453" s="139"/>
      <c r="U453" s="129"/>
      <c r="V453" s="129"/>
      <c r="W453" s="129"/>
      <c r="X453" s="129"/>
      <c r="Y453" s="129"/>
      <c r="Z453" s="115"/>
      <c r="AA453" s="129"/>
      <c r="AB453" s="149"/>
      <c r="AC453" s="129"/>
      <c r="AD453" s="129"/>
      <c r="AE453" s="129"/>
    </row>
    <row r="454" spans="3:31" x14ac:dyDescent="0.35">
      <c r="C454" s="129"/>
      <c r="D454" s="129"/>
      <c r="E454" s="129"/>
      <c r="F454" s="129"/>
      <c r="G454" s="129"/>
      <c r="H454" s="110"/>
      <c r="I454" s="129"/>
      <c r="J454" t="s">
        <v>351</v>
      </c>
      <c r="K454" s="129"/>
      <c r="L454" s="129"/>
      <c r="M454" s="129"/>
      <c r="N454" s="129"/>
      <c r="O454" s="129"/>
      <c r="P454" s="129"/>
      <c r="Q454" s="129"/>
      <c r="R454" s="129"/>
      <c r="S454" s="141"/>
      <c r="T454" s="139"/>
      <c r="U454" s="129"/>
      <c r="V454" s="129"/>
      <c r="W454" s="129"/>
      <c r="X454" s="129"/>
      <c r="Y454" s="129"/>
      <c r="Z454" s="115"/>
      <c r="AA454" s="129"/>
      <c r="AB454" s="149"/>
      <c r="AC454" s="129"/>
      <c r="AD454" s="129"/>
      <c r="AE454" s="129"/>
    </row>
    <row r="455" spans="3:31" x14ac:dyDescent="0.35">
      <c r="C455" s="129"/>
      <c r="D455" s="129"/>
      <c r="E455" s="129"/>
      <c r="F455" s="129"/>
      <c r="G455" s="129"/>
      <c r="H455" s="110"/>
      <c r="I455" s="129"/>
      <c r="J455" t="s">
        <v>351</v>
      </c>
      <c r="K455" s="129"/>
      <c r="L455" s="129"/>
      <c r="M455" s="129"/>
      <c r="N455" s="129"/>
      <c r="O455" s="129"/>
      <c r="P455" s="129"/>
      <c r="Q455" s="129"/>
      <c r="R455" s="129"/>
      <c r="S455" s="141"/>
      <c r="T455" s="139"/>
      <c r="U455" s="129"/>
      <c r="V455" s="129"/>
      <c r="W455" s="129"/>
      <c r="X455" s="129"/>
      <c r="Y455" s="129"/>
      <c r="Z455" s="115"/>
      <c r="AA455" s="129"/>
      <c r="AB455" s="149"/>
      <c r="AC455" s="129"/>
      <c r="AD455" s="129"/>
      <c r="AE455" s="129"/>
    </row>
    <row r="456" spans="3:31" x14ac:dyDescent="0.35">
      <c r="C456" s="129"/>
      <c r="D456" s="129"/>
      <c r="E456" s="129"/>
      <c r="F456" s="129"/>
      <c r="G456" s="129"/>
      <c r="H456" s="110"/>
      <c r="I456" s="129"/>
      <c r="J456" t="s">
        <v>351</v>
      </c>
      <c r="K456" s="129"/>
      <c r="L456" s="129"/>
      <c r="M456" s="129"/>
      <c r="N456" s="129"/>
      <c r="O456" s="129"/>
      <c r="P456" s="129"/>
      <c r="Q456" s="129"/>
      <c r="R456" s="129"/>
      <c r="S456" s="141"/>
      <c r="T456" s="139"/>
      <c r="U456" s="129"/>
      <c r="V456" s="129"/>
      <c r="W456" s="129"/>
      <c r="X456" s="129"/>
      <c r="Y456" s="129"/>
      <c r="Z456" s="115"/>
      <c r="AA456" s="129"/>
      <c r="AB456" s="149"/>
      <c r="AC456" s="129"/>
      <c r="AD456" s="129"/>
      <c r="AE456" s="129"/>
    </row>
    <row r="457" spans="3:31" x14ac:dyDescent="0.35">
      <c r="C457" s="129"/>
      <c r="D457" s="129"/>
      <c r="E457" s="129"/>
      <c r="F457" s="129"/>
      <c r="G457" s="129"/>
      <c r="H457" s="110"/>
      <c r="I457" s="129"/>
      <c r="J457" t="s">
        <v>351</v>
      </c>
      <c r="K457" s="129"/>
      <c r="L457" s="129"/>
      <c r="M457" s="129"/>
      <c r="N457" s="129"/>
      <c r="O457" s="129"/>
      <c r="P457" s="129"/>
      <c r="Q457" s="129"/>
      <c r="R457" s="129"/>
      <c r="S457" s="141"/>
      <c r="T457" s="139"/>
      <c r="U457" s="129"/>
      <c r="V457" s="129"/>
      <c r="W457" s="129"/>
      <c r="X457" s="129"/>
      <c r="Y457" s="129"/>
      <c r="Z457" s="115"/>
      <c r="AA457" s="129"/>
      <c r="AB457" s="149"/>
      <c r="AC457" s="129"/>
      <c r="AD457" s="129"/>
      <c r="AE457" s="129"/>
    </row>
    <row r="458" spans="3:31" x14ac:dyDescent="0.35">
      <c r="C458" s="129"/>
      <c r="D458" s="129"/>
      <c r="E458" s="129"/>
      <c r="F458" s="129"/>
      <c r="G458" s="129"/>
      <c r="H458" s="110"/>
      <c r="I458" s="129"/>
      <c r="J458" t="s">
        <v>351</v>
      </c>
      <c r="K458" s="129"/>
      <c r="L458" s="129"/>
      <c r="M458" s="129"/>
      <c r="N458" s="129"/>
      <c r="O458" s="129"/>
      <c r="P458" s="129"/>
      <c r="Q458" s="129"/>
      <c r="R458" s="129"/>
      <c r="S458" s="141"/>
      <c r="T458" s="139"/>
      <c r="U458" s="129"/>
      <c r="V458" s="129"/>
      <c r="W458" s="129"/>
      <c r="X458" s="129"/>
      <c r="Y458" s="129"/>
      <c r="Z458" s="115"/>
      <c r="AA458" s="129"/>
      <c r="AB458" s="149"/>
      <c r="AC458" s="129"/>
      <c r="AD458" s="129"/>
      <c r="AE458" s="129"/>
    </row>
    <row r="459" spans="3:31" x14ac:dyDescent="0.35">
      <c r="C459" s="129"/>
      <c r="D459" s="129"/>
      <c r="E459" s="129"/>
      <c r="F459" s="129"/>
      <c r="G459" s="129"/>
      <c r="H459" s="110"/>
      <c r="I459" s="129"/>
      <c r="J459" t="s">
        <v>351</v>
      </c>
      <c r="K459" s="129"/>
      <c r="L459" s="129"/>
      <c r="M459" s="129"/>
      <c r="N459" s="129"/>
      <c r="O459" s="129"/>
      <c r="P459" s="129"/>
      <c r="Q459" s="129"/>
      <c r="R459" s="129"/>
      <c r="S459" s="141"/>
      <c r="T459" s="139"/>
      <c r="U459" s="129"/>
      <c r="V459" s="129"/>
      <c r="W459" s="129"/>
      <c r="X459" s="129"/>
      <c r="Y459" s="129"/>
      <c r="Z459" s="115"/>
      <c r="AA459" s="129"/>
      <c r="AB459" s="149"/>
      <c r="AC459" s="129"/>
      <c r="AD459" s="129"/>
      <c r="AE459" s="129"/>
    </row>
    <row r="460" spans="3:31" x14ac:dyDescent="0.35">
      <c r="C460" s="129"/>
      <c r="D460" s="129"/>
      <c r="E460" s="129"/>
      <c r="F460" s="129"/>
      <c r="G460" s="129"/>
      <c r="H460" s="110"/>
      <c r="I460" s="129"/>
      <c r="J460" t="s">
        <v>351</v>
      </c>
      <c r="K460" s="129"/>
      <c r="L460" s="129"/>
      <c r="M460" s="129"/>
      <c r="N460" s="129"/>
      <c r="O460" s="129"/>
      <c r="P460" s="129"/>
      <c r="Q460" s="129"/>
      <c r="R460" s="129"/>
      <c r="S460" s="141"/>
      <c r="T460" s="139"/>
      <c r="U460" s="129"/>
      <c r="V460" s="129"/>
      <c r="W460" s="129"/>
      <c r="X460" s="129"/>
      <c r="Y460" s="129"/>
      <c r="Z460" s="115"/>
      <c r="AA460" s="129"/>
      <c r="AB460" s="149"/>
      <c r="AC460" s="129"/>
      <c r="AD460" s="129"/>
      <c r="AE460" s="129"/>
    </row>
    <row r="461" spans="3:31" x14ac:dyDescent="0.35">
      <c r="C461" s="129"/>
      <c r="D461" s="129"/>
      <c r="E461" s="129"/>
      <c r="F461" s="129"/>
      <c r="G461" s="129"/>
      <c r="H461" s="110"/>
      <c r="I461" s="129"/>
      <c r="J461" t="s">
        <v>351</v>
      </c>
      <c r="K461" s="129"/>
      <c r="L461" s="129"/>
      <c r="M461" s="129"/>
      <c r="N461" s="129"/>
      <c r="O461" s="129"/>
      <c r="P461" s="129"/>
      <c r="Q461" s="129"/>
      <c r="R461" s="129"/>
      <c r="S461" s="141"/>
      <c r="T461" s="139"/>
      <c r="U461" s="129"/>
      <c r="V461" s="129"/>
      <c r="W461" s="129"/>
      <c r="X461" s="129"/>
      <c r="Y461" s="129"/>
      <c r="Z461" s="115"/>
      <c r="AA461" s="129"/>
      <c r="AB461" s="149"/>
      <c r="AC461" s="129"/>
      <c r="AD461" s="129"/>
      <c r="AE461" s="129"/>
    </row>
    <row r="462" spans="3:31" x14ac:dyDescent="0.35">
      <c r="C462" s="129"/>
      <c r="D462" s="129"/>
      <c r="E462" s="129"/>
      <c r="F462" s="129"/>
      <c r="G462" s="129"/>
      <c r="H462" s="110"/>
      <c r="I462" s="129"/>
      <c r="J462" t="s">
        <v>351</v>
      </c>
      <c r="K462" s="129"/>
      <c r="L462" s="129"/>
      <c r="M462" s="129"/>
      <c r="N462" s="129"/>
      <c r="O462" s="129"/>
      <c r="P462" s="129"/>
      <c r="Q462" s="129"/>
      <c r="R462" s="129"/>
      <c r="S462" s="141"/>
      <c r="T462" s="139"/>
      <c r="U462" s="129"/>
      <c r="V462" s="129"/>
      <c r="W462" s="129"/>
      <c r="X462" s="129"/>
      <c r="Y462" s="129"/>
      <c r="Z462" s="115"/>
      <c r="AA462" s="129"/>
      <c r="AB462" s="149"/>
      <c r="AC462" s="129"/>
      <c r="AD462" s="129"/>
      <c r="AE462" s="129"/>
    </row>
    <row r="463" spans="3:31" x14ac:dyDescent="0.35">
      <c r="C463" s="129"/>
      <c r="D463" s="129"/>
      <c r="E463" s="129"/>
      <c r="F463" s="129"/>
      <c r="G463" s="129"/>
      <c r="H463" s="110"/>
      <c r="I463" s="129"/>
      <c r="J463" t="s">
        <v>351</v>
      </c>
      <c r="K463" s="129"/>
      <c r="L463" s="129"/>
      <c r="M463" s="129"/>
      <c r="N463" s="129"/>
      <c r="O463" s="129"/>
      <c r="P463" s="129"/>
      <c r="Q463" s="129"/>
      <c r="R463" s="129"/>
      <c r="S463" s="141"/>
      <c r="T463" s="139"/>
      <c r="U463" s="129"/>
      <c r="V463" s="129"/>
      <c r="W463" s="129"/>
      <c r="X463" s="129"/>
      <c r="Y463" s="129"/>
      <c r="Z463" s="115"/>
      <c r="AA463" s="129"/>
      <c r="AB463" s="149"/>
      <c r="AC463" s="129"/>
      <c r="AD463" s="129"/>
      <c r="AE463" s="129"/>
    </row>
    <row r="464" spans="3:31" x14ac:dyDescent="0.35">
      <c r="C464" s="129"/>
      <c r="D464" s="129"/>
      <c r="E464" s="129"/>
      <c r="F464" s="129"/>
      <c r="G464" s="129"/>
      <c r="H464" s="110"/>
      <c r="I464" s="129"/>
      <c r="J464" t="s">
        <v>351</v>
      </c>
      <c r="K464" s="129"/>
      <c r="L464" s="129"/>
      <c r="M464" s="129"/>
      <c r="N464" s="129"/>
      <c r="O464" s="129"/>
      <c r="P464" s="129"/>
      <c r="Q464" s="129"/>
      <c r="R464" s="129"/>
      <c r="S464" s="141"/>
      <c r="T464" s="139"/>
      <c r="U464" s="129"/>
      <c r="V464" s="129"/>
      <c r="W464" s="129"/>
      <c r="X464" s="129"/>
      <c r="Y464" s="129"/>
      <c r="Z464" s="115"/>
      <c r="AA464" s="129"/>
      <c r="AB464" s="149"/>
      <c r="AC464" s="129"/>
      <c r="AD464" s="129"/>
      <c r="AE464" s="129"/>
    </row>
    <row r="465" spans="3:31" x14ac:dyDescent="0.35">
      <c r="C465" s="129"/>
      <c r="D465" s="129"/>
      <c r="E465" s="129"/>
      <c r="F465" s="129"/>
      <c r="G465" s="129"/>
      <c r="H465" s="110"/>
      <c r="I465" s="129"/>
      <c r="J465" t="s">
        <v>351</v>
      </c>
      <c r="K465" s="129"/>
      <c r="L465" s="129"/>
      <c r="M465" s="129"/>
      <c r="N465" s="129"/>
      <c r="O465" s="129"/>
      <c r="P465" s="129"/>
      <c r="Q465" s="129"/>
      <c r="R465" s="129"/>
      <c r="S465" s="141"/>
      <c r="T465" s="139"/>
      <c r="U465" s="129"/>
      <c r="V465" s="129"/>
      <c r="W465" s="129"/>
      <c r="X465" s="129"/>
      <c r="Y465" s="129"/>
      <c r="Z465" s="115"/>
      <c r="AA465" s="129"/>
      <c r="AB465" s="149"/>
      <c r="AC465" s="129"/>
      <c r="AD465" s="129"/>
      <c r="AE465" s="129"/>
    </row>
    <row r="466" spans="3:31" x14ac:dyDescent="0.35">
      <c r="C466" s="129"/>
      <c r="D466" s="129"/>
      <c r="E466" s="129"/>
      <c r="F466" s="129"/>
      <c r="G466" s="129"/>
      <c r="H466" s="110"/>
      <c r="I466" s="129"/>
      <c r="J466" t="s">
        <v>351</v>
      </c>
      <c r="K466" s="129"/>
      <c r="L466" s="129"/>
      <c r="M466" s="129"/>
      <c r="N466" s="129"/>
      <c r="O466" s="129"/>
      <c r="P466" s="129"/>
      <c r="Q466" s="129"/>
      <c r="R466" s="129"/>
      <c r="S466" s="141"/>
      <c r="T466" s="139"/>
      <c r="U466" s="129"/>
      <c r="V466" s="129"/>
      <c r="W466" s="129"/>
      <c r="X466" s="129"/>
      <c r="Y466" s="129"/>
      <c r="Z466" s="115"/>
      <c r="AA466" s="129"/>
      <c r="AB466" s="149"/>
      <c r="AC466" s="129"/>
      <c r="AD466" s="129"/>
      <c r="AE466" s="129"/>
    </row>
    <row r="467" spans="3:31" x14ac:dyDescent="0.35">
      <c r="C467" s="129"/>
      <c r="D467" s="129"/>
      <c r="E467" s="129"/>
      <c r="F467" s="129"/>
      <c r="G467" s="129"/>
      <c r="H467" s="110"/>
      <c r="I467" s="129"/>
      <c r="J467" t="s">
        <v>351</v>
      </c>
      <c r="K467" s="129"/>
      <c r="L467" s="129"/>
      <c r="M467" s="129"/>
      <c r="N467" s="129"/>
      <c r="O467" s="129"/>
      <c r="P467" s="129"/>
      <c r="Q467" s="129"/>
      <c r="R467" s="129"/>
      <c r="S467" s="141"/>
      <c r="T467" s="139"/>
      <c r="U467" s="129"/>
      <c r="V467" s="129"/>
      <c r="W467" s="129"/>
      <c r="X467" s="129"/>
      <c r="Y467" s="129"/>
      <c r="Z467" s="115"/>
      <c r="AA467" s="129"/>
      <c r="AB467" s="149"/>
      <c r="AC467" s="129"/>
      <c r="AD467" s="129"/>
      <c r="AE467" s="129"/>
    </row>
    <row r="468" spans="3:31" x14ac:dyDescent="0.35">
      <c r="C468" s="129"/>
      <c r="D468" s="129"/>
      <c r="E468" s="129"/>
      <c r="F468" s="129"/>
      <c r="G468" s="129"/>
      <c r="H468" s="110"/>
      <c r="I468" s="129"/>
      <c r="J468" t="s">
        <v>351</v>
      </c>
      <c r="K468" s="129"/>
      <c r="L468" s="129"/>
      <c r="M468" s="129"/>
      <c r="N468" s="129"/>
      <c r="O468" s="129"/>
      <c r="P468" s="129"/>
      <c r="Q468" s="129"/>
      <c r="R468" s="129"/>
      <c r="S468" s="141"/>
      <c r="T468" s="139"/>
      <c r="U468" s="129"/>
      <c r="V468" s="129"/>
      <c r="W468" s="129"/>
      <c r="X468" s="129"/>
      <c r="Y468" s="129"/>
      <c r="Z468" s="115"/>
      <c r="AA468" s="129"/>
      <c r="AB468" s="149"/>
      <c r="AC468" s="129"/>
      <c r="AD468" s="129"/>
      <c r="AE468" s="129"/>
    </row>
    <row r="469" spans="3:31" x14ac:dyDescent="0.35">
      <c r="C469" s="129"/>
      <c r="D469" s="129"/>
      <c r="E469" s="129"/>
      <c r="F469" s="129"/>
      <c r="G469" s="129"/>
      <c r="H469" s="110"/>
      <c r="I469" s="129"/>
      <c r="J469" t="s">
        <v>351</v>
      </c>
      <c r="K469" s="129"/>
      <c r="L469" s="129"/>
      <c r="M469" s="129"/>
      <c r="N469" s="129"/>
      <c r="O469" s="129"/>
      <c r="P469" s="129"/>
      <c r="Q469" s="129"/>
      <c r="R469" s="129"/>
      <c r="S469" s="141"/>
      <c r="T469" s="139"/>
      <c r="U469" s="129"/>
      <c r="V469" s="129"/>
      <c r="W469" s="129"/>
      <c r="X469" s="129"/>
      <c r="Y469" s="129"/>
      <c r="Z469" s="115"/>
      <c r="AA469" s="129"/>
      <c r="AB469" s="149"/>
      <c r="AC469" s="129"/>
      <c r="AD469" s="129"/>
      <c r="AE469" s="129"/>
    </row>
    <row r="470" spans="3:31" x14ac:dyDescent="0.35">
      <c r="C470" s="129"/>
      <c r="D470" s="129"/>
      <c r="E470" s="129"/>
      <c r="F470" s="129"/>
      <c r="G470" s="129"/>
      <c r="H470" s="110"/>
      <c r="I470" s="129"/>
      <c r="J470" t="s">
        <v>351</v>
      </c>
      <c r="K470" s="129"/>
      <c r="L470" s="129"/>
      <c r="M470" s="129"/>
      <c r="N470" s="129"/>
      <c r="O470" s="129"/>
      <c r="P470" s="129"/>
      <c r="Q470" s="129"/>
      <c r="R470" s="129"/>
      <c r="S470" s="141"/>
      <c r="T470" s="139"/>
      <c r="U470" s="129"/>
      <c r="V470" s="129"/>
      <c r="W470" s="129"/>
      <c r="X470" s="129"/>
      <c r="Y470" s="129"/>
      <c r="Z470" s="115"/>
      <c r="AA470" s="129"/>
      <c r="AB470" s="149"/>
      <c r="AC470" s="129"/>
      <c r="AD470" s="129"/>
      <c r="AE470" s="129"/>
    </row>
    <row r="471" spans="3:31" x14ac:dyDescent="0.35">
      <c r="C471" s="129"/>
      <c r="D471" s="129"/>
      <c r="E471" s="129"/>
      <c r="F471" s="129"/>
      <c r="G471" s="129"/>
      <c r="H471" s="110"/>
      <c r="I471" s="129"/>
      <c r="J471" t="s">
        <v>351</v>
      </c>
      <c r="K471" s="129"/>
      <c r="L471" s="129"/>
      <c r="M471" s="129"/>
      <c r="N471" s="129"/>
      <c r="O471" s="129"/>
      <c r="P471" s="129"/>
      <c r="Q471" s="129"/>
      <c r="R471" s="129"/>
      <c r="S471" s="141"/>
      <c r="T471" s="139"/>
      <c r="U471" s="129"/>
      <c r="V471" s="129"/>
      <c r="W471" s="129"/>
      <c r="X471" s="129"/>
      <c r="Y471" s="129"/>
      <c r="Z471" s="115"/>
      <c r="AA471" s="129"/>
      <c r="AB471" s="149"/>
      <c r="AC471" s="129"/>
      <c r="AD471" s="129"/>
      <c r="AE471" s="129"/>
    </row>
    <row r="472" spans="3:31" x14ac:dyDescent="0.35">
      <c r="C472" s="129"/>
      <c r="D472" s="129"/>
      <c r="E472" s="129"/>
      <c r="F472" s="129"/>
      <c r="G472" s="129"/>
      <c r="H472" s="110"/>
      <c r="I472" s="129"/>
      <c r="J472" t="s">
        <v>351</v>
      </c>
      <c r="K472" s="129"/>
      <c r="L472" s="129"/>
      <c r="M472" s="129"/>
      <c r="N472" s="129"/>
      <c r="O472" s="129"/>
      <c r="P472" s="129"/>
      <c r="Q472" s="129"/>
      <c r="R472" s="129"/>
      <c r="S472" s="141"/>
      <c r="T472" s="139"/>
      <c r="U472" s="129"/>
      <c r="V472" s="129"/>
      <c r="W472" s="129"/>
      <c r="X472" s="129"/>
      <c r="Y472" s="129"/>
      <c r="Z472" s="115"/>
      <c r="AA472" s="129"/>
      <c r="AB472" s="149"/>
      <c r="AC472" s="129"/>
      <c r="AD472" s="129"/>
      <c r="AE472" s="129"/>
    </row>
    <row r="473" spans="3:31" x14ac:dyDescent="0.35">
      <c r="C473" s="129"/>
      <c r="D473" s="129"/>
      <c r="E473" s="129"/>
      <c r="F473" s="129"/>
      <c r="G473" s="129"/>
      <c r="H473" s="110"/>
      <c r="I473" s="129"/>
      <c r="J473" t="s">
        <v>351</v>
      </c>
      <c r="K473" s="129"/>
      <c r="L473" s="129"/>
      <c r="M473" s="129"/>
      <c r="N473" s="129"/>
      <c r="O473" s="129"/>
      <c r="P473" s="129"/>
      <c r="Q473" s="129"/>
      <c r="R473" s="129"/>
      <c r="S473" s="141"/>
      <c r="T473" s="139"/>
      <c r="U473" s="129"/>
      <c r="V473" s="129"/>
      <c r="W473" s="129"/>
      <c r="X473" s="129"/>
      <c r="Y473" s="129"/>
      <c r="Z473" s="115"/>
      <c r="AA473" s="129"/>
      <c r="AB473" s="149"/>
      <c r="AC473" s="129"/>
      <c r="AD473" s="129"/>
      <c r="AE473" s="129"/>
    </row>
    <row r="474" spans="3:31" x14ac:dyDescent="0.35">
      <c r="C474" s="129"/>
      <c r="D474" s="129"/>
      <c r="E474" s="129"/>
      <c r="F474" s="129"/>
      <c r="G474" s="129"/>
      <c r="H474" s="110"/>
      <c r="I474" s="129"/>
      <c r="J474" t="s">
        <v>351</v>
      </c>
      <c r="K474" s="129"/>
      <c r="L474" s="129"/>
      <c r="M474" s="129"/>
      <c r="N474" s="129"/>
      <c r="O474" s="129"/>
      <c r="P474" s="129"/>
      <c r="Q474" s="129"/>
      <c r="R474" s="129"/>
      <c r="S474" s="141"/>
      <c r="T474" s="139"/>
      <c r="U474" s="129"/>
      <c r="V474" s="129"/>
      <c r="W474" s="129"/>
      <c r="X474" s="129"/>
      <c r="Y474" s="129"/>
      <c r="Z474" s="115"/>
      <c r="AA474" s="129"/>
      <c r="AB474" s="149"/>
      <c r="AC474" s="129"/>
      <c r="AD474" s="129"/>
      <c r="AE474" s="129"/>
    </row>
    <row r="475" spans="3:31" x14ac:dyDescent="0.35">
      <c r="C475" s="129"/>
      <c r="D475" s="129"/>
      <c r="E475" s="129"/>
      <c r="F475" s="129"/>
      <c r="G475" s="129"/>
      <c r="H475" s="110"/>
      <c r="I475" s="129"/>
      <c r="J475" t="s">
        <v>351</v>
      </c>
      <c r="K475" s="129"/>
      <c r="L475" s="129"/>
      <c r="M475" s="129"/>
      <c r="N475" s="129"/>
      <c r="O475" s="129"/>
      <c r="P475" s="129"/>
      <c r="Q475" s="129"/>
      <c r="R475" s="129"/>
      <c r="S475" s="141"/>
      <c r="T475" s="139"/>
      <c r="U475" s="129"/>
      <c r="V475" s="129"/>
      <c r="W475" s="129"/>
      <c r="X475" s="129"/>
      <c r="Y475" s="129"/>
      <c r="Z475" s="115"/>
      <c r="AA475" s="129"/>
      <c r="AB475" s="149"/>
      <c r="AC475" s="129"/>
      <c r="AD475" s="129"/>
      <c r="AE475" s="129"/>
    </row>
    <row r="476" spans="3:31" x14ac:dyDescent="0.35">
      <c r="C476" s="129"/>
      <c r="D476" s="129"/>
      <c r="E476" s="129"/>
      <c r="F476" s="129"/>
      <c r="G476" s="129"/>
      <c r="H476" s="110"/>
      <c r="I476" s="129"/>
      <c r="J476" t="s">
        <v>351</v>
      </c>
      <c r="K476" s="129"/>
      <c r="L476" s="129"/>
      <c r="M476" s="129"/>
      <c r="N476" s="129"/>
      <c r="O476" s="129"/>
      <c r="P476" s="129"/>
      <c r="Q476" s="129"/>
      <c r="R476" s="129"/>
      <c r="S476" s="141"/>
      <c r="T476" s="139"/>
      <c r="U476" s="129"/>
      <c r="V476" s="129"/>
      <c r="W476" s="129"/>
      <c r="X476" s="129"/>
      <c r="Y476" s="129"/>
      <c r="Z476" s="115"/>
      <c r="AA476" s="129"/>
      <c r="AB476" s="149"/>
      <c r="AC476" s="129"/>
      <c r="AD476" s="129"/>
      <c r="AE476" s="129"/>
    </row>
    <row r="477" spans="3:31" x14ac:dyDescent="0.35">
      <c r="C477" s="129"/>
      <c r="D477" s="129"/>
      <c r="E477" s="129"/>
      <c r="F477" s="129"/>
      <c r="G477" s="129"/>
      <c r="H477" s="110"/>
      <c r="I477" s="129"/>
      <c r="J477" t="s">
        <v>351</v>
      </c>
      <c r="K477" s="129"/>
      <c r="L477" s="129"/>
      <c r="M477" s="129"/>
      <c r="N477" s="129"/>
      <c r="O477" s="129"/>
      <c r="P477" s="129"/>
      <c r="Q477" s="129"/>
      <c r="R477" s="129"/>
      <c r="S477" s="141"/>
      <c r="T477" s="139"/>
      <c r="U477" s="129"/>
      <c r="V477" s="129"/>
      <c r="W477" s="129"/>
      <c r="X477" s="129"/>
      <c r="Y477" s="129"/>
      <c r="Z477" s="115"/>
      <c r="AA477" s="129"/>
      <c r="AB477" s="149"/>
      <c r="AC477" s="129"/>
      <c r="AD477" s="129"/>
      <c r="AE477" s="129"/>
    </row>
    <row r="478" spans="3:31" x14ac:dyDescent="0.35">
      <c r="C478" s="129"/>
      <c r="D478" s="129"/>
      <c r="E478" s="129"/>
      <c r="F478" s="129"/>
      <c r="G478" s="129"/>
      <c r="H478" s="110"/>
      <c r="I478" s="129"/>
      <c r="J478" t="s">
        <v>351</v>
      </c>
      <c r="K478" s="129"/>
      <c r="L478" s="129"/>
      <c r="M478" s="129"/>
      <c r="N478" s="129"/>
      <c r="O478" s="129"/>
      <c r="P478" s="129"/>
      <c r="Q478" s="129"/>
      <c r="R478" s="129"/>
      <c r="S478" s="141"/>
      <c r="T478" s="139"/>
      <c r="U478" s="129"/>
      <c r="V478" s="129"/>
      <c r="W478" s="129"/>
      <c r="X478" s="129"/>
      <c r="Y478" s="129"/>
      <c r="Z478" s="115"/>
      <c r="AA478" s="129"/>
      <c r="AB478" s="149"/>
      <c r="AC478" s="129"/>
      <c r="AD478" s="129"/>
      <c r="AE478" s="129"/>
    </row>
    <row r="479" spans="3:31" x14ac:dyDescent="0.35">
      <c r="C479" s="129"/>
      <c r="D479" s="129"/>
      <c r="E479" s="129"/>
      <c r="F479" s="129"/>
      <c r="G479" s="129"/>
      <c r="H479" s="110"/>
      <c r="I479" s="129"/>
      <c r="J479" t="s">
        <v>351</v>
      </c>
      <c r="K479" s="129"/>
      <c r="L479" s="129"/>
      <c r="M479" s="129"/>
      <c r="N479" s="129"/>
      <c r="O479" s="129"/>
      <c r="P479" s="129"/>
      <c r="Q479" s="129"/>
      <c r="R479" s="129"/>
      <c r="S479" s="141"/>
      <c r="T479" s="139"/>
      <c r="U479" s="129"/>
      <c r="V479" s="129"/>
      <c r="W479" s="129"/>
      <c r="X479" s="129"/>
      <c r="Y479" s="129"/>
      <c r="Z479" s="115"/>
      <c r="AA479" s="129"/>
      <c r="AB479" s="149"/>
      <c r="AC479" s="129"/>
      <c r="AD479" s="129"/>
      <c r="AE479" s="129"/>
    </row>
    <row r="480" spans="3:31" x14ac:dyDescent="0.35">
      <c r="C480" s="129"/>
      <c r="D480" s="129"/>
      <c r="E480" s="129"/>
      <c r="F480" s="129"/>
      <c r="G480" s="129"/>
      <c r="H480" s="110"/>
      <c r="I480" s="129"/>
      <c r="J480" t="s">
        <v>351</v>
      </c>
      <c r="K480" s="129"/>
      <c r="L480" s="129"/>
      <c r="M480" s="129"/>
      <c r="N480" s="129"/>
      <c r="O480" s="129"/>
      <c r="P480" s="129"/>
      <c r="Q480" s="129"/>
      <c r="R480" s="129"/>
      <c r="S480" s="141"/>
      <c r="T480" s="139"/>
      <c r="U480" s="129"/>
      <c r="V480" s="129"/>
      <c r="W480" s="129"/>
      <c r="X480" s="129"/>
      <c r="Y480" s="129"/>
      <c r="Z480" s="115"/>
      <c r="AA480" s="129"/>
      <c r="AB480" s="149"/>
      <c r="AC480" s="129"/>
      <c r="AD480" s="129"/>
      <c r="AE480" s="129"/>
    </row>
    <row r="481" spans="3:31" x14ac:dyDescent="0.35">
      <c r="C481" s="129"/>
      <c r="D481" s="129"/>
      <c r="E481" s="129"/>
      <c r="F481" s="129"/>
      <c r="G481" s="129"/>
      <c r="H481" s="110"/>
      <c r="I481" s="129"/>
      <c r="J481" t="s">
        <v>351</v>
      </c>
      <c r="K481" s="129"/>
      <c r="L481" s="129"/>
      <c r="M481" s="129"/>
      <c r="N481" s="129"/>
      <c r="O481" s="129"/>
      <c r="P481" s="129"/>
      <c r="Q481" s="129"/>
      <c r="R481" s="129"/>
      <c r="S481" s="141"/>
      <c r="T481" s="139"/>
      <c r="U481" s="129"/>
      <c r="V481" s="129"/>
      <c r="W481" s="129"/>
      <c r="X481" s="129"/>
      <c r="Y481" s="129"/>
      <c r="Z481" s="115"/>
      <c r="AA481" s="129"/>
      <c r="AB481" s="149"/>
      <c r="AC481" s="129"/>
      <c r="AD481" s="129"/>
      <c r="AE481" s="129"/>
    </row>
    <row r="482" spans="3:31" x14ac:dyDescent="0.35">
      <c r="C482" s="129"/>
      <c r="D482" s="129"/>
      <c r="E482" s="129"/>
      <c r="F482" s="129"/>
      <c r="G482" s="129"/>
      <c r="H482" s="110"/>
      <c r="I482" s="129"/>
      <c r="J482" t="s">
        <v>351</v>
      </c>
      <c r="K482" s="129"/>
      <c r="L482" s="129"/>
      <c r="M482" s="129"/>
      <c r="N482" s="129"/>
      <c r="O482" s="129"/>
      <c r="P482" s="129"/>
      <c r="Q482" s="129"/>
      <c r="R482" s="129"/>
      <c r="S482" s="141"/>
      <c r="T482" s="139"/>
      <c r="U482" s="129"/>
      <c r="V482" s="129"/>
      <c r="W482" s="129"/>
      <c r="X482" s="129"/>
      <c r="Y482" s="129"/>
      <c r="Z482" s="115"/>
      <c r="AA482" s="129"/>
      <c r="AB482" s="149"/>
      <c r="AC482" s="129"/>
      <c r="AD482" s="129"/>
      <c r="AE482" s="129"/>
    </row>
    <row r="483" spans="3:31" x14ac:dyDescent="0.35">
      <c r="C483" s="129"/>
      <c r="D483" s="129"/>
      <c r="E483" s="129"/>
      <c r="F483" s="129"/>
      <c r="G483" s="129"/>
      <c r="H483" s="110"/>
      <c r="I483" s="129"/>
      <c r="J483" t="s">
        <v>351</v>
      </c>
      <c r="K483" s="129"/>
      <c r="L483" s="129"/>
      <c r="M483" s="129"/>
      <c r="N483" s="129"/>
      <c r="O483" s="129"/>
      <c r="P483" s="129"/>
      <c r="Q483" s="129"/>
      <c r="R483" s="129"/>
      <c r="S483" s="141"/>
      <c r="T483" s="139"/>
      <c r="U483" s="129"/>
      <c r="V483" s="129"/>
      <c r="W483" s="129"/>
      <c r="X483" s="129"/>
      <c r="Y483" s="129"/>
      <c r="Z483" s="115"/>
      <c r="AA483" s="129"/>
      <c r="AB483" s="149"/>
      <c r="AC483" s="129"/>
      <c r="AD483" s="129"/>
      <c r="AE483" s="129"/>
    </row>
    <row r="484" spans="3:31" x14ac:dyDescent="0.35">
      <c r="C484" s="129"/>
      <c r="D484" s="129"/>
      <c r="E484" s="129"/>
      <c r="F484" s="129"/>
      <c r="G484" s="129"/>
      <c r="H484" s="110"/>
      <c r="I484" s="129"/>
      <c r="J484" t="s">
        <v>351</v>
      </c>
      <c r="K484" s="129"/>
      <c r="L484" s="129"/>
      <c r="M484" s="129"/>
      <c r="N484" s="129"/>
      <c r="O484" s="129"/>
      <c r="P484" s="129"/>
      <c r="Q484" s="129"/>
      <c r="R484" s="129"/>
      <c r="S484" s="141"/>
      <c r="T484" s="139"/>
      <c r="U484" s="129"/>
      <c r="V484" s="129"/>
      <c r="W484" s="129"/>
      <c r="X484" s="129"/>
      <c r="Y484" s="129"/>
      <c r="Z484" s="115"/>
      <c r="AA484" s="129"/>
      <c r="AB484" s="149"/>
      <c r="AC484" s="129"/>
      <c r="AD484" s="129"/>
      <c r="AE484" s="129"/>
    </row>
    <row r="485" spans="3:31" x14ac:dyDescent="0.35">
      <c r="C485" s="129"/>
      <c r="D485" s="129"/>
      <c r="E485" s="129"/>
      <c r="F485" s="129"/>
      <c r="G485" s="129"/>
      <c r="H485" s="110"/>
      <c r="I485" s="129"/>
      <c r="J485" t="s">
        <v>351</v>
      </c>
      <c r="K485" s="129"/>
      <c r="L485" s="129"/>
      <c r="M485" s="129"/>
      <c r="N485" s="129"/>
      <c r="O485" s="129"/>
      <c r="P485" s="129"/>
      <c r="Q485" s="129"/>
      <c r="R485" s="129"/>
      <c r="S485" s="141"/>
      <c r="T485" s="139"/>
      <c r="U485" s="129"/>
      <c r="V485" s="129"/>
      <c r="W485" s="129"/>
      <c r="X485" s="129"/>
      <c r="Y485" s="129"/>
      <c r="Z485" s="115"/>
      <c r="AA485" s="129"/>
      <c r="AB485" s="149"/>
      <c r="AC485" s="129"/>
      <c r="AD485" s="129"/>
      <c r="AE485" s="129"/>
    </row>
    <row r="486" spans="3:31" x14ac:dyDescent="0.35">
      <c r="C486" s="129"/>
      <c r="D486" s="129"/>
      <c r="E486" s="129"/>
      <c r="F486" s="129"/>
      <c r="G486" s="129"/>
      <c r="H486" s="110"/>
      <c r="I486" s="129"/>
      <c r="J486" t="s">
        <v>351</v>
      </c>
      <c r="K486" s="129"/>
      <c r="L486" s="129"/>
      <c r="M486" s="129"/>
      <c r="N486" s="129"/>
      <c r="O486" s="129"/>
      <c r="P486" s="129"/>
      <c r="Q486" s="129"/>
      <c r="R486" s="129"/>
      <c r="S486" s="141"/>
      <c r="T486" s="139"/>
      <c r="U486" s="129"/>
      <c r="V486" s="129"/>
      <c r="W486" s="129"/>
      <c r="X486" s="129"/>
      <c r="Y486" s="129"/>
      <c r="Z486" s="115"/>
      <c r="AA486" s="129"/>
      <c r="AB486" s="149"/>
      <c r="AC486" s="129"/>
      <c r="AD486" s="129"/>
      <c r="AE486" s="129"/>
    </row>
    <row r="487" spans="3:31" x14ac:dyDescent="0.35">
      <c r="C487" s="129"/>
      <c r="D487" s="129"/>
      <c r="E487" s="129"/>
      <c r="F487" s="129"/>
      <c r="G487" s="129"/>
      <c r="H487" s="110"/>
      <c r="I487" s="129"/>
      <c r="J487" t="s">
        <v>351</v>
      </c>
      <c r="K487" s="129"/>
      <c r="L487" s="129"/>
      <c r="M487" s="129"/>
      <c r="N487" s="129"/>
      <c r="O487" s="129"/>
      <c r="P487" s="129"/>
      <c r="Q487" s="129"/>
      <c r="R487" s="129"/>
      <c r="S487" s="141"/>
      <c r="T487" s="139"/>
      <c r="U487" s="129"/>
      <c r="V487" s="129"/>
      <c r="W487" s="129"/>
      <c r="X487" s="129"/>
      <c r="Y487" s="129"/>
      <c r="Z487" s="115"/>
      <c r="AA487" s="129"/>
      <c r="AB487" s="149"/>
      <c r="AC487" s="129"/>
      <c r="AD487" s="129"/>
      <c r="AE487" s="129"/>
    </row>
    <row r="488" spans="3:31" x14ac:dyDescent="0.35">
      <c r="C488" s="129"/>
      <c r="D488" s="129"/>
      <c r="E488" s="129"/>
      <c r="F488" s="129"/>
      <c r="G488" s="129"/>
      <c r="H488" s="110"/>
      <c r="I488" s="129"/>
      <c r="J488" t="s">
        <v>351</v>
      </c>
      <c r="K488" s="129"/>
      <c r="L488" s="129"/>
      <c r="M488" s="129"/>
      <c r="N488" s="129"/>
      <c r="O488" s="129"/>
      <c r="P488" s="129"/>
      <c r="Q488" s="129"/>
      <c r="R488" s="129"/>
      <c r="S488" s="141"/>
      <c r="T488" s="139"/>
      <c r="U488" s="129"/>
      <c r="V488" s="129"/>
      <c r="W488" s="129"/>
      <c r="X488" s="129"/>
      <c r="Y488" s="129"/>
      <c r="Z488" s="115"/>
      <c r="AA488" s="129"/>
      <c r="AB488" s="149"/>
      <c r="AC488" s="129"/>
      <c r="AD488" s="129"/>
      <c r="AE488" s="129"/>
    </row>
    <row r="489" spans="3:31" x14ac:dyDescent="0.35">
      <c r="C489" s="129"/>
      <c r="D489" s="129"/>
      <c r="E489" s="129"/>
      <c r="F489" s="129"/>
      <c r="G489" s="129"/>
      <c r="H489" s="110"/>
      <c r="I489" s="129"/>
      <c r="J489" t="s">
        <v>351</v>
      </c>
      <c r="K489" s="129"/>
      <c r="L489" s="129"/>
      <c r="M489" s="129"/>
      <c r="N489" s="129"/>
      <c r="O489" s="129"/>
      <c r="P489" s="129"/>
      <c r="Q489" s="129"/>
      <c r="R489" s="129"/>
      <c r="S489" s="141"/>
      <c r="T489" s="139"/>
      <c r="U489" s="129"/>
      <c r="V489" s="129"/>
      <c r="W489" s="129"/>
      <c r="X489" s="129"/>
      <c r="Y489" s="129"/>
      <c r="Z489" s="115"/>
      <c r="AA489" s="129"/>
      <c r="AB489" s="149"/>
      <c r="AC489" s="129"/>
      <c r="AD489" s="129"/>
      <c r="AE489" s="129"/>
    </row>
    <row r="490" spans="3:31" x14ac:dyDescent="0.35">
      <c r="C490" s="129"/>
      <c r="D490" s="129"/>
      <c r="E490" s="129"/>
      <c r="F490" s="129"/>
      <c r="G490" s="129"/>
      <c r="H490" s="110"/>
      <c r="I490" s="129"/>
      <c r="J490" t="s">
        <v>351</v>
      </c>
      <c r="K490" s="129"/>
      <c r="L490" s="129"/>
      <c r="M490" s="129"/>
      <c r="N490" s="129"/>
      <c r="O490" s="129"/>
      <c r="P490" s="129"/>
      <c r="Q490" s="129"/>
      <c r="R490" s="129"/>
      <c r="S490" s="141"/>
      <c r="T490" s="139"/>
      <c r="U490" s="129"/>
      <c r="V490" s="129"/>
      <c r="W490" s="129"/>
      <c r="X490" s="129"/>
      <c r="Y490" s="129"/>
      <c r="Z490" s="115"/>
      <c r="AA490" s="129"/>
      <c r="AB490" s="149"/>
      <c r="AC490" s="129"/>
      <c r="AD490" s="129"/>
      <c r="AE490" s="129"/>
    </row>
    <row r="491" spans="3:31" x14ac:dyDescent="0.35">
      <c r="C491" s="129"/>
      <c r="D491" s="129"/>
      <c r="E491" s="129"/>
      <c r="F491" s="129"/>
      <c r="G491" s="129"/>
      <c r="H491" s="110"/>
      <c r="I491" s="129"/>
      <c r="J491" t="s">
        <v>351</v>
      </c>
      <c r="K491" s="129"/>
      <c r="L491" s="129"/>
      <c r="M491" s="129"/>
      <c r="N491" s="129"/>
      <c r="O491" s="129"/>
      <c r="P491" s="129"/>
      <c r="Q491" s="129"/>
      <c r="R491" s="129"/>
      <c r="S491" s="141"/>
      <c r="T491" s="139"/>
      <c r="U491" s="129"/>
      <c r="V491" s="129"/>
      <c r="W491" s="129"/>
      <c r="X491" s="129"/>
      <c r="Y491" s="129"/>
      <c r="Z491" s="115"/>
      <c r="AA491" s="129"/>
      <c r="AB491" s="149"/>
      <c r="AC491" s="129"/>
      <c r="AD491" s="129"/>
      <c r="AE491" s="129"/>
    </row>
    <row r="492" spans="3:31" x14ac:dyDescent="0.35">
      <c r="C492" s="129"/>
      <c r="D492" s="129"/>
      <c r="E492" s="129"/>
      <c r="F492" s="129"/>
      <c r="G492" s="129"/>
      <c r="H492" s="110"/>
      <c r="I492" s="129"/>
      <c r="J492" t="s">
        <v>351</v>
      </c>
      <c r="K492" s="129"/>
      <c r="L492" s="129"/>
      <c r="M492" s="129"/>
      <c r="N492" s="129"/>
      <c r="O492" s="129"/>
      <c r="P492" s="129"/>
      <c r="Q492" s="129"/>
      <c r="R492" s="129"/>
      <c r="S492" s="141"/>
      <c r="T492" s="139"/>
      <c r="U492" s="129"/>
      <c r="V492" s="129"/>
      <c r="W492" s="129"/>
      <c r="X492" s="129"/>
      <c r="Y492" s="129"/>
      <c r="Z492" s="115"/>
      <c r="AA492" s="129"/>
      <c r="AB492" s="149"/>
      <c r="AC492" s="129"/>
      <c r="AD492" s="129"/>
      <c r="AE492" s="129"/>
    </row>
    <row r="493" spans="3:31" x14ac:dyDescent="0.35">
      <c r="C493" s="129"/>
      <c r="D493" s="129"/>
      <c r="E493" s="129"/>
      <c r="F493" s="129"/>
      <c r="G493" s="129"/>
      <c r="H493" s="110"/>
      <c r="I493" s="129"/>
      <c r="J493" t="s">
        <v>351</v>
      </c>
      <c r="K493" s="129"/>
      <c r="L493" s="129"/>
      <c r="M493" s="129"/>
      <c r="N493" s="129"/>
      <c r="O493" s="129"/>
      <c r="P493" s="129"/>
      <c r="Q493" s="129"/>
      <c r="R493" s="129"/>
      <c r="S493" s="141"/>
      <c r="T493" s="139"/>
      <c r="U493" s="129"/>
      <c r="V493" s="129"/>
      <c r="W493" s="129"/>
      <c r="X493" s="129"/>
      <c r="Y493" s="129"/>
      <c r="Z493" s="115"/>
      <c r="AA493" s="129"/>
      <c r="AB493" s="149"/>
      <c r="AC493" s="129"/>
      <c r="AD493" s="129"/>
      <c r="AE493" s="129"/>
    </row>
    <row r="494" spans="3:31" x14ac:dyDescent="0.35">
      <c r="C494" s="129"/>
      <c r="D494" s="129"/>
      <c r="E494" s="129"/>
      <c r="F494" s="129"/>
      <c r="G494" s="129"/>
      <c r="H494" s="110"/>
      <c r="I494" s="129"/>
      <c r="J494" t="s">
        <v>351</v>
      </c>
      <c r="K494" s="129"/>
      <c r="L494" s="129"/>
      <c r="M494" s="129"/>
      <c r="N494" s="129"/>
      <c r="O494" s="129"/>
      <c r="P494" s="129"/>
      <c r="Q494" s="129"/>
      <c r="R494" s="129"/>
      <c r="S494" s="141"/>
      <c r="T494" s="139"/>
      <c r="U494" s="129"/>
      <c r="V494" s="129"/>
      <c r="W494" s="129"/>
      <c r="X494" s="129"/>
      <c r="Y494" s="129"/>
      <c r="Z494" s="115"/>
      <c r="AA494" s="129"/>
      <c r="AB494" s="149"/>
      <c r="AC494" s="129"/>
      <c r="AD494" s="129"/>
      <c r="AE494" s="129"/>
    </row>
    <row r="495" spans="3:31" x14ac:dyDescent="0.35">
      <c r="C495" s="129"/>
      <c r="D495" s="129"/>
      <c r="E495" s="129"/>
      <c r="F495" s="129"/>
      <c r="G495" s="129"/>
      <c r="H495" s="110"/>
      <c r="I495" s="129"/>
      <c r="J495" t="s">
        <v>351</v>
      </c>
      <c r="K495" s="129"/>
      <c r="L495" s="129"/>
      <c r="M495" s="129"/>
      <c r="N495" s="129"/>
      <c r="O495" s="129"/>
      <c r="P495" s="129"/>
      <c r="Q495" s="129"/>
      <c r="R495" s="129"/>
      <c r="S495" s="141"/>
      <c r="T495" s="139"/>
      <c r="U495" s="129"/>
      <c r="V495" s="129"/>
      <c r="W495" s="129"/>
      <c r="X495" s="129"/>
      <c r="Y495" s="129"/>
      <c r="Z495" s="115"/>
      <c r="AA495" s="129"/>
      <c r="AB495" s="149"/>
      <c r="AC495" s="129"/>
      <c r="AD495" s="129"/>
      <c r="AE495" s="129"/>
    </row>
    <row r="496" spans="3:31" x14ac:dyDescent="0.35">
      <c r="C496" s="129"/>
      <c r="D496" s="129"/>
      <c r="E496" s="129"/>
      <c r="F496" s="129"/>
      <c r="G496" s="129"/>
      <c r="H496" s="110"/>
      <c r="I496" s="129"/>
      <c r="J496" t="s">
        <v>351</v>
      </c>
      <c r="K496" s="129"/>
      <c r="L496" s="129"/>
      <c r="M496" s="129"/>
      <c r="N496" s="129"/>
      <c r="O496" s="129"/>
      <c r="P496" s="129"/>
      <c r="Q496" s="129"/>
      <c r="R496" s="129"/>
      <c r="S496" s="141"/>
      <c r="T496" s="139"/>
      <c r="U496" s="129"/>
      <c r="V496" s="129"/>
      <c r="W496" s="129"/>
      <c r="X496" s="129"/>
      <c r="Y496" s="129"/>
      <c r="Z496" s="115"/>
      <c r="AA496" s="129"/>
      <c r="AB496" s="149"/>
      <c r="AC496" s="129"/>
      <c r="AD496" s="129"/>
      <c r="AE496" s="129"/>
    </row>
    <row r="497" spans="3:31" x14ac:dyDescent="0.35">
      <c r="C497" s="129"/>
      <c r="D497" s="129"/>
      <c r="E497" s="129"/>
      <c r="F497" s="129"/>
      <c r="G497" s="129"/>
      <c r="H497" s="110"/>
      <c r="I497" s="129"/>
      <c r="J497" t="s">
        <v>351</v>
      </c>
      <c r="K497" s="129"/>
      <c r="L497" s="129"/>
      <c r="M497" s="129"/>
      <c r="N497" s="129"/>
      <c r="O497" s="129"/>
      <c r="P497" s="129"/>
      <c r="Q497" s="129"/>
      <c r="R497" s="129"/>
      <c r="S497" s="141"/>
      <c r="T497" s="139"/>
      <c r="U497" s="129"/>
      <c r="V497" s="129"/>
      <c r="W497" s="129"/>
      <c r="X497" s="129"/>
      <c r="Y497" s="129"/>
      <c r="Z497" s="115"/>
      <c r="AA497" s="129"/>
      <c r="AB497" s="149"/>
      <c r="AC497" s="129"/>
      <c r="AD497" s="129"/>
      <c r="AE497" s="129"/>
    </row>
    <row r="498" spans="3:31" x14ac:dyDescent="0.35">
      <c r="C498" s="129"/>
      <c r="D498" s="129"/>
      <c r="E498" s="129"/>
      <c r="F498" s="129"/>
      <c r="G498" s="129"/>
      <c r="H498" s="110"/>
      <c r="I498" s="129"/>
      <c r="J498" t="s">
        <v>351</v>
      </c>
      <c r="K498" s="129"/>
      <c r="L498" s="129"/>
      <c r="M498" s="129"/>
      <c r="N498" s="129"/>
      <c r="O498" s="129"/>
      <c r="P498" s="129"/>
      <c r="Q498" s="129"/>
      <c r="R498" s="129"/>
      <c r="S498" s="141"/>
      <c r="T498" s="139"/>
      <c r="U498" s="129"/>
      <c r="V498" s="129"/>
      <c r="W498" s="129"/>
      <c r="X498" s="129"/>
      <c r="Y498" s="129"/>
      <c r="Z498" s="115"/>
      <c r="AA498" s="129"/>
      <c r="AB498" s="149"/>
      <c r="AC498" s="129"/>
      <c r="AD498" s="129"/>
      <c r="AE498" s="129"/>
    </row>
    <row r="499" spans="3:31" x14ac:dyDescent="0.35">
      <c r="C499" s="129"/>
      <c r="D499" s="129"/>
      <c r="E499" s="129"/>
      <c r="F499" s="129"/>
      <c r="G499" s="129"/>
      <c r="H499" s="110"/>
      <c r="I499" s="129"/>
      <c r="J499" t="s">
        <v>351</v>
      </c>
      <c r="K499" s="129"/>
      <c r="L499" s="129"/>
      <c r="M499" s="129"/>
      <c r="N499" s="129"/>
      <c r="O499" s="129"/>
      <c r="P499" s="129"/>
      <c r="Q499" s="129"/>
      <c r="R499" s="129"/>
      <c r="S499" s="141"/>
      <c r="T499" s="139"/>
      <c r="U499" s="129"/>
      <c r="V499" s="129"/>
      <c r="W499" s="129"/>
      <c r="X499" s="129"/>
      <c r="Y499" s="129"/>
      <c r="Z499" s="115"/>
      <c r="AA499" s="129"/>
      <c r="AB499" s="149"/>
      <c r="AC499" s="129"/>
      <c r="AD499" s="129"/>
      <c r="AE499" s="129"/>
    </row>
    <row r="500" spans="3:31" x14ac:dyDescent="0.35">
      <c r="C500" s="129"/>
      <c r="D500" s="129"/>
      <c r="E500" s="129"/>
      <c r="F500" s="129"/>
      <c r="G500" s="129"/>
      <c r="H500" s="110"/>
      <c r="I500" s="129"/>
      <c r="J500" t="s">
        <v>351</v>
      </c>
      <c r="K500" s="129"/>
      <c r="L500" s="129"/>
      <c r="M500" s="129"/>
      <c r="N500" s="129"/>
      <c r="O500" s="129"/>
      <c r="P500" s="129"/>
      <c r="Q500" s="129"/>
      <c r="R500" s="129"/>
      <c r="S500" s="141"/>
      <c r="T500" s="139"/>
      <c r="U500" s="129"/>
      <c r="V500" s="129"/>
      <c r="W500" s="129"/>
      <c r="X500" s="129"/>
      <c r="Y500" s="129"/>
      <c r="Z500" s="115"/>
      <c r="AA500" s="129"/>
      <c r="AB500" s="149"/>
      <c r="AC500" s="129"/>
      <c r="AD500" s="129"/>
      <c r="AE500" s="129"/>
    </row>
    <row r="501" spans="3:31" x14ac:dyDescent="0.35">
      <c r="C501" s="129"/>
      <c r="D501" s="129"/>
      <c r="E501" s="129"/>
      <c r="F501" s="129"/>
      <c r="G501" s="129"/>
      <c r="H501" s="110"/>
      <c r="I501" s="129"/>
      <c r="J501" t="s">
        <v>351</v>
      </c>
      <c r="K501" s="129"/>
      <c r="L501" s="129"/>
      <c r="M501" s="129"/>
      <c r="N501" s="129"/>
      <c r="O501" s="129"/>
      <c r="P501" s="129"/>
      <c r="Q501" s="129"/>
      <c r="R501" s="129"/>
      <c r="S501" s="141"/>
      <c r="T501" s="139"/>
      <c r="U501" s="129"/>
      <c r="V501" s="129"/>
      <c r="W501" s="129"/>
      <c r="X501" s="129"/>
      <c r="Y501" s="129"/>
      <c r="Z501" s="115"/>
      <c r="AA501" s="129"/>
      <c r="AB501" s="149"/>
      <c r="AC501" s="129"/>
      <c r="AD501" s="129"/>
      <c r="AE501" s="129"/>
    </row>
    <row r="502" spans="3:31" x14ac:dyDescent="0.35">
      <c r="C502" s="129"/>
      <c r="D502" s="129"/>
      <c r="E502" s="129"/>
      <c r="F502" s="129"/>
      <c r="G502" s="129"/>
      <c r="H502" s="110"/>
      <c r="I502" s="129"/>
      <c r="J502" t="s">
        <v>351</v>
      </c>
      <c r="K502" s="129"/>
      <c r="L502" s="129"/>
      <c r="M502" s="129"/>
      <c r="N502" s="129"/>
      <c r="O502" s="129"/>
      <c r="P502" s="129"/>
      <c r="Q502" s="129"/>
      <c r="R502" s="129"/>
      <c r="S502" s="141"/>
      <c r="T502" s="139"/>
      <c r="U502" s="129"/>
      <c r="V502" s="129"/>
      <c r="W502" s="129"/>
      <c r="X502" s="129"/>
      <c r="Y502" s="129"/>
      <c r="Z502" s="115"/>
      <c r="AA502" s="129"/>
      <c r="AB502" s="149"/>
      <c r="AC502" s="129"/>
      <c r="AD502" s="129"/>
      <c r="AE502" s="129"/>
    </row>
    <row r="503" spans="3:31" x14ac:dyDescent="0.35">
      <c r="C503" s="129"/>
      <c r="D503" s="129"/>
      <c r="E503" s="129"/>
      <c r="F503" s="129"/>
      <c r="G503" s="129"/>
      <c r="H503" s="110"/>
      <c r="I503" s="129"/>
      <c r="J503" t="s">
        <v>351</v>
      </c>
      <c r="K503" s="129"/>
      <c r="L503" s="129"/>
      <c r="M503" s="129"/>
      <c r="N503" s="129"/>
      <c r="O503" s="129"/>
      <c r="P503" s="129"/>
      <c r="Q503" s="129"/>
      <c r="R503" s="129"/>
      <c r="S503" s="141"/>
      <c r="T503" s="139"/>
      <c r="U503" s="129"/>
      <c r="V503" s="129"/>
      <c r="W503" s="129"/>
      <c r="X503" s="129"/>
      <c r="Y503" s="129"/>
      <c r="Z503" s="115"/>
      <c r="AA503" s="129"/>
      <c r="AB503" s="149"/>
      <c r="AC503" s="129"/>
      <c r="AD503" s="129"/>
      <c r="AE503" s="129"/>
    </row>
    <row r="504" spans="3:31" x14ac:dyDescent="0.35">
      <c r="C504" s="129"/>
      <c r="D504" s="129"/>
      <c r="E504" s="129"/>
      <c r="F504" s="129"/>
      <c r="G504" s="129"/>
      <c r="H504" s="110"/>
      <c r="I504" s="129"/>
      <c r="J504" t="s">
        <v>351</v>
      </c>
      <c r="K504" s="129"/>
      <c r="L504" s="129"/>
      <c r="M504" s="129"/>
      <c r="N504" s="129"/>
      <c r="O504" s="129"/>
      <c r="P504" s="129"/>
      <c r="Q504" s="129"/>
      <c r="R504" s="129"/>
      <c r="S504" s="141"/>
      <c r="T504" s="139"/>
      <c r="U504" s="129"/>
      <c r="V504" s="129"/>
      <c r="W504" s="129"/>
      <c r="X504" s="129"/>
      <c r="Y504" s="129"/>
      <c r="Z504" s="115"/>
      <c r="AA504" s="129"/>
      <c r="AB504" s="149"/>
      <c r="AC504" s="129"/>
      <c r="AD504" s="129"/>
      <c r="AE504" s="129"/>
    </row>
    <row r="505" spans="3:31" x14ac:dyDescent="0.35">
      <c r="C505" s="129"/>
      <c r="D505" s="129"/>
      <c r="E505" s="129"/>
      <c r="F505" s="129"/>
      <c r="G505" s="129"/>
      <c r="H505" s="110"/>
      <c r="I505" s="129"/>
      <c r="J505" t="s">
        <v>351</v>
      </c>
      <c r="K505" s="129"/>
      <c r="L505" s="129"/>
      <c r="M505" s="129"/>
      <c r="N505" s="129"/>
      <c r="O505" s="129"/>
      <c r="P505" s="129"/>
      <c r="Q505" s="129"/>
      <c r="R505" s="129"/>
      <c r="S505" s="141"/>
      <c r="T505" s="139"/>
      <c r="U505" s="129"/>
      <c r="V505" s="129"/>
      <c r="W505" s="129"/>
      <c r="X505" s="129"/>
      <c r="Y505" s="129"/>
      <c r="Z505" s="115"/>
      <c r="AA505" s="129"/>
      <c r="AB505" s="149"/>
      <c r="AC505" s="129"/>
      <c r="AD505" s="129"/>
      <c r="AE505" s="129"/>
    </row>
    <row r="506" spans="3:31" x14ac:dyDescent="0.35">
      <c r="C506" s="129"/>
      <c r="D506" s="129"/>
      <c r="E506" s="129"/>
      <c r="F506" s="129"/>
      <c r="G506" s="129"/>
      <c r="H506" s="110"/>
      <c r="I506" s="129"/>
      <c r="J506" t="s">
        <v>351</v>
      </c>
      <c r="K506" s="129"/>
      <c r="L506" s="129"/>
      <c r="M506" s="129"/>
      <c r="N506" s="129"/>
      <c r="O506" s="129"/>
      <c r="P506" s="129"/>
      <c r="Q506" s="129"/>
      <c r="R506" s="129"/>
      <c r="S506" s="141"/>
      <c r="T506" s="139"/>
      <c r="U506" s="129"/>
      <c r="V506" s="129"/>
      <c r="W506" s="129"/>
      <c r="X506" s="129"/>
      <c r="Y506" s="129"/>
      <c r="Z506" s="115"/>
      <c r="AA506" s="129"/>
      <c r="AB506" s="149"/>
      <c r="AC506" s="129"/>
      <c r="AD506" s="129"/>
      <c r="AE506" s="129"/>
    </row>
    <row r="507" spans="3:31" x14ac:dyDescent="0.35">
      <c r="C507" s="129"/>
      <c r="D507" s="129"/>
      <c r="E507" s="129"/>
      <c r="F507" s="129"/>
      <c r="G507" s="129"/>
      <c r="H507" s="110"/>
      <c r="I507" s="129"/>
      <c r="J507" t="s">
        <v>351</v>
      </c>
      <c r="K507" s="129"/>
      <c r="L507" s="129"/>
      <c r="M507" s="129"/>
      <c r="N507" s="129"/>
      <c r="O507" s="129"/>
      <c r="P507" s="129"/>
      <c r="Q507" s="129"/>
      <c r="R507" s="129"/>
      <c r="S507" s="141"/>
      <c r="T507" s="139"/>
      <c r="U507" s="129"/>
      <c r="V507" s="129"/>
      <c r="W507" s="129"/>
      <c r="X507" s="129"/>
      <c r="Y507" s="129"/>
      <c r="Z507" s="115"/>
      <c r="AA507" s="129"/>
      <c r="AB507" s="149"/>
      <c r="AC507" s="129"/>
      <c r="AD507" s="129"/>
      <c r="AE507" s="129"/>
    </row>
    <row r="508" spans="3:31" x14ac:dyDescent="0.35">
      <c r="C508" s="129"/>
      <c r="D508" s="129"/>
      <c r="E508" s="129"/>
      <c r="F508" s="129"/>
      <c r="G508" s="129"/>
      <c r="H508" s="110"/>
      <c r="I508" s="129"/>
      <c r="J508" t="s">
        <v>351</v>
      </c>
      <c r="K508" s="129"/>
      <c r="L508" s="129"/>
      <c r="M508" s="129"/>
      <c r="N508" s="129"/>
      <c r="O508" s="129"/>
      <c r="P508" s="129"/>
      <c r="Q508" s="129"/>
      <c r="R508" s="129"/>
      <c r="S508" s="141"/>
      <c r="T508" s="139"/>
      <c r="U508" s="129"/>
      <c r="V508" s="129"/>
      <c r="W508" s="129"/>
      <c r="X508" s="129"/>
      <c r="Y508" s="129"/>
      <c r="Z508" s="115"/>
      <c r="AA508" s="129"/>
      <c r="AB508" s="149"/>
      <c r="AC508" s="129"/>
      <c r="AD508" s="129"/>
      <c r="AE508" s="129"/>
    </row>
    <row r="509" spans="3:31" x14ac:dyDescent="0.35">
      <c r="C509" s="129"/>
      <c r="D509" s="129"/>
      <c r="E509" s="129"/>
      <c r="F509" s="129"/>
      <c r="G509" s="129"/>
      <c r="H509" s="110"/>
      <c r="I509" s="129"/>
      <c r="J509" t="s">
        <v>351</v>
      </c>
      <c r="K509" s="129"/>
      <c r="L509" s="129"/>
      <c r="M509" s="129"/>
      <c r="N509" s="129"/>
      <c r="O509" s="129"/>
      <c r="P509" s="129"/>
      <c r="Q509" s="129"/>
      <c r="R509" s="129"/>
      <c r="S509" s="141"/>
      <c r="T509" s="139"/>
      <c r="U509" s="129"/>
      <c r="V509" s="129"/>
      <c r="W509" s="129"/>
      <c r="X509" s="129"/>
      <c r="Y509" s="129"/>
      <c r="Z509" s="115"/>
      <c r="AA509" s="129"/>
      <c r="AB509" s="149"/>
      <c r="AC509" s="129"/>
      <c r="AD509" s="129"/>
      <c r="AE509" s="129"/>
    </row>
    <row r="510" spans="3:31" x14ac:dyDescent="0.35">
      <c r="C510" s="129"/>
      <c r="D510" s="129"/>
      <c r="E510" s="129"/>
      <c r="F510" s="129"/>
      <c r="G510" s="129"/>
      <c r="H510" s="110"/>
      <c r="I510" s="129"/>
      <c r="J510" t="s">
        <v>351</v>
      </c>
      <c r="K510" s="129"/>
      <c r="L510" s="129"/>
      <c r="M510" s="129"/>
      <c r="N510" s="129"/>
      <c r="O510" s="129"/>
      <c r="P510" s="129"/>
      <c r="Q510" s="129"/>
      <c r="R510" s="129"/>
      <c r="S510" s="141"/>
      <c r="T510" s="139"/>
      <c r="U510" s="129"/>
      <c r="V510" s="129"/>
      <c r="W510" s="129"/>
      <c r="X510" s="129"/>
      <c r="Y510" s="129"/>
      <c r="Z510" s="115"/>
      <c r="AA510" s="129"/>
      <c r="AB510" s="149"/>
      <c r="AC510" s="129"/>
      <c r="AD510" s="129"/>
      <c r="AE510" s="129"/>
    </row>
    <row r="511" spans="3:31" x14ac:dyDescent="0.35">
      <c r="C511" s="129"/>
      <c r="D511" s="129"/>
      <c r="E511" s="129"/>
      <c r="F511" s="129"/>
      <c r="G511" s="129"/>
      <c r="H511" s="110"/>
      <c r="I511" s="129"/>
      <c r="J511" t="s">
        <v>351</v>
      </c>
      <c r="K511" s="129"/>
      <c r="L511" s="129"/>
      <c r="M511" s="129"/>
      <c r="N511" s="129"/>
      <c r="O511" s="129"/>
      <c r="P511" s="129"/>
      <c r="Q511" s="129"/>
      <c r="R511" s="129"/>
      <c r="S511" s="141"/>
      <c r="T511" s="139"/>
      <c r="U511" s="129"/>
      <c r="V511" s="129"/>
      <c r="W511" s="129"/>
      <c r="X511" s="129"/>
      <c r="Y511" s="129"/>
      <c r="Z511" s="115"/>
      <c r="AA511" s="129"/>
      <c r="AB511" s="149"/>
      <c r="AC511" s="129"/>
      <c r="AD511" s="129"/>
      <c r="AE511" s="129"/>
    </row>
    <row r="512" spans="3:31" x14ac:dyDescent="0.35">
      <c r="C512" s="129"/>
      <c r="D512" s="129"/>
      <c r="E512" s="129"/>
      <c r="F512" s="129"/>
      <c r="G512" s="129"/>
      <c r="H512" s="110"/>
      <c r="I512" s="129"/>
      <c r="J512" t="s">
        <v>351</v>
      </c>
      <c r="K512" s="129"/>
      <c r="L512" s="129"/>
      <c r="M512" s="129"/>
      <c r="N512" s="129"/>
      <c r="O512" s="129"/>
      <c r="P512" s="129"/>
      <c r="Q512" s="129"/>
      <c r="R512" s="129"/>
      <c r="S512" s="141"/>
      <c r="T512" s="139"/>
      <c r="U512" s="129"/>
      <c r="V512" s="129"/>
      <c r="W512" s="129"/>
      <c r="X512" s="129"/>
      <c r="Y512" s="129"/>
      <c r="Z512" s="115"/>
      <c r="AA512" s="129"/>
      <c r="AB512" s="149"/>
      <c r="AC512" s="129"/>
      <c r="AD512" s="129"/>
      <c r="AE512" s="129"/>
    </row>
    <row r="513" spans="3:31" x14ac:dyDescent="0.35">
      <c r="C513" s="129"/>
      <c r="D513" s="129"/>
      <c r="E513" s="129"/>
      <c r="F513" s="129"/>
      <c r="G513" s="129"/>
      <c r="H513" s="110"/>
      <c r="I513" s="129"/>
      <c r="J513" t="s">
        <v>351</v>
      </c>
      <c r="K513" s="129"/>
      <c r="L513" s="129"/>
      <c r="M513" s="129"/>
      <c r="N513" s="129"/>
      <c r="O513" s="129"/>
      <c r="P513" s="129"/>
      <c r="Q513" s="129"/>
      <c r="R513" s="129"/>
      <c r="S513" s="141"/>
      <c r="T513" s="139"/>
      <c r="U513" s="129"/>
      <c r="V513" s="129"/>
      <c r="W513" s="129"/>
      <c r="X513" s="129"/>
      <c r="Y513" s="129"/>
      <c r="Z513" s="115"/>
      <c r="AA513" s="129"/>
      <c r="AB513" s="149"/>
      <c r="AC513" s="129"/>
      <c r="AD513" s="129"/>
      <c r="AE513" s="129"/>
    </row>
    <row r="514" spans="3:31" x14ac:dyDescent="0.35">
      <c r="C514" s="129"/>
      <c r="D514" s="129"/>
      <c r="E514" s="129"/>
      <c r="F514" s="129"/>
      <c r="G514" s="129"/>
      <c r="H514" s="110"/>
      <c r="I514" s="129"/>
      <c r="J514" t="s">
        <v>351</v>
      </c>
      <c r="K514" s="129"/>
      <c r="L514" s="129"/>
      <c r="M514" s="129"/>
      <c r="N514" s="129"/>
      <c r="O514" s="129"/>
      <c r="P514" s="129"/>
      <c r="Q514" s="129"/>
      <c r="R514" s="129"/>
      <c r="S514" s="141"/>
      <c r="T514" s="139"/>
      <c r="U514" s="129"/>
      <c r="V514" s="129"/>
      <c r="W514" s="129"/>
      <c r="X514" s="129"/>
      <c r="Y514" s="129"/>
      <c r="Z514" s="115"/>
      <c r="AA514" s="129"/>
      <c r="AB514" s="149"/>
      <c r="AC514" s="129"/>
      <c r="AD514" s="129"/>
      <c r="AE514" s="129"/>
    </row>
    <row r="515" spans="3:31" x14ac:dyDescent="0.35">
      <c r="C515" s="129"/>
      <c r="D515" s="129"/>
      <c r="E515" s="129"/>
      <c r="F515" s="129"/>
      <c r="G515" s="129"/>
      <c r="H515" s="110"/>
      <c r="I515" s="129"/>
      <c r="J515" t="s">
        <v>351</v>
      </c>
      <c r="K515" s="129"/>
      <c r="L515" s="129"/>
      <c r="M515" s="129"/>
      <c r="N515" s="129"/>
      <c r="O515" s="129"/>
      <c r="P515" s="129"/>
      <c r="Q515" s="129"/>
      <c r="R515" s="129"/>
      <c r="S515" s="141"/>
      <c r="T515" s="139"/>
      <c r="U515" s="129"/>
      <c r="V515" s="129"/>
      <c r="W515" s="129"/>
      <c r="X515" s="129"/>
      <c r="Y515" s="129"/>
      <c r="Z515" s="115"/>
      <c r="AA515" s="129"/>
      <c r="AB515" s="149"/>
      <c r="AC515" s="129"/>
      <c r="AD515" s="129"/>
      <c r="AE515" s="129"/>
    </row>
    <row r="516" spans="3:31" x14ac:dyDescent="0.35">
      <c r="C516" s="129"/>
      <c r="D516" s="129"/>
      <c r="E516" s="129"/>
      <c r="F516" s="129"/>
      <c r="G516" s="129"/>
      <c r="H516" s="110"/>
      <c r="I516" s="129"/>
      <c r="J516" t="s">
        <v>351</v>
      </c>
      <c r="K516" s="129"/>
      <c r="L516" s="129"/>
      <c r="M516" s="129"/>
      <c r="N516" s="129"/>
      <c r="O516" s="129"/>
      <c r="P516" s="129"/>
      <c r="Q516" s="129"/>
      <c r="R516" s="129"/>
      <c r="S516" s="141"/>
      <c r="T516" s="139"/>
      <c r="U516" s="129"/>
      <c r="V516" s="129"/>
      <c r="W516" s="129"/>
      <c r="X516" s="129"/>
      <c r="Y516" s="129"/>
      <c r="Z516" s="115"/>
      <c r="AA516" s="129"/>
      <c r="AB516" s="149"/>
      <c r="AC516" s="129"/>
      <c r="AD516" s="129"/>
      <c r="AE516" s="129"/>
    </row>
    <row r="517" spans="3:31" x14ac:dyDescent="0.35">
      <c r="C517" s="129"/>
      <c r="D517" s="129"/>
      <c r="E517" s="129"/>
      <c r="F517" s="129"/>
      <c r="G517" s="129"/>
      <c r="H517" s="110"/>
      <c r="I517" s="129"/>
      <c r="J517" t="s">
        <v>351</v>
      </c>
      <c r="K517" s="129"/>
      <c r="L517" s="129"/>
      <c r="M517" s="129"/>
      <c r="N517" s="129"/>
      <c r="O517" s="129"/>
      <c r="P517" s="129"/>
      <c r="Q517" s="129"/>
      <c r="R517" s="129"/>
      <c r="S517" s="141"/>
      <c r="T517" s="139"/>
      <c r="U517" s="129"/>
      <c r="V517" s="129"/>
      <c r="W517" s="129"/>
      <c r="X517" s="129"/>
      <c r="Y517" s="129"/>
      <c r="Z517" s="115"/>
      <c r="AA517" s="129"/>
      <c r="AB517" s="149"/>
      <c r="AC517" s="129"/>
      <c r="AD517" s="129"/>
      <c r="AE517" s="129"/>
    </row>
    <row r="518" spans="3:31" x14ac:dyDescent="0.35">
      <c r="C518" s="129"/>
      <c r="D518" s="129"/>
      <c r="E518" s="129"/>
      <c r="F518" s="129"/>
      <c r="G518" s="129"/>
      <c r="H518" s="110"/>
      <c r="I518" s="129"/>
      <c r="J518" t="s">
        <v>351</v>
      </c>
      <c r="K518" s="129"/>
      <c r="L518" s="129"/>
      <c r="M518" s="129"/>
      <c r="N518" s="129"/>
      <c r="O518" s="129"/>
      <c r="P518" s="129"/>
      <c r="Q518" s="129"/>
      <c r="R518" s="129"/>
      <c r="S518" s="141"/>
      <c r="T518" s="139"/>
      <c r="U518" s="129"/>
      <c r="V518" s="129"/>
      <c r="W518" s="129"/>
      <c r="X518" s="129"/>
      <c r="Y518" s="129"/>
      <c r="Z518" s="115"/>
      <c r="AA518" s="129"/>
      <c r="AB518" s="149"/>
      <c r="AC518" s="129"/>
      <c r="AD518" s="129"/>
      <c r="AE518" s="129"/>
    </row>
    <row r="519" spans="3:31" x14ac:dyDescent="0.35">
      <c r="C519" s="129"/>
      <c r="D519" s="129"/>
      <c r="E519" s="129"/>
      <c r="F519" s="129"/>
      <c r="G519" s="129"/>
      <c r="H519" s="110"/>
      <c r="I519" s="129"/>
      <c r="J519" t="s">
        <v>351</v>
      </c>
      <c r="K519" s="129"/>
      <c r="L519" s="129"/>
      <c r="M519" s="129"/>
      <c r="N519" s="129"/>
      <c r="O519" s="129"/>
      <c r="P519" s="129"/>
      <c r="Q519" s="129"/>
      <c r="R519" s="129"/>
      <c r="S519" s="141"/>
      <c r="T519" s="139"/>
      <c r="U519" s="129"/>
      <c r="V519" s="129"/>
      <c r="W519" s="129"/>
      <c r="X519" s="129"/>
      <c r="Y519" s="129"/>
      <c r="Z519" s="115"/>
      <c r="AA519" s="129"/>
      <c r="AB519" s="149"/>
      <c r="AC519" s="129"/>
      <c r="AD519" s="129"/>
      <c r="AE519" s="129"/>
    </row>
    <row r="520" spans="3:31" x14ac:dyDescent="0.35">
      <c r="C520" s="129"/>
      <c r="D520" s="129"/>
      <c r="E520" s="129"/>
      <c r="F520" s="129"/>
      <c r="G520" s="129"/>
      <c r="H520" s="110"/>
      <c r="I520" s="129"/>
      <c r="J520" t="s">
        <v>351</v>
      </c>
      <c r="K520" s="129"/>
      <c r="L520" s="129"/>
      <c r="M520" s="129"/>
      <c r="N520" s="129"/>
      <c r="O520" s="129"/>
      <c r="P520" s="129"/>
      <c r="Q520" s="129"/>
      <c r="R520" s="129"/>
      <c r="S520" s="141"/>
      <c r="T520" s="139"/>
      <c r="U520" s="129"/>
      <c r="V520" s="129"/>
      <c r="W520" s="129"/>
      <c r="X520" s="129"/>
      <c r="Y520" s="129"/>
      <c r="Z520" s="115"/>
      <c r="AA520" s="129"/>
      <c r="AB520" s="149"/>
      <c r="AC520" s="129"/>
      <c r="AD520" s="129"/>
      <c r="AE520" s="129"/>
    </row>
    <row r="521" spans="3:31" x14ac:dyDescent="0.35">
      <c r="C521" s="129"/>
      <c r="D521" s="129"/>
      <c r="E521" s="129"/>
      <c r="F521" s="129"/>
      <c r="G521" s="129"/>
      <c r="H521" s="110"/>
      <c r="I521" s="129"/>
      <c r="J521" t="s">
        <v>351</v>
      </c>
      <c r="K521" s="129"/>
      <c r="L521" s="129"/>
      <c r="M521" s="129"/>
      <c r="N521" s="129"/>
      <c r="O521" s="129"/>
      <c r="P521" s="129"/>
      <c r="Q521" s="129"/>
      <c r="R521" s="129"/>
      <c r="S521" s="141"/>
      <c r="T521" s="139"/>
      <c r="U521" s="129"/>
      <c r="V521" s="129"/>
      <c r="W521" s="129"/>
      <c r="X521" s="129"/>
      <c r="Y521" s="129"/>
      <c r="Z521" s="115"/>
      <c r="AA521" s="129"/>
      <c r="AB521" s="149"/>
      <c r="AC521" s="129"/>
      <c r="AD521" s="129"/>
      <c r="AE521" s="129"/>
    </row>
    <row r="522" spans="3:31" x14ac:dyDescent="0.35">
      <c r="C522" s="129"/>
      <c r="D522" s="129"/>
      <c r="E522" s="129"/>
      <c r="F522" s="129"/>
      <c r="G522" s="129"/>
      <c r="H522" s="110"/>
      <c r="I522" s="129"/>
      <c r="J522" t="s">
        <v>351</v>
      </c>
      <c r="K522" s="129"/>
      <c r="L522" s="129"/>
      <c r="M522" s="129"/>
      <c r="N522" s="129"/>
      <c r="O522" s="129"/>
      <c r="P522" s="129"/>
      <c r="Q522" s="129"/>
      <c r="R522" s="129"/>
      <c r="S522" s="141"/>
      <c r="T522" s="139"/>
      <c r="U522" s="129"/>
      <c r="V522" s="129"/>
      <c r="W522" s="129"/>
      <c r="X522" s="129"/>
      <c r="Y522" s="129"/>
      <c r="Z522" s="115"/>
      <c r="AA522" s="129"/>
      <c r="AB522" s="149"/>
      <c r="AC522" s="129"/>
      <c r="AD522" s="129"/>
      <c r="AE522" s="129"/>
    </row>
    <row r="523" spans="3:31" x14ac:dyDescent="0.35">
      <c r="C523" s="129"/>
      <c r="D523" s="129"/>
      <c r="E523" s="129"/>
      <c r="F523" s="129"/>
      <c r="G523" s="129"/>
      <c r="H523" s="110"/>
      <c r="I523" s="129"/>
      <c r="J523" t="s">
        <v>351</v>
      </c>
      <c r="K523" s="129"/>
      <c r="L523" s="129"/>
      <c r="M523" s="129"/>
      <c r="N523" s="129"/>
      <c r="O523" s="129"/>
      <c r="P523" s="129"/>
      <c r="Q523" s="129"/>
      <c r="R523" s="129"/>
      <c r="S523" s="141"/>
      <c r="T523" s="139"/>
      <c r="U523" s="129"/>
      <c r="V523" s="129"/>
      <c r="W523" s="129"/>
      <c r="X523" s="129"/>
      <c r="Y523" s="129"/>
      <c r="Z523" s="115"/>
      <c r="AA523" s="129"/>
      <c r="AB523" s="149"/>
      <c r="AC523" s="129"/>
      <c r="AD523" s="129"/>
      <c r="AE523" s="129"/>
    </row>
    <row r="524" spans="3:31" x14ac:dyDescent="0.35">
      <c r="C524" s="129"/>
      <c r="D524" s="129"/>
      <c r="E524" s="129"/>
      <c r="F524" s="129"/>
      <c r="G524" s="129"/>
      <c r="H524" s="110"/>
      <c r="I524" s="129"/>
      <c r="J524" t="s">
        <v>351</v>
      </c>
      <c r="K524" s="129"/>
      <c r="L524" s="129"/>
      <c r="M524" s="129"/>
      <c r="N524" s="129"/>
      <c r="O524" s="129"/>
      <c r="P524" s="129"/>
      <c r="Q524" s="129"/>
      <c r="R524" s="129"/>
      <c r="S524" s="141"/>
      <c r="T524" s="139"/>
      <c r="U524" s="129"/>
      <c r="V524" s="129"/>
      <c r="W524" s="129"/>
      <c r="X524" s="129"/>
      <c r="Y524" s="129"/>
      <c r="Z524" s="115"/>
      <c r="AA524" s="129"/>
      <c r="AB524" s="149"/>
      <c r="AC524" s="129"/>
      <c r="AD524" s="129"/>
      <c r="AE524" s="129"/>
    </row>
    <row r="525" spans="3:31" x14ac:dyDescent="0.35">
      <c r="C525" s="129"/>
      <c r="D525" s="129"/>
      <c r="E525" s="129"/>
      <c r="F525" s="129"/>
      <c r="G525" s="129"/>
      <c r="H525" s="110"/>
      <c r="I525" s="129"/>
      <c r="J525" t="s">
        <v>351</v>
      </c>
      <c r="K525" s="129"/>
      <c r="L525" s="129"/>
      <c r="M525" s="129"/>
      <c r="N525" s="129"/>
      <c r="O525" s="129"/>
      <c r="P525" s="129"/>
      <c r="Q525" s="129"/>
      <c r="R525" s="129"/>
      <c r="S525" s="141"/>
      <c r="T525" s="139"/>
      <c r="U525" s="129"/>
      <c r="V525" s="129"/>
      <c r="W525" s="129"/>
      <c r="X525" s="129"/>
      <c r="Y525" s="129"/>
      <c r="Z525" s="115"/>
      <c r="AA525" s="129"/>
      <c r="AB525" s="149"/>
      <c r="AC525" s="129"/>
      <c r="AD525" s="129"/>
      <c r="AE525" s="129"/>
    </row>
    <row r="526" spans="3:31" x14ac:dyDescent="0.35">
      <c r="C526" s="129"/>
      <c r="D526" s="129"/>
      <c r="E526" s="129"/>
      <c r="F526" s="129"/>
      <c r="G526" s="129"/>
      <c r="H526" s="110"/>
      <c r="I526" s="129"/>
      <c r="J526" t="s">
        <v>351</v>
      </c>
      <c r="K526" s="129"/>
      <c r="L526" s="129"/>
      <c r="M526" s="129"/>
      <c r="N526" s="129"/>
      <c r="O526" s="129"/>
      <c r="P526" s="129"/>
      <c r="Q526" s="129"/>
      <c r="R526" s="129"/>
      <c r="S526" s="141"/>
      <c r="T526" s="139"/>
      <c r="U526" s="129"/>
      <c r="V526" s="129"/>
      <c r="W526" s="129"/>
      <c r="X526" s="129"/>
      <c r="Y526" s="129"/>
      <c r="Z526" s="115"/>
      <c r="AA526" s="129"/>
      <c r="AB526" s="149"/>
      <c r="AC526" s="129"/>
      <c r="AD526" s="129"/>
      <c r="AE526" s="129"/>
    </row>
    <row r="527" spans="3:31" x14ac:dyDescent="0.35">
      <c r="C527" s="129"/>
      <c r="D527" s="129"/>
      <c r="E527" s="129"/>
      <c r="F527" s="129"/>
      <c r="G527" s="129"/>
      <c r="H527" s="110"/>
      <c r="I527" s="129"/>
      <c r="J527" t="s">
        <v>351</v>
      </c>
      <c r="K527" s="129"/>
      <c r="L527" s="129"/>
      <c r="M527" s="129"/>
      <c r="N527" s="129"/>
      <c r="O527" s="129"/>
      <c r="P527" s="129"/>
      <c r="Q527" s="129"/>
      <c r="R527" s="129"/>
      <c r="S527" s="141"/>
      <c r="T527" s="139"/>
      <c r="U527" s="129"/>
      <c r="V527" s="129"/>
      <c r="W527" s="129"/>
      <c r="X527" s="129"/>
      <c r="Y527" s="129"/>
      <c r="Z527" s="115"/>
      <c r="AA527" s="129"/>
      <c r="AB527" s="149"/>
      <c r="AC527" s="129"/>
      <c r="AD527" s="129"/>
      <c r="AE527" s="129"/>
    </row>
    <row r="528" spans="3:31" x14ac:dyDescent="0.35">
      <c r="C528" s="129"/>
      <c r="D528" s="129"/>
      <c r="E528" s="129"/>
      <c r="F528" s="129"/>
      <c r="G528" s="129"/>
      <c r="H528" s="110"/>
      <c r="I528" s="129"/>
      <c r="J528" t="s">
        <v>351</v>
      </c>
      <c r="K528" s="129"/>
      <c r="L528" s="129"/>
      <c r="M528" s="129"/>
      <c r="N528" s="129"/>
      <c r="O528" s="129"/>
      <c r="P528" s="129"/>
      <c r="Q528" s="129"/>
      <c r="R528" s="129"/>
      <c r="S528" s="141"/>
      <c r="T528" s="139"/>
      <c r="U528" s="129"/>
      <c r="V528" s="129"/>
      <c r="W528" s="129"/>
      <c r="X528" s="129"/>
      <c r="Y528" s="129"/>
      <c r="Z528" s="115"/>
      <c r="AA528" s="129"/>
      <c r="AB528" s="149"/>
      <c r="AC528" s="129"/>
      <c r="AD528" s="129"/>
      <c r="AE528" s="129"/>
    </row>
    <row r="529" spans="3:31" x14ac:dyDescent="0.35">
      <c r="C529" s="129"/>
      <c r="D529" s="129"/>
      <c r="E529" s="129"/>
      <c r="F529" s="129"/>
      <c r="G529" s="129"/>
      <c r="H529" s="110"/>
      <c r="I529" s="129"/>
      <c r="J529" t="s">
        <v>351</v>
      </c>
      <c r="K529" s="129"/>
      <c r="L529" s="129"/>
      <c r="M529" s="129"/>
      <c r="N529" s="129"/>
      <c r="O529" s="129"/>
      <c r="P529" s="129"/>
      <c r="Q529" s="129"/>
      <c r="R529" s="129"/>
      <c r="S529" s="141"/>
      <c r="T529" s="139"/>
      <c r="U529" s="129"/>
      <c r="V529" s="129"/>
      <c r="W529" s="129"/>
      <c r="X529" s="129"/>
      <c r="Y529" s="129"/>
      <c r="Z529" s="115"/>
      <c r="AA529" s="129"/>
      <c r="AB529" s="149"/>
      <c r="AC529" s="129"/>
      <c r="AD529" s="129"/>
      <c r="AE529" s="129"/>
    </row>
    <row r="530" spans="3:31" x14ac:dyDescent="0.35">
      <c r="C530" s="129"/>
      <c r="D530" s="129"/>
      <c r="E530" s="129"/>
      <c r="F530" s="129"/>
      <c r="G530" s="129"/>
      <c r="H530" s="110"/>
      <c r="I530" s="129"/>
      <c r="J530" t="s">
        <v>351</v>
      </c>
      <c r="K530" s="129"/>
      <c r="L530" s="129"/>
      <c r="M530" s="129"/>
      <c r="N530" s="129"/>
      <c r="O530" s="129"/>
      <c r="P530" s="129"/>
      <c r="Q530" s="129"/>
      <c r="R530" s="129"/>
      <c r="S530" s="141"/>
      <c r="T530" s="139"/>
      <c r="U530" s="129"/>
      <c r="V530" s="129"/>
      <c r="W530" s="129"/>
      <c r="X530" s="129"/>
      <c r="Y530" s="129"/>
      <c r="Z530" s="115"/>
      <c r="AA530" s="129"/>
      <c r="AB530" s="149"/>
      <c r="AC530" s="129"/>
      <c r="AD530" s="129"/>
      <c r="AE530" s="129"/>
    </row>
    <row r="531" spans="3:31" x14ac:dyDescent="0.35">
      <c r="C531" s="129"/>
      <c r="D531" s="129"/>
      <c r="E531" s="129"/>
      <c r="F531" s="129"/>
      <c r="G531" s="129"/>
      <c r="H531" s="110"/>
      <c r="I531" s="129"/>
      <c r="J531" t="s">
        <v>351</v>
      </c>
      <c r="K531" s="129"/>
      <c r="L531" s="129"/>
      <c r="M531" s="129"/>
      <c r="N531" s="129"/>
      <c r="O531" s="129"/>
      <c r="P531" s="129"/>
      <c r="Q531" s="129"/>
      <c r="R531" s="129"/>
      <c r="S531" s="141"/>
      <c r="T531" s="139"/>
      <c r="U531" s="129"/>
      <c r="V531" s="129"/>
      <c r="W531" s="129"/>
      <c r="X531" s="129"/>
      <c r="Y531" s="129"/>
      <c r="Z531" s="115"/>
      <c r="AA531" s="129"/>
      <c r="AB531" s="149"/>
      <c r="AC531" s="129"/>
      <c r="AD531" s="129"/>
      <c r="AE531" s="129"/>
    </row>
    <row r="532" spans="3:31" x14ac:dyDescent="0.35">
      <c r="C532" s="129"/>
      <c r="D532" s="129"/>
      <c r="E532" s="129"/>
      <c r="F532" s="129"/>
      <c r="G532" s="129"/>
      <c r="H532" s="110"/>
      <c r="I532" s="129"/>
      <c r="J532" t="s">
        <v>351</v>
      </c>
      <c r="K532" s="129"/>
      <c r="L532" s="129"/>
      <c r="M532" s="129"/>
      <c r="N532" s="129"/>
      <c r="O532" s="129"/>
      <c r="P532" s="129"/>
      <c r="Q532" s="129"/>
      <c r="R532" s="129"/>
      <c r="S532" s="141"/>
      <c r="T532" s="139"/>
      <c r="U532" s="129"/>
      <c r="V532" s="129"/>
      <c r="W532" s="129"/>
      <c r="X532" s="129"/>
      <c r="Y532" s="129"/>
      <c r="Z532" s="115"/>
      <c r="AA532" s="129"/>
      <c r="AB532" s="149"/>
      <c r="AC532" s="129"/>
      <c r="AD532" s="129"/>
      <c r="AE532" s="129"/>
    </row>
    <row r="533" spans="3:31" x14ac:dyDescent="0.35">
      <c r="C533" s="129"/>
      <c r="D533" s="129"/>
      <c r="E533" s="129"/>
      <c r="F533" s="129"/>
      <c r="G533" s="129"/>
      <c r="H533" s="110"/>
      <c r="I533" s="129"/>
      <c r="J533" t="s">
        <v>351</v>
      </c>
      <c r="K533" s="129"/>
      <c r="L533" s="129"/>
      <c r="M533" s="129"/>
      <c r="N533" s="129"/>
      <c r="O533" s="129"/>
      <c r="P533" s="129"/>
      <c r="Q533" s="129"/>
      <c r="R533" s="129"/>
      <c r="S533" s="141"/>
      <c r="T533" s="139"/>
      <c r="U533" s="129"/>
      <c r="V533" s="129"/>
      <c r="W533" s="129"/>
      <c r="X533" s="129"/>
      <c r="Y533" s="129"/>
      <c r="Z533" s="115"/>
      <c r="AA533" s="129"/>
      <c r="AB533" s="149"/>
      <c r="AC533" s="129"/>
      <c r="AD533" s="129"/>
      <c r="AE533" s="129"/>
    </row>
    <row r="534" spans="3:31" x14ac:dyDescent="0.35">
      <c r="C534" s="129"/>
      <c r="D534" s="129"/>
      <c r="E534" s="129"/>
      <c r="F534" s="129"/>
      <c r="G534" s="129"/>
      <c r="H534" s="110"/>
      <c r="I534" s="129"/>
      <c r="J534" t="s">
        <v>351</v>
      </c>
      <c r="K534" s="129"/>
      <c r="L534" s="129"/>
      <c r="M534" s="129"/>
      <c r="N534" s="129"/>
      <c r="O534" s="129"/>
      <c r="P534" s="129"/>
      <c r="Q534" s="129"/>
      <c r="R534" s="129"/>
      <c r="S534" s="141"/>
      <c r="T534" s="139"/>
      <c r="U534" s="129"/>
      <c r="V534" s="129"/>
      <c r="W534" s="129"/>
      <c r="X534" s="129"/>
      <c r="Y534" s="129"/>
      <c r="Z534" s="115"/>
      <c r="AA534" s="129"/>
      <c r="AB534" s="149"/>
      <c r="AC534" s="129"/>
      <c r="AD534" s="129"/>
      <c r="AE534" s="129"/>
    </row>
    <row r="535" spans="3:31" x14ac:dyDescent="0.35">
      <c r="C535" s="129"/>
      <c r="D535" s="129"/>
      <c r="E535" s="129"/>
      <c r="F535" s="129"/>
      <c r="G535" s="129"/>
      <c r="H535" s="110"/>
      <c r="I535" s="129"/>
      <c r="J535" t="s">
        <v>351</v>
      </c>
      <c r="K535" s="129"/>
      <c r="L535" s="129"/>
      <c r="M535" s="129"/>
      <c r="N535" s="129"/>
      <c r="O535" s="129"/>
      <c r="P535" s="129"/>
      <c r="Q535" s="129"/>
      <c r="R535" s="129"/>
      <c r="S535" s="141"/>
      <c r="T535" s="139"/>
      <c r="U535" s="129"/>
      <c r="V535" s="129"/>
      <c r="W535" s="129"/>
      <c r="X535" s="129"/>
      <c r="Y535" s="129"/>
      <c r="Z535" s="115"/>
      <c r="AA535" s="129"/>
      <c r="AB535" s="149"/>
      <c r="AC535" s="129"/>
      <c r="AD535" s="129"/>
      <c r="AE535" s="129"/>
    </row>
    <row r="536" spans="3:31" x14ac:dyDescent="0.35">
      <c r="C536" s="129"/>
      <c r="D536" s="129"/>
      <c r="E536" s="129"/>
      <c r="F536" s="129"/>
      <c r="G536" s="129"/>
      <c r="H536" s="110"/>
      <c r="I536" s="129"/>
      <c r="J536" t="s">
        <v>351</v>
      </c>
      <c r="K536" s="129"/>
      <c r="L536" s="129"/>
      <c r="M536" s="129"/>
      <c r="N536" s="129"/>
      <c r="O536" s="129"/>
      <c r="P536" s="129"/>
      <c r="Q536" s="129"/>
      <c r="R536" s="129"/>
      <c r="S536" s="141"/>
      <c r="T536" s="139"/>
      <c r="U536" s="129"/>
      <c r="V536" s="129"/>
      <c r="W536" s="129"/>
      <c r="X536" s="129"/>
      <c r="Y536" s="129"/>
      <c r="Z536" s="115"/>
      <c r="AA536" s="129"/>
      <c r="AB536" s="149"/>
      <c r="AC536" s="129"/>
      <c r="AD536" s="129"/>
      <c r="AE536" s="129"/>
    </row>
    <row r="537" spans="3:31" x14ac:dyDescent="0.35">
      <c r="C537" s="129"/>
      <c r="D537" s="129"/>
      <c r="E537" s="129"/>
      <c r="F537" s="129"/>
      <c r="G537" s="129"/>
      <c r="H537" s="110"/>
      <c r="I537" s="129"/>
      <c r="J537" t="s">
        <v>351</v>
      </c>
      <c r="K537" s="129"/>
      <c r="L537" s="129"/>
      <c r="M537" s="129"/>
      <c r="N537" s="129"/>
      <c r="O537" s="129"/>
      <c r="P537" s="129"/>
      <c r="Q537" s="129"/>
      <c r="R537" s="129"/>
      <c r="S537" s="141"/>
      <c r="T537" s="139"/>
      <c r="U537" s="129"/>
      <c r="V537" s="129"/>
      <c r="W537" s="129"/>
      <c r="X537" s="129"/>
      <c r="Y537" s="129"/>
      <c r="Z537" s="115"/>
      <c r="AA537" s="129"/>
      <c r="AB537" s="149"/>
      <c r="AC537" s="129"/>
      <c r="AD537" s="129"/>
      <c r="AE537" s="129"/>
    </row>
    <row r="538" spans="3:31" x14ac:dyDescent="0.35">
      <c r="C538" s="129"/>
      <c r="D538" s="129"/>
      <c r="E538" s="129"/>
      <c r="F538" s="129"/>
      <c r="G538" s="129"/>
      <c r="H538" s="110"/>
      <c r="I538" s="129"/>
      <c r="J538" t="s">
        <v>351</v>
      </c>
      <c r="K538" s="129"/>
      <c r="L538" s="129"/>
      <c r="M538" s="129"/>
      <c r="N538" s="129"/>
      <c r="O538" s="129"/>
      <c r="P538" s="129"/>
      <c r="Q538" s="129"/>
      <c r="R538" s="129"/>
      <c r="S538" s="141"/>
      <c r="T538" s="139"/>
      <c r="U538" s="129"/>
      <c r="V538" s="129"/>
      <c r="W538" s="129"/>
      <c r="X538" s="129"/>
      <c r="Y538" s="129"/>
      <c r="Z538" s="115"/>
      <c r="AA538" s="129"/>
      <c r="AB538" s="149"/>
      <c r="AC538" s="129"/>
      <c r="AD538" s="129"/>
      <c r="AE538" s="129"/>
    </row>
    <row r="539" spans="3:31" x14ac:dyDescent="0.35">
      <c r="C539" s="129"/>
      <c r="D539" s="129"/>
      <c r="E539" s="129"/>
      <c r="F539" s="129"/>
      <c r="G539" s="129"/>
      <c r="H539" s="110"/>
      <c r="I539" s="129"/>
      <c r="J539" t="s">
        <v>351</v>
      </c>
      <c r="K539" s="129"/>
      <c r="L539" s="129"/>
      <c r="M539" s="129"/>
      <c r="N539" s="129"/>
      <c r="O539" s="129"/>
      <c r="P539" s="129"/>
      <c r="Q539" s="129"/>
      <c r="R539" s="129"/>
      <c r="S539" s="141"/>
      <c r="T539" s="139"/>
      <c r="U539" s="129"/>
      <c r="V539" s="129"/>
      <c r="W539" s="129"/>
      <c r="X539" s="129"/>
      <c r="Y539" s="129"/>
      <c r="Z539" s="115"/>
      <c r="AA539" s="129"/>
      <c r="AB539" s="149"/>
      <c r="AC539" s="129"/>
      <c r="AD539" s="129"/>
      <c r="AE539" s="129"/>
    </row>
    <row r="540" spans="3:31" x14ac:dyDescent="0.35">
      <c r="C540" s="129"/>
      <c r="D540" s="129"/>
      <c r="E540" s="129"/>
      <c r="F540" s="129"/>
      <c r="G540" s="129"/>
      <c r="H540" s="110"/>
      <c r="I540" s="129"/>
      <c r="J540" t="s">
        <v>351</v>
      </c>
      <c r="K540" s="129"/>
      <c r="L540" s="129"/>
      <c r="M540" s="129"/>
      <c r="N540" s="129"/>
      <c r="O540" s="129"/>
      <c r="P540" s="129"/>
      <c r="Q540" s="129"/>
      <c r="R540" s="129"/>
      <c r="S540" s="141"/>
      <c r="T540" s="139"/>
      <c r="U540" s="129"/>
      <c r="V540" s="129"/>
      <c r="W540" s="129"/>
      <c r="X540" s="129"/>
      <c r="Y540" s="129"/>
      <c r="Z540" s="115"/>
      <c r="AA540" s="129"/>
      <c r="AB540" s="149"/>
      <c r="AC540" s="129"/>
      <c r="AD540" s="129"/>
      <c r="AE540" s="129"/>
    </row>
    <row r="541" spans="3:31" x14ac:dyDescent="0.35">
      <c r="C541" s="129"/>
      <c r="D541" s="129"/>
      <c r="E541" s="129"/>
      <c r="F541" s="129"/>
      <c r="G541" s="129"/>
      <c r="H541" s="110"/>
      <c r="I541" s="129"/>
      <c r="J541" t="s">
        <v>351</v>
      </c>
      <c r="K541" s="129"/>
      <c r="L541" s="129"/>
      <c r="M541" s="129"/>
      <c r="N541" s="129"/>
      <c r="O541" s="129"/>
      <c r="P541" s="129"/>
      <c r="Q541" s="129"/>
      <c r="R541" s="129"/>
      <c r="S541" s="141"/>
      <c r="T541" s="139"/>
      <c r="U541" s="129"/>
      <c r="V541" s="129"/>
      <c r="W541" s="129"/>
      <c r="X541" s="129"/>
      <c r="Y541" s="129"/>
      <c r="Z541" s="115"/>
      <c r="AA541" s="129"/>
      <c r="AB541" s="149"/>
      <c r="AC541" s="129"/>
      <c r="AD541" s="129"/>
      <c r="AE541" s="129"/>
    </row>
    <row r="542" spans="3:31" x14ac:dyDescent="0.35">
      <c r="C542" s="129"/>
      <c r="D542" s="129"/>
      <c r="E542" s="129"/>
      <c r="F542" s="129"/>
      <c r="G542" s="129"/>
      <c r="H542" s="110"/>
      <c r="I542" s="129"/>
      <c r="J542" t="s">
        <v>351</v>
      </c>
      <c r="K542" s="129"/>
      <c r="L542" s="129"/>
      <c r="M542" s="129"/>
      <c r="N542" s="129"/>
      <c r="O542" s="129"/>
      <c r="P542" s="129"/>
      <c r="Q542" s="129"/>
      <c r="R542" s="129"/>
      <c r="S542" s="141"/>
      <c r="T542" s="139"/>
      <c r="U542" s="129"/>
      <c r="V542" s="129"/>
      <c r="W542" s="129"/>
      <c r="X542" s="129"/>
      <c r="Y542" s="129"/>
      <c r="Z542" s="115"/>
      <c r="AA542" s="129"/>
      <c r="AB542" s="149"/>
      <c r="AC542" s="129"/>
      <c r="AD542" s="129"/>
      <c r="AE542" s="129"/>
    </row>
    <row r="543" spans="3:31" x14ac:dyDescent="0.35">
      <c r="C543" s="129"/>
      <c r="D543" s="129"/>
      <c r="E543" s="129"/>
      <c r="F543" s="129"/>
      <c r="G543" s="129"/>
      <c r="H543" s="110"/>
      <c r="I543" s="129"/>
      <c r="J543" t="s">
        <v>351</v>
      </c>
      <c r="K543" s="129"/>
      <c r="L543" s="129"/>
      <c r="M543" s="129"/>
      <c r="N543" s="129"/>
      <c r="O543" s="129"/>
      <c r="P543" s="129"/>
      <c r="Q543" s="129"/>
      <c r="R543" s="129"/>
      <c r="S543" s="141"/>
      <c r="T543" s="139"/>
      <c r="U543" s="129"/>
      <c r="V543" s="129"/>
      <c r="W543" s="129"/>
      <c r="X543" s="129"/>
      <c r="Y543" s="129"/>
      <c r="Z543" s="115"/>
      <c r="AA543" s="129"/>
      <c r="AB543" s="149"/>
      <c r="AC543" s="129"/>
      <c r="AD543" s="129"/>
      <c r="AE543" s="129"/>
    </row>
    <row r="544" spans="3:31" x14ac:dyDescent="0.35">
      <c r="C544" s="129"/>
      <c r="D544" s="129"/>
      <c r="E544" s="129"/>
      <c r="F544" s="129"/>
      <c r="G544" s="129"/>
      <c r="H544" s="110"/>
      <c r="I544" s="129"/>
      <c r="J544" t="s">
        <v>351</v>
      </c>
      <c r="K544" s="129"/>
      <c r="L544" s="129"/>
      <c r="M544" s="129"/>
      <c r="N544" s="129"/>
      <c r="O544" s="129"/>
      <c r="P544" s="129"/>
      <c r="Q544" s="129"/>
      <c r="R544" s="129"/>
      <c r="S544" s="141"/>
      <c r="T544" s="139"/>
      <c r="U544" s="129"/>
      <c r="V544" s="129"/>
      <c r="W544" s="129"/>
      <c r="X544" s="129"/>
      <c r="Y544" s="129"/>
      <c r="Z544" s="115"/>
      <c r="AA544" s="129"/>
      <c r="AB544" s="149"/>
      <c r="AC544" s="129"/>
      <c r="AD544" s="129"/>
      <c r="AE544" s="129"/>
    </row>
    <row r="545" spans="3:31" x14ac:dyDescent="0.35">
      <c r="C545" s="129"/>
      <c r="D545" s="129"/>
      <c r="E545" s="129"/>
      <c r="F545" s="129"/>
      <c r="G545" s="129"/>
      <c r="H545" s="110"/>
      <c r="I545" s="129"/>
      <c r="J545" t="s">
        <v>351</v>
      </c>
      <c r="K545" s="129"/>
      <c r="L545" s="129"/>
      <c r="M545" s="129"/>
      <c r="N545" s="129"/>
      <c r="O545" s="129"/>
      <c r="P545" s="129"/>
      <c r="Q545" s="129"/>
      <c r="R545" s="129"/>
      <c r="S545" s="141"/>
      <c r="T545" s="139"/>
      <c r="U545" s="129"/>
      <c r="V545" s="129"/>
      <c r="W545" s="129"/>
      <c r="X545" s="129"/>
      <c r="Y545" s="129"/>
      <c r="Z545" s="115"/>
      <c r="AA545" s="129"/>
      <c r="AB545" s="149"/>
      <c r="AC545" s="129"/>
      <c r="AD545" s="129"/>
      <c r="AE545" s="129"/>
    </row>
    <row r="546" spans="3:31" x14ac:dyDescent="0.35">
      <c r="C546" s="129"/>
      <c r="D546" s="129"/>
      <c r="E546" s="129"/>
      <c r="F546" s="129"/>
      <c r="G546" s="129"/>
      <c r="H546" s="110"/>
      <c r="I546" s="129"/>
      <c r="J546" t="s">
        <v>351</v>
      </c>
      <c r="K546" s="129"/>
      <c r="L546" s="129"/>
      <c r="M546" s="129"/>
      <c r="N546" s="129"/>
      <c r="O546" s="129"/>
      <c r="P546" s="129"/>
      <c r="Q546" s="129"/>
      <c r="R546" s="129"/>
      <c r="S546" s="141"/>
      <c r="T546" s="139"/>
      <c r="U546" s="129"/>
      <c r="V546" s="129"/>
      <c r="W546" s="129"/>
      <c r="X546" s="129"/>
      <c r="Y546" s="129"/>
      <c r="Z546" s="115"/>
      <c r="AA546" s="129"/>
      <c r="AB546" s="149"/>
      <c r="AC546" s="129"/>
      <c r="AD546" s="129"/>
      <c r="AE546" s="129"/>
    </row>
    <row r="547" spans="3:31" x14ac:dyDescent="0.35">
      <c r="C547" s="129"/>
      <c r="D547" s="129"/>
      <c r="E547" s="129"/>
      <c r="F547" s="129"/>
      <c r="G547" s="129"/>
      <c r="H547" s="110"/>
      <c r="I547" s="129"/>
      <c r="J547" t="s">
        <v>351</v>
      </c>
      <c r="K547" s="129"/>
      <c r="L547" s="129"/>
      <c r="M547" s="129"/>
      <c r="N547" s="129"/>
      <c r="O547" s="129"/>
      <c r="P547" s="129"/>
      <c r="Q547" s="129"/>
      <c r="R547" s="129"/>
      <c r="S547" s="141"/>
      <c r="T547" s="139"/>
      <c r="U547" s="129"/>
      <c r="V547" s="129"/>
      <c r="W547" s="129"/>
      <c r="X547" s="129"/>
      <c r="Y547" s="129"/>
      <c r="Z547" s="115"/>
      <c r="AA547" s="129"/>
      <c r="AB547" s="149"/>
      <c r="AC547" s="129"/>
      <c r="AD547" s="129"/>
      <c r="AE547" s="129"/>
    </row>
    <row r="548" spans="3:31" x14ac:dyDescent="0.35">
      <c r="C548" s="129"/>
      <c r="D548" s="129"/>
      <c r="E548" s="129"/>
      <c r="F548" s="129"/>
      <c r="G548" s="129"/>
      <c r="H548" s="110"/>
      <c r="I548" s="129"/>
      <c r="J548" t="s">
        <v>351</v>
      </c>
      <c r="K548" s="129"/>
      <c r="L548" s="129"/>
      <c r="M548" s="129"/>
      <c r="N548" s="129"/>
      <c r="O548" s="129"/>
      <c r="P548" s="129"/>
      <c r="Q548" s="129"/>
      <c r="R548" s="129"/>
      <c r="S548" s="141"/>
      <c r="T548" s="139"/>
      <c r="U548" s="129"/>
      <c r="V548" s="129"/>
      <c r="W548" s="129"/>
      <c r="X548" s="129"/>
      <c r="Y548" s="129"/>
      <c r="Z548" s="115"/>
      <c r="AA548" s="129"/>
      <c r="AB548" s="149"/>
      <c r="AC548" s="129"/>
      <c r="AD548" s="129"/>
      <c r="AE548" s="129"/>
    </row>
    <row r="549" spans="3:31" x14ac:dyDescent="0.35">
      <c r="C549" s="129"/>
      <c r="D549" s="129"/>
      <c r="E549" s="129"/>
      <c r="F549" s="129"/>
      <c r="G549" s="129"/>
      <c r="H549" s="110"/>
      <c r="I549" s="129"/>
      <c r="J549" t="s">
        <v>351</v>
      </c>
      <c r="K549" s="129"/>
      <c r="L549" s="129"/>
      <c r="M549" s="129"/>
      <c r="N549" s="129"/>
      <c r="O549" s="129"/>
      <c r="P549" s="129"/>
      <c r="Q549" s="129"/>
      <c r="R549" s="129"/>
      <c r="S549" s="141"/>
      <c r="T549" s="139"/>
      <c r="U549" s="129"/>
      <c r="V549" s="129"/>
      <c r="W549" s="129"/>
      <c r="X549" s="129"/>
      <c r="Y549" s="129"/>
      <c r="Z549" s="115"/>
      <c r="AA549" s="129"/>
      <c r="AB549" s="149"/>
      <c r="AC549" s="129"/>
      <c r="AD549" s="129"/>
      <c r="AE549" s="129"/>
    </row>
    <row r="550" spans="3:31" x14ac:dyDescent="0.35">
      <c r="C550" s="129"/>
      <c r="D550" s="129"/>
      <c r="E550" s="129"/>
      <c r="F550" s="129"/>
      <c r="G550" s="129"/>
      <c r="H550" s="110"/>
      <c r="I550" s="129"/>
      <c r="J550" t="s">
        <v>351</v>
      </c>
      <c r="K550" s="129"/>
      <c r="L550" s="129"/>
      <c r="M550" s="129"/>
      <c r="N550" s="129"/>
      <c r="O550" s="129"/>
      <c r="P550" s="129"/>
      <c r="Q550" s="129"/>
      <c r="R550" s="129"/>
      <c r="S550" s="141"/>
      <c r="T550" s="139"/>
      <c r="U550" s="129"/>
      <c r="V550" s="129"/>
      <c r="W550" s="129"/>
      <c r="X550" s="129"/>
      <c r="Y550" s="129"/>
      <c r="Z550" s="115"/>
      <c r="AA550" s="129"/>
      <c r="AB550" s="149"/>
      <c r="AC550" s="129"/>
      <c r="AD550" s="129"/>
      <c r="AE550" s="129"/>
    </row>
    <row r="551" spans="3:31" x14ac:dyDescent="0.35">
      <c r="C551" s="129"/>
      <c r="D551" s="129"/>
      <c r="E551" s="129"/>
      <c r="F551" s="129"/>
      <c r="G551" s="129"/>
      <c r="H551" s="110"/>
      <c r="I551" s="129"/>
      <c r="J551" t="s">
        <v>351</v>
      </c>
      <c r="K551" s="129"/>
      <c r="L551" s="129"/>
      <c r="M551" s="129"/>
      <c r="N551" s="129"/>
      <c r="O551" s="129"/>
      <c r="P551" s="129"/>
      <c r="Q551" s="129"/>
      <c r="R551" s="129"/>
      <c r="S551" s="141"/>
      <c r="T551" s="139"/>
      <c r="U551" s="129"/>
      <c r="V551" s="129"/>
      <c r="W551" s="129"/>
      <c r="X551" s="129"/>
      <c r="Y551" s="129"/>
      <c r="Z551" s="115"/>
      <c r="AA551" s="129"/>
      <c r="AB551" s="149"/>
      <c r="AC551" s="129"/>
      <c r="AD551" s="129"/>
      <c r="AE551" s="129"/>
    </row>
    <row r="552" spans="3:31" x14ac:dyDescent="0.35">
      <c r="C552" s="129"/>
      <c r="D552" s="129"/>
      <c r="E552" s="129"/>
      <c r="F552" s="129"/>
      <c r="G552" s="129"/>
      <c r="H552" s="110"/>
      <c r="I552" s="129"/>
      <c r="J552" t="s">
        <v>351</v>
      </c>
      <c r="K552" s="129"/>
      <c r="L552" s="129"/>
      <c r="M552" s="129"/>
      <c r="N552" s="129"/>
      <c r="O552" s="129"/>
      <c r="P552" s="129"/>
      <c r="Q552" s="129"/>
      <c r="R552" s="129"/>
      <c r="S552" s="141"/>
      <c r="T552" s="139"/>
      <c r="U552" s="129"/>
      <c r="V552" s="129"/>
      <c r="W552" s="129"/>
      <c r="X552" s="129"/>
      <c r="Y552" s="129"/>
      <c r="Z552" s="115"/>
      <c r="AA552" s="129"/>
      <c r="AB552" s="149"/>
      <c r="AC552" s="129"/>
      <c r="AD552" s="129"/>
      <c r="AE552" s="129"/>
    </row>
    <row r="553" spans="3:31" x14ac:dyDescent="0.35">
      <c r="C553" s="129"/>
      <c r="D553" s="129"/>
      <c r="E553" s="129"/>
      <c r="F553" s="129"/>
      <c r="G553" s="129"/>
      <c r="H553" s="110"/>
      <c r="I553" s="129"/>
      <c r="J553" t="s">
        <v>351</v>
      </c>
      <c r="K553" s="129"/>
      <c r="L553" s="129"/>
      <c r="M553" s="129"/>
      <c r="N553" s="129"/>
      <c r="O553" s="129"/>
      <c r="P553" s="129"/>
      <c r="Q553" s="129"/>
      <c r="R553" s="129"/>
      <c r="S553" s="141"/>
      <c r="T553" s="139"/>
      <c r="U553" s="129"/>
      <c r="V553" s="129"/>
      <c r="W553" s="129"/>
      <c r="X553" s="129"/>
      <c r="Y553" s="129"/>
      <c r="Z553" s="115"/>
      <c r="AA553" s="129"/>
      <c r="AB553" s="149"/>
      <c r="AC553" s="129"/>
      <c r="AD553" s="129"/>
      <c r="AE553" s="129"/>
    </row>
    <row r="554" spans="3:31" x14ac:dyDescent="0.35">
      <c r="C554" s="129"/>
      <c r="D554" s="129"/>
      <c r="E554" s="129"/>
      <c r="F554" s="129"/>
      <c r="G554" s="129"/>
      <c r="H554" s="110"/>
      <c r="I554" s="129"/>
      <c r="J554" t="s">
        <v>351</v>
      </c>
      <c r="K554" s="129"/>
      <c r="L554" s="129"/>
      <c r="M554" s="129"/>
      <c r="N554" s="129"/>
      <c r="O554" s="129"/>
      <c r="P554" s="129"/>
      <c r="Q554" s="129"/>
      <c r="R554" s="129"/>
      <c r="S554" s="141"/>
      <c r="T554" s="139"/>
      <c r="U554" s="129"/>
      <c r="V554" s="129"/>
      <c r="W554" s="129"/>
      <c r="X554" s="129"/>
      <c r="Y554" s="129"/>
      <c r="Z554" s="115"/>
      <c r="AA554" s="129"/>
      <c r="AB554" s="149"/>
      <c r="AC554" s="129"/>
      <c r="AD554" s="129"/>
      <c r="AE554" s="129"/>
    </row>
    <row r="555" spans="3:31" x14ac:dyDescent="0.35">
      <c r="C555" s="129"/>
      <c r="D555" s="129"/>
      <c r="E555" s="129"/>
      <c r="F555" s="129"/>
      <c r="G555" s="129"/>
      <c r="H555" s="110"/>
      <c r="I555" s="129"/>
      <c r="J555" t="s">
        <v>351</v>
      </c>
      <c r="K555" s="129"/>
      <c r="L555" s="129"/>
      <c r="M555" s="129"/>
      <c r="N555" s="129"/>
      <c r="O555" s="129"/>
      <c r="P555" s="129"/>
      <c r="Q555" s="129"/>
      <c r="R555" s="129"/>
      <c r="S555" s="141"/>
      <c r="T555" s="139"/>
      <c r="U555" s="129"/>
      <c r="V555" s="129"/>
      <c r="W555" s="129"/>
      <c r="X555" s="129"/>
      <c r="Y555" s="129"/>
      <c r="Z555" s="115"/>
      <c r="AA555" s="129"/>
      <c r="AB555" s="149"/>
      <c r="AC555" s="129"/>
      <c r="AD555" s="129"/>
      <c r="AE555" s="129"/>
    </row>
    <row r="556" spans="3:31" x14ac:dyDescent="0.35">
      <c r="C556" s="129"/>
      <c r="D556" s="129"/>
      <c r="E556" s="129"/>
      <c r="F556" s="129"/>
      <c r="G556" s="129"/>
      <c r="H556" s="110"/>
      <c r="I556" s="129"/>
      <c r="J556" t="s">
        <v>351</v>
      </c>
      <c r="K556" s="129"/>
      <c r="L556" s="129"/>
      <c r="M556" s="129"/>
      <c r="N556" s="129"/>
      <c r="O556" s="129"/>
      <c r="P556" s="129"/>
      <c r="Q556" s="129"/>
      <c r="R556" s="129"/>
      <c r="S556" s="141"/>
      <c r="T556" s="139"/>
      <c r="U556" s="129"/>
      <c r="V556" s="129"/>
      <c r="W556" s="129"/>
      <c r="X556" s="129"/>
      <c r="Y556" s="129"/>
      <c r="Z556" s="115"/>
      <c r="AA556" s="129"/>
      <c r="AB556" s="149"/>
      <c r="AC556" s="129"/>
      <c r="AD556" s="129"/>
      <c r="AE556" s="129"/>
    </row>
    <row r="557" spans="3:31" x14ac:dyDescent="0.35">
      <c r="C557" s="129"/>
      <c r="D557" s="129"/>
      <c r="E557" s="129"/>
      <c r="F557" s="129"/>
      <c r="G557" s="129"/>
      <c r="H557" s="110"/>
      <c r="I557" s="129"/>
      <c r="J557" t="s">
        <v>351</v>
      </c>
      <c r="K557" s="129"/>
      <c r="L557" s="129"/>
      <c r="M557" s="129"/>
      <c r="N557" s="129"/>
      <c r="O557" s="129"/>
      <c r="P557" s="129"/>
      <c r="Q557" s="129"/>
      <c r="R557" s="129"/>
      <c r="S557" s="141"/>
      <c r="T557" s="139"/>
      <c r="U557" s="129"/>
      <c r="V557" s="129"/>
      <c r="W557" s="129"/>
      <c r="X557" s="129"/>
      <c r="Y557" s="129"/>
      <c r="Z557" s="115"/>
      <c r="AA557" s="129"/>
      <c r="AB557" s="149"/>
      <c r="AC557" s="129"/>
      <c r="AD557" s="129"/>
      <c r="AE557" s="129"/>
    </row>
    <row r="558" spans="3:31" x14ac:dyDescent="0.35">
      <c r="C558" s="129"/>
      <c r="D558" s="129"/>
      <c r="E558" s="129"/>
      <c r="F558" s="129"/>
      <c r="G558" s="129"/>
      <c r="H558" s="110"/>
      <c r="I558" s="129"/>
      <c r="J558" t="s">
        <v>351</v>
      </c>
      <c r="K558" s="129"/>
      <c r="L558" s="129"/>
      <c r="M558" s="129"/>
      <c r="N558" s="129"/>
      <c r="O558" s="129"/>
      <c r="P558" s="129"/>
      <c r="Q558" s="129"/>
      <c r="R558" s="129"/>
      <c r="S558" s="141"/>
      <c r="T558" s="139"/>
      <c r="U558" s="129"/>
      <c r="V558" s="129"/>
      <c r="W558" s="129"/>
      <c r="X558" s="129"/>
      <c r="Y558" s="129"/>
      <c r="Z558" s="115"/>
      <c r="AA558" s="129"/>
      <c r="AB558" s="149"/>
      <c r="AC558" s="129"/>
      <c r="AD558" s="129"/>
      <c r="AE558" s="129"/>
    </row>
    <row r="559" spans="3:31" x14ac:dyDescent="0.35">
      <c r="C559" s="129"/>
      <c r="D559" s="129"/>
      <c r="E559" s="129"/>
      <c r="F559" s="129"/>
      <c r="G559" s="129"/>
      <c r="H559" s="110"/>
      <c r="I559" s="129"/>
      <c r="J559" t="s">
        <v>351</v>
      </c>
      <c r="K559" s="129"/>
      <c r="L559" s="129"/>
      <c r="M559" s="129"/>
      <c r="N559" s="129"/>
      <c r="O559" s="129"/>
      <c r="P559" s="129"/>
      <c r="Q559" s="129"/>
      <c r="R559" s="129"/>
      <c r="S559" s="141"/>
      <c r="T559" s="139"/>
      <c r="U559" s="129"/>
      <c r="V559" s="129"/>
      <c r="W559" s="129"/>
      <c r="X559" s="129"/>
      <c r="Y559" s="129"/>
      <c r="Z559" s="115"/>
      <c r="AA559" s="129"/>
      <c r="AB559" s="149"/>
      <c r="AC559" s="129"/>
      <c r="AD559" s="129"/>
      <c r="AE559" s="129"/>
    </row>
    <row r="560" spans="3:31" x14ac:dyDescent="0.35">
      <c r="C560" s="129"/>
      <c r="D560" s="129"/>
      <c r="E560" s="129"/>
      <c r="F560" s="129"/>
      <c r="G560" s="129"/>
      <c r="H560" s="110"/>
      <c r="I560" s="129"/>
      <c r="J560" t="s">
        <v>351</v>
      </c>
      <c r="K560" s="129"/>
      <c r="L560" s="129"/>
      <c r="M560" s="129"/>
      <c r="N560" s="129"/>
      <c r="O560" s="129"/>
      <c r="P560" s="129"/>
      <c r="Q560" s="129"/>
      <c r="R560" s="129"/>
      <c r="S560" s="141"/>
      <c r="T560" s="139"/>
      <c r="U560" s="129"/>
      <c r="V560" s="129"/>
      <c r="W560" s="129"/>
      <c r="X560" s="129"/>
      <c r="Y560" s="129"/>
      <c r="Z560" s="115"/>
      <c r="AA560" s="129"/>
      <c r="AB560" s="149"/>
      <c r="AC560" s="129"/>
      <c r="AD560" s="129"/>
      <c r="AE560" s="129"/>
    </row>
    <row r="561" spans="3:31" x14ac:dyDescent="0.35">
      <c r="C561" s="129"/>
      <c r="D561" s="129"/>
      <c r="E561" s="129"/>
      <c r="F561" s="129"/>
      <c r="G561" s="129"/>
      <c r="H561" s="110"/>
      <c r="I561" s="129"/>
      <c r="J561" t="s">
        <v>351</v>
      </c>
      <c r="K561" s="129"/>
      <c r="L561" s="129"/>
      <c r="M561" s="129"/>
      <c r="N561" s="129"/>
      <c r="O561" s="129"/>
      <c r="P561" s="129"/>
      <c r="Q561" s="129"/>
      <c r="R561" s="129"/>
      <c r="S561" s="141"/>
      <c r="T561" s="139"/>
      <c r="U561" s="129"/>
      <c r="V561" s="129"/>
      <c r="W561" s="129"/>
      <c r="X561" s="129"/>
      <c r="Y561" s="129"/>
      <c r="Z561" s="115"/>
      <c r="AA561" s="129"/>
      <c r="AB561" s="149"/>
      <c r="AC561" s="129"/>
      <c r="AD561" s="129"/>
      <c r="AE561" s="129"/>
    </row>
    <row r="562" spans="3:31" x14ac:dyDescent="0.35">
      <c r="C562" s="129"/>
      <c r="D562" s="129"/>
      <c r="E562" s="129"/>
      <c r="F562" s="129"/>
      <c r="G562" s="129"/>
      <c r="H562" s="110"/>
      <c r="I562" s="129"/>
      <c r="J562" t="s">
        <v>351</v>
      </c>
      <c r="K562" s="129"/>
      <c r="L562" s="129"/>
      <c r="M562" s="129"/>
      <c r="N562" s="129"/>
      <c r="O562" s="129"/>
      <c r="P562" s="129"/>
      <c r="Q562" s="129"/>
      <c r="R562" s="129"/>
      <c r="S562" s="141"/>
      <c r="T562" s="139"/>
      <c r="U562" s="129"/>
      <c r="V562" s="129"/>
      <c r="W562" s="129"/>
      <c r="X562" s="129"/>
      <c r="Y562" s="129"/>
      <c r="Z562" s="115"/>
      <c r="AA562" s="129"/>
      <c r="AB562" s="149"/>
      <c r="AC562" s="129"/>
      <c r="AD562" s="129"/>
      <c r="AE562" s="129"/>
    </row>
    <row r="563" spans="3:31" x14ac:dyDescent="0.35">
      <c r="C563" s="129"/>
      <c r="D563" s="129"/>
      <c r="E563" s="129"/>
      <c r="F563" s="129"/>
      <c r="G563" s="129"/>
      <c r="H563" s="110"/>
      <c r="I563" s="129"/>
      <c r="J563" t="s">
        <v>351</v>
      </c>
      <c r="K563" s="129"/>
      <c r="L563" s="129"/>
      <c r="M563" s="129"/>
      <c r="N563" s="129"/>
      <c r="O563" s="129"/>
      <c r="P563" s="129"/>
      <c r="Q563" s="129"/>
      <c r="R563" s="129"/>
      <c r="S563" s="141"/>
      <c r="T563" s="139"/>
      <c r="U563" s="129"/>
      <c r="V563" s="129"/>
      <c r="W563" s="129"/>
      <c r="X563" s="129"/>
      <c r="Y563" s="129"/>
      <c r="Z563" s="115"/>
      <c r="AA563" s="129"/>
      <c r="AB563" s="149"/>
      <c r="AC563" s="129"/>
      <c r="AD563" s="129"/>
      <c r="AE563" s="129"/>
    </row>
    <row r="564" spans="3:31" x14ac:dyDescent="0.35">
      <c r="C564" s="129"/>
      <c r="D564" s="129"/>
      <c r="E564" s="129"/>
      <c r="F564" s="129"/>
      <c r="G564" s="129"/>
      <c r="H564" s="110"/>
      <c r="I564" s="129"/>
      <c r="J564" t="s">
        <v>351</v>
      </c>
      <c r="K564" s="129"/>
      <c r="L564" s="129"/>
      <c r="M564" s="129"/>
      <c r="N564" s="129"/>
      <c r="O564" s="129"/>
      <c r="P564" s="129"/>
      <c r="Q564" s="129"/>
      <c r="R564" s="129"/>
      <c r="S564" s="141"/>
      <c r="T564" s="139"/>
      <c r="U564" s="129"/>
      <c r="V564" s="129"/>
      <c r="W564" s="129"/>
      <c r="X564" s="129"/>
      <c r="Y564" s="129"/>
      <c r="Z564" s="115"/>
      <c r="AA564" s="129"/>
      <c r="AB564" s="149"/>
      <c r="AC564" s="129"/>
      <c r="AD564" s="129"/>
      <c r="AE564" s="129"/>
    </row>
    <row r="565" spans="3:31" x14ac:dyDescent="0.35">
      <c r="C565" s="129"/>
      <c r="D565" s="129"/>
      <c r="E565" s="129"/>
      <c r="F565" s="129"/>
      <c r="G565" s="129"/>
      <c r="H565" s="110"/>
      <c r="I565" s="129"/>
      <c r="J565" t="s">
        <v>351</v>
      </c>
      <c r="K565" s="129"/>
      <c r="L565" s="129"/>
      <c r="M565" s="129"/>
      <c r="N565" s="129"/>
      <c r="O565" s="129"/>
      <c r="P565" s="129"/>
      <c r="Q565" s="129"/>
      <c r="R565" s="129"/>
      <c r="S565" s="141"/>
      <c r="T565" s="139"/>
      <c r="U565" s="129"/>
      <c r="V565" s="129"/>
      <c r="W565" s="129"/>
      <c r="X565" s="129"/>
      <c r="Y565" s="129"/>
      <c r="Z565" s="115"/>
      <c r="AA565" s="129"/>
      <c r="AB565" s="149"/>
      <c r="AC565" s="129"/>
      <c r="AD565" s="129"/>
      <c r="AE565" s="129"/>
    </row>
    <row r="566" spans="3:31" x14ac:dyDescent="0.35">
      <c r="C566" s="129"/>
      <c r="D566" s="129"/>
      <c r="E566" s="129"/>
      <c r="F566" s="129"/>
      <c r="G566" s="129"/>
      <c r="H566" s="110"/>
      <c r="I566" s="129"/>
      <c r="J566" t="s">
        <v>351</v>
      </c>
      <c r="K566" s="129"/>
      <c r="L566" s="129"/>
      <c r="M566" s="129"/>
      <c r="N566" s="129"/>
      <c r="O566" s="129"/>
      <c r="P566" s="129"/>
      <c r="Q566" s="129"/>
      <c r="R566" s="129"/>
      <c r="S566" s="141"/>
      <c r="T566" s="139"/>
      <c r="U566" s="129"/>
      <c r="V566" s="129"/>
      <c r="W566" s="129"/>
      <c r="X566" s="129"/>
      <c r="Y566" s="129"/>
      <c r="Z566" s="115"/>
      <c r="AA566" s="129"/>
      <c r="AB566" s="149"/>
      <c r="AC566" s="129"/>
      <c r="AD566" s="129"/>
      <c r="AE566" s="129"/>
    </row>
    <row r="567" spans="3:31" x14ac:dyDescent="0.35">
      <c r="C567" s="129"/>
      <c r="D567" s="129"/>
      <c r="E567" s="129"/>
      <c r="F567" s="129"/>
      <c r="G567" s="129"/>
      <c r="H567" s="110"/>
      <c r="I567" s="129"/>
      <c r="J567" t="s">
        <v>351</v>
      </c>
      <c r="K567" s="129"/>
      <c r="L567" s="129"/>
      <c r="M567" s="129"/>
      <c r="N567" s="129"/>
      <c r="O567" s="129"/>
      <c r="P567" s="129"/>
      <c r="Q567" s="129"/>
      <c r="R567" s="129"/>
      <c r="S567" s="141"/>
      <c r="T567" s="139"/>
      <c r="U567" s="129"/>
      <c r="V567" s="129"/>
      <c r="W567" s="129"/>
      <c r="X567" s="129"/>
      <c r="Y567" s="129"/>
      <c r="Z567" s="115"/>
      <c r="AA567" s="129"/>
      <c r="AB567" s="149"/>
      <c r="AC567" s="129"/>
      <c r="AD567" s="129"/>
      <c r="AE567" s="129"/>
    </row>
    <row r="568" spans="3:31" x14ac:dyDescent="0.35">
      <c r="C568" s="129"/>
      <c r="D568" s="129"/>
      <c r="E568" s="129"/>
      <c r="F568" s="129"/>
      <c r="G568" s="129"/>
      <c r="H568" s="110"/>
      <c r="I568" s="129"/>
      <c r="J568" t="s">
        <v>351</v>
      </c>
      <c r="K568" s="129"/>
      <c r="L568" s="129"/>
      <c r="M568" s="129"/>
      <c r="N568" s="129"/>
      <c r="O568" s="129"/>
      <c r="P568" s="129"/>
      <c r="Q568" s="129"/>
      <c r="R568" s="129"/>
      <c r="S568" s="141"/>
      <c r="T568" s="139"/>
      <c r="U568" s="129"/>
      <c r="V568" s="129"/>
      <c r="W568" s="129"/>
      <c r="X568" s="129"/>
      <c r="Y568" s="129"/>
      <c r="Z568" s="115"/>
      <c r="AA568" s="129"/>
      <c r="AB568" s="149"/>
      <c r="AC568" s="129"/>
      <c r="AD568" s="129"/>
      <c r="AE568" s="129"/>
    </row>
    <row r="569" spans="3:31" x14ac:dyDescent="0.35">
      <c r="C569" s="129"/>
      <c r="D569" s="129"/>
      <c r="E569" s="129"/>
      <c r="F569" s="129"/>
      <c r="G569" s="129"/>
      <c r="H569" s="110"/>
      <c r="I569" s="129"/>
      <c r="J569" t="s">
        <v>351</v>
      </c>
      <c r="K569" s="129"/>
      <c r="L569" s="129"/>
      <c r="M569" s="129"/>
      <c r="N569" s="129"/>
      <c r="O569" s="129"/>
      <c r="P569" s="129"/>
      <c r="Q569" s="129"/>
      <c r="R569" s="129"/>
      <c r="S569" s="141"/>
      <c r="T569" s="139"/>
      <c r="U569" s="129"/>
      <c r="V569" s="129"/>
      <c r="W569" s="129"/>
      <c r="X569" s="129"/>
      <c r="Y569" s="129"/>
      <c r="Z569" s="115"/>
      <c r="AA569" s="129"/>
      <c r="AB569" s="149"/>
      <c r="AC569" s="129"/>
      <c r="AD569" s="129"/>
      <c r="AE569" s="129"/>
    </row>
    <row r="570" spans="3:31" x14ac:dyDescent="0.35">
      <c r="C570" s="129"/>
      <c r="D570" s="129"/>
      <c r="E570" s="129"/>
      <c r="F570" s="129"/>
      <c r="G570" s="129"/>
      <c r="H570" s="110"/>
      <c r="I570" s="129"/>
      <c r="J570" t="s">
        <v>351</v>
      </c>
      <c r="K570" s="129"/>
      <c r="L570" s="129"/>
      <c r="M570" s="129"/>
      <c r="N570" s="129"/>
      <c r="O570" s="129"/>
      <c r="P570" s="129"/>
      <c r="Q570" s="129"/>
      <c r="R570" s="129"/>
      <c r="S570" s="141"/>
      <c r="T570" s="139"/>
      <c r="U570" s="129"/>
      <c r="V570" s="129"/>
      <c r="W570" s="129"/>
      <c r="X570" s="129"/>
      <c r="Y570" s="129"/>
      <c r="Z570" s="115"/>
      <c r="AA570" s="129"/>
      <c r="AB570" s="149"/>
      <c r="AC570" s="129"/>
      <c r="AD570" s="129"/>
      <c r="AE570" s="129"/>
    </row>
    <row r="571" spans="3:31" x14ac:dyDescent="0.35">
      <c r="C571" s="129"/>
      <c r="D571" s="129"/>
      <c r="E571" s="129"/>
      <c r="F571" s="129"/>
      <c r="G571" s="129"/>
      <c r="H571" s="110"/>
      <c r="I571" s="129"/>
      <c r="J571" t="s">
        <v>351</v>
      </c>
      <c r="K571" s="129"/>
      <c r="L571" s="129"/>
      <c r="M571" s="129"/>
      <c r="N571" s="129"/>
      <c r="O571" s="129"/>
      <c r="P571" s="129"/>
      <c r="Q571" s="129"/>
      <c r="R571" s="129"/>
      <c r="S571" s="141"/>
      <c r="T571" s="139"/>
      <c r="U571" s="129"/>
      <c r="V571" s="129"/>
      <c r="W571" s="129"/>
      <c r="X571" s="129"/>
      <c r="Y571" s="129"/>
      <c r="Z571" s="115"/>
      <c r="AA571" s="129"/>
      <c r="AB571" s="149"/>
      <c r="AC571" s="129"/>
      <c r="AD571" s="129"/>
      <c r="AE571" s="129"/>
    </row>
    <row r="572" spans="3:31" x14ac:dyDescent="0.35">
      <c r="C572" s="129"/>
      <c r="D572" s="129"/>
      <c r="E572" s="129"/>
      <c r="F572" s="129"/>
      <c r="G572" s="129"/>
      <c r="H572" s="110"/>
      <c r="I572" s="129"/>
      <c r="J572" t="s">
        <v>351</v>
      </c>
      <c r="K572" s="129"/>
      <c r="L572" s="129"/>
      <c r="M572" s="129"/>
      <c r="N572" s="129"/>
      <c r="O572" s="129"/>
      <c r="P572" s="129"/>
      <c r="Q572" s="129"/>
      <c r="R572" s="129"/>
      <c r="S572" s="141"/>
      <c r="T572" s="139"/>
      <c r="U572" s="129"/>
      <c r="V572" s="129"/>
      <c r="W572" s="129"/>
      <c r="X572" s="129"/>
      <c r="Y572" s="129"/>
      <c r="Z572" s="115"/>
      <c r="AA572" s="129"/>
      <c r="AB572" s="149"/>
      <c r="AC572" s="129"/>
      <c r="AD572" s="129"/>
      <c r="AE572" s="129"/>
    </row>
    <row r="573" spans="3:31" x14ac:dyDescent="0.35">
      <c r="C573" s="129"/>
      <c r="D573" s="129"/>
      <c r="E573" s="129"/>
      <c r="F573" s="129"/>
      <c r="G573" s="129"/>
      <c r="H573" s="110"/>
      <c r="I573" s="129"/>
      <c r="J573" t="s">
        <v>351</v>
      </c>
      <c r="K573" s="129"/>
      <c r="L573" s="129"/>
      <c r="M573" s="129"/>
      <c r="N573" s="129"/>
      <c r="O573" s="129"/>
      <c r="P573" s="129"/>
      <c r="Q573" s="129"/>
      <c r="R573" s="129"/>
      <c r="S573" s="141"/>
      <c r="T573" s="139"/>
      <c r="U573" s="129"/>
      <c r="V573" s="129"/>
      <c r="W573" s="129"/>
      <c r="X573" s="129"/>
      <c r="Y573" s="129"/>
      <c r="Z573" s="115"/>
      <c r="AA573" s="129"/>
      <c r="AB573" s="149"/>
      <c r="AC573" s="129"/>
      <c r="AD573" s="129"/>
      <c r="AE573" s="129"/>
    </row>
    <row r="574" spans="3:31" x14ac:dyDescent="0.35">
      <c r="C574" s="129"/>
      <c r="D574" s="129"/>
      <c r="E574" s="129"/>
      <c r="F574" s="129"/>
      <c r="G574" s="129"/>
      <c r="H574" s="110"/>
      <c r="I574" s="129"/>
      <c r="J574" t="s">
        <v>351</v>
      </c>
      <c r="K574" s="129"/>
      <c r="L574" s="129"/>
      <c r="M574" s="129"/>
      <c r="N574" s="129"/>
      <c r="O574" s="129"/>
      <c r="P574" s="129"/>
      <c r="Q574" s="129"/>
      <c r="R574" s="129"/>
      <c r="S574" s="141"/>
      <c r="T574" s="139"/>
      <c r="U574" s="129"/>
      <c r="V574" s="129"/>
      <c r="W574" s="129"/>
      <c r="X574" s="129"/>
      <c r="Y574" s="129"/>
      <c r="Z574" s="115"/>
      <c r="AA574" s="129"/>
      <c r="AB574" s="149"/>
      <c r="AC574" s="129"/>
      <c r="AD574" s="129"/>
      <c r="AE574" s="129"/>
    </row>
    <row r="575" spans="3:31" x14ac:dyDescent="0.35">
      <c r="C575" s="129"/>
      <c r="D575" s="129"/>
      <c r="E575" s="129"/>
      <c r="F575" s="129"/>
      <c r="G575" s="129"/>
      <c r="H575" s="110"/>
      <c r="I575" s="129"/>
      <c r="J575" t="s">
        <v>351</v>
      </c>
      <c r="K575" s="129"/>
      <c r="L575" s="129"/>
      <c r="M575" s="129"/>
      <c r="N575" s="129"/>
      <c r="O575" s="129"/>
      <c r="P575" s="129"/>
      <c r="Q575" s="129"/>
      <c r="R575" s="129"/>
      <c r="S575" s="141"/>
      <c r="T575" s="139"/>
      <c r="U575" s="129"/>
      <c r="V575" s="129"/>
      <c r="W575" s="129"/>
      <c r="X575" s="129"/>
      <c r="Y575" s="129"/>
      <c r="Z575" s="115"/>
      <c r="AA575" s="129"/>
      <c r="AB575" s="149"/>
      <c r="AC575" s="129"/>
      <c r="AD575" s="129"/>
      <c r="AE575" s="129"/>
    </row>
    <row r="576" spans="3:31" x14ac:dyDescent="0.35">
      <c r="C576" s="129"/>
      <c r="D576" s="129"/>
      <c r="E576" s="129"/>
      <c r="F576" s="129"/>
      <c r="G576" s="129"/>
      <c r="H576" s="110"/>
      <c r="I576" s="129"/>
      <c r="J576" t="s">
        <v>351</v>
      </c>
      <c r="K576" s="129"/>
      <c r="L576" s="129"/>
      <c r="M576" s="129"/>
      <c r="N576" s="129"/>
      <c r="O576" s="129"/>
      <c r="P576" s="129"/>
      <c r="Q576" s="129"/>
      <c r="R576" s="129"/>
      <c r="S576" s="141"/>
      <c r="T576" s="139"/>
      <c r="U576" s="129"/>
      <c r="V576" s="129"/>
      <c r="W576" s="129"/>
      <c r="X576" s="129"/>
      <c r="Y576" s="129"/>
      <c r="Z576" s="115"/>
      <c r="AA576" s="129"/>
      <c r="AB576" s="149"/>
      <c r="AC576" s="129"/>
      <c r="AD576" s="129"/>
      <c r="AE576" s="129"/>
    </row>
    <row r="577" spans="3:31" x14ac:dyDescent="0.35">
      <c r="C577" s="129"/>
      <c r="D577" s="129"/>
      <c r="E577" s="129"/>
      <c r="F577" s="129"/>
      <c r="G577" s="129"/>
      <c r="H577" s="110"/>
      <c r="I577" s="129"/>
      <c r="J577" t="s">
        <v>351</v>
      </c>
      <c r="K577" s="129"/>
      <c r="L577" s="129"/>
      <c r="M577" s="129"/>
      <c r="N577" s="129"/>
      <c r="O577" s="129"/>
      <c r="P577" s="129"/>
      <c r="Q577" s="129"/>
      <c r="R577" s="129"/>
      <c r="S577" s="141"/>
      <c r="T577" s="139"/>
      <c r="U577" s="129"/>
      <c r="V577" s="129"/>
      <c r="W577" s="129"/>
      <c r="X577" s="129"/>
      <c r="Y577" s="129"/>
      <c r="Z577" s="115"/>
      <c r="AA577" s="129"/>
      <c r="AB577" s="149"/>
      <c r="AC577" s="129"/>
      <c r="AD577" s="129"/>
      <c r="AE577" s="129"/>
    </row>
    <row r="578" spans="3:31" x14ac:dyDescent="0.35">
      <c r="C578" s="129"/>
      <c r="D578" s="129"/>
      <c r="E578" s="129"/>
      <c r="F578" s="129"/>
      <c r="G578" s="129"/>
      <c r="H578" s="110"/>
      <c r="I578" s="129"/>
      <c r="J578" t="s">
        <v>351</v>
      </c>
      <c r="K578" s="129"/>
      <c r="L578" s="129"/>
      <c r="M578" s="129"/>
      <c r="N578" s="129"/>
      <c r="O578" s="129"/>
      <c r="P578" s="129"/>
      <c r="Q578" s="129"/>
      <c r="R578" s="129"/>
      <c r="S578" s="141"/>
      <c r="T578" s="139"/>
      <c r="U578" s="129"/>
      <c r="V578" s="129"/>
      <c r="W578" s="129"/>
      <c r="X578" s="129"/>
      <c r="Y578" s="129"/>
      <c r="Z578" s="115"/>
      <c r="AA578" s="129"/>
      <c r="AB578" s="149"/>
      <c r="AC578" s="129"/>
      <c r="AD578" s="129"/>
      <c r="AE578" s="129"/>
    </row>
    <row r="579" spans="3:31" x14ac:dyDescent="0.35">
      <c r="C579" s="129"/>
      <c r="D579" s="129"/>
      <c r="E579" s="129"/>
      <c r="F579" s="129"/>
      <c r="G579" s="129"/>
      <c r="H579" s="110"/>
      <c r="I579" s="129"/>
      <c r="J579" t="s">
        <v>351</v>
      </c>
      <c r="K579" s="129"/>
      <c r="L579" s="129"/>
      <c r="M579" s="129"/>
      <c r="N579" s="129"/>
      <c r="O579" s="129"/>
      <c r="P579" s="129"/>
      <c r="Q579" s="129"/>
      <c r="R579" s="129"/>
      <c r="S579" s="141"/>
      <c r="T579" s="139"/>
      <c r="U579" s="129"/>
      <c r="V579" s="129"/>
      <c r="W579" s="129"/>
      <c r="X579" s="129"/>
      <c r="Y579" s="129"/>
      <c r="Z579" s="115"/>
      <c r="AA579" s="129"/>
      <c r="AB579" s="149"/>
      <c r="AC579" s="129"/>
      <c r="AD579" s="129"/>
      <c r="AE579" s="129"/>
    </row>
    <row r="580" spans="3:31" x14ac:dyDescent="0.35">
      <c r="C580" s="129"/>
      <c r="D580" s="129"/>
      <c r="E580" s="129"/>
      <c r="F580" s="129"/>
      <c r="G580" s="129"/>
      <c r="H580" s="110"/>
      <c r="I580" s="129"/>
      <c r="J580" t="s">
        <v>351</v>
      </c>
      <c r="K580" s="129"/>
      <c r="L580" s="129"/>
      <c r="M580" s="129"/>
      <c r="N580" s="129"/>
      <c r="O580" s="129"/>
      <c r="P580" s="129"/>
      <c r="Q580" s="129"/>
      <c r="R580" s="129"/>
      <c r="S580" s="141"/>
      <c r="T580" s="139"/>
      <c r="U580" s="129"/>
      <c r="V580" s="129"/>
      <c r="W580" s="129"/>
      <c r="X580" s="129"/>
      <c r="Y580" s="129"/>
      <c r="Z580" s="115"/>
      <c r="AA580" s="129"/>
      <c r="AB580" s="149"/>
      <c r="AC580" s="129"/>
      <c r="AD580" s="129"/>
      <c r="AE580" s="129"/>
    </row>
    <row r="581" spans="3:31" x14ac:dyDescent="0.35">
      <c r="C581" s="129"/>
      <c r="D581" s="129"/>
      <c r="E581" s="129"/>
      <c r="F581" s="129"/>
      <c r="G581" s="129"/>
      <c r="H581" s="110"/>
      <c r="I581" s="129"/>
      <c r="J581" t="s">
        <v>351</v>
      </c>
      <c r="K581" s="129"/>
      <c r="L581" s="129"/>
      <c r="M581" s="129"/>
      <c r="N581" s="129"/>
      <c r="O581" s="129"/>
      <c r="P581" s="129"/>
      <c r="Q581" s="129"/>
      <c r="R581" s="129"/>
      <c r="S581" s="141"/>
      <c r="T581" s="139"/>
      <c r="U581" s="129"/>
      <c r="V581" s="129"/>
      <c r="W581" s="129"/>
      <c r="X581" s="129"/>
      <c r="Y581" s="129"/>
      <c r="Z581" s="115"/>
      <c r="AA581" s="129"/>
      <c r="AB581" s="149"/>
      <c r="AC581" s="129"/>
      <c r="AD581" s="129"/>
      <c r="AE581" s="129"/>
    </row>
    <row r="582" spans="3:31" x14ac:dyDescent="0.35">
      <c r="C582" s="129"/>
      <c r="D582" s="129"/>
      <c r="E582" s="129"/>
      <c r="F582" s="129"/>
      <c r="G582" s="129"/>
      <c r="H582" s="110"/>
      <c r="I582" s="129"/>
      <c r="J582" t="s">
        <v>351</v>
      </c>
      <c r="K582" s="129"/>
      <c r="L582" s="129"/>
      <c r="M582" s="129"/>
      <c r="N582" s="129"/>
      <c r="O582" s="129"/>
      <c r="P582" s="129"/>
      <c r="Q582" s="129"/>
      <c r="R582" s="129"/>
      <c r="S582" s="141"/>
      <c r="T582" s="139"/>
      <c r="U582" s="129"/>
      <c r="V582" s="129"/>
      <c r="W582" s="129"/>
      <c r="X582" s="129"/>
      <c r="Y582" s="129"/>
      <c r="Z582" s="115"/>
      <c r="AA582" s="129"/>
      <c r="AB582" s="149"/>
      <c r="AC582" s="129"/>
      <c r="AD582" s="129"/>
      <c r="AE582" s="129"/>
    </row>
    <row r="583" spans="3:31" x14ac:dyDescent="0.35">
      <c r="C583" s="129"/>
      <c r="D583" s="129"/>
      <c r="E583" s="129"/>
      <c r="F583" s="129"/>
      <c r="G583" s="129"/>
      <c r="H583" s="110"/>
      <c r="I583" s="129"/>
      <c r="J583" t="s">
        <v>351</v>
      </c>
      <c r="K583" s="129"/>
      <c r="L583" s="129"/>
      <c r="M583" s="129"/>
      <c r="N583" s="129"/>
      <c r="O583" s="129"/>
      <c r="P583" s="129"/>
      <c r="Q583" s="129"/>
      <c r="R583" s="129"/>
      <c r="S583" s="141"/>
      <c r="T583" s="139"/>
      <c r="U583" s="129"/>
      <c r="V583" s="129"/>
      <c r="W583" s="129"/>
      <c r="X583" s="129"/>
      <c r="Y583" s="129"/>
      <c r="Z583" s="115"/>
      <c r="AA583" s="129"/>
      <c r="AB583" s="149"/>
      <c r="AC583" s="129"/>
      <c r="AD583" s="129"/>
      <c r="AE583" s="129"/>
    </row>
    <row r="584" spans="3:31" x14ac:dyDescent="0.35">
      <c r="C584" s="129"/>
      <c r="D584" s="129"/>
      <c r="E584" s="129"/>
      <c r="F584" s="129"/>
      <c r="G584" s="129"/>
      <c r="H584" s="110"/>
      <c r="I584" s="129"/>
      <c r="J584" t="s">
        <v>351</v>
      </c>
      <c r="K584" s="129"/>
      <c r="L584" s="129"/>
      <c r="M584" s="129"/>
      <c r="N584" s="129"/>
      <c r="O584" s="129"/>
      <c r="P584" s="129"/>
      <c r="Q584" s="129"/>
      <c r="R584" s="129"/>
      <c r="S584" s="141"/>
      <c r="T584" s="139"/>
      <c r="U584" s="129"/>
      <c r="V584" s="129"/>
      <c r="W584" s="129"/>
      <c r="X584" s="129"/>
      <c r="Y584" s="129"/>
      <c r="Z584" s="115"/>
      <c r="AA584" s="129"/>
      <c r="AB584" s="149"/>
      <c r="AC584" s="129"/>
      <c r="AD584" s="129"/>
      <c r="AE584" s="129"/>
    </row>
    <row r="585" spans="3:31" x14ac:dyDescent="0.35">
      <c r="C585" s="129"/>
      <c r="D585" s="129"/>
      <c r="E585" s="129"/>
      <c r="F585" s="129"/>
      <c r="G585" s="129"/>
      <c r="H585" s="110"/>
      <c r="I585" s="129"/>
      <c r="J585" t="s">
        <v>351</v>
      </c>
      <c r="K585" s="129"/>
      <c r="L585" s="129"/>
      <c r="M585" s="129"/>
      <c r="N585" s="129"/>
      <c r="O585" s="129"/>
      <c r="P585" s="129"/>
      <c r="Q585" s="129"/>
      <c r="R585" s="129"/>
      <c r="S585" s="141"/>
      <c r="T585" s="139"/>
      <c r="U585" s="129"/>
      <c r="V585" s="129"/>
      <c r="W585" s="129"/>
      <c r="X585" s="129"/>
      <c r="Y585" s="129"/>
      <c r="Z585" s="115"/>
      <c r="AA585" s="129"/>
      <c r="AB585" s="149"/>
      <c r="AC585" s="129"/>
      <c r="AD585" s="129"/>
      <c r="AE585" s="129"/>
    </row>
    <row r="586" spans="3:31" x14ac:dyDescent="0.35">
      <c r="C586" s="129"/>
      <c r="D586" s="129"/>
      <c r="E586" s="129"/>
      <c r="F586" s="129"/>
      <c r="G586" s="129"/>
      <c r="H586" s="110"/>
      <c r="I586" s="129"/>
      <c r="J586" t="s">
        <v>351</v>
      </c>
      <c r="K586" s="129"/>
      <c r="L586" s="129"/>
      <c r="M586" s="129"/>
      <c r="N586" s="129"/>
      <c r="O586" s="129"/>
      <c r="P586" s="129"/>
      <c r="Q586" s="129"/>
      <c r="R586" s="129"/>
      <c r="S586" s="141"/>
      <c r="T586" s="139"/>
      <c r="U586" s="129"/>
      <c r="V586" s="129"/>
      <c r="W586" s="129"/>
      <c r="X586" s="129"/>
      <c r="Y586" s="129"/>
      <c r="Z586" s="115"/>
      <c r="AA586" s="129"/>
      <c r="AB586" s="149"/>
      <c r="AC586" s="129"/>
      <c r="AD586" s="129"/>
      <c r="AE586" s="129"/>
    </row>
    <row r="587" spans="3:31" x14ac:dyDescent="0.35">
      <c r="C587" s="129"/>
      <c r="D587" s="129"/>
      <c r="E587" s="129"/>
      <c r="F587" s="129"/>
      <c r="G587" s="129"/>
      <c r="H587" s="110"/>
      <c r="I587" s="129"/>
      <c r="J587" t="s">
        <v>351</v>
      </c>
      <c r="K587" s="129"/>
      <c r="L587" s="129"/>
      <c r="M587" s="129"/>
      <c r="N587" s="129"/>
      <c r="O587" s="129"/>
      <c r="P587" s="129"/>
      <c r="Q587" s="129"/>
      <c r="R587" s="129"/>
      <c r="S587" s="141"/>
      <c r="T587" s="139"/>
      <c r="U587" s="129"/>
      <c r="V587" s="129"/>
      <c r="W587" s="129"/>
      <c r="X587" s="129"/>
      <c r="Y587" s="129"/>
      <c r="Z587" s="115"/>
      <c r="AA587" s="129"/>
      <c r="AB587" s="149"/>
      <c r="AC587" s="129"/>
      <c r="AD587" s="129"/>
      <c r="AE587" s="129"/>
    </row>
    <row r="588" spans="3:31" x14ac:dyDescent="0.35">
      <c r="C588" s="129"/>
      <c r="D588" s="129"/>
      <c r="E588" s="129"/>
      <c r="F588" s="129"/>
      <c r="G588" s="129"/>
      <c r="H588" s="110"/>
      <c r="I588" s="129"/>
      <c r="J588" t="s">
        <v>351</v>
      </c>
      <c r="K588" s="129"/>
      <c r="L588" s="129"/>
      <c r="M588" s="129"/>
      <c r="N588" s="129"/>
      <c r="O588" s="129"/>
      <c r="P588" s="129"/>
      <c r="Q588" s="129"/>
      <c r="R588" s="129"/>
      <c r="S588" s="141"/>
      <c r="T588" s="139"/>
      <c r="U588" s="129"/>
      <c r="V588" s="129"/>
      <c r="W588" s="129"/>
      <c r="X588" s="129"/>
      <c r="Y588" s="129"/>
      <c r="Z588" s="115"/>
      <c r="AA588" s="129"/>
      <c r="AB588" s="149"/>
      <c r="AC588" s="129"/>
      <c r="AD588" s="129"/>
      <c r="AE588" s="129"/>
    </row>
    <row r="589" spans="3:31" x14ac:dyDescent="0.35">
      <c r="C589" s="129"/>
      <c r="D589" s="129"/>
      <c r="E589" s="129"/>
      <c r="F589" s="129"/>
      <c r="G589" s="129"/>
      <c r="H589" s="110"/>
      <c r="I589" s="129"/>
      <c r="J589" t="s">
        <v>351</v>
      </c>
      <c r="K589" s="129"/>
      <c r="L589" s="129"/>
      <c r="M589" s="129"/>
      <c r="N589" s="129"/>
      <c r="O589" s="129"/>
      <c r="P589" s="129"/>
      <c r="Q589" s="129"/>
      <c r="R589" s="129"/>
      <c r="S589" s="141"/>
      <c r="T589" s="139"/>
      <c r="U589" s="129"/>
      <c r="V589" s="129"/>
      <c r="W589" s="129"/>
      <c r="X589" s="129"/>
      <c r="Y589" s="129"/>
      <c r="Z589" s="115"/>
      <c r="AA589" s="129"/>
      <c r="AB589" s="149"/>
      <c r="AC589" s="129"/>
      <c r="AD589" s="129"/>
      <c r="AE589" s="129"/>
    </row>
    <row r="590" spans="3:31" x14ac:dyDescent="0.35">
      <c r="C590" s="129"/>
      <c r="D590" s="129"/>
      <c r="E590" s="129"/>
      <c r="F590" s="129"/>
      <c r="G590" s="129"/>
      <c r="H590" s="110"/>
      <c r="I590" s="129"/>
      <c r="J590" t="s">
        <v>351</v>
      </c>
      <c r="K590" s="129"/>
      <c r="L590" s="129"/>
      <c r="M590" s="129"/>
      <c r="N590" s="129"/>
      <c r="O590" s="129"/>
      <c r="P590" s="129"/>
      <c r="Q590" s="129"/>
      <c r="R590" s="129"/>
      <c r="S590" s="141"/>
      <c r="T590" s="139"/>
      <c r="U590" s="129"/>
      <c r="V590" s="129"/>
      <c r="W590" s="129"/>
      <c r="X590" s="129"/>
      <c r="Y590" s="129"/>
      <c r="Z590" s="115"/>
      <c r="AA590" s="129"/>
      <c r="AB590" s="149"/>
      <c r="AC590" s="129"/>
      <c r="AD590" s="129"/>
      <c r="AE590" s="129"/>
    </row>
    <row r="591" spans="3:31" x14ac:dyDescent="0.35">
      <c r="C591" s="129"/>
      <c r="D591" s="129"/>
      <c r="E591" s="129"/>
      <c r="F591" s="129"/>
      <c r="G591" s="129"/>
      <c r="H591" s="110"/>
      <c r="I591" s="129"/>
      <c r="J591" t="s">
        <v>351</v>
      </c>
      <c r="K591" s="129"/>
      <c r="L591" s="129"/>
      <c r="M591" s="129"/>
      <c r="N591" s="129"/>
      <c r="O591" s="129"/>
      <c r="P591" s="129"/>
      <c r="Q591" s="129"/>
      <c r="R591" s="129"/>
      <c r="S591" s="141"/>
      <c r="T591" s="139"/>
      <c r="U591" s="129"/>
      <c r="V591" s="129"/>
      <c r="W591" s="129"/>
      <c r="X591" s="129"/>
      <c r="Y591" s="129"/>
      <c r="Z591" s="115"/>
      <c r="AA591" s="129"/>
      <c r="AB591" s="149"/>
      <c r="AC591" s="129"/>
      <c r="AD591" s="129"/>
      <c r="AE591" s="129"/>
    </row>
    <row r="592" spans="3:31" x14ac:dyDescent="0.35">
      <c r="C592" s="129"/>
      <c r="D592" s="129"/>
      <c r="E592" s="129"/>
      <c r="F592" s="129"/>
      <c r="G592" s="129"/>
      <c r="H592" s="110"/>
      <c r="I592" s="129"/>
      <c r="J592" t="s">
        <v>351</v>
      </c>
      <c r="K592" s="129"/>
      <c r="L592" s="129"/>
      <c r="M592" s="129"/>
      <c r="N592" s="129"/>
      <c r="O592" s="129"/>
      <c r="P592" s="129"/>
      <c r="Q592" s="129"/>
      <c r="R592" s="129"/>
      <c r="S592" s="141"/>
      <c r="T592" s="139"/>
      <c r="U592" s="129"/>
      <c r="V592" s="129"/>
      <c r="W592" s="129"/>
      <c r="X592" s="129"/>
      <c r="Y592" s="129"/>
      <c r="Z592" s="115"/>
      <c r="AA592" s="129"/>
      <c r="AB592" s="149"/>
      <c r="AC592" s="129"/>
      <c r="AD592" s="129"/>
      <c r="AE592" s="129"/>
    </row>
    <row r="593" spans="3:31" x14ac:dyDescent="0.35">
      <c r="C593" s="129"/>
      <c r="D593" s="129"/>
      <c r="E593" s="129"/>
      <c r="F593" s="129"/>
      <c r="G593" s="129"/>
      <c r="H593" s="110"/>
      <c r="I593" s="129"/>
      <c r="J593" t="s">
        <v>351</v>
      </c>
      <c r="K593" s="129"/>
      <c r="L593" s="129"/>
      <c r="M593" s="129"/>
      <c r="N593" s="129"/>
      <c r="O593" s="129"/>
      <c r="P593" s="129"/>
      <c r="Q593" s="129"/>
      <c r="R593" s="129"/>
      <c r="S593" s="141"/>
      <c r="T593" s="139"/>
      <c r="U593" s="129"/>
      <c r="V593" s="129"/>
      <c r="W593" s="129"/>
      <c r="X593" s="129"/>
      <c r="Y593" s="129"/>
      <c r="Z593" s="115"/>
      <c r="AA593" s="129"/>
      <c r="AB593" s="149"/>
      <c r="AC593" s="129"/>
      <c r="AD593" s="129"/>
      <c r="AE593" s="129"/>
    </row>
    <row r="594" spans="3:31" x14ac:dyDescent="0.35">
      <c r="C594" s="129"/>
      <c r="D594" s="129"/>
      <c r="E594" s="129"/>
      <c r="F594" s="129"/>
      <c r="G594" s="129"/>
      <c r="H594" s="110"/>
      <c r="I594" s="129"/>
      <c r="J594" t="s">
        <v>351</v>
      </c>
      <c r="K594" s="129"/>
      <c r="L594" s="129"/>
      <c r="M594" s="129"/>
      <c r="N594" s="129"/>
      <c r="O594" s="129"/>
      <c r="P594" s="129"/>
      <c r="Q594" s="129"/>
      <c r="R594" s="129"/>
      <c r="S594" s="141"/>
      <c r="T594" s="139"/>
      <c r="U594" s="129"/>
      <c r="V594" s="129"/>
      <c r="W594" s="129"/>
      <c r="X594" s="129"/>
      <c r="Y594" s="129"/>
      <c r="Z594" s="115"/>
      <c r="AA594" s="129"/>
      <c r="AB594" s="149"/>
      <c r="AC594" s="129"/>
      <c r="AD594" s="129"/>
      <c r="AE594" s="129"/>
    </row>
    <row r="595" spans="3:31" x14ac:dyDescent="0.35">
      <c r="C595" s="129"/>
      <c r="D595" s="129"/>
      <c r="E595" s="129"/>
      <c r="F595" s="129"/>
      <c r="G595" s="129"/>
      <c r="H595" s="110"/>
      <c r="I595" s="129"/>
      <c r="J595" t="s">
        <v>351</v>
      </c>
      <c r="K595" s="129"/>
      <c r="L595" s="129"/>
      <c r="M595" s="129"/>
      <c r="N595" s="129"/>
      <c r="O595" s="129"/>
      <c r="P595" s="129"/>
      <c r="Q595" s="129"/>
      <c r="R595" s="129"/>
      <c r="S595" s="141"/>
      <c r="T595" s="139"/>
      <c r="U595" s="129"/>
      <c r="V595" s="129"/>
      <c r="W595" s="129"/>
      <c r="X595" s="129"/>
      <c r="Y595" s="129"/>
      <c r="Z595" s="115"/>
      <c r="AA595" s="129"/>
      <c r="AB595" s="149"/>
      <c r="AC595" s="129"/>
      <c r="AD595" s="129"/>
      <c r="AE595" s="129"/>
    </row>
    <row r="596" spans="3:31" x14ac:dyDescent="0.35">
      <c r="C596" s="129"/>
      <c r="D596" s="129"/>
      <c r="E596" s="129"/>
      <c r="F596" s="129"/>
      <c r="G596" s="129"/>
      <c r="H596" s="110"/>
      <c r="I596" s="129"/>
      <c r="J596" t="s">
        <v>351</v>
      </c>
      <c r="K596" s="129"/>
      <c r="L596" s="129"/>
      <c r="M596" s="129"/>
      <c r="N596" s="129"/>
      <c r="O596" s="129"/>
      <c r="P596" s="129"/>
      <c r="Q596" s="129"/>
      <c r="R596" s="129"/>
      <c r="S596" s="141"/>
      <c r="T596" s="139"/>
      <c r="U596" s="129"/>
      <c r="V596" s="129"/>
      <c r="W596" s="129"/>
      <c r="X596" s="129"/>
      <c r="Y596" s="129"/>
      <c r="Z596" s="115"/>
      <c r="AA596" s="129"/>
      <c r="AB596" s="149"/>
      <c r="AC596" s="129"/>
      <c r="AD596" s="129"/>
      <c r="AE596" s="129"/>
    </row>
    <row r="597" spans="3:31" x14ac:dyDescent="0.35">
      <c r="C597" s="129"/>
      <c r="D597" s="129"/>
      <c r="E597" s="129"/>
      <c r="F597" s="129"/>
      <c r="G597" s="129"/>
      <c r="H597" s="110"/>
      <c r="I597" s="129"/>
      <c r="J597" t="s">
        <v>351</v>
      </c>
      <c r="K597" s="129"/>
      <c r="L597" s="129"/>
      <c r="M597" s="129"/>
      <c r="N597" s="129"/>
      <c r="O597" s="129"/>
      <c r="P597" s="129"/>
      <c r="Q597" s="129"/>
      <c r="R597" s="129"/>
      <c r="S597" s="141"/>
      <c r="T597" s="139"/>
      <c r="U597" s="129"/>
      <c r="V597" s="129"/>
      <c r="W597" s="129"/>
      <c r="X597" s="129"/>
      <c r="Y597" s="129"/>
      <c r="Z597" s="115"/>
      <c r="AA597" s="129"/>
      <c r="AB597" s="149"/>
      <c r="AC597" s="129"/>
      <c r="AD597" s="129"/>
      <c r="AE597" s="129"/>
    </row>
    <row r="598" spans="3:31" x14ac:dyDescent="0.35">
      <c r="C598" s="129"/>
      <c r="D598" s="129"/>
      <c r="E598" s="129"/>
      <c r="F598" s="129"/>
      <c r="G598" s="129"/>
      <c r="H598" s="110"/>
      <c r="I598" s="129"/>
      <c r="J598" t="s">
        <v>351</v>
      </c>
      <c r="K598" s="129"/>
      <c r="L598" s="129"/>
      <c r="M598" s="129"/>
      <c r="N598" s="129"/>
      <c r="O598" s="129"/>
      <c r="P598" s="129"/>
      <c r="Q598" s="129"/>
      <c r="R598" s="129"/>
      <c r="S598" s="141"/>
      <c r="T598" s="139"/>
      <c r="U598" s="129"/>
      <c r="V598" s="129"/>
      <c r="W598" s="129"/>
      <c r="X598" s="129"/>
      <c r="Y598" s="129"/>
      <c r="Z598" s="115"/>
      <c r="AA598" s="129"/>
      <c r="AB598" s="149"/>
      <c r="AC598" s="129"/>
      <c r="AD598" s="129"/>
      <c r="AE598" s="129"/>
    </row>
    <row r="599" spans="3:31" x14ac:dyDescent="0.35">
      <c r="C599" s="129"/>
      <c r="D599" s="129"/>
      <c r="E599" s="129"/>
      <c r="F599" s="129"/>
      <c r="G599" s="129"/>
      <c r="H599" s="110"/>
      <c r="I599" s="129"/>
      <c r="J599" t="s">
        <v>351</v>
      </c>
      <c r="K599" s="129"/>
      <c r="L599" s="129"/>
      <c r="M599" s="129"/>
      <c r="N599" s="129"/>
      <c r="O599" s="129"/>
      <c r="P599" s="129"/>
      <c r="Q599" s="129"/>
      <c r="R599" s="129"/>
      <c r="S599" s="141"/>
      <c r="T599" s="139"/>
      <c r="U599" s="129"/>
      <c r="V599" s="129"/>
      <c r="W599" s="129"/>
      <c r="X599" s="129"/>
      <c r="Y599" s="129"/>
      <c r="Z599" s="115"/>
      <c r="AA599" s="129"/>
      <c r="AB599" s="149"/>
      <c r="AC599" s="129"/>
      <c r="AD599" s="129"/>
      <c r="AE599" s="129"/>
    </row>
    <row r="600" spans="3:31" x14ac:dyDescent="0.35">
      <c r="C600" s="129"/>
      <c r="D600" s="129"/>
      <c r="E600" s="129"/>
      <c r="F600" s="129"/>
      <c r="G600" s="129"/>
      <c r="H600" s="110"/>
      <c r="I600" s="129"/>
      <c r="J600" t="s">
        <v>351</v>
      </c>
      <c r="K600" s="129"/>
      <c r="L600" s="129"/>
      <c r="M600" s="129"/>
      <c r="N600" s="129"/>
      <c r="O600" s="129"/>
      <c r="P600" s="129"/>
      <c r="Q600" s="129"/>
      <c r="R600" s="129"/>
      <c r="S600" s="141"/>
      <c r="T600" s="139"/>
      <c r="U600" s="129"/>
      <c r="V600" s="129"/>
      <c r="W600" s="129"/>
      <c r="X600" s="129"/>
      <c r="Y600" s="129"/>
      <c r="Z600" s="115"/>
      <c r="AA600" s="129"/>
      <c r="AB600" s="149"/>
      <c r="AC600" s="129"/>
      <c r="AD600" s="129"/>
      <c r="AE600" s="129"/>
    </row>
    <row r="601" spans="3:31" x14ac:dyDescent="0.35">
      <c r="C601" s="129"/>
      <c r="D601" s="129"/>
      <c r="E601" s="129"/>
      <c r="F601" s="129"/>
      <c r="G601" s="129"/>
      <c r="H601" s="110"/>
      <c r="I601" s="129"/>
      <c r="J601" t="s">
        <v>351</v>
      </c>
      <c r="K601" s="129"/>
      <c r="L601" s="129"/>
      <c r="M601" s="129"/>
      <c r="N601" s="129"/>
      <c r="O601" s="129"/>
      <c r="P601" s="129"/>
      <c r="Q601" s="129"/>
      <c r="R601" s="129"/>
      <c r="S601" s="141"/>
      <c r="T601" s="139"/>
      <c r="U601" s="129"/>
      <c r="V601" s="129"/>
      <c r="W601" s="129"/>
      <c r="X601" s="129"/>
      <c r="Y601" s="129"/>
      <c r="Z601" s="115"/>
      <c r="AA601" s="129"/>
      <c r="AB601" s="149"/>
      <c r="AC601" s="129"/>
      <c r="AD601" s="129"/>
      <c r="AE601" s="129"/>
    </row>
    <row r="602" spans="3:31" x14ac:dyDescent="0.35">
      <c r="C602" s="129"/>
      <c r="D602" s="129"/>
      <c r="E602" s="129"/>
      <c r="F602" s="129"/>
      <c r="G602" s="129"/>
      <c r="H602" s="110"/>
      <c r="I602" s="129"/>
      <c r="J602" t="s">
        <v>351</v>
      </c>
      <c r="K602" s="129"/>
      <c r="L602" s="129"/>
      <c r="M602" s="129"/>
      <c r="N602" s="129"/>
      <c r="O602" s="129"/>
      <c r="P602" s="129"/>
      <c r="Q602" s="129"/>
      <c r="R602" s="129"/>
      <c r="S602" s="141"/>
      <c r="T602" s="139"/>
      <c r="U602" s="129"/>
      <c r="V602" s="129"/>
      <c r="W602" s="129"/>
      <c r="X602" s="129"/>
      <c r="Y602" s="129"/>
      <c r="Z602" s="115"/>
      <c r="AA602" s="129"/>
      <c r="AB602" s="149"/>
      <c r="AC602" s="129"/>
      <c r="AD602" s="129"/>
      <c r="AE602" s="129"/>
    </row>
    <row r="603" spans="3:31" x14ac:dyDescent="0.35">
      <c r="C603" s="129"/>
      <c r="D603" s="129"/>
      <c r="E603" s="129"/>
      <c r="F603" s="129"/>
      <c r="G603" s="129"/>
      <c r="H603" s="110"/>
      <c r="I603" s="129"/>
      <c r="J603" t="s">
        <v>351</v>
      </c>
      <c r="K603" s="129"/>
      <c r="L603" s="129"/>
      <c r="M603" s="129"/>
      <c r="N603" s="129"/>
      <c r="O603" s="129"/>
      <c r="P603" s="129"/>
      <c r="Q603" s="129"/>
      <c r="R603" s="129"/>
      <c r="S603" s="141"/>
      <c r="T603" s="139"/>
      <c r="U603" s="129"/>
      <c r="V603" s="129"/>
      <c r="W603" s="129"/>
      <c r="X603" s="129"/>
      <c r="Y603" s="129"/>
      <c r="Z603" s="115"/>
      <c r="AA603" s="129"/>
      <c r="AB603" s="149"/>
      <c r="AC603" s="129"/>
      <c r="AD603" s="129"/>
      <c r="AE603" s="129"/>
    </row>
    <row r="604" spans="3:31" x14ac:dyDescent="0.35">
      <c r="C604" s="129"/>
      <c r="D604" s="129"/>
      <c r="E604" s="129"/>
      <c r="F604" s="129"/>
      <c r="G604" s="129"/>
      <c r="H604" s="110"/>
      <c r="I604" s="129"/>
      <c r="J604" t="s">
        <v>351</v>
      </c>
      <c r="K604" s="129"/>
      <c r="L604" s="129"/>
      <c r="M604" s="129"/>
      <c r="N604" s="129"/>
      <c r="O604" s="129"/>
      <c r="P604" s="129"/>
      <c r="Q604" s="129"/>
      <c r="R604" s="129"/>
      <c r="S604" s="141"/>
      <c r="T604" s="139"/>
      <c r="U604" s="129"/>
      <c r="V604" s="129"/>
      <c r="W604" s="129"/>
      <c r="X604" s="129"/>
      <c r="Y604" s="129"/>
      <c r="Z604" s="115"/>
      <c r="AA604" s="129"/>
      <c r="AB604" s="149"/>
      <c r="AC604" s="129"/>
      <c r="AD604" s="129"/>
      <c r="AE604" s="129"/>
    </row>
    <row r="605" spans="3:31" x14ac:dyDescent="0.35">
      <c r="C605" s="129"/>
      <c r="D605" s="129"/>
      <c r="E605" s="129"/>
      <c r="F605" s="129"/>
      <c r="G605" s="129"/>
      <c r="H605" s="110"/>
      <c r="I605" s="129"/>
      <c r="J605" t="s">
        <v>351</v>
      </c>
      <c r="K605" s="129"/>
      <c r="L605" s="129"/>
      <c r="M605" s="129"/>
      <c r="N605" s="129"/>
      <c r="O605" s="129"/>
      <c r="P605" s="129"/>
      <c r="Q605" s="129"/>
      <c r="R605" s="129"/>
      <c r="S605" s="141"/>
      <c r="T605" s="139"/>
      <c r="U605" s="129"/>
      <c r="V605" s="129"/>
      <c r="W605" s="129"/>
      <c r="X605" s="129"/>
      <c r="Y605" s="129"/>
      <c r="Z605" s="115"/>
      <c r="AA605" s="129"/>
      <c r="AB605" s="149"/>
      <c r="AC605" s="129"/>
      <c r="AD605" s="129"/>
      <c r="AE605" s="129"/>
    </row>
    <row r="606" spans="3:31" x14ac:dyDescent="0.35">
      <c r="C606" s="129"/>
      <c r="D606" s="129"/>
      <c r="E606" s="129"/>
      <c r="F606" s="129"/>
      <c r="G606" s="129"/>
      <c r="H606" s="110"/>
      <c r="I606" s="129"/>
      <c r="J606" t="s">
        <v>351</v>
      </c>
      <c r="K606" s="129"/>
      <c r="L606" s="129"/>
      <c r="M606" s="129"/>
      <c r="N606" s="129"/>
      <c r="O606" s="129"/>
      <c r="P606" s="129"/>
      <c r="Q606" s="129"/>
      <c r="R606" s="129"/>
      <c r="S606" s="141"/>
      <c r="T606" s="139"/>
      <c r="U606" s="129"/>
      <c r="V606" s="129"/>
      <c r="W606" s="129"/>
      <c r="X606" s="129"/>
      <c r="Y606" s="129"/>
      <c r="Z606" s="115"/>
      <c r="AA606" s="129"/>
      <c r="AB606" s="149"/>
      <c r="AC606" s="129"/>
      <c r="AD606" s="129"/>
      <c r="AE606" s="129"/>
    </row>
    <row r="607" spans="3:31" x14ac:dyDescent="0.35">
      <c r="C607" s="129"/>
      <c r="D607" s="129"/>
      <c r="E607" s="129"/>
      <c r="F607" s="129"/>
      <c r="G607" s="129"/>
      <c r="H607" s="110"/>
      <c r="I607" s="129"/>
      <c r="J607" t="s">
        <v>351</v>
      </c>
      <c r="K607" s="129"/>
      <c r="L607" s="129"/>
      <c r="M607" s="129"/>
      <c r="N607" s="129"/>
      <c r="O607" s="129"/>
      <c r="P607" s="129"/>
      <c r="Q607" s="129"/>
      <c r="R607" s="129"/>
      <c r="S607" s="141"/>
      <c r="T607" s="139"/>
      <c r="U607" s="129"/>
      <c r="V607" s="129"/>
      <c r="W607" s="129"/>
      <c r="X607" s="129"/>
      <c r="Y607" s="129"/>
      <c r="Z607" s="115"/>
      <c r="AA607" s="129"/>
      <c r="AB607" s="149"/>
      <c r="AC607" s="129"/>
      <c r="AD607" s="129"/>
      <c r="AE607" s="129"/>
    </row>
    <row r="608" spans="3:31" x14ac:dyDescent="0.35">
      <c r="C608" s="129"/>
      <c r="D608" s="129"/>
      <c r="E608" s="129"/>
      <c r="F608" s="129"/>
      <c r="G608" s="129"/>
      <c r="H608" s="110"/>
      <c r="I608" s="129"/>
      <c r="J608" t="s">
        <v>351</v>
      </c>
      <c r="K608" s="129"/>
      <c r="L608" s="129"/>
      <c r="M608" s="129"/>
      <c r="N608" s="129"/>
      <c r="O608" s="129"/>
      <c r="P608" s="129"/>
      <c r="Q608" s="129"/>
      <c r="R608" s="129"/>
      <c r="S608" s="141"/>
      <c r="T608" s="139"/>
      <c r="U608" s="129"/>
      <c r="V608" s="129"/>
      <c r="W608" s="129"/>
      <c r="X608" s="129"/>
      <c r="Y608" s="129"/>
      <c r="Z608" s="115"/>
      <c r="AA608" s="129"/>
      <c r="AB608" s="149"/>
      <c r="AC608" s="129"/>
      <c r="AD608" s="129"/>
      <c r="AE608" s="129"/>
    </row>
    <row r="609" spans="3:31" x14ac:dyDescent="0.35">
      <c r="C609" s="129"/>
      <c r="D609" s="129"/>
      <c r="E609" s="129"/>
      <c r="F609" s="129"/>
      <c r="G609" s="129"/>
      <c r="H609" s="110"/>
      <c r="I609" s="129"/>
      <c r="J609" t="s">
        <v>351</v>
      </c>
      <c r="K609" s="129"/>
      <c r="L609" s="129"/>
      <c r="M609" s="129"/>
      <c r="N609" s="129"/>
      <c r="O609" s="129"/>
      <c r="P609" s="129"/>
      <c r="Q609" s="129"/>
      <c r="R609" s="129"/>
      <c r="S609" s="141"/>
      <c r="T609" s="139"/>
      <c r="U609" s="129"/>
      <c r="V609" s="129"/>
      <c r="W609" s="129"/>
      <c r="X609" s="129"/>
      <c r="Y609" s="129"/>
      <c r="Z609" s="115"/>
      <c r="AA609" s="129"/>
      <c r="AB609" s="149"/>
      <c r="AC609" s="129"/>
      <c r="AD609" s="129"/>
      <c r="AE609" s="129"/>
    </row>
    <row r="610" spans="3:31" x14ac:dyDescent="0.35">
      <c r="C610" s="129"/>
      <c r="D610" s="129"/>
      <c r="E610" s="129"/>
      <c r="F610" s="129"/>
      <c r="G610" s="129"/>
      <c r="H610" s="110"/>
      <c r="I610" s="129"/>
      <c r="J610" t="s">
        <v>351</v>
      </c>
      <c r="K610" s="129"/>
      <c r="L610" s="129"/>
      <c r="M610" s="129"/>
      <c r="N610" s="129"/>
      <c r="O610" s="129"/>
      <c r="P610" s="129"/>
      <c r="Q610" s="129"/>
      <c r="R610" s="129"/>
      <c r="S610" s="141"/>
      <c r="T610" s="139"/>
      <c r="U610" s="129"/>
      <c r="V610" s="129"/>
      <c r="W610" s="129"/>
      <c r="X610" s="129"/>
      <c r="Y610" s="129"/>
      <c r="Z610" s="115"/>
      <c r="AA610" s="129"/>
      <c r="AB610" s="149"/>
      <c r="AC610" s="129"/>
      <c r="AD610" s="129"/>
      <c r="AE610" s="129"/>
    </row>
    <row r="611" spans="3:31" x14ac:dyDescent="0.35">
      <c r="C611" s="129"/>
      <c r="D611" s="129"/>
      <c r="E611" s="129"/>
      <c r="F611" s="129"/>
      <c r="G611" s="129"/>
      <c r="H611" s="110"/>
      <c r="I611" s="129"/>
      <c r="J611" t="s">
        <v>351</v>
      </c>
      <c r="K611" s="129"/>
      <c r="L611" s="129"/>
      <c r="M611" s="129"/>
      <c r="N611" s="129"/>
      <c r="O611" s="129"/>
      <c r="P611" s="129"/>
      <c r="Q611" s="129"/>
      <c r="R611" s="129"/>
      <c r="S611" s="141"/>
      <c r="T611" s="139"/>
      <c r="U611" s="129"/>
      <c r="V611" s="129"/>
      <c r="W611" s="129"/>
      <c r="X611" s="129"/>
      <c r="Y611" s="129"/>
      <c r="Z611" s="115"/>
      <c r="AA611" s="129"/>
      <c r="AB611" s="149"/>
      <c r="AC611" s="129"/>
      <c r="AD611" s="129"/>
      <c r="AE611" s="129"/>
    </row>
    <row r="612" spans="3:31" x14ac:dyDescent="0.35">
      <c r="C612" s="129"/>
      <c r="D612" s="129"/>
      <c r="E612" s="129"/>
      <c r="F612" s="129"/>
      <c r="G612" s="129"/>
      <c r="H612" s="110"/>
      <c r="I612" s="129"/>
      <c r="J612" t="s">
        <v>351</v>
      </c>
      <c r="K612" s="129"/>
      <c r="L612" s="129"/>
      <c r="M612" s="129"/>
      <c r="N612" s="129"/>
      <c r="O612" s="129"/>
      <c r="P612" s="129"/>
      <c r="Q612" s="129"/>
      <c r="R612" s="129"/>
      <c r="S612" s="141"/>
      <c r="T612" s="139"/>
      <c r="U612" s="129"/>
      <c r="V612" s="129"/>
      <c r="W612" s="129"/>
      <c r="X612" s="129"/>
      <c r="Y612" s="129"/>
      <c r="Z612" s="115"/>
      <c r="AA612" s="129"/>
      <c r="AB612" s="149"/>
      <c r="AC612" s="129"/>
      <c r="AD612" s="129"/>
      <c r="AE612" s="129"/>
    </row>
    <row r="613" spans="3:31" x14ac:dyDescent="0.35">
      <c r="C613" s="129"/>
      <c r="D613" s="129"/>
      <c r="E613" s="129"/>
      <c r="F613" s="129"/>
      <c r="G613" s="129"/>
      <c r="H613" s="110"/>
      <c r="I613" s="129"/>
      <c r="J613" t="s">
        <v>351</v>
      </c>
      <c r="K613" s="129"/>
      <c r="L613" s="129"/>
      <c r="M613" s="129"/>
      <c r="N613" s="129"/>
      <c r="O613" s="129"/>
      <c r="P613" s="129"/>
      <c r="Q613" s="129"/>
      <c r="R613" s="129"/>
      <c r="S613" s="141"/>
      <c r="T613" s="139"/>
      <c r="U613" s="129"/>
      <c r="V613" s="129"/>
      <c r="W613" s="129"/>
      <c r="X613" s="129"/>
      <c r="Y613" s="129"/>
      <c r="Z613" s="115"/>
      <c r="AA613" s="129"/>
      <c r="AB613" s="149"/>
      <c r="AC613" s="129"/>
      <c r="AD613" s="129"/>
      <c r="AE613" s="129"/>
    </row>
    <row r="614" spans="3:31" x14ac:dyDescent="0.35">
      <c r="C614" s="129"/>
      <c r="D614" s="129"/>
      <c r="E614" s="129"/>
      <c r="F614" s="129"/>
      <c r="G614" s="129"/>
      <c r="H614" s="110"/>
      <c r="I614" s="129"/>
      <c r="J614" t="s">
        <v>351</v>
      </c>
      <c r="K614" s="129"/>
      <c r="L614" s="129"/>
      <c r="M614" s="129"/>
      <c r="N614" s="129"/>
      <c r="O614" s="129"/>
      <c r="P614" s="129"/>
      <c r="Q614" s="129"/>
      <c r="R614" s="129"/>
      <c r="S614" s="141"/>
      <c r="T614" s="139"/>
      <c r="U614" s="129"/>
      <c r="V614" s="129"/>
      <c r="W614" s="129"/>
      <c r="X614" s="129"/>
      <c r="Y614" s="129"/>
      <c r="Z614" s="115"/>
      <c r="AA614" s="129"/>
      <c r="AB614" s="149"/>
      <c r="AC614" s="129"/>
      <c r="AD614" s="129"/>
      <c r="AE614" s="129"/>
    </row>
    <row r="615" spans="3:31" x14ac:dyDescent="0.35">
      <c r="C615" s="129"/>
      <c r="D615" s="129"/>
      <c r="E615" s="129"/>
      <c r="F615" s="129"/>
      <c r="G615" s="129"/>
      <c r="H615" s="110"/>
      <c r="I615" s="129"/>
      <c r="J615" t="s">
        <v>351</v>
      </c>
      <c r="K615" s="129"/>
      <c r="L615" s="129"/>
      <c r="M615" s="129"/>
      <c r="N615" s="129"/>
      <c r="O615" s="129"/>
      <c r="P615" s="129"/>
      <c r="Q615" s="129"/>
      <c r="R615" s="129"/>
      <c r="S615" s="141"/>
      <c r="T615" s="139"/>
      <c r="U615" s="129"/>
      <c r="V615" s="129"/>
      <c r="W615" s="129"/>
      <c r="X615" s="129"/>
      <c r="Y615" s="129"/>
      <c r="Z615" s="115"/>
      <c r="AA615" s="129"/>
      <c r="AB615" s="149"/>
      <c r="AC615" s="129"/>
      <c r="AD615" s="129"/>
      <c r="AE615" s="129"/>
    </row>
    <row r="616" spans="3:31" x14ac:dyDescent="0.35">
      <c r="C616" s="129"/>
      <c r="D616" s="129"/>
      <c r="E616" s="129"/>
      <c r="F616" s="129"/>
      <c r="G616" s="129"/>
      <c r="H616" s="110"/>
      <c r="I616" s="129"/>
      <c r="J616" t="s">
        <v>351</v>
      </c>
      <c r="K616" s="129"/>
      <c r="L616" s="129"/>
      <c r="M616" s="129"/>
      <c r="N616" s="129"/>
      <c r="O616" s="129"/>
      <c r="P616" s="129"/>
      <c r="Q616" s="129"/>
      <c r="R616" s="129"/>
      <c r="S616" s="141"/>
      <c r="T616" s="139"/>
      <c r="U616" s="129"/>
      <c r="V616" s="129"/>
      <c r="W616" s="129"/>
      <c r="X616" s="129"/>
      <c r="Y616" s="129"/>
      <c r="Z616" s="115"/>
      <c r="AA616" s="129"/>
      <c r="AB616" s="149"/>
      <c r="AC616" s="129"/>
      <c r="AD616" s="129"/>
      <c r="AE616" s="129"/>
    </row>
    <row r="617" spans="3:31" x14ac:dyDescent="0.35">
      <c r="C617" s="129"/>
      <c r="D617" s="129"/>
      <c r="E617" s="129"/>
      <c r="F617" s="129"/>
      <c r="G617" s="129"/>
      <c r="H617" s="110"/>
      <c r="I617" s="129"/>
      <c r="J617" t="s">
        <v>351</v>
      </c>
      <c r="K617" s="129"/>
      <c r="L617" s="129"/>
      <c r="M617" s="129"/>
      <c r="N617" s="129"/>
      <c r="O617" s="129"/>
      <c r="P617" s="129"/>
      <c r="Q617" s="129"/>
      <c r="R617" s="129"/>
      <c r="S617" s="141"/>
      <c r="T617" s="139"/>
      <c r="U617" s="129"/>
      <c r="V617" s="129"/>
      <c r="W617" s="129"/>
      <c r="X617" s="129"/>
      <c r="Y617" s="129"/>
      <c r="Z617" s="115"/>
      <c r="AA617" s="129"/>
      <c r="AB617" s="149"/>
      <c r="AC617" s="129"/>
      <c r="AD617" s="129"/>
      <c r="AE617" s="129"/>
    </row>
    <row r="618" spans="3:31" x14ac:dyDescent="0.35">
      <c r="C618" s="129"/>
      <c r="D618" s="129"/>
      <c r="E618" s="129"/>
      <c r="F618" s="129"/>
      <c r="G618" s="129"/>
      <c r="H618" s="110"/>
      <c r="I618" s="129"/>
      <c r="J618" t="s">
        <v>351</v>
      </c>
      <c r="K618" s="129"/>
      <c r="L618" s="129"/>
      <c r="M618" s="129"/>
      <c r="N618" s="129"/>
      <c r="O618" s="129"/>
      <c r="P618" s="129"/>
      <c r="Q618" s="129"/>
      <c r="R618" s="129"/>
      <c r="S618" s="141"/>
      <c r="T618" s="139"/>
      <c r="U618" s="129"/>
      <c r="V618" s="129"/>
      <c r="W618" s="129"/>
      <c r="X618" s="129"/>
      <c r="Y618" s="129"/>
      <c r="Z618" s="115"/>
      <c r="AA618" s="129"/>
      <c r="AB618" s="149"/>
      <c r="AC618" s="129"/>
      <c r="AD618" s="129"/>
      <c r="AE618" s="129"/>
    </row>
    <row r="619" spans="3:31" x14ac:dyDescent="0.35">
      <c r="C619" s="129"/>
      <c r="D619" s="129"/>
      <c r="E619" s="129"/>
      <c r="F619" s="129"/>
      <c r="G619" s="129"/>
      <c r="H619" s="110"/>
      <c r="I619" s="129"/>
      <c r="J619" t="s">
        <v>351</v>
      </c>
      <c r="K619" s="129"/>
      <c r="L619" s="129"/>
      <c r="M619" s="129"/>
      <c r="N619" s="129"/>
      <c r="O619" s="129"/>
      <c r="P619" s="129"/>
      <c r="Q619" s="129"/>
      <c r="R619" s="129"/>
      <c r="S619" s="141"/>
      <c r="T619" s="139"/>
      <c r="U619" s="129"/>
      <c r="V619" s="129"/>
      <c r="W619" s="129"/>
      <c r="X619" s="129"/>
      <c r="Y619" s="129"/>
      <c r="Z619" s="115"/>
      <c r="AA619" s="129"/>
      <c r="AB619" s="149"/>
      <c r="AC619" s="129"/>
      <c r="AD619" s="129"/>
      <c r="AE619" s="129"/>
    </row>
    <row r="620" spans="3:31" x14ac:dyDescent="0.35">
      <c r="C620" s="129"/>
      <c r="D620" s="129"/>
      <c r="E620" s="129"/>
      <c r="F620" s="129"/>
      <c r="G620" s="129"/>
      <c r="H620" s="110"/>
      <c r="I620" s="129"/>
      <c r="J620" t="s">
        <v>351</v>
      </c>
      <c r="K620" s="129"/>
      <c r="L620" s="129"/>
      <c r="M620" s="129"/>
      <c r="N620" s="129"/>
      <c r="O620" s="129"/>
      <c r="P620" s="129"/>
      <c r="Q620" s="129"/>
      <c r="R620" s="129"/>
      <c r="S620" s="141"/>
      <c r="T620" s="139"/>
      <c r="U620" s="129"/>
      <c r="V620" s="129"/>
      <c r="W620" s="129"/>
      <c r="X620" s="129"/>
      <c r="Y620" s="129"/>
      <c r="Z620" s="115"/>
      <c r="AA620" s="129"/>
      <c r="AB620" s="149"/>
      <c r="AC620" s="129"/>
      <c r="AD620" s="129"/>
      <c r="AE620" s="129"/>
    </row>
    <row r="621" spans="3:31" x14ac:dyDescent="0.35">
      <c r="C621" s="129"/>
      <c r="D621" s="129"/>
      <c r="E621" s="129"/>
      <c r="F621" s="129"/>
      <c r="G621" s="129"/>
      <c r="H621" s="110"/>
      <c r="I621" s="129"/>
      <c r="J621" t="s">
        <v>351</v>
      </c>
      <c r="K621" s="129"/>
      <c r="L621" s="129"/>
      <c r="M621" s="129"/>
      <c r="N621" s="129"/>
      <c r="O621" s="129"/>
      <c r="P621" s="129"/>
      <c r="Q621" s="129"/>
      <c r="R621" s="129"/>
      <c r="S621" s="141"/>
      <c r="T621" s="139"/>
      <c r="U621" s="129"/>
      <c r="V621" s="129"/>
      <c r="W621" s="129"/>
      <c r="X621" s="129"/>
      <c r="Y621" s="129"/>
      <c r="Z621" s="115"/>
      <c r="AA621" s="129"/>
      <c r="AB621" s="149"/>
      <c r="AC621" s="129"/>
      <c r="AD621" s="129"/>
      <c r="AE621" s="129"/>
    </row>
    <row r="622" spans="3:31" x14ac:dyDescent="0.35">
      <c r="C622" s="129"/>
      <c r="D622" s="129"/>
      <c r="E622" s="129"/>
      <c r="F622" s="129"/>
      <c r="G622" s="129"/>
      <c r="H622" s="110"/>
      <c r="I622" s="129"/>
      <c r="J622" t="s">
        <v>351</v>
      </c>
      <c r="K622" s="129"/>
      <c r="L622" s="129"/>
      <c r="M622" s="129"/>
      <c r="N622" s="129"/>
      <c r="O622" s="129"/>
      <c r="P622" s="129"/>
      <c r="Q622" s="129"/>
      <c r="R622" s="129"/>
      <c r="S622" s="141"/>
      <c r="T622" s="139"/>
      <c r="U622" s="129"/>
      <c r="V622" s="129"/>
      <c r="W622" s="129"/>
      <c r="X622" s="129"/>
      <c r="Y622" s="129"/>
      <c r="Z622" s="115"/>
      <c r="AA622" s="129"/>
      <c r="AB622" s="149"/>
      <c r="AC622" s="129"/>
      <c r="AD622" s="129"/>
      <c r="AE622" s="129"/>
    </row>
    <row r="623" spans="3:31" x14ac:dyDescent="0.35">
      <c r="C623" s="129"/>
      <c r="D623" s="129"/>
      <c r="E623" s="129"/>
      <c r="F623" s="129"/>
      <c r="G623" s="129"/>
      <c r="H623" s="110"/>
      <c r="I623" s="129"/>
      <c r="J623" t="s">
        <v>351</v>
      </c>
      <c r="K623" s="129"/>
      <c r="L623" s="129"/>
      <c r="M623" s="129"/>
      <c r="N623" s="129"/>
      <c r="O623" s="129"/>
      <c r="P623" s="129"/>
      <c r="Q623" s="129"/>
      <c r="R623" s="129"/>
      <c r="S623" s="141"/>
      <c r="T623" s="139"/>
      <c r="U623" s="129"/>
      <c r="V623" s="129"/>
      <c r="W623" s="129"/>
      <c r="X623" s="129"/>
      <c r="Y623" s="129"/>
      <c r="Z623" s="115"/>
      <c r="AA623" s="129"/>
      <c r="AB623" s="149"/>
      <c r="AC623" s="129"/>
      <c r="AD623" s="129"/>
      <c r="AE623" s="129"/>
    </row>
    <row r="624" spans="3:31" x14ac:dyDescent="0.35">
      <c r="C624" s="129"/>
      <c r="D624" s="129"/>
      <c r="E624" s="129"/>
      <c r="F624" s="129"/>
      <c r="G624" s="129"/>
      <c r="H624" s="110"/>
      <c r="I624" s="129"/>
      <c r="J624" t="s">
        <v>351</v>
      </c>
      <c r="K624" s="129"/>
      <c r="L624" s="129"/>
      <c r="M624" s="129"/>
      <c r="N624" s="129"/>
      <c r="O624" s="129"/>
      <c r="P624" s="129"/>
      <c r="Q624" s="129"/>
      <c r="R624" s="129"/>
      <c r="S624" s="141"/>
      <c r="T624" s="139"/>
      <c r="U624" s="129"/>
      <c r="V624" s="129"/>
      <c r="W624" s="129"/>
      <c r="X624" s="129"/>
      <c r="Y624" s="129"/>
      <c r="Z624" s="115"/>
      <c r="AA624" s="129"/>
      <c r="AB624" s="149"/>
      <c r="AC624" s="129"/>
      <c r="AD624" s="129"/>
      <c r="AE624" s="129"/>
    </row>
    <row r="625" spans="3:31" x14ac:dyDescent="0.35">
      <c r="C625" s="129"/>
      <c r="D625" s="129"/>
      <c r="E625" s="129"/>
      <c r="F625" s="129"/>
      <c r="G625" s="129"/>
      <c r="H625" s="110"/>
      <c r="I625" s="129"/>
      <c r="J625" t="s">
        <v>351</v>
      </c>
      <c r="K625" s="129"/>
      <c r="L625" s="129"/>
      <c r="M625" s="129"/>
      <c r="N625" s="129"/>
      <c r="O625" s="129"/>
      <c r="P625" s="129"/>
      <c r="Q625" s="129"/>
      <c r="R625" s="129"/>
      <c r="S625" s="141"/>
      <c r="T625" s="139"/>
      <c r="U625" s="129"/>
      <c r="V625" s="129"/>
      <c r="W625" s="129"/>
      <c r="X625" s="129"/>
      <c r="Y625" s="129"/>
      <c r="Z625" s="115"/>
      <c r="AA625" s="129"/>
      <c r="AB625" s="149"/>
      <c r="AC625" s="129"/>
      <c r="AD625" s="129"/>
      <c r="AE625" s="129"/>
    </row>
    <row r="626" spans="3:31" x14ac:dyDescent="0.35">
      <c r="C626" s="129"/>
      <c r="D626" s="129"/>
      <c r="E626" s="129"/>
      <c r="F626" s="129"/>
      <c r="G626" s="129"/>
      <c r="H626" s="110"/>
      <c r="I626" s="129"/>
      <c r="J626" t="s">
        <v>351</v>
      </c>
      <c r="K626" s="129"/>
      <c r="L626" s="129"/>
      <c r="M626" s="129"/>
      <c r="N626" s="129"/>
      <c r="O626" s="129"/>
      <c r="P626" s="129"/>
      <c r="Q626" s="129"/>
      <c r="R626" s="129"/>
      <c r="S626" s="141"/>
      <c r="T626" s="139"/>
      <c r="U626" s="129"/>
      <c r="V626" s="129"/>
      <c r="W626" s="129"/>
      <c r="X626" s="129"/>
      <c r="Y626" s="129"/>
      <c r="Z626" s="115"/>
      <c r="AA626" s="129"/>
      <c r="AB626" s="149"/>
      <c r="AC626" s="129"/>
      <c r="AD626" s="129"/>
      <c r="AE626" s="129"/>
    </row>
    <row r="627" spans="3:31" x14ac:dyDescent="0.35">
      <c r="C627" s="129"/>
      <c r="D627" s="129"/>
      <c r="E627" s="129"/>
      <c r="F627" s="129"/>
      <c r="G627" s="129"/>
      <c r="H627" s="110"/>
      <c r="I627" s="129"/>
      <c r="J627" t="s">
        <v>351</v>
      </c>
      <c r="K627" s="129"/>
      <c r="L627" s="129"/>
      <c r="M627" s="129"/>
      <c r="N627" s="129"/>
      <c r="O627" s="129"/>
      <c r="P627" s="129"/>
      <c r="Q627" s="129"/>
      <c r="R627" s="129"/>
      <c r="S627" s="141"/>
      <c r="T627" s="139"/>
      <c r="U627" s="129"/>
      <c r="V627" s="129"/>
      <c r="W627" s="129"/>
      <c r="X627" s="129"/>
      <c r="Y627" s="129"/>
      <c r="Z627" s="115"/>
      <c r="AA627" s="129"/>
      <c r="AB627" s="149"/>
      <c r="AC627" s="129"/>
      <c r="AD627" s="129"/>
      <c r="AE627" s="129"/>
    </row>
    <row r="628" spans="3:31" x14ac:dyDescent="0.35">
      <c r="C628" s="129"/>
      <c r="D628" s="129"/>
      <c r="E628" s="129"/>
      <c r="F628" s="129"/>
      <c r="G628" s="129"/>
      <c r="H628" s="110"/>
      <c r="I628" s="129"/>
      <c r="J628" t="s">
        <v>351</v>
      </c>
      <c r="K628" s="129"/>
      <c r="L628" s="129"/>
      <c r="M628" s="129"/>
      <c r="N628" s="129"/>
      <c r="O628" s="129"/>
      <c r="P628" s="129"/>
      <c r="Q628" s="129"/>
      <c r="R628" s="129"/>
      <c r="S628" s="141"/>
      <c r="T628" s="139"/>
      <c r="U628" s="129"/>
      <c r="V628" s="129"/>
      <c r="W628" s="129"/>
      <c r="X628" s="129"/>
      <c r="Y628" s="129"/>
      <c r="Z628" s="115"/>
      <c r="AA628" s="129"/>
      <c r="AB628" s="149"/>
      <c r="AC628" s="129"/>
      <c r="AD628" s="129"/>
      <c r="AE628" s="129"/>
    </row>
    <row r="629" spans="3:31" x14ac:dyDescent="0.35">
      <c r="C629" s="129"/>
      <c r="D629" s="129"/>
      <c r="E629" s="129"/>
      <c r="F629" s="129"/>
      <c r="G629" s="129"/>
      <c r="H629" s="110"/>
      <c r="I629" s="129"/>
      <c r="J629" t="s">
        <v>351</v>
      </c>
      <c r="K629" s="129"/>
      <c r="L629" s="129"/>
      <c r="M629" s="129"/>
      <c r="N629" s="129"/>
      <c r="O629" s="129"/>
      <c r="P629" s="129"/>
      <c r="Q629" s="129"/>
      <c r="R629" s="129"/>
      <c r="S629" s="141"/>
      <c r="T629" s="139"/>
      <c r="U629" s="129"/>
      <c r="V629" s="129"/>
      <c r="W629" s="129"/>
      <c r="X629" s="129"/>
      <c r="Y629" s="129"/>
      <c r="Z629" s="115"/>
      <c r="AA629" s="129"/>
      <c r="AB629" s="149"/>
      <c r="AC629" s="129"/>
      <c r="AD629" s="129"/>
      <c r="AE629" s="129"/>
    </row>
    <row r="630" spans="3:31" x14ac:dyDescent="0.35">
      <c r="C630" s="129"/>
      <c r="D630" s="129"/>
      <c r="E630" s="129"/>
      <c r="F630" s="129"/>
      <c r="G630" s="129"/>
      <c r="H630" s="110"/>
      <c r="I630" s="129"/>
      <c r="J630" t="s">
        <v>351</v>
      </c>
      <c r="K630" s="129"/>
      <c r="L630" s="129"/>
      <c r="M630" s="129"/>
      <c r="N630" s="129"/>
      <c r="O630" s="129"/>
      <c r="P630" s="129"/>
      <c r="Q630" s="129"/>
      <c r="R630" s="129"/>
      <c r="S630" s="141"/>
      <c r="T630" s="139"/>
      <c r="U630" s="129"/>
      <c r="V630" s="129"/>
      <c r="W630" s="129"/>
      <c r="X630" s="129"/>
      <c r="Y630" s="129"/>
      <c r="Z630" s="115"/>
      <c r="AA630" s="129"/>
      <c r="AB630" s="149"/>
      <c r="AC630" s="129"/>
      <c r="AD630" s="129"/>
      <c r="AE630" s="129"/>
    </row>
    <row r="631" spans="3:31" x14ac:dyDescent="0.35">
      <c r="C631" s="129"/>
      <c r="D631" s="129"/>
      <c r="E631" s="129"/>
      <c r="F631" s="129"/>
      <c r="G631" s="129"/>
      <c r="H631" s="110"/>
      <c r="I631" s="129"/>
      <c r="J631" t="s">
        <v>351</v>
      </c>
      <c r="K631" s="129"/>
      <c r="L631" s="129"/>
      <c r="M631" s="129"/>
      <c r="N631" s="129"/>
      <c r="O631" s="129"/>
      <c r="P631" s="129"/>
      <c r="Q631" s="129"/>
      <c r="R631" s="129"/>
      <c r="S631" s="141"/>
      <c r="T631" s="139"/>
      <c r="U631" s="129"/>
      <c r="V631" s="129"/>
      <c r="W631" s="129"/>
      <c r="X631" s="129"/>
      <c r="Y631" s="129"/>
      <c r="Z631" s="115"/>
      <c r="AA631" s="129"/>
      <c r="AB631" s="149"/>
      <c r="AC631" s="129"/>
      <c r="AD631" s="129"/>
      <c r="AE631" s="129"/>
    </row>
    <row r="632" spans="3:31" x14ac:dyDescent="0.35">
      <c r="C632" s="129"/>
      <c r="D632" s="129"/>
      <c r="E632" s="129"/>
      <c r="F632" s="129"/>
      <c r="G632" s="129"/>
      <c r="H632" s="110"/>
      <c r="I632" s="129"/>
      <c r="J632" t="s">
        <v>351</v>
      </c>
      <c r="K632" s="129"/>
      <c r="L632" s="129"/>
      <c r="M632" s="129"/>
      <c r="N632" s="129"/>
      <c r="O632" s="129"/>
      <c r="P632" s="129"/>
      <c r="Q632" s="129"/>
      <c r="R632" s="129"/>
      <c r="S632" s="141"/>
      <c r="T632" s="139"/>
      <c r="U632" s="129"/>
      <c r="V632" s="129"/>
      <c r="W632" s="129"/>
      <c r="X632" s="129"/>
      <c r="Y632" s="129"/>
      <c r="Z632" s="115"/>
      <c r="AA632" s="129"/>
      <c r="AB632" s="149"/>
      <c r="AC632" s="129"/>
      <c r="AD632" s="129"/>
      <c r="AE632" s="129"/>
    </row>
    <row r="633" spans="3:31" x14ac:dyDescent="0.35">
      <c r="C633" s="129"/>
      <c r="D633" s="129"/>
      <c r="E633" s="129"/>
      <c r="F633" s="129"/>
      <c r="G633" s="129"/>
      <c r="H633" s="110"/>
      <c r="I633" s="129"/>
      <c r="J633" t="s">
        <v>351</v>
      </c>
      <c r="K633" s="129"/>
      <c r="L633" s="129"/>
      <c r="M633" s="129"/>
      <c r="N633" s="129"/>
      <c r="O633" s="129"/>
      <c r="P633" s="129"/>
      <c r="Q633" s="129"/>
      <c r="R633" s="129"/>
      <c r="S633" s="141"/>
      <c r="T633" s="139"/>
      <c r="U633" s="129"/>
      <c r="V633" s="129"/>
      <c r="W633" s="129"/>
      <c r="X633" s="129"/>
      <c r="Y633" s="129"/>
      <c r="Z633" s="115"/>
      <c r="AA633" s="129"/>
      <c r="AB633" s="149"/>
      <c r="AC633" s="129"/>
      <c r="AD633" s="129"/>
      <c r="AE633" s="129"/>
    </row>
    <row r="634" spans="3:31" x14ac:dyDescent="0.35">
      <c r="C634" s="129"/>
      <c r="D634" s="129"/>
      <c r="E634" s="129"/>
      <c r="F634" s="129"/>
      <c r="G634" s="129"/>
      <c r="H634" s="110"/>
      <c r="I634" s="129"/>
      <c r="J634" t="s">
        <v>351</v>
      </c>
      <c r="K634" s="129"/>
      <c r="L634" s="129"/>
      <c r="M634" s="129"/>
      <c r="N634" s="129"/>
      <c r="O634" s="129"/>
      <c r="P634" s="129"/>
      <c r="Q634" s="129"/>
      <c r="R634" s="129"/>
      <c r="S634" s="141"/>
      <c r="T634" s="139"/>
      <c r="U634" s="129"/>
      <c r="V634" s="129"/>
      <c r="W634" s="129"/>
      <c r="X634" s="129"/>
      <c r="Y634" s="129"/>
      <c r="Z634" s="115"/>
      <c r="AA634" s="129"/>
      <c r="AB634" s="149"/>
      <c r="AC634" s="129"/>
      <c r="AD634" s="129"/>
      <c r="AE634" s="129"/>
    </row>
    <row r="635" spans="3:31" x14ac:dyDescent="0.35">
      <c r="C635" s="129"/>
      <c r="D635" s="129"/>
      <c r="E635" s="129"/>
      <c r="F635" s="129"/>
      <c r="G635" s="129"/>
      <c r="H635" s="110"/>
      <c r="I635" s="129"/>
      <c r="J635" t="s">
        <v>351</v>
      </c>
      <c r="K635" s="129"/>
      <c r="L635" s="129"/>
      <c r="M635" s="129"/>
      <c r="N635" s="129"/>
      <c r="O635" s="129"/>
      <c r="P635" s="129"/>
      <c r="Q635" s="129"/>
      <c r="R635" s="129"/>
      <c r="S635" s="141"/>
      <c r="T635" s="139"/>
      <c r="U635" s="129"/>
      <c r="V635" s="129"/>
      <c r="W635" s="129"/>
      <c r="X635" s="129"/>
      <c r="Y635" s="129"/>
      <c r="Z635" s="115"/>
      <c r="AA635" s="129"/>
      <c r="AB635" s="149"/>
      <c r="AC635" s="129"/>
      <c r="AD635" s="129"/>
      <c r="AE635" s="129"/>
    </row>
    <row r="636" spans="3:31" x14ac:dyDescent="0.35">
      <c r="C636" s="129"/>
      <c r="D636" s="129"/>
      <c r="E636" s="129"/>
      <c r="F636" s="129"/>
      <c r="G636" s="129"/>
      <c r="H636" s="110"/>
      <c r="I636" s="129"/>
      <c r="J636" t="s">
        <v>351</v>
      </c>
      <c r="K636" s="129"/>
      <c r="L636" s="129"/>
      <c r="M636" s="129"/>
      <c r="N636" s="129"/>
      <c r="O636" s="129"/>
      <c r="P636" s="129"/>
      <c r="Q636" s="129"/>
      <c r="R636" s="129"/>
      <c r="S636" s="141"/>
      <c r="T636" s="139"/>
      <c r="U636" s="129"/>
      <c r="V636" s="129"/>
      <c r="W636" s="129"/>
      <c r="X636" s="129"/>
      <c r="Y636" s="129"/>
      <c r="Z636" s="115"/>
      <c r="AA636" s="129"/>
      <c r="AB636" s="149"/>
      <c r="AC636" s="129"/>
      <c r="AD636" s="129"/>
      <c r="AE636" s="129"/>
    </row>
    <row r="637" spans="3:31" x14ac:dyDescent="0.35">
      <c r="C637" s="129"/>
      <c r="D637" s="129"/>
      <c r="E637" s="129"/>
      <c r="F637" s="129"/>
      <c r="G637" s="129"/>
      <c r="H637" s="110"/>
      <c r="I637" s="129"/>
      <c r="J637" t="s">
        <v>351</v>
      </c>
      <c r="K637" s="129"/>
      <c r="L637" s="129"/>
      <c r="M637" s="129"/>
      <c r="N637" s="129"/>
      <c r="O637" s="129"/>
      <c r="P637" s="129"/>
      <c r="Q637" s="129"/>
      <c r="R637" s="129"/>
      <c r="S637" s="141"/>
      <c r="T637" s="139"/>
      <c r="U637" s="129"/>
      <c r="V637" s="129"/>
      <c r="W637" s="129"/>
      <c r="X637" s="129"/>
      <c r="Y637" s="129"/>
      <c r="Z637" s="115"/>
      <c r="AA637" s="129"/>
      <c r="AB637" s="149"/>
      <c r="AC637" s="129"/>
      <c r="AD637" s="129"/>
      <c r="AE637" s="129"/>
    </row>
    <row r="638" spans="3:31" x14ac:dyDescent="0.35">
      <c r="C638" s="129"/>
      <c r="D638" s="129"/>
      <c r="E638" s="129"/>
      <c r="F638" s="129"/>
      <c r="G638" s="129"/>
      <c r="H638" s="110"/>
      <c r="I638" s="129"/>
      <c r="J638" t="s">
        <v>351</v>
      </c>
      <c r="K638" s="129"/>
      <c r="L638" s="129"/>
      <c r="M638" s="129"/>
      <c r="N638" s="129"/>
      <c r="O638" s="129"/>
      <c r="P638" s="129"/>
      <c r="Q638" s="129"/>
      <c r="R638" s="129"/>
      <c r="S638" s="141"/>
      <c r="T638" s="139"/>
      <c r="U638" s="129"/>
      <c r="V638" s="129"/>
      <c r="W638" s="129"/>
      <c r="X638" s="129"/>
      <c r="Y638" s="129"/>
      <c r="Z638" s="115"/>
      <c r="AA638" s="129"/>
      <c r="AB638" s="149"/>
      <c r="AC638" s="129"/>
      <c r="AD638" s="129"/>
      <c r="AE638" s="129"/>
    </row>
    <row r="639" spans="3:31" x14ac:dyDescent="0.35">
      <c r="C639" s="129"/>
      <c r="D639" s="129"/>
      <c r="E639" s="129"/>
      <c r="F639" s="129"/>
      <c r="G639" s="129"/>
      <c r="H639" s="110"/>
      <c r="I639" s="129"/>
      <c r="J639" t="s">
        <v>351</v>
      </c>
      <c r="K639" s="129"/>
      <c r="L639" s="129"/>
      <c r="M639" s="129"/>
      <c r="N639" s="129"/>
      <c r="O639" s="129"/>
      <c r="P639" s="129"/>
      <c r="Q639" s="129"/>
      <c r="R639" s="129"/>
      <c r="S639" s="141"/>
      <c r="T639" s="139"/>
      <c r="U639" s="129"/>
      <c r="V639" s="129"/>
      <c r="W639" s="129"/>
      <c r="X639" s="129"/>
      <c r="Y639" s="129"/>
      <c r="Z639" s="115"/>
      <c r="AA639" s="129"/>
      <c r="AB639" s="149"/>
      <c r="AC639" s="129"/>
      <c r="AD639" s="129"/>
      <c r="AE639" s="129"/>
    </row>
    <row r="640" spans="3:31" x14ac:dyDescent="0.35">
      <c r="C640" s="129"/>
      <c r="D640" s="129"/>
      <c r="E640" s="129"/>
      <c r="F640" s="129"/>
      <c r="G640" s="129"/>
      <c r="H640" s="110"/>
      <c r="I640" s="129"/>
      <c r="J640" t="s">
        <v>351</v>
      </c>
      <c r="K640" s="129"/>
      <c r="L640" s="129"/>
      <c r="M640" s="129"/>
      <c r="N640" s="129"/>
      <c r="O640" s="129"/>
      <c r="P640" s="129"/>
      <c r="Q640" s="129"/>
      <c r="R640" s="129"/>
      <c r="S640" s="141"/>
      <c r="T640" s="139"/>
      <c r="U640" s="129"/>
      <c r="V640" s="129"/>
      <c r="W640" s="129"/>
      <c r="X640" s="129"/>
      <c r="Y640" s="129"/>
      <c r="Z640" s="115"/>
      <c r="AA640" s="129"/>
      <c r="AB640" s="149"/>
      <c r="AC640" s="129"/>
      <c r="AD640" s="129"/>
      <c r="AE640" s="129"/>
    </row>
    <row r="641" spans="3:31" x14ac:dyDescent="0.35">
      <c r="C641" s="129"/>
      <c r="D641" s="129"/>
      <c r="E641" s="129"/>
      <c r="F641" s="129"/>
      <c r="G641" s="129"/>
      <c r="H641" s="110"/>
      <c r="I641" s="129"/>
      <c r="J641" t="s">
        <v>351</v>
      </c>
      <c r="K641" s="129"/>
      <c r="L641" s="129"/>
      <c r="M641" s="129"/>
      <c r="N641" s="129"/>
      <c r="O641" s="129"/>
      <c r="P641" s="129"/>
      <c r="Q641" s="129"/>
      <c r="R641" s="129"/>
      <c r="S641" s="141"/>
      <c r="T641" s="139"/>
      <c r="U641" s="129"/>
      <c r="V641" s="129"/>
      <c r="W641" s="129"/>
      <c r="X641" s="129"/>
      <c r="Y641" s="129"/>
      <c r="Z641" s="115"/>
      <c r="AA641" s="129"/>
      <c r="AB641" s="149"/>
      <c r="AC641" s="129"/>
      <c r="AD641" s="129"/>
      <c r="AE641" s="129"/>
    </row>
    <row r="642" spans="3:31" x14ac:dyDescent="0.35">
      <c r="C642" s="129"/>
      <c r="D642" s="129"/>
      <c r="E642" s="129"/>
      <c r="F642" s="129"/>
      <c r="G642" s="129"/>
      <c r="H642" s="110"/>
      <c r="I642" s="129"/>
      <c r="J642" t="s">
        <v>351</v>
      </c>
      <c r="K642" s="129"/>
      <c r="L642" s="129"/>
      <c r="M642" s="129"/>
      <c r="N642" s="129"/>
      <c r="O642" s="129"/>
      <c r="P642" s="129"/>
      <c r="Q642" s="129"/>
      <c r="R642" s="129"/>
      <c r="S642" s="141"/>
      <c r="T642" s="139"/>
      <c r="U642" s="129"/>
      <c r="V642" s="129"/>
      <c r="W642" s="129"/>
      <c r="X642" s="129"/>
      <c r="Y642" s="129"/>
      <c r="Z642" s="115"/>
      <c r="AA642" s="129"/>
      <c r="AB642" s="149"/>
      <c r="AC642" s="129"/>
      <c r="AD642" s="129"/>
      <c r="AE642" s="129"/>
    </row>
    <row r="643" spans="3:31" x14ac:dyDescent="0.35">
      <c r="C643" s="129"/>
      <c r="D643" s="129"/>
      <c r="E643" s="129"/>
      <c r="F643" s="129"/>
      <c r="G643" s="129"/>
      <c r="H643" s="110"/>
      <c r="I643" s="129"/>
      <c r="J643" t="s">
        <v>351</v>
      </c>
      <c r="K643" s="129"/>
      <c r="L643" s="129"/>
      <c r="M643" s="129"/>
      <c r="N643" s="129"/>
      <c r="O643" s="129"/>
      <c r="P643" s="129"/>
      <c r="Q643" s="129"/>
      <c r="R643" s="129"/>
      <c r="S643" s="141"/>
      <c r="T643" s="139"/>
      <c r="U643" s="129"/>
      <c r="V643" s="129"/>
      <c r="W643" s="129"/>
      <c r="X643" s="129"/>
      <c r="Y643" s="129"/>
      <c r="Z643" s="115"/>
      <c r="AA643" s="129"/>
      <c r="AB643" s="149"/>
      <c r="AC643" s="129"/>
      <c r="AD643" s="129"/>
      <c r="AE643" s="129"/>
    </row>
    <row r="644" spans="3:31" x14ac:dyDescent="0.35">
      <c r="C644" s="129"/>
      <c r="D644" s="129"/>
      <c r="E644" s="129"/>
      <c r="F644" s="129"/>
      <c r="G644" s="129"/>
      <c r="H644" s="110"/>
      <c r="I644" s="129"/>
      <c r="J644" t="s">
        <v>351</v>
      </c>
      <c r="K644" s="129"/>
      <c r="L644" s="129"/>
      <c r="M644" s="129"/>
      <c r="N644" s="129"/>
      <c r="O644" s="129"/>
      <c r="P644" s="129"/>
      <c r="Q644" s="129"/>
      <c r="R644" s="129"/>
      <c r="S644" s="141"/>
      <c r="T644" s="139"/>
      <c r="U644" s="129"/>
      <c r="V644" s="129"/>
      <c r="W644" s="129"/>
      <c r="X644" s="129"/>
      <c r="Y644" s="129"/>
      <c r="Z644" s="115"/>
      <c r="AA644" s="129"/>
      <c r="AB644" s="149"/>
      <c r="AC644" s="129"/>
      <c r="AD644" s="129"/>
      <c r="AE644" s="129"/>
    </row>
    <row r="645" spans="3:31" x14ac:dyDescent="0.35">
      <c r="C645" s="129"/>
      <c r="D645" s="129"/>
      <c r="E645" s="129"/>
      <c r="F645" s="129"/>
      <c r="G645" s="129"/>
      <c r="H645" s="110"/>
      <c r="I645" s="129"/>
      <c r="J645" t="s">
        <v>351</v>
      </c>
      <c r="K645" s="129"/>
      <c r="L645" s="129"/>
      <c r="M645" s="129"/>
      <c r="N645" s="129"/>
      <c r="O645" s="129"/>
      <c r="P645" s="129"/>
      <c r="Q645" s="129"/>
      <c r="R645" s="129"/>
      <c r="S645" s="141"/>
      <c r="T645" s="139"/>
      <c r="U645" s="129"/>
      <c r="V645" s="129"/>
      <c r="W645" s="129"/>
      <c r="X645" s="129"/>
      <c r="Y645" s="129"/>
      <c r="Z645" s="115"/>
      <c r="AA645" s="129"/>
      <c r="AB645" s="149"/>
      <c r="AC645" s="129"/>
      <c r="AD645" s="129"/>
      <c r="AE645" s="129"/>
    </row>
    <row r="646" spans="3:31" x14ac:dyDescent="0.35">
      <c r="C646" s="129"/>
      <c r="D646" s="129"/>
      <c r="E646" s="129"/>
      <c r="F646" s="129"/>
      <c r="G646" s="129"/>
      <c r="H646" s="110"/>
      <c r="I646" s="129"/>
      <c r="J646" t="s">
        <v>351</v>
      </c>
      <c r="K646" s="129"/>
      <c r="L646" s="129"/>
      <c r="M646" s="129"/>
      <c r="N646" s="129"/>
      <c r="O646" s="129"/>
      <c r="P646" s="129"/>
      <c r="Q646" s="129"/>
      <c r="R646" s="129"/>
      <c r="S646" s="141"/>
      <c r="T646" s="139"/>
      <c r="U646" s="129"/>
      <c r="V646" s="129"/>
      <c r="W646" s="129"/>
      <c r="X646" s="129"/>
      <c r="Y646" s="129"/>
      <c r="Z646" s="115"/>
      <c r="AA646" s="129"/>
      <c r="AB646" s="149"/>
      <c r="AC646" s="129"/>
      <c r="AD646" s="129"/>
      <c r="AE646" s="129"/>
    </row>
    <row r="647" spans="3:31" x14ac:dyDescent="0.35">
      <c r="C647" s="129"/>
      <c r="D647" s="129"/>
      <c r="E647" s="129"/>
      <c r="F647" s="129"/>
      <c r="G647" s="129"/>
      <c r="H647" s="110"/>
      <c r="I647" s="129"/>
      <c r="J647" t="s">
        <v>351</v>
      </c>
      <c r="K647" s="129"/>
      <c r="L647" s="129"/>
      <c r="M647" s="129"/>
      <c r="N647" s="129"/>
      <c r="O647" s="129"/>
      <c r="P647" s="129"/>
      <c r="Q647" s="129"/>
      <c r="R647" s="129"/>
      <c r="S647" s="141"/>
      <c r="T647" s="139"/>
      <c r="U647" s="129"/>
      <c r="V647" s="129"/>
      <c r="W647" s="129"/>
      <c r="X647" s="129"/>
      <c r="Y647" s="129"/>
      <c r="Z647" s="115"/>
      <c r="AA647" s="129"/>
      <c r="AB647" s="149"/>
      <c r="AC647" s="129"/>
      <c r="AD647" s="129"/>
      <c r="AE647" s="129"/>
    </row>
    <row r="648" spans="3:31" x14ac:dyDescent="0.35">
      <c r="C648" s="129"/>
      <c r="D648" s="129"/>
      <c r="E648" s="129"/>
      <c r="F648" s="129"/>
      <c r="G648" s="129"/>
      <c r="H648" s="110"/>
      <c r="I648" s="129"/>
      <c r="J648" t="s">
        <v>351</v>
      </c>
      <c r="K648" s="129"/>
      <c r="L648" s="129"/>
      <c r="M648" s="129"/>
      <c r="N648" s="129"/>
      <c r="O648" s="129"/>
      <c r="P648" s="129"/>
      <c r="Q648" s="129"/>
      <c r="R648" s="129"/>
      <c r="S648" s="141"/>
      <c r="T648" s="139"/>
      <c r="U648" s="129"/>
      <c r="V648" s="129"/>
      <c r="W648" s="129"/>
      <c r="X648" s="129"/>
      <c r="Y648" s="129"/>
      <c r="Z648" s="115"/>
      <c r="AA648" s="129"/>
      <c r="AB648" s="149"/>
      <c r="AC648" s="129"/>
      <c r="AD648" s="129"/>
      <c r="AE648" s="129"/>
    </row>
    <row r="649" spans="3:31" x14ac:dyDescent="0.35">
      <c r="C649" s="129"/>
      <c r="D649" s="129"/>
      <c r="E649" s="129"/>
      <c r="F649" s="129"/>
      <c r="G649" s="129"/>
      <c r="H649" s="110"/>
      <c r="I649" s="129"/>
      <c r="J649" t="s">
        <v>351</v>
      </c>
      <c r="K649" s="129"/>
      <c r="L649" s="129"/>
      <c r="M649" s="129"/>
      <c r="N649" s="129"/>
      <c r="O649" s="129"/>
      <c r="P649" s="129"/>
      <c r="Q649" s="129"/>
      <c r="R649" s="129"/>
      <c r="S649" s="141"/>
      <c r="T649" s="139"/>
      <c r="U649" s="129"/>
      <c r="V649" s="129"/>
      <c r="W649" s="129"/>
      <c r="X649" s="129"/>
      <c r="Y649" s="129"/>
      <c r="Z649" s="115"/>
      <c r="AA649" s="129"/>
      <c r="AB649" s="149"/>
      <c r="AC649" s="129"/>
      <c r="AD649" s="129"/>
      <c r="AE649" s="129"/>
    </row>
    <row r="650" spans="3:31" x14ac:dyDescent="0.35">
      <c r="C650" s="129"/>
      <c r="D650" s="129"/>
      <c r="E650" s="129"/>
      <c r="F650" s="129"/>
      <c r="G650" s="129"/>
      <c r="H650" s="110"/>
      <c r="I650" s="129"/>
      <c r="J650" t="s">
        <v>351</v>
      </c>
      <c r="K650" s="129"/>
      <c r="L650" s="129"/>
      <c r="M650" s="129"/>
      <c r="N650" s="129"/>
      <c r="O650" s="129"/>
      <c r="P650" s="129"/>
      <c r="Q650" s="129"/>
      <c r="R650" s="129"/>
      <c r="S650" s="141"/>
      <c r="T650" s="139"/>
      <c r="U650" s="129"/>
      <c r="V650" s="129"/>
      <c r="W650" s="129"/>
      <c r="X650" s="129"/>
      <c r="Y650" s="129"/>
      <c r="Z650" s="115"/>
      <c r="AA650" s="129"/>
      <c r="AB650" s="149"/>
      <c r="AC650" s="129"/>
      <c r="AD650" s="129"/>
      <c r="AE650" s="129"/>
    </row>
    <row r="651" spans="3:31" x14ac:dyDescent="0.35">
      <c r="C651" s="129"/>
      <c r="D651" s="129"/>
      <c r="E651" s="129"/>
      <c r="F651" s="129"/>
      <c r="G651" s="129"/>
      <c r="H651" s="110"/>
      <c r="I651" s="129"/>
      <c r="J651" t="s">
        <v>351</v>
      </c>
      <c r="K651" s="129"/>
      <c r="L651" s="129"/>
      <c r="M651" s="129"/>
      <c r="N651" s="129"/>
      <c r="O651" s="129"/>
      <c r="P651" s="129"/>
      <c r="Q651" s="129"/>
      <c r="R651" s="129"/>
      <c r="S651" s="141"/>
      <c r="T651" s="139"/>
      <c r="U651" s="129"/>
      <c r="V651" s="129"/>
      <c r="W651" s="129"/>
      <c r="X651" s="129"/>
      <c r="Y651" s="129"/>
      <c r="Z651" s="115"/>
      <c r="AA651" s="129"/>
      <c r="AB651" s="149"/>
      <c r="AC651" s="129"/>
      <c r="AD651" s="129"/>
      <c r="AE651" s="129"/>
    </row>
    <row r="652" spans="3:31" x14ac:dyDescent="0.35">
      <c r="C652" s="129"/>
      <c r="D652" s="129"/>
      <c r="E652" s="129"/>
      <c r="F652" s="129"/>
      <c r="G652" s="129"/>
      <c r="H652" s="110"/>
      <c r="I652" s="129"/>
      <c r="J652" t="s">
        <v>351</v>
      </c>
      <c r="K652" s="129"/>
      <c r="L652" s="129"/>
      <c r="M652" s="129"/>
      <c r="N652" s="129"/>
      <c r="O652" s="129"/>
      <c r="P652" s="129"/>
      <c r="Q652" s="129"/>
      <c r="R652" s="129"/>
      <c r="S652" s="141"/>
      <c r="T652" s="139"/>
      <c r="U652" s="129"/>
      <c r="V652" s="129"/>
      <c r="W652" s="129"/>
      <c r="X652" s="129"/>
      <c r="Y652" s="129"/>
      <c r="Z652" s="115"/>
      <c r="AA652" s="129"/>
      <c r="AB652" s="149"/>
      <c r="AC652" s="129"/>
      <c r="AD652" s="129"/>
      <c r="AE652" s="129"/>
    </row>
    <row r="653" spans="3:31" x14ac:dyDescent="0.35">
      <c r="C653" s="129"/>
      <c r="D653" s="129"/>
      <c r="E653" s="129"/>
      <c r="F653" s="129"/>
      <c r="G653" s="129"/>
      <c r="H653" s="110"/>
      <c r="I653" s="129"/>
      <c r="J653" t="s">
        <v>351</v>
      </c>
      <c r="K653" s="129"/>
      <c r="L653" s="129"/>
      <c r="M653" s="129"/>
      <c r="N653" s="129"/>
      <c r="O653" s="129"/>
      <c r="P653" s="129"/>
      <c r="Q653" s="129"/>
      <c r="R653" s="129"/>
      <c r="S653" s="141"/>
      <c r="T653" s="139"/>
      <c r="U653" s="129"/>
      <c r="V653" s="129"/>
      <c r="W653" s="129"/>
      <c r="X653" s="129"/>
      <c r="Y653" s="129"/>
      <c r="Z653" s="115"/>
      <c r="AA653" s="129"/>
      <c r="AB653" s="149"/>
      <c r="AC653" s="129"/>
      <c r="AD653" s="129"/>
      <c r="AE653" s="129"/>
    </row>
    <row r="654" spans="3:31" x14ac:dyDescent="0.35">
      <c r="C654" s="129"/>
      <c r="D654" s="129"/>
      <c r="E654" s="129"/>
      <c r="F654" s="129"/>
      <c r="G654" s="129"/>
      <c r="H654" s="110"/>
      <c r="I654" s="129"/>
      <c r="J654" t="s">
        <v>351</v>
      </c>
      <c r="K654" s="129"/>
      <c r="L654" s="129"/>
      <c r="M654" s="129"/>
      <c r="N654" s="129"/>
      <c r="O654" s="129"/>
      <c r="P654" s="129"/>
      <c r="Q654" s="129"/>
      <c r="R654" s="129"/>
      <c r="S654" s="141"/>
      <c r="T654" s="139"/>
      <c r="U654" s="129"/>
      <c r="V654" s="129"/>
      <c r="W654" s="129"/>
      <c r="X654" s="129"/>
      <c r="Y654" s="129"/>
      <c r="Z654" s="115"/>
      <c r="AA654" s="129"/>
      <c r="AB654" s="149"/>
      <c r="AC654" s="129"/>
      <c r="AD654" s="129"/>
      <c r="AE654" s="129"/>
    </row>
    <row r="655" spans="3:31" x14ac:dyDescent="0.35">
      <c r="C655" s="129"/>
      <c r="D655" s="129"/>
      <c r="E655" s="129"/>
      <c r="F655" s="129"/>
      <c r="G655" s="129"/>
      <c r="H655" s="110"/>
      <c r="I655" s="129"/>
      <c r="J655" t="s">
        <v>351</v>
      </c>
      <c r="K655" s="129"/>
      <c r="L655" s="129"/>
      <c r="M655" s="129"/>
      <c r="N655" s="129"/>
      <c r="O655" s="129"/>
      <c r="P655" s="129"/>
      <c r="Q655" s="129"/>
      <c r="R655" s="129"/>
      <c r="S655" s="141"/>
      <c r="T655" s="139"/>
      <c r="U655" s="129"/>
      <c r="V655" s="129"/>
      <c r="W655" s="129"/>
      <c r="X655" s="129"/>
      <c r="Y655" s="129"/>
      <c r="Z655" s="115"/>
      <c r="AA655" s="129"/>
      <c r="AB655" s="149"/>
      <c r="AC655" s="129"/>
      <c r="AD655" s="129"/>
      <c r="AE655" s="129"/>
    </row>
    <row r="656" spans="3:31" x14ac:dyDescent="0.35">
      <c r="C656" s="129"/>
      <c r="D656" s="129"/>
      <c r="E656" s="129"/>
      <c r="F656" s="129"/>
      <c r="G656" s="129"/>
      <c r="H656" s="110"/>
      <c r="I656" s="129"/>
      <c r="J656" t="s">
        <v>351</v>
      </c>
      <c r="K656" s="129"/>
      <c r="L656" s="129"/>
      <c r="M656" s="129"/>
      <c r="N656" s="129"/>
      <c r="O656" s="129"/>
      <c r="P656" s="129"/>
      <c r="Q656" s="129"/>
      <c r="R656" s="129"/>
      <c r="S656" s="141"/>
      <c r="T656" s="139"/>
      <c r="U656" s="129"/>
      <c r="V656" s="129"/>
      <c r="W656" s="129"/>
      <c r="X656" s="129"/>
      <c r="Y656" s="129"/>
      <c r="Z656" s="115"/>
      <c r="AA656" s="129"/>
      <c r="AB656" s="149"/>
      <c r="AC656" s="129"/>
      <c r="AD656" s="129"/>
      <c r="AE656" s="129"/>
    </row>
    <row r="657" spans="3:31" x14ac:dyDescent="0.35">
      <c r="C657" s="129"/>
      <c r="D657" s="129"/>
      <c r="E657" s="129"/>
      <c r="F657" s="129"/>
      <c r="G657" s="129"/>
      <c r="H657" s="110"/>
      <c r="I657" s="129"/>
      <c r="J657" t="s">
        <v>351</v>
      </c>
      <c r="K657" s="129"/>
      <c r="L657" s="129"/>
      <c r="M657" s="129"/>
      <c r="N657" s="129"/>
      <c r="O657" s="129"/>
      <c r="P657" s="129"/>
      <c r="Q657" s="129"/>
      <c r="R657" s="129"/>
      <c r="S657" s="141"/>
      <c r="T657" s="139"/>
      <c r="U657" s="129"/>
      <c r="V657" s="129"/>
      <c r="W657" s="129"/>
      <c r="X657" s="129"/>
      <c r="Y657" s="129"/>
      <c r="Z657" s="115"/>
      <c r="AA657" s="129"/>
      <c r="AB657" s="149"/>
      <c r="AC657" s="129"/>
      <c r="AD657" s="129"/>
      <c r="AE657" s="129"/>
    </row>
    <row r="658" spans="3:31" x14ac:dyDescent="0.35">
      <c r="C658" s="129"/>
      <c r="D658" s="129"/>
      <c r="E658" s="129"/>
      <c r="F658" s="129"/>
      <c r="G658" s="129"/>
      <c r="H658" s="110"/>
      <c r="I658" s="129"/>
      <c r="J658" t="s">
        <v>351</v>
      </c>
      <c r="K658" s="129"/>
      <c r="L658" s="129"/>
      <c r="M658" s="129"/>
      <c r="N658" s="129"/>
      <c r="O658" s="129"/>
      <c r="P658" s="129"/>
      <c r="Q658" s="129"/>
      <c r="R658" s="129"/>
      <c r="S658" s="141"/>
      <c r="T658" s="139"/>
      <c r="U658" s="129"/>
      <c r="V658" s="129"/>
      <c r="W658" s="129"/>
      <c r="X658" s="129"/>
      <c r="Y658" s="129"/>
      <c r="Z658" s="115"/>
      <c r="AA658" s="129"/>
      <c r="AB658" s="149"/>
      <c r="AC658" s="129"/>
      <c r="AD658" s="129"/>
      <c r="AE658" s="129"/>
    </row>
    <row r="659" spans="3:31" x14ac:dyDescent="0.35">
      <c r="C659" s="129"/>
      <c r="D659" s="129"/>
      <c r="E659" s="129"/>
      <c r="F659" s="129"/>
      <c r="G659" s="129"/>
      <c r="H659" s="110"/>
      <c r="I659" s="129"/>
      <c r="J659" t="s">
        <v>351</v>
      </c>
      <c r="K659" s="129"/>
      <c r="L659" s="129"/>
      <c r="M659" s="129"/>
      <c r="N659" s="129"/>
      <c r="O659" s="129"/>
      <c r="P659" s="129"/>
      <c r="Q659" s="129"/>
      <c r="R659" s="129"/>
      <c r="S659" s="141"/>
      <c r="T659" s="139"/>
      <c r="U659" s="129"/>
      <c r="V659" s="129"/>
      <c r="W659" s="129"/>
      <c r="X659" s="129"/>
      <c r="Y659" s="129"/>
      <c r="Z659" s="115"/>
      <c r="AA659" s="129"/>
      <c r="AB659" s="149"/>
      <c r="AC659" s="129"/>
      <c r="AD659" s="129"/>
      <c r="AE659" s="129"/>
    </row>
    <row r="660" spans="3:31" x14ac:dyDescent="0.35">
      <c r="C660" s="129"/>
      <c r="D660" s="129"/>
      <c r="E660" s="129"/>
      <c r="F660" s="129"/>
      <c r="G660" s="129"/>
      <c r="H660" s="110"/>
      <c r="I660" s="129"/>
      <c r="J660" t="s">
        <v>351</v>
      </c>
      <c r="K660" s="129"/>
      <c r="L660" s="129"/>
      <c r="M660" s="129"/>
      <c r="N660" s="129"/>
      <c r="O660" s="129"/>
      <c r="P660" s="129"/>
      <c r="Q660" s="129"/>
      <c r="R660" s="129"/>
      <c r="S660" s="141"/>
      <c r="T660" s="139"/>
      <c r="U660" s="129"/>
      <c r="V660" s="129"/>
      <c r="W660" s="129"/>
      <c r="X660" s="129"/>
      <c r="Y660" s="129"/>
      <c r="Z660" s="115"/>
      <c r="AA660" s="129"/>
      <c r="AB660" s="149"/>
      <c r="AC660" s="129"/>
      <c r="AD660" s="129"/>
      <c r="AE660" s="129"/>
    </row>
    <row r="661" spans="3:31" x14ac:dyDescent="0.35">
      <c r="C661" s="129"/>
      <c r="D661" s="129"/>
      <c r="E661" s="129"/>
      <c r="F661" s="129"/>
      <c r="G661" s="129"/>
      <c r="H661" s="110"/>
      <c r="I661" s="129"/>
      <c r="J661" t="s">
        <v>351</v>
      </c>
      <c r="K661" s="129"/>
      <c r="L661" s="129"/>
      <c r="M661" s="129"/>
      <c r="N661" s="129"/>
      <c r="O661" s="129"/>
      <c r="P661" s="129"/>
      <c r="Q661" s="129"/>
      <c r="R661" s="129"/>
      <c r="S661" s="141"/>
      <c r="T661" s="139"/>
      <c r="U661" s="129"/>
      <c r="V661" s="129"/>
      <c r="W661" s="129"/>
      <c r="X661" s="129"/>
      <c r="Y661" s="129"/>
      <c r="Z661" s="115"/>
      <c r="AA661" s="129"/>
      <c r="AB661" s="149"/>
      <c r="AC661" s="129"/>
      <c r="AD661" s="129"/>
      <c r="AE661" s="129"/>
    </row>
    <row r="662" spans="3:31" x14ac:dyDescent="0.35">
      <c r="C662" s="129"/>
      <c r="D662" s="129"/>
      <c r="E662" s="129"/>
      <c r="F662" s="129"/>
      <c r="G662" s="129"/>
      <c r="H662" s="110"/>
      <c r="I662" s="129"/>
      <c r="J662" t="s">
        <v>351</v>
      </c>
      <c r="K662" s="129"/>
      <c r="L662" s="129"/>
      <c r="M662" s="129"/>
      <c r="N662" s="129"/>
      <c r="O662" s="129"/>
      <c r="P662" s="129"/>
      <c r="Q662" s="129"/>
      <c r="R662" s="129"/>
      <c r="S662" s="141"/>
      <c r="T662" s="139"/>
      <c r="U662" s="129"/>
      <c r="V662" s="129"/>
      <c r="W662" s="129"/>
      <c r="X662" s="129"/>
      <c r="Y662" s="129"/>
      <c r="Z662" s="115"/>
      <c r="AA662" s="129"/>
      <c r="AB662" s="149"/>
      <c r="AC662" s="129"/>
      <c r="AD662" s="129"/>
      <c r="AE662" s="129"/>
    </row>
    <row r="663" spans="3:31" x14ac:dyDescent="0.35">
      <c r="C663" s="129"/>
      <c r="D663" s="129"/>
      <c r="E663" s="129"/>
      <c r="F663" s="129"/>
      <c r="G663" s="129"/>
      <c r="H663" s="110"/>
      <c r="I663" s="129"/>
      <c r="J663" t="s">
        <v>351</v>
      </c>
      <c r="K663" s="129"/>
      <c r="L663" s="129"/>
      <c r="M663" s="129"/>
      <c r="N663" s="129"/>
      <c r="O663" s="129"/>
      <c r="P663" s="129"/>
      <c r="Q663" s="129"/>
      <c r="R663" s="129"/>
      <c r="S663" s="141"/>
      <c r="T663" s="139"/>
      <c r="U663" s="129"/>
      <c r="V663" s="129"/>
      <c r="W663" s="129"/>
      <c r="X663" s="129"/>
      <c r="Y663" s="129"/>
      <c r="Z663" s="115"/>
      <c r="AA663" s="129"/>
      <c r="AB663" s="149"/>
      <c r="AC663" s="129"/>
      <c r="AD663" s="129"/>
      <c r="AE663" s="129"/>
    </row>
    <row r="664" spans="3:31" x14ac:dyDescent="0.35">
      <c r="C664" s="129"/>
      <c r="D664" s="129"/>
      <c r="E664" s="129"/>
      <c r="F664" s="129"/>
      <c r="G664" s="129"/>
      <c r="H664" s="110"/>
      <c r="I664" s="129"/>
      <c r="J664" t="s">
        <v>351</v>
      </c>
      <c r="K664" s="129"/>
      <c r="L664" s="129"/>
      <c r="M664" s="129"/>
      <c r="N664" s="129"/>
      <c r="O664" s="129"/>
      <c r="P664" s="129"/>
      <c r="Q664" s="129"/>
      <c r="R664" s="129"/>
      <c r="S664" s="141"/>
      <c r="T664" s="139"/>
      <c r="U664" s="129"/>
      <c r="V664" s="129"/>
      <c r="W664" s="129"/>
      <c r="X664" s="129"/>
      <c r="Y664" s="129"/>
      <c r="Z664" s="115"/>
      <c r="AA664" s="129"/>
      <c r="AB664" s="149"/>
      <c r="AC664" s="129"/>
      <c r="AD664" s="129"/>
      <c r="AE664" s="129"/>
    </row>
    <row r="665" spans="3:31" x14ac:dyDescent="0.35">
      <c r="C665" s="129"/>
      <c r="D665" s="129"/>
      <c r="E665" s="129"/>
      <c r="F665" s="129"/>
      <c r="G665" s="129"/>
      <c r="H665" s="110"/>
      <c r="I665" s="129"/>
      <c r="J665" t="s">
        <v>351</v>
      </c>
      <c r="K665" s="129"/>
      <c r="L665" s="129"/>
      <c r="M665" s="129"/>
      <c r="N665" s="129"/>
      <c r="O665" s="129"/>
      <c r="P665" s="129"/>
      <c r="Q665" s="129"/>
      <c r="R665" s="129"/>
      <c r="S665" s="141"/>
      <c r="T665" s="139"/>
      <c r="U665" s="129"/>
      <c r="V665" s="129"/>
      <c r="W665" s="129"/>
      <c r="X665" s="129"/>
      <c r="Y665" s="129"/>
      <c r="Z665" s="115"/>
      <c r="AA665" s="129"/>
      <c r="AB665" s="149"/>
      <c r="AC665" s="129"/>
      <c r="AD665" s="129"/>
      <c r="AE665" s="129"/>
    </row>
    <row r="666" spans="3:31" x14ac:dyDescent="0.35">
      <c r="C666" s="129"/>
      <c r="D666" s="129"/>
      <c r="E666" s="129"/>
      <c r="F666" s="129"/>
      <c r="G666" s="129"/>
      <c r="H666" s="110"/>
      <c r="I666" s="129"/>
      <c r="J666" t="s">
        <v>351</v>
      </c>
      <c r="K666" s="129"/>
      <c r="L666" s="129"/>
      <c r="M666" s="129"/>
      <c r="N666" s="129"/>
      <c r="O666" s="129"/>
      <c r="P666" s="129"/>
      <c r="Q666" s="129"/>
      <c r="R666" s="129"/>
      <c r="S666" s="141"/>
      <c r="T666" s="139"/>
      <c r="U666" s="129"/>
      <c r="V666" s="129"/>
      <c r="W666" s="129"/>
      <c r="X666" s="129"/>
      <c r="Y666" s="129"/>
      <c r="Z666" s="115"/>
      <c r="AA666" s="129"/>
      <c r="AB666" s="149"/>
      <c r="AC666" s="129"/>
      <c r="AD666" s="129"/>
      <c r="AE666" s="129"/>
    </row>
    <row r="667" spans="3:31" x14ac:dyDescent="0.35">
      <c r="C667" s="129"/>
      <c r="D667" s="129"/>
      <c r="E667" s="129"/>
      <c r="F667" s="129"/>
      <c r="G667" s="129"/>
      <c r="H667" s="110"/>
      <c r="I667" s="129"/>
      <c r="J667" t="s">
        <v>351</v>
      </c>
      <c r="K667" s="129"/>
      <c r="L667" s="129"/>
      <c r="M667" s="129"/>
      <c r="N667" s="129"/>
      <c r="O667" s="129"/>
      <c r="P667" s="129"/>
      <c r="Q667" s="129"/>
      <c r="R667" s="129"/>
      <c r="S667" s="141"/>
      <c r="T667" s="139"/>
      <c r="U667" s="129"/>
      <c r="V667" s="129"/>
      <c r="W667" s="129"/>
      <c r="X667" s="129"/>
      <c r="Y667" s="129"/>
      <c r="Z667" s="115"/>
      <c r="AA667" s="129"/>
      <c r="AB667" s="149"/>
      <c r="AC667" s="129"/>
      <c r="AD667" s="129"/>
      <c r="AE667" s="129"/>
    </row>
    <row r="668" spans="3:31" x14ac:dyDescent="0.35">
      <c r="C668" s="129"/>
      <c r="D668" s="129"/>
      <c r="E668" s="129"/>
      <c r="F668" s="129"/>
      <c r="G668" s="129"/>
      <c r="H668" s="110"/>
      <c r="I668" s="129"/>
      <c r="J668" t="s">
        <v>351</v>
      </c>
      <c r="K668" s="129"/>
      <c r="L668" s="129"/>
      <c r="M668" s="129"/>
      <c r="N668" s="129"/>
      <c r="O668" s="129"/>
      <c r="P668" s="129"/>
      <c r="Q668" s="129"/>
      <c r="R668" s="129"/>
      <c r="S668" s="141"/>
      <c r="T668" s="139"/>
      <c r="U668" s="129"/>
      <c r="V668" s="129"/>
      <c r="W668" s="129"/>
      <c r="X668" s="129"/>
      <c r="Y668" s="129"/>
      <c r="Z668" s="115"/>
      <c r="AA668" s="129"/>
      <c r="AB668" s="149"/>
      <c r="AC668" s="129"/>
      <c r="AD668" s="129"/>
      <c r="AE668" s="129"/>
    </row>
    <row r="669" spans="3:31" x14ac:dyDescent="0.35">
      <c r="C669" s="129"/>
      <c r="D669" s="129"/>
      <c r="E669" s="129"/>
      <c r="F669" s="129"/>
      <c r="G669" s="129"/>
      <c r="H669" s="110"/>
      <c r="I669" s="129"/>
      <c r="J669" t="s">
        <v>351</v>
      </c>
      <c r="K669" s="129"/>
      <c r="L669" s="129"/>
      <c r="M669" s="129"/>
      <c r="N669" s="129"/>
      <c r="O669" s="129"/>
      <c r="P669" s="129"/>
      <c r="Q669" s="129"/>
      <c r="R669" s="129"/>
      <c r="S669" s="141"/>
      <c r="T669" s="139"/>
      <c r="U669" s="129"/>
      <c r="V669" s="129"/>
      <c r="W669" s="129"/>
      <c r="X669" s="129"/>
      <c r="Y669" s="129"/>
      <c r="Z669" s="115"/>
      <c r="AA669" s="129"/>
      <c r="AB669" s="149"/>
      <c r="AC669" s="129"/>
      <c r="AD669" s="129"/>
      <c r="AE669" s="129"/>
    </row>
    <row r="670" spans="3:31" x14ac:dyDescent="0.35">
      <c r="C670" s="129"/>
      <c r="D670" s="129"/>
      <c r="E670" s="129"/>
      <c r="F670" s="129"/>
      <c r="G670" s="129"/>
      <c r="H670" s="110"/>
      <c r="I670" s="129"/>
      <c r="J670" t="s">
        <v>351</v>
      </c>
      <c r="K670" s="129"/>
      <c r="L670" s="129"/>
      <c r="M670" s="129"/>
      <c r="N670" s="129"/>
      <c r="O670" s="129"/>
      <c r="P670" s="129"/>
      <c r="Q670" s="129"/>
      <c r="R670" s="129"/>
      <c r="S670" s="141"/>
      <c r="T670" s="139"/>
      <c r="U670" s="129"/>
      <c r="V670" s="129"/>
      <c r="W670" s="129"/>
      <c r="X670" s="129"/>
      <c r="Y670" s="129"/>
      <c r="Z670" s="115"/>
      <c r="AA670" s="129"/>
      <c r="AB670" s="149"/>
      <c r="AC670" s="129"/>
      <c r="AD670" s="129"/>
      <c r="AE670" s="129"/>
    </row>
    <row r="671" spans="3:31" x14ac:dyDescent="0.35">
      <c r="C671" s="129"/>
      <c r="D671" s="129"/>
      <c r="E671" s="129"/>
      <c r="F671" s="129"/>
      <c r="G671" s="129"/>
      <c r="H671" s="110"/>
      <c r="I671" s="129"/>
      <c r="J671" t="s">
        <v>351</v>
      </c>
      <c r="K671" s="129"/>
      <c r="L671" s="129"/>
      <c r="M671" s="129"/>
      <c r="N671" s="129"/>
      <c r="O671" s="129"/>
      <c r="P671" s="129"/>
      <c r="Q671" s="129"/>
      <c r="R671" s="129"/>
      <c r="S671" s="141"/>
      <c r="T671" s="139"/>
      <c r="U671" s="129"/>
      <c r="V671" s="129"/>
      <c r="W671" s="129"/>
      <c r="X671" s="129"/>
      <c r="Y671" s="129"/>
      <c r="Z671" s="115"/>
      <c r="AA671" s="129"/>
      <c r="AB671" s="149"/>
      <c r="AC671" s="129"/>
      <c r="AD671" s="129"/>
      <c r="AE671" s="129"/>
    </row>
    <row r="672" spans="3:31" x14ac:dyDescent="0.35">
      <c r="C672" s="129"/>
      <c r="D672" s="129"/>
      <c r="E672" s="129"/>
      <c r="F672" s="129"/>
      <c r="G672" s="129"/>
      <c r="H672" s="110"/>
      <c r="I672" s="129"/>
      <c r="J672" t="s">
        <v>351</v>
      </c>
      <c r="K672" s="129"/>
      <c r="L672" s="129"/>
      <c r="M672" s="129"/>
      <c r="N672" s="129"/>
      <c r="O672" s="129"/>
      <c r="P672" s="129"/>
      <c r="Q672" s="129"/>
      <c r="R672" s="129"/>
      <c r="S672" s="141"/>
      <c r="T672" s="139"/>
      <c r="U672" s="129"/>
      <c r="V672" s="129"/>
      <c r="W672" s="129"/>
      <c r="X672" s="129"/>
      <c r="Y672" s="129"/>
      <c r="Z672" s="115"/>
      <c r="AA672" s="129"/>
      <c r="AB672" s="149"/>
      <c r="AC672" s="129"/>
      <c r="AD672" s="129"/>
      <c r="AE672" s="129"/>
    </row>
    <row r="673" spans="3:31" x14ac:dyDescent="0.35">
      <c r="C673" s="129"/>
      <c r="D673" s="129"/>
      <c r="E673" s="129"/>
      <c r="F673" s="129"/>
      <c r="G673" s="129"/>
      <c r="H673" s="110"/>
      <c r="I673" s="129"/>
      <c r="J673" t="s">
        <v>351</v>
      </c>
      <c r="K673" s="129"/>
      <c r="L673" s="129"/>
      <c r="M673" s="129"/>
      <c r="N673" s="129"/>
      <c r="O673" s="129"/>
      <c r="P673" s="129"/>
      <c r="Q673" s="129"/>
      <c r="R673" s="129"/>
      <c r="S673" s="141"/>
      <c r="T673" s="139"/>
      <c r="U673" s="129"/>
      <c r="V673" s="129"/>
      <c r="W673" s="129"/>
      <c r="X673" s="129"/>
      <c r="Y673" s="129"/>
      <c r="Z673" s="115"/>
      <c r="AA673" s="129"/>
      <c r="AB673" s="149"/>
      <c r="AC673" s="129"/>
      <c r="AD673" s="129"/>
      <c r="AE673" s="129"/>
    </row>
    <row r="674" spans="3:31" x14ac:dyDescent="0.35">
      <c r="C674" s="129"/>
      <c r="D674" s="129"/>
      <c r="E674" s="129"/>
      <c r="F674" s="129"/>
      <c r="G674" s="129"/>
      <c r="H674" s="110"/>
      <c r="I674" s="129"/>
      <c r="J674" t="s">
        <v>351</v>
      </c>
      <c r="K674" s="129"/>
      <c r="L674" s="129"/>
      <c r="M674" s="129"/>
      <c r="N674" s="129"/>
      <c r="O674" s="129"/>
      <c r="P674" s="129"/>
      <c r="Q674" s="129"/>
      <c r="R674" s="129"/>
      <c r="S674" s="141"/>
      <c r="T674" s="139"/>
      <c r="U674" s="129"/>
      <c r="V674" s="129"/>
      <c r="W674" s="129"/>
      <c r="X674" s="129"/>
      <c r="Y674" s="129"/>
      <c r="Z674" s="115"/>
      <c r="AA674" s="129"/>
      <c r="AB674" s="149"/>
      <c r="AC674" s="129"/>
      <c r="AD674" s="129"/>
      <c r="AE674" s="129"/>
    </row>
    <row r="675" spans="3:31" x14ac:dyDescent="0.35">
      <c r="C675" s="129"/>
      <c r="D675" s="129"/>
      <c r="E675" s="129"/>
      <c r="F675" s="129"/>
      <c r="G675" s="129"/>
      <c r="H675" s="110"/>
      <c r="I675" s="129"/>
      <c r="J675" t="s">
        <v>351</v>
      </c>
      <c r="K675" s="129"/>
      <c r="L675" s="129"/>
      <c r="M675" s="129"/>
      <c r="N675" s="129"/>
      <c r="O675" s="129"/>
      <c r="P675" s="129"/>
      <c r="Q675" s="129"/>
      <c r="R675" s="129"/>
      <c r="S675" s="141"/>
      <c r="T675" s="139"/>
      <c r="U675" s="129"/>
      <c r="V675" s="129"/>
      <c r="W675" s="129"/>
      <c r="X675" s="129"/>
      <c r="Y675" s="129"/>
      <c r="Z675" s="115"/>
      <c r="AA675" s="129"/>
      <c r="AB675" s="149"/>
      <c r="AC675" s="129"/>
      <c r="AD675" s="129"/>
      <c r="AE675" s="129"/>
    </row>
    <row r="676" spans="3:31" x14ac:dyDescent="0.35">
      <c r="C676" s="129"/>
      <c r="D676" s="129"/>
      <c r="E676" s="129"/>
      <c r="F676" s="129"/>
      <c r="G676" s="129"/>
      <c r="H676" s="110"/>
      <c r="I676" s="129"/>
      <c r="J676" t="s">
        <v>351</v>
      </c>
      <c r="K676" s="129"/>
      <c r="L676" s="129"/>
      <c r="M676" s="129"/>
      <c r="N676" s="129"/>
      <c r="O676" s="129"/>
      <c r="P676" s="129"/>
      <c r="Q676" s="129"/>
      <c r="R676" s="129"/>
      <c r="S676" s="141"/>
      <c r="T676" s="139"/>
      <c r="U676" s="129"/>
      <c r="V676" s="129"/>
      <c r="W676" s="129"/>
      <c r="X676" s="129"/>
      <c r="Y676" s="129"/>
      <c r="Z676" s="115"/>
      <c r="AA676" s="129"/>
      <c r="AB676" s="149"/>
      <c r="AC676" s="129"/>
      <c r="AD676" s="129"/>
      <c r="AE676" s="129"/>
    </row>
    <row r="677" spans="3:31" x14ac:dyDescent="0.35">
      <c r="C677" s="129"/>
      <c r="D677" s="129"/>
      <c r="E677" s="129"/>
      <c r="F677" s="129"/>
      <c r="G677" s="129"/>
      <c r="H677" s="110"/>
      <c r="I677" s="129"/>
      <c r="J677" t="s">
        <v>351</v>
      </c>
      <c r="K677" s="129"/>
      <c r="L677" s="129"/>
      <c r="M677" s="129"/>
      <c r="N677" s="129"/>
      <c r="O677" s="129"/>
      <c r="P677" s="129"/>
      <c r="Q677" s="129"/>
      <c r="R677" s="129"/>
      <c r="S677" s="141"/>
      <c r="T677" s="139"/>
      <c r="U677" s="129"/>
      <c r="V677" s="129"/>
      <c r="W677" s="129"/>
      <c r="X677" s="129"/>
      <c r="Y677" s="129"/>
      <c r="Z677" s="115"/>
      <c r="AA677" s="129"/>
      <c r="AB677" s="149"/>
      <c r="AC677" s="129"/>
      <c r="AD677" s="129"/>
      <c r="AE677" s="129"/>
    </row>
    <row r="678" spans="3:31" x14ac:dyDescent="0.35">
      <c r="C678" s="129"/>
      <c r="D678" s="129"/>
      <c r="E678" s="129"/>
      <c r="F678" s="129"/>
      <c r="G678" s="129"/>
      <c r="H678" s="110"/>
      <c r="I678" s="129"/>
      <c r="J678" t="s">
        <v>351</v>
      </c>
      <c r="K678" s="129"/>
      <c r="L678" s="129"/>
      <c r="M678" s="129"/>
      <c r="N678" s="129"/>
      <c r="O678" s="129"/>
      <c r="P678" s="129"/>
      <c r="Q678" s="129"/>
      <c r="R678" s="129"/>
      <c r="S678" s="141"/>
      <c r="T678" s="139"/>
      <c r="U678" s="129"/>
      <c r="V678" s="129"/>
      <c r="W678" s="129"/>
      <c r="X678" s="129"/>
      <c r="Y678" s="129"/>
      <c r="Z678" s="115"/>
      <c r="AA678" s="129"/>
      <c r="AB678" s="149"/>
      <c r="AC678" s="129"/>
      <c r="AD678" s="129"/>
      <c r="AE678" s="129"/>
    </row>
    <row r="679" spans="3:31" x14ac:dyDescent="0.35">
      <c r="C679" s="129"/>
      <c r="D679" s="129"/>
      <c r="E679" s="129"/>
      <c r="F679" s="129"/>
      <c r="G679" s="129"/>
      <c r="H679" s="110"/>
      <c r="I679" s="129"/>
      <c r="J679" t="s">
        <v>351</v>
      </c>
      <c r="K679" s="129"/>
      <c r="L679" s="129"/>
      <c r="M679" s="129"/>
      <c r="N679" s="129"/>
      <c r="O679" s="129"/>
      <c r="P679" s="129"/>
      <c r="Q679" s="129"/>
      <c r="R679" s="129"/>
      <c r="S679" s="141"/>
      <c r="T679" s="139"/>
      <c r="U679" s="129"/>
      <c r="V679" s="129"/>
      <c r="W679" s="129"/>
      <c r="X679" s="129"/>
      <c r="Y679" s="129"/>
      <c r="Z679" s="115"/>
      <c r="AA679" s="129"/>
      <c r="AB679" s="149"/>
      <c r="AC679" s="129"/>
      <c r="AD679" s="129"/>
      <c r="AE679" s="129"/>
    </row>
    <row r="680" spans="3:31" x14ac:dyDescent="0.35">
      <c r="C680" s="129"/>
      <c r="D680" s="129"/>
      <c r="E680" s="129"/>
      <c r="F680" s="129"/>
      <c r="G680" s="129"/>
      <c r="H680" s="110"/>
      <c r="I680" s="129"/>
      <c r="J680" t="s">
        <v>351</v>
      </c>
      <c r="K680" s="129"/>
      <c r="L680" s="129"/>
      <c r="M680" s="129"/>
      <c r="N680" s="129"/>
      <c r="O680" s="129"/>
      <c r="P680" s="129"/>
      <c r="Q680" s="129"/>
      <c r="R680" s="129"/>
      <c r="S680" s="141"/>
      <c r="T680" s="139"/>
      <c r="U680" s="129"/>
      <c r="V680" s="129"/>
      <c r="W680" s="129"/>
      <c r="X680" s="129"/>
      <c r="Y680" s="129"/>
      <c r="Z680" s="115"/>
      <c r="AA680" s="129"/>
      <c r="AB680" s="149"/>
      <c r="AC680" s="129"/>
      <c r="AD680" s="129"/>
      <c r="AE680" s="129"/>
    </row>
    <row r="681" spans="3:31" x14ac:dyDescent="0.35">
      <c r="C681" s="129"/>
      <c r="D681" s="129"/>
      <c r="E681" s="129"/>
      <c r="F681" s="129"/>
      <c r="G681" s="129"/>
      <c r="H681" s="110"/>
      <c r="I681" s="129"/>
      <c r="J681" t="s">
        <v>351</v>
      </c>
      <c r="K681" s="129"/>
      <c r="L681" s="129"/>
      <c r="M681" s="129"/>
      <c r="N681" s="129"/>
      <c r="O681" s="129"/>
      <c r="P681" s="129"/>
      <c r="Q681" s="129"/>
      <c r="R681" s="129"/>
      <c r="S681" s="141"/>
      <c r="T681" s="139"/>
      <c r="U681" s="129"/>
      <c r="V681" s="129"/>
      <c r="W681" s="129"/>
      <c r="X681" s="129"/>
      <c r="Y681" s="129"/>
      <c r="Z681" s="115"/>
      <c r="AA681" s="129"/>
      <c r="AB681" s="149"/>
      <c r="AC681" s="129"/>
      <c r="AD681" s="129"/>
      <c r="AE681" s="129"/>
    </row>
    <row r="682" spans="3:31" x14ac:dyDescent="0.35">
      <c r="C682" s="129"/>
      <c r="D682" s="129"/>
      <c r="E682" s="129"/>
      <c r="F682" s="129"/>
      <c r="G682" s="129"/>
      <c r="H682" s="110"/>
      <c r="I682" s="129"/>
      <c r="J682" t="s">
        <v>351</v>
      </c>
      <c r="K682" s="129"/>
      <c r="L682" s="129"/>
      <c r="M682" s="129"/>
      <c r="N682" s="129"/>
      <c r="O682" s="129"/>
      <c r="P682" s="129"/>
      <c r="Q682" s="129"/>
      <c r="R682" s="129"/>
      <c r="S682" s="141"/>
      <c r="T682" s="139"/>
      <c r="U682" s="129"/>
      <c r="V682" s="129"/>
      <c r="W682" s="129"/>
      <c r="X682" s="129"/>
      <c r="Y682" s="129"/>
      <c r="Z682" s="115"/>
      <c r="AA682" s="129"/>
      <c r="AB682" s="149"/>
      <c r="AC682" s="129"/>
      <c r="AD682" s="129"/>
      <c r="AE682" s="129"/>
    </row>
    <row r="683" spans="3:31" x14ac:dyDescent="0.35">
      <c r="C683" s="129"/>
      <c r="D683" s="129"/>
      <c r="E683" s="129"/>
      <c r="F683" s="129"/>
      <c r="G683" s="129"/>
      <c r="H683" s="110"/>
      <c r="I683" s="129"/>
      <c r="J683" t="s">
        <v>351</v>
      </c>
      <c r="K683" s="129"/>
      <c r="L683" s="129"/>
      <c r="M683" s="129"/>
      <c r="N683" s="129"/>
      <c r="O683" s="129"/>
      <c r="P683" s="129"/>
      <c r="Q683" s="129"/>
      <c r="R683" s="129"/>
      <c r="S683" s="141"/>
      <c r="T683" s="139"/>
      <c r="U683" s="129"/>
      <c r="V683" s="129"/>
      <c r="W683" s="129"/>
      <c r="X683" s="129"/>
      <c r="Y683" s="129"/>
      <c r="Z683" s="115"/>
      <c r="AA683" s="129"/>
      <c r="AB683" s="149"/>
      <c r="AC683" s="129"/>
      <c r="AD683" s="129"/>
      <c r="AE683" s="129"/>
    </row>
    <row r="684" spans="3:31" x14ac:dyDescent="0.35">
      <c r="C684" s="129"/>
      <c r="D684" s="129"/>
      <c r="E684" s="129"/>
      <c r="F684" s="129"/>
      <c r="G684" s="129"/>
      <c r="H684" s="110"/>
      <c r="I684" s="129"/>
      <c r="J684" t="s">
        <v>351</v>
      </c>
      <c r="K684" s="129"/>
      <c r="L684" s="129"/>
      <c r="M684" s="129"/>
      <c r="N684" s="129"/>
      <c r="O684" s="129"/>
      <c r="P684" s="129"/>
      <c r="Q684" s="129"/>
      <c r="R684" s="129"/>
      <c r="S684" s="141"/>
      <c r="T684" s="139"/>
      <c r="U684" s="129"/>
      <c r="V684" s="129"/>
      <c r="W684" s="129"/>
      <c r="X684" s="129"/>
      <c r="Y684" s="129"/>
      <c r="Z684" s="115"/>
      <c r="AA684" s="129"/>
      <c r="AB684" s="149"/>
      <c r="AC684" s="129"/>
      <c r="AD684" s="129"/>
      <c r="AE684" s="129"/>
    </row>
    <row r="685" spans="3:31" x14ac:dyDescent="0.35">
      <c r="C685" s="129"/>
      <c r="D685" s="129"/>
      <c r="E685" s="129"/>
      <c r="F685" s="129"/>
      <c r="G685" s="129"/>
      <c r="H685" s="110"/>
      <c r="I685" s="129"/>
      <c r="J685" t="s">
        <v>351</v>
      </c>
      <c r="K685" s="129"/>
      <c r="L685" s="129"/>
      <c r="M685" s="129"/>
      <c r="N685" s="129"/>
      <c r="O685" s="129"/>
      <c r="P685" s="129"/>
      <c r="Q685" s="129"/>
      <c r="R685" s="129"/>
      <c r="S685" s="141"/>
      <c r="T685" s="139"/>
      <c r="U685" s="129"/>
      <c r="V685" s="129"/>
      <c r="W685" s="129"/>
      <c r="X685" s="129"/>
      <c r="Y685" s="129"/>
      <c r="Z685" s="115"/>
      <c r="AA685" s="129"/>
      <c r="AB685" s="149"/>
      <c r="AC685" s="129"/>
      <c r="AD685" s="129"/>
      <c r="AE685" s="129"/>
    </row>
    <row r="686" spans="3:31" x14ac:dyDescent="0.35">
      <c r="C686" s="129"/>
      <c r="D686" s="129"/>
      <c r="E686" s="129"/>
      <c r="F686" s="129"/>
      <c r="G686" s="129"/>
      <c r="H686" s="110"/>
      <c r="I686" s="129"/>
      <c r="J686" t="s">
        <v>351</v>
      </c>
      <c r="K686" s="129"/>
      <c r="L686" s="129"/>
      <c r="M686" s="129"/>
      <c r="N686" s="129"/>
      <c r="O686" s="129"/>
      <c r="P686" s="129"/>
      <c r="Q686" s="129"/>
      <c r="R686" s="129"/>
      <c r="S686" s="141"/>
      <c r="T686" s="139"/>
      <c r="U686" s="129"/>
      <c r="V686" s="129"/>
      <c r="W686" s="129"/>
      <c r="X686" s="129"/>
      <c r="Y686" s="129"/>
      <c r="Z686" s="115"/>
      <c r="AA686" s="129"/>
      <c r="AB686" s="149"/>
      <c r="AC686" s="129"/>
      <c r="AD686" s="129"/>
      <c r="AE686" s="129"/>
    </row>
    <row r="687" spans="3:31" x14ac:dyDescent="0.35">
      <c r="C687" s="129"/>
      <c r="D687" s="129"/>
      <c r="E687" s="129"/>
      <c r="F687" s="129"/>
      <c r="G687" s="129"/>
      <c r="H687" s="110"/>
      <c r="I687" s="129"/>
      <c r="J687" t="s">
        <v>351</v>
      </c>
      <c r="K687" s="129"/>
      <c r="L687" s="129"/>
      <c r="M687" s="129"/>
      <c r="N687" s="129"/>
      <c r="O687" s="129"/>
      <c r="P687" s="129"/>
      <c r="Q687" s="129"/>
      <c r="R687" s="129"/>
      <c r="S687" s="141"/>
      <c r="T687" s="139"/>
      <c r="U687" s="129"/>
      <c r="V687" s="129"/>
      <c r="W687" s="129"/>
      <c r="X687" s="129"/>
      <c r="Y687" s="129"/>
      <c r="Z687" s="115"/>
      <c r="AA687" s="129"/>
      <c r="AB687" s="149"/>
      <c r="AC687" s="129"/>
      <c r="AD687" s="129"/>
      <c r="AE687" s="129"/>
    </row>
    <row r="688" spans="3:31" x14ac:dyDescent="0.35">
      <c r="C688" s="129"/>
      <c r="D688" s="129"/>
      <c r="E688" s="129"/>
      <c r="F688" s="129"/>
      <c r="G688" s="129"/>
      <c r="H688" s="110"/>
      <c r="I688" s="129"/>
      <c r="J688" t="s">
        <v>351</v>
      </c>
      <c r="K688" s="129"/>
      <c r="L688" s="129"/>
      <c r="M688" s="129"/>
      <c r="N688" s="129"/>
      <c r="O688" s="129"/>
      <c r="P688" s="129"/>
      <c r="Q688" s="129"/>
      <c r="R688" s="129"/>
      <c r="S688" s="141"/>
      <c r="T688" s="139"/>
      <c r="U688" s="129"/>
      <c r="V688" s="129"/>
      <c r="W688" s="129"/>
      <c r="X688" s="129"/>
      <c r="Y688" s="129"/>
      <c r="Z688" s="115"/>
      <c r="AA688" s="129"/>
      <c r="AB688" s="149"/>
      <c r="AC688" s="129"/>
      <c r="AD688" s="129"/>
      <c r="AE688" s="129"/>
    </row>
    <row r="689" spans="3:31" x14ac:dyDescent="0.35">
      <c r="C689" s="129"/>
      <c r="D689" s="129"/>
      <c r="E689" s="129"/>
      <c r="F689" s="129"/>
      <c r="G689" s="129"/>
      <c r="H689" s="110"/>
      <c r="I689" s="129"/>
      <c r="J689" t="s">
        <v>351</v>
      </c>
      <c r="K689" s="129"/>
      <c r="L689" s="129"/>
      <c r="M689" s="129"/>
      <c r="N689" s="129"/>
      <c r="O689" s="129"/>
      <c r="P689" s="129"/>
      <c r="Q689" s="129"/>
      <c r="R689" s="129"/>
      <c r="S689" s="141"/>
      <c r="T689" s="139"/>
      <c r="U689" s="129"/>
      <c r="V689" s="129"/>
      <c r="W689" s="129"/>
      <c r="X689" s="129"/>
      <c r="Y689" s="129"/>
      <c r="Z689" s="115"/>
      <c r="AA689" s="129"/>
      <c r="AB689" s="149"/>
      <c r="AC689" s="129"/>
      <c r="AD689" s="129"/>
      <c r="AE689" s="129"/>
    </row>
    <row r="690" spans="3:31" x14ac:dyDescent="0.35">
      <c r="C690" s="129"/>
      <c r="D690" s="129"/>
      <c r="E690" s="129"/>
      <c r="F690" s="129"/>
      <c r="G690" s="129"/>
      <c r="H690" s="110"/>
      <c r="I690" s="129"/>
      <c r="J690" t="s">
        <v>351</v>
      </c>
      <c r="K690" s="129"/>
      <c r="L690" s="129"/>
      <c r="M690" s="129"/>
      <c r="N690" s="129"/>
      <c r="O690" s="129"/>
      <c r="P690" s="129"/>
      <c r="Q690" s="129"/>
      <c r="R690" s="129"/>
      <c r="S690" s="141"/>
      <c r="T690" s="139"/>
      <c r="U690" s="129"/>
      <c r="V690" s="129"/>
      <c r="W690" s="129"/>
      <c r="X690" s="129"/>
      <c r="Y690" s="129"/>
      <c r="Z690" s="115"/>
      <c r="AA690" s="129"/>
      <c r="AB690" s="149"/>
      <c r="AC690" s="129"/>
      <c r="AD690" s="129"/>
      <c r="AE690" s="129"/>
    </row>
    <row r="691" spans="3:31" x14ac:dyDescent="0.35">
      <c r="C691" s="129"/>
      <c r="D691" s="129"/>
      <c r="E691" s="129"/>
      <c r="F691" s="129"/>
      <c r="G691" s="129"/>
      <c r="H691" s="110"/>
      <c r="I691" s="129"/>
      <c r="J691" t="s">
        <v>351</v>
      </c>
      <c r="K691" s="129"/>
      <c r="L691" s="129"/>
      <c r="M691" s="129"/>
      <c r="N691" s="129"/>
      <c r="O691" s="129"/>
      <c r="P691" s="129"/>
      <c r="Q691" s="129"/>
      <c r="R691" s="129"/>
      <c r="S691" s="141"/>
      <c r="T691" s="139"/>
      <c r="U691" s="129"/>
      <c r="V691" s="129"/>
      <c r="W691" s="129"/>
      <c r="X691" s="129"/>
      <c r="Y691" s="129"/>
      <c r="Z691" s="115"/>
      <c r="AA691" s="129"/>
      <c r="AB691" s="149"/>
      <c r="AC691" s="129"/>
      <c r="AD691" s="129"/>
      <c r="AE691" s="129"/>
    </row>
    <row r="692" spans="3:31" x14ac:dyDescent="0.35">
      <c r="C692" s="129"/>
      <c r="D692" s="129"/>
      <c r="E692" s="129"/>
      <c r="F692" s="129"/>
      <c r="G692" s="129"/>
      <c r="H692" s="110"/>
      <c r="I692" s="129"/>
      <c r="J692" t="s">
        <v>351</v>
      </c>
      <c r="K692" s="129"/>
      <c r="L692" s="129"/>
      <c r="M692" s="129"/>
      <c r="N692" s="129"/>
      <c r="O692" s="129"/>
      <c r="P692" s="129"/>
      <c r="Q692" s="129"/>
      <c r="R692" s="129"/>
      <c r="S692" s="141"/>
      <c r="T692" s="139"/>
      <c r="U692" s="129"/>
      <c r="V692" s="129"/>
      <c r="W692" s="129"/>
      <c r="X692" s="129"/>
      <c r="Y692" s="129"/>
      <c r="Z692" s="115"/>
      <c r="AA692" s="129"/>
      <c r="AB692" s="149"/>
      <c r="AC692" s="129"/>
      <c r="AD692" s="129"/>
      <c r="AE692" s="129"/>
    </row>
    <row r="693" spans="3:31" x14ac:dyDescent="0.35">
      <c r="C693" s="129"/>
      <c r="D693" s="129"/>
      <c r="E693" s="129"/>
      <c r="F693" s="129"/>
      <c r="G693" s="129"/>
      <c r="H693" s="110"/>
      <c r="I693" s="129"/>
      <c r="J693" t="s">
        <v>351</v>
      </c>
      <c r="K693" s="129"/>
      <c r="L693" s="129"/>
      <c r="M693" s="129"/>
      <c r="N693" s="129"/>
      <c r="O693" s="129"/>
      <c r="P693" s="129"/>
      <c r="Q693" s="129"/>
      <c r="R693" s="129"/>
      <c r="S693" s="141"/>
      <c r="T693" s="139"/>
      <c r="U693" s="129"/>
      <c r="V693" s="129"/>
      <c r="W693" s="129"/>
      <c r="X693" s="129"/>
      <c r="Y693" s="129"/>
      <c r="Z693" s="115"/>
      <c r="AA693" s="129"/>
      <c r="AB693" s="149"/>
      <c r="AC693" s="129"/>
      <c r="AD693" s="129"/>
      <c r="AE693" s="129"/>
    </row>
    <row r="694" spans="3:31" x14ac:dyDescent="0.35">
      <c r="C694" s="129"/>
      <c r="D694" s="129"/>
      <c r="E694" s="129"/>
      <c r="F694" s="129"/>
      <c r="G694" s="129"/>
      <c r="H694" s="110"/>
      <c r="I694" s="129"/>
      <c r="J694" t="s">
        <v>351</v>
      </c>
      <c r="K694" s="129"/>
      <c r="L694" s="129"/>
      <c r="M694" s="129"/>
      <c r="N694" s="129"/>
      <c r="O694" s="129"/>
      <c r="P694" s="129"/>
      <c r="Q694" s="129"/>
      <c r="R694" s="129"/>
      <c r="S694" s="141"/>
      <c r="T694" s="139"/>
      <c r="U694" s="129"/>
      <c r="V694" s="129"/>
      <c r="W694" s="129"/>
      <c r="X694" s="129"/>
      <c r="Y694" s="129"/>
      <c r="Z694" s="115"/>
      <c r="AA694" s="129"/>
      <c r="AB694" s="149"/>
      <c r="AC694" s="129"/>
      <c r="AD694" s="129"/>
      <c r="AE694" s="129"/>
    </row>
    <row r="695" spans="3:31" x14ac:dyDescent="0.35">
      <c r="C695" s="129"/>
      <c r="D695" s="129"/>
      <c r="E695" s="129"/>
      <c r="F695" s="129"/>
      <c r="G695" s="129"/>
      <c r="H695" s="110"/>
      <c r="I695" s="129"/>
      <c r="J695" t="s">
        <v>351</v>
      </c>
      <c r="K695" s="129"/>
      <c r="L695" s="129"/>
      <c r="M695" s="129"/>
      <c r="N695" s="129"/>
      <c r="O695" s="129"/>
      <c r="P695" s="129"/>
      <c r="Q695" s="129"/>
      <c r="R695" s="129"/>
      <c r="S695" s="141"/>
      <c r="T695" s="139"/>
      <c r="U695" s="129"/>
      <c r="V695" s="129"/>
      <c r="W695" s="129"/>
      <c r="X695" s="129"/>
      <c r="Y695" s="129"/>
      <c r="Z695" s="115"/>
      <c r="AA695" s="129"/>
      <c r="AB695" s="149"/>
      <c r="AC695" s="129"/>
      <c r="AD695" s="129"/>
      <c r="AE695" s="129"/>
    </row>
    <row r="696" spans="3:31" x14ac:dyDescent="0.35">
      <c r="C696" s="129"/>
      <c r="D696" s="129"/>
      <c r="E696" s="129"/>
      <c r="F696" s="129"/>
      <c r="G696" s="129"/>
      <c r="H696" s="110"/>
      <c r="I696" s="129"/>
      <c r="J696" t="s">
        <v>351</v>
      </c>
      <c r="K696" s="129"/>
      <c r="L696" s="129"/>
      <c r="M696" s="129"/>
      <c r="N696" s="129"/>
      <c r="O696" s="129"/>
      <c r="P696" s="129"/>
      <c r="Q696" s="129"/>
      <c r="R696" s="129"/>
      <c r="S696" s="141"/>
      <c r="T696" s="139"/>
      <c r="U696" s="129"/>
      <c r="V696" s="129"/>
      <c r="W696" s="129"/>
      <c r="X696" s="129"/>
      <c r="Y696" s="129"/>
      <c r="Z696" s="115"/>
      <c r="AA696" s="129"/>
      <c r="AB696" s="149"/>
      <c r="AC696" s="129"/>
      <c r="AD696" s="129"/>
      <c r="AE696" s="129"/>
    </row>
    <row r="697" spans="3:31" x14ac:dyDescent="0.35">
      <c r="C697" s="129"/>
      <c r="D697" s="129"/>
      <c r="E697" s="129"/>
      <c r="F697" s="129"/>
      <c r="G697" s="129"/>
      <c r="H697" s="110"/>
      <c r="I697" s="129"/>
      <c r="J697" t="s">
        <v>351</v>
      </c>
      <c r="K697" s="129"/>
      <c r="L697" s="129"/>
      <c r="M697" s="129"/>
      <c r="N697" s="129"/>
      <c r="O697" s="129"/>
      <c r="P697" s="129"/>
      <c r="Q697" s="129"/>
      <c r="R697" s="129"/>
      <c r="S697" s="141"/>
      <c r="T697" s="139"/>
      <c r="U697" s="129"/>
      <c r="V697" s="129"/>
      <c r="W697" s="129"/>
      <c r="X697" s="129"/>
      <c r="Y697" s="129"/>
      <c r="Z697" s="115"/>
      <c r="AA697" s="129"/>
      <c r="AB697" s="149"/>
      <c r="AC697" s="129"/>
      <c r="AD697" s="129"/>
      <c r="AE697" s="129"/>
    </row>
    <row r="698" spans="3:31" x14ac:dyDescent="0.35">
      <c r="C698" s="129"/>
      <c r="D698" s="129"/>
      <c r="E698" s="129"/>
      <c r="F698" s="129"/>
      <c r="G698" s="129"/>
      <c r="H698" s="110"/>
      <c r="I698" s="129"/>
      <c r="J698" t="s">
        <v>351</v>
      </c>
      <c r="K698" s="129"/>
      <c r="L698" s="129"/>
      <c r="M698" s="129"/>
      <c r="N698" s="129"/>
      <c r="O698" s="129"/>
      <c r="P698" s="129"/>
      <c r="Q698" s="129"/>
      <c r="R698" s="129"/>
      <c r="S698" s="141"/>
      <c r="T698" s="139"/>
      <c r="U698" s="129"/>
      <c r="V698" s="129"/>
      <c r="W698" s="129"/>
      <c r="X698" s="129"/>
      <c r="Y698" s="129"/>
      <c r="Z698" s="115"/>
      <c r="AA698" s="129"/>
      <c r="AB698" s="149"/>
      <c r="AC698" s="129"/>
      <c r="AD698" s="129"/>
      <c r="AE698" s="129"/>
    </row>
    <row r="699" spans="3:31" x14ac:dyDescent="0.35">
      <c r="C699" s="129"/>
      <c r="D699" s="129"/>
      <c r="E699" s="129"/>
      <c r="F699" s="129"/>
      <c r="G699" s="129"/>
      <c r="H699" s="110"/>
      <c r="I699" s="129"/>
      <c r="J699" t="s">
        <v>351</v>
      </c>
      <c r="K699" s="129"/>
      <c r="L699" s="129"/>
      <c r="M699" s="129"/>
      <c r="N699" s="129"/>
      <c r="O699" s="129"/>
      <c r="P699" s="129"/>
      <c r="Q699" s="129"/>
      <c r="R699" s="129"/>
      <c r="S699" s="141"/>
      <c r="T699" s="139"/>
      <c r="U699" s="129"/>
      <c r="V699" s="129"/>
      <c r="W699" s="129"/>
      <c r="X699" s="129"/>
      <c r="Y699" s="129"/>
      <c r="Z699" s="115"/>
      <c r="AA699" s="129"/>
      <c r="AB699" s="149"/>
      <c r="AC699" s="129"/>
      <c r="AD699" s="129"/>
      <c r="AE699" s="129"/>
    </row>
    <row r="700" spans="3:31" x14ac:dyDescent="0.35">
      <c r="C700" s="129"/>
      <c r="D700" s="129"/>
      <c r="E700" s="129"/>
      <c r="F700" s="129"/>
      <c r="G700" s="129"/>
      <c r="H700" s="110"/>
      <c r="I700" s="129"/>
      <c r="J700" t="s">
        <v>351</v>
      </c>
      <c r="K700" s="129"/>
      <c r="L700" s="129"/>
      <c r="M700" s="129"/>
      <c r="N700" s="129"/>
      <c r="O700" s="129"/>
      <c r="P700" s="129"/>
      <c r="Q700" s="129"/>
      <c r="R700" s="129"/>
      <c r="S700" s="141"/>
      <c r="T700" s="139"/>
      <c r="U700" s="129"/>
      <c r="V700" s="129"/>
      <c r="W700" s="129"/>
      <c r="X700" s="129"/>
      <c r="Y700" s="129"/>
      <c r="Z700" s="115"/>
      <c r="AA700" s="129"/>
      <c r="AB700" s="149"/>
      <c r="AC700" s="129"/>
      <c r="AD700" s="129"/>
      <c r="AE700" s="129"/>
    </row>
    <row r="701" spans="3:31" x14ac:dyDescent="0.35">
      <c r="C701" s="129"/>
      <c r="D701" s="129"/>
      <c r="E701" s="129"/>
      <c r="F701" s="129"/>
      <c r="G701" s="129"/>
      <c r="H701" s="110"/>
      <c r="I701" s="129"/>
      <c r="J701" t="s">
        <v>351</v>
      </c>
      <c r="K701" s="129"/>
      <c r="L701" s="129"/>
      <c r="M701" s="129"/>
      <c r="N701" s="129"/>
      <c r="O701" s="129"/>
      <c r="P701" s="129"/>
      <c r="Q701" s="129"/>
      <c r="R701" s="129"/>
      <c r="S701" s="141"/>
      <c r="T701" s="139"/>
      <c r="U701" s="129"/>
      <c r="V701" s="129"/>
      <c r="W701" s="129"/>
      <c r="X701" s="129"/>
      <c r="Y701" s="129"/>
      <c r="Z701" s="115"/>
      <c r="AA701" s="129"/>
      <c r="AB701" s="149"/>
      <c r="AC701" s="129"/>
      <c r="AD701" s="129"/>
      <c r="AE701" s="129"/>
    </row>
    <row r="702" spans="3:31" x14ac:dyDescent="0.35">
      <c r="C702" s="129"/>
      <c r="D702" s="129"/>
      <c r="E702" s="129"/>
      <c r="F702" s="129"/>
      <c r="G702" s="129"/>
      <c r="H702" s="110"/>
      <c r="I702" s="129"/>
      <c r="J702" t="s">
        <v>351</v>
      </c>
      <c r="K702" s="129"/>
      <c r="L702" s="129"/>
      <c r="M702" s="129"/>
      <c r="N702" s="129"/>
      <c r="O702" s="129"/>
      <c r="P702" s="129"/>
      <c r="Q702" s="129"/>
      <c r="R702" s="129"/>
      <c r="S702" s="141"/>
      <c r="T702" s="139"/>
      <c r="U702" s="129"/>
      <c r="V702" s="129"/>
      <c r="W702" s="129"/>
      <c r="X702" s="129"/>
      <c r="Y702" s="129"/>
      <c r="Z702" s="115"/>
      <c r="AA702" s="129"/>
      <c r="AB702" s="149"/>
      <c r="AC702" s="129"/>
      <c r="AD702" s="129"/>
      <c r="AE702" s="129"/>
    </row>
    <row r="703" spans="3:31" x14ac:dyDescent="0.35">
      <c r="C703" s="129"/>
      <c r="D703" s="129"/>
      <c r="E703" s="129"/>
      <c r="F703" s="129"/>
      <c r="G703" s="129"/>
      <c r="H703" s="110"/>
      <c r="I703" s="129"/>
      <c r="J703" t="s">
        <v>351</v>
      </c>
      <c r="K703" s="129"/>
      <c r="L703" s="129"/>
      <c r="M703" s="129"/>
      <c r="N703" s="129"/>
      <c r="O703" s="129"/>
      <c r="P703" s="129"/>
      <c r="Q703" s="129"/>
      <c r="R703" s="129"/>
      <c r="S703" s="141"/>
      <c r="T703" s="139"/>
      <c r="U703" s="129"/>
      <c r="V703" s="129"/>
      <c r="W703" s="129"/>
      <c r="X703" s="129"/>
      <c r="Y703" s="129"/>
      <c r="Z703" s="115"/>
      <c r="AA703" s="129"/>
      <c r="AB703" s="149"/>
      <c r="AC703" s="129"/>
      <c r="AD703" s="129"/>
      <c r="AE703" s="129"/>
    </row>
    <row r="704" spans="3:31" x14ac:dyDescent="0.35">
      <c r="C704" s="129"/>
      <c r="D704" s="129"/>
      <c r="E704" s="129"/>
      <c r="F704" s="129"/>
      <c r="G704" s="129"/>
      <c r="H704" s="110"/>
      <c r="I704" s="129"/>
      <c r="J704" t="s">
        <v>351</v>
      </c>
      <c r="K704" s="129"/>
      <c r="L704" s="129"/>
      <c r="M704" s="129"/>
      <c r="N704" s="129"/>
      <c r="O704" s="129"/>
      <c r="P704" s="129"/>
      <c r="Q704" s="129"/>
      <c r="R704" s="129"/>
      <c r="S704" s="141"/>
      <c r="T704" s="139"/>
      <c r="U704" s="129"/>
      <c r="V704" s="129"/>
      <c r="W704" s="129"/>
      <c r="X704" s="129"/>
      <c r="Y704" s="129"/>
      <c r="Z704" s="115"/>
      <c r="AA704" s="129"/>
      <c r="AB704" s="149"/>
      <c r="AC704" s="129"/>
      <c r="AD704" s="129"/>
      <c r="AE704" s="129"/>
    </row>
    <row r="705" spans="3:31" x14ac:dyDescent="0.35">
      <c r="C705" s="129"/>
      <c r="D705" s="129"/>
      <c r="E705" s="129"/>
      <c r="F705" s="129"/>
      <c r="G705" s="129"/>
      <c r="H705" s="110"/>
      <c r="I705" s="129"/>
      <c r="J705" t="s">
        <v>351</v>
      </c>
      <c r="K705" s="129"/>
      <c r="L705" s="129"/>
      <c r="M705" s="129"/>
      <c r="N705" s="129"/>
      <c r="O705" s="129"/>
      <c r="P705" s="129"/>
      <c r="Q705" s="129"/>
      <c r="R705" s="129"/>
      <c r="S705" s="141"/>
      <c r="T705" s="139"/>
      <c r="U705" s="129"/>
      <c r="V705" s="129"/>
      <c r="W705" s="129"/>
      <c r="X705" s="129"/>
      <c r="Y705" s="129"/>
      <c r="Z705" s="115"/>
      <c r="AA705" s="129"/>
      <c r="AB705" s="149"/>
      <c r="AC705" s="129"/>
      <c r="AD705" s="129"/>
      <c r="AE705" s="129"/>
    </row>
    <row r="706" spans="3:31" x14ac:dyDescent="0.35">
      <c r="C706" s="129"/>
      <c r="D706" s="129"/>
      <c r="E706" s="129"/>
      <c r="F706" s="129"/>
      <c r="G706" s="129"/>
      <c r="H706" s="110"/>
      <c r="I706" s="129"/>
      <c r="J706" t="s">
        <v>351</v>
      </c>
      <c r="K706" s="129"/>
      <c r="L706" s="129"/>
      <c r="M706" s="129"/>
      <c r="N706" s="129"/>
      <c r="O706" s="129"/>
      <c r="P706" s="129"/>
      <c r="Q706" s="129"/>
      <c r="R706" s="129"/>
      <c r="S706" s="141"/>
      <c r="T706" s="139"/>
      <c r="U706" s="129"/>
      <c r="V706" s="129"/>
      <c r="W706" s="129"/>
      <c r="X706" s="129"/>
      <c r="Y706" s="129"/>
      <c r="Z706" s="115"/>
      <c r="AA706" s="129"/>
      <c r="AB706" s="149"/>
      <c r="AC706" s="129"/>
      <c r="AD706" s="129"/>
      <c r="AE706" s="129"/>
    </row>
    <row r="707" spans="3:31" x14ac:dyDescent="0.35">
      <c r="C707" s="129"/>
      <c r="D707" s="129"/>
      <c r="E707" s="129"/>
      <c r="F707" s="129"/>
      <c r="G707" s="129"/>
      <c r="H707" s="110"/>
      <c r="I707" s="129"/>
      <c r="J707" t="s">
        <v>351</v>
      </c>
      <c r="K707" s="129"/>
      <c r="L707" s="129"/>
      <c r="M707" s="129"/>
      <c r="N707" s="129"/>
      <c r="O707" s="129"/>
      <c r="P707" s="129"/>
      <c r="Q707" s="129"/>
      <c r="R707" s="129"/>
      <c r="S707" s="141"/>
      <c r="T707" s="139"/>
      <c r="U707" s="129"/>
      <c r="V707" s="129"/>
      <c r="W707" s="129"/>
      <c r="X707" s="129"/>
      <c r="Y707" s="129"/>
      <c r="Z707" s="115"/>
      <c r="AA707" s="129"/>
      <c r="AB707" s="149"/>
      <c r="AC707" s="129"/>
      <c r="AD707" s="129"/>
      <c r="AE707" s="129"/>
    </row>
    <row r="708" spans="3:31" x14ac:dyDescent="0.35">
      <c r="C708" s="129"/>
      <c r="D708" s="129"/>
      <c r="E708" s="129"/>
      <c r="F708" s="129"/>
      <c r="G708" s="129"/>
      <c r="H708" s="110"/>
      <c r="I708" s="129"/>
      <c r="J708" t="s">
        <v>351</v>
      </c>
      <c r="K708" s="129"/>
      <c r="L708" s="129"/>
      <c r="M708" s="129"/>
      <c r="N708" s="129"/>
      <c r="O708" s="129"/>
      <c r="P708" s="129"/>
      <c r="Q708" s="129"/>
      <c r="R708" s="129"/>
      <c r="S708" s="141"/>
      <c r="T708" s="139"/>
      <c r="U708" s="129"/>
      <c r="V708" s="129"/>
      <c r="W708" s="129"/>
      <c r="X708" s="129"/>
      <c r="Y708" s="129"/>
      <c r="Z708" s="115"/>
      <c r="AA708" s="129"/>
      <c r="AB708" s="149"/>
      <c r="AC708" s="129"/>
      <c r="AD708" s="129"/>
      <c r="AE708" s="129"/>
    </row>
    <row r="709" spans="3:31" x14ac:dyDescent="0.35">
      <c r="C709" s="129"/>
      <c r="D709" s="129"/>
      <c r="E709" s="129"/>
      <c r="F709" s="129"/>
      <c r="G709" s="129"/>
      <c r="H709" s="110"/>
      <c r="I709" s="129"/>
      <c r="J709" t="s">
        <v>351</v>
      </c>
      <c r="K709" s="129"/>
      <c r="L709" s="129"/>
      <c r="M709" s="129"/>
      <c r="N709" s="129"/>
      <c r="O709" s="129"/>
      <c r="P709" s="129"/>
      <c r="Q709" s="129"/>
      <c r="R709" s="129"/>
      <c r="S709" s="141"/>
      <c r="T709" s="139"/>
      <c r="U709" s="129"/>
      <c r="V709" s="129"/>
      <c r="W709" s="129"/>
      <c r="X709" s="129"/>
      <c r="Y709" s="129"/>
      <c r="Z709" s="115"/>
      <c r="AA709" s="129"/>
      <c r="AB709" s="149"/>
      <c r="AC709" s="129"/>
      <c r="AD709" s="129"/>
      <c r="AE709" s="129"/>
    </row>
    <row r="710" spans="3:31" x14ac:dyDescent="0.35">
      <c r="C710" s="129"/>
      <c r="D710" s="129"/>
      <c r="E710" s="129"/>
      <c r="F710" s="129"/>
      <c r="G710" s="129"/>
      <c r="H710" s="110"/>
      <c r="I710" s="129"/>
      <c r="J710" t="s">
        <v>351</v>
      </c>
      <c r="K710" s="129"/>
      <c r="L710" s="129"/>
      <c r="M710" s="129"/>
      <c r="N710" s="129"/>
      <c r="O710" s="129"/>
      <c r="P710" s="129"/>
      <c r="Q710" s="129"/>
      <c r="R710" s="129"/>
      <c r="S710" s="141"/>
      <c r="T710" s="139"/>
      <c r="U710" s="129"/>
      <c r="V710" s="129"/>
      <c r="W710" s="129"/>
      <c r="X710" s="129"/>
      <c r="Y710" s="129"/>
      <c r="Z710" s="115"/>
      <c r="AA710" s="129"/>
      <c r="AB710" s="149"/>
      <c r="AC710" s="129"/>
      <c r="AD710" s="129"/>
      <c r="AE710" s="129"/>
    </row>
    <row r="711" spans="3:31" x14ac:dyDescent="0.35">
      <c r="C711" s="129"/>
      <c r="D711" s="129"/>
      <c r="E711" s="129"/>
      <c r="F711" s="129"/>
      <c r="G711" s="129"/>
      <c r="H711" s="110"/>
      <c r="I711" s="129"/>
      <c r="J711" t="s">
        <v>351</v>
      </c>
      <c r="K711" s="129"/>
      <c r="L711" s="129"/>
      <c r="M711" s="129"/>
      <c r="N711" s="129"/>
      <c r="O711" s="129"/>
      <c r="P711" s="129"/>
      <c r="Q711" s="129"/>
      <c r="R711" s="129"/>
      <c r="S711" s="141"/>
      <c r="T711" s="139"/>
      <c r="U711" s="129"/>
      <c r="V711" s="129"/>
      <c r="W711" s="129"/>
      <c r="X711" s="129"/>
      <c r="Y711" s="129"/>
      <c r="Z711" s="115"/>
      <c r="AA711" s="129"/>
      <c r="AB711" s="149"/>
      <c r="AC711" s="129"/>
      <c r="AD711" s="129"/>
      <c r="AE711" s="129"/>
    </row>
    <row r="712" spans="3:31" x14ac:dyDescent="0.35">
      <c r="C712" s="129"/>
      <c r="D712" s="129"/>
      <c r="E712" s="129"/>
      <c r="F712" s="129"/>
      <c r="G712" s="129"/>
      <c r="H712" s="110"/>
      <c r="I712" s="129"/>
      <c r="J712" t="s">
        <v>351</v>
      </c>
      <c r="K712" s="129"/>
      <c r="L712" s="129"/>
      <c r="M712" s="129"/>
      <c r="N712" s="129"/>
      <c r="O712" s="129"/>
      <c r="P712" s="129"/>
      <c r="Q712" s="129"/>
      <c r="R712" s="129"/>
      <c r="S712" s="141"/>
      <c r="T712" s="139"/>
      <c r="U712" s="129"/>
      <c r="V712" s="129"/>
      <c r="W712" s="129"/>
      <c r="X712" s="129"/>
      <c r="Y712" s="129"/>
      <c r="Z712" s="115"/>
      <c r="AA712" s="129"/>
      <c r="AB712" s="149"/>
      <c r="AC712" s="129"/>
      <c r="AD712" s="129"/>
      <c r="AE712" s="129"/>
    </row>
    <row r="713" spans="3:31" x14ac:dyDescent="0.35">
      <c r="C713" s="129"/>
      <c r="D713" s="129"/>
      <c r="E713" s="129"/>
      <c r="F713" s="129"/>
      <c r="G713" s="129"/>
      <c r="H713" s="110"/>
      <c r="I713" s="129"/>
      <c r="J713" t="s">
        <v>351</v>
      </c>
      <c r="K713" s="129"/>
      <c r="L713" s="129"/>
      <c r="M713" s="129"/>
      <c r="N713" s="129"/>
      <c r="O713" s="129"/>
      <c r="P713" s="129"/>
      <c r="Q713" s="129"/>
      <c r="R713" s="129"/>
      <c r="S713" s="141"/>
      <c r="T713" s="139"/>
      <c r="U713" s="129"/>
      <c r="V713" s="129"/>
      <c r="W713" s="129"/>
      <c r="X713" s="129"/>
      <c r="Y713" s="129"/>
      <c r="Z713" s="115"/>
      <c r="AA713" s="129"/>
      <c r="AB713" s="149"/>
      <c r="AC713" s="129"/>
      <c r="AD713" s="129"/>
      <c r="AE713" s="129"/>
    </row>
    <row r="714" spans="3:31" x14ac:dyDescent="0.35">
      <c r="C714" s="129"/>
      <c r="D714" s="129"/>
      <c r="E714" s="129"/>
      <c r="F714" s="129"/>
      <c r="G714" s="129"/>
      <c r="H714" s="110"/>
      <c r="I714" s="129"/>
      <c r="J714" t="s">
        <v>351</v>
      </c>
      <c r="K714" s="129"/>
      <c r="L714" s="129"/>
      <c r="M714" s="129"/>
      <c r="N714" s="129"/>
      <c r="O714" s="129"/>
      <c r="P714" s="129"/>
      <c r="Q714" s="129"/>
      <c r="R714" s="129"/>
      <c r="S714" s="141"/>
      <c r="T714" s="139"/>
      <c r="U714" s="129"/>
      <c r="V714" s="129"/>
      <c r="W714" s="129"/>
      <c r="X714" s="129"/>
      <c r="Y714" s="129"/>
      <c r="Z714" s="115"/>
      <c r="AA714" s="129"/>
      <c r="AB714" s="149"/>
      <c r="AC714" s="129"/>
      <c r="AD714" s="129"/>
      <c r="AE714" s="129"/>
    </row>
    <row r="715" spans="3:31" x14ac:dyDescent="0.35">
      <c r="C715" s="129"/>
      <c r="D715" s="129"/>
      <c r="E715" s="129"/>
      <c r="F715" s="129"/>
      <c r="G715" s="129"/>
      <c r="H715" s="110"/>
      <c r="I715" s="129"/>
      <c r="J715" t="s">
        <v>351</v>
      </c>
      <c r="K715" s="129"/>
      <c r="L715" s="129"/>
      <c r="M715" s="129"/>
      <c r="N715" s="129"/>
      <c r="O715" s="129"/>
      <c r="P715" s="129"/>
      <c r="Q715" s="129"/>
      <c r="R715" s="129"/>
      <c r="S715" s="141"/>
      <c r="T715" s="139"/>
      <c r="U715" s="129"/>
      <c r="V715" s="129"/>
      <c r="W715" s="129"/>
      <c r="X715" s="129"/>
      <c r="Y715" s="129"/>
      <c r="Z715" s="115"/>
      <c r="AA715" s="129"/>
      <c r="AB715" s="149"/>
      <c r="AC715" s="129"/>
      <c r="AD715" s="129"/>
      <c r="AE715" s="129"/>
    </row>
    <row r="716" spans="3:31" x14ac:dyDescent="0.35">
      <c r="C716" s="129"/>
      <c r="D716" s="129"/>
      <c r="E716" s="129"/>
      <c r="F716" s="129"/>
      <c r="G716" s="129"/>
      <c r="H716" s="110"/>
      <c r="I716" s="129"/>
      <c r="J716" t="s">
        <v>351</v>
      </c>
      <c r="K716" s="129"/>
      <c r="L716" s="129"/>
      <c r="M716" s="129"/>
      <c r="N716" s="129"/>
      <c r="O716" s="129"/>
      <c r="P716" s="129"/>
      <c r="Q716" s="129"/>
      <c r="R716" s="129"/>
      <c r="S716" s="141"/>
      <c r="T716" s="139"/>
      <c r="U716" s="129"/>
      <c r="V716" s="129"/>
      <c r="W716" s="129"/>
      <c r="X716" s="129"/>
      <c r="Y716" s="129"/>
      <c r="Z716" s="115"/>
      <c r="AA716" s="129"/>
      <c r="AB716" s="149"/>
      <c r="AC716" s="129"/>
      <c r="AD716" s="129"/>
      <c r="AE716" s="129"/>
    </row>
    <row r="717" spans="3:31" x14ac:dyDescent="0.35">
      <c r="C717" s="129"/>
      <c r="D717" s="129"/>
      <c r="E717" s="129"/>
      <c r="F717" s="129"/>
      <c r="G717" s="129"/>
      <c r="H717" s="110"/>
      <c r="I717" s="129"/>
      <c r="J717" t="s">
        <v>351</v>
      </c>
      <c r="K717" s="129"/>
      <c r="L717" s="129"/>
      <c r="M717" s="129"/>
      <c r="N717" s="129"/>
      <c r="O717" s="129"/>
      <c r="P717" s="129"/>
      <c r="Q717" s="129"/>
      <c r="R717" s="129"/>
      <c r="S717" s="141"/>
      <c r="T717" s="139"/>
      <c r="U717" s="129"/>
      <c r="V717" s="129"/>
      <c r="W717" s="129"/>
      <c r="X717" s="129"/>
      <c r="Y717" s="129"/>
      <c r="Z717" s="115"/>
      <c r="AA717" s="129"/>
      <c r="AB717" s="149"/>
      <c r="AC717" s="129"/>
      <c r="AD717" s="129"/>
      <c r="AE717" s="129"/>
    </row>
    <row r="718" spans="3:31" x14ac:dyDescent="0.35">
      <c r="C718" s="129"/>
      <c r="D718" s="129"/>
      <c r="E718" s="129"/>
      <c r="F718" s="129"/>
      <c r="G718" s="129"/>
      <c r="H718" s="110"/>
      <c r="I718" s="129"/>
      <c r="J718" t="s">
        <v>351</v>
      </c>
      <c r="K718" s="129"/>
      <c r="L718" s="129"/>
      <c r="M718" s="129"/>
      <c r="N718" s="129"/>
      <c r="O718" s="129"/>
      <c r="P718" s="129"/>
      <c r="Q718" s="129"/>
      <c r="R718" s="129"/>
      <c r="S718" s="141"/>
      <c r="T718" s="139"/>
      <c r="U718" s="129"/>
      <c r="V718" s="129"/>
      <c r="W718" s="129"/>
      <c r="X718" s="129"/>
      <c r="Y718" s="129"/>
      <c r="Z718" s="115"/>
      <c r="AA718" s="129"/>
      <c r="AB718" s="149"/>
      <c r="AC718" s="129"/>
      <c r="AD718" s="129"/>
      <c r="AE718" s="129"/>
    </row>
    <row r="719" spans="3:31" x14ac:dyDescent="0.35">
      <c r="C719" s="129"/>
      <c r="D719" s="129"/>
      <c r="E719" s="129"/>
      <c r="F719" s="129"/>
      <c r="G719" s="129"/>
      <c r="H719" s="110"/>
      <c r="I719" s="129"/>
      <c r="J719" t="s">
        <v>351</v>
      </c>
      <c r="K719" s="129"/>
      <c r="L719" s="129"/>
      <c r="M719" s="129"/>
      <c r="N719" s="129"/>
      <c r="O719" s="129"/>
      <c r="P719" s="129"/>
      <c r="Q719" s="129"/>
      <c r="R719" s="129"/>
      <c r="S719" s="141"/>
      <c r="T719" s="139"/>
      <c r="U719" s="129"/>
      <c r="V719" s="129"/>
      <c r="W719" s="129"/>
      <c r="X719" s="129"/>
      <c r="Y719" s="129"/>
      <c r="Z719" s="115"/>
      <c r="AA719" s="129"/>
      <c r="AB719" s="149"/>
      <c r="AC719" s="129"/>
      <c r="AD719" s="129"/>
      <c r="AE719" s="129"/>
    </row>
    <row r="720" spans="3:31" x14ac:dyDescent="0.35">
      <c r="C720" s="129"/>
      <c r="D720" s="129"/>
      <c r="E720" s="129"/>
      <c r="F720" s="129"/>
      <c r="G720" s="129"/>
      <c r="H720" s="110"/>
      <c r="I720" s="129"/>
      <c r="J720" t="s">
        <v>351</v>
      </c>
      <c r="K720" s="129"/>
      <c r="L720" s="129"/>
      <c r="M720" s="129"/>
      <c r="N720" s="129"/>
      <c r="O720" s="129"/>
      <c r="P720" s="129"/>
      <c r="Q720" s="129"/>
      <c r="R720" s="129"/>
      <c r="S720" s="141"/>
      <c r="T720" s="139"/>
      <c r="U720" s="129"/>
      <c r="V720" s="129"/>
      <c r="W720" s="129"/>
      <c r="X720" s="129"/>
      <c r="Y720" s="129"/>
      <c r="Z720" s="115"/>
      <c r="AA720" s="129"/>
      <c r="AB720" s="149"/>
      <c r="AC720" s="129"/>
      <c r="AD720" s="129"/>
      <c r="AE720" s="129"/>
    </row>
    <row r="721" spans="3:31" x14ac:dyDescent="0.35">
      <c r="C721" s="129"/>
      <c r="D721" s="129"/>
      <c r="E721" s="129"/>
      <c r="F721" s="129"/>
      <c r="G721" s="129"/>
      <c r="H721" s="110"/>
      <c r="I721" s="129"/>
      <c r="J721" t="s">
        <v>351</v>
      </c>
      <c r="K721" s="129"/>
      <c r="L721" s="129"/>
      <c r="M721" s="129"/>
      <c r="N721" s="129"/>
      <c r="O721" s="129"/>
      <c r="P721" s="129"/>
      <c r="Q721" s="129"/>
      <c r="R721" s="129"/>
      <c r="S721" s="141"/>
      <c r="T721" s="139"/>
      <c r="U721" s="129"/>
      <c r="V721" s="129"/>
      <c r="W721" s="129"/>
      <c r="X721" s="129"/>
      <c r="Y721" s="129"/>
      <c r="Z721" s="115"/>
      <c r="AA721" s="129"/>
      <c r="AB721" s="149"/>
      <c r="AC721" s="129"/>
      <c r="AD721" s="129"/>
      <c r="AE721" s="129"/>
    </row>
    <row r="722" spans="3:31" x14ac:dyDescent="0.35">
      <c r="C722" s="129"/>
      <c r="D722" s="129"/>
      <c r="E722" s="129"/>
      <c r="F722" s="129"/>
      <c r="G722" s="129"/>
      <c r="H722" s="110"/>
      <c r="I722" s="129"/>
      <c r="J722" t="s">
        <v>351</v>
      </c>
      <c r="K722" s="129"/>
      <c r="L722" s="129"/>
      <c r="M722" s="129"/>
      <c r="N722" s="129"/>
      <c r="O722" s="129"/>
      <c r="P722" s="129"/>
      <c r="Q722" s="129"/>
      <c r="R722" s="129"/>
      <c r="S722" s="141"/>
      <c r="T722" s="139"/>
      <c r="U722" s="129"/>
      <c r="V722" s="129"/>
      <c r="W722" s="129"/>
      <c r="X722" s="129"/>
      <c r="Y722" s="129"/>
      <c r="Z722" s="115"/>
      <c r="AA722" s="129"/>
      <c r="AB722" s="149"/>
      <c r="AC722" s="129"/>
      <c r="AD722" s="129"/>
      <c r="AE722" s="129"/>
    </row>
    <row r="723" spans="3:31" x14ac:dyDescent="0.35">
      <c r="C723" s="129"/>
      <c r="D723" s="129"/>
      <c r="E723" s="129"/>
      <c r="F723" s="129"/>
      <c r="G723" s="129"/>
      <c r="H723" s="110"/>
      <c r="I723" s="129"/>
      <c r="J723" t="s">
        <v>351</v>
      </c>
      <c r="K723" s="129"/>
      <c r="L723" s="129"/>
      <c r="M723" s="129"/>
      <c r="N723" s="129"/>
      <c r="O723" s="129"/>
      <c r="P723" s="129"/>
      <c r="Q723" s="129"/>
      <c r="R723" s="129"/>
      <c r="S723" s="141"/>
      <c r="T723" s="139"/>
      <c r="U723" s="129"/>
      <c r="V723" s="129"/>
      <c r="W723" s="129"/>
      <c r="X723" s="129"/>
      <c r="Y723" s="129"/>
      <c r="Z723" s="115"/>
      <c r="AA723" s="129"/>
      <c r="AB723" s="149"/>
      <c r="AC723" s="129"/>
      <c r="AD723" s="129"/>
      <c r="AE723" s="129"/>
    </row>
    <row r="724" spans="3:31" x14ac:dyDescent="0.35">
      <c r="C724" s="129"/>
      <c r="D724" s="129"/>
      <c r="E724" s="129"/>
      <c r="F724" s="129"/>
      <c r="G724" s="129"/>
      <c r="H724" s="110"/>
      <c r="I724" s="129"/>
      <c r="J724" t="s">
        <v>351</v>
      </c>
      <c r="K724" s="129"/>
      <c r="L724" s="129"/>
      <c r="M724" s="129"/>
      <c r="N724" s="129"/>
      <c r="O724" s="129"/>
      <c r="P724" s="129"/>
      <c r="Q724" s="129"/>
      <c r="R724" s="129"/>
      <c r="S724" s="141"/>
      <c r="T724" s="139"/>
      <c r="U724" s="129"/>
      <c r="V724" s="129"/>
      <c r="W724" s="129"/>
      <c r="X724" s="129"/>
      <c r="Y724" s="129"/>
      <c r="Z724" s="115"/>
      <c r="AA724" s="129"/>
      <c r="AB724" s="149"/>
      <c r="AC724" s="129"/>
      <c r="AD724" s="129"/>
      <c r="AE724" s="129"/>
    </row>
    <row r="725" spans="3:31" x14ac:dyDescent="0.35">
      <c r="C725" s="129"/>
      <c r="D725" s="129"/>
      <c r="E725" s="129"/>
      <c r="F725" s="129"/>
      <c r="G725" s="129"/>
      <c r="H725" s="110"/>
      <c r="I725" s="129"/>
      <c r="J725" t="s">
        <v>351</v>
      </c>
      <c r="K725" s="129"/>
      <c r="L725" s="129"/>
      <c r="M725" s="129"/>
      <c r="N725" s="129"/>
      <c r="O725" s="129"/>
      <c r="P725" s="129"/>
      <c r="Q725" s="129"/>
      <c r="R725" s="129"/>
      <c r="S725" s="141"/>
      <c r="T725" s="139"/>
      <c r="U725" s="129"/>
      <c r="V725" s="129"/>
      <c r="W725" s="129"/>
      <c r="X725" s="129"/>
      <c r="Y725" s="129"/>
      <c r="Z725" s="115"/>
      <c r="AA725" s="129"/>
      <c r="AB725" s="149"/>
      <c r="AC725" s="129"/>
      <c r="AD725" s="129"/>
      <c r="AE725" s="129"/>
    </row>
    <row r="726" spans="3:31" x14ac:dyDescent="0.35">
      <c r="C726" s="129"/>
      <c r="D726" s="129"/>
      <c r="E726" s="129"/>
      <c r="F726" s="129"/>
      <c r="G726" s="129"/>
      <c r="H726" s="110"/>
      <c r="I726" s="129"/>
      <c r="J726" t="s">
        <v>351</v>
      </c>
      <c r="K726" s="129"/>
      <c r="L726" s="129"/>
      <c r="M726" s="129"/>
      <c r="N726" s="129"/>
      <c r="O726" s="129"/>
      <c r="P726" s="129"/>
      <c r="Q726" s="129"/>
      <c r="R726" s="129"/>
      <c r="S726" s="141"/>
      <c r="T726" s="139"/>
      <c r="U726" s="129"/>
      <c r="V726" s="129"/>
      <c r="W726" s="129"/>
      <c r="X726" s="129"/>
      <c r="Y726" s="129"/>
      <c r="Z726" s="115"/>
      <c r="AA726" s="129"/>
      <c r="AB726" s="149"/>
      <c r="AC726" s="129"/>
      <c r="AD726" s="129"/>
      <c r="AE726" s="129"/>
    </row>
    <row r="727" spans="3:31" x14ac:dyDescent="0.35">
      <c r="C727" s="129"/>
      <c r="D727" s="129"/>
      <c r="E727" s="129"/>
      <c r="F727" s="129"/>
      <c r="G727" s="129"/>
      <c r="H727" s="110"/>
      <c r="I727" s="129"/>
      <c r="J727" t="s">
        <v>351</v>
      </c>
      <c r="K727" s="129"/>
      <c r="L727" s="129"/>
      <c r="M727" s="129"/>
      <c r="N727" s="129"/>
      <c r="O727" s="129"/>
      <c r="P727" s="129"/>
      <c r="Q727" s="129"/>
      <c r="R727" s="129"/>
      <c r="S727" s="141"/>
      <c r="T727" s="139"/>
      <c r="U727" s="129"/>
      <c r="V727" s="129"/>
      <c r="W727" s="129"/>
      <c r="X727" s="129"/>
      <c r="Y727" s="129"/>
      <c r="Z727" s="115"/>
      <c r="AA727" s="129"/>
      <c r="AB727" s="149"/>
      <c r="AC727" s="129"/>
      <c r="AD727" s="129"/>
      <c r="AE727" s="129"/>
    </row>
    <row r="728" spans="3:31" x14ac:dyDescent="0.35">
      <c r="C728" s="129"/>
      <c r="D728" s="129"/>
      <c r="E728" s="129"/>
      <c r="F728" s="129"/>
      <c r="G728" s="129"/>
      <c r="H728" s="110"/>
      <c r="I728" s="129"/>
      <c r="J728" t="s">
        <v>351</v>
      </c>
      <c r="K728" s="129"/>
      <c r="L728" s="129"/>
      <c r="M728" s="129"/>
      <c r="N728" s="129"/>
      <c r="O728" s="129"/>
      <c r="P728" s="129"/>
      <c r="Q728" s="129"/>
      <c r="R728" s="129"/>
      <c r="S728" s="141"/>
      <c r="T728" s="139"/>
      <c r="U728" s="129"/>
      <c r="V728" s="129"/>
      <c r="W728" s="129"/>
      <c r="X728" s="129"/>
      <c r="Y728" s="129"/>
      <c r="Z728" s="115"/>
      <c r="AA728" s="129"/>
      <c r="AB728" s="149"/>
      <c r="AC728" s="129"/>
      <c r="AD728" s="129"/>
      <c r="AE728" s="129"/>
    </row>
    <row r="729" spans="3:31" x14ac:dyDescent="0.35">
      <c r="C729" s="129"/>
      <c r="D729" s="129"/>
      <c r="E729" s="129"/>
      <c r="F729" s="129"/>
      <c r="G729" s="129"/>
      <c r="H729" s="110"/>
      <c r="I729" s="129"/>
      <c r="J729" t="s">
        <v>351</v>
      </c>
      <c r="K729" s="129"/>
      <c r="L729" s="129"/>
      <c r="M729" s="129"/>
      <c r="N729" s="129"/>
      <c r="O729" s="129"/>
      <c r="P729" s="129"/>
      <c r="Q729" s="129"/>
      <c r="R729" s="129"/>
      <c r="S729" s="141"/>
      <c r="T729" s="139"/>
      <c r="U729" s="129"/>
      <c r="V729" s="129"/>
      <c r="W729" s="129"/>
      <c r="X729" s="129"/>
      <c r="Y729" s="129"/>
      <c r="Z729" s="115"/>
      <c r="AA729" s="129"/>
      <c r="AB729" s="149"/>
      <c r="AC729" s="129"/>
      <c r="AD729" s="129"/>
      <c r="AE729" s="129"/>
    </row>
    <row r="730" spans="3:31" x14ac:dyDescent="0.35">
      <c r="C730" s="129"/>
      <c r="D730" s="129"/>
      <c r="E730" s="129"/>
      <c r="F730" s="129"/>
      <c r="G730" s="129"/>
      <c r="H730" s="110"/>
      <c r="I730" s="129"/>
      <c r="J730" t="s">
        <v>351</v>
      </c>
      <c r="K730" s="129"/>
      <c r="L730" s="129"/>
      <c r="M730" s="129"/>
      <c r="N730" s="129"/>
      <c r="O730" s="129"/>
      <c r="P730" s="129"/>
      <c r="Q730" s="129"/>
      <c r="R730" s="129"/>
      <c r="S730" s="141"/>
      <c r="T730" s="139"/>
      <c r="U730" s="129"/>
      <c r="V730" s="129"/>
      <c r="W730" s="129"/>
      <c r="X730" s="129"/>
      <c r="Y730" s="129"/>
      <c r="Z730" s="115"/>
      <c r="AA730" s="129"/>
      <c r="AB730" s="149"/>
      <c r="AC730" s="129"/>
      <c r="AD730" s="129"/>
      <c r="AE730" s="129"/>
    </row>
    <row r="731" spans="3:31" x14ac:dyDescent="0.35">
      <c r="C731" s="129"/>
      <c r="D731" s="129"/>
      <c r="E731" s="129"/>
      <c r="F731" s="129"/>
      <c r="G731" s="129"/>
      <c r="H731" s="110"/>
      <c r="I731" s="129"/>
      <c r="J731" t="s">
        <v>351</v>
      </c>
      <c r="K731" s="129"/>
      <c r="L731" s="129"/>
      <c r="M731" s="129"/>
      <c r="N731" s="129"/>
      <c r="O731" s="129"/>
      <c r="P731" s="129"/>
      <c r="Q731" s="129"/>
      <c r="R731" s="129"/>
      <c r="S731" s="141"/>
      <c r="T731" s="139"/>
      <c r="U731" s="129"/>
      <c r="V731" s="129"/>
      <c r="W731" s="129"/>
      <c r="X731" s="129"/>
      <c r="Y731" s="129"/>
      <c r="Z731" s="115"/>
      <c r="AA731" s="129"/>
      <c r="AB731" s="149"/>
      <c r="AC731" s="129"/>
      <c r="AD731" s="129"/>
      <c r="AE731" s="129"/>
    </row>
    <row r="732" spans="3:31" x14ac:dyDescent="0.35">
      <c r="C732" s="129"/>
      <c r="D732" s="129"/>
      <c r="E732" s="129"/>
      <c r="F732" s="129"/>
      <c r="G732" s="129"/>
      <c r="H732" s="110"/>
      <c r="I732" s="129"/>
      <c r="J732" t="s">
        <v>351</v>
      </c>
      <c r="K732" s="129"/>
      <c r="L732" s="129"/>
      <c r="M732" s="129"/>
      <c r="N732" s="129"/>
      <c r="O732" s="129"/>
      <c r="P732" s="129"/>
      <c r="Q732" s="129"/>
      <c r="R732" s="129"/>
      <c r="S732" s="141"/>
      <c r="T732" s="139"/>
      <c r="U732" s="129"/>
      <c r="V732" s="129"/>
      <c r="W732" s="129"/>
      <c r="X732" s="129"/>
      <c r="Y732" s="129"/>
      <c r="Z732" s="115"/>
      <c r="AA732" s="129"/>
      <c r="AB732" s="149"/>
      <c r="AC732" s="129"/>
      <c r="AD732" s="129"/>
      <c r="AE732" s="129"/>
    </row>
    <row r="733" spans="3:31" x14ac:dyDescent="0.35">
      <c r="C733" s="129"/>
      <c r="D733" s="129"/>
      <c r="E733" s="129"/>
      <c r="F733" s="129"/>
      <c r="G733" s="129"/>
      <c r="H733" s="110"/>
      <c r="I733" s="129"/>
      <c r="J733" t="s">
        <v>351</v>
      </c>
      <c r="K733" s="129"/>
      <c r="L733" s="129"/>
      <c r="M733" s="129"/>
      <c r="N733" s="129"/>
      <c r="O733" s="129"/>
      <c r="P733" s="129"/>
      <c r="Q733" s="129"/>
      <c r="R733" s="129"/>
      <c r="S733" s="141"/>
      <c r="T733" s="139"/>
      <c r="U733" s="129"/>
      <c r="V733" s="129"/>
      <c r="W733" s="129"/>
      <c r="X733" s="129"/>
      <c r="Y733" s="129"/>
      <c r="Z733" s="115"/>
      <c r="AA733" s="129"/>
      <c r="AB733" s="149"/>
      <c r="AC733" s="129"/>
      <c r="AD733" s="129"/>
      <c r="AE733" s="129"/>
    </row>
    <row r="734" spans="3:31" x14ac:dyDescent="0.35">
      <c r="C734" s="129"/>
      <c r="D734" s="129"/>
      <c r="E734" s="129"/>
      <c r="F734" s="129"/>
      <c r="G734" s="129"/>
      <c r="H734" s="110"/>
      <c r="I734" s="129"/>
      <c r="J734" t="s">
        <v>351</v>
      </c>
      <c r="K734" s="129"/>
      <c r="L734" s="129"/>
      <c r="M734" s="129"/>
      <c r="N734" s="129"/>
      <c r="O734" s="129"/>
      <c r="P734" s="129"/>
      <c r="Q734" s="129"/>
      <c r="R734" s="129"/>
      <c r="S734" s="141"/>
      <c r="T734" s="139"/>
      <c r="U734" s="129"/>
      <c r="V734" s="129"/>
      <c r="W734" s="129"/>
      <c r="X734" s="129"/>
      <c r="Y734" s="129"/>
      <c r="Z734" s="115"/>
      <c r="AA734" s="129"/>
      <c r="AB734" s="149"/>
      <c r="AC734" s="129"/>
      <c r="AD734" s="129"/>
      <c r="AE734" s="129"/>
    </row>
    <row r="735" spans="3:31" x14ac:dyDescent="0.35">
      <c r="C735" s="129"/>
      <c r="D735" s="129"/>
      <c r="E735" s="129"/>
      <c r="F735" s="129"/>
      <c r="G735" s="129"/>
      <c r="H735" s="110"/>
      <c r="I735" s="129"/>
      <c r="J735" t="s">
        <v>351</v>
      </c>
      <c r="K735" s="129"/>
      <c r="L735" s="129"/>
      <c r="M735" s="129"/>
      <c r="N735" s="129"/>
      <c r="O735" s="129"/>
      <c r="P735" s="129"/>
      <c r="Q735" s="129"/>
      <c r="R735" s="129"/>
      <c r="S735" s="141"/>
      <c r="T735" s="139"/>
      <c r="U735" s="129"/>
      <c r="V735" s="129"/>
      <c r="W735" s="129"/>
      <c r="X735" s="129"/>
      <c r="Y735" s="129"/>
      <c r="Z735" s="115"/>
      <c r="AA735" s="129"/>
      <c r="AB735" s="149"/>
      <c r="AC735" s="129"/>
      <c r="AD735" s="129"/>
      <c r="AE735" s="129"/>
    </row>
    <row r="736" spans="3:31" x14ac:dyDescent="0.35">
      <c r="C736" s="129"/>
      <c r="D736" s="129"/>
      <c r="E736" s="129"/>
      <c r="F736" s="129"/>
      <c r="G736" s="129"/>
      <c r="H736" s="110"/>
      <c r="I736" s="129"/>
      <c r="J736" t="s">
        <v>351</v>
      </c>
      <c r="K736" s="129"/>
      <c r="L736" s="129"/>
      <c r="M736" s="129"/>
      <c r="N736" s="129"/>
      <c r="O736" s="129"/>
      <c r="P736" s="129"/>
      <c r="Q736" s="129"/>
      <c r="R736" s="129"/>
      <c r="S736" s="141"/>
      <c r="T736" s="139"/>
      <c r="U736" s="129"/>
      <c r="V736" s="129"/>
      <c r="W736" s="129"/>
      <c r="X736" s="129"/>
      <c r="Y736" s="129"/>
      <c r="Z736" s="115"/>
      <c r="AA736" s="129"/>
      <c r="AB736" s="149"/>
      <c r="AC736" s="129"/>
      <c r="AD736" s="129"/>
      <c r="AE736" s="129"/>
    </row>
    <row r="737" spans="3:31" x14ac:dyDescent="0.35">
      <c r="C737" s="129"/>
      <c r="D737" s="129"/>
      <c r="E737" s="129"/>
      <c r="F737" s="129"/>
      <c r="G737" s="129"/>
      <c r="H737" s="110"/>
      <c r="I737" s="129"/>
      <c r="J737" t="s">
        <v>351</v>
      </c>
      <c r="K737" s="129"/>
      <c r="L737" s="129"/>
      <c r="M737" s="129"/>
      <c r="N737" s="129"/>
      <c r="O737" s="129"/>
      <c r="P737" s="129"/>
      <c r="Q737" s="129"/>
      <c r="R737" s="129"/>
      <c r="S737" s="141"/>
      <c r="T737" s="139"/>
      <c r="U737" s="129"/>
      <c r="V737" s="129"/>
      <c r="W737" s="129"/>
      <c r="X737" s="129"/>
      <c r="Y737" s="129"/>
      <c r="Z737" s="115"/>
      <c r="AA737" s="129"/>
      <c r="AB737" s="149"/>
      <c r="AC737" s="129"/>
      <c r="AD737" s="129"/>
      <c r="AE737" s="129"/>
    </row>
    <row r="738" spans="3:31" x14ac:dyDescent="0.35">
      <c r="C738" s="129"/>
      <c r="D738" s="129"/>
      <c r="E738" s="129"/>
      <c r="F738" s="129"/>
      <c r="G738" s="129"/>
      <c r="H738" s="110"/>
      <c r="I738" s="129"/>
      <c r="J738" t="s">
        <v>351</v>
      </c>
      <c r="K738" s="129"/>
      <c r="L738" s="129"/>
      <c r="M738" s="129"/>
      <c r="N738" s="129"/>
      <c r="O738" s="129"/>
      <c r="P738" s="129"/>
      <c r="Q738" s="129"/>
      <c r="R738" s="129"/>
      <c r="S738" s="141"/>
      <c r="T738" s="139"/>
      <c r="U738" s="129"/>
      <c r="V738" s="129"/>
      <c r="W738" s="129"/>
      <c r="X738" s="129"/>
      <c r="Y738" s="129"/>
      <c r="Z738" s="115"/>
      <c r="AA738" s="129"/>
      <c r="AB738" s="149"/>
      <c r="AC738" s="129"/>
      <c r="AD738" s="129"/>
      <c r="AE738" s="129"/>
    </row>
    <row r="739" spans="3:31" x14ac:dyDescent="0.35">
      <c r="C739" s="129"/>
      <c r="D739" s="129"/>
      <c r="E739" s="129"/>
      <c r="F739" s="129"/>
      <c r="G739" s="129"/>
      <c r="H739" s="110"/>
      <c r="I739" s="129"/>
      <c r="J739" t="s">
        <v>351</v>
      </c>
      <c r="K739" s="129"/>
      <c r="L739" s="129"/>
      <c r="M739" s="129"/>
      <c r="N739" s="129"/>
      <c r="O739" s="129"/>
      <c r="P739" s="129"/>
      <c r="Q739" s="129"/>
      <c r="R739" s="129"/>
      <c r="S739" s="141"/>
      <c r="T739" s="139"/>
      <c r="U739" s="129"/>
      <c r="V739" s="129"/>
      <c r="W739" s="129"/>
      <c r="X739" s="129"/>
      <c r="Y739" s="129"/>
      <c r="Z739" s="115"/>
      <c r="AA739" s="129"/>
      <c r="AB739" s="149"/>
      <c r="AC739" s="129"/>
      <c r="AD739" s="129"/>
      <c r="AE739" s="129"/>
    </row>
    <row r="740" spans="3:31" x14ac:dyDescent="0.35">
      <c r="C740" s="129"/>
      <c r="D740" s="129"/>
      <c r="E740" s="129"/>
      <c r="F740" s="129"/>
      <c r="G740" s="129"/>
      <c r="H740" s="110"/>
      <c r="I740" s="129"/>
      <c r="J740" t="s">
        <v>351</v>
      </c>
      <c r="K740" s="129"/>
      <c r="L740" s="129"/>
      <c r="M740" s="129"/>
      <c r="N740" s="129"/>
      <c r="O740" s="129"/>
      <c r="P740" s="129"/>
      <c r="Q740" s="129"/>
      <c r="R740" s="129"/>
      <c r="S740" s="141"/>
      <c r="T740" s="139"/>
      <c r="U740" s="129"/>
      <c r="V740" s="129"/>
      <c r="W740" s="129"/>
      <c r="X740" s="129"/>
      <c r="Y740" s="129"/>
      <c r="Z740" s="115"/>
      <c r="AA740" s="129"/>
      <c r="AB740" s="149"/>
      <c r="AC740" s="129"/>
      <c r="AD740" s="129"/>
      <c r="AE740" s="129"/>
    </row>
    <row r="741" spans="3:31" x14ac:dyDescent="0.35">
      <c r="C741" s="129"/>
      <c r="D741" s="129"/>
      <c r="E741" s="129"/>
      <c r="F741" s="129"/>
      <c r="G741" s="129"/>
      <c r="H741" s="110"/>
      <c r="I741" s="129"/>
      <c r="J741" t="s">
        <v>351</v>
      </c>
      <c r="K741" s="129"/>
      <c r="L741" s="129"/>
      <c r="M741" s="129"/>
      <c r="N741" s="129"/>
      <c r="O741" s="129"/>
      <c r="P741" s="129"/>
      <c r="Q741" s="129"/>
      <c r="R741" s="129"/>
      <c r="S741" s="141"/>
      <c r="T741" s="139"/>
      <c r="U741" s="129"/>
      <c r="V741" s="129"/>
      <c r="W741" s="129"/>
      <c r="X741" s="129"/>
      <c r="Y741" s="129"/>
      <c r="Z741" s="115"/>
      <c r="AA741" s="129"/>
      <c r="AB741" s="149"/>
      <c r="AC741" s="129"/>
      <c r="AD741" s="129"/>
      <c r="AE741" s="129"/>
    </row>
    <row r="742" spans="3:31" x14ac:dyDescent="0.35">
      <c r="C742" s="129"/>
      <c r="D742" s="129"/>
      <c r="E742" s="129"/>
      <c r="F742" s="129"/>
      <c r="G742" s="129"/>
      <c r="H742" s="110"/>
      <c r="I742" s="129"/>
      <c r="J742" t="s">
        <v>351</v>
      </c>
      <c r="K742" s="129"/>
      <c r="L742" s="129"/>
      <c r="M742" s="129"/>
      <c r="N742" s="129"/>
      <c r="O742" s="129"/>
      <c r="P742" s="129"/>
      <c r="Q742" s="129"/>
      <c r="R742" s="129"/>
      <c r="S742" s="141"/>
      <c r="T742" s="139"/>
      <c r="U742" s="129"/>
      <c r="V742" s="129"/>
      <c r="W742" s="129"/>
      <c r="X742" s="129"/>
      <c r="Y742" s="129"/>
      <c r="Z742" s="115"/>
      <c r="AA742" s="129"/>
      <c r="AB742" s="149"/>
      <c r="AC742" s="129"/>
      <c r="AD742" s="129"/>
      <c r="AE742" s="129"/>
    </row>
    <row r="743" spans="3:31" x14ac:dyDescent="0.35">
      <c r="C743" s="129"/>
      <c r="D743" s="129"/>
      <c r="E743" s="129"/>
      <c r="F743" s="129"/>
      <c r="G743" s="129"/>
      <c r="H743" s="110"/>
      <c r="I743" s="129"/>
      <c r="J743" t="s">
        <v>351</v>
      </c>
      <c r="K743" s="129"/>
      <c r="L743" s="129"/>
      <c r="M743" s="129"/>
      <c r="N743" s="129"/>
      <c r="O743" s="129"/>
      <c r="P743" s="129"/>
      <c r="Q743" s="129"/>
      <c r="R743" s="129"/>
      <c r="S743" s="141"/>
      <c r="T743" s="139"/>
      <c r="U743" s="129"/>
      <c r="V743" s="129"/>
      <c r="W743" s="129"/>
      <c r="X743" s="129"/>
      <c r="Y743" s="129"/>
      <c r="Z743" s="115"/>
      <c r="AA743" s="129"/>
      <c r="AB743" s="149"/>
      <c r="AC743" s="129"/>
      <c r="AD743" s="129"/>
      <c r="AE743" s="129"/>
    </row>
    <row r="744" spans="3:31" x14ac:dyDescent="0.35">
      <c r="C744" s="129"/>
      <c r="D744" s="129"/>
      <c r="E744" s="129"/>
      <c r="F744" s="129"/>
      <c r="G744" s="129"/>
      <c r="H744" s="110"/>
      <c r="I744" s="129"/>
      <c r="J744" t="s">
        <v>351</v>
      </c>
      <c r="K744" s="129"/>
      <c r="L744" s="129"/>
      <c r="M744" s="129"/>
      <c r="N744" s="129"/>
      <c r="O744" s="129"/>
      <c r="P744" s="129"/>
      <c r="Q744" s="129"/>
      <c r="R744" s="129"/>
      <c r="S744" s="141"/>
      <c r="T744" s="139"/>
      <c r="U744" s="129"/>
      <c r="V744" s="129"/>
      <c r="W744" s="129"/>
      <c r="X744" s="129"/>
      <c r="Y744" s="129"/>
      <c r="Z744" s="115"/>
      <c r="AA744" s="129"/>
      <c r="AB744" s="149"/>
      <c r="AC744" s="129"/>
      <c r="AD744" s="129"/>
      <c r="AE744" s="129"/>
    </row>
    <row r="745" spans="3:31" x14ac:dyDescent="0.35">
      <c r="C745" s="129"/>
      <c r="D745" s="129"/>
      <c r="E745" s="129"/>
      <c r="F745" s="129"/>
      <c r="G745" s="129"/>
      <c r="H745" s="110"/>
      <c r="I745" s="129"/>
      <c r="J745" t="s">
        <v>351</v>
      </c>
      <c r="K745" s="129"/>
      <c r="L745" s="129"/>
      <c r="M745" s="129"/>
      <c r="N745" s="129"/>
      <c r="O745" s="129"/>
      <c r="P745" s="129"/>
      <c r="Q745" s="129"/>
      <c r="R745" s="129"/>
      <c r="S745" s="141"/>
      <c r="T745" s="139"/>
      <c r="U745" s="129"/>
      <c r="V745" s="129"/>
      <c r="W745" s="129"/>
      <c r="X745" s="129"/>
      <c r="Y745" s="129"/>
      <c r="Z745" s="115"/>
      <c r="AA745" s="129"/>
      <c r="AB745" s="149"/>
      <c r="AC745" s="129"/>
      <c r="AD745" s="129"/>
      <c r="AE745" s="129"/>
    </row>
    <row r="746" spans="3:31" x14ac:dyDescent="0.35">
      <c r="C746" s="129"/>
      <c r="D746" s="129"/>
      <c r="E746" s="129"/>
      <c r="F746" s="129"/>
      <c r="G746" s="129"/>
      <c r="H746" s="110"/>
      <c r="I746" s="129"/>
      <c r="J746" t="s">
        <v>351</v>
      </c>
      <c r="K746" s="129"/>
      <c r="L746" s="129"/>
      <c r="M746" s="129"/>
      <c r="N746" s="129"/>
      <c r="O746" s="129"/>
      <c r="P746" s="129"/>
      <c r="Q746" s="129"/>
      <c r="R746" s="129"/>
      <c r="S746" s="141"/>
      <c r="T746" s="139"/>
      <c r="U746" s="129"/>
      <c r="V746" s="129"/>
      <c r="W746" s="129"/>
      <c r="X746" s="129"/>
      <c r="Y746" s="129"/>
      <c r="Z746" s="115"/>
      <c r="AA746" s="129"/>
      <c r="AB746" s="149"/>
      <c r="AC746" s="129"/>
      <c r="AD746" s="129"/>
      <c r="AE746" s="129"/>
    </row>
    <row r="747" spans="3:31" x14ac:dyDescent="0.35">
      <c r="C747" s="129"/>
      <c r="D747" s="129"/>
      <c r="E747" s="129"/>
      <c r="F747" s="129"/>
      <c r="G747" s="129"/>
      <c r="H747" s="110"/>
      <c r="I747" s="129"/>
      <c r="J747" t="s">
        <v>351</v>
      </c>
      <c r="K747" s="129"/>
      <c r="L747" s="129"/>
      <c r="M747" s="129"/>
      <c r="N747" s="129"/>
      <c r="O747" s="129"/>
      <c r="P747" s="129"/>
      <c r="Q747" s="129"/>
      <c r="R747" s="129"/>
      <c r="S747" s="141"/>
      <c r="T747" s="139"/>
      <c r="U747" s="129"/>
      <c r="V747" s="129"/>
      <c r="W747" s="129"/>
      <c r="X747" s="129"/>
      <c r="Y747" s="129"/>
      <c r="Z747" s="115"/>
      <c r="AA747" s="129"/>
      <c r="AB747" s="149"/>
      <c r="AC747" s="129"/>
      <c r="AD747" s="129"/>
      <c r="AE747" s="129"/>
    </row>
    <row r="748" spans="3:31" x14ac:dyDescent="0.35">
      <c r="C748" s="129"/>
      <c r="D748" s="129"/>
      <c r="E748" s="129"/>
      <c r="F748" s="129"/>
      <c r="G748" s="129"/>
      <c r="H748" s="110"/>
      <c r="I748" s="129"/>
      <c r="J748" t="s">
        <v>351</v>
      </c>
      <c r="K748" s="129"/>
      <c r="L748" s="129"/>
      <c r="M748" s="129"/>
      <c r="N748" s="129"/>
      <c r="O748" s="129"/>
      <c r="P748" s="129"/>
      <c r="Q748" s="129"/>
      <c r="R748" s="129"/>
      <c r="S748" s="141"/>
      <c r="T748" s="139"/>
      <c r="U748" s="129"/>
      <c r="V748" s="129"/>
      <c r="W748" s="129"/>
      <c r="X748" s="129"/>
      <c r="Y748" s="129"/>
      <c r="Z748" s="115"/>
      <c r="AA748" s="129"/>
      <c r="AB748" s="149"/>
      <c r="AC748" s="129"/>
      <c r="AD748" s="129"/>
      <c r="AE748" s="129"/>
    </row>
    <row r="749" spans="3:31" x14ac:dyDescent="0.35">
      <c r="C749" s="129"/>
      <c r="D749" s="129"/>
      <c r="E749" s="129"/>
      <c r="F749" s="129"/>
      <c r="G749" s="129"/>
      <c r="H749" s="110"/>
      <c r="I749" s="129"/>
      <c r="J749" t="s">
        <v>351</v>
      </c>
      <c r="K749" s="129"/>
      <c r="L749" s="129"/>
      <c r="M749" s="129"/>
      <c r="N749" s="129"/>
      <c r="O749" s="129"/>
      <c r="P749" s="129"/>
      <c r="Q749" s="129"/>
      <c r="R749" s="129"/>
      <c r="S749" s="141"/>
      <c r="T749" s="139"/>
      <c r="U749" s="129"/>
      <c r="V749" s="129"/>
      <c r="W749" s="129"/>
      <c r="X749" s="129"/>
      <c r="Y749" s="129"/>
      <c r="Z749" s="115"/>
      <c r="AA749" s="129"/>
      <c r="AB749" s="149"/>
      <c r="AC749" s="129"/>
      <c r="AD749" s="129"/>
      <c r="AE749" s="129"/>
    </row>
    <row r="750" spans="3:31" x14ac:dyDescent="0.35">
      <c r="C750" s="129"/>
      <c r="D750" s="129"/>
      <c r="E750" s="129"/>
      <c r="F750" s="129"/>
      <c r="G750" s="129"/>
      <c r="H750" s="110"/>
      <c r="I750" s="129"/>
      <c r="J750" t="s">
        <v>351</v>
      </c>
      <c r="K750" s="129"/>
      <c r="L750" s="129"/>
      <c r="M750" s="129"/>
      <c r="N750" s="129"/>
      <c r="O750" s="129"/>
      <c r="P750" s="129"/>
      <c r="Q750" s="129"/>
      <c r="R750" s="129"/>
      <c r="S750" s="141"/>
      <c r="T750" s="139"/>
      <c r="U750" s="129"/>
      <c r="V750" s="129"/>
      <c r="W750" s="129"/>
      <c r="X750" s="129"/>
      <c r="Y750" s="129"/>
      <c r="Z750" s="115"/>
      <c r="AA750" s="129"/>
      <c r="AB750" s="149"/>
      <c r="AC750" s="129"/>
      <c r="AD750" s="129"/>
      <c r="AE750" s="129"/>
    </row>
    <row r="751" spans="3:31" x14ac:dyDescent="0.35">
      <c r="C751" s="129"/>
      <c r="D751" s="129"/>
      <c r="E751" s="129"/>
      <c r="F751" s="129"/>
      <c r="G751" s="129"/>
      <c r="H751" s="110"/>
      <c r="I751" s="129"/>
      <c r="J751" t="s">
        <v>351</v>
      </c>
      <c r="K751" s="129"/>
      <c r="L751" s="129"/>
      <c r="M751" s="129"/>
      <c r="N751" s="129"/>
      <c r="O751" s="129"/>
      <c r="P751" s="129"/>
      <c r="Q751" s="129"/>
      <c r="R751" s="129"/>
      <c r="S751" s="141"/>
      <c r="T751" s="139"/>
      <c r="U751" s="129"/>
      <c r="V751" s="129"/>
      <c r="W751" s="129"/>
      <c r="X751" s="129"/>
      <c r="Y751" s="129"/>
      <c r="Z751" s="115"/>
      <c r="AA751" s="129"/>
      <c r="AB751" s="149"/>
      <c r="AC751" s="129"/>
      <c r="AD751" s="129"/>
      <c r="AE751" s="129"/>
    </row>
    <row r="752" spans="3:31" x14ac:dyDescent="0.35">
      <c r="C752" s="129"/>
      <c r="D752" s="129"/>
      <c r="E752" s="129"/>
      <c r="F752" s="129"/>
      <c r="G752" s="129"/>
      <c r="H752" s="110"/>
      <c r="I752" s="129"/>
      <c r="J752" t="s">
        <v>351</v>
      </c>
      <c r="K752" s="129"/>
      <c r="L752" s="129"/>
      <c r="M752" s="129"/>
      <c r="N752" s="129"/>
      <c r="O752" s="129"/>
      <c r="P752" s="129"/>
      <c r="Q752" s="129"/>
      <c r="R752" s="129"/>
      <c r="S752" s="141"/>
      <c r="T752" s="139"/>
      <c r="U752" s="129"/>
      <c r="V752" s="129"/>
      <c r="W752" s="129"/>
      <c r="X752" s="129"/>
      <c r="Y752" s="129"/>
      <c r="Z752" s="115"/>
      <c r="AA752" s="129"/>
      <c r="AB752" s="149"/>
      <c r="AC752" s="129"/>
      <c r="AD752" s="129"/>
      <c r="AE752" s="129"/>
    </row>
    <row r="753" spans="3:31" x14ac:dyDescent="0.35">
      <c r="C753" s="129"/>
      <c r="D753" s="129"/>
      <c r="E753" s="129"/>
      <c r="F753" s="129"/>
      <c r="G753" s="129"/>
      <c r="H753" s="110"/>
      <c r="I753" s="129"/>
      <c r="J753" t="s">
        <v>351</v>
      </c>
      <c r="K753" s="129"/>
      <c r="L753" s="129"/>
      <c r="M753" s="129"/>
      <c r="N753" s="129"/>
      <c r="O753" s="129"/>
      <c r="P753" s="129"/>
      <c r="Q753" s="129"/>
      <c r="R753" s="129"/>
      <c r="S753" s="141"/>
      <c r="T753" s="139"/>
      <c r="U753" s="129"/>
      <c r="V753" s="129"/>
      <c r="W753" s="129"/>
      <c r="X753" s="129"/>
      <c r="Y753" s="129"/>
      <c r="Z753" s="115"/>
      <c r="AA753" s="129"/>
      <c r="AB753" s="149"/>
      <c r="AC753" s="129"/>
      <c r="AD753" s="129"/>
      <c r="AE753" s="129"/>
    </row>
    <row r="754" spans="3:31" x14ac:dyDescent="0.35">
      <c r="C754" s="129"/>
      <c r="D754" s="129"/>
      <c r="E754" s="129"/>
      <c r="F754" s="129"/>
      <c r="G754" s="129"/>
      <c r="H754" s="110"/>
      <c r="I754" s="129"/>
      <c r="J754" t="s">
        <v>351</v>
      </c>
      <c r="K754" s="129"/>
      <c r="L754" s="129"/>
      <c r="M754" s="129"/>
      <c r="N754" s="129"/>
      <c r="O754" s="129"/>
      <c r="P754" s="129"/>
      <c r="Q754" s="129"/>
      <c r="R754" s="129"/>
      <c r="S754" s="141"/>
      <c r="T754" s="139"/>
      <c r="U754" s="129"/>
      <c r="V754" s="129"/>
      <c r="W754" s="129"/>
      <c r="X754" s="129"/>
      <c r="Y754" s="129"/>
      <c r="Z754" s="115"/>
      <c r="AA754" s="129"/>
      <c r="AB754" s="149"/>
      <c r="AC754" s="129"/>
      <c r="AD754" s="129"/>
      <c r="AE754" s="129"/>
    </row>
    <row r="755" spans="3:31" x14ac:dyDescent="0.35">
      <c r="C755" s="129"/>
      <c r="D755" s="129"/>
      <c r="E755" s="129"/>
      <c r="F755" s="129"/>
      <c r="G755" s="129"/>
      <c r="H755" s="110"/>
      <c r="I755" s="129"/>
      <c r="J755" t="s">
        <v>351</v>
      </c>
      <c r="K755" s="129"/>
      <c r="L755" s="129"/>
      <c r="M755" s="129"/>
      <c r="N755" s="129"/>
      <c r="O755" s="129"/>
      <c r="P755" s="129"/>
      <c r="Q755" s="129"/>
      <c r="R755" s="129"/>
      <c r="S755" s="141"/>
      <c r="T755" s="139"/>
      <c r="U755" s="129"/>
      <c r="V755" s="129"/>
      <c r="W755" s="129"/>
      <c r="X755" s="129"/>
      <c r="Y755" s="129"/>
      <c r="Z755" s="115"/>
      <c r="AA755" s="129"/>
      <c r="AB755" s="149"/>
      <c r="AC755" s="129"/>
      <c r="AD755" s="129"/>
      <c r="AE755" s="129"/>
    </row>
    <row r="756" spans="3:31" x14ac:dyDescent="0.35">
      <c r="C756" s="129"/>
      <c r="D756" s="129"/>
      <c r="E756" s="129"/>
      <c r="F756" s="129"/>
      <c r="G756" s="129"/>
      <c r="H756" s="110"/>
      <c r="I756" s="129"/>
      <c r="J756" t="s">
        <v>351</v>
      </c>
      <c r="K756" s="129"/>
      <c r="L756" s="129"/>
      <c r="M756" s="129"/>
      <c r="N756" s="129"/>
      <c r="O756" s="129"/>
      <c r="P756" s="129"/>
      <c r="Q756" s="129"/>
      <c r="R756" s="129"/>
      <c r="S756" s="141"/>
      <c r="T756" s="139"/>
      <c r="U756" s="129"/>
      <c r="V756" s="129"/>
      <c r="W756" s="129"/>
      <c r="X756" s="129"/>
      <c r="Y756" s="129"/>
      <c r="Z756" s="115"/>
      <c r="AA756" s="129"/>
      <c r="AB756" s="149"/>
      <c r="AC756" s="129"/>
      <c r="AD756" s="129"/>
      <c r="AE756" s="129"/>
    </row>
    <row r="757" spans="3:31" x14ac:dyDescent="0.35">
      <c r="C757" s="129"/>
      <c r="D757" s="129"/>
      <c r="E757" s="129"/>
      <c r="F757" s="129"/>
      <c r="G757" s="129"/>
      <c r="H757" s="110"/>
      <c r="I757" s="129"/>
      <c r="J757" t="s">
        <v>351</v>
      </c>
      <c r="K757" s="129"/>
      <c r="L757" s="129"/>
      <c r="M757" s="129"/>
      <c r="N757" s="129"/>
      <c r="O757" s="129"/>
      <c r="P757" s="129"/>
      <c r="Q757" s="129"/>
      <c r="R757" s="129"/>
      <c r="S757" s="141"/>
      <c r="T757" s="139"/>
      <c r="U757" s="129"/>
      <c r="V757" s="129"/>
      <c r="W757" s="129"/>
      <c r="X757" s="129"/>
      <c r="Y757" s="129"/>
      <c r="Z757" s="115"/>
      <c r="AA757" s="129"/>
      <c r="AB757" s="149"/>
      <c r="AC757" s="129"/>
      <c r="AD757" s="129"/>
      <c r="AE757" s="129"/>
    </row>
    <row r="758" spans="3:31" x14ac:dyDescent="0.35">
      <c r="C758" s="129"/>
      <c r="D758" s="129"/>
      <c r="E758" s="129"/>
      <c r="F758" s="129"/>
      <c r="G758" s="129"/>
      <c r="H758" s="110"/>
      <c r="I758" s="129"/>
      <c r="J758" t="s">
        <v>351</v>
      </c>
      <c r="K758" s="129"/>
      <c r="L758" s="129"/>
      <c r="M758" s="129"/>
      <c r="N758" s="129"/>
      <c r="O758" s="129"/>
      <c r="P758" s="129"/>
      <c r="Q758" s="129"/>
      <c r="R758" s="129"/>
      <c r="S758" s="141"/>
      <c r="T758" s="139"/>
      <c r="U758" s="129"/>
      <c r="V758" s="129"/>
      <c r="W758" s="129"/>
      <c r="X758" s="129"/>
      <c r="Y758" s="129"/>
      <c r="Z758" s="115"/>
      <c r="AA758" s="129"/>
      <c r="AB758" s="149"/>
      <c r="AC758" s="129"/>
      <c r="AD758" s="129"/>
      <c r="AE758" s="129"/>
    </row>
    <row r="759" spans="3:31" x14ac:dyDescent="0.35">
      <c r="C759" s="129"/>
      <c r="D759" s="129"/>
      <c r="E759" s="129"/>
      <c r="F759" s="129"/>
      <c r="G759" s="129"/>
      <c r="H759" s="110"/>
      <c r="I759" s="129"/>
      <c r="J759" t="s">
        <v>351</v>
      </c>
      <c r="K759" s="129"/>
      <c r="L759" s="129"/>
      <c r="M759" s="129"/>
      <c r="N759" s="129"/>
      <c r="O759" s="129"/>
      <c r="P759" s="129"/>
      <c r="Q759" s="129"/>
      <c r="R759" s="129"/>
      <c r="S759" s="141"/>
      <c r="T759" s="139"/>
      <c r="U759" s="129"/>
      <c r="V759" s="129"/>
      <c r="W759" s="129"/>
      <c r="X759" s="129"/>
      <c r="Y759" s="129"/>
      <c r="Z759" s="115"/>
      <c r="AA759" s="129"/>
      <c r="AB759" s="149"/>
      <c r="AC759" s="129"/>
      <c r="AD759" s="129"/>
      <c r="AE759" s="129"/>
    </row>
    <row r="760" spans="3:31" x14ac:dyDescent="0.35">
      <c r="C760" s="129"/>
      <c r="D760" s="129"/>
      <c r="E760" s="129"/>
      <c r="F760" s="129"/>
      <c r="G760" s="129"/>
      <c r="H760" s="110"/>
      <c r="I760" s="129"/>
      <c r="J760" t="s">
        <v>351</v>
      </c>
      <c r="K760" s="129"/>
      <c r="L760" s="129"/>
      <c r="M760" s="129"/>
      <c r="N760" s="129"/>
      <c r="O760" s="129"/>
      <c r="P760" s="129"/>
      <c r="Q760" s="129"/>
      <c r="R760" s="129"/>
      <c r="S760" s="141"/>
      <c r="T760" s="139"/>
      <c r="U760" s="129"/>
      <c r="V760" s="129"/>
      <c r="W760" s="129"/>
      <c r="X760" s="129"/>
      <c r="Y760" s="129"/>
      <c r="Z760" s="115"/>
      <c r="AA760" s="129"/>
      <c r="AB760" s="149"/>
      <c r="AC760" s="129"/>
      <c r="AD760" s="129"/>
      <c r="AE760" s="129"/>
    </row>
    <row r="761" spans="3:31" x14ac:dyDescent="0.35">
      <c r="C761" s="129"/>
      <c r="D761" s="129"/>
      <c r="E761" s="129"/>
      <c r="F761" s="129"/>
      <c r="G761" s="129"/>
      <c r="H761" s="110"/>
      <c r="I761" s="129"/>
      <c r="J761" t="s">
        <v>351</v>
      </c>
      <c r="K761" s="129"/>
      <c r="L761" s="129"/>
      <c r="M761" s="129"/>
      <c r="N761" s="129"/>
      <c r="O761" s="129"/>
      <c r="P761" s="129"/>
      <c r="Q761" s="129"/>
      <c r="R761" s="129"/>
      <c r="S761" s="141"/>
      <c r="T761" s="139"/>
      <c r="U761" s="129"/>
      <c r="V761" s="129"/>
      <c r="W761" s="129"/>
      <c r="X761" s="129"/>
      <c r="Y761" s="129"/>
      <c r="Z761" s="115"/>
      <c r="AA761" s="129"/>
      <c r="AB761" s="149"/>
      <c r="AC761" s="129"/>
      <c r="AD761" s="129"/>
      <c r="AE761" s="129"/>
    </row>
    <row r="762" spans="3:31" x14ac:dyDescent="0.35">
      <c r="C762" s="129"/>
      <c r="D762" s="129"/>
      <c r="E762" s="129"/>
      <c r="F762" s="129"/>
      <c r="G762" s="129"/>
      <c r="H762" s="110"/>
      <c r="I762" s="129"/>
      <c r="J762" t="s">
        <v>351</v>
      </c>
      <c r="K762" s="129"/>
      <c r="L762" s="129"/>
      <c r="M762" s="129"/>
      <c r="N762" s="129"/>
      <c r="O762" s="129"/>
      <c r="P762" s="129"/>
      <c r="Q762" s="129"/>
      <c r="R762" s="129"/>
      <c r="S762" s="141"/>
      <c r="T762" s="139"/>
      <c r="U762" s="129"/>
      <c r="V762" s="129"/>
      <c r="W762" s="129"/>
      <c r="X762" s="129"/>
      <c r="Y762" s="129"/>
      <c r="Z762" s="115"/>
      <c r="AA762" s="129"/>
      <c r="AB762" s="149"/>
      <c r="AC762" s="129"/>
      <c r="AD762" s="129"/>
      <c r="AE762" s="129"/>
    </row>
    <row r="763" spans="3:31" x14ac:dyDescent="0.35">
      <c r="C763" s="129"/>
      <c r="D763" s="129"/>
      <c r="E763" s="129"/>
      <c r="F763" s="129"/>
      <c r="G763" s="129"/>
      <c r="H763" s="110"/>
      <c r="I763" s="129"/>
      <c r="J763" t="s">
        <v>351</v>
      </c>
      <c r="K763" s="129"/>
      <c r="L763" s="129"/>
      <c r="M763" s="129"/>
      <c r="N763" s="129"/>
      <c r="O763" s="129"/>
      <c r="P763" s="129"/>
      <c r="Q763" s="129"/>
      <c r="R763" s="129"/>
      <c r="S763" s="141"/>
      <c r="T763" s="139"/>
      <c r="U763" s="129"/>
      <c r="V763" s="129"/>
      <c r="W763" s="129"/>
      <c r="X763" s="129"/>
      <c r="Y763" s="129"/>
      <c r="Z763" s="115"/>
      <c r="AA763" s="129"/>
      <c r="AB763" s="149"/>
      <c r="AC763" s="129"/>
      <c r="AD763" s="129"/>
      <c r="AE763" s="129"/>
    </row>
    <row r="764" spans="3:31" x14ac:dyDescent="0.35">
      <c r="C764" s="129"/>
      <c r="D764" s="129"/>
      <c r="E764" s="129"/>
      <c r="F764" s="129"/>
      <c r="G764" s="129"/>
      <c r="H764" s="110"/>
      <c r="I764" s="129"/>
      <c r="J764" t="s">
        <v>351</v>
      </c>
      <c r="K764" s="129"/>
      <c r="L764" s="129"/>
      <c r="M764" s="129"/>
      <c r="N764" s="129"/>
      <c r="O764" s="129"/>
      <c r="P764" s="129"/>
      <c r="Q764" s="129"/>
      <c r="R764" s="129"/>
      <c r="S764" s="141"/>
      <c r="T764" s="139"/>
      <c r="U764" s="129"/>
      <c r="V764" s="129"/>
      <c r="W764" s="129"/>
      <c r="X764" s="129"/>
      <c r="Y764" s="129"/>
      <c r="Z764" s="115"/>
      <c r="AA764" s="129"/>
      <c r="AB764" s="149"/>
      <c r="AC764" s="129"/>
      <c r="AD764" s="129"/>
      <c r="AE764" s="129"/>
    </row>
    <row r="765" spans="3:31" x14ac:dyDescent="0.35">
      <c r="C765" s="129"/>
      <c r="D765" s="129"/>
      <c r="E765" s="129"/>
      <c r="F765" s="129"/>
      <c r="G765" s="129"/>
      <c r="H765" s="110"/>
      <c r="I765" s="129"/>
      <c r="J765" t="s">
        <v>351</v>
      </c>
      <c r="K765" s="129"/>
      <c r="L765" s="129"/>
      <c r="M765" s="129"/>
      <c r="N765" s="129"/>
      <c r="O765" s="129"/>
      <c r="P765" s="129"/>
      <c r="Q765" s="129"/>
      <c r="R765" s="129"/>
      <c r="S765" s="141"/>
      <c r="T765" s="139"/>
      <c r="U765" s="129"/>
      <c r="V765" s="129"/>
      <c r="W765" s="129"/>
      <c r="X765" s="129"/>
      <c r="Y765" s="129"/>
      <c r="Z765" s="115"/>
      <c r="AA765" s="129"/>
      <c r="AB765" s="149"/>
      <c r="AC765" s="129"/>
      <c r="AD765" s="129"/>
      <c r="AE765" s="129"/>
    </row>
    <row r="766" spans="3:31" x14ac:dyDescent="0.35">
      <c r="C766" s="129"/>
      <c r="D766" s="129"/>
      <c r="E766" s="129"/>
      <c r="F766" s="129"/>
      <c r="G766" s="129"/>
      <c r="H766" s="110"/>
      <c r="I766" s="129"/>
      <c r="J766" t="s">
        <v>351</v>
      </c>
      <c r="K766" s="129"/>
      <c r="L766" s="129"/>
      <c r="M766" s="129"/>
      <c r="N766" s="129"/>
      <c r="O766" s="129"/>
      <c r="P766" s="129"/>
      <c r="Q766" s="129"/>
      <c r="R766" s="129"/>
      <c r="S766" s="141"/>
      <c r="T766" s="139"/>
      <c r="U766" s="129"/>
      <c r="V766" s="129"/>
      <c r="W766" s="129"/>
      <c r="X766" s="129"/>
      <c r="Y766" s="129"/>
      <c r="Z766" s="115"/>
      <c r="AA766" s="129"/>
      <c r="AB766" s="149"/>
      <c r="AC766" s="129"/>
      <c r="AD766" s="129"/>
      <c r="AE766" s="129"/>
    </row>
    <row r="767" spans="3:31" x14ac:dyDescent="0.35">
      <c r="C767" s="129"/>
      <c r="D767" s="129"/>
      <c r="E767" s="129"/>
      <c r="F767" s="129"/>
      <c r="G767" s="129"/>
      <c r="H767" s="110"/>
      <c r="I767" s="129"/>
      <c r="J767" t="s">
        <v>351</v>
      </c>
      <c r="K767" s="129"/>
      <c r="L767" s="129"/>
      <c r="M767" s="129"/>
      <c r="N767" s="129"/>
      <c r="O767" s="129"/>
      <c r="P767" s="129"/>
      <c r="Q767" s="129"/>
      <c r="R767" s="129"/>
      <c r="S767" s="141"/>
      <c r="T767" s="139"/>
      <c r="U767" s="129"/>
      <c r="V767" s="129"/>
      <c r="W767" s="129"/>
      <c r="X767" s="129"/>
      <c r="Y767" s="129"/>
      <c r="Z767" s="115"/>
      <c r="AA767" s="129"/>
      <c r="AB767" s="149"/>
      <c r="AC767" s="129"/>
      <c r="AD767" s="129"/>
      <c r="AE767" s="129"/>
    </row>
    <row r="768" spans="3:31" x14ac:dyDescent="0.35">
      <c r="C768" s="129"/>
      <c r="D768" s="129"/>
      <c r="E768" s="129"/>
      <c r="F768" s="129"/>
      <c r="G768" s="129"/>
      <c r="H768" s="110"/>
      <c r="I768" s="129"/>
      <c r="J768" t="s">
        <v>351</v>
      </c>
      <c r="K768" s="129"/>
      <c r="L768" s="129"/>
      <c r="M768" s="129"/>
      <c r="N768" s="129"/>
      <c r="O768" s="129"/>
      <c r="P768" s="129"/>
      <c r="Q768" s="129"/>
      <c r="R768" s="129"/>
      <c r="S768" s="141"/>
      <c r="T768" s="139"/>
      <c r="U768" s="129"/>
      <c r="V768" s="129"/>
      <c r="W768" s="129"/>
      <c r="X768" s="129"/>
      <c r="Y768" s="129"/>
      <c r="Z768" s="115"/>
      <c r="AA768" s="129"/>
      <c r="AB768" s="149"/>
      <c r="AC768" s="129"/>
      <c r="AD768" s="129"/>
      <c r="AE768" s="129"/>
    </row>
    <row r="769" spans="3:31" x14ac:dyDescent="0.35">
      <c r="C769" s="129"/>
      <c r="D769" s="129"/>
      <c r="E769" s="129"/>
      <c r="F769" s="129"/>
      <c r="G769" s="129"/>
      <c r="H769" s="110"/>
      <c r="I769" s="129"/>
      <c r="J769" t="s">
        <v>351</v>
      </c>
      <c r="K769" s="129"/>
      <c r="L769" s="129"/>
      <c r="M769" s="129"/>
      <c r="N769" s="129"/>
      <c r="O769" s="129"/>
      <c r="P769" s="129"/>
      <c r="Q769" s="129"/>
      <c r="R769" s="129"/>
      <c r="S769" s="141"/>
      <c r="T769" s="139"/>
      <c r="U769" s="129"/>
      <c r="V769" s="129"/>
      <c r="W769" s="129"/>
      <c r="X769" s="129"/>
      <c r="Y769" s="129"/>
      <c r="Z769" s="115"/>
      <c r="AA769" s="129"/>
      <c r="AB769" s="149"/>
      <c r="AC769" s="129"/>
      <c r="AD769" s="129"/>
      <c r="AE769" s="129"/>
    </row>
  </sheetData>
  <conditionalFormatting sqref="H4:H769">
    <cfRule type="containsText" dxfId="49" priority="3" operator="containsText" text="Final">
      <formula>NOT(ISERROR(SEARCH("Final",H4)))</formula>
    </cfRule>
    <cfRule type="cellIs" dxfId="48" priority="4" operator="equal">
      <formula>"Issue"</formula>
    </cfRule>
    <cfRule type="containsText" dxfId="47" priority="5" operator="containsText" text="Unchecked">
      <formula>NOT(ISERROR(SEARCH("Unchecked",H4)))</formula>
    </cfRule>
    <cfRule type="containsText" dxfId="46" priority="6" operator="containsText" text="Placeholder">
      <formula>NOT(ISERROR(SEARCH("Placeholder",H4)))</formula>
    </cfRule>
    <cfRule type="containsText" dxfId="45" priority="7" operator="containsText" text="Incomplete">
      <formula>NOT(ISERROR(SEARCH("Incomplete",H4)))</formula>
    </cfRule>
  </conditionalFormatting>
  <conditionalFormatting sqref="J4:J769 N4:N769">
    <cfRule type="containsText" dxfId="44" priority="1" operator="containsText" text="Yes">
      <formula>NOT(ISERROR(SEARCH("Yes",J4)))</formula>
    </cfRule>
    <cfRule type="containsText" dxfId="43" priority="2" operator="containsText" text="No">
      <formula>NOT(ISERROR(SEARCH("No",J4)))</formula>
    </cfRule>
  </conditionalFormatting>
  <conditionalFormatting sqref="Q770:R884 Q4:Q769">
    <cfRule type="containsText" dxfId="42" priority="8" operator="containsText" text="Yes">
      <formula>NOT(ISERROR(SEARCH("Yes",Q4)))</formula>
    </cfRule>
    <cfRule type="containsText" dxfId="41" priority="9" operator="containsText" text="Partial">
      <formula>NOT(ISERROR(SEARCH("Partial",Q4)))</formula>
    </cfRule>
    <cfRule type="containsText" dxfId="40" priority="10" operator="containsText" text="No">
      <formula>NOT(ISERROR(SEARCH("No",Q4)))</formula>
    </cfRule>
  </conditionalFormatting>
  <dataValidations count="3">
    <dataValidation type="list" allowBlank="1" showInputMessage="1" showErrorMessage="1" sqref="H4:H769" xr:uid="{9DF9ADBF-AAA1-47EF-863B-C9865CE9A7E8}">
      <formula1>"Final, Unchecked, Placeholder, Incomplete, Issue"</formula1>
    </dataValidation>
    <dataValidation type="list" allowBlank="1" showInputMessage="1" showErrorMessage="1" sqref="N4:N769 J4:J769" xr:uid="{00FFAF2E-957A-45B5-83BC-FA46F45E457F}">
      <formula1>"Yes, No"</formula1>
    </dataValidation>
    <dataValidation type="list" allowBlank="1" showInputMessage="1" showErrorMessage="1" sqref="Q4:Q769" xr:uid="{77932A83-6F00-4B1D-848A-1B2AA84D789C}">
      <formula1>"Yes, Partial, No"</formula1>
    </dataValidation>
  </dataValidations>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7">
        <x14:dataValidation type="list" allowBlank="1" showInputMessage="1" showErrorMessage="1" xr:uid="{07C31265-39F7-49BD-B395-9AEDB21E2472}">
          <x14:formula1>
            <xm:f>'RAW GWP FOSSIL'!$A$2:$A$1048576</xm:f>
          </x14:formula1>
          <xm:sqref>K12 K5 K9</xm:sqref>
        </x14:dataValidation>
        <x14:dataValidation type="list" allowBlank="1" showInputMessage="1" showErrorMessage="1" xr:uid="{CBBC7A6B-7E7F-46BD-8A35-ACD26F1C1BA0}">
          <x14:formula1>
            <xm:f>MATERIALS!$A$2:$A$500</xm:f>
          </x14:formula1>
          <xm:sqref>K4</xm:sqref>
        </x14:dataValidation>
        <x14:dataValidation type="list" allowBlank="1" showInputMessage="1" showErrorMessage="1" xr:uid="{21B03215-A7AF-48FD-9C72-DDA50E53DFAF}">
          <x14:formula1>
            <xm:f>'SCENARIO ASSUMPTIONS'!$N$6:$N$21</xm:f>
          </x14:formula1>
          <xm:sqref>L4:L769</xm:sqref>
        </x14:dataValidation>
        <x14:dataValidation type="list" allowBlank="1" showInputMessage="1" showErrorMessage="1" xr:uid="{9517478C-498D-4A16-8042-B8BB23A7BE98}">
          <x14:formula1>
            <xm:f>'SCENARIO ASSUMPTIONS'!$R$6:$R$21</xm:f>
          </x14:formula1>
          <xm:sqref>D4:D769</xm:sqref>
        </x14:dataValidation>
        <x14:dataValidation type="list" allowBlank="1" showInputMessage="1" showErrorMessage="1" xr:uid="{E0361687-34D6-44FF-9673-0606945A910A}">
          <x14:formula1>
            <xm:f>'SCENARIO ASSUMPTIONS'!$F$6:$F$21</xm:f>
          </x14:formula1>
          <xm:sqref>M4:M769</xm:sqref>
        </x14:dataValidation>
        <x14:dataValidation type="list" allowBlank="1" showInputMessage="1" showErrorMessage="1" xr:uid="{505F36A0-846D-4AA9-AFCF-451DFACF9A90}">
          <x14:formula1>
            <xm:f>'SCENARIO ASSUMPTIONS'!$H$6:$H$21</xm:f>
          </x14:formula1>
          <xm:sqref>C4:C769</xm:sqref>
        </x14:dataValidation>
        <x14:dataValidation type="list" allowBlank="1" showInputMessage="1" showErrorMessage="1" xr:uid="{81CE9962-F14A-4D59-8A73-BD570BE333BD}">
          <x14:formula1>
            <xm:f>'SCENARIO ASSUMPTIONS'!$J$6:$J$21</xm:f>
          </x14:formula1>
          <xm:sqref>G4:G769</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185D60-4AA3-4CE5-91EE-89DFF033FD20}">
  <sheetPr>
    <tabColor rgb="FFFFFF00"/>
  </sheetPr>
  <dimension ref="A1:I33"/>
  <sheetViews>
    <sheetView topLeftCell="A25" workbookViewId="0">
      <selection activeCell="A16" sqref="A16"/>
    </sheetView>
  </sheetViews>
  <sheetFormatPr defaultRowHeight="14.5" x14ac:dyDescent="0.35"/>
  <cols>
    <col min="1" max="1" width="42.6328125" bestFit="1" customWidth="1"/>
    <col min="2" max="2" width="15.453125" bestFit="1" customWidth="1"/>
    <col min="3" max="3" width="11.81640625" bestFit="1" customWidth="1"/>
    <col min="4" max="4" width="9.08984375" bestFit="1" customWidth="1"/>
    <col min="5" max="5" width="18.81640625" bestFit="1" customWidth="1"/>
    <col min="6" max="6" width="11.81640625" bestFit="1" customWidth="1"/>
    <col min="7" max="7" width="34.453125" bestFit="1" customWidth="1"/>
    <col min="8" max="8" width="15.36328125" bestFit="1" customWidth="1"/>
    <col min="9" max="11" width="11.81640625" bestFit="1" customWidth="1"/>
  </cols>
  <sheetData>
    <row r="1" spans="1:9" x14ac:dyDescent="0.35">
      <c r="A1" s="118" t="s">
        <v>69</v>
      </c>
      <c r="B1" t="s">
        <v>596</v>
      </c>
    </row>
    <row r="2" spans="1:9" x14ac:dyDescent="0.35">
      <c r="A2" s="118" t="s">
        <v>520</v>
      </c>
      <c r="B2" t="s">
        <v>596</v>
      </c>
    </row>
    <row r="3" spans="1:9" x14ac:dyDescent="0.35">
      <c r="A3" s="118" t="s">
        <v>823</v>
      </c>
      <c r="B3" t="s">
        <v>596</v>
      </c>
    </row>
    <row r="5" spans="1:9" x14ac:dyDescent="0.35">
      <c r="A5" s="118" t="s">
        <v>593</v>
      </c>
      <c r="B5" s="118" t="s">
        <v>592</v>
      </c>
    </row>
    <row r="6" spans="1:9" x14ac:dyDescent="0.35">
      <c r="A6" s="118" t="s">
        <v>588</v>
      </c>
      <c r="B6" t="s">
        <v>770</v>
      </c>
      <c r="C6" t="s">
        <v>344</v>
      </c>
      <c r="D6" t="s">
        <v>608</v>
      </c>
      <c r="E6" t="s">
        <v>532</v>
      </c>
      <c r="F6" t="s">
        <v>4</v>
      </c>
      <c r="G6" t="s">
        <v>533</v>
      </c>
      <c r="H6" t="s">
        <v>470</v>
      </c>
      <c r="I6" t="s">
        <v>591</v>
      </c>
    </row>
    <row r="7" spans="1:9" x14ac:dyDescent="0.35">
      <c r="A7" s="119" t="s">
        <v>912</v>
      </c>
      <c r="B7" s="180"/>
      <c r="C7" s="180">
        <v>16.907839999999997</v>
      </c>
      <c r="D7" s="180"/>
      <c r="E7" s="180"/>
      <c r="F7" s="180">
        <v>15.135553</v>
      </c>
      <c r="G7" s="180"/>
      <c r="H7" s="180">
        <v>0.25229166666666669</v>
      </c>
      <c r="I7" s="180">
        <v>32.295684666666659</v>
      </c>
    </row>
    <row r="8" spans="1:9" x14ac:dyDescent="0.35">
      <c r="A8" s="119" t="s">
        <v>915</v>
      </c>
      <c r="B8" s="180"/>
      <c r="C8" s="180"/>
      <c r="D8" s="180"/>
      <c r="E8" s="180"/>
      <c r="F8" s="180"/>
      <c r="G8" s="180">
        <v>25.485526875000001</v>
      </c>
      <c r="H8" s="180"/>
      <c r="I8" s="180">
        <v>25.485526875000001</v>
      </c>
    </row>
    <row r="9" spans="1:9" x14ac:dyDescent="0.35">
      <c r="A9" s="119" t="s">
        <v>913</v>
      </c>
      <c r="B9" s="180"/>
      <c r="C9" s="180">
        <v>16.965440000000001</v>
      </c>
      <c r="D9" s="180">
        <v>2.4569999999999999</v>
      </c>
      <c r="E9" s="180"/>
      <c r="F9" s="180">
        <v>2.3537952083333336</v>
      </c>
      <c r="G9" s="180"/>
      <c r="H9" s="180">
        <v>0.25229166666666669</v>
      </c>
      <c r="I9" s="180">
        <v>22.028526875000004</v>
      </c>
    </row>
    <row r="10" spans="1:9" x14ac:dyDescent="0.35">
      <c r="A10" s="119" t="s">
        <v>914</v>
      </c>
      <c r="B10" s="180"/>
      <c r="C10" s="180"/>
      <c r="D10" s="180"/>
      <c r="E10" s="180"/>
      <c r="F10" s="180"/>
      <c r="G10" s="180">
        <v>22.028526875000001</v>
      </c>
      <c r="H10" s="180"/>
      <c r="I10" s="180">
        <v>22.028526875000001</v>
      </c>
    </row>
    <row r="11" spans="1:9" x14ac:dyDescent="0.35">
      <c r="A11" s="119" t="s">
        <v>826</v>
      </c>
      <c r="B11" s="180"/>
      <c r="C11" s="180">
        <v>15.443402777777781</v>
      </c>
      <c r="D11" s="180"/>
      <c r="E11" s="180"/>
      <c r="F11" s="180">
        <v>49.463402777777773</v>
      </c>
      <c r="G11" s="180"/>
      <c r="H11" s="180">
        <v>0.25229166666666669</v>
      </c>
      <c r="I11" s="180">
        <v>65.159097222222215</v>
      </c>
    </row>
    <row r="12" spans="1:9" x14ac:dyDescent="0.35">
      <c r="A12" s="119" t="s">
        <v>827</v>
      </c>
      <c r="B12" s="180"/>
      <c r="C12" s="180">
        <v>6.9187500000000002</v>
      </c>
      <c r="D12" s="180"/>
      <c r="E12" s="180"/>
      <c r="F12" s="180">
        <v>54.149215500000004</v>
      </c>
      <c r="G12" s="180"/>
      <c r="H12" s="180">
        <v>0.25229166666666669</v>
      </c>
      <c r="I12" s="180">
        <v>61.320257166666671</v>
      </c>
    </row>
    <row r="13" spans="1:9" x14ac:dyDescent="0.35">
      <c r="A13" s="119" t="s">
        <v>828</v>
      </c>
      <c r="B13" s="180"/>
      <c r="C13" s="180">
        <v>6.9187500000000002</v>
      </c>
      <c r="D13" s="180"/>
      <c r="E13" s="180"/>
      <c r="F13" s="180">
        <v>57.468106000000013</v>
      </c>
      <c r="G13" s="180"/>
      <c r="H13" s="180">
        <v>0.25229166666666669</v>
      </c>
      <c r="I13" s="180">
        <v>64.639147666666673</v>
      </c>
    </row>
    <row r="14" spans="1:9" x14ac:dyDescent="0.35">
      <c r="A14" s="119" t="s">
        <v>829</v>
      </c>
      <c r="B14" s="180"/>
      <c r="C14" s="180">
        <v>6.9187500000000002</v>
      </c>
      <c r="D14" s="180"/>
      <c r="E14" s="180"/>
      <c r="F14" s="180">
        <v>50.049552500000004</v>
      </c>
      <c r="G14" s="180"/>
      <c r="H14" s="180">
        <v>0.25229166666666669</v>
      </c>
      <c r="I14" s="180">
        <v>57.220594166666672</v>
      </c>
    </row>
    <row r="15" spans="1:9" x14ac:dyDescent="0.35">
      <c r="A15" s="119" t="s">
        <v>830</v>
      </c>
      <c r="B15" s="180"/>
      <c r="C15" s="180">
        <v>4.6124999999999998</v>
      </c>
      <c r="D15" s="180"/>
      <c r="E15" s="180"/>
      <c r="F15" s="180">
        <v>41.106864000000009</v>
      </c>
      <c r="G15" s="180"/>
      <c r="H15" s="180">
        <v>0.25229166666666669</v>
      </c>
      <c r="I15" s="180">
        <v>45.97165566666667</v>
      </c>
    </row>
    <row r="16" spans="1:9" x14ac:dyDescent="0.35">
      <c r="A16" s="119" t="s">
        <v>831</v>
      </c>
      <c r="B16" s="180"/>
      <c r="C16" s="180">
        <v>20.672000000000001</v>
      </c>
      <c r="D16" s="180"/>
      <c r="E16" s="180"/>
      <c r="F16" s="180">
        <v>46.812902777777779</v>
      </c>
      <c r="G16" s="180"/>
      <c r="H16" s="180">
        <v>0.25229166666666669</v>
      </c>
      <c r="I16" s="180">
        <v>67.737194444444441</v>
      </c>
    </row>
    <row r="17" spans="1:9" x14ac:dyDescent="0.35">
      <c r="A17" s="119" t="s">
        <v>832</v>
      </c>
      <c r="B17" s="180"/>
      <c r="C17" s="180">
        <v>26.036999999999999</v>
      </c>
      <c r="D17" s="180"/>
      <c r="E17" s="180"/>
      <c r="F17" s="180">
        <v>46.812902777777779</v>
      </c>
      <c r="G17" s="180"/>
      <c r="H17" s="180">
        <v>0.25229166666666669</v>
      </c>
      <c r="I17" s="180">
        <v>73.102194444444436</v>
      </c>
    </row>
    <row r="18" spans="1:9" x14ac:dyDescent="0.35">
      <c r="A18" s="119" t="s">
        <v>833</v>
      </c>
      <c r="B18" s="180"/>
      <c r="C18" s="180"/>
      <c r="D18" s="180"/>
      <c r="E18" s="180"/>
      <c r="F18" s="180"/>
      <c r="G18" s="180">
        <v>27.8</v>
      </c>
      <c r="H18" s="180"/>
      <c r="I18" s="180">
        <v>27.8</v>
      </c>
    </row>
    <row r="19" spans="1:9" x14ac:dyDescent="0.35">
      <c r="A19" s="119" t="s">
        <v>834</v>
      </c>
      <c r="B19" s="180"/>
      <c r="C19" s="180"/>
      <c r="D19" s="180"/>
      <c r="E19" s="180"/>
      <c r="F19" s="180"/>
      <c r="G19" s="180">
        <v>21.7</v>
      </c>
      <c r="H19" s="180"/>
      <c r="I19" s="180">
        <v>21.7</v>
      </c>
    </row>
    <row r="20" spans="1:9" x14ac:dyDescent="0.35">
      <c r="A20" s="119" t="s">
        <v>835</v>
      </c>
      <c r="B20" s="180"/>
      <c r="C20" s="180">
        <v>16.965440000000001</v>
      </c>
      <c r="D20" s="180"/>
      <c r="E20" s="180"/>
      <c r="F20" s="180">
        <v>14.681000000000001</v>
      </c>
      <c r="G20" s="180"/>
      <c r="H20" s="180">
        <v>0.25229166666666669</v>
      </c>
      <c r="I20" s="180">
        <v>31.89873166666667</v>
      </c>
    </row>
    <row r="21" spans="1:9" x14ac:dyDescent="0.35">
      <c r="A21" s="119" t="s">
        <v>836</v>
      </c>
      <c r="B21" s="180"/>
      <c r="C21" s="180"/>
      <c r="D21" s="180"/>
      <c r="E21" s="180"/>
      <c r="F21" s="180"/>
      <c r="G21" s="180">
        <v>18.8</v>
      </c>
      <c r="H21" s="180"/>
      <c r="I21" s="180">
        <v>18.8</v>
      </c>
    </row>
    <row r="22" spans="1:9" x14ac:dyDescent="0.35">
      <c r="A22" s="119" t="s">
        <v>837</v>
      </c>
      <c r="B22" s="180"/>
      <c r="C22" s="180">
        <v>16.907839999999997</v>
      </c>
      <c r="D22" s="180"/>
      <c r="E22" s="180"/>
      <c r="F22" s="180">
        <v>9.9992200000000011</v>
      </c>
      <c r="G22" s="180"/>
      <c r="H22" s="180">
        <v>0.25229166666666669</v>
      </c>
      <c r="I22" s="180">
        <v>27.159351666666666</v>
      </c>
    </row>
    <row r="23" spans="1:9" x14ac:dyDescent="0.35">
      <c r="A23" s="119" t="s">
        <v>838</v>
      </c>
      <c r="B23" s="180"/>
      <c r="C23" s="180"/>
      <c r="D23" s="180"/>
      <c r="E23" s="180">
        <v>44.4</v>
      </c>
      <c r="F23" s="180"/>
      <c r="G23" s="180"/>
      <c r="H23" s="180">
        <v>0.25229166666666669</v>
      </c>
      <c r="I23" s="180">
        <v>44.652291666666663</v>
      </c>
    </row>
    <row r="24" spans="1:9" x14ac:dyDescent="0.35">
      <c r="A24" s="119" t="s">
        <v>839</v>
      </c>
      <c r="B24" s="180"/>
      <c r="C24" s="180">
        <v>15.390090090090087</v>
      </c>
      <c r="D24" s="180"/>
      <c r="E24" s="180"/>
      <c r="F24" s="180">
        <v>46.812902777777779</v>
      </c>
      <c r="G24" s="180"/>
      <c r="H24" s="180">
        <v>0.25229166666666669</v>
      </c>
      <c r="I24" s="180">
        <v>62.455284534534528</v>
      </c>
    </row>
    <row r="25" spans="1:9" x14ac:dyDescent="0.35">
      <c r="A25" s="119" t="s">
        <v>840</v>
      </c>
      <c r="B25" s="180"/>
      <c r="C25" s="180"/>
      <c r="D25" s="180"/>
      <c r="E25" s="180">
        <v>40</v>
      </c>
      <c r="F25" s="180"/>
      <c r="G25" s="180"/>
      <c r="H25" s="180">
        <v>0.25229166666666669</v>
      </c>
      <c r="I25" s="180">
        <v>40.252291666666665</v>
      </c>
    </row>
    <row r="26" spans="1:9" x14ac:dyDescent="0.35">
      <c r="A26" s="119" t="s">
        <v>841</v>
      </c>
      <c r="B26" s="180"/>
      <c r="C26" s="180">
        <v>9.2249999999999996</v>
      </c>
      <c r="D26" s="180"/>
      <c r="E26" s="180"/>
      <c r="F26" s="180">
        <v>24.545500000000001</v>
      </c>
      <c r="G26" s="180"/>
      <c r="H26" s="180">
        <v>0.25229166666666669</v>
      </c>
      <c r="I26" s="180">
        <v>34.022791666666663</v>
      </c>
    </row>
    <row r="27" spans="1:9" x14ac:dyDescent="0.35">
      <c r="A27" s="119" t="s">
        <v>842</v>
      </c>
      <c r="B27" s="180"/>
      <c r="C27" s="180">
        <v>16.907839999999997</v>
      </c>
      <c r="D27" s="180"/>
      <c r="E27" s="180"/>
      <c r="F27" s="180">
        <v>15.372500000000002</v>
      </c>
      <c r="G27" s="180"/>
      <c r="H27" s="180">
        <v>0.25229166666666669</v>
      </c>
      <c r="I27" s="180">
        <v>32.53263166666666</v>
      </c>
    </row>
    <row r="28" spans="1:9" x14ac:dyDescent="0.35">
      <c r="A28" s="119" t="s">
        <v>843</v>
      </c>
      <c r="B28" s="180">
        <v>24.7</v>
      </c>
      <c r="C28" s="180"/>
      <c r="D28" s="180"/>
      <c r="E28" s="180"/>
      <c r="F28" s="180"/>
      <c r="G28" s="180"/>
      <c r="H28" s="180"/>
      <c r="I28" s="180">
        <v>24.7</v>
      </c>
    </row>
    <row r="29" spans="1:9" x14ac:dyDescent="0.35">
      <c r="A29" s="119" t="s">
        <v>844</v>
      </c>
      <c r="B29" s="180"/>
      <c r="C29" s="180"/>
      <c r="D29" s="180"/>
      <c r="E29" s="180">
        <v>19.5</v>
      </c>
      <c r="F29" s="180"/>
      <c r="G29" s="180"/>
      <c r="H29" s="180">
        <v>0.25229166666666669</v>
      </c>
      <c r="I29" s="180">
        <v>19.752291666666668</v>
      </c>
    </row>
    <row r="30" spans="1:9" x14ac:dyDescent="0.35">
      <c r="A30" s="119" t="s">
        <v>845</v>
      </c>
      <c r="B30" s="180"/>
      <c r="C30" s="180"/>
      <c r="D30" s="180"/>
      <c r="E30" s="180">
        <v>24.6</v>
      </c>
      <c r="F30" s="180"/>
      <c r="G30" s="180"/>
      <c r="H30" s="180">
        <v>0.25229166666666669</v>
      </c>
      <c r="I30" s="180">
        <v>24.85229166666667</v>
      </c>
    </row>
    <row r="31" spans="1:9" x14ac:dyDescent="0.35">
      <c r="A31" s="119" t="s">
        <v>846</v>
      </c>
      <c r="B31" s="180"/>
      <c r="C31" s="180">
        <v>26.438000000000002</v>
      </c>
      <c r="D31" s="180"/>
      <c r="E31" s="180"/>
      <c r="F31" s="180">
        <v>46.812902777777779</v>
      </c>
      <c r="G31" s="180"/>
      <c r="H31" s="180">
        <v>0.25229166666666669</v>
      </c>
      <c r="I31" s="180">
        <v>73.503194444444446</v>
      </c>
    </row>
    <row r="32" spans="1:9" x14ac:dyDescent="0.35">
      <c r="A32" s="119" t="s">
        <v>847</v>
      </c>
      <c r="B32" s="180"/>
      <c r="C32" s="180"/>
      <c r="D32" s="180"/>
      <c r="E32" s="180">
        <v>23.1</v>
      </c>
      <c r="F32" s="180"/>
      <c r="G32" s="180"/>
      <c r="H32" s="180">
        <v>0.25229166666666669</v>
      </c>
      <c r="I32" s="180">
        <v>23.35229166666667</v>
      </c>
    </row>
    <row r="33" spans="1:9" x14ac:dyDescent="0.35">
      <c r="A33" s="119" t="s">
        <v>591</v>
      </c>
      <c r="B33" s="180">
        <v>24.7</v>
      </c>
      <c r="C33" s="180">
        <v>223.22864286786785</v>
      </c>
      <c r="D33" s="180">
        <v>2.4569999999999999</v>
      </c>
      <c r="E33" s="180">
        <v>151.6</v>
      </c>
      <c r="F33" s="180">
        <v>521.57632009722215</v>
      </c>
      <c r="G33" s="180">
        <v>115.81405375</v>
      </c>
      <c r="H33" s="180">
        <v>5.0458333333333334</v>
      </c>
      <c r="I33" s="180">
        <v>1044.4218500484235</v>
      </c>
    </row>
  </sheetData>
  <pageMargins left="0.7" right="0.7" top="0.75" bottom="0.75" header="0.3" footer="0.3"/>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15A4A8-856C-41C0-B21C-6FCD49B09197}">
  <sheetPr codeName="Sheet13">
    <tabColor rgb="FFFFFF00"/>
  </sheetPr>
  <dimension ref="A1:AG840"/>
  <sheetViews>
    <sheetView topLeftCell="I28" workbookViewId="0">
      <selection activeCell="O85" sqref="O85"/>
    </sheetView>
  </sheetViews>
  <sheetFormatPr defaultRowHeight="14.5" x14ac:dyDescent="0.35"/>
  <cols>
    <col min="1" max="1" width="10.81640625" bestFit="1" customWidth="1"/>
    <col min="2" max="2" width="25.54296875" bestFit="1" customWidth="1"/>
    <col min="3" max="3" width="14.26953125" customWidth="1"/>
    <col min="4" max="4" width="13.1796875" customWidth="1"/>
    <col min="5" max="5" width="15.90625" customWidth="1"/>
    <col min="6" max="6" width="15.453125" bestFit="1" customWidth="1"/>
    <col min="7" max="7" width="14" customWidth="1"/>
    <col min="8" max="12" width="37.6328125" customWidth="1"/>
    <col min="13" max="13" width="27.7265625" bestFit="1" customWidth="1"/>
    <col min="14" max="14" width="27.7265625" customWidth="1"/>
    <col min="15" max="15" width="15.26953125" bestFit="1" customWidth="1"/>
    <col min="16" max="16" width="20.08984375" bestFit="1" customWidth="1"/>
    <col min="17" max="17" width="22.26953125" bestFit="1" customWidth="1"/>
    <col min="18" max="18" width="42" customWidth="1"/>
    <col min="19" max="20" width="21.90625" customWidth="1"/>
    <col min="21" max="21" width="18.90625" style="106" customWidth="1"/>
    <col min="22" max="22" width="32.453125" style="12" customWidth="1"/>
    <col min="23" max="23" width="27.36328125" customWidth="1"/>
    <col min="24" max="24" width="22.6328125" customWidth="1"/>
    <col min="25" max="25" width="11.7265625" customWidth="1"/>
    <col min="26" max="26" width="11.54296875" customWidth="1"/>
    <col min="27" max="27" width="14.1796875" customWidth="1"/>
    <col min="28" max="28" width="21.81640625" customWidth="1"/>
    <col min="29" max="29" width="24.54296875" customWidth="1"/>
    <col min="30" max="30" width="19.26953125" customWidth="1"/>
    <col min="31" max="31" width="24.453125" customWidth="1"/>
    <col min="33" max="33" width="12.08984375" customWidth="1"/>
  </cols>
  <sheetData>
    <row r="1" spans="1:33" s="11" customFormat="1" x14ac:dyDescent="0.35">
      <c r="H1"/>
      <c r="I1"/>
      <c r="J1"/>
      <c r="K1"/>
      <c r="L1"/>
    </row>
    <row r="2" spans="1:33" s="11" customFormat="1" ht="116" x14ac:dyDescent="0.35">
      <c r="A2" s="11" t="s">
        <v>518</v>
      </c>
      <c r="F2" s="11" t="s">
        <v>535</v>
      </c>
      <c r="H2"/>
      <c r="I2"/>
      <c r="J2" s="11" t="s">
        <v>669</v>
      </c>
      <c r="L2"/>
      <c r="P2" s="11" t="s">
        <v>525</v>
      </c>
      <c r="U2" s="11" t="s">
        <v>555</v>
      </c>
      <c r="Y2" s="11" t="s">
        <v>587</v>
      </c>
      <c r="AD2" s="11" t="s">
        <v>586</v>
      </c>
    </row>
    <row r="3" spans="1:33" s="63" customFormat="1" ht="68.5" customHeight="1" x14ac:dyDescent="0.35">
      <c r="B3" s="63" t="s">
        <v>451</v>
      </c>
      <c r="C3" s="63" t="s">
        <v>519</v>
      </c>
      <c r="D3" s="63" t="s">
        <v>69</v>
      </c>
      <c r="E3" s="63" t="s">
        <v>520</v>
      </c>
      <c r="F3" s="63" t="s">
        <v>534</v>
      </c>
      <c r="G3" s="63" t="s">
        <v>856</v>
      </c>
      <c r="H3" s="110" t="s">
        <v>598</v>
      </c>
      <c r="I3" s="110" t="s">
        <v>823</v>
      </c>
      <c r="J3" s="110" t="s">
        <v>661</v>
      </c>
      <c r="K3" s="110" t="s">
        <v>658</v>
      </c>
      <c r="L3" s="110" t="s">
        <v>662</v>
      </c>
      <c r="M3" s="63" t="s">
        <v>521</v>
      </c>
      <c r="N3" s="63" t="s">
        <v>818</v>
      </c>
      <c r="O3" s="63" t="s">
        <v>531</v>
      </c>
      <c r="P3" s="63" t="s">
        <v>524</v>
      </c>
      <c r="Q3" s="63" t="s">
        <v>526</v>
      </c>
      <c r="R3" s="63" t="s">
        <v>540</v>
      </c>
      <c r="S3" s="63" t="s">
        <v>522</v>
      </c>
      <c r="T3" s="63" t="s">
        <v>570</v>
      </c>
      <c r="U3" s="63" t="s">
        <v>523</v>
      </c>
      <c r="V3" s="63" t="s">
        <v>541</v>
      </c>
      <c r="W3" s="63" t="s">
        <v>527</v>
      </c>
      <c r="X3" s="63" t="s">
        <v>528</v>
      </c>
      <c r="Y3" s="63" t="s">
        <v>547</v>
      </c>
      <c r="Z3" s="63" t="s">
        <v>7</v>
      </c>
      <c r="AA3" s="63" t="s">
        <v>8</v>
      </c>
      <c r="AB3" s="63" t="s">
        <v>537</v>
      </c>
      <c r="AC3" s="63" t="s">
        <v>538</v>
      </c>
      <c r="AD3" s="63" t="s">
        <v>544</v>
      </c>
      <c r="AE3" s="63" t="s">
        <v>546</v>
      </c>
      <c r="AF3" s="63" t="s">
        <v>565</v>
      </c>
      <c r="AG3" s="63" t="s">
        <v>567</v>
      </c>
    </row>
    <row r="4" spans="1:33" x14ac:dyDescent="0.35">
      <c r="B4" s="115" t="str">
        <f>_xlfn.CONCAT(BASE_SYSTEM_TABLE[[#This Row],[Unique ID]],"_",BASE_SYSTEM_TABLE[[#This Row],[Model Source]],"_",BASE_SYSTEM_TABLE[[#This Row],[System Type]],BASE_SYSTEM_TABLE[[#This Row],[System Subtype]])</f>
        <v>1_LCA_LGSOpen</v>
      </c>
      <c r="C4" s="129" t="s">
        <v>512</v>
      </c>
      <c r="D4" s="129" t="s">
        <v>40</v>
      </c>
      <c r="E4" s="129" t="s">
        <v>558</v>
      </c>
      <c r="F4" s="129">
        <v>1</v>
      </c>
      <c r="G4" s="129" t="s">
        <v>886</v>
      </c>
      <c r="H4" s="129" t="s">
        <v>599</v>
      </c>
      <c r="I4" s="129" t="s">
        <v>822</v>
      </c>
      <c r="J4" s="110" t="s">
        <v>659</v>
      </c>
      <c r="K4" s="129" t="s">
        <v>664</v>
      </c>
      <c r="L4" t="s">
        <v>351</v>
      </c>
      <c r="M4" s="130" t="s">
        <v>13</v>
      </c>
      <c r="N4" s="129" t="s">
        <v>816</v>
      </c>
      <c r="O4" s="129" t="s">
        <v>4</v>
      </c>
      <c r="P4" t="s">
        <v>351</v>
      </c>
      <c r="Q4" s="129" t="s">
        <v>543</v>
      </c>
      <c r="R4" s="129" t="s">
        <v>542</v>
      </c>
      <c r="S4" t="s">
        <v>352</v>
      </c>
      <c r="T4" s="129" t="s">
        <v>334</v>
      </c>
      <c r="U4" s="138">
        <v>8.9499999999999973E-6</v>
      </c>
      <c r="V4" s="139">
        <v>9.4600000000000009</v>
      </c>
      <c r="W4" s="129">
        <v>2.71</v>
      </c>
      <c r="X4" s="129" t="s">
        <v>545</v>
      </c>
      <c r="Y4" s="143">
        <v>0.17899999999999999</v>
      </c>
      <c r="Z4" s="143">
        <v>2.4</v>
      </c>
      <c r="AA4" s="144">
        <v>1.1999999999999999E-3</v>
      </c>
      <c r="AB4" s="115">
        <f>BASE_SYSTEM_TABLE[[#This Row],[Length (m) (on wall)]]*BASE_SYSTEM_TABLE[[#This Row],[Height (m)]]*BASE_SYSTEM_TABLE[[#This Row],[Thickness (m)]]</f>
        <v>5.1551999999999989E-4</v>
      </c>
      <c r="AC4" s="129">
        <v>5</v>
      </c>
      <c r="AD4" s="149">
        <f>BASE_SYSTEM_TABLE[[#This Row],[Length (m) (on wall)]]*BASE_SYSTEM_TABLE[[#This Row],[Height (m)]]*BASE_SYSTEM_TABLE[[#This Row],[No. of elements in 1 panel]]/(2.4*2.4)</f>
        <v>0.37291666666666662</v>
      </c>
      <c r="AE4" s="150">
        <v>7800</v>
      </c>
      <c r="AF4" s="150">
        <f>BASE_SYSTEM_TABLE[[#This Row],[Element Volume (m^3)]]*BASE_SYSTEM_TABLE[[#This Row],[No. of elements in 1 panel]]*BASE_SYSTEM_TABLE[[#This Row],[Material Density (kg/m^3)]]/(2.4^2)</f>
        <v>3.490499999999999</v>
      </c>
      <c r="AG4" s="147">
        <v>50</v>
      </c>
    </row>
    <row r="5" spans="1:33" x14ac:dyDescent="0.35">
      <c r="B5" s="115" t="str">
        <f>_xlfn.CONCAT(BASE_SYSTEM_TABLE[[#This Row],[Unique ID]],"_",BASE_SYSTEM_TABLE[[#This Row],[Model Source]],"_",BASE_SYSTEM_TABLE[[#This Row],[System Type]],BASE_SYSTEM_TABLE[[#This Row],[System Subtype]])</f>
        <v>1_LCA_LGSOpen</v>
      </c>
      <c r="C5" s="129" t="s">
        <v>512</v>
      </c>
      <c r="D5" s="129" t="s">
        <v>40</v>
      </c>
      <c r="E5" s="129" t="s">
        <v>558</v>
      </c>
      <c r="F5" s="129">
        <v>1</v>
      </c>
      <c r="G5" s="129" t="s">
        <v>886</v>
      </c>
      <c r="H5" s="129" t="s">
        <v>599</v>
      </c>
      <c r="I5" s="129" t="s">
        <v>822</v>
      </c>
      <c r="J5" s="110" t="s">
        <v>659</v>
      </c>
      <c r="K5" s="129" t="s">
        <v>664</v>
      </c>
      <c r="L5" t="s">
        <v>351</v>
      </c>
      <c r="M5" s="131" t="s">
        <v>14</v>
      </c>
      <c r="N5" s="129" t="s">
        <v>816</v>
      </c>
      <c r="O5" s="129" t="s">
        <v>4</v>
      </c>
      <c r="P5" t="s">
        <v>351</v>
      </c>
      <c r="Q5" s="129"/>
      <c r="R5" s="129" t="s">
        <v>548</v>
      </c>
      <c r="S5" t="s">
        <v>352</v>
      </c>
      <c r="T5" s="129" t="s">
        <v>334</v>
      </c>
      <c r="U5" s="138">
        <v>3.5799999999999996E-6</v>
      </c>
      <c r="V5" s="139">
        <v>3.7837019999999999</v>
      </c>
      <c r="W5" s="129">
        <v>2.71</v>
      </c>
      <c r="X5" s="129" t="s">
        <v>545</v>
      </c>
      <c r="Y5" s="145">
        <v>0.17899999999999999</v>
      </c>
      <c r="Z5" s="145">
        <v>2.4</v>
      </c>
      <c r="AA5" s="146">
        <v>1.1999999999999999E-3</v>
      </c>
      <c r="AB5" s="115">
        <f>BASE_SYSTEM_TABLE[[#This Row],[Length (m) (on wall)]]*BASE_SYSTEM_TABLE[[#This Row],[Height (m)]]*BASE_SYSTEM_TABLE[[#This Row],[Thickness (m)]]</f>
        <v>5.1551999999999989E-4</v>
      </c>
      <c r="AC5" s="129">
        <v>2</v>
      </c>
      <c r="AD5" s="149">
        <f>BASE_SYSTEM_TABLE[[#This Row],[Length (m) (on wall)]]*BASE_SYSTEM_TABLE[[#This Row],[Height (m)]]*BASE_SYSTEM_TABLE[[#This Row],[No. of elements in 1 panel]]/(2.4*2.4)</f>
        <v>0.14916666666666667</v>
      </c>
      <c r="AE5" s="150">
        <v>7800</v>
      </c>
      <c r="AF5" s="150">
        <f>BASE_SYSTEM_TABLE[[#This Row],[Element Volume (m^3)]]*BASE_SYSTEM_TABLE[[#This Row],[No. of elements in 1 panel]]*BASE_SYSTEM_TABLE[[#This Row],[Material Density (kg/m^3)]]/(2.4^2)</f>
        <v>1.3961999999999997</v>
      </c>
      <c r="AG5" s="147">
        <v>50</v>
      </c>
    </row>
    <row r="6" spans="1:33" x14ac:dyDescent="0.35">
      <c r="B6" s="115" t="str">
        <f>_xlfn.CONCAT(BASE_SYSTEM_TABLE[[#This Row],[Unique ID]],"_",BASE_SYSTEM_TABLE[[#This Row],[Model Source]],"_",BASE_SYSTEM_TABLE[[#This Row],[System Type]],BASE_SYSTEM_TABLE[[#This Row],[System Subtype]])</f>
        <v>1_LCA_LGSOpen</v>
      </c>
      <c r="C6" s="129" t="s">
        <v>512</v>
      </c>
      <c r="D6" s="129" t="s">
        <v>40</v>
      </c>
      <c r="E6" s="129" t="s">
        <v>558</v>
      </c>
      <c r="F6" s="129">
        <v>1</v>
      </c>
      <c r="G6" s="129" t="s">
        <v>886</v>
      </c>
      <c r="H6" s="129" t="s">
        <v>599</v>
      </c>
      <c r="I6" s="129" t="s">
        <v>822</v>
      </c>
      <c r="J6" s="110" t="s">
        <v>659</v>
      </c>
      <c r="K6" s="129" t="s">
        <v>664</v>
      </c>
      <c r="L6" t="s">
        <v>351</v>
      </c>
      <c r="M6" s="132" t="s">
        <v>15</v>
      </c>
      <c r="N6" s="129" t="s">
        <v>816</v>
      </c>
      <c r="O6" s="129" t="s">
        <v>4</v>
      </c>
      <c r="P6" t="s">
        <v>351</v>
      </c>
      <c r="Q6" s="129"/>
      <c r="R6" s="129" t="s">
        <v>549</v>
      </c>
      <c r="S6" t="s">
        <v>352</v>
      </c>
      <c r="T6" s="129" t="s">
        <v>334</v>
      </c>
      <c r="U6" s="138">
        <v>1.7899999999999998E-6</v>
      </c>
      <c r="V6" s="139">
        <v>1.8918509999999995</v>
      </c>
      <c r="W6" s="129">
        <v>2.71</v>
      </c>
      <c r="X6" s="129" t="s">
        <v>545</v>
      </c>
      <c r="Y6" s="145">
        <v>0.17899999999999999</v>
      </c>
      <c r="Z6" s="145">
        <v>2.4</v>
      </c>
      <c r="AA6" s="146">
        <v>1.1999999999999999E-3</v>
      </c>
      <c r="AB6" s="115">
        <f>BASE_SYSTEM_TABLE[[#This Row],[Length (m) (on wall)]]*BASE_SYSTEM_TABLE[[#This Row],[Height (m)]]*BASE_SYSTEM_TABLE[[#This Row],[Thickness (m)]]</f>
        <v>5.1551999999999989E-4</v>
      </c>
      <c r="AC6" s="129">
        <v>1</v>
      </c>
      <c r="AD6" s="149">
        <f>BASE_SYSTEM_TABLE[[#This Row],[Length (m) (on wall)]]*BASE_SYSTEM_TABLE[[#This Row],[Height (m)]]*BASE_SYSTEM_TABLE[[#This Row],[No. of elements in 1 panel]]/(2.4*2.4)</f>
        <v>7.4583333333333335E-2</v>
      </c>
      <c r="AE6" s="150">
        <v>7800</v>
      </c>
      <c r="AF6" s="150">
        <f>BASE_SYSTEM_TABLE[[#This Row],[Element Volume (m^3)]]*BASE_SYSTEM_TABLE[[#This Row],[No. of elements in 1 panel]]*BASE_SYSTEM_TABLE[[#This Row],[Material Density (kg/m^3)]]/(2.4^2)</f>
        <v>0.69809999999999983</v>
      </c>
      <c r="AG6" s="147">
        <v>50</v>
      </c>
    </row>
    <row r="7" spans="1:33" x14ac:dyDescent="0.35">
      <c r="B7" s="115" t="str">
        <f>_xlfn.CONCAT(BASE_SYSTEM_TABLE[[#This Row],[Unique ID]],"_",BASE_SYSTEM_TABLE[[#This Row],[Model Source]],"_",BASE_SYSTEM_TABLE[[#This Row],[System Type]],BASE_SYSTEM_TABLE[[#This Row],[System Subtype]])</f>
        <v>1_LCA_LGSOpen</v>
      </c>
      <c r="C7" s="129" t="s">
        <v>512</v>
      </c>
      <c r="D7" s="129" t="s">
        <v>40</v>
      </c>
      <c r="E7" s="129" t="s">
        <v>558</v>
      </c>
      <c r="F7" s="129">
        <v>1</v>
      </c>
      <c r="G7" s="129" t="s">
        <v>886</v>
      </c>
      <c r="H7" s="129" t="s">
        <v>599</v>
      </c>
      <c r="I7" s="129" t="s">
        <v>822</v>
      </c>
      <c r="J7" s="110" t="s">
        <v>659</v>
      </c>
      <c r="K7" s="129" t="s">
        <v>665</v>
      </c>
      <c r="L7" t="s">
        <v>351</v>
      </c>
      <c r="M7" s="133" t="s">
        <v>33</v>
      </c>
      <c r="N7" s="129" t="s">
        <v>816</v>
      </c>
      <c r="O7" s="129" t="s">
        <v>344</v>
      </c>
      <c r="P7" t="s">
        <v>352</v>
      </c>
      <c r="Q7" s="129" t="s">
        <v>552</v>
      </c>
      <c r="R7" s="129"/>
      <c r="S7" t="s">
        <v>352</v>
      </c>
      <c r="T7" s="129" t="s">
        <v>334</v>
      </c>
      <c r="U7" s="139">
        <v>1.0371428571428574</v>
      </c>
      <c r="V7" s="139">
        <v>8.9999999999999982</v>
      </c>
      <c r="W7" s="129">
        <v>1.25</v>
      </c>
      <c r="X7" s="129" t="s">
        <v>545</v>
      </c>
      <c r="Y7" s="103">
        <v>0.6</v>
      </c>
      <c r="Z7" s="145">
        <v>2.4</v>
      </c>
      <c r="AA7" s="145">
        <v>0.09</v>
      </c>
      <c r="AB7" s="115">
        <f>BASE_SYSTEM_TABLE[[#This Row],[Length (m) (on wall)]]*BASE_SYSTEM_TABLE[[#This Row],[Height (m)]]*BASE_SYSTEM_TABLE[[#This Row],[Thickness (m)]]</f>
        <v>0.12959999999999999</v>
      </c>
      <c r="AC7" s="129">
        <v>4</v>
      </c>
      <c r="AD7" s="149">
        <v>1</v>
      </c>
      <c r="AE7" s="150">
        <v>80</v>
      </c>
      <c r="AF7" s="150">
        <f>BASE_SYSTEM_TABLE[[#This Row],[Thickness (m)]]*BASE_SYSTEM_TABLE[[#This Row],[Material Density (kg/m^3)]]</f>
        <v>7.1999999999999993</v>
      </c>
      <c r="AG7" s="147">
        <v>2.1999999999999999E-2</v>
      </c>
    </row>
    <row r="8" spans="1:33" x14ac:dyDescent="0.35">
      <c r="B8" s="115" t="str">
        <f>_xlfn.CONCAT(BASE_SYSTEM_TABLE[[#This Row],[Unique ID]],"_",BASE_SYSTEM_TABLE[[#This Row],[Model Source]],"_",BASE_SYSTEM_TABLE[[#This Row],[System Type]],BASE_SYSTEM_TABLE[[#This Row],[System Subtype]])</f>
        <v>1_LCA_LGSOpen</v>
      </c>
      <c r="C8" s="129" t="s">
        <v>512</v>
      </c>
      <c r="D8" s="129" t="s">
        <v>40</v>
      </c>
      <c r="E8" s="129" t="s">
        <v>558</v>
      </c>
      <c r="F8" s="129">
        <v>1</v>
      </c>
      <c r="G8" s="129" t="s">
        <v>886</v>
      </c>
      <c r="H8" s="129" t="s">
        <v>599</v>
      </c>
      <c r="I8" s="129" t="s">
        <v>822</v>
      </c>
      <c r="J8" s="110" t="s">
        <v>660</v>
      </c>
      <c r="K8" s="129"/>
      <c r="L8" t="s">
        <v>351</v>
      </c>
      <c r="M8" s="133" t="s">
        <v>28</v>
      </c>
      <c r="N8" s="129" t="s">
        <v>816</v>
      </c>
      <c r="O8" s="129" t="s">
        <v>344</v>
      </c>
      <c r="P8" t="s">
        <v>352</v>
      </c>
      <c r="Q8" s="129" t="s">
        <v>553</v>
      </c>
      <c r="R8" s="129" t="s">
        <v>334</v>
      </c>
      <c r="S8" t="s">
        <v>352</v>
      </c>
      <c r="T8" s="129" t="s">
        <v>334</v>
      </c>
      <c r="U8" s="139">
        <v>3.6363636363636367</v>
      </c>
      <c r="V8" s="139">
        <v>7.9078399999999993</v>
      </c>
      <c r="W8" s="129">
        <v>3.089</v>
      </c>
      <c r="X8" s="129" t="s">
        <v>545</v>
      </c>
      <c r="Y8" s="145">
        <v>2.4</v>
      </c>
      <c r="Z8" s="145">
        <v>1.2</v>
      </c>
      <c r="AA8" s="145">
        <v>0.08</v>
      </c>
      <c r="AB8" s="115">
        <f>BASE_SYSTEM_TABLE[[#This Row],[Length (m) (on wall)]]*BASE_SYSTEM_TABLE[[#This Row],[Height (m)]]*BASE_SYSTEM_TABLE[[#This Row],[Thickness (m)]]</f>
        <v>0.23039999999999999</v>
      </c>
      <c r="AC8" s="129">
        <v>2</v>
      </c>
      <c r="AD8" s="149">
        <v>1</v>
      </c>
      <c r="AE8" s="150">
        <v>32</v>
      </c>
      <c r="AF8" s="150">
        <f>BASE_SYSTEM_TABLE[[#This Row],[Thickness (m)]]*BASE_SYSTEM_TABLE[[#This Row],[Material Density (kg/m^3)]]</f>
        <v>2.56</v>
      </c>
      <c r="AG8" s="147">
        <v>0.3</v>
      </c>
    </row>
    <row r="9" spans="1:33" x14ac:dyDescent="0.35">
      <c r="B9" s="115" t="str">
        <f>_xlfn.CONCAT(BASE_SYSTEM_TABLE[[#This Row],[Unique ID]],"_",BASE_SYSTEM_TABLE[[#This Row],[Model Source]],"_",BASE_SYSTEM_TABLE[[#This Row],[System Type]],BASE_SYSTEM_TABLE[[#This Row],[System Subtype]])</f>
        <v>1_LCA_LGSOpen</v>
      </c>
      <c r="C9" s="129" t="s">
        <v>512</v>
      </c>
      <c r="D9" s="129" t="s">
        <v>40</v>
      </c>
      <c r="E9" s="129" t="s">
        <v>558</v>
      </c>
      <c r="F9" s="129">
        <v>1</v>
      </c>
      <c r="G9" s="129" t="s">
        <v>886</v>
      </c>
      <c r="H9" s="129" t="s">
        <v>599</v>
      </c>
      <c r="I9" s="129" t="s">
        <v>822</v>
      </c>
      <c r="J9" s="110" t="s">
        <v>660</v>
      </c>
      <c r="K9" s="129"/>
      <c r="L9" t="s">
        <v>351</v>
      </c>
      <c r="M9" s="133" t="s">
        <v>29</v>
      </c>
      <c r="N9" s="129" t="s">
        <v>816</v>
      </c>
      <c r="O9" s="129" t="s">
        <v>470</v>
      </c>
      <c r="P9" t="s">
        <v>352</v>
      </c>
      <c r="Q9" s="129" t="s">
        <v>554</v>
      </c>
      <c r="R9" s="129" t="s">
        <v>334</v>
      </c>
      <c r="S9" t="s">
        <v>352</v>
      </c>
      <c r="T9" s="129" t="s">
        <v>334</v>
      </c>
      <c r="U9" s="138">
        <v>1.5E-3</v>
      </c>
      <c r="V9" s="139">
        <v>0.25229166666666669</v>
      </c>
      <c r="W9" s="129">
        <v>4.2</v>
      </c>
      <c r="X9" s="129" t="s">
        <v>545</v>
      </c>
      <c r="Y9" s="130">
        <v>2.4</v>
      </c>
      <c r="Z9" s="130">
        <v>2.4</v>
      </c>
      <c r="AA9" s="130">
        <v>4.4999999999999999E-4</v>
      </c>
      <c r="AB9" s="115">
        <f>BASE_SYSTEM_TABLE[[#This Row],[Length (m) (on wall)]]*BASE_SYSTEM_TABLE[[#This Row],[Height (m)]]*BASE_SYSTEM_TABLE[[#This Row],[Thickness (m)]]</f>
        <v>2.5919999999999997E-3</v>
      </c>
      <c r="AC9" s="129">
        <v>1</v>
      </c>
      <c r="AD9" s="149">
        <v>1</v>
      </c>
      <c r="AE9" s="151">
        <v>0</v>
      </c>
      <c r="AF9" s="151">
        <v>0.34599999999999997</v>
      </c>
      <c r="AG9" s="147">
        <v>0.3</v>
      </c>
    </row>
    <row r="10" spans="1:33" x14ac:dyDescent="0.35">
      <c r="B10" s="115" t="str">
        <f>_xlfn.CONCAT(BASE_SYSTEM_TABLE[[#This Row],[Unique ID]],"_",BASE_SYSTEM_TABLE[[#This Row],[Model Source]],"_",BASE_SYSTEM_TABLE[[#This Row],[System Type]],BASE_SYSTEM_TABLE[[#This Row],[System Subtype]])</f>
        <v>Horizon_EPD_LGSOpen</v>
      </c>
      <c r="C10" s="129" t="s">
        <v>513</v>
      </c>
      <c r="D10" s="129" t="s">
        <v>40</v>
      </c>
      <c r="E10" s="129" t="s">
        <v>558</v>
      </c>
      <c r="F10" s="129" t="s">
        <v>536</v>
      </c>
      <c r="G10" s="129" t="s">
        <v>898</v>
      </c>
      <c r="H10" s="129" t="s">
        <v>597</v>
      </c>
      <c r="I10" s="129" t="s">
        <v>822</v>
      </c>
      <c r="J10" s="110" t="s">
        <v>660</v>
      </c>
      <c r="K10" s="129"/>
      <c r="L10" t="s">
        <v>351</v>
      </c>
      <c r="M10" s="135" t="s">
        <v>166</v>
      </c>
      <c r="N10" s="135" t="s">
        <v>814</v>
      </c>
      <c r="O10" s="129" t="s">
        <v>4</v>
      </c>
      <c r="P10" t="s">
        <v>352</v>
      </c>
      <c r="Q10" s="129" t="s">
        <v>539</v>
      </c>
      <c r="R10" s="129" t="s">
        <v>334</v>
      </c>
      <c r="S10" t="s">
        <v>352</v>
      </c>
      <c r="T10" s="129" t="s">
        <v>334</v>
      </c>
      <c r="U10" s="138">
        <v>1.43E-5</v>
      </c>
      <c r="V10" s="124">
        <f>_xlfn.XLOOKUP(BASE_SYSTEM_TABLE[[#This Row],[Component Name]],'GWP NORMALISED'!$A$2:$A$500,'GWP NORMALISED'!$H$2:$H$500,FALSE)</f>
        <v>9.9992200000000011</v>
      </c>
      <c r="W10" s="125">
        <f>_xlfn.XLOOKUP(BASE_SYSTEM_TABLE[[#This Row],[Component Name]],'RAW GWP FOSSIL'!$A$2:$A$500,'RAW GWP FOSSIL'!$H$2:$H$500,FALSE)</f>
        <v>2.1139999999999999</v>
      </c>
      <c r="X10" s="129" t="s">
        <v>545</v>
      </c>
      <c r="Y10" s="129" t="b">
        <v>0</v>
      </c>
      <c r="Z10" s="129" t="b">
        <v>0</v>
      </c>
      <c r="AA10" s="129" t="b">
        <v>0</v>
      </c>
      <c r="AB10" s="115">
        <f>BASE_SYSTEM_TABLE[[#This Row],[Length (m) (on wall)]]*BASE_SYSTEM_TABLE[[#This Row],[Height (m)]]*BASE_SYSTEM_TABLE[[#This Row],[Thickness (m)]]</f>
        <v>0</v>
      </c>
      <c r="AC10" s="129" t="b">
        <v>0</v>
      </c>
      <c r="AD10" s="129" t="b">
        <v>0</v>
      </c>
      <c r="AE10" s="151">
        <v>7800</v>
      </c>
      <c r="AF10" s="154">
        <v>4.7300000000000004</v>
      </c>
      <c r="AG10" s="147">
        <v>50</v>
      </c>
    </row>
    <row r="11" spans="1:33" x14ac:dyDescent="0.35">
      <c r="B11" s="115" t="str">
        <f>_xlfn.CONCAT(BASE_SYSTEM_TABLE[[#This Row],[Unique ID]],"_",BASE_SYSTEM_TABLE[[#This Row],[Model Source]],"_",BASE_SYSTEM_TABLE[[#This Row],[System Type]],BASE_SYSTEM_TABLE[[#This Row],[System Subtype]])</f>
        <v>Horizon_EPD_LGSOpen</v>
      </c>
      <c r="C11" s="129" t="s">
        <v>513</v>
      </c>
      <c r="D11" s="129" t="s">
        <v>40</v>
      </c>
      <c r="E11" s="129" t="s">
        <v>558</v>
      </c>
      <c r="F11" s="129" t="s">
        <v>536</v>
      </c>
      <c r="G11" s="129" t="s">
        <v>898</v>
      </c>
      <c r="H11" s="129" t="s">
        <v>597</v>
      </c>
      <c r="I11" s="129" t="s">
        <v>822</v>
      </c>
      <c r="J11" s="110" t="s">
        <v>663</v>
      </c>
      <c r="K11" s="129" t="s">
        <v>667</v>
      </c>
      <c r="L11" t="s">
        <v>351</v>
      </c>
      <c r="M11" s="133" t="s">
        <v>33</v>
      </c>
      <c r="N11" s="129" t="s">
        <v>816</v>
      </c>
      <c r="O11" s="129" t="s">
        <v>344</v>
      </c>
      <c r="P11" t="s">
        <v>352</v>
      </c>
      <c r="Q11" s="129" t="s">
        <v>552</v>
      </c>
      <c r="R11" s="129"/>
      <c r="S11" t="s">
        <v>352</v>
      </c>
      <c r="T11" s="129" t="s">
        <v>334</v>
      </c>
      <c r="U11" s="139">
        <v>1.0371428571428574</v>
      </c>
      <c r="V11" s="139">
        <v>8.9999999999999982</v>
      </c>
      <c r="W11" s="129">
        <v>1.25</v>
      </c>
      <c r="X11" s="129" t="s">
        <v>545</v>
      </c>
      <c r="Y11" s="103">
        <v>0.6</v>
      </c>
      <c r="Z11" s="145">
        <v>2.4</v>
      </c>
      <c r="AA11" s="145">
        <v>0.09</v>
      </c>
      <c r="AB11" s="115">
        <f>BASE_SYSTEM_TABLE[[#This Row],[Length (m) (on wall)]]*BASE_SYSTEM_TABLE[[#This Row],[Height (m)]]*BASE_SYSTEM_TABLE[[#This Row],[Thickness (m)]]</f>
        <v>0.12959999999999999</v>
      </c>
      <c r="AC11" s="129">
        <v>4</v>
      </c>
      <c r="AD11" s="149">
        <v>1</v>
      </c>
      <c r="AE11" s="150">
        <v>80</v>
      </c>
      <c r="AF11" s="150">
        <f>BASE_SYSTEM_TABLE[[#This Row],[Thickness (m)]]*BASE_SYSTEM_TABLE[[#This Row],[Material Density (kg/m^3)]]</f>
        <v>7.1999999999999993</v>
      </c>
      <c r="AG11" s="147">
        <v>2.1999999999999999E-2</v>
      </c>
    </row>
    <row r="12" spans="1:33" x14ac:dyDescent="0.35">
      <c r="B12" s="115" t="str">
        <f>_xlfn.CONCAT(BASE_SYSTEM_TABLE[[#This Row],[Unique ID]],"_",BASE_SYSTEM_TABLE[[#This Row],[Model Source]],"_",BASE_SYSTEM_TABLE[[#This Row],[System Type]],BASE_SYSTEM_TABLE[[#This Row],[System Subtype]])</f>
        <v>Horizon_EPD_LGSOpen</v>
      </c>
      <c r="C12" s="129" t="s">
        <v>513</v>
      </c>
      <c r="D12" s="129" t="s">
        <v>40</v>
      </c>
      <c r="E12" s="129" t="s">
        <v>558</v>
      </c>
      <c r="F12" s="129" t="s">
        <v>536</v>
      </c>
      <c r="G12" s="129" t="s">
        <v>898</v>
      </c>
      <c r="H12" s="129" t="s">
        <v>597</v>
      </c>
      <c r="I12" s="129" t="s">
        <v>822</v>
      </c>
      <c r="J12" s="110" t="s">
        <v>663</v>
      </c>
      <c r="K12" s="129" t="s">
        <v>667</v>
      </c>
      <c r="L12" t="s">
        <v>351</v>
      </c>
      <c r="M12" s="133" t="s">
        <v>28</v>
      </c>
      <c r="N12" s="129" t="s">
        <v>816</v>
      </c>
      <c r="O12" s="129" t="s">
        <v>344</v>
      </c>
      <c r="P12" t="s">
        <v>352</v>
      </c>
      <c r="Q12" s="129" t="s">
        <v>553</v>
      </c>
      <c r="R12" s="129" t="s">
        <v>334</v>
      </c>
      <c r="S12" t="s">
        <v>352</v>
      </c>
      <c r="T12" s="129" t="s">
        <v>334</v>
      </c>
      <c r="U12" s="139">
        <v>3.6363636363636367</v>
      </c>
      <c r="V12" s="139">
        <v>7.9078399999999993</v>
      </c>
      <c r="W12" s="129">
        <v>3.089</v>
      </c>
      <c r="X12" s="129" t="s">
        <v>545</v>
      </c>
      <c r="Y12" s="145">
        <v>2.4</v>
      </c>
      <c r="Z12" s="145">
        <v>1.2</v>
      </c>
      <c r="AA12" s="145">
        <v>0.08</v>
      </c>
      <c r="AB12" s="115">
        <f>BASE_SYSTEM_TABLE[[#This Row],[Length (m) (on wall)]]*BASE_SYSTEM_TABLE[[#This Row],[Height (m)]]*BASE_SYSTEM_TABLE[[#This Row],[Thickness (m)]]</f>
        <v>0.23039999999999999</v>
      </c>
      <c r="AC12" s="129">
        <v>2</v>
      </c>
      <c r="AD12" s="149">
        <v>1</v>
      </c>
      <c r="AE12" s="150">
        <v>32</v>
      </c>
      <c r="AF12" s="150">
        <f>BASE_SYSTEM_TABLE[[#This Row],[Thickness (m)]]*BASE_SYSTEM_TABLE[[#This Row],[Material Density (kg/m^3)]]</f>
        <v>2.56</v>
      </c>
      <c r="AG12" s="147">
        <v>0.3</v>
      </c>
    </row>
    <row r="13" spans="1:33" x14ac:dyDescent="0.35">
      <c r="B13" s="115" t="str">
        <f>_xlfn.CONCAT(BASE_SYSTEM_TABLE[[#This Row],[Unique ID]],"_",BASE_SYSTEM_TABLE[[#This Row],[Model Source]],"_",BASE_SYSTEM_TABLE[[#This Row],[System Type]],BASE_SYSTEM_TABLE[[#This Row],[System Subtype]])</f>
        <v>Horizon_EPD_LGSOpen</v>
      </c>
      <c r="C13" s="129" t="s">
        <v>513</v>
      </c>
      <c r="D13" s="129" t="s">
        <v>40</v>
      </c>
      <c r="E13" s="129" t="s">
        <v>558</v>
      </c>
      <c r="F13" s="129" t="s">
        <v>536</v>
      </c>
      <c r="G13" s="129" t="s">
        <v>898</v>
      </c>
      <c r="H13" s="129" t="s">
        <v>597</v>
      </c>
      <c r="I13" s="129" t="s">
        <v>822</v>
      </c>
      <c r="J13" s="110" t="s">
        <v>663</v>
      </c>
      <c r="K13" s="129" t="s">
        <v>668</v>
      </c>
      <c r="L13" t="s">
        <v>351</v>
      </c>
      <c r="M13" s="133" t="s">
        <v>29</v>
      </c>
      <c r="N13" s="129" t="s">
        <v>816</v>
      </c>
      <c r="O13" s="129" t="s">
        <v>470</v>
      </c>
      <c r="P13" t="s">
        <v>352</v>
      </c>
      <c r="Q13" s="129" t="s">
        <v>554</v>
      </c>
      <c r="R13" s="129" t="s">
        <v>334</v>
      </c>
      <c r="S13" t="s">
        <v>352</v>
      </c>
      <c r="T13" s="129" t="s">
        <v>334</v>
      </c>
      <c r="U13" s="138">
        <v>1.5E-3</v>
      </c>
      <c r="V13" s="139">
        <v>0.25229166666666669</v>
      </c>
      <c r="W13" s="129">
        <v>4.2</v>
      </c>
      <c r="X13" s="129" t="s">
        <v>545</v>
      </c>
      <c r="Y13" s="129">
        <v>2.4</v>
      </c>
      <c r="Z13" s="129">
        <v>2.4</v>
      </c>
      <c r="AA13" s="129">
        <v>4.4999999999999999E-4</v>
      </c>
      <c r="AB13" s="115">
        <f>BASE_SYSTEM_TABLE[[#This Row],[Length (m) (on wall)]]*BASE_SYSTEM_TABLE[[#This Row],[Height (m)]]*BASE_SYSTEM_TABLE[[#This Row],[Thickness (m)]]</f>
        <v>2.5919999999999997E-3</v>
      </c>
      <c r="AC13" s="129">
        <v>1</v>
      </c>
      <c r="AD13" s="149">
        <v>1</v>
      </c>
      <c r="AE13" s="151">
        <v>0</v>
      </c>
      <c r="AF13" s="151">
        <v>0.34599999999999997</v>
      </c>
      <c r="AG13" s="147">
        <v>0.3</v>
      </c>
    </row>
    <row r="14" spans="1:33" x14ac:dyDescent="0.35">
      <c r="B14" s="115" t="str">
        <f>_xlfn.CONCAT(BASE_SYSTEM_TABLE[[#This Row],[Unique ID]],"_",BASE_SYSTEM_TABLE[[#This Row],[Model Source]],"_",BASE_SYSTEM_TABLE[[#This Row],[System Type]],BASE_SYSTEM_TABLE[[#This Row],[System Subtype]])</f>
        <v>SIGMAT_EPD_LGSOpen</v>
      </c>
      <c r="C14" s="129" t="s">
        <v>513</v>
      </c>
      <c r="D14" s="129" t="s">
        <v>40</v>
      </c>
      <c r="E14" s="129" t="s">
        <v>558</v>
      </c>
      <c r="F14" s="129" t="s">
        <v>603</v>
      </c>
      <c r="G14" s="129" t="s">
        <v>898</v>
      </c>
      <c r="H14" s="129" t="s">
        <v>597</v>
      </c>
      <c r="I14" s="129" t="s">
        <v>822</v>
      </c>
      <c r="J14" s="110" t="s">
        <v>660</v>
      </c>
      <c r="K14" s="129"/>
      <c r="L14" t="s">
        <v>351</v>
      </c>
      <c r="M14" s="137" t="s">
        <v>325</v>
      </c>
      <c r="N14" s="135" t="s">
        <v>814</v>
      </c>
      <c r="O14" s="129" t="s">
        <v>4</v>
      </c>
      <c r="P14" t="s">
        <v>352</v>
      </c>
      <c r="Q14" s="129" t="s">
        <v>539</v>
      </c>
      <c r="R14" s="129" t="s">
        <v>334</v>
      </c>
      <c r="S14" t="s">
        <v>352</v>
      </c>
      <c r="T14" s="129" t="s">
        <v>334</v>
      </c>
      <c r="U14" s="138">
        <v>1.43E-5</v>
      </c>
      <c r="V14" s="139">
        <f>_xlfn.XLOOKUP(BASE_SYSTEM_TABLE[[#This Row],[Component Name]],'GWP NORMALISED'!$A$2:$A$500,'GWP NORMALISED'!$H$2:$H$500,FALSE)</f>
        <v>15.372500000000002</v>
      </c>
      <c r="W14" s="129">
        <f>_xlfn.XLOOKUP(BASE_SYSTEM_TABLE[[#This Row],[Component Name]],'RAW GWP FOSSIL'!$A$2:$A$500,'RAW GWP FOSSIL'!$H$2:$H$500,FALSE)</f>
        <v>3.25</v>
      </c>
      <c r="X14" s="129" t="s">
        <v>545</v>
      </c>
      <c r="Y14" s="129" t="b">
        <v>0</v>
      </c>
      <c r="Z14" s="129" t="b">
        <v>0</v>
      </c>
      <c r="AA14" s="129" t="b">
        <v>0</v>
      </c>
      <c r="AB14" s="115">
        <f>BASE_SYSTEM_TABLE[[#This Row],[Length (m) (on wall)]]*BASE_SYSTEM_TABLE[[#This Row],[Height (m)]]*BASE_SYSTEM_TABLE[[#This Row],[Thickness (m)]]</f>
        <v>0</v>
      </c>
      <c r="AC14" s="129" t="b">
        <v>0</v>
      </c>
      <c r="AD14" s="129" t="b">
        <v>0</v>
      </c>
      <c r="AE14" s="151">
        <v>7800</v>
      </c>
      <c r="AF14" s="154">
        <v>4.7300000000000004</v>
      </c>
      <c r="AG14" s="147">
        <v>50</v>
      </c>
    </row>
    <row r="15" spans="1:33" x14ac:dyDescent="0.35">
      <c r="B15" s="115" t="str">
        <f>_xlfn.CONCAT(BASE_SYSTEM_TABLE[[#This Row],[Unique ID]],"_",BASE_SYSTEM_TABLE[[#This Row],[Model Source]],"_",BASE_SYSTEM_TABLE[[#This Row],[System Type]],BASE_SYSTEM_TABLE[[#This Row],[System Subtype]])</f>
        <v>SIGMAT_EPD_LGSOpen</v>
      </c>
      <c r="C15" s="129" t="s">
        <v>513</v>
      </c>
      <c r="D15" s="129" t="s">
        <v>40</v>
      </c>
      <c r="E15" s="129" t="s">
        <v>558</v>
      </c>
      <c r="F15" s="129" t="s">
        <v>603</v>
      </c>
      <c r="G15" s="129" t="s">
        <v>898</v>
      </c>
      <c r="H15" s="129" t="s">
        <v>597</v>
      </c>
      <c r="I15" s="129" t="s">
        <v>822</v>
      </c>
      <c r="J15" s="110" t="s">
        <v>663</v>
      </c>
      <c r="K15" s="129" t="s">
        <v>667</v>
      </c>
      <c r="L15" t="s">
        <v>351</v>
      </c>
      <c r="M15" s="133" t="s">
        <v>33</v>
      </c>
      <c r="N15" s="129" t="s">
        <v>816</v>
      </c>
      <c r="O15" s="129" t="s">
        <v>344</v>
      </c>
      <c r="P15" t="s">
        <v>352</v>
      </c>
      <c r="Q15" s="129" t="s">
        <v>552</v>
      </c>
      <c r="R15" s="129"/>
      <c r="S15" t="s">
        <v>352</v>
      </c>
      <c r="T15" s="129" t="s">
        <v>334</v>
      </c>
      <c r="U15" s="139">
        <v>1.0371428571428574</v>
      </c>
      <c r="V15" s="139">
        <v>8.9999999999999982</v>
      </c>
      <c r="W15" s="129">
        <v>1.25</v>
      </c>
      <c r="X15" s="129" t="s">
        <v>545</v>
      </c>
      <c r="Y15" s="103">
        <v>0.6</v>
      </c>
      <c r="Z15" s="145">
        <v>2.4</v>
      </c>
      <c r="AA15" s="145">
        <v>0.09</v>
      </c>
      <c r="AB15" s="115">
        <f>BASE_SYSTEM_TABLE[[#This Row],[Length (m) (on wall)]]*BASE_SYSTEM_TABLE[[#This Row],[Height (m)]]*BASE_SYSTEM_TABLE[[#This Row],[Thickness (m)]]</f>
        <v>0.12959999999999999</v>
      </c>
      <c r="AC15" s="129">
        <v>4</v>
      </c>
      <c r="AD15" s="149">
        <v>1</v>
      </c>
      <c r="AE15" s="150">
        <v>80</v>
      </c>
      <c r="AF15" s="150">
        <f>BASE_SYSTEM_TABLE[[#This Row],[Thickness (m)]]*BASE_SYSTEM_TABLE[[#This Row],[Material Density (kg/m^3)]]</f>
        <v>7.1999999999999993</v>
      </c>
      <c r="AG15" s="147">
        <v>2.1999999999999999E-2</v>
      </c>
    </row>
    <row r="16" spans="1:33" x14ac:dyDescent="0.35">
      <c r="B16" s="115" t="str">
        <f>_xlfn.CONCAT(BASE_SYSTEM_TABLE[[#This Row],[Unique ID]],"_",BASE_SYSTEM_TABLE[[#This Row],[Model Source]],"_",BASE_SYSTEM_TABLE[[#This Row],[System Type]],BASE_SYSTEM_TABLE[[#This Row],[System Subtype]])</f>
        <v>SIGMAT_EPD_LGSOpen</v>
      </c>
      <c r="C16" s="129" t="s">
        <v>513</v>
      </c>
      <c r="D16" s="129" t="s">
        <v>40</v>
      </c>
      <c r="E16" s="129" t="s">
        <v>558</v>
      </c>
      <c r="F16" s="129" t="s">
        <v>603</v>
      </c>
      <c r="G16" s="129" t="s">
        <v>898</v>
      </c>
      <c r="H16" s="129" t="s">
        <v>597</v>
      </c>
      <c r="I16" s="129" t="s">
        <v>822</v>
      </c>
      <c r="J16" s="110" t="s">
        <v>663</v>
      </c>
      <c r="K16" s="129" t="s">
        <v>667</v>
      </c>
      <c r="L16" t="s">
        <v>351</v>
      </c>
      <c r="M16" s="133" t="s">
        <v>28</v>
      </c>
      <c r="N16" s="129" t="s">
        <v>816</v>
      </c>
      <c r="O16" s="129" t="s">
        <v>344</v>
      </c>
      <c r="P16" t="s">
        <v>352</v>
      </c>
      <c r="Q16" s="129" t="s">
        <v>553</v>
      </c>
      <c r="R16" s="129" t="s">
        <v>334</v>
      </c>
      <c r="S16" t="s">
        <v>352</v>
      </c>
      <c r="T16" s="129" t="s">
        <v>334</v>
      </c>
      <c r="U16" s="139">
        <v>3.6363636363636367</v>
      </c>
      <c r="V16" s="139">
        <v>7.9078399999999993</v>
      </c>
      <c r="W16" s="129">
        <v>3.089</v>
      </c>
      <c r="X16" s="129" t="s">
        <v>545</v>
      </c>
      <c r="Y16" s="145">
        <v>2.4</v>
      </c>
      <c r="Z16" s="145">
        <v>1.2</v>
      </c>
      <c r="AA16" s="145">
        <v>0.08</v>
      </c>
      <c r="AB16" s="115">
        <f>BASE_SYSTEM_TABLE[[#This Row],[Length (m) (on wall)]]*BASE_SYSTEM_TABLE[[#This Row],[Height (m)]]*BASE_SYSTEM_TABLE[[#This Row],[Thickness (m)]]</f>
        <v>0.23039999999999999</v>
      </c>
      <c r="AC16" s="129">
        <v>2</v>
      </c>
      <c r="AD16" s="149">
        <v>1</v>
      </c>
      <c r="AE16" s="150">
        <v>32</v>
      </c>
      <c r="AF16" s="150">
        <f>BASE_SYSTEM_TABLE[[#This Row],[Thickness (m)]]*BASE_SYSTEM_TABLE[[#This Row],[Material Density (kg/m^3)]]</f>
        <v>2.56</v>
      </c>
      <c r="AG16" s="147">
        <v>0.3</v>
      </c>
    </row>
    <row r="17" spans="2:33" x14ac:dyDescent="0.35">
      <c r="B17" s="115" t="str">
        <f>_xlfn.CONCAT(BASE_SYSTEM_TABLE[[#This Row],[Unique ID]],"_",BASE_SYSTEM_TABLE[[#This Row],[Model Source]],"_",BASE_SYSTEM_TABLE[[#This Row],[System Type]],BASE_SYSTEM_TABLE[[#This Row],[System Subtype]])</f>
        <v>SIGMAT_EPD_LGSOpen</v>
      </c>
      <c r="C17" s="129" t="s">
        <v>513</v>
      </c>
      <c r="D17" s="129" t="s">
        <v>40</v>
      </c>
      <c r="E17" s="129" t="s">
        <v>558</v>
      </c>
      <c r="F17" s="129" t="s">
        <v>603</v>
      </c>
      <c r="G17" s="129" t="s">
        <v>898</v>
      </c>
      <c r="H17" s="129" t="s">
        <v>597</v>
      </c>
      <c r="I17" s="129" t="s">
        <v>822</v>
      </c>
      <c r="J17" s="110" t="s">
        <v>663</v>
      </c>
      <c r="K17" s="129" t="s">
        <v>668</v>
      </c>
      <c r="L17" t="s">
        <v>351</v>
      </c>
      <c r="M17" s="133" t="s">
        <v>29</v>
      </c>
      <c r="N17" s="129" t="s">
        <v>816</v>
      </c>
      <c r="O17" s="129" t="s">
        <v>470</v>
      </c>
      <c r="P17" t="s">
        <v>352</v>
      </c>
      <c r="Q17" s="129" t="s">
        <v>554</v>
      </c>
      <c r="R17" s="129" t="s">
        <v>334</v>
      </c>
      <c r="S17" t="s">
        <v>352</v>
      </c>
      <c r="T17" s="129" t="s">
        <v>334</v>
      </c>
      <c r="U17" s="138">
        <v>1.5E-3</v>
      </c>
      <c r="V17" s="139">
        <v>0.25229166666666669</v>
      </c>
      <c r="W17" s="129">
        <v>4.2</v>
      </c>
      <c r="X17" s="129" t="s">
        <v>545</v>
      </c>
      <c r="Y17" s="129">
        <v>2.4</v>
      </c>
      <c r="Z17" s="129">
        <v>2.4</v>
      </c>
      <c r="AA17" s="129">
        <v>4.4999999999999999E-4</v>
      </c>
      <c r="AB17" s="115">
        <f>BASE_SYSTEM_TABLE[[#This Row],[Length (m) (on wall)]]*BASE_SYSTEM_TABLE[[#This Row],[Height (m)]]*BASE_SYSTEM_TABLE[[#This Row],[Thickness (m)]]</f>
        <v>2.5919999999999997E-3</v>
      </c>
      <c r="AC17" s="129">
        <v>1</v>
      </c>
      <c r="AD17" s="149">
        <v>1</v>
      </c>
      <c r="AE17" s="151">
        <v>0</v>
      </c>
      <c r="AF17" s="151">
        <v>0.34599999999999997</v>
      </c>
      <c r="AG17" s="147">
        <v>0.3</v>
      </c>
    </row>
    <row r="18" spans="2:33" x14ac:dyDescent="0.35">
      <c r="B18" s="115" t="str">
        <f>_xlfn.CONCAT(BASE_SYSTEM_TABLE[[#This Row],[Unique ID]],"_",BASE_SYSTEM_TABLE[[#This Row],[Model Source]],"_",BASE_SYSTEM_TABLE[[#This Row],[System Type]],BASE_SYSTEM_TABLE[[#This Row],[System Subtype]])</f>
        <v>1_LCA_TimberOpen</v>
      </c>
      <c r="C18" s="129" t="s">
        <v>512</v>
      </c>
      <c r="D18" s="129" t="s">
        <v>3</v>
      </c>
      <c r="E18" s="129" t="s">
        <v>558</v>
      </c>
      <c r="F18" s="129">
        <v>1</v>
      </c>
      <c r="G18" s="129" t="s">
        <v>899</v>
      </c>
      <c r="H18" s="129" t="s">
        <v>607</v>
      </c>
      <c r="I18" s="129" t="s">
        <v>822</v>
      </c>
      <c r="J18" s="110" t="s">
        <v>659</v>
      </c>
      <c r="K18" s="129" t="s">
        <v>664</v>
      </c>
      <c r="L18" t="s">
        <v>351</v>
      </c>
      <c r="M18" s="132" t="s">
        <v>13</v>
      </c>
      <c r="N18" s="129" t="s">
        <v>816</v>
      </c>
      <c r="O18" s="129" t="s">
        <v>4</v>
      </c>
      <c r="P18" t="s">
        <v>351</v>
      </c>
      <c r="Q18" s="129"/>
      <c r="R18" s="129"/>
      <c r="S18" t="s">
        <v>352</v>
      </c>
      <c r="T18" s="129" t="s">
        <v>334</v>
      </c>
      <c r="U18" s="138">
        <v>8.5256410256410273E-2</v>
      </c>
      <c r="V18" s="139">
        <v>1.4866075000000001</v>
      </c>
      <c r="W18" s="129">
        <v>0.26300000000000001</v>
      </c>
      <c r="X18" s="129" t="s">
        <v>545</v>
      </c>
      <c r="Y18" s="129">
        <v>3.7999999999999999E-2</v>
      </c>
      <c r="Z18" s="129">
        <v>2.4</v>
      </c>
      <c r="AA18" s="129">
        <v>0.14000000000000001</v>
      </c>
      <c r="AB18" s="115">
        <f>BASE_SYSTEM_TABLE[[#This Row],[Length (m) (on wall)]]*BASE_SYSTEM_TABLE[[#This Row],[Height (m)]]*BASE_SYSTEM_TABLE[[#This Row],[Thickness (m)]]</f>
        <v>1.2768E-2</v>
      </c>
      <c r="AC18" s="155">
        <v>5</v>
      </c>
      <c r="AD18" s="149">
        <v>7.9166666666666663E-2</v>
      </c>
      <c r="AE18" s="156">
        <v>510</v>
      </c>
      <c r="AF18" s="139">
        <f>BASE_SYSTEM_TABLE[[#This Row],[Element Volume (m^3)]]*BASE_SYSTEM_TABLE[[#This Row],[No. of elements in 1 panel]]*BASE_SYSTEM_TABLE[[#This Row],[Material Density (kg/m^3)]]/(2.4*2.4)</f>
        <v>5.6524999999999999</v>
      </c>
      <c r="AG18" s="157">
        <v>0.13</v>
      </c>
    </row>
    <row r="19" spans="2:33" x14ac:dyDescent="0.35">
      <c r="B19" s="115" t="str">
        <f>_xlfn.CONCAT(BASE_SYSTEM_TABLE[[#This Row],[Unique ID]],"_",BASE_SYSTEM_TABLE[[#This Row],[Model Source]],"_",BASE_SYSTEM_TABLE[[#This Row],[System Type]],BASE_SYSTEM_TABLE[[#This Row],[System Subtype]])</f>
        <v>1_LCA_TimberOpen</v>
      </c>
      <c r="C19" s="129" t="s">
        <v>512</v>
      </c>
      <c r="D19" s="129" t="s">
        <v>3</v>
      </c>
      <c r="E19" s="129" t="s">
        <v>558</v>
      </c>
      <c r="F19" s="129">
        <v>1</v>
      </c>
      <c r="G19" s="129" t="s">
        <v>899</v>
      </c>
      <c r="H19" s="129" t="s">
        <v>607</v>
      </c>
      <c r="I19" s="129" t="s">
        <v>822</v>
      </c>
      <c r="J19" s="110" t="s">
        <v>659</v>
      </c>
      <c r="K19" s="129" t="s">
        <v>664</v>
      </c>
      <c r="L19" t="s">
        <v>351</v>
      </c>
      <c r="M19" s="132" t="s">
        <v>20</v>
      </c>
      <c r="N19" s="129" t="s">
        <v>816</v>
      </c>
      <c r="O19" s="129" t="s">
        <v>4</v>
      </c>
      <c r="P19" t="s">
        <v>351</v>
      </c>
      <c r="Q19" s="129"/>
      <c r="R19" s="129"/>
      <c r="S19" t="s">
        <v>352</v>
      </c>
      <c r="T19" s="129" t="s">
        <v>334</v>
      </c>
      <c r="U19" s="138">
        <v>3.4102564102564105E-2</v>
      </c>
      <c r="V19" s="139">
        <v>0.59464300000000003</v>
      </c>
      <c r="W19" s="129">
        <v>0.26300000000000001</v>
      </c>
      <c r="X19" s="129" t="s">
        <v>545</v>
      </c>
      <c r="Y19" s="129">
        <v>3.7999999999999999E-2</v>
      </c>
      <c r="Z19" s="129">
        <v>2.4</v>
      </c>
      <c r="AA19" s="129">
        <v>0.14000000000000001</v>
      </c>
      <c r="AB19" s="115">
        <f>BASE_SYSTEM_TABLE[[#This Row],[Length (m) (on wall)]]*BASE_SYSTEM_TABLE[[#This Row],[Height (m)]]*BASE_SYSTEM_TABLE[[#This Row],[Thickness (m)]]</f>
        <v>1.2768E-2</v>
      </c>
      <c r="AC19" s="155">
        <v>2</v>
      </c>
      <c r="AD19" s="149">
        <v>3.1666666666666662E-2</v>
      </c>
      <c r="AE19" s="156">
        <v>510</v>
      </c>
      <c r="AF19" s="139">
        <f>BASE_SYSTEM_TABLE[[#This Row],[Element Volume (m^3)]]*BASE_SYSTEM_TABLE[[#This Row],[No. of elements in 1 panel]]*BASE_SYSTEM_TABLE[[#This Row],[Material Density (kg/m^3)]]/(2.4*2.4)</f>
        <v>2.2610000000000001</v>
      </c>
      <c r="AG19" s="157">
        <v>0.13</v>
      </c>
    </row>
    <row r="20" spans="2:33" x14ac:dyDescent="0.35">
      <c r="B20" s="115" t="str">
        <f>_xlfn.CONCAT(BASE_SYSTEM_TABLE[[#This Row],[Unique ID]],"_",BASE_SYSTEM_TABLE[[#This Row],[Model Source]],"_",BASE_SYSTEM_TABLE[[#This Row],[System Type]],BASE_SYSTEM_TABLE[[#This Row],[System Subtype]])</f>
        <v>1_LCA_TimberOpen</v>
      </c>
      <c r="C20" s="129" t="s">
        <v>512</v>
      </c>
      <c r="D20" s="129" t="s">
        <v>3</v>
      </c>
      <c r="E20" s="129" t="s">
        <v>558</v>
      </c>
      <c r="F20" s="129">
        <v>1</v>
      </c>
      <c r="G20" s="129" t="s">
        <v>899</v>
      </c>
      <c r="H20" s="129" t="s">
        <v>607</v>
      </c>
      <c r="I20" s="129" t="s">
        <v>822</v>
      </c>
      <c r="J20" s="110" t="s">
        <v>659</v>
      </c>
      <c r="K20" s="129" t="s">
        <v>664</v>
      </c>
      <c r="L20" t="s">
        <v>351</v>
      </c>
      <c r="M20" s="132" t="s">
        <v>15</v>
      </c>
      <c r="N20" s="129" t="s">
        <v>816</v>
      </c>
      <c r="O20" s="129" t="s">
        <v>4</v>
      </c>
      <c r="P20" t="s">
        <v>351</v>
      </c>
      <c r="Q20" s="129"/>
      <c r="R20" s="129"/>
      <c r="S20" t="s">
        <v>352</v>
      </c>
      <c r="T20" s="129" t="s">
        <v>334</v>
      </c>
      <c r="U20" s="138">
        <v>1.5630341880341885E-2</v>
      </c>
      <c r="V20" s="139">
        <v>0.27254470833333344</v>
      </c>
      <c r="W20" s="129">
        <v>0.26300000000000001</v>
      </c>
      <c r="X20" s="129" t="s">
        <v>545</v>
      </c>
      <c r="Y20" s="129">
        <v>3.7999999999999999E-2</v>
      </c>
      <c r="Z20" s="129">
        <v>2.2000000000000002</v>
      </c>
      <c r="AA20" s="129">
        <v>0.14000000000000001</v>
      </c>
      <c r="AB20" s="115">
        <f>BASE_SYSTEM_TABLE[[#This Row],[Length (m) (on wall)]]*BASE_SYSTEM_TABLE[[#This Row],[Height (m)]]*BASE_SYSTEM_TABLE[[#This Row],[Thickness (m)]]</f>
        <v>1.1704000000000003E-2</v>
      </c>
      <c r="AC20" s="155">
        <v>1</v>
      </c>
      <c r="AD20" s="149">
        <v>1.451388888888889E-2</v>
      </c>
      <c r="AE20" s="156">
        <v>510</v>
      </c>
      <c r="AF20" s="139">
        <f>BASE_SYSTEM_TABLE[[#This Row],[Element Volume (m^3)]]*BASE_SYSTEM_TABLE[[#This Row],[No. of elements in 1 panel]]*BASE_SYSTEM_TABLE[[#This Row],[Material Density (kg/m^3)]]/(2.4*2.4)</f>
        <v>1.0362916666666671</v>
      </c>
      <c r="AG20" s="157">
        <v>0.13</v>
      </c>
    </row>
    <row r="21" spans="2:33" x14ac:dyDescent="0.35">
      <c r="B21" s="115" t="str">
        <f>_xlfn.CONCAT(BASE_SYSTEM_TABLE[[#This Row],[Unique ID]],"_",BASE_SYSTEM_TABLE[[#This Row],[Model Source]],"_",BASE_SYSTEM_TABLE[[#This Row],[System Type]],BASE_SYSTEM_TABLE[[#This Row],[System Subtype]])</f>
        <v>1_LCA_TimberOpen</v>
      </c>
      <c r="C21" s="129" t="s">
        <v>512</v>
      </c>
      <c r="D21" s="129" t="s">
        <v>3</v>
      </c>
      <c r="E21" s="129" t="s">
        <v>558</v>
      </c>
      <c r="F21" s="129">
        <v>1</v>
      </c>
      <c r="G21" s="129" t="s">
        <v>899</v>
      </c>
      <c r="H21" s="129" t="s">
        <v>607</v>
      </c>
      <c r="I21" s="129" t="s">
        <v>822</v>
      </c>
      <c r="J21" s="110" t="s">
        <v>660</v>
      </c>
      <c r="K21" s="129"/>
      <c r="L21" t="s">
        <v>351</v>
      </c>
      <c r="M21" s="132" t="s">
        <v>21</v>
      </c>
      <c r="N21" s="129" t="s">
        <v>816</v>
      </c>
      <c r="O21" s="129" t="s">
        <v>608</v>
      </c>
      <c r="P21" t="s">
        <v>352</v>
      </c>
      <c r="Q21" s="129"/>
      <c r="R21" s="129"/>
      <c r="S21" t="s">
        <v>352</v>
      </c>
      <c r="T21" s="129" t="s">
        <v>334</v>
      </c>
      <c r="U21" s="138">
        <v>6.9230769230769221E-2</v>
      </c>
      <c r="V21" s="139">
        <v>2.4569999999999999</v>
      </c>
      <c r="W21" s="129">
        <v>0.45500000000000002</v>
      </c>
      <c r="X21" s="129" t="s">
        <v>545</v>
      </c>
      <c r="Y21" s="129">
        <v>2.4</v>
      </c>
      <c r="Z21" s="129">
        <v>2.4</v>
      </c>
      <c r="AA21" s="129">
        <v>8.9999999999999993E-3</v>
      </c>
      <c r="AB21" s="115">
        <f>BASE_SYSTEM_TABLE[[#This Row],[Length (m) (on wall)]]*BASE_SYSTEM_TABLE[[#This Row],[Height (m)]]*BASE_SYSTEM_TABLE[[#This Row],[Thickness (m)]]</f>
        <v>5.1839999999999997E-2</v>
      </c>
      <c r="AC21" s="155">
        <v>1</v>
      </c>
      <c r="AD21" s="149">
        <v>1</v>
      </c>
      <c r="AE21" s="156">
        <v>600</v>
      </c>
      <c r="AF21" s="139">
        <f>BASE_SYSTEM_TABLE[[#This Row],[Element Volume (m^3)]]*BASE_SYSTEM_TABLE[[#This Row],[No. of elements in 1 panel]]*BASE_SYSTEM_TABLE[[#This Row],[Material Density (kg/m^3)]]/(2.4*2.4)</f>
        <v>5.4</v>
      </c>
      <c r="AG21" s="157">
        <v>0.13</v>
      </c>
    </row>
    <row r="22" spans="2:33" x14ac:dyDescent="0.35">
      <c r="B22" s="115" t="str">
        <f>_xlfn.CONCAT(BASE_SYSTEM_TABLE[[#This Row],[Unique ID]],"_",BASE_SYSTEM_TABLE[[#This Row],[Model Source]],"_",BASE_SYSTEM_TABLE[[#This Row],[System Type]],BASE_SYSTEM_TABLE[[#This Row],[System Subtype]])</f>
        <v>1_LCA_TimberOpen</v>
      </c>
      <c r="C22" s="129" t="s">
        <v>512</v>
      </c>
      <c r="D22" s="129" t="s">
        <v>3</v>
      </c>
      <c r="E22" s="129" t="s">
        <v>558</v>
      </c>
      <c r="F22" s="129">
        <v>1</v>
      </c>
      <c r="G22" s="129" t="s">
        <v>899</v>
      </c>
      <c r="H22" s="129" t="s">
        <v>607</v>
      </c>
      <c r="I22" s="129" t="s">
        <v>822</v>
      </c>
      <c r="J22" s="110" t="s">
        <v>659</v>
      </c>
      <c r="K22" s="129" t="s">
        <v>665</v>
      </c>
      <c r="L22" t="s">
        <v>351</v>
      </c>
      <c r="M22" s="132" t="s">
        <v>16</v>
      </c>
      <c r="N22" s="129" t="s">
        <v>816</v>
      </c>
      <c r="O22" s="129" t="s">
        <v>344</v>
      </c>
      <c r="P22" t="s">
        <v>352</v>
      </c>
      <c r="Q22" s="129"/>
      <c r="R22" s="129"/>
      <c r="S22" t="s">
        <v>352</v>
      </c>
      <c r="T22" s="129" t="s">
        <v>334</v>
      </c>
      <c r="U22" s="138">
        <v>3.4986111111111109</v>
      </c>
      <c r="V22" s="139">
        <v>14</v>
      </c>
      <c r="W22" s="129">
        <v>1.25</v>
      </c>
      <c r="X22" s="129" t="s">
        <v>545</v>
      </c>
      <c r="Y22" s="129">
        <v>0.6</v>
      </c>
      <c r="Z22" s="129">
        <v>2.4</v>
      </c>
      <c r="AA22" s="129">
        <v>0.14000000000000001</v>
      </c>
      <c r="AB22" s="115">
        <f>BASE_SYSTEM_TABLE[[#This Row],[Length (m) (on wall)]]*BASE_SYSTEM_TABLE[[#This Row],[Height (m)]]*BASE_SYSTEM_TABLE[[#This Row],[Thickness (m)]]</f>
        <v>0.2016</v>
      </c>
      <c r="AC22" s="155">
        <v>4</v>
      </c>
      <c r="AD22" s="149">
        <v>0.87465277777777772</v>
      </c>
      <c r="AE22" s="129">
        <v>80</v>
      </c>
      <c r="AF22" s="139">
        <f>BASE_SYSTEM_TABLE[[#This Row],[Element Volume (m^3)]]*BASE_SYSTEM_TABLE[[#This Row],[No. of elements in 1 panel]]*BASE_SYSTEM_TABLE[[#This Row],[Material Density (kg/m^3)]]/(2.4*2.4)</f>
        <v>11.200000000000001</v>
      </c>
      <c r="AG22" s="157">
        <v>3.5000000000000003E-2</v>
      </c>
    </row>
    <row r="23" spans="2:33" x14ac:dyDescent="0.35">
      <c r="B23" s="115" t="str">
        <f>_xlfn.CONCAT(BASE_SYSTEM_TABLE[[#This Row],[Unique ID]],"_",BASE_SYSTEM_TABLE[[#This Row],[Model Source]],"_",BASE_SYSTEM_TABLE[[#This Row],[System Type]],BASE_SYSTEM_TABLE[[#This Row],[System Subtype]])</f>
        <v>1_LCA_TimberOpen</v>
      </c>
      <c r="C23" s="129" t="s">
        <v>512</v>
      </c>
      <c r="D23" s="129" t="s">
        <v>3</v>
      </c>
      <c r="E23" s="129" t="s">
        <v>558</v>
      </c>
      <c r="F23" s="129">
        <v>1</v>
      </c>
      <c r="G23" s="129" t="s">
        <v>899</v>
      </c>
      <c r="H23" s="129" t="s">
        <v>607</v>
      </c>
      <c r="I23" s="129" t="s">
        <v>822</v>
      </c>
      <c r="J23" s="110" t="s">
        <v>660</v>
      </c>
      <c r="K23" s="129"/>
      <c r="L23" t="s">
        <v>351</v>
      </c>
      <c r="M23" s="132" t="s">
        <v>17</v>
      </c>
      <c r="N23" s="129" t="s">
        <v>816</v>
      </c>
      <c r="O23" s="129" t="s">
        <v>344</v>
      </c>
      <c r="P23" t="s">
        <v>352</v>
      </c>
      <c r="Q23" s="129"/>
      <c r="R23" s="129"/>
      <c r="S23" t="s">
        <v>352</v>
      </c>
      <c r="T23" s="129" t="s">
        <v>334</v>
      </c>
      <c r="U23" s="138">
        <v>1.3636363636363638</v>
      </c>
      <c r="V23" s="139">
        <v>2.9654399999999996</v>
      </c>
      <c r="W23" s="129">
        <v>3.089</v>
      </c>
      <c r="X23" s="129" t="s">
        <v>545</v>
      </c>
      <c r="Y23" s="129">
        <v>2.4</v>
      </c>
      <c r="Z23" s="129">
        <v>2.4</v>
      </c>
      <c r="AA23" s="129">
        <v>0.03</v>
      </c>
      <c r="AB23" s="115">
        <f>BASE_SYSTEM_TABLE[[#This Row],[Length (m) (on wall)]]*BASE_SYSTEM_TABLE[[#This Row],[Height (m)]]*BASE_SYSTEM_TABLE[[#This Row],[Thickness (m)]]</f>
        <v>0.17279999999999998</v>
      </c>
      <c r="AC23" s="155">
        <v>1</v>
      </c>
      <c r="AD23" s="149">
        <v>1</v>
      </c>
      <c r="AE23" s="129">
        <v>32</v>
      </c>
      <c r="AF23" s="139">
        <f>BASE_SYSTEM_TABLE[[#This Row],[Element Volume (m^3)]]*BASE_SYSTEM_TABLE[[#This Row],[No. of elements in 1 panel]]*BASE_SYSTEM_TABLE[[#This Row],[Material Density (kg/m^3)]]/(2.4*2.4)</f>
        <v>0.96</v>
      </c>
      <c r="AG23" s="157">
        <v>2.1999999999999999E-2</v>
      </c>
    </row>
    <row r="24" spans="2:33" x14ac:dyDescent="0.35">
      <c r="B24" s="115" t="str">
        <f>_xlfn.CONCAT(BASE_SYSTEM_TABLE[[#This Row],[Unique ID]],"_",BASE_SYSTEM_TABLE[[#This Row],[Model Source]],"_",BASE_SYSTEM_TABLE[[#This Row],[System Type]],BASE_SYSTEM_TABLE[[#This Row],[System Subtype]])</f>
        <v>1_LCA_TimberOpen</v>
      </c>
      <c r="C24" s="129" t="s">
        <v>512</v>
      </c>
      <c r="D24" s="129" t="s">
        <v>3</v>
      </c>
      <c r="E24" s="129" t="s">
        <v>558</v>
      </c>
      <c r="F24" s="129">
        <v>1</v>
      </c>
      <c r="G24" s="129" t="s">
        <v>899</v>
      </c>
      <c r="H24" s="129" t="s">
        <v>607</v>
      </c>
      <c r="I24" s="129" t="s">
        <v>822</v>
      </c>
      <c r="J24" s="110" t="s">
        <v>660</v>
      </c>
      <c r="K24" s="129"/>
      <c r="L24" t="s">
        <v>351</v>
      </c>
      <c r="M24" s="132" t="s">
        <v>22</v>
      </c>
      <c r="N24" s="129" t="s">
        <v>816</v>
      </c>
      <c r="O24" s="129" t="s">
        <v>470</v>
      </c>
      <c r="P24" t="s">
        <v>352</v>
      </c>
      <c r="Q24" s="129"/>
      <c r="R24" s="129"/>
      <c r="S24" t="s">
        <v>352</v>
      </c>
      <c r="T24" s="129" t="s">
        <v>334</v>
      </c>
      <c r="U24" s="138">
        <v>1.5E-3</v>
      </c>
      <c r="V24" s="139">
        <v>0.25229166666666669</v>
      </c>
      <c r="W24" s="129">
        <v>4.2</v>
      </c>
      <c r="X24" s="129" t="s">
        <v>545</v>
      </c>
      <c r="Y24" s="129">
        <v>2.4</v>
      </c>
      <c r="Z24" s="129">
        <v>2.4</v>
      </c>
      <c r="AA24" s="129">
        <v>4.4999999999999999E-4</v>
      </c>
      <c r="AB24" s="115">
        <f>BASE_SYSTEM_TABLE[[#This Row],[Length (m) (on wall)]]*BASE_SYSTEM_TABLE[[#This Row],[Height (m)]]*BASE_SYSTEM_TABLE[[#This Row],[Thickness (m)]]</f>
        <v>2.5919999999999997E-3</v>
      </c>
      <c r="AC24" s="129">
        <v>1</v>
      </c>
      <c r="AD24" s="149">
        <v>1</v>
      </c>
      <c r="AE24" s="129">
        <v>0</v>
      </c>
      <c r="AF24" s="139">
        <f>0.35/(2.4*2.4)</f>
        <v>6.0763888888888888E-2</v>
      </c>
      <c r="AG24" s="157">
        <v>0.3</v>
      </c>
    </row>
    <row r="25" spans="2:33" x14ac:dyDescent="0.35">
      <c r="B25" s="115" t="str">
        <f>_xlfn.CONCAT(BASE_SYSTEM_TABLE[[#This Row],[Unique ID]],"_",BASE_SYSTEM_TABLE[[#This Row],[Model Source]],"_",BASE_SYSTEM_TABLE[[#This Row],[System Type]],BASE_SYSTEM_TABLE[[#This Row],[System Subtype]])</f>
        <v>1_LCA_TimberPre-Insulated</v>
      </c>
      <c r="C25" s="129" t="s">
        <v>512</v>
      </c>
      <c r="D25" s="129" t="s">
        <v>3</v>
      </c>
      <c r="E25" s="129" t="s">
        <v>559</v>
      </c>
      <c r="F25" s="129">
        <v>1</v>
      </c>
      <c r="G25" s="129" t="s">
        <v>905</v>
      </c>
      <c r="H25" s="129" t="s">
        <v>610</v>
      </c>
      <c r="I25" s="129" t="s">
        <v>822</v>
      </c>
      <c r="J25" s="110" t="s">
        <v>660</v>
      </c>
      <c r="K25" s="129"/>
      <c r="L25" t="s">
        <v>351</v>
      </c>
      <c r="M25" s="129" t="s">
        <v>611</v>
      </c>
      <c r="N25" s="129" t="s">
        <v>816</v>
      </c>
      <c r="O25" s="129" t="s">
        <v>533</v>
      </c>
      <c r="P25" t="s">
        <v>352</v>
      </c>
      <c r="Q25" s="129" t="s">
        <v>612</v>
      </c>
      <c r="R25" s="129"/>
      <c r="S25" t="s">
        <v>352</v>
      </c>
      <c r="T25" s="129" t="s">
        <v>334</v>
      </c>
      <c r="U25" s="141">
        <f>SUM(U18:U24)</f>
        <v>5.0679675602175607</v>
      </c>
      <c r="V25" s="141">
        <f>SUM(V18:V24)</f>
        <v>22.028526875000001</v>
      </c>
      <c r="W25" s="141"/>
      <c r="X25" s="129"/>
      <c r="Y25" s="129" t="b">
        <v>0</v>
      </c>
      <c r="Z25" s="129" t="b">
        <v>0</v>
      </c>
      <c r="AA25" s="129" t="b">
        <v>0</v>
      </c>
      <c r="AB25" s="115" t="b">
        <v>0</v>
      </c>
      <c r="AC25" s="129" t="b">
        <v>0</v>
      </c>
      <c r="AD25" s="129" t="b">
        <v>0</v>
      </c>
      <c r="AE25" s="129" t="b">
        <v>0</v>
      </c>
      <c r="AF25" s="141">
        <f>SUM(AF18:AF24)</f>
        <v>26.570555555555558</v>
      </c>
      <c r="AG25" s="129" t="b">
        <v>0</v>
      </c>
    </row>
    <row r="26" spans="2:33" x14ac:dyDescent="0.35">
      <c r="B26" s="115" t="str">
        <f>_xlfn.CONCAT(BASE_SYSTEM_TABLE[[#This Row],[Unique ID]],"_",BASE_SYSTEM_TABLE[[#This Row],[Model Source]],"_",BASE_SYSTEM_TABLE[[#This Row],[System Type]],BASE_SYSTEM_TABLE[[#This Row],[System Subtype]])</f>
        <v>Donaldson_EPD_TimberOpen</v>
      </c>
      <c r="C26" s="129" t="s">
        <v>513</v>
      </c>
      <c r="D26" s="129" t="s">
        <v>3</v>
      </c>
      <c r="E26" s="129" t="s">
        <v>558</v>
      </c>
      <c r="F26" s="129" t="s">
        <v>613</v>
      </c>
      <c r="G26" s="129" t="s">
        <v>900</v>
      </c>
      <c r="H26" s="129" t="s">
        <v>615</v>
      </c>
      <c r="I26" s="129" t="s">
        <v>822</v>
      </c>
      <c r="J26" s="110" t="s">
        <v>670</v>
      </c>
      <c r="K26" s="129" t="s">
        <v>671</v>
      </c>
      <c r="L26" t="s">
        <v>351</v>
      </c>
      <c r="M26" s="130" t="s">
        <v>319</v>
      </c>
      <c r="N26" s="129" t="s">
        <v>814</v>
      </c>
      <c r="O26" s="129" t="s">
        <v>4</v>
      </c>
      <c r="P26" t="s">
        <v>352</v>
      </c>
      <c r="Q26" s="129" t="s">
        <v>616</v>
      </c>
      <c r="R26" s="129"/>
      <c r="S26" t="s">
        <v>351</v>
      </c>
      <c r="T26" s="129" t="s">
        <v>624</v>
      </c>
      <c r="U26" s="142">
        <f>SUM(U18:U21)</f>
        <v>0.20422008547008547</v>
      </c>
      <c r="V26" s="124">
        <f>_xlfn.XLOOKUP(BASE_SYSTEM_TABLE[[#This Row],[Component Name]],'GWP NORMALISED'!$A$2:$A$500,'GWP NORMALISED'!$H$2:$H$500,FALSE)</f>
        <v>14.681000000000001</v>
      </c>
      <c r="W26" s="125">
        <f>_xlfn.XLOOKUP(BASE_SYSTEM_TABLE[[#This Row],[Component Name]],'RAW GWP FOSSIL'!$A$2:$A$500,'RAW GWP FOSSIL'!$H$2:$H$500,FALSE)</f>
        <v>14.681000000000001</v>
      </c>
      <c r="X26" s="129" t="s">
        <v>618</v>
      </c>
      <c r="Y26" s="129" t="b">
        <v>0</v>
      </c>
      <c r="Z26" s="129" t="b">
        <v>0</v>
      </c>
      <c r="AA26" s="129" t="b">
        <v>0</v>
      </c>
      <c r="AB26" s="115" t="b">
        <v>0</v>
      </c>
      <c r="AC26" s="129" t="b">
        <v>0</v>
      </c>
      <c r="AD26" s="129" t="b">
        <v>0</v>
      </c>
      <c r="AE26" s="129" t="b">
        <v>0</v>
      </c>
      <c r="AF26" s="129">
        <v>21.04</v>
      </c>
      <c r="AG26" s="129" t="b">
        <v>0</v>
      </c>
    </row>
    <row r="27" spans="2:33" x14ac:dyDescent="0.35">
      <c r="B27" s="115" t="str">
        <f>_xlfn.CONCAT(BASE_SYSTEM_TABLE[[#This Row],[Unique ID]],"_",BASE_SYSTEM_TABLE[[#This Row],[Model Source]],"_",BASE_SYSTEM_TABLE[[#This Row],[System Type]],BASE_SYSTEM_TABLE[[#This Row],[System Subtype]])</f>
        <v>Donaldson_EPD_TimberOpen</v>
      </c>
      <c r="C27" s="129" t="s">
        <v>513</v>
      </c>
      <c r="D27" s="129" t="s">
        <v>3</v>
      </c>
      <c r="E27" s="129" t="s">
        <v>558</v>
      </c>
      <c r="F27" s="129" t="s">
        <v>613</v>
      </c>
      <c r="G27" s="129" t="s">
        <v>900</v>
      </c>
      <c r="H27" s="129" t="s">
        <v>615</v>
      </c>
      <c r="I27" s="129" t="s">
        <v>822</v>
      </c>
      <c r="J27" s="110" t="s">
        <v>663</v>
      </c>
      <c r="K27" s="129" t="s">
        <v>667</v>
      </c>
      <c r="L27" t="s">
        <v>351</v>
      </c>
      <c r="M27" s="132" t="s">
        <v>16</v>
      </c>
      <c r="N27" s="129" t="s">
        <v>816</v>
      </c>
      <c r="O27" s="129" t="s">
        <v>344</v>
      </c>
      <c r="P27" t="s">
        <v>352</v>
      </c>
      <c r="Q27" s="129"/>
      <c r="R27" s="129"/>
      <c r="S27" t="s">
        <v>352</v>
      </c>
      <c r="T27" s="129" t="s">
        <v>334</v>
      </c>
      <c r="U27" s="138">
        <v>3.4986111111111109</v>
      </c>
      <c r="V27" s="139">
        <v>14</v>
      </c>
      <c r="W27" s="129">
        <v>1.25</v>
      </c>
      <c r="X27" s="129" t="s">
        <v>545</v>
      </c>
      <c r="Y27" s="129">
        <v>0.6</v>
      </c>
      <c r="Z27" s="129">
        <v>2.4</v>
      </c>
      <c r="AA27" s="129">
        <v>0.14000000000000001</v>
      </c>
      <c r="AB27" s="115">
        <f>BASE_SYSTEM_TABLE[[#This Row],[Length (m) (on wall)]]*BASE_SYSTEM_TABLE[[#This Row],[Height (m)]]*BASE_SYSTEM_TABLE[[#This Row],[Thickness (m)]]</f>
        <v>0.2016</v>
      </c>
      <c r="AC27" s="155">
        <v>4</v>
      </c>
      <c r="AD27" s="149">
        <v>0.87465277777777772</v>
      </c>
      <c r="AE27" s="129">
        <v>80</v>
      </c>
      <c r="AF27" s="139">
        <f>BASE_SYSTEM_TABLE[[#This Row],[Element Volume (m^3)]]*BASE_SYSTEM_TABLE[[#This Row],[No. of elements in 1 panel]]*BASE_SYSTEM_TABLE[[#This Row],[Material Density (kg/m^3)]]/(2.4*2.4)</f>
        <v>11.200000000000001</v>
      </c>
      <c r="AG27" s="157">
        <v>3.5000000000000003E-2</v>
      </c>
    </row>
    <row r="28" spans="2:33" x14ac:dyDescent="0.35">
      <c r="B28" s="115" t="str">
        <f>_xlfn.CONCAT(BASE_SYSTEM_TABLE[[#This Row],[Unique ID]],"_",BASE_SYSTEM_TABLE[[#This Row],[Model Source]],"_",BASE_SYSTEM_TABLE[[#This Row],[System Type]],BASE_SYSTEM_TABLE[[#This Row],[System Subtype]])</f>
        <v>Donaldson_EPD_TimberOpen</v>
      </c>
      <c r="C28" s="129" t="s">
        <v>513</v>
      </c>
      <c r="D28" s="129" t="s">
        <v>3</v>
      </c>
      <c r="E28" s="129" t="s">
        <v>558</v>
      </c>
      <c r="F28" s="129" t="s">
        <v>613</v>
      </c>
      <c r="G28" s="129" t="s">
        <v>900</v>
      </c>
      <c r="H28" s="129" t="s">
        <v>615</v>
      </c>
      <c r="I28" s="129" t="s">
        <v>822</v>
      </c>
      <c r="J28" s="110" t="s">
        <v>663</v>
      </c>
      <c r="K28" s="129" t="s">
        <v>667</v>
      </c>
      <c r="L28" t="s">
        <v>351</v>
      </c>
      <c r="M28" s="132" t="s">
        <v>17</v>
      </c>
      <c r="N28" s="129" t="s">
        <v>816</v>
      </c>
      <c r="O28" s="129" t="s">
        <v>344</v>
      </c>
      <c r="P28" t="s">
        <v>352</v>
      </c>
      <c r="Q28" s="129"/>
      <c r="R28" s="129"/>
      <c r="S28" t="s">
        <v>352</v>
      </c>
      <c r="T28" s="129" t="s">
        <v>334</v>
      </c>
      <c r="U28" s="138">
        <v>1.3636363636363638</v>
      </c>
      <c r="V28" s="139">
        <v>2.9654399999999996</v>
      </c>
      <c r="W28" s="129">
        <v>3.089</v>
      </c>
      <c r="X28" s="129" t="s">
        <v>545</v>
      </c>
      <c r="Y28" s="129">
        <v>2.4</v>
      </c>
      <c r="Z28" s="129">
        <v>2.4</v>
      </c>
      <c r="AA28" s="129">
        <v>0.03</v>
      </c>
      <c r="AB28" s="115">
        <f>BASE_SYSTEM_TABLE[[#This Row],[Length (m) (on wall)]]*BASE_SYSTEM_TABLE[[#This Row],[Height (m)]]*BASE_SYSTEM_TABLE[[#This Row],[Thickness (m)]]</f>
        <v>0.17279999999999998</v>
      </c>
      <c r="AC28" s="155">
        <v>1</v>
      </c>
      <c r="AD28" s="149">
        <v>1</v>
      </c>
      <c r="AE28" s="129">
        <v>32</v>
      </c>
      <c r="AF28" s="139">
        <f>BASE_SYSTEM_TABLE[[#This Row],[Element Volume (m^3)]]*BASE_SYSTEM_TABLE[[#This Row],[No. of elements in 1 panel]]*BASE_SYSTEM_TABLE[[#This Row],[Material Density (kg/m^3)]]/(2.4*2.4)</f>
        <v>0.96</v>
      </c>
      <c r="AG28" s="157">
        <v>2.1999999999999999E-2</v>
      </c>
    </row>
    <row r="29" spans="2:33" x14ac:dyDescent="0.35">
      <c r="B29" s="115" t="str">
        <f>_xlfn.CONCAT(BASE_SYSTEM_TABLE[[#This Row],[Unique ID]],"_",BASE_SYSTEM_TABLE[[#This Row],[Model Source]],"_",BASE_SYSTEM_TABLE[[#This Row],[System Type]],BASE_SYSTEM_TABLE[[#This Row],[System Subtype]])</f>
        <v>Donaldson_EPD_TimberOpen</v>
      </c>
      <c r="C29" s="129" t="s">
        <v>513</v>
      </c>
      <c r="D29" s="129" t="s">
        <v>3</v>
      </c>
      <c r="E29" s="129" t="s">
        <v>558</v>
      </c>
      <c r="F29" s="129" t="s">
        <v>613</v>
      </c>
      <c r="G29" s="129" t="s">
        <v>900</v>
      </c>
      <c r="H29" s="129" t="s">
        <v>615</v>
      </c>
      <c r="I29" s="129" t="s">
        <v>822</v>
      </c>
      <c r="J29" s="110" t="s">
        <v>663</v>
      </c>
      <c r="K29" s="129" t="s">
        <v>668</v>
      </c>
      <c r="L29" t="s">
        <v>351</v>
      </c>
      <c r="M29" s="132" t="s">
        <v>22</v>
      </c>
      <c r="N29" s="129" t="s">
        <v>816</v>
      </c>
      <c r="O29" s="129" t="s">
        <v>470</v>
      </c>
      <c r="P29" t="s">
        <v>352</v>
      </c>
      <c r="Q29" s="129"/>
      <c r="R29" s="129"/>
      <c r="S29" t="s">
        <v>352</v>
      </c>
      <c r="T29" s="129" t="s">
        <v>334</v>
      </c>
      <c r="U29" s="138">
        <v>1.5E-3</v>
      </c>
      <c r="V29" s="139">
        <v>0.25229166666666669</v>
      </c>
      <c r="W29" s="129">
        <v>4.2</v>
      </c>
      <c r="X29" s="129" t="s">
        <v>545</v>
      </c>
      <c r="Y29" s="129">
        <v>2.4</v>
      </c>
      <c r="Z29" s="129">
        <v>2.4</v>
      </c>
      <c r="AA29" s="129">
        <v>4.4999999999999999E-4</v>
      </c>
      <c r="AB29" s="115">
        <f>BASE_SYSTEM_TABLE[[#This Row],[Length (m) (on wall)]]*BASE_SYSTEM_TABLE[[#This Row],[Height (m)]]*BASE_SYSTEM_TABLE[[#This Row],[Thickness (m)]]</f>
        <v>2.5919999999999997E-3</v>
      </c>
      <c r="AC29" s="129">
        <v>1</v>
      </c>
      <c r="AD29" s="149">
        <v>1</v>
      </c>
      <c r="AE29" s="129">
        <v>0</v>
      </c>
      <c r="AF29" s="139">
        <f>0.35/(2.4*2.4)</f>
        <v>6.0763888888888888E-2</v>
      </c>
      <c r="AG29" s="157">
        <v>0.3</v>
      </c>
    </row>
    <row r="30" spans="2:33" x14ac:dyDescent="0.35">
      <c r="B30" s="115" t="str">
        <f>_xlfn.CONCAT(BASE_SYSTEM_TABLE[[#This Row],[Unique ID]],"_",BASE_SYSTEM_TABLE[[#This Row],[Model Source]],"_",BASE_SYSTEM_TABLE[[#This Row],[System Type]],BASE_SYSTEM_TABLE[[#This Row],[System Subtype]])</f>
        <v>Donaldson_EPD_TimberPre-Insulated</v>
      </c>
      <c r="C30" s="129" t="s">
        <v>513</v>
      </c>
      <c r="D30" s="129" t="s">
        <v>3</v>
      </c>
      <c r="E30" s="129" t="s">
        <v>559</v>
      </c>
      <c r="F30" s="129" t="s">
        <v>613</v>
      </c>
      <c r="G30" s="129" t="s">
        <v>904</v>
      </c>
      <c r="H30" s="129" t="s">
        <v>622</v>
      </c>
      <c r="I30" s="129" t="s">
        <v>822</v>
      </c>
      <c r="J30" s="110" t="s">
        <v>670</v>
      </c>
      <c r="K30" s="129" t="s">
        <v>672</v>
      </c>
      <c r="L30" t="s">
        <v>351</v>
      </c>
      <c r="M30" s="137" t="s">
        <v>249</v>
      </c>
      <c r="N30" s="129" t="s">
        <v>814</v>
      </c>
      <c r="O30" s="129" t="s">
        <v>533</v>
      </c>
      <c r="P30" t="s">
        <v>352</v>
      </c>
      <c r="Q30" s="129" t="s">
        <v>625</v>
      </c>
      <c r="R30" s="129"/>
      <c r="S30" t="s">
        <v>351</v>
      </c>
      <c r="T30" s="129" t="s">
        <v>617</v>
      </c>
      <c r="U30" s="142">
        <f>SUM(U17:U24)</f>
        <v>5.0694675602175607</v>
      </c>
      <c r="V30" s="124">
        <f>_xlfn.XLOOKUP(BASE_SYSTEM_TABLE[[#This Row],[Component Name]],'GWP NORMALISED'!$A$2:$A$500,'GWP NORMALISED'!$H$2:$H$500,FALSE)</f>
        <v>18.8</v>
      </c>
      <c r="W30" s="125">
        <f>_xlfn.XLOOKUP(BASE_SYSTEM_TABLE[[#This Row],[Component Name]],'RAW GWP FOSSIL'!$A$2:$A$500,'RAW GWP FOSSIL'!$H$2:$H$500,FALSE)</f>
        <v>18.8</v>
      </c>
      <c r="X30" s="129" t="s">
        <v>618</v>
      </c>
      <c r="Y30" s="129" t="b">
        <v>0</v>
      </c>
      <c r="Z30" s="129" t="b">
        <v>0</v>
      </c>
      <c r="AA30" s="129" t="b">
        <v>0</v>
      </c>
      <c r="AB30" s="115" t="b">
        <v>0</v>
      </c>
      <c r="AC30" s="129" t="b">
        <v>0</v>
      </c>
      <c r="AD30" s="129" t="b">
        <v>0</v>
      </c>
      <c r="AE30" s="129" t="b">
        <v>0</v>
      </c>
      <c r="AF30" s="129">
        <v>23.57</v>
      </c>
      <c r="AG30" s="129" t="b">
        <v>0</v>
      </c>
    </row>
    <row r="31" spans="2:33" x14ac:dyDescent="0.35">
      <c r="B31" s="115" t="str">
        <f>_xlfn.CONCAT(BASE_SYSTEM_TABLE[[#This Row],[Unique ID]],"_",BASE_SYSTEM_TABLE[[#This Row],[Model Source]],"_",BASE_SYSTEM_TABLE[[#This Row],[System Type]],BASE_SYSTEM_TABLE[[#This Row],[System Subtype]])</f>
        <v>A_LCA_ICFFormed Concrete</v>
      </c>
      <c r="C31" s="129" t="s">
        <v>512</v>
      </c>
      <c r="D31" s="129" t="s">
        <v>24</v>
      </c>
      <c r="E31" s="129" t="s">
        <v>481</v>
      </c>
      <c r="F31" s="129" t="s">
        <v>550</v>
      </c>
      <c r="G31" s="129" t="s">
        <v>887</v>
      </c>
      <c r="H31" s="129" t="s">
        <v>636</v>
      </c>
      <c r="I31" s="129" t="s">
        <v>821</v>
      </c>
      <c r="J31" s="110" t="s">
        <v>660</v>
      </c>
      <c r="K31" s="129"/>
      <c r="L31" t="s">
        <v>351</v>
      </c>
      <c r="M31" s="133" t="s">
        <v>442</v>
      </c>
      <c r="N31" s="129" t="s">
        <v>816</v>
      </c>
      <c r="O31" s="129" t="s">
        <v>344</v>
      </c>
      <c r="P31" t="s">
        <v>351</v>
      </c>
      <c r="Q31" s="129" t="s">
        <v>628</v>
      </c>
      <c r="R31" s="129" t="s">
        <v>629</v>
      </c>
      <c r="S31" t="s">
        <v>352</v>
      </c>
      <c r="T31" s="129" t="s">
        <v>334</v>
      </c>
      <c r="U31" s="141">
        <v>4.2857142857142856</v>
      </c>
      <c r="V31" s="139">
        <v>13.837500000000002</v>
      </c>
      <c r="W31" s="129">
        <v>3.69</v>
      </c>
      <c r="X31" s="129" t="s">
        <v>545</v>
      </c>
      <c r="Y31" s="129"/>
      <c r="Z31" s="129"/>
      <c r="AA31" s="129"/>
      <c r="AB31" s="115"/>
      <c r="AC31" s="129"/>
      <c r="AD31" s="149"/>
      <c r="AE31" s="129"/>
      <c r="AF31" s="139">
        <f>'LCA SYSTEMS'!J25/2.4^2</f>
        <v>3.7500000000000004</v>
      </c>
      <c r="AG31" s="129"/>
    </row>
    <row r="32" spans="2:33" x14ac:dyDescent="0.35">
      <c r="B32" s="115" t="str">
        <f>_xlfn.CONCAT(BASE_SYSTEM_TABLE[[#This Row],[Unique ID]],"_",BASE_SYSTEM_TABLE[[#This Row],[Model Source]],"_",BASE_SYSTEM_TABLE[[#This Row],[System Type]],BASE_SYSTEM_TABLE[[#This Row],[System Subtype]])</f>
        <v>A_LCA_ICFFormed Concrete</v>
      </c>
      <c r="C32" s="129" t="s">
        <v>512</v>
      </c>
      <c r="D32" s="129" t="s">
        <v>24</v>
      </c>
      <c r="E32" s="129" t="s">
        <v>481</v>
      </c>
      <c r="F32" s="129" t="s">
        <v>550</v>
      </c>
      <c r="G32" s="129" t="s">
        <v>887</v>
      </c>
      <c r="H32" s="129" t="s">
        <v>636</v>
      </c>
      <c r="I32" s="129" t="s">
        <v>821</v>
      </c>
      <c r="J32" s="110" t="s">
        <v>660</v>
      </c>
      <c r="K32" s="129"/>
      <c r="L32" t="s">
        <v>351</v>
      </c>
      <c r="M32" s="133" t="s">
        <v>449</v>
      </c>
      <c r="N32" s="129" t="s">
        <v>816</v>
      </c>
      <c r="O32" s="129" t="s">
        <v>4</v>
      </c>
      <c r="P32" t="s">
        <v>351</v>
      </c>
      <c r="Q32" s="129" t="s">
        <v>634</v>
      </c>
      <c r="R32" s="129" t="s">
        <v>631</v>
      </c>
      <c r="S32" t="s">
        <v>352</v>
      </c>
      <c r="T32" s="129" t="s">
        <v>334</v>
      </c>
      <c r="U32" s="141">
        <v>3.7499999999999999E-2</v>
      </c>
      <c r="V32" s="139">
        <v>37.08</v>
      </c>
      <c r="W32" s="129">
        <v>0.10299999999999999</v>
      </c>
      <c r="X32" s="129" t="s">
        <v>545</v>
      </c>
      <c r="Y32" s="129"/>
      <c r="Z32" s="129"/>
      <c r="AA32" s="129"/>
      <c r="AB32" s="115"/>
      <c r="AC32" s="129"/>
      <c r="AD32" s="149"/>
      <c r="AE32" s="129"/>
      <c r="AF32" s="139">
        <f>'LCA SYSTEMS'!J26/2.4^2</f>
        <v>360</v>
      </c>
      <c r="AG32" s="129"/>
    </row>
    <row r="33" spans="2:33" x14ac:dyDescent="0.35">
      <c r="B33" s="115" t="str">
        <f>_xlfn.CONCAT(BASE_SYSTEM_TABLE[[#This Row],[Unique ID]],"_",BASE_SYSTEM_TABLE[[#This Row],[Model Source]],"_",BASE_SYSTEM_TABLE[[#This Row],[System Type]],BASE_SYSTEM_TABLE[[#This Row],[System Subtype]])</f>
        <v>A_LCA_ICFFormed Concrete</v>
      </c>
      <c r="C33" s="129" t="s">
        <v>512</v>
      </c>
      <c r="D33" s="129" t="s">
        <v>24</v>
      </c>
      <c r="E33" s="129" t="s">
        <v>481</v>
      </c>
      <c r="F33" s="129" t="s">
        <v>550</v>
      </c>
      <c r="G33" s="129" t="s">
        <v>887</v>
      </c>
      <c r="H33" s="129" t="s">
        <v>636</v>
      </c>
      <c r="I33" s="129" t="s">
        <v>821</v>
      </c>
      <c r="J33" s="110" t="s">
        <v>660</v>
      </c>
      <c r="K33" s="129"/>
      <c r="L33" t="s">
        <v>351</v>
      </c>
      <c r="M33" s="133" t="s">
        <v>446</v>
      </c>
      <c r="N33" s="129" t="s">
        <v>816</v>
      </c>
      <c r="O33" s="129" t="s">
        <v>4</v>
      </c>
      <c r="P33" t="s">
        <v>351</v>
      </c>
      <c r="Q33" s="129" t="s">
        <v>632</v>
      </c>
      <c r="R33" s="129" t="s">
        <v>633</v>
      </c>
      <c r="S33" t="s">
        <v>352</v>
      </c>
      <c r="T33" s="129" t="s">
        <v>334</v>
      </c>
      <c r="U33" s="141">
        <v>0</v>
      </c>
      <c r="V33" s="139">
        <v>12.383402777777778</v>
      </c>
      <c r="W33" s="129">
        <v>1.72</v>
      </c>
      <c r="X33" s="129" t="s">
        <v>545</v>
      </c>
      <c r="Y33" s="129"/>
      <c r="Z33" s="129"/>
      <c r="AA33" s="129"/>
      <c r="AB33" s="115"/>
      <c r="AC33" s="129"/>
      <c r="AD33" s="149"/>
      <c r="AE33" s="129"/>
      <c r="AF33" s="139">
        <f>'LCA SYSTEMS'!J27/2.4^2</f>
        <v>7.1996527777777777</v>
      </c>
      <c r="AG33" s="129"/>
    </row>
    <row r="34" spans="2:33" x14ac:dyDescent="0.35">
      <c r="B34" s="115" t="str">
        <f>_xlfn.CONCAT(BASE_SYSTEM_TABLE[[#This Row],[Unique ID]],"_",BASE_SYSTEM_TABLE[[#This Row],[Model Source]],"_",BASE_SYSTEM_TABLE[[#This Row],[System Type]],BASE_SYSTEM_TABLE[[#This Row],[System Subtype]])</f>
        <v>A_LCA_ICFFormed Concrete</v>
      </c>
      <c r="C34" s="129" t="s">
        <v>512</v>
      </c>
      <c r="D34" s="129" t="s">
        <v>24</v>
      </c>
      <c r="E34" s="129" t="s">
        <v>481</v>
      </c>
      <c r="F34" s="129" t="s">
        <v>550</v>
      </c>
      <c r="G34" s="129" t="s">
        <v>887</v>
      </c>
      <c r="H34" s="129" t="s">
        <v>636</v>
      </c>
      <c r="I34" s="129" t="s">
        <v>821</v>
      </c>
      <c r="J34" s="110" t="s">
        <v>660</v>
      </c>
      <c r="K34" s="129"/>
      <c r="L34" t="s">
        <v>351</v>
      </c>
      <c r="M34" s="133" t="s">
        <v>447</v>
      </c>
      <c r="N34" s="129" t="s">
        <v>816</v>
      </c>
      <c r="O34" s="129" t="s">
        <v>344</v>
      </c>
      <c r="P34" t="s">
        <v>351</v>
      </c>
      <c r="Q34" s="129" t="s">
        <v>626</v>
      </c>
      <c r="R34" s="129" t="s">
        <v>627</v>
      </c>
      <c r="S34" t="s">
        <v>352</v>
      </c>
      <c r="T34" s="129" t="s">
        <v>334</v>
      </c>
      <c r="U34" s="141">
        <v>0</v>
      </c>
      <c r="V34" s="139">
        <v>1.6059027777777779</v>
      </c>
      <c r="W34" s="129">
        <v>1.85</v>
      </c>
      <c r="X34" s="129" t="s">
        <v>545</v>
      </c>
      <c r="Y34" s="129"/>
      <c r="Z34" s="129"/>
      <c r="AA34" s="129"/>
      <c r="AB34" s="115"/>
      <c r="AC34" s="129"/>
      <c r="AD34" s="149"/>
      <c r="AE34" s="129"/>
      <c r="AF34" s="139">
        <f>'LCA SYSTEMS'!J28/2.4^2</f>
        <v>0.86805555555555558</v>
      </c>
      <c r="AG34" s="129"/>
    </row>
    <row r="35" spans="2:33" x14ac:dyDescent="0.35">
      <c r="B35" s="115" t="str">
        <f>_xlfn.CONCAT(BASE_SYSTEM_TABLE[[#This Row],[Unique ID]],"_",BASE_SYSTEM_TABLE[[#This Row],[Model Source]],"_",BASE_SYSTEM_TABLE[[#This Row],[System Type]],BASE_SYSTEM_TABLE[[#This Row],[System Subtype]])</f>
        <v>A_LCA_ICFFormed Concrete</v>
      </c>
      <c r="C35" s="129" t="s">
        <v>512</v>
      </c>
      <c r="D35" s="129" t="s">
        <v>24</v>
      </c>
      <c r="E35" s="129" t="s">
        <v>481</v>
      </c>
      <c r="F35" s="129" t="s">
        <v>550</v>
      </c>
      <c r="G35" s="129" t="s">
        <v>887</v>
      </c>
      <c r="H35" s="129" t="s">
        <v>636</v>
      </c>
      <c r="I35" s="129" t="s">
        <v>821</v>
      </c>
      <c r="J35" s="110" t="s">
        <v>660</v>
      </c>
      <c r="K35" s="129"/>
      <c r="L35" t="s">
        <v>351</v>
      </c>
      <c r="M35" s="133" t="s">
        <v>29</v>
      </c>
      <c r="N35" s="129" t="s">
        <v>816</v>
      </c>
      <c r="O35" s="129" t="s">
        <v>470</v>
      </c>
      <c r="P35" t="s">
        <v>352</v>
      </c>
      <c r="Q35" s="129" t="s">
        <v>554</v>
      </c>
      <c r="R35" s="129" t="s">
        <v>630</v>
      </c>
      <c r="S35" t="s">
        <v>352</v>
      </c>
      <c r="T35" s="129" t="s">
        <v>334</v>
      </c>
      <c r="U35" s="141">
        <v>1.5E-3</v>
      </c>
      <c r="V35" s="139">
        <v>0.25229166666666669</v>
      </c>
      <c r="W35" s="129">
        <v>4.2</v>
      </c>
      <c r="X35" s="129" t="s">
        <v>545</v>
      </c>
      <c r="Y35" s="129"/>
      <c r="Z35" s="129"/>
      <c r="AA35" s="129"/>
      <c r="AB35" s="115"/>
      <c r="AC35" s="129"/>
      <c r="AD35" s="149"/>
      <c r="AE35" s="129"/>
      <c r="AF35" s="139">
        <f>'LCA SYSTEMS'!J29/2.4^2</f>
        <v>6.0069444444444439E-2</v>
      </c>
      <c r="AG35" s="129"/>
    </row>
    <row r="36" spans="2:33" x14ac:dyDescent="0.35">
      <c r="B36" s="115" t="str">
        <f>_xlfn.CONCAT(BASE_SYSTEM_TABLE[[#This Row],[Unique ID]],"_",BASE_SYSTEM_TABLE[[#This Row],[Model Source]],"_",BASE_SYSTEM_TABLE[[#This Row],[System Type]],BASE_SYSTEM_TABLE[[#This Row],[System Subtype]])</f>
        <v>Nudura_EPD_ICFFormed Concrete</v>
      </c>
      <c r="C36" s="129" t="s">
        <v>513</v>
      </c>
      <c r="D36" s="129" t="s">
        <v>24</v>
      </c>
      <c r="E36" s="129" t="s">
        <v>481</v>
      </c>
      <c r="F36" s="129" t="s">
        <v>637</v>
      </c>
      <c r="G36" s="129" t="s">
        <v>888</v>
      </c>
      <c r="H36" s="129"/>
      <c r="I36" s="129" t="s">
        <v>821</v>
      </c>
      <c r="J36" s="110" t="s">
        <v>660</v>
      </c>
      <c r="K36" s="129"/>
      <c r="L36" t="s">
        <v>351</v>
      </c>
      <c r="M36" s="137" t="s">
        <v>110</v>
      </c>
      <c r="N36" s="129" t="s">
        <v>814</v>
      </c>
      <c r="O36" s="129" t="s">
        <v>344</v>
      </c>
      <c r="P36" t="s">
        <v>352</v>
      </c>
      <c r="Q36" s="129" t="s">
        <v>639</v>
      </c>
      <c r="R36" s="129"/>
      <c r="S36" t="s">
        <v>352</v>
      </c>
      <c r="T36" s="129" t="s">
        <v>334</v>
      </c>
      <c r="U36" s="141">
        <v>4.2</v>
      </c>
      <c r="V36" s="124">
        <f>_xlfn.XLOOKUP(BASE_SYSTEM_TABLE[[#This Row],[Component Name]],'GWP NORMALISED'!$A$2:$A$500,'GWP NORMALISED'!$H$2:$H$500,FALSE)</f>
        <v>15.390090090090087</v>
      </c>
      <c r="W36" s="125">
        <f>_xlfn.XLOOKUP(BASE_SYSTEM_TABLE[[#This Row],[Component Name]],'RAW GWP FOSSIL'!$A$2:$A$500,'RAW GWP FOSSIL'!$H$2:$H$500,FALSE)</f>
        <v>17.082999999999998</v>
      </c>
      <c r="X36" s="129" t="s">
        <v>641</v>
      </c>
      <c r="Y36" s="129"/>
      <c r="Z36" s="129"/>
      <c r="AA36" s="129"/>
      <c r="AB36" s="115">
        <f>BASE_SYSTEM_TABLE[[#This Row],[Length (m) (on wall)]]*BASE_SYSTEM_TABLE[[#This Row],[Height (m)]]*BASE_SYSTEM_TABLE[[#This Row],[Thickness (m)]]</f>
        <v>0</v>
      </c>
      <c r="AC36" s="129"/>
      <c r="AD36" s="149"/>
      <c r="AE36" s="129"/>
      <c r="AF36" s="129">
        <f>6.91*0.9</f>
        <v>6.2190000000000003</v>
      </c>
      <c r="AG36" s="129"/>
    </row>
    <row r="37" spans="2:33" x14ac:dyDescent="0.35">
      <c r="B37" s="115" t="str">
        <f>_xlfn.CONCAT(BASE_SYSTEM_TABLE[[#This Row],[Unique ID]],"_",BASE_SYSTEM_TABLE[[#This Row],[Model Source]],"_",BASE_SYSTEM_TABLE[[#This Row],[System Type]],BASE_SYSTEM_TABLE[[#This Row],[System Subtype]])</f>
        <v>Nudura_EPD_ICFFormed Concrete</v>
      </c>
      <c r="C37" s="129" t="s">
        <v>513</v>
      </c>
      <c r="D37" s="129" t="s">
        <v>24</v>
      </c>
      <c r="E37" s="129" t="s">
        <v>481</v>
      </c>
      <c r="F37" s="129" t="s">
        <v>637</v>
      </c>
      <c r="G37" s="129" t="s">
        <v>888</v>
      </c>
      <c r="H37" s="129"/>
      <c r="I37" s="129" t="s">
        <v>821</v>
      </c>
      <c r="J37" s="110" t="s">
        <v>660</v>
      </c>
      <c r="K37" s="129"/>
      <c r="L37" t="s">
        <v>351</v>
      </c>
      <c r="M37" s="137" t="s">
        <v>292</v>
      </c>
      <c r="N37" s="129" t="s">
        <v>815</v>
      </c>
      <c r="O37" s="129" t="s">
        <v>4</v>
      </c>
      <c r="P37" t="s">
        <v>351</v>
      </c>
      <c r="Q37" s="129"/>
      <c r="R37" s="129" t="s">
        <v>640</v>
      </c>
      <c r="S37" t="s">
        <v>352</v>
      </c>
      <c r="T37" s="129" t="s">
        <v>334</v>
      </c>
      <c r="U37" s="141">
        <f>0.15/0.85</f>
        <v>0.17647058823529413</v>
      </c>
      <c r="V37" s="124">
        <f>_xlfn.XLOOKUP(BASE_SYSTEM_TABLE[[#This Row],[Component Name]],'GWP NORMALISED'!$A$2:$A$500,'GWP NORMALISED'!$H$2:$H$500,FALSE)</f>
        <v>34.429499999999997</v>
      </c>
      <c r="W37" s="125">
        <f>_xlfn.XLOOKUP(BASE_SYSTEM_TABLE[[#This Row],[Component Name]],'RAW GWP FOSSIL'!$A$2:$A$500,'RAW GWP FOSSIL'!$H$2:$H$500,FALSE)</f>
        <v>229.53</v>
      </c>
      <c r="X37" s="129" t="s">
        <v>642</v>
      </c>
      <c r="Y37" s="129">
        <v>1</v>
      </c>
      <c r="Z37" s="129">
        <v>1</v>
      </c>
      <c r="AA37" s="129">
        <v>0.15</v>
      </c>
      <c r="AB37" s="115">
        <f>BASE_SYSTEM_TABLE[[#This Row],[Length (m) (on wall)]]*BASE_SYSTEM_TABLE[[#This Row],[Height (m)]]*BASE_SYSTEM_TABLE[[#This Row],[Thickness (m)]]</f>
        <v>0.15</v>
      </c>
      <c r="AC37" s="129"/>
      <c r="AD37" s="149"/>
      <c r="AE37" s="129">
        <v>2412</v>
      </c>
      <c r="AF37" s="129">
        <f>BASE_SYSTEM_TABLE[[#This Row],[Material Density (kg/m^3)]]*BASE_SYSTEM_TABLE[[#This Row],[Element Volume (m^3)]]</f>
        <v>361.8</v>
      </c>
      <c r="AG37" s="129"/>
    </row>
    <row r="38" spans="2:33" x14ac:dyDescent="0.35">
      <c r="B38" s="115" t="str">
        <f>_xlfn.CONCAT(BASE_SYSTEM_TABLE[[#This Row],[Unique ID]],"_",BASE_SYSTEM_TABLE[[#This Row],[Model Source]],"_",BASE_SYSTEM_TABLE[[#This Row],[System Type]],BASE_SYSTEM_TABLE[[#This Row],[System Subtype]])</f>
        <v>Nudura_EPD_ICFFormed Concrete</v>
      </c>
      <c r="C38" s="129" t="s">
        <v>513</v>
      </c>
      <c r="D38" s="129" t="s">
        <v>24</v>
      </c>
      <c r="E38" s="129" t="s">
        <v>481</v>
      </c>
      <c r="F38" s="129" t="s">
        <v>637</v>
      </c>
      <c r="G38" s="129" t="s">
        <v>888</v>
      </c>
      <c r="H38" s="129"/>
      <c r="I38" s="129" t="s">
        <v>821</v>
      </c>
      <c r="J38" s="110" t="s">
        <v>663</v>
      </c>
      <c r="K38" s="129" t="s">
        <v>673</v>
      </c>
      <c r="L38" t="s">
        <v>351</v>
      </c>
      <c r="M38" s="133" t="s">
        <v>446</v>
      </c>
      <c r="N38" s="129" t="s">
        <v>816</v>
      </c>
      <c r="O38" s="129" t="s">
        <v>4</v>
      </c>
      <c r="P38" t="s">
        <v>351</v>
      </c>
      <c r="Q38" s="129" t="s">
        <v>632</v>
      </c>
      <c r="R38" s="129" t="s">
        <v>633</v>
      </c>
      <c r="S38" t="s">
        <v>352</v>
      </c>
      <c r="T38" s="129" t="s">
        <v>334</v>
      </c>
      <c r="U38" s="141">
        <v>0</v>
      </c>
      <c r="V38" s="139">
        <v>12.383402777777778</v>
      </c>
      <c r="W38" s="129">
        <v>1.72</v>
      </c>
      <c r="X38" s="129" t="s">
        <v>545</v>
      </c>
      <c r="Y38" s="129"/>
      <c r="Z38" s="129"/>
      <c r="AA38" s="129"/>
      <c r="AB38" s="115">
        <f>BASE_SYSTEM_TABLE[[#This Row],[Length (m) (on wall)]]*BASE_SYSTEM_TABLE[[#This Row],[Height (m)]]*BASE_SYSTEM_TABLE[[#This Row],[Thickness (m)]]</f>
        <v>0</v>
      </c>
      <c r="AC38" s="129"/>
      <c r="AD38" s="149"/>
      <c r="AE38" s="129"/>
      <c r="AF38" s="139">
        <f>'LCA SYSTEMS'!J38/2.4^2</f>
        <v>0</v>
      </c>
      <c r="AG38" s="129"/>
    </row>
    <row r="39" spans="2:33" x14ac:dyDescent="0.35">
      <c r="B39" s="115" t="str">
        <f>_xlfn.CONCAT(BASE_SYSTEM_TABLE[[#This Row],[Unique ID]],"_",BASE_SYSTEM_TABLE[[#This Row],[Model Source]],"_",BASE_SYSTEM_TABLE[[#This Row],[System Type]],BASE_SYSTEM_TABLE[[#This Row],[System Subtype]])</f>
        <v>Nudura_EPD_ICFFormed Concrete</v>
      </c>
      <c r="C39" s="129" t="s">
        <v>513</v>
      </c>
      <c r="D39" s="129" t="s">
        <v>24</v>
      </c>
      <c r="E39" s="129" t="s">
        <v>481</v>
      </c>
      <c r="F39" s="129" t="s">
        <v>637</v>
      </c>
      <c r="G39" s="129" t="s">
        <v>888</v>
      </c>
      <c r="H39" s="129"/>
      <c r="I39" s="129" t="s">
        <v>821</v>
      </c>
      <c r="J39" s="110" t="s">
        <v>663</v>
      </c>
      <c r="K39" s="129" t="s">
        <v>668</v>
      </c>
      <c r="L39" t="s">
        <v>351</v>
      </c>
      <c r="M39" s="133" t="s">
        <v>29</v>
      </c>
      <c r="N39" s="129" t="s">
        <v>816</v>
      </c>
      <c r="O39" s="129" t="s">
        <v>470</v>
      </c>
      <c r="P39" t="s">
        <v>352</v>
      </c>
      <c r="Q39" s="129" t="s">
        <v>554</v>
      </c>
      <c r="R39" s="129" t="s">
        <v>630</v>
      </c>
      <c r="S39" t="s">
        <v>352</v>
      </c>
      <c r="T39" s="129" t="s">
        <v>334</v>
      </c>
      <c r="U39" s="141">
        <v>1.5E-3</v>
      </c>
      <c r="V39" s="139">
        <v>0.25229166666666669</v>
      </c>
      <c r="W39" s="129">
        <v>4.2</v>
      </c>
      <c r="X39" s="129" t="s">
        <v>545</v>
      </c>
      <c r="Y39" s="129"/>
      <c r="Z39" s="129"/>
      <c r="AA39" s="129"/>
      <c r="AB39" s="115">
        <f>BASE_SYSTEM_TABLE[[#This Row],[Length (m) (on wall)]]*BASE_SYSTEM_TABLE[[#This Row],[Height (m)]]*BASE_SYSTEM_TABLE[[#This Row],[Thickness (m)]]</f>
        <v>0</v>
      </c>
      <c r="AC39" s="129"/>
      <c r="AD39" s="149"/>
      <c r="AE39" s="129"/>
      <c r="AF39" s="139">
        <f>'LCA SYSTEMS'!J39/2.4^2</f>
        <v>0</v>
      </c>
      <c r="AG39" s="129"/>
    </row>
    <row r="40" spans="2:33" x14ac:dyDescent="0.35">
      <c r="B40" s="115" t="str">
        <f>_xlfn.CONCAT(BASE_SYSTEM_TABLE[[#This Row],[Unique ID]],"_",BASE_SYSTEM_TABLE[[#This Row],[Model Source]],"_",BASE_SYSTEM_TABLE[[#This Row],[System Type]],BASE_SYSTEM_TABLE[[#This Row],[System Subtype]])</f>
        <v>Aircrete Standard_EPD_Concrete BlockTraditional</v>
      </c>
      <c r="C40" s="129" t="s">
        <v>513</v>
      </c>
      <c r="D40" s="129" t="s">
        <v>80</v>
      </c>
      <c r="E40" s="129" t="s">
        <v>462</v>
      </c>
      <c r="F40" s="129" t="s">
        <v>643</v>
      </c>
      <c r="G40" s="129" t="s">
        <v>901</v>
      </c>
      <c r="H40" s="129" t="s">
        <v>652</v>
      </c>
      <c r="I40" s="129" t="s">
        <v>821</v>
      </c>
      <c r="J40" s="110" t="s">
        <v>660</v>
      </c>
      <c r="K40" s="129" t="s">
        <v>675</v>
      </c>
      <c r="L40" t="s">
        <v>351</v>
      </c>
      <c r="M40" s="137" t="s">
        <v>104</v>
      </c>
      <c r="N40" s="129" t="s">
        <v>814</v>
      </c>
      <c r="O40" s="129" t="s">
        <v>4</v>
      </c>
      <c r="P40" t="s">
        <v>351</v>
      </c>
      <c r="Q40" s="129" t="s">
        <v>653</v>
      </c>
      <c r="R40" s="129" t="s">
        <v>657</v>
      </c>
      <c r="S40" t="s">
        <v>352</v>
      </c>
      <c r="T40" s="129" t="s">
        <v>334</v>
      </c>
      <c r="U40" s="141">
        <v>1.26</v>
      </c>
      <c r="V40" s="124">
        <f>_xlfn.XLOOKUP(BASE_SYSTEM_TABLE[[#This Row],[Component Name]],'GWP NORMALISED'!$A$2:$A$500,'GWP NORMALISED'!$H$2:$H$500,FALSE)</f>
        <v>45.864552500000002</v>
      </c>
      <c r="W40" s="125">
        <f>_xlfn.XLOOKUP(BASE_SYSTEM_TABLE[[#This Row],[Component Name]],'RAW GWP FOSSIL'!$A$2:$A$500,'RAW GWP FOSSIL'!$H$2:$H$500,FALSE)</f>
        <v>328.19</v>
      </c>
      <c r="X40" s="129" t="s">
        <v>654</v>
      </c>
      <c r="Y40" s="129">
        <v>1</v>
      </c>
      <c r="Z40" s="129">
        <v>1</v>
      </c>
      <c r="AA40" s="129">
        <v>0.215</v>
      </c>
      <c r="AB40" s="115">
        <f>BASE_SYSTEM_TABLE[[#This Row],[Length (m) (on wall)]]*BASE_SYSTEM_TABLE[[#This Row],[Height (m)]]*BASE_SYSTEM_TABLE[[#This Row],[Thickness (m)]]</f>
        <v>0.215</v>
      </c>
      <c r="AC40" s="129"/>
      <c r="AD40" s="149"/>
      <c r="AE40" s="129">
        <v>650</v>
      </c>
      <c r="AF40" s="129">
        <f>BASE_SYSTEM_TABLE[[#This Row],[Material Density (kg/m^3)]]*BASE_SYSTEM_TABLE[[#This Row],[Element Volume (m^3)]]</f>
        <v>139.75</v>
      </c>
      <c r="AG40" s="129"/>
    </row>
    <row r="41" spans="2:33" x14ac:dyDescent="0.35">
      <c r="B41" s="115" t="str">
        <f>_xlfn.CONCAT(BASE_SYSTEM_TABLE[[#This Row],[Unique ID]],"_",BASE_SYSTEM_TABLE[[#This Row],[Model Source]],"_",BASE_SYSTEM_TABLE[[#This Row],[System Type]],BASE_SYSTEM_TABLE[[#This Row],[System Subtype]])</f>
        <v>Aircrete Standard_EPD_Concrete BlockTraditional</v>
      </c>
      <c r="C41" s="129" t="s">
        <v>513</v>
      </c>
      <c r="D41" s="129" t="s">
        <v>80</v>
      </c>
      <c r="E41" s="129" t="s">
        <v>462</v>
      </c>
      <c r="F41" s="129" t="s">
        <v>643</v>
      </c>
      <c r="G41" s="129" t="s">
        <v>901</v>
      </c>
      <c r="H41" s="129" t="s">
        <v>652</v>
      </c>
      <c r="I41" s="129" t="s">
        <v>821</v>
      </c>
      <c r="J41" s="110" t="s">
        <v>663</v>
      </c>
      <c r="K41" s="129" t="s">
        <v>668</v>
      </c>
      <c r="L41" t="s">
        <v>351</v>
      </c>
      <c r="M41" s="133" t="s">
        <v>29</v>
      </c>
      <c r="N41" s="129" t="s">
        <v>816</v>
      </c>
      <c r="O41" s="129" t="s">
        <v>470</v>
      </c>
      <c r="P41" t="s">
        <v>352</v>
      </c>
      <c r="Q41" s="129" t="s">
        <v>554</v>
      </c>
      <c r="R41" s="129" t="s">
        <v>334</v>
      </c>
      <c r="S41" t="s">
        <v>352</v>
      </c>
      <c r="T41" s="129" t="s">
        <v>334</v>
      </c>
      <c r="U41" s="138">
        <v>1.5E-3</v>
      </c>
      <c r="V41" s="139">
        <v>0.25229166666666669</v>
      </c>
      <c r="W41" s="129">
        <v>4.2</v>
      </c>
      <c r="X41" s="129" t="s">
        <v>545</v>
      </c>
      <c r="Y41" s="130">
        <v>2.4</v>
      </c>
      <c r="Z41" s="130">
        <v>2.4</v>
      </c>
      <c r="AA41" s="130">
        <v>4.4999999999999999E-4</v>
      </c>
      <c r="AB41" s="115">
        <f>BASE_SYSTEM_TABLE[[#This Row],[Length (m) (on wall)]]*BASE_SYSTEM_TABLE[[#This Row],[Height (m)]]*BASE_SYSTEM_TABLE[[#This Row],[Thickness (m)]]</f>
        <v>2.5919999999999997E-3</v>
      </c>
      <c r="AC41" s="129">
        <v>1</v>
      </c>
      <c r="AD41" s="149">
        <v>1</v>
      </c>
      <c r="AE41" s="151">
        <v>0</v>
      </c>
      <c r="AF41" s="151">
        <v>0.34599999999999997</v>
      </c>
      <c r="AG41" s="147">
        <v>0.3</v>
      </c>
    </row>
    <row r="42" spans="2:33" x14ac:dyDescent="0.35">
      <c r="B42" s="115" t="str">
        <f>_xlfn.CONCAT(BASE_SYSTEM_TABLE[[#This Row],[Unique ID]],"_",BASE_SYSTEM_TABLE[[#This Row],[Model Source]],"_",BASE_SYSTEM_TABLE[[#This Row],[System Type]],BASE_SYSTEM_TABLE[[#This Row],[System Subtype]])</f>
        <v>Aircrete Standard_EPD_Concrete BlockTraditional</v>
      </c>
      <c r="C42" s="129" t="s">
        <v>513</v>
      </c>
      <c r="D42" s="129" t="s">
        <v>80</v>
      </c>
      <c r="E42" s="129" t="s">
        <v>462</v>
      </c>
      <c r="F42" s="129" t="s">
        <v>643</v>
      </c>
      <c r="G42" s="129" t="s">
        <v>901</v>
      </c>
      <c r="H42" s="129" t="s">
        <v>652</v>
      </c>
      <c r="I42" s="129" t="s">
        <v>821</v>
      </c>
      <c r="J42" s="110" t="s">
        <v>663</v>
      </c>
      <c r="K42" s="129" t="s">
        <v>795</v>
      </c>
      <c r="L42" t="s">
        <v>351</v>
      </c>
      <c r="M42" s="129" t="s">
        <v>627</v>
      </c>
      <c r="N42" s="129" t="s">
        <v>816</v>
      </c>
      <c r="O42" s="129" t="s">
        <v>344</v>
      </c>
      <c r="P42" t="s">
        <v>352</v>
      </c>
      <c r="Q42" s="129" t="s">
        <v>656</v>
      </c>
      <c r="R42" s="129"/>
      <c r="S42" t="s">
        <v>352</v>
      </c>
      <c r="T42" s="129" t="s">
        <v>334</v>
      </c>
      <c r="U42" s="141">
        <f>BASE_SYSTEM_TABLE[[#This Row],[Thickness (m)]]/BASE_SYSTEM_TABLE[[#This Row],[Thermal Conductivity W/m-K]]</f>
        <v>2.1428571428571428</v>
      </c>
      <c r="V42" s="139">
        <f>BASE_SYSTEM_TABLE[[#This Row],[Raw A1-A3/Conversion factor]]*BASE_SYSTEM_TABLE[[#This Row],[Total Mass per m^2 (kg)]]</f>
        <v>6.9187500000000002</v>
      </c>
      <c r="W42" s="129">
        <v>3.69</v>
      </c>
      <c r="X42" s="129" t="s">
        <v>545</v>
      </c>
      <c r="Y42" s="129">
        <v>1</v>
      </c>
      <c r="Z42" s="129">
        <v>1</v>
      </c>
      <c r="AA42" s="129">
        <v>7.4999999999999997E-2</v>
      </c>
      <c r="AB42" s="115">
        <f>BASE_SYSTEM_TABLE[[#This Row],[Length (m) (on wall)]]*BASE_SYSTEM_TABLE[[#This Row],[Height (m)]]*BASE_SYSTEM_TABLE[[#This Row],[Thickness (m)]]</f>
        <v>7.4999999999999997E-2</v>
      </c>
      <c r="AC42" s="129">
        <v>1</v>
      </c>
      <c r="AD42" s="149">
        <v>1</v>
      </c>
      <c r="AE42" s="156">
        <v>25</v>
      </c>
      <c r="AF42" s="139">
        <f>BASE_SYSTEM_TABLE[[#This Row],[Material Density (kg/m^3)]]*BASE_SYSTEM_TABLE[[#This Row],[Element Volume (m^3)]]</f>
        <v>1.875</v>
      </c>
      <c r="AG42" s="157">
        <v>3.5000000000000003E-2</v>
      </c>
    </row>
    <row r="43" spans="2:33" x14ac:dyDescent="0.35">
      <c r="B43" s="115" t="str">
        <f>_xlfn.CONCAT(BASE_SYSTEM_TABLE[[#This Row],[Unique ID]],"_",BASE_SYSTEM_TABLE[[#This Row],[Model Source]],"_",BASE_SYSTEM_TABLE[[#This Row],[System Type]],BASE_SYSTEM_TABLE[[#This Row],[System Subtype]])</f>
        <v>Aircrete Standard_EPD_Concrete BlockTraditional</v>
      </c>
      <c r="C43" s="129" t="s">
        <v>513</v>
      </c>
      <c r="D43" s="129" t="s">
        <v>80</v>
      </c>
      <c r="E43" s="129" t="s">
        <v>462</v>
      </c>
      <c r="F43" s="129" t="s">
        <v>643</v>
      </c>
      <c r="G43" s="129" t="s">
        <v>901</v>
      </c>
      <c r="H43" s="129" t="s">
        <v>652</v>
      </c>
      <c r="I43" s="129" t="s">
        <v>821</v>
      </c>
      <c r="J43" s="110" t="s">
        <v>659</v>
      </c>
      <c r="K43" s="129" t="s">
        <v>807</v>
      </c>
      <c r="L43" t="s">
        <v>351</v>
      </c>
      <c r="M43" s="79" t="s">
        <v>796</v>
      </c>
      <c r="N43" s="134" t="s">
        <v>815</v>
      </c>
      <c r="O43" s="134" t="s">
        <v>4</v>
      </c>
      <c r="P43" t="s">
        <v>351</v>
      </c>
      <c r="Q43" s="134" t="s">
        <v>584</v>
      </c>
      <c r="R43" s="129" t="s">
        <v>576</v>
      </c>
      <c r="S43" t="s">
        <v>351</v>
      </c>
      <c r="T43" s="129" t="s">
        <v>808</v>
      </c>
      <c r="U43" s="140">
        <v>0</v>
      </c>
      <c r="V43" s="124">
        <f>_xlfn.XLOOKUP(BASE_SYSTEM_TABLE[[#This Row],[Component Name]],'GWP NORMALISED'!$A$2:$A$500,'GWP NORMALISED'!$H$2:$H$500,FALSE)</f>
        <v>4.1849999999999996</v>
      </c>
      <c r="W43" s="125">
        <f>_xlfn.XLOOKUP(BASE_SYSTEM_TABLE[[#This Row],[Component Name]],'RAW GWP FOSSIL'!$A$2:$A$500,'RAW GWP FOSSIL'!$H$2:$H$500,FALSE)</f>
        <v>135</v>
      </c>
      <c r="X43" s="129" t="s">
        <v>545</v>
      </c>
      <c r="Y43" s="129">
        <v>1</v>
      </c>
      <c r="Z43" s="129">
        <v>1.2E-2</v>
      </c>
      <c r="AA43" s="129">
        <v>0.1</v>
      </c>
      <c r="AB43" s="115">
        <f>BASE_SYSTEM_TABLE[[#This Row],[Length (m) (on wall)]]*BASE_SYSTEM_TABLE[[#This Row],[Height (m)]]*BASE_SYSTEM_TABLE[[#This Row],[Thickness (m)]]</f>
        <v>1.2000000000000001E-3</v>
      </c>
      <c r="AC43" s="129">
        <v>5</v>
      </c>
      <c r="AD43" s="149">
        <f>BASE_SYSTEM_TABLE[[#This Row],[Length (m) (on wall)]]*BASE_SYSTEM_TABLE[[#This Row],[Height (m)]]/1</f>
        <v>1.2E-2</v>
      </c>
      <c r="AE43" s="147">
        <v>2000</v>
      </c>
      <c r="AF43" s="129">
        <f>0.031*1000</f>
        <v>31</v>
      </c>
      <c r="AG43" s="147">
        <v>2</v>
      </c>
    </row>
    <row r="44" spans="2:33" x14ac:dyDescent="0.35">
      <c r="B44" s="115" t="str">
        <f>_xlfn.CONCAT(BASE_SYSTEM_TABLE[[#This Row],[Unique ID]],"_",BASE_SYSTEM_TABLE[[#This Row],[Model Source]],"_",BASE_SYSTEM_TABLE[[#This Row],[System Type]],BASE_SYSTEM_TABLE[[#This Row],[System Subtype]])</f>
        <v xml:space="preserve">SP-170_EPD_SIPClosed </v>
      </c>
      <c r="C44" s="129" t="s">
        <v>513</v>
      </c>
      <c r="D44" s="129" t="s">
        <v>41</v>
      </c>
      <c r="E44" s="129" t="s">
        <v>560</v>
      </c>
      <c r="F44" s="129" t="s">
        <v>730</v>
      </c>
      <c r="G44" s="129" t="s">
        <v>889</v>
      </c>
      <c r="H44" s="129" t="s">
        <v>732</v>
      </c>
      <c r="I44" s="129" t="s">
        <v>821</v>
      </c>
      <c r="J44" s="110" t="s">
        <v>660</v>
      </c>
      <c r="K44" s="129"/>
      <c r="L44" t="s">
        <v>351</v>
      </c>
      <c r="M44" s="79" t="s">
        <v>182</v>
      </c>
      <c r="N44" s="129" t="s">
        <v>814</v>
      </c>
      <c r="O44" s="129" t="s">
        <v>532</v>
      </c>
      <c r="P44" s="129" t="s">
        <v>352</v>
      </c>
      <c r="Q44" s="129" t="s">
        <v>728</v>
      </c>
      <c r="R44" s="129"/>
      <c r="S44" s="129" t="s">
        <v>352</v>
      </c>
      <c r="T44" s="129" t="s">
        <v>334</v>
      </c>
      <c r="U44" s="141">
        <v>4.9800000000000004</v>
      </c>
      <c r="V44" s="124">
        <f>_xlfn.XLOOKUP(BASE_SYSTEM_TABLE[[#This Row],[Component Name]],'GWP NORMALISED'!$A$2:$A$500,'GWP NORMALISED'!$H$2:$H$500,FALSE)</f>
        <v>19.5</v>
      </c>
      <c r="W44" s="125">
        <f>_xlfn.XLOOKUP(BASE_SYSTEM_TABLE[[#This Row],[Component Name]],'RAW GWP FOSSIL'!$A$2:$A$500,'RAW GWP FOSSIL'!$H$2:$H$500,FALSE)</f>
        <v>19.5</v>
      </c>
      <c r="X44" s="129" t="s">
        <v>618</v>
      </c>
      <c r="Y44" s="129"/>
      <c r="Z44" s="129"/>
      <c r="AA44" s="129"/>
      <c r="AB44" s="115"/>
      <c r="AC44" s="129"/>
      <c r="AD44" s="149"/>
      <c r="AE44" s="129"/>
      <c r="AF44" s="129">
        <v>21.31</v>
      </c>
      <c r="AG44" s="129"/>
    </row>
    <row r="45" spans="2:33" x14ac:dyDescent="0.35">
      <c r="B45" s="115" t="str">
        <f>_xlfn.CONCAT(BASE_SYSTEM_TABLE[[#This Row],[Unique ID]],"_",BASE_SYSTEM_TABLE[[#This Row],[Model Source]],"_",BASE_SYSTEM_TABLE[[#This Row],[System Type]],BASE_SYSTEM_TABLE[[#This Row],[System Subtype]])</f>
        <v xml:space="preserve">SP-170_EPD_SIPClosed </v>
      </c>
      <c r="C45" s="129" t="s">
        <v>513</v>
      </c>
      <c r="D45" s="129" t="s">
        <v>41</v>
      </c>
      <c r="E45" s="129" t="s">
        <v>560</v>
      </c>
      <c r="F45" s="129" t="s">
        <v>730</v>
      </c>
      <c r="G45" s="129" t="s">
        <v>889</v>
      </c>
      <c r="H45" s="129" t="s">
        <v>732</v>
      </c>
      <c r="I45" s="129" t="s">
        <v>821</v>
      </c>
      <c r="J45" s="110" t="s">
        <v>663</v>
      </c>
      <c r="K45" s="129" t="s">
        <v>729</v>
      </c>
      <c r="L45" t="s">
        <v>351</v>
      </c>
      <c r="M45" s="133" t="s">
        <v>29</v>
      </c>
      <c r="N45" s="129" t="s">
        <v>816</v>
      </c>
      <c r="O45" s="129" t="s">
        <v>470</v>
      </c>
      <c r="P45" t="s">
        <v>352</v>
      </c>
      <c r="Q45" s="129" t="s">
        <v>554</v>
      </c>
      <c r="R45" s="129" t="s">
        <v>334</v>
      </c>
      <c r="S45" t="s">
        <v>352</v>
      </c>
      <c r="T45" s="129" t="s">
        <v>334</v>
      </c>
      <c r="U45" s="138">
        <v>1.5E-3</v>
      </c>
      <c r="V45" s="139">
        <v>0.25229166666666669</v>
      </c>
      <c r="W45" s="129">
        <v>4.2</v>
      </c>
      <c r="X45" s="129" t="s">
        <v>545</v>
      </c>
      <c r="Y45" s="130">
        <v>2.4</v>
      </c>
      <c r="Z45" s="130">
        <v>2.4</v>
      </c>
      <c r="AA45" s="130">
        <v>4.4999999999999999E-4</v>
      </c>
      <c r="AB45" s="115">
        <f>BASE_SYSTEM_TABLE[[#This Row],[Length (m) (on wall)]]*BASE_SYSTEM_TABLE[[#This Row],[Height (m)]]*BASE_SYSTEM_TABLE[[#This Row],[Thickness (m)]]</f>
        <v>2.5919999999999997E-3</v>
      </c>
      <c r="AC45" s="129">
        <v>1</v>
      </c>
      <c r="AD45" s="149">
        <v>1</v>
      </c>
      <c r="AE45" s="151">
        <v>0</v>
      </c>
      <c r="AF45" s="151">
        <v>0.34599999999999997</v>
      </c>
      <c r="AG45" s="147">
        <v>0.3</v>
      </c>
    </row>
    <row r="46" spans="2:33" x14ac:dyDescent="0.35">
      <c r="B46" s="115" t="str">
        <f>_xlfn.CONCAT(BASE_SYSTEM_TABLE[[#This Row],[Unique ID]],"_",BASE_SYSTEM_TABLE[[#This Row],[Model Source]],"_",BASE_SYSTEM_TABLE[[#This Row],[System Type]],BASE_SYSTEM_TABLE[[#This Row],[System Subtype]])</f>
        <v xml:space="preserve">SP-270_EPD_SIPClosed </v>
      </c>
      <c r="C46" s="129" t="s">
        <v>513</v>
      </c>
      <c r="D46" s="129" t="s">
        <v>41</v>
      </c>
      <c r="E46" s="129" t="s">
        <v>560</v>
      </c>
      <c r="F46" s="129" t="s">
        <v>733</v>
      </c>
      <c r="G46" s="129" t="s">
        <v>890</v>
      </c>
      <c r="H46" s="129" t="s">
        <v>734</v>
      </c>
      <c r="I46" s="129" t="s">
        <v>821</v>
      </c>
      <c r="J46" s="110" t="s">
        <v>660</v>
      </c>
      <c r="K46" s="129"/>
      <c r="L46" t="s">
        <v>351</v>
      </c>
      <c r="M46" s="79" t="s">
        <v>191</v>
      </c>
      <c r="N46" s="129" t="s">
        <v>814</v>
      </c>
      <c r="O46" s="129" t="s">
        <v>532</v>
      </c>
      <c r="P46" s="129" t="s">
        <v>352</v>
      </c>
      <c r="Q46" s="129" t="s">
        <v>728</v>
      </c>
      <c r="R46" s="129"/>
      <c r="S46" s="129" t="s">
        <v>352</v>
      </c>
      <c r="T46" s="129" t="s">
        <v>334</v>
      </c>
      <c r="U46" s="141">
        <v>6.97</v>
      </c>
      <c r="V46" s="124">
        <f>_xlfn.XLOOKUP(BASE_SYSTEM_TABLE[[#This Row],[Component Name]],'GWP NORMALISED'!$A$2:$A$500,'GWP NORMALISED'!$H$2:$H$500,FALSE)</f>
        <v>24.6</v>
      </c>
      <c r="W46" s="125">
        <f>_xlfn.XLOOKUP(BASE_SYSTEM_TABLE[[#This Row],[Component Name]],'RAW GWP FOSSIL'!$A$2:$A$500,'RAW GWP FOSSIL'!$H$2:$H$500,FALSE)</f>
        <v>24.6</v>
      </c>
      <c r="X46" s="129" t="s">
        <v>618</v>
      </c>
      <c r="Y46" s="129"/>
      <c r="Z46" s="129"/>
      <c r="AA46" s="129"/>
      <c r="AB46" s="115"/>
      <c r="AC46" s="129"/>
      <c r="AD46" s="149"/>
      <c r="AE46" s="129"/>
      <c r="AF46" s="129">
        <v>22.09</v>
      </c>
      <c r="AG46" s="129"/>
    </row>
    <row r="47" spans="2:33" x14ac:dyDescent="0.35">
      <c r="B47" s="115" t="str">
        <f>_xlfn.CONCAT(BASE_SYSTEM_TABLE[[#This Row],[Unique ID]],"_",BASE_SYSTEM_TABLE[[#This Row],[Model Source]],"_",BASE_SYSTEM_TABLE[[#This Row],[System Type]],BASE_SYSTEM_TABLE[[#This Row],[System Subtype]])</f>
        <v xml:space="preserve">SP-270_EPD_SIPClosed </v>
      </c>
      <c r="C47" s="129" t="s">
        <v>513</v>
      </c>
      <c r="D47" s="129" t="s">
        <v>41</v>
      </c>
      <c r="E47" s="129" t="s">
        <v>560</v>
      </c>
      <c r="F47" s="129" t="s">
        <v>733</v>
      </c>
      <c r="G47" s="129" t="s">
        <v>890</v>
      </c>
      <c r="H47" s="129" t="s">
        <v>734</v>
      </c>
      <c r="I47" s="129" t="s">
        <v>821</v>
      </c>
      <c r="J47" s="110" t="s">
        <v>663</v>
      </c>
      <c r="K47" s="129" t="s">
        <v>729</v>
      </c>
      <c r="L47" t="s">
        <v>351</v>
      </c>
      <c r="M47" s="133" t="s">
        <v>29</v>
      </c>
      <c r="N47" s="129" t="s">
        <v>816</v>
      </c>
      <c r="O47" s="129" t="s">
        <v>470</v>
      </c>
      <c r="P47" t="s">
        <v>352</v>
      </c>
      <c r="Q47" s="129" t="s">
        <v>554</v>
      </c>
      <c r="R47" s="129" t="s">
        <v>334</v>
      </c>
      <c r="S47" t="s">
        <v>352</v>
      </c>
      <c r="T47" s="129" t="s">
        <v>334</v>
      </c>
      <c r="U47" s="138">
        <v>1.5E-3</v>
      </c>
      <c r="V47" s="139">
        <v>0.25229166666666669</v>
      </c>
      <c r="W47" s="129">
        <v>4.2</v>
      </c>
      <c r="X47" s="129" t="s">
        <v>545</v>
      </c>
      <c r="Y47" s="130">
        <v>2.4</v>
      </c>
      <c r="Z47" s="130">
        <v>2.4</v>
      </c>
      <c r="AA47" s="130">
        <v>4.4999999999999999E-4</v>
      </c>
      <c r="AB47" s="115">
        <f>BASE_SYSTEM_TABLE[[#This Row],[Length (m) (on wall)]]*BASE_SYSTEM_TABLE[[#This Row],[Height (m)]]*BASE_SYSTEM_TABLE[[#This Row],[Thickness (m)]]</f>
        <v>2.5919999999999997E-3</v>
      </c>
      <c r="AC47" s="129">
        <v>1</v>
      </c>
      <c r="AD47" s="149">
        <v>1</v>
      </c>
      <c r="AE47" s="151">
        <v>0</v>
      </c>
      <c r="AF47" s="151">
        <v>0.34599999999999997</v>
      </c>
      <c r="AG47" s="147">
        <v>0.3</v>
      </c>
    </row>
    <row r="48" spans="2:33" x14ac:dyDescent="0.35">
      <c r="B48" s="115" t="str">
        <f>_xlfn.CONCAT(BASE_SYSTEM_TABLE[[#This Row],[Unique ID]],"_",BASE_SYSTEM_TABLE[[#This Row],[Model Source]],"_",BASE_SYSTEM_TABLE[[#This Row],[System Type]],BASE_SYSTEM_TABLE[[#This Row],[System Subtype]])</f>
        <v xml:space="preserve">MgO_EPD_SIPClosed </v>
      </c>
      <c r="C48" s="129" t="s">
        <v>513</v>
      </c>
      <c r="D48" s="129" t="s">
        <v>41</v>
      </c>
      <c r="E48" s="129" t="s">
        <v>560</v>
      </c>
      <c r="F48" s="129" t="s">
        <v>735</v>
      </c>
      <c r="G48" s="129" t="s">
        <v>891</v>
      </c>
      <c r="H48" s="129" t="s">
        <v>739</v>
      </c>
      <c r="I48" s="129" t="s">
        <v>821</v>
      </c>
      <c r="J48" s="110" t="s">
        <v>660</v>
      </c>
      <c r="K48" s="129"/>
      <c r="L48" t="s">
        <v>351</v>
      </c>
      <c r="M48" s="79" t="s">
        <v>204</v>
      </c>
      <c r="N48" s="129" t="s">
        <v>513</v>
      </c>
      <c r="O48" s="129" t="s">
        <v>532</v>
      </c>
      <c r="P48" s="129" t="s">
        <v>352</v>
      </c>
      <c r="Q48" s="129" t="s">
        <v>728</v>
      </c>
      <c r="R48" s="129"/>
      <c r="S48" s="129" t="s">
        <v>352</v>
      </c>
      <c r="T48" s="129" t="s">
        <v>334</v>
      </c>
      <c r="U48" s="141">
        <v>5.16</v>
      </c>
      <c r="V48" s="124">
        <f>_xlfn.XLOOKUP(BASE_SYSTEM_TABLE[[#This Row],[Component Name]],'GWP NORMALISED'!$A$2:$A$500,'GWP NORMALISED'!$H$2:$H$500,FALSE)</f>
        <v>44.4</v>
      </c>
      <c r="W48" s="125">
        <f>_xlfn.XLOOKUP(BASE_SYSTEM_TABLE[[#This Row],[Component Name]],'RAW GWP FOSSIL'!$A$2:$A$500,'RAW GWP FOSSIL'!$H$2:$H$500,FALSE)</f>
        <v>44.4</v>
      </c>
      <c r="X48" s="129" t="s">
        <v>618</v>
      </c>
      <c r="Y48" s="129"/>
      <c r="Z48" s="129"/>
      <c r="AA48" s="129"/>
      <c r="AB48" s="115"/>
      <c r="AC48" s="129"/>
      <c r="AD48" s="149"/>
      <c r="AE48" s="129"/>
      <c r="AF48" s="129">
        <v>23.2</v>
      </c>
      <c r="AG48" s="129"/>
    </row>
    <row r="49" spans="2:33" x14ac:dyDescent="0.35">
      <c r="B49" s="115" t="str">
        <f>_xlfn.CONCAT(BASE_SYSTEM_TABLE[[#This Row],[Unique ID]],"_",BASE_SYSTEM_TABLE[[#This Row],[Model Source]],"_",BASE_SYSTEM_TABLE[[#This Row],[System Type]],BASE_SYSTEM_TABLE[[#This Row],[System Subtype]])</f>
        <v xml:space="preserve">MgO_EPD_SIPClosed </v>
      </c>
      <c r="C49" s="129" t="s">
        <v>513</v>
      </c>
      <c r="D49" s="129" t="s">
        <v>41</v>
      </c>
      <c r="E49" s="129" t="s">
        <v>560</v>
      </c>
      <c r="F49" s="129" t="s">
        <v>735</v>
      </c>
      <c r="G49" s="129" t="s">
        <v>891</v>
      </c>
      <c r="H49" s="129" t="s">
        <v>739</v>
      </c>
      <c r="I49" s="129" t="s">
        <v>821</v>
      </c>
      <c r="J49" s="110" t="s">
        <v>663</v>
      </c>
      <c r="K49" s="129" t="s">
        <v>729</v>
      </c>
      <c r="L49" t="s">
        <v>351</v>
      </c>
      <c r="M49" s="133" t="s">
        <v>29</v>
      </c>
      <c r="N49" s="129" t="s">
        <v>816</v>
      </c>
      <c r="O49" s="129" t="s">
        <v>470</v>
      </c>
      <c r="P49" t="s">
        <v>352</v>
      </c>
      <c r="Q49" s="129" t="s">
        <v>554</v>
      </c>
      <c r="R49" s="129" t="s">
        <v>334</v>
      </c>
      <c r="S49" t="s">
        <v>352</v>
      </c>
      <c r="T49" s="129" t="s">
        <v>334</v>
      </c>
      <c r="U49" s="138">
        <v>1.5E-3</v>
      </c>
      <c r="V49" s="139">
        <v>0.25229166666666669</v>
      </c>
      <c r="W49" s="129">
        <v>4.2</v>
      </c>
      <c r="X49" s="129" t="s">
        <v>545</v>
      </c>
      <c r="Y49" s="130">
        <v>2.4</v>
      </c>
      <c r="Z49" s="130">
        <v>2.4</v>
      </c>
      <c r="AA49" s="130">
        <v>4.4999999999999999E-4</v>
      </c>
      <c r="AB49" s="115">
        <f>BASE_SYSTEM_TABLE[[#This Row],[Length (m) (on wall)]]*BASE_SYSTEM_TABLE[[#This Row],[Height (m)]]*BASE_SYSTEM_TABLE[[#This Row],[Thickness (m)]]</f>
        <v>2.5919999999999997E-3</v>
      </c>
      <c r="AC49" s="129">
        <v>1</v>
      </c>
      <c r="AD49" s="149">
        <v>1</v>
      </c>
      <c r="AE49" s="151">
        <v>0</v>
      </c>
      <c r="AF49" s="151">
        <v>0.34599999999999997</v>
      </c>
      <c r="AG49" s="147">
        <v>0.3</v>
      </c>
    </row>
    <row r="50" spans="2:33" x14ac:dyDescent="0.35">
      <c r="B50" s="115" t="str">
        <f>_xlfn.CONCAT(BASE_SYSTEM_TABLE[[#This Row],[Unique ID]],"_",BASE_SYSTEM_TABLE[[#This Row],[Model Source]],"_",BASE_SYSTEM_TABLE[[#This Row],[System Type]],BASE_SYSTEM_TABLE[[#This Row],[System Subtype]])</f>
        <v xml:space="preserve">NZSIP 115_EPD_SIPClosed </v>
      </c>
      <c r="C50" s="129" t="s">
        <v>513</v>
      </c>
      <c r="D50" s="129" t="s">
        <v>41</v>
      </c>
      <c r="E50" s="129" t="s">
        <v>560</v>
      </c>
      <c r="F50" s="129" t="s">
        <v>740</v>
      </c>
      <c r="G50" s="129" t="s">
        <v>892</v>
      </c>
      <c r="H50" s="129" t="s">
        <v>742</v>
      </c>
      <c r="I50" s="129" t="s">
        <v>821</v>
      </c>
      <c r="J50" s="110" t="s">
        <v>660</v>
      </c>
      <c r="K50" s="129"/>
      <c r="L50" t="s">
        <v>351</v>
      </c>
      <c r="M50" s="79" t="s">
        <v>194</v>
      </c>
      <c r="N50" s="129" t="s">
        <v>814</v>
      </c>
      <c r="O50" s="129" t="s">
        <v>532</v>
      </c>
      <c r="P50" s="129" t="s">
        <v>352</v>
      </c>
      <c r="Q50" s="129" t="s">
        <v>728</v>
      </c>
      <c r="R50" s="129"/>
      <c r="S50" s="129" t="s">
        <v>352</v>
      </c>
      <c r="T50" s="129" t="s">
        <v>334</v>
      </c>
      <c r="U50" s="159">
        <v>4.5</v>
      </c>
      <c r="V50" s="124">
        <f>_xlfn.XLOOKUP(BASE_SYSTEM_TABLE[[#This Row],[Component Name]],'GWP NORMALISED'!$A$2:$A$500,'GWP NORMALISED'!$H$2:$H$500,FALSE)</f>
        <v>40</v>
      </c>
      <c r="W50" s="125">
        <f>_xlfn.XLOOKUP(BASE_SYSTEM_TABLE[[#This Row],[Component Name]],'RAW GWP FOSSIL'!$A$2:$A$500,'RAW GWP FOSSIL'!$H$2:$H$500,FALSE)</f>
        <v>40</v>
      </c>
      <c r="X50" s="129" t="s">
        <v>618</v>
      </c>
      <c r="Y50" s="129"/>
      <c r="Z50" s="129"/>
      <c r="AA50" s="129"/>
      <c r="AB50" s="115"/>
      <c r="AC50" s="129"/>
      <c r="AD50" s="149"/>
      <c r="AE50" s="129"/>
      <c r="AF50" s="129">
        <v>23.7</v>
      </c>
      <c r="AG50" s="129"/>
    </row>
    <row r="51" spans="2:33" x14ac:dyDescent="0.35">
      <c r="B51" s="115" t="str">
        <f>_xlfn.CONCAT(BASE_SYSTEM_TABLE[[#This Row],[Unique ID]],"_",BASE_SYSTEM_TABLE[[#This Row],[Model Source]],"_",BASE_SYSTEM_TABLE[[#This Row],[System Type]],BASE_SYSTEM_TABLE[[#This Row],[System Subtype]])</f>
        <v xml:space="preserve">NZSIP 115_EPD_SIPClosed </v>
      </c>
      <c r="C51" s="129" t="s">
        <v>513</v>
      </c>
      <c r="D51" s="129" t="s">
        <v>41</v>
      </c>
      <c r="E51" s="129" t="s">
        <v>560</v>
      </c>
      <c r="F51" s="129" t="s">
        <v>740</v>
      </c>
      <c r="G51" s="129" t="s">
        <v>892</v>
      </c>
      <c r="H51" s="129" t="s">
        <v>742</v>
      </c>
      <c r="I51" s="129" t="s">
        <v>821</v>
      </c>
      <c r="J51" s="110" t="s">
        <v>663</v>
      </c>
      <c r="K51" s="129" t="s">
        <v>729</v>
      </c>
      <c r="L51" t="s">
        <v>351</v>
      </c>
      <c r="M51" s="133" t="s">
        <v>29</v>
      </c>
      <c r="N51" s="129" t="s">
        <v>816</v>
      </c>
      <c r="O51" s="129" t="s">
        <v>470</v>
      </c>
      <c r="P51" t="s">
        <v>352</v>
      </c>
      <c r="Q51" s="129" t="s">
        <v>554</v>
      </c>
      <c r="R51" s="129" t="s">
        <v>334</v>
      </c>
      <c r="S51" t="s">
        <v>352</v>
      </c>
      <c r="T51" s="129" t="s">
        <v>334</v>
      </c>
      <c r="U51" s="138">
        <v>1.5E-3</v>
      </c>
      <c r="V51" s="139">
        <v>0.25229166666666669</v>
      </c>
      <c r="W51" s="129">
        <v>4.2</v>
      </c>
      <c r="X51" s="129" t="s">
        <v>545</v>
      </c>
      <c r="Y51" s="130">
        <v>2.4</v>
      </c>
      <c r="Z51" s="130">
        <v>2.4</v>
      </c>
      <c r="AA51" s="130">
        <v>4.4999999999999999E-4</v>
      </c>
      <c r="AB51" s="115">
        <f>BASE_SYSTEM_TABLE[[#This Row],[Length (m) (on wall)]]*BASE_SYSTEM_TABLE[[#This Row],[Height (m)]]*BASE_SYSTEM_TABLE[[#This Row],[Thickness (m)]]</f>
        <v>2.5919999999999997E-3</v>
      </c>
      <c r="AC51" s="129">
        <v>1</v>
      </c>
      <c r="AD51" s="149">
        <v>1</v>
      </c>
      <c r="AE51" s="151">
        <v>0</v>
      </c>
      <c r="AF51" s="151">
        <v>0.34599999999999997</v>
      </c>
      <c r="AG51" s="147">
        <v>0.3</v>
      </c>
    </row>
    <row r="52" spans="2:33" x14ac:dyDescent="0.35">
      <c r="B52" s="115" t="str">
        <f>_xlfn.CONCAT(BASE_SYSTEM_TABLE[[#This Row],[Unique ID]],"_",BASE_SYSTEM_TABLE[[#This Row],[Model Source]],"_",BASE_SYSTEM_TABLE[[#This Row],[System Type]],BASE_SYSTEM_TABLE[[#This Row],[System Subtype]])</f>
        <v xml:space="preserve">USASIP_EPD_SIPClosed </v>
      </c>
      <c r="C52" s="129" t="s">
        <v>513</v>
      </c>
      <c r="D52" s="129" t="s">
        <v>41</v>
      </c>
      <c r="E52" s="129" t="s">
        <v>560</v>
      </c>
      <c r="F52" s="129" t="s">
        <v>741</v>
      </c>
      <c r="G52" s="129" t="s">
        <v>893</v>
      </c>
      <c r="H52" s="129"/>
      <c r="I52" s="129" t="s">
        <v>821</v>
      </c>
      <c r="J52" s="110" t="s">
        <v>660</v>
      </c>
      <c r="K52" s="129"/>
      <c r="L52" t="s">
        <v>351</v>
      </c>
      <c r="M52" s="79" t="s">
        <v>240</v>
      </c>
      <c r="N52" s="129" t="s">
        <v>814</v>
      </c>
      <c r="O52" s="129" t="s">
        <v>532</v>
      </c>
      <c r="P52" s="129" t="s">
        <v>352</v>
      </c>
      <c r="Q52" s="129" t="s">
        <v>728</v>
      </c>
      <c r="R52" s="129"/>
      <c r="S52" s="129" t="s">
        <v>352</v>
      </c>
      <c r="T52" s="129" t="s">
        <v>334</v>
      </c>
      <c r="U52" s="159">
        <v>3.7</v>
      </c>
      <c r="V52" s="124">
        <f>_xlfn.XLOOKUP(BASE_SYSTEM_TABLE[[#This Row],[Component Name]],'GWP NORMALISED'!$A$2:$A$500,'GWP NORMALISED'!$H$2:$H$500,FALSE)</f>
        <v>23.1</v>
      </c>
      <c r="W52" s="125">
        <f>_xlfn.XLOOKUP(BASE_SYSTEM_TABLE[[#This Row],[Component Name]],'RAW GWP FOSSIL'!$A$2:$A$500,'RAW GWP FOSSIL'!$H$2:$H$500,FALSE)</f>
        <v>23.1</v>
      </c>
      <c r="X52" s="129" t="s">
        <v>618</v>
      </c>
      <c r="Y52" s="129"/>
      <c r="Z52" s="129"/>
      <c r="AA52" s="129"/>
      <c r="AB52" s="115"/>
      <c r="AC52" s="129"/>
      <c r="AD52" s="149"/>
      <c r="AE52" s="129"/>
      <c r="AF52" s="129">
        <v>18.600000000000001</v>
      </c>
      <c r="AG52" s="129"/>
    </row>
    <row r="53" spans="2:33" x14ac:dyDescent="0.35">
      <c r="B53" s="115" t="str">
        <f>_xlfn.CONCAT(BASE_SYSTEM_TABLE[[#This Row],[Unique ID]],"_",BASE_SYSTEM_TABLE[[#This Row],[Model Source]],"_",BASE_SYSTEM_TABLE[[#This Row],[System Type]],BASE_SYSTEM_TABLE[[#This Row],[System Subtype]])</f>
        <v xml:space="preserve">USASIP_EPD_SIPClosed </v>
      </c>
      <c r="C53" s="129" t="s">
        <v>513</v>
      </c>
      <c r="D53" s="129" t="s">
        <v>41</v>
      </c>
      <c r="E53" s="129" t="s">
        <v>560</v>
      </c>
      <c r="F53" s="129" t="s">
        <v>741</v>
      </c>
      <c r="G53" s="129" t="s">
        <v>893</v>
      </c>
      <c r="H53" s="129"/>
      <c r="I53" s="129" t="s">
        <v>821</v>
      </c>
      <c r="J53" s="110" t="s">
        <v>663</v>
      </c>
      <c r="K53" s="129" t="s">
        <v>729</v>
      </c>
      <c r="L53" t="s">
        <v>351</v>
      </c>
      <c r="M53" s="133" t="s">
        <v>29</v>
      </c>
      <c r="N53" s="129" t="s">
        <v>816</v>
      </c>
      <c r="O53" s="129" t="s">
        <v>470</v>
      </c>
      <c r="P53" t="s">
        <v>352</v>
      </c>
      <c r="Q53" s="129" t="s">
        <v>554</v>
      </c>
      <c r="R53" s="129" t="s">
        <v>334</v>
      </c>
      <c r="S53" t="s">
        <v>352</v>
      </c>
      <c r="T53" s="129" t="s">
        <v>334</v>
      </c>
      <c r="U53" s="138">
        <v>1.5E-3</v>
      </c>
      <c r="V53" s="139">
        <v>0.25229166666666669</v>
      </c>
      <c r="W53" s="129">
        <v>4.2</v>
      </c>
      <c r="X53" s="129" t="s">
        <v>545</v>
      </c>
      <c r="Y53" s="130">
        <v>2.4</v>
      </c>
      <c r="Z53" s="130">
        <v>2.4</v>
      </c>
      <c r="AA53" s="130">
        <v>4.4999999999999999E-4</v>
      </c>
      <c r="AB53" s="115">
        <f>BASE_SYSTEM_TABLE[[#This Row],[Length (m) (on wall)]]*BASE_SYSTEM_TABLE[[#This Row],[Height (m)]]*BASE_SYSTEM_TABLE[[#This Row],[Thickness (m)]]</f>
        <v>2.5919999999999997E-3</v>
      </c>
      <c r="AC53" s="129">
        <v>1</v>
      </c>
      <c r="AD53" s="149">
        <v>1</v>
      </c>
      <c r="AE53" s="151">
        <v>0</v>
      </c>
      <c r="AF53" s="151">
        <v>0.34599999999999997</v>
      </c>
      <c r="AG53" s="147">
        <v>0.3</v>
      </c>
    </row>
    <row r="54" spans="2:33" x14ac:dyDescent="0.35">
      <c r="B54" s="115" t="str">
        <f>_xlfn.CONCAT(BASE_SYSTEM_TABLE[[#This Row],[Unique ID]],"_",BASE_SYSTEM_TABLE[[#This Row],[Model Source]],"_",BASE_SYSTEM_TABLE[[#This Row],[System Type]],BASE_SYSTEM_TABLE[[#This Row],[System Subtype]])</f>
        <v>Thermomur_EPD_ICFFormed Concrete</v>
      </c>
      <c r="C54" s="129" t="s">
        <v>513</v>
      </c>
      <c r="D54" s="129" t="s">
        <v>24</v>
      </c>
      <c r="E54" s="129" t="s">
        <v>481</v>
      </c>
      <c r="F54" s="129" t="s">
        <v>743</v>
      </c>
      <c r="G54" s="129" t="s">
        <v>894</v>
      </c>
      <c r="H54" s="129"/>
      <c r="I54" s="129" t="s">
        <v>821</v>
      </c>
      <c r="J54" s="110" t="s">
        <v>660</v>
      </c>
      <c r="K54" s="129"/>
      <c r="L54" t="s">
        <v>351</v>
      </c>
      <c r="M54" s="79" t="s">
        <v>120</v>
      </c>
      <c r="N54" s="129" t="s">
        <v>814</v>
      </c>
      <c r="O54" s="129" t="s">
        <v>344</v>
      </c>
      <c r="P54" t="s">
        <v>352</v>
      </c>
      <c r="Q54" s="129" t="s">
        <v>639</v>
      </c>
      <c r="R54" s="129"/>
      <c r="S54" t="s">
        <v>352</v>
      </c>
      <c r="T54" s="129" t="s">
        <v>334</v>
      </c>
      <c r="U54" s="141">
        <v>5.96</v>
      </c>
      <c r="V54" s="124">
        <f>_xlfn.XLOOKUP(BASE_SYSTEM_TABLE[[#This Row],[Component Name]],'GWP NORMALISED'!$A$2:$A$500,'GWP NORMALISED'!$H$2:$H$500,FALSE)</f>
        <v>26.438000000000002</v>
      </c>
      <c r="W54" s="125">
        <f>_xlfn.XLOOKUP(BASE_SYSTEM_TABLE[[#This Row],[Component Name]],'RAW GWP FOSSIL'!$A$2:$A$500,'RAW GWP FOSSIL'!$H$2:$H$500,FALSE)</f>
        <v>26.438000000000002</v>
      </c>
      <c r="X54" s="129" t="s">
        <v>618</v>
      </c>
      <c r="Y54" s="129"/>
      <c r="Z54" s="129"/>
      <c r="AA54" s="129"/>
      <c r="AB54" s="115">
        <f>BASE_SYSTEM_TABLE[[#This Row],[Length (m) (on wall)]]*BASE_SYSTEM_TABLE[[#This Row],[Height (m)]]*BASE_SYSTEM_TABLE[[#This Row],[Thickness (m)]]</f>
        <v>0</v>
      </c>
      <c r="AC54" s="129"/>
      <c r="AD54" s="149"/>
      <c r="AE54" s="129"/>
      <c r="AF54" s="129">
        <v>8.18</v>
      </c>
      <c r="AG54" s="129"/>
    </row>
    <row r="55" spans="2:33" x14ac:dyDescent="0.35">
      <c r="B55" s="115" t="str">
        <f>_xlfn.CONCAT(BASE_SYSTEM_TABLE[[#This Row],[Unique ID]],"_",BASE_SYSTEM_TABLE[[#This Row],[Model Source]],"_",BASE_SYSTEM_TABLE[[#This Row],[System Type]],BASE_SYSTEM_TABLE[[#This Row],[System Subtype]])</f>
        <v>Thermomur_EPD_ICFFormed Concrete</v>
      </c>
      <c r="C55" s="129" t="s">
        <v>513</v>
      </c>
      <c r="D55" s="129" t="s">
        <v>24</v>
      </c>
      <c r="E55" s="129" t="s">
        <v>481</v>
      </c>
      <c r="F55" s="129" t="s">
        <v>743</v>
      </c>
      <c r="G55" s="129" t="s">
        <v>894</v>
      </c>
      <c r="H55" s="129"/>
      <c r="I55" s="129" t="s">
        <v>821</v>
      </c>
      <c r="J55" s="110" t="s">
        <v>660</v>
      </c>
      <c r="K55" s="129"/>
      <c r="L55" t="s">
        <v>351</v>
      </c>
      <c r="M55" s="137" t="s">
        <v>292</v>
      </c>
      <c r="N55" s="129" t="s">
        <v>815</v>
      </c>
      <c r="O55" s="129" t="s">
        <v>4</v>
      </c>
      <c r="P55" t="s">
        <v>351</v>
      </c>
      <c r="Q55" s="129"/>
      <c r="R55" s="129" t="s">
        <v>640</v>
      </c>
      <c r="S55" t="s">
        <v>352</v>
      </c>
      <c r="T55" s="129" t="s">
        <v>334</v>
      </c>
      <c r="U55" s="141">
        <f>0.15/0.85</f>
        <v>0.17647058823529413</v>
      </c>
      <c r="V55" s="124">
        <f>_xlfn.XLOOKUP(BASE_SYSTEM_TABLE[[#This Row],[Component Name]],'GWP NORMALISED'!$A$2:$A$500,'GWP NORMALISED'!$H$2:$H$500,FALSE)</f>
        <v>34.429499999999997</v>
      </c>
      <c r="W55" s="125">
        <f>_xlfn.XLOOKUP(BASE_SYSTEM_TABLE[[#This Row],[Component Name]],'RAW GWP FOSSIL'!$A$2:$A$500,'RAW GWP FOSSIL'!$H$2:$H$500,FALSE)</f>
        <v>229.53</v>
      </c>
      <c r="X55" s="129" t="s">
        <v>642</v>
      </c>
      <c r="Y55" s="129">
        <v>1</v>
      </c>
      <c r="Z55" s="129">
        <v>1</v>
      </c>
      <c r="AA55" s="129">
        <v>0.15</v>
      </c>
      <c r="AB55" s="115">
        <f>BASE_SYSTEM_TABLE[[#This Row],[Length (m) (on wall)]]*BASE_SYSTEM_TABLE[[#This Row],[Height (m)]]*BASE_SYSTEM_TABLE[[#This Row],[Thickness (m)]]</f>
        <v>0.15</v>
      </c>
      <c r="AC55" s="129"/>
      <c r="AD55" s="149"/>
      <c r="AE55" s="129">
        <v>2412</v>
      </c>
      <c r="AF55" s="129">
        <f>BASE_SYSTEM_TABLE[[#This Row],[Material Density (kg/m^3)]]*BASE_SYSTEM_TABLE[[#This Row],[Element Volume (m^3)]]</f>
        <v>361.8</v>
      </c>
      <c r="AG55" s="129"/>
    </row>
    <row r="56" spans="2:33" x14ac:dyDescent="0.35">
      <c r="B56" s="115" t="str">
        <f>_xlfn.CONCAT(BASE_SYSTEM_TABLE[[#This Row],[Unique ID]],"_",BASE_SYSTEM_TABLE[[#This Row],[Model Source]],"_",BASE_SYSTEM_TABLE[[#This Row],[System Type]],BASE_SYSTEM_TABLE[[#This Row],[System Subtype]])</f>
        <v>Thermomur_EPD_ICFFormed Concrete</v>
      </c>
      <c r="C56" s="129" t="s">
        <v>513</v>
      </c>
      <c r="D56" s="129" t="s">
        <v>24</v>
      </c>
      <c r="E56" s="129" t="s">
        <v>481</v>
      </c>
      <c r="F56" s="129" t="s">
        <v>743</v>
      </c>
      <c r="G56" s="129" t="s">
        <v>894</v>
      </c>
      <c r="H56" s="129"/>
      <c r="I56" s="129" t="s">
        <v>821</v>
      </c>
      <c r="J56" s="110" t="s">
        <v>663</v>
      </c>
      <c r="K56" s="129" t="s">
        <v>673</v>
      </c>
      <c r="L56" t="s">
        <v>351</v>
      </c>
      <c r="M56" s="133" t="s">
        <v>446</v>
      </c>
      <c r="N56" s="129" t="s">
        <v>816</v>
      </c>
      <c r="O56" s="129" t="s">
        <v>4</v>
      </c>
      <c r="P56" t="s">
        <v>351</v>
      </c>
      <c r="Q56" s="129" t="s">
        <v>632</v>
      </c>
      <c r="R56" s="129" t="s">
        <v>633</v>
      </c>
      <c r="S56" t="s">
        <v>352</v>
      </c>
      <c r="T56" s="129" t="s">
        <v>334</v>
      </c>
      <c r="U56" s="141">
        <v>0</v>
      </c>
      <c r="V56" s="139">
        <v>12.383402777777778</v>
      </c>
      <c r="W56" s="129">
        <v>1.72</v>
      </c>
      <c r="X56" s="129" t="s">
        <v>545</v>
      </c>
      <c r="Y56" s="129"/>
      <c r="Z56" s="129"/>
      <c r="AA56" s="129"/>
      <c r="AB56" s="115">
        <f>BASE_SYSTEM_TABLE[[#This Row],[Length (m) (on wall)]]*BASE_SYSTEM_TABLE[[#This Row],[Height (m)]]*BASE_SYSTEM_TABLE[[#This Row],[Thickness (m)]]</f>
        <v>0</v>
      </c>
      <c r="AC56" s="129"/>
      <c r="AD56" s="149"/>
      <c r="AE56" s="129"/>
      <c r="AF56" s="139">
        <f>'LCA SYSTEMS'!J109/2.4^2</f>
        <v>0</v>
      </c>
      <c r="AG56" s="129"/>
    </row>
    <row r="57" spans="2:33" x14ac:dyDescent="0.35">
      <c r="B57" s="115" t="str">
        <f>_xlfn.CONCAT(BASE_SYSTEM_TABLE[[#This Row],[Unique ID]],"_",BASE_SYSTEM_TABLE[[#This Row],[Model Source]],"_",BASE_SYSTEM_TABLE[[#This Row],[System Type]],BASE_SYSTEM_TABLE[[#This Row],[System Subtype]])</f>
        <v>Thermomur_EPD_ICFFormed Concrete</v>
      </c>
      <c r="C57" s="129" t="s">
        <v>513</v>
      </c>
      <c r="D57" s="129" t="s">
        <v>24</v>
      </c>
      <c r="E57" s="129" t="s">
        <v>481</v>
      </c>
      <c r="F57" s="129" t="s">
        <v>743</v>
      </c>
      <c r="G57" s="129" t="s">
        <v>894</v>
      </c>
      <c r="H57" s="129"/>
      <c r="I57" s="129" t="s">
        <v>821</v>
      </c>
      <c r="J57" s="110" t="s">
        <v>663</v>
      </c>
      <c r="K57" s="129" t="s">
        <v>668</v>
      </c>
      <c r="L57" t="s">
        <v>351</v>
      </c>
      <c r="M57" s="133" t="s">
        <v>29</v>
      </c>
      <c r="N57" s="129" t="s">
        <v>816</v>
      </c>
      <c r="O57" s="129" t="s">
        <v>470</v>
      </c>
      <c r="P57" t="s">
        <v>352</v>
      </c>
      <c r="Q57" s="129" t="s">
        <v>554</v>
      </c>
      <c r="R57" s="129" t="s">
        <v>630</v>
      </c>
      <c r="S57" t="s">
        <v>352</v>
      </c>
      <c r="T57" s="129" t="s">
        <v>334</v>
      </c>
      <c r="U57" s="141">
        <v>1.5E-3</v>
      </c>
      <c r="V57" s="139">
        <v>0.25229166666666669</v>
      </c>
      <c r="W57" s="129">
        <v>4.2</v>
      </c>
      <c r="X57" s="129" t="s">
        <v>545</v>
      </c>
      <c r="Y57" s="129"/>
      <c r="Z57" s="129"/>
      <c r="AA57" s="129"/>
      <c r="AB57" s="115">
        <f>BASE_SYSTEM_TABLE[[#This Row],[Length (m) (on wall)]]*BASE_SYSTEM_TABLE[[#This Row],[Height (m)]]*BASE_SYSTEM_TABLE[[#This Row],[Thickness (m)]]</f>
        <v>0</v>
      </c>
      <c r="AC57" s="129"/>
      <c r="AD57" s="149"/>
      <c r="AE57" s="129"/>
      <c r="AF57" s="139">
        <f>'LCA SYSTEMS'!J110/2.4^2</f>
        <v>0</v>
      </c>
      <c r="AG57" s="129"/>
    </row>
    <row r="58" spans="2:33" x14ac:dyDescent="0.35">
      <c r="B58" s="115" t="str">
        <f>_xlfn.CONCAT(BASE_SYSTEM_TABLE[[#This Row],[Unique ID]],"_",BASE_SYSTEM_TABLE[[#This Row],[Model Source]],"_",BASE_SYSTEM_TABLE[[#This Row],[System Type]],BASE_SYSTEM_TABLE[[#This Row],[System Subtype]])</f>
        <v>Amvic300_EPD_ICFFormed Concrete</v>
      </c>
      <c r="C58" s="129" t="s">
        <v>513</v>
      </c>
      <c r="D58" s="129" t="s">
        <v>24</v>
      </c>
      <c r="E58" s="129" t="s">
        <v>481</v>
      </c>
      <c r="F58" s="129" t="s">
        <v>744</v>
      </c>
      <c r="G58" s="129" t="s">
        <v>895</v>
      </c>
      <c r="H58" s="129"/>
      <c r="I58" s="129" t="s">
        <v>821</v>
      </c>
      <c r="J58" s="110" t="s">
        <v>660</v>
      </c>
      <c r="K58" s="129"/>
      <c r="L58" t="s">
        <v>351</v>
      </c>
      <c r="M58" s="79" t="s">
        <v>486</v>
      </c>
      <c r="N58" s="129" t="s">
        <v>814</v>
      </c>
      <c r="O58" s="129" t="s">
        <v>344</v>
      </c>
      <c r="P58" t="s">
        <v>352</v>
      </c>
      <c r="Q58" s="129" t="s">
        <v>639</v>
      </c>
      <c r="R58" s="129"/>
      <c r="S58" t="s">
        <v>352</v>
      </c>
      <c r="T58" s="129" t="s">
        <v>334</v>
      </c>
      <c r="U58" s="141">
        <v>5.0599999999999996</v>
      </c>
      <c r="V58" s="124">
        <f>_xlfn.XLOOKUP(BASE_SYSTEM_TABLE[[#This Row],[Component Name]],'GWP NORMALISED'!$A$2:$A$500,'GWP NORMALISED'!$H$2:$H$500,FALSE)</f>
        <v>20.672000000000001</v>
      </c>
      <c r="W58" s="125">
        <f>_xlfn.XLOOKUP(BASE_SYSTEM_TABLE[[#This Row],[Component Name]],'RAW GWP FOSSIL'!$A$2:$A$500,'RAW GWP FOSSIL'!$H$2:$H$500,FALSE)</f>
        <v>20.672000000000001</v>
      </c>
      <c r="X58" s="129" t="s">
        <v>618</v>
      </c>
      <c r="Y58" s="129"/>
      <c r="Z58" s="129"/>
      <c r="AA58" s="129"/>
      <c r="AB58" s="115">
        <f>BASE_SYSTEM_TABLE[[#This Row],[Length (m) (on wall)]]*BASE_SYSTEM_TABLE[[#This Row],[Height (m)]]*BASE_SYSTEM_TABLE[[#This Row],[Thickness (m)]]</f>
        <v>0</v>
      </c>
      <c r="AC58" s="129"/>
      <c r="AD58" s="149"/>
      <c r="AE58" s="129"/>
      <c r="AF58" s="129">
        <v>6.37</v>
      </c>
      <c r="AG58" s="129"/>
    </row>
    <row r="59" spans="2:33" x14ac:dyDescent="0.35">
      <c r="B59" s="115" t="str">
        <f>_xlfn.CONCAT(BASE_SYSTEM_TABLE[[#This Row],[Unique ID]],"_",BASE_SYSTEM_TABLE[[#This Row],[Model Source]],"_",BASE_SYSTEM_TABLE[[#This Row],[System Type]],BASE_SYSTEM_TABLE[[#This Row],[System Subtype]])</f>
        <v>Amvic300_EPD_ICFFormed Concrete</v>
      </c>
      <c r="C59" s="129" t="s">
        <v>513</v>
      </c>
      <c r="D59" s="129" t="s">
        <v>24</v>
      </c>
      <c r="E59" s="129" t="s">
        <v>481</v>
      </c>
      <c r="F59" s="129" t="s">
        <v>744</v>
      </c>
      <c r="G59" s="129" t="s">
        <v>895</v>
      </c>
      <c r="H59" s="129"/>
      <c r="I59" s="129" t="s">
        <v>821</v>
      </c>
      <c r="J59" s="110" t="s">
        <v>660</v>
      </c>
      <c r="K59" s="129"/>
      <c r="L59" t="s">
        <v>351</v>
      </c>
      <c r="M59" s="137" t="s">
        <v>292</v>
      </c>
      <c r="N59" s="129" t="s">
        <v>815</v>
      </c>
      <c r="O59" s="129" t="s">
        <v>4</v>
      </c>
      <c r="P59" t="s">
        <v>351</v>
      </c>
      <c r="Q59" s="129"/>
      <c r="R59" s="129" t="s">
        <v>640</v>
      </c>
      <c r="S59" t="s">
        <v>352</v>
      </c>
      <c r="T59" s="129" t="s">
        <v>334</v>
      </c>
      <c r="U59" s="141">
        <f>0.15/0.85</f>
        <v>0.17647058823529413</v>
      </c>
      <c r="V59" s="124">
        <f>_xlfn.XLOOKUP(BASE_SYSTEM_TABLE[[#This Row],[Component Name]],'GWP NORMALISED'!$A$2:$A$500,'GWP NORMALISED'!$H$2:$H$500,FALSE)</f>
        <v>34.429499999999997</v>
      </c>
      <c r="W59" s="125">
        <f>_xlfn.XLOOKUP(BASE_SYSTEM_TABLE[[#This Row],[Component Name]],'RAW GWP FOSSIL'!$A$2:$A$500,'RAW GWP FOSSIL'!$H$2:$H$500,FALSE)</f>
        <v>229.53</v>
      </c>
      <c r="X59" s="129" t="s">
        <v>642</v>
      </c>
      <c r="Y59" s="129">
        <v>1</v>
      </c>
      <c r="Z59" s="129">
        <v>1</v>
      </c>
      <c r="AA59" s="129">
        <v>0.15</v>
      </c>
      <c r="AB59" s="115">
        <f>BASE_SYSTEM_TABLE[[#This Row],[Length (m) (on wall)]]*BASE_SYSTEM_TABLE[[#This Row],[Height (m)]]*BASE_SYSTEM_TABLE[[#This Row],[Thickness (m)]]</f>
        <v>0.15</v>
      </c>
      <c r="AC59" s="129"/>
      <c r="AD59" s="149"/>
      <c r="AE59" s="129">
        <v>2412</v>
      </c>
      <c r="AF59" s="129">
        <f>BASE_SYSTEM_TABLE[[#This Row],[Material Density (kg/m^3)]]*BASE_SYSTEM_TABLE[[#This Row],[Element Volume (m^3)]]</f>
        <v>361.8</v>
      </c>
      <c r="AG59" s="129"/>
    </row>
    <row r="60" spans="2:33" ht="15" customHeight="1" x14ac:dyDescent="0.35">
      <c r="B60" s="115" t="str">
        <f>_xlfn.CONCAT(BASE_SYSTEM_TABLE[[#This Row],[Unique ID]],"_",BASE_SYSTEM_TABLE[[#This Row],[Model Source]],"_",BASE_SYSTEM_TABLE[[#This Row],[System Type]],BASE_SYSTEM_TABLE[[#This Row],[System Subtype]])</f>
        <v>Amvic300_EPD_ICFFormed Concrete</v>
      </c>
      <c r="C60" s="129" t="s">
        <v>513</v>
      </c>
      <c r="D60" s="129" t="s">
        <v>24</v>
      </c>
      <c r="E60" s="129" t="s">
        <v>481</v>
      </c>
      <c r="F60" s="129" t="s">
        <v>744</v>
      </c>
      <c r="G60" s="129" t="s">
        <v>895</v>
      </c>
      <c r="H60" s="129"/>
      <c r="I60" s="129" t="s">
        <v>821</v>
      </c>
      <c r="J60" s="110" t="s">
        <v>663</v>
      </c>
      <c r="K60" s="129" t="s">
        <v>673</v>
      </c>
      <c r="L60" t="s">
        <v>351</v>
      </c>
      <c r="M60" s="133" t="s">
        <v>446</v>
      </c>
      <c r="N60" s="129" t="s">
        <v>816</v>
      </c>
      <c r="O60" s="129" t="s">
        <v>4</v>
      </c>
      <c r="P60" t="s">
        <v>351</v>
      </c>
      <c r="Q60" s="129" t="s">
        <v>632</v>
      </c>
      <c r="R60" s="129" t="s">
        <v>633</v>
      </c>
      <c r="S60" t="s">
        <v>352</v>
      </c>
      <c r="T60" s="129" t="s">
        <v>334</v>
      </c>
      <c r="U60" s="141">
        <v>0</v>
      </c>
      <c r="V60" s="139">
        <v>12.383402777777778</v>
      </c>
      <c r="W60" s="129">
        <v>1.72</v>
      </c>
      <c r="X60" s="129" t="s">
        <v>545</v>
      </c>
      <c r="Y60" s="129"/>
      <c r="Z60" s="129"/>
      <c r="AA60" s="129"/>
      <c r="AB60" s="115">
        <f>BASE_SYSTEM_TABLE[[#This Row],[Length (m) (on wall)]]*BASE_SYSTEM_TABLE[[#This Row],[Height (m)]]*BASE_SYSTEM_TABLE[[#This Row],[Thickness (m)]]</f>
        <v>0</v>
      </c>
      <c r="AC60" s="129"/>
      <c r="AD60" s="149"/>
      <c r="AE60" s="129"/>
      <c r="AF60" s="139">
        <f>'LCA SYSTEMS'!J119/2.4^2</f>
        <v>0</v>
      </c>
      <c r="AG60" s="129"/>
    </row>
    <row r="61" spans="2:33" x14ac:dyDescent="0.35">
      <c r="B61" s="115" t="str">
        <f>_xlfn.CONCAT(BASE_SYSTEM_TABLE[[#This Row],[Unique ID]],"_",BASE_SYSTEM_TABLE[[#This Row],[Model Source]],"_",BASE_SYSTEM_TABLE[[#This Row],[System Type]],BASE_SYSTEM_TABLE[[#This Row],[System Subtype]])</f>
        <v>Amvic300_EPD_ICFFormed Concrete</v>
      </c>
      <c r="C61" s="129" t="s">
        <v>513</v>
      </c>
      <c r="D61" s="129" t="s">
        <v>24</v>
      </c>
      <c r="E61" s="129" t="s">
        <v>481</v>
      </c>
      <c r="F61" s="129" t="s">
        <v>744</v>
      </c>
      <c r="G61" s="129" t="s">
        <v>895</v>
      </c>
      <c r="H61" s="129"/>
      <c r="I61" s="129" t="s">
        <v>821</v>
      </c>
      <c r="J61" s="110" t="s">
        <v>663</v>
      </c>
      <c r="K61" s="129" t="s">
        <v>668</v>
      </c>
      <c r="L61" t="s">
        <v>351</v>
      </c>
      <c r="M61" s="133" t="s">
        <v>29</v>
      </c>
      <c r="N61" s="129" t="s">
        <v>816</v>
      </c>
      <c r="O61" s="129" t="s">
        <v>470</v>
      </c>
      <c r="P61" t="s">
        <v>352</v>
      </c>
      <c r="Q61" s="129" t="s">
        <v>554</v>
      </c>
      <c r="R61" s="129" t="s">
        <v>630</v>
      </c>
      <c r="S61" t="s">
        <v>352</v>
      </c>
      <c r="T61" s="129" t="s">
        <v>334</v>
      </c>
      <c r="U61" s="141">
        <v>1.5E-3</v>
      </c>
      <c r="V61" s="139">
        <v>0.25229166666666669</v>
      </c>
      <c r="W61" s="129">
        <v>4.2</v>
      </c>
      <c r="X61" s="129" t="s">
        <v>545</v>
      </c>
      <c r="Y61" s="129"/>
      <c r="Z61" s="129"/>
      <c r="AA61" s="129"/>
      <c r="AB61" s="115">
        <f>BASE_SYSTEM_TABLE[[#This Row],[Length (m) (on wall)]]*BASE_SYSTEM_TABLE[[#This Row],[Height (m)]]*BASE_SYSTEM_TABLE[[#This Row],[Thickness (m)]]</f>
        <v>0</v>
      </c>
      <c r="AC61" s="129"/>
      <c r="AD61" s="149"/>
      <c r="AE61" s="129"/>
      <c r="AF61" s="139">
        <f>'LCA SYSTEMS'!J120/2.4^2</f>
        <v>0</v>
      </c>
      <c r="AG61" s="129"/>
    </row>
    <row r="62" spans="2:33" x14ac:dyDescent="0.35">
      <c r="B62" s="115" t="str">
        <f>_xlfn.CONCAT(BASE_SYSTEM_TABLE[[#This Row],[Unique ID]],"_",BASE_SYSTEM_TABLE[[#This Row],[Model Source]],"_",BASE_SYSTEM_TABLE[[#This Row],[System Type]],BASE_SYSTEM_TABLE[[#This Row],[System Subtype]])</f>
        <v>Amvic350_EPD_ICFFormed Concrete</v>
      </c>
      <c r="C62" s="129" t="s">
        <v>513</v>
      </c>
      <c r="D62" s="129" t="s">
        <v>24</v>
      </c>
      <c r="E62" s="129" t="s">
        <v>481</v>
      </c>
      <c r="F62" s="129" t="s">
        <v>745</v>
      </c>
      <c r="G62" s="129" t="s">
        <v>896</v>
      </c>
      <c r="H62" s="129"/>
      <c r="I62" s="129" t="s">
        <v>821</v>
      </c>
      <c r="J62" s="110" t="s">
        <v>660</v>
      </c>
      <c r="K62" s="129"/>
      <c r="L62" t="s">
        <v>351</v>
      </c>
      <c r="M62" s="79" t="s">
        <v>487</v>
      </c>
      <c r="N62" s="129" t="s">
        <v>814</v>
      </c>
      <c r="O62" s="129" t="s">
        <v>344</v>
      </c>
      <c r="P62" t="s">
        <v>352</v>
      </c>
      <c r="Q62" s="129" t="s">
        <v>639</v>
      </c>
      <c r="R62" s="129"/>
      <c r="S62" t="s">
        <v>352</v>
      </c>
      <c r="T62" s="129" t="s">
        <v>334</v>
      </c>
      <c r="U62" s="141">
        <v>6.2</v>
      </c>
      <c r="V62" s="124">
        <f>_xlfn.XLOOKUP(BASE_SYSTEM_TABLE[[#This Row],[Component Name]],'GWP NORMALISED'!$A$2:$A$500,'GWP NORMALISED'!$H$2:$H$500,FALSE)</f>
        <v>26.036999999999999</v>
      </c>
      <c r="W62" s="125">
        <f>_xlfn.XLOOKUP(BASE_SYSTEM_TABLE[[#This Row],[Component Name]],'RAW GWP FOSSIL'!$A$2:$A$500,'RAW GWP FOSSIL'!$H$2:$H$500,FALSE)</f>
        <v>26.036999999999999</v>
      </c>
      <c r="X62" s="129" t="s">
        <v>618</v>
      </c>
      <c r="Y62" s="129"/>
      <c r="Z62" s="129"/>
      <c r="AA62" s="129"/>
      <c r="AB62" s="115">
        <f>BASE_SYSTEM_TABLE[[#This Row],[Length (m) (on wall)]]*BASE_SYSTEM_TABLE[[#This Row],[Height (m)]]*BASE_SYSTEM_TABLE[[#This Row],[Thickness (m)]]</f>
        <v>0</v>
      </c>
      <c r="AC62" s="129"/>
      <c r="AD62" s="149"/>
      <c r="AE62" s="129"/>
      <c r="AF62" s="129">
        <v>7.74</v>
      </c>
      <c r="AG62" s="129"/>
    </row>
    <row r="63" spans="2:33" x14ac:dyDescent="0.35">
      <c r="B63" s="115" t="str">
        <f>_xlfn.CONCAT(BASE_SYSTEM_TABLE[[#This Row],[Unique ID]],"_",BASE_SYSTEM_TABLE[[#This Row],[Model Source]],"_",BASE_SYSTEM_TABLE[[#This Row],[System Type]],BASE_SYSTEM_TABLE[[#This Row],[System Subtype]])</f>
        <v>Amvic350_EPD_ICFFormed Concrete</v>
      </c>
      <c r="C63" s="129" t="s">
        <v>513</v>
      </c>
      <c r="D63" s="129" t="s">
        <v>24</v>
      </c>
      <c r="E63" s="129" t="s">
        <v>481</v>
      </c>
      <c r="F63" s="129" t="s">
        <v>745</v>
      </c>
      <c r="G63" s="129" t="s">
        <v>896</v>
      </c>
      <c r="H63" s="129"/>
      <c r="I63" s="129" t="s">
        <v>821</v>
      </c>
      <c r="J63" s="110" t="s">
        <v>660</v>
      </c>
      <c r="K63" s="129"/>
      <c r="L63" t="s">
        <v>351</v>
      </c>
      <c r="M63" s="137" t="s">
        <v>292</v>
      </c>
      <c r="N63" s="129" t="s">
        <v>815</v>
      </c>
      <c r="O63" s="129" t="s">
        <v>4</v>
      </c>
      <c r="P63" t="s">
        <v>351</v>
      </c>
      <c r="Q63" s="129"/>
      <c r="R63" s="129" t="s">
        <v>640</v>
      </c>
      <c r="S63" t="s">
        <v>352</v>
      </c>
      <c r="T63" s="129" t="s">
        <v>334</v>
      </c>
      <c r="U63" s="141">
        <f>0.15/0.85</f>
        <v>0.17647058823529413</v>
      </c>
      <c r="V63" s="124">
        <f>_xlfn.XLOOKUP(BASE_SYSTEM_TABLE[[#This Row],[Component Name]],'GWP NORMALISED'!$A$2:$A$500,'GWP NORMALISED'!$H$2:$H$500,FALSE)</f>
        <v>34.429499999999997</v>
      </c>
      <c r="W63" s="125">
        <f>_xlfn.XLOOKUP(BASE_SYSTEM_TABLE[[#This Row],[Component Name]],'RAW GWP FOSSIL'!$A$2:$A$500,'RAW GWP FOSSIL'!$H$2:$H$500,FALSE)</f>
        <v>229.53</v>
      </c>
      <c r="X63" s="129" t="s">
        <v>642</v>
      </c>
      <c r="Y63" s="129">
        <v>1</v>
      </c>
      <c r="Z63" s="129">
        <v>1</v>
      </c>
      <c r="AA63" s="129">
        <v>0.15</v>
      </c>
      <c r="AB63" s="115">
        <f>BASE_SYSTEM_TABLE[[#This Row],[Length (m) (on wall)]]*BASE_SYSTEM_TABLE[[#This Row],[Height (m)]]*BASE_SYSTEM_TABLE[[#This Row],[Thickness (m)]]</f>
        <v>0.15</v>
      </c>
      <c r="AC63" s="129"/>
      <c r="AD63" s="149"/>
      <c r="AE63" s="129">
        <v>2412</v>
      </c>
      <c r="AF63" s="129">
        <f>BASE_SYSTEM_TABLE[[#This Row],[Material Density (kg/m^3)]]*BASE_SYSTEM_TABLE[[#This Row],[Element Volume (m^3)]]</f>
        <v>361.8</v>
      </c>
      <c r="AG63" s="129"/>
    </row>
    <row r="64" spans="2:33" x14ac:dyDescent="0.35">
      <c r="B64" s="115" t="str">
        <f>_xlfn.CONCAT(BASE_SYSTEM_TABLE[[#This Row],[Unique ID]],"_",BASE_SYSTEM_TABLE[[#This Row],[Model Source]],"_",BASE_SYSTEM_TABLE[[#This Row],[System Type]],BASE_SYSTEM_TABLE[[#This Row],[System Subtype]])</f>
        <v>Amvic350_EPD_ICFFormed Concrete</v>
      </c>
      <c r="C64" s="129" t="s">
        <v>513</v>
      </c>
      <c r="D64" s="129" t="s">
        <v>24</v>
      </c>
      <c r="E64" s="129" t="s">
        <v>481</v>
      </c>
      <c r="F64" s="129" t="s">
        <v>745</v>
      </c>
      <c r="G64" s="129" t="s">
        <v>896</v>
      </c>
      <c r="H64" s="129"/>
      <c r="I64" s="129" t="s">
        <v>821</v>
      </c>
      <c r="J64" s="110" t="s">
        <v>663</v>
      </c>
      <c r="K64" s="129" t="s">
        <v>673</v>
      </c>
      <c r="L64" t="s">
        <v>351</v>
      </c>
      <c r="M64" s="133" t="s">
        <v>446</v>
      </c>
      <c r="N64" s="129" t="s">
        <v>816</v>
      </c>
      <c r="O64" s="129" t="s">
        <v>4</v>
      </c>
      <c r="P64" t="s">
        <v>351</v>
      </c>
      <c r="Q64" s="129" t="s">
        <v>632</v>
      </c>
      <c r="R64" s="129" t="s">
        <v>633</v>
      </c>
      <c r="S64" t="s">
        <v>352</v>
      </c>
      <c r="T64" s="129" t="s">
        <v>334</v>
      </c>
      <c r="U64" s="141">
        <v>0</v>
      </c>
      <c r="V64" s="139">
        <v>12.383402777777778</v>
      </c>
      <c r="W64" s="129">
        <v>1.72</v>
      </c>
      <c r="X64" s="129" t="s">
        <v>545</v>
      </c>
      <c r="Y64" s="129"/>
      <c r="Z64" s="129"/>
      <c r="AA64" s="129"/>
      <c r="AB64" s="115">
        <f>BASE_SYSTEM_TABLE[[#This Row],[Length (m) (on wall)]]*BASE_SYSTEM_TABLE[[#This Row],[Height (m)]]*BASE_SYSTEM_TABLE[[#This Row],[Thickness (m)]]</f>
        <v>0</v>
      </c>
      <c r="AC64" s="129"/>
      <c r="AD64" s="149"/>
      <c r="AE64" s="129"/>
      <c r="AF64" s="139">
        <f>'LCA SYSTEMS'!J129/2.4^2</f>
        <v>0</v>
      </c>
      <c r="AG64" s="129"/>
    </row>
    <row r="65" spans="2:33" x14ac:dyDescent="0.35">
      <c r="B65" s="115" t="str">
        <f>_xlfn.CONCAT(BASE_SYSTEM_TABLE[[#This Row],[Unique ID]],"_",BASE_SYSTEM_TABLE[[#This Row],[Model Source]],"_",BASE_SYSTEM_TABLE[[#This Row],[System Type]],BASE_SYSTEM_TABLE[[#This Row],[System Subtype]])</f>
        <v>Amvic350_EPD_ICFFormed Concrete</v>
      </c>
      <c r="C65" s="129" t="s">
        <v>513</v>
      </c>
      <c r="D65" s="129" t="s">
        <v>24</v>
      </c>
      <c r="E65" s="129" t="s">
        <v>481</v>
      </c>
      <c r="F65" s="129" t="s">
        <v>745</v>
      </c>
      <c r="G65" s="129" t="s">
        <v>896</v>
      </c>
      <c r="H65" s="129"/>
      <c r="I65" s="129" t="s">
        <v>821</v>
      </c>
      <c r="J65" s="110" t="s">
        <v>663</v>
      </c>
      <c r="K65" s="129" t="s">
        <v>668</v>
      </c>
      <c r="L65" t="s">
        <v>351</v>
      </c>
      <c r="M65" s="133" t="s">
        <v>29</v>
      </c>
      <c r="N65" s="129" t="s">
        <v>816</v>
      </c>
      <c r="O65" s="129" t="s">
        <v>470</v>
      </c>
      <c r="P65" t="s">
        <v>352</v>
      </c>
      <c r="Q65" s="129" t="s">
        <v>554</v>
      </c>
      <c r="R65" s="129" t="s">
        <v>630</v>
      </c>
      <c r="S65" t="s">
        <v>352</v>
      </c>
      <c r="T65" s="129" t="s">
        <v>334</v>
      </c>
      <c r="U65" s="141">
        <v>1.5E-3</v>
      </c>
      <c r="V65" s="139">
        <v>0.25229166666666669</v>
      </c>
      <c r="W65" s="129">
        <v>4.2</v>
      </c>
      <c r="X65" s="129" t="s">
        <v>545</v>
      </c>
      <c r="Y65" s="129"/>
      <c r="Z65" s="129"/>
      <c r="AA65" s="129"/>
      <c r="AB65" s="115">
        <f>BASE_SYSTEM_TABLE[[#This Row],[Length (m) (on wall)]]*BASE_SYSTEM_TABLE[[#This Row],[Height (m)]]*BASE_SYSTEM_TABLE[[#This Row],[Thickness (m)]]</f>
        <v>0</v>
      </c>
      <c r="AC65" s="129"/>
      <c r="AD65" s="149"/>
      <c r="AE65" s="129"/>
      <c r="AF65" s="139">
        <f>'LCA SYSTEMS'!J130/2.4^2</f>
        <v>0</v>
      </c>
      <c r="AG65" s="129"/>
    </row>
    <row r="66" spans="2:33" x14ac:dyDescent="0.35">
      <c r="B66" s="115" t="str">
        <f>_xlfn.CONCAT(BASE_SYSTEM_TABLE[[#This Row],[Unique ID]],"_",BASE_SYSTEM_TABLE[[#This Row],[Model Source]],"_",BASE_SYSTEM_TABLE[[#This Row],[System Type]],BASE_SYSTEM_TABLE[[#This Row],[System Subtype]])</f>
        <v xml:space="preserve">1_LCA_TimberClosed </v>
      </c>
      <c r="C66" s="129" t="s">
        <v>512</v>
      </c>
      <c r="D66" s="129" t="s">
        <v>3</v>
      </c>
      <c r="E66" s="129" t="s">
        <v>560</v>
      </c>
      <c r="F66" s="129">
        <v>1</v>
      </c>
      <c r="G66" s="129" t="s">
        <v>897</v>
      </c>
      <c r="H66" s="129" t="s">
        <v>610</v>
      </c>
      <c r="I66" s="129" t="s">
        <v>822</v>
      </c>
      <c r="J66" s="110" t="s">
        <v>670</v>
      </c>
      <c r="K66" s="129" t="s">
        <v>752</v>
      </c>
      <c r="L66" t="s">
        <v>351</v>
      </c>
      <c r="M66" s="129" t="s">
        <v>611</v>
      </c>
      <c r="N66" s="129" t="s">
        <v>816</v>
      </c>
      <c r="O66" s="129" t="s">
        <v>533</v>
      </c>
      <c r="P66" t="s">
        <v>352</v>
      </c>
      <c r="Q66" s="129" t="s">
        <v>751</v>
      </c>
      <c r="R66" s="129"/>
      <c r="S66" t="s">
        <v>352</v>
      </c>
      <c r="T66" s="129" t="s">
        <v>334</v>
      </c>
      <c r="U66" s="141">
        <f>SUM('LCA SYSTEMS'!$O$13:$O$19)+'LCA SYSTEMS'!$O$16+MATERIALS!$E$15</f>
        <v>5.1371983294483297</v>
      </c>
      <c r="V66" s="141">
        <f>SUM('LCA SYSTEMS'!$L$13:$L$19)+'LCA SYSTEMS'!$L$16+MATERIALS!$C$15</f>
        <v>25.485526875000001</v>
      </c>
      <c r="W66" s="141"/>
      <c r="X66" s="129"/>
      <c r="Y66" s="129" t="b">
        <v>0</v>
      </c>
      <c r="Z66" s="129" t="b">
        <v>0</v>
      </c>
      <c r="AA66" s="129" t="b">
        <v>0</v>
      </c>
      <c r="AB66" s="115" t="b">
        <v>0</v>
      </c>
      <c r="AC66" s="129" t="b">
        <v>0</v>
      </c>
      <c r="AD66" s="129" t="b">
        <v>0</v>
      </c>
      <c r="AE66" s="129" t="b">
        <v>0</v>
      </c>
      <c r="AF66" s="141">
        <f>(SUM('LCA SYSTEMS'!J13:J19)+'LCA SYSTEMS'!J16+1)/2.4^2</f>
        <v>32.143472222222222</v>
      </c>
      <c r="AG66" s="129" t="b">
        <v>0</v>
      </c>
    </row>
    <row r="67" spans="2:33" x14ac:dyDescent="0.35">
      <c r="B67" s="115" t="str">
        <f>_xlfn.CONCAT(BASE_SYSTEM_TABLE[[#This Row],[Unique ID]],"_",BASE_SYSTEM_TABLE[[#This Row],[Model Source]],"_",BASE_SYSTEM_TABLE[[#This Row],[System Type]],BASE_SYSTEM_TABLE[[#This Row],[System Subtype]])</f>
        <v xml:space="preserve">Donaldson Solid_EPD_TimberClosed </v>
      </c>
      <c r="C67" s="129" t="s">
        <v>513</v>
      </c>
      <c r="D67" s="129" t="s">
        <v>3</v>
      </c>
      <c r="E67" s="129" t="s">
        <v>560</v>
      </c>
      <c r="F67" s="129" t="s">
        <v>754</v>
      </c>
      <c r="G67" s="129" t="s">
        <v>902</v>
      </c>
      <c r="H67" s="129" t="s">
        <v>755</v>
      </c>
      <c r="I67" s="129" t="s">
        <v>822</v>
      </c>
      <c r="J67" s="110" t="s">
        <v>670</v>
      </c>
      <c r="K67" s="129" t="s">
        <v>756</v>
      </c>
      <c r="L67" t="s">
        <v>351</v>
      </c>
      <c r="M67" s="137" t="s">
        <v>255</v>
      </c>
      <c r="N67" s="129" t="s">
        <v>814</v>
      </c>
      <c r="O67" s="129" t="s">
        <v>533</v>
      </c>
      <c r="P67" t="s">
        <v>352</v>
      </c>
      <c r="Q67" s="129" t="s">
        <v>625</v>
      </c>
      <c r="R67" s="129"/>
      <c r="S67" t="s">
        <v>529</v>
      </c>
      <c r="T67" s="129" t="s">
        <v>496</v>
      </c>
      <c r="U67" s="142">
        <v>5</v>
      </c>
      <c r="V67" s="124">
        <f>_xlfn.XLOOKUP(BASE_SYSTEM_TABLE[[#This Row],[Component Name]],'GWP NORMALISED'!$A$2:$A$500,'GWP NORMALISED'!$H$2:$H$500,FALSE)</f>
        <v>21.7</v>
      </c>
      <c r="W67" s="125">
        <f>_xlfn.XLOOKUP(BASE_SYSTEM_TABLE[[#This Row],[Component Name]],'RAW GWP FOSSIL'!$A$2:$A$500,'RAW GWP FOSSIL'!$H$2:$H$500,FALSE)</f>
        <v>21.7</v>
      </c>
      <c r="X67" s="129" t="s">
        <v>618</v>
      </c>
      <c r="Y67" s="129" t="b">
        <v>0</v>
      </c>
      <c r="Z67" s="129" t="b">
        <v>0</v>
      </c>
      <c r="AA67" s="129" t="b">
        <v>0</v>
      </c>
      <c r="AB67" s="115" t="b">
        <v>0</v>
      </c>
      <c r="AC67" s="129" t="b">
        <v>0</v>
      </c>
      <c r="AD67" s="129" t="b">
        <v>0</v>
      </c>
      <c r="AE67" s="129" t="b">
        <v>0</v>
      </c>
      <c r="AF67" s="129">
        <v>23.75</v>
      </c>
      <c r="AG67" s="129" t="b">
        <v>0</v>
      </c>
    </row>
    <row r="68" spans="2:33" x14ac:dyDescent="0.35">
      <c r="B68" s="115" t="str">
        <f>_xlfn.CONCAT(BASE_SYSTEM_TABLE[[#This Row],[Unique ID]],"_",BASE_SYSTEM_TABLE[[#This Row],[Model Source]],"_",BASE_SYSTEM_TABLE[[#This Row],[System Type]],BASE_SYSTEM_TABLE[[#This Row],[System Subtype]])</f>
        <v xml:space="preserve">Donaldson C Stud_EPD_TimberClosed </v>
      </c>
      <c r="C68" s="129" t="s">
        <v>513</v>
      </c>
      <c r="D68" s="129" t="s">
        <v>3</v>
      </c>
      <c r="E68" s="129" t="s">
        <v>560</v>
      </c>
      <c r="F68" s="129" t="s">
        <v>757</v>
      </c>
      <c r="G68" s="129" t="s">
        <v>903</v>
      </c>
      <c r="H68" s="129" t="s">
        <v>760</v>
      </c>
      <c r="I68" s="129" t="s">
        <v>822</v>
      </c>
      <c r="J68" s="110" t="s">
        <v>670</v>
      </c>
      <c r="K68" s="129" t="s">
        <v>761</v>
      </c>
      <c r="L68" t="s">
        <v>351</v>
      </c>
      <c r="M68" s="137" t="s">
        <v>261</v>
      </c>
      <c r="N68" s="129" t="s">
        <v>814</v>
      </c>
      <c r="O68" s="129" t="s">
        <v>533</v>
      </c>
      <c r="P68" t="s">
        <v>352</v>
      </c>
      <c r="Q68" s="129" t="s">
        <v>625</v>
      </c>
      <c r="R68" s="129"/>
      <c r="S68" t="s">
        <v>529</v>
      </c>
      <c r="T68" s="129" t="s">
        <v>496</v>
      </c>
      <c r="U68" s="161">
        <v>5</v>
      </c>
      <c r="V68" s="124">
        <f>_xlfn.XLOOKUP(BASE_SYSTEM_TABLE[[#This Row],[Component Name]],'GWP NORMALISED'!$A$2:$A$500,'GWP NORMALISED'!$H$2:$H$500,FALSE)</f>
        <v>27.8</v>
      </c>
      <c r="W68" s="125">
        <f>_xlfn.XLOOKUP(BASE_SYSTEM_TABLE[[#This Row],[Component Name]],'RAW GWP FOSSIL'!$A$2:$A$500,'RAW GWP FOSSIL'!$H$2:$H$500,FALSE)</f>
        <v>27.8</v>
      </c>
      <c r="X68" s="129" t="s">
        <v>618</v>
      </c>
      <c r="Y68" s="129" t="b">
        <v>0</v>
      </c>
      <c r="Z68" s="129" t="b">
        <v>0</v>
      </c>
      <c r="AA68" s="129" t="b">
        <v>0</v>
      </c>
      <c r="AB68" s="115" t="b">
        <v>0</v>
      </c>
      <c r="AC68" s="129" t="b">
        <v>0</v>
      </c>
      <c r="AD68" s="129" t="b">
        <v>0</v>
      </c>
      <c r="AE68" s="129" t="b">
        <v>0</v>
      </c>
      <c r="AF68" s="129">
        <v>31.66</v>
      </c>
      <c r="AG68" s="129" t="b">
        <v>0</v>
      </c>
    </row>
    <row r="69" spans="2:33" x14ac:dyDescent="0.35">
      <c r="B69" s="115" t="str">
        <f>_xlfn.CONCAT(BASE_SYSTEM_TABLE[[#This Row],[Unique ID]],"_",BASE_SYSTEM_TABLE[[#This Row],[Model Source]],"_",BASE_SYSTEM_TABLE[[#This Row],[System Type]],BASE_SYSTEM_TABLE[[#This Row],[System Subtype]])</f>
        <v xml:space="preserve">SkadoMedis_EPD_TimberClosed </v>
      </c>
      <c r="C69" s="129" t="s">
        <v>513</v>
      </c>
      <c r="D69" s="129" t="s">
        <v>3</v>
      </c>
      <c r="E69" s="129" t="s">
        <v>560</v>
      </c>
      <c r="F69" s="129" t="s">
        <v>771</v>
      </c>
      <c r="G69" s="129" t="s">
        <v>906</v>
      </c>
      <c r="H69" s="129" t="s">
        <v>773</v>
      </c>
      <c r="I69" s="129" t="s">
        <v>822</v>
      </c>
      <c r="J69" s="110" t="s">
        <v>660</v>
      </c>
      <c r="K69" s="129"/>
      <c r="L69" t="s">
        <v>351</v>
      </c>
      <c r="M69" s="137" t="s">
        <v>324</v>
      </c>
      <c r="N69" s="129" t="s">
        <v>814</v>
      </c>
      <c r="O69" s="129" t="s">
        <v>770</v>
      </c>
      <c r="P69" t="s">
        <v>352</v>
      </c>
      <c r="Q69" s="129" t="s">
        <v>774</v>
      </c>
      <c r="R69" s="129"/>
      <c r="S69" t="s">
        <v>529</v>
      </c>
      <c r="T69" s="129" t="s">
        <v>496</v>
      </c>
      <c r="U69" s="161">
        <f>1/0.18</f>
        <v>5.5555555555555554</v>
      </c>
      <c r="V69" s="124">
        <f>_xlfn.XLOOKUP(BASE_SYSTEM_TABLE[[#This Row],[Component Name]],'GWP NORMALISED'!$A$2:$A$500,'GWP NORMALISED'!$H$2:$H$500,FALSE)</f>
        <v>24.7</v>
      </c>
      <c r="W69" s="125">
        <f>_xlfn.XLOOKUP(BASE_SYSTEM_TABLE[[#This Row],[Component Name]],'RAW GWP FOSSIL'!$A$2:$A$500,'RAW GWP FOSSIL'!$H$2:$H$500,FALSE)</f>
        <v>24.7</v>
      </c>
      <c r="X69" s="129" t="s">
        <v>618</v>
      </c>
      <c r="Y69" s="129" t="b">
        <v>0</v>
      </c>
      <c r="Z69" s="129" t="b">
        <v>0</v>
      </c>
      <c r="AA69" s="129" t="b">
        <v>0</v>
      </c>
      <c r="AB69" s="115" t="b">
        <v>0</v>
      </c>
      <c r="AC69" s="129" t="b">
        <v>0</v>
      </c>
      <c r="AD69" s="129" t="b">
        <v>0</v>
      </c>
      <c r="AE69" s="129" t="b">
        <v>0</v>
      </c>
      <c r="AF69" s="129">
        <v>45.2</v>
      </c>
      <c r="AG69" s="129" t="b">
        <v>0</v>
      </c>
    </row>
    <row r="70" spans="2:33" x14ac:dyDescent="0.35">
      <c r="B70" s="115" t="str">
        <f>_xlfn.CONCAT(BASE_SYSTEM_TABLE[[#This Row],[Unique ID]],"_",BASE_SYSTEM_TABLE[[#This Row],[Model Source]],"_",BASE_SYSTEM_TABLE[[#This Row],[System Type]],BASE_SYSTEM_TABLE[[#This Row],[System Subtype]])</f>
        <v>Aircrete High Ten_EPD_Concrete BlockTraditional</v>
      </c>
      <c r="C70" s="129" t="s">
        <v>513</v>
      </c>
      <c r="D70" s="129" t="s">
        <v>80</v>
      </c>
      <c r="E70" s="129" t="s">
        <v>462</v>
      </c>
      <c r="F70" s="129" t="s">
        <v>781</v>
      </c>
      <c r="G70" s="129" t="s">
        <v>907</v>
      </c>
      <c r="H70" s="129" t="s">
        <v>652</v>
      </c>
      <c r="I70" s="129" t="s">
        <v>821</v>
      </c>
      <c r="J70" s="110" t="s">
        <v>660</v>
      </c>
      <c r="K70" s="129" t="s">
        <v>675</v>
      </c>
      <c r="L70" t="s">
        <v>351</v>
      </c>
      <c r="M70" s="137" t="s">
        <v>91</v>
      </c>
      <c r="N70" s="129" t="s">
        <v>814</v>
      </c>
      <c r="O70" s="129" t="s">
        <v>4</v>
      </c>
      <c r="P70" t="s">
        <v>351</v>
      </c>
      <c r="Q70" s="129" t="s">
        <v>653</v>
      </c>
      <c r="R70" s="129" t="s">
        <v>657</v>
      </c>
      <c r="S70" t="s">
        <v>352</v>
      </c>
      <c r="T70" s="129" t="s">
        <v>334</v>
      </c>
      <c r="U70" s="141">
        <v>1.02</v>
      </c>
      <c r="V70" s="124">
        <f>_xlfn.XLOOKUP(BASE_SYSTEM_TABLE[[#This Row],[Component Name]],'GWP NORMALISED'!$A$2:$A$500,'GWP NORMALISED'!$H$2:$H$500,FALSE)</f>
        <v>49.964215500000002</v>
      </c>
      <c r="W70" s="125">
        <f>_xlfn.XLOOKUP(BASE_SYSTEM_TABLE[[#This Row],[Component Name]],'RAW GWP FOSSIL'!$A$2:$A$500,'RAW GWP FOSSIL'!$H$2:$H$500,FALSE)</f>
        <v>279.99</v>
      </c>
      <c r="X70" s="129" t="s">
        <v>654</v>
      </c>
      <c r="Y70" s="129">
        <v>1</v>
      </c>
      <c r="Z70" s="129">
        <v>1</v>
      </c>
      <c r="AA70" s="129">
        <v>0.215</v>
      </c>
      <c r="AB70" s="115">
        <f>BASE_SYSTEM_TABLE[[#This Row],[Length (m) (on wall)]]*BASE_SYSTEM_TABLE[[#This Row],[Height (m)]]*BASE_SYSTEM_TABLE[[#This Row],[Thickness (m)]]</f>
        <v>0.215</v>
      </c>
      <c r="AC70" s="129"/>
      <c r="AD70" s="149"/>
      <c r="AE70" s="129">
        <v>830</v>
      </c>
      <c r="AF70" s="129">
        <f>BASE_SYSTEM_TABLE[[#This Row],[Material Density (kg/m^3)]]*BASE_SYSTEM_TABLE[[#This Row],[Element Volume (m^3)]]</f>
        <v>178.45</v>
      </c>
      <c r="AG70" s="129"/>
    </row>
    <row r="71" spans="2:33" x14ac:dyDescent="0.35">
      <c r="B71" s="115" t="str">
        <f>_xlfn.CONCAT(BASE_SYSTEM_TABLE[[#This Row],[Unique ID]],"_",BASE_SYSTEM_TABLE[[#This Row],[Model Source]],"_",BASE_SYSTEM_TABLE[[#This Row],[System Type]],BASE_SYSTEM_TABLE[[#This Row],[System Subtype]])</f>
        <v>Aircrete High Ten_EPD_Concrete BlockTraditional</v>
      </c>
      <c r="C71" s="129" t="s">
        <v>513</v>
      </c>
      <c r="D71" s="129" t="s">
        <v>80</v>
      </c>
      <c r="E71" s="129" t="s">
        <v>462</v>
      </c>
      <c r="F71" s="129" t="s">
        <v>781</v>
      </c>
      <c r="G71" s="129" t="s">
        <v>907</v>
      </c>
      <c r="H71" s="129" t="s">
        <v>652</v>
      </c>
      <c r="I71" s="129" t="s">
        <v>821</v>
      </c>
      <c r="J71" s="110" t="s">
        <v>663</v>
      </c>
      <c r="K71" s="129" t="s">
        <v>668</v>
      </c>
      <c r="L71" t="s">
        <v>351</v>
      </c>
      <c r="M71" s="133" t="s">
        <v>29</v>
      </c>
      <c r="N71" s="129" t="s">
        <v>816</v>
      </c>
      <c r="O71" s="129" t="s">
        <v>470</v>
      </c>
      <c r="P71" t="s">
        <v>352</v>
      </c>
      <c r="Q71" s="129" t="s">
        <v>554</v>
      </c>
      <c r="R71" s="129" t="s">
        <v>334</v>
      </c>
      <c r="S71" t="s">
        <v>352</v>
      </c>
      <c r="T71" s="129" t="s">
        <v>334</v>
      </c>
      <c r="U71" s="138">
        <v>1.5E-3</v>
      </c>
      <c r="V71" s="139">
        <v>0.25229166666666669</v>
      </c>
      <c r="W71" s="129">
        <v>4.2</v>
      </c>
      <c r="X71" s="129" t="s">
        <v>545</v>
      </c>
      <c r="Y71" s="130">
        <v>2.4</v>
      </c>
      <c r="Z71" s="130">
        <v>2.4</v>
      </c>
      <c r="AA71" s="130">
        <v>4.4999999999999999E-4</v>
      </c>
      <c r="AB71" s="115">
        <f>BASE_SYSTEM_TABLE[[#This Row],[Length (m) (on wall)]]*BASE_SYSTEM_TABLE[[#This Row],[Height (m)]]*BASE_SYSTEM_TABLE[[#This Row],[Thickness (m)]]</f>
        <v>2.5919999999999997E-3</v>
      </c>
      <c r="AC71" s="129">
        <v>1</v>
      </c>
      <c r="AD71" s="149">
        <v>1</v>
      </c>
      <c r="AE71" s="151">
        <v>0</v>
      </c>
      <c r="AF71" s="151">
        <v>0.34599999999999997</v>
      </c>
      <c r="AG71" s="147">
        <v>0.3</v>
      </c>
    </row>
    <row r="72" spans="2:33" x14ac:dyDescent="0.35">
      <c r="B72" s="115" t="str">
        <f>_xlfn.CONCAT(BASE_SYSTEM_TABLE[[#This Row],[Unique ID]],"_",BASE_SYSTEM_TABLE[[#This Row],[Model Source]],"_",BASE_SYSTEM_TABLE[[#This Row],[System Type]],BASE_SYSTEM_TABLE[[#This Row],[System Subtype]])</f>
        <v>Aircrete High Ten_EPD_Concrete BlockTraditional</v>
      </c>
      <c r="C72" s="129" t="s">
        <v>513</v>
      </c>
      <c r="D72" s="129" t="s">
        <v>80</v>
      </c>
      <c r="E72" s="129" t="s">
        <v>462</v>
      </c>
      <c r="F72" s="129" t="s">
        <v>781</v>
      </c>
      <c r="G72" s="129" t="s">
        <v>907</v>
      </c>
      <c r="H72" s="129" t="s">
        <v>652</v>
      </c>
      <c r="I72" s="129" t="s">
        <v>821</v>
      </c>
      <c r="J72" s="110" t="s">
        <v>663</v>
      </c>
      <c r="K72" s="129" t="s">
        <v>795</v>
      </c>
      <c r="L72" t="s">
        <v>351</v>
      </c>
      <c r="M72" s="129" t="s">
        <v>627</v>
      </c>
      <c r="N72" s="129" t="s">
        <v>816</v>
      </c>
      <c r="O72" s="129" t="s">
        <v>344</v>
      </c>
      <c r="P72" t="s">
        <v>352</v>
      </c>
      <c r="Q72" s="129" t="s">
        <v>656</v>
      </c>
      <c r="R72" s="129"/>
      <c r="S72" t="s">
        <v>352</v>
      </c>
      <c r="T72" s="129" t="s">
        <v>334</v>
      </c>
      <c r="U72" s="141">
        <f>BASE_SYSTEM_TABLE[[#This Row],[Thickness (m)]]/BASE_SYSTEM_TABLE[[#This Row],[Thermal Conductivity W/m-K]]</f>
        <v>2.1428571428571428</v>
      </c>
      <c r="V72" s="139">
        <f>BASE_SYSTEM_TABLE[[#This Row],[Raw A1-A3/Conversion factor]]*BASE_SYSTEM_TABLE[[#This Row],[Total Mass per m^2 (kg)]]</f>
        <v>6.9187500000000002</v>
      </c>
      <c r="W72" s="129">
        <v>3.69</v>
      </c>
      <c r="X72" s="129" t="s">
        <v>545</v>
      </c>
      <c r="Y72" s="129">
        <v>1</v>
      </c>
      <c r="Z72" s="129">
        <v>1</v>
      </c>
      <c r="AA72" s="129">
        <v>7.4999999999999997E-2</v>
      </c>
      <c r="AB72" s="115">
        <f>BASE_SYSTEM_TABLE[[#This Row],[Length (m) (on wall)]]*BASE_SYSTEM_TABLE[[#This Row],[Height (m)]]*BASE_SYSTEM_TABLE[[#This Row],[Thickness (m)]]</f>
        <v>7.4999999999999997E-2</v>
      </c>
      <c r="AC72" s="129">
        <v>1</v>
      </c>
      <c r="AD72" s="149">
        <v>1</v>
      </c>
      <c r="AE72" s="156">
        <v>25</v>
      </c>
      <c r="AF72" s="139">
        <f>BASE_SYSTEM_TABLE[[#This Row],[Material Density (kg/m^3)]]*BASE_SYSTEM_TABLE[[#This Row],[Element Volume (m^3)]]</f>
        <v>1.875</v>
      </c>
      <c r="AG72" s="157">
        <v>3.5000000000000003E-2</v>
      </c>
    </row>
    <row r="73" spans="2:33" x14ac:dyDescent="0.35">
      <c r="B73" s="115" t="str">
        <f>_xlfn.CONCAT(BASE_SYSTEM_TABLE[[#This Row],[Unique ID]],"_",BASE_SYSTEM_TABLE[[#This Row],[Model Source]],"_",BASE_SYSTEM_TABLE[[#This Row],[System Type]],BASE_SYSTEM_TABLE[[#This Row],[System Subtype]])</f>
        <v>Aircrete High Ten_EPD_Concrete BlockTraditional</v>
      </c>
      <c r="C73" s="129" t="s">
        <v>513</v>
      </c>
      <c r="D73" s="129" t="s">
        <v>80</v>
      </c>
      <c r="E73" s="129" t="s">
        <v>462</v>
      </c>
      <c r="F73" s="129" t="s">
        <v>781</v>
      </c>
      <c r="G73" s="129" t="s">
        <v>907</v>
      </c>
      <c r="H73" s="129" t="s">
        <v>652</v>
      </c>
      <c r="I73" s="129" t="s">
        <v>821</v>
      </c>
      <c r="J73" s="110" t="s">
        <v>659</v>
      </c>
      <c r="K73" s="129" t="s">
        <v>807</v>
      </c>
      <c r="L73" t="s">
        <v>351</v>
      </c>
      <c r="M73" s="79" t="s">
        <v>796</v>
      </c>
      <c r="N73" s="134" t="s">
        <v>815</v>
      </c>
      <c r="O73" s="134" t="s">
        <v>4</v>
      </c>
      <c r="P73" t="s">
        <v>351</v>
      </c>
      <c r="Q73" s="134" t="s">
        <v>584</v>
      </c>
      <c r="R73" s="129" t="s">
        <v>576</v>
      </c>
      <c r="S73" t="s">
        <v>351</v>
      </c>
      <c r="T73" s="129" t="s">
        <v>808</v>
      </c>
      <c r="U73" s="140">
        <v>0</v>
      </c>
      <c r="V73" s="124">
        <f>_xlfn.XLOOKUP(BASE_SYSTEM_TABLE[[#This Row],[Component Name]],'GWP NORMALISED'!$A$2:$A$500,'GWP NORMALISED'!$H$2:$H$500,FALSE)</f>
        <v>4.1849999999999996</v>
      </c>
      <c r="W73" s="125">
        <f>_xlfn.XLOOKUP(BASE_SYSTEM_TABLE[[#This Row],[Component Name]],'RAW GWP FOSSIL'!$A$2:$A$500,'RAW GWP FOSSIL'!$H$2:$H$500,FALSE)</f>
        <v>135</v>
      </c>
      <c r="X73" s="129" t="s">
        <v>545</v>
      </c>
      <c r="Y73" s="129">
        <v>1</v>
      </c>
      <c r="Z73" s="129">
        <v>1.2E-2</v>
      </c>
      <c r="AA73" s="129">
        <v>0.1</v>
      </c>
      <c r="AB73" s="115">
        <f>BASE_SYSTEM_TABLE[[#This Row],[Length (m) (on wall)]]*BASE_SYSTEM_TABLE[[#This Row],[Height (m)]]*BASE_SYSTEM_TABLE[[#This Row],[Thickness (m)]]</f>
        <v>1.2000000000000001E-3</v>
      </c>
      <c r="AC73" s="129">
        <v>5</v>
      </c>
      <c r="AD73" s="149">
        <f>BASE_SYSTEM_TABLE[[#This Row],[Length (m) (on wall)]]*BASE_SYSTEM_TABLE[[#This Row],[Height (m)]]/1</f>
        <v>1.2E-2</v>
      </c>
      <c r="AE73" s="147">
        <v>2000</v>
      </c>
      <c r="AF73" s="129">
        <f>0.031*1000</f>
        <v>31</v>
      </c>
      <c r="AG73" s="147">
        <v>2</v>
      </c>
    </row>
    <row r="74" spans="2:33" x14ac:dyDescent="0.35">
      <c r="B74" s="115" t="str">
        <f>_xlfn.CONCAT(BASE_SYSTEM_TABLE[[#This Row],[Unique ID]],"_",BASE_SYSTEM_TABLE[[#This Row],[Model Source]],"_",BASE_SYSTEM_TABLE[[#This Row],[System Type]],BASE_SYSTEM_TABLE[[#This Row],[System Subtype]])</f>
        <v>Aircrete Seven_EPD_Concrete BlockTraditional</v>
      </c>
      <c r="C74" s="129" t="s">
        <v>513</v>
      </c>
      <c r="D74" s="129" t="s">
        <v>80</v>
      </c>
      <c r="E74" s="129" t="s">
        <v>462</v>
      </c>
      <c r="F74" s="129" t="s">
        <v>782</v>
      </c>
      <c r="G74" s="129" t="s">
        <v>908</v>
      </c>
      <c r="H74" s="129" t="s">
        <v>652</v>
      </c>
      <c r="I74" s="129" t="s">
        <v>821</v>
      </c>
      <c r="J74" s="110" t="s">
        <v>660</v>
      </c>
      <c r="K74" s="129" t="s">
        <v>675</v>
      </c>
      <c r="L74" t="s">
        <v>351</v>
      </c>
      <c r="M74" s="137" t="s">
        <v>101</v>
      </c>
      <c r="N74" s="129" t="s">
        <v>814</v>
      </c>
      <c r="O74" s="129" t="s">
        <v>4</v>
      </c>
      <c r="P74" t="s">
        <v>351</v>
      </c>
      <c r="Q74" s="129" t="s">
        <v>653</v>
      </c>
      <c r="R74" s="129" t="s">
        <v>657</v>
      </c>
      <c r="S74" t="s">
        <v>352</v>
      </c>
      <c r="T74" s="129" t="s">
        <v>334</v>
      </c>
      <c r="U74" s="141">
        <v>1.1299999999999999</v>
      </c>
      <c r="V74" s="124">
        <f>_xlfn.XLOOKUP(BASE_SYSTEM_TABLE[[#This Row],[Component Name]],'GWP NORMALISED'!$A$2:$A$500,'GWP NORMALISED'!$H$2:$H$500,FALSE)</f>
        <v>53.283106000000011</v>
      </c>
      <c r="W74" s="125">
        <f>_xlfn.XLOOKUP(BASE_SYSTEM_TABLE[[#This Row],[Component Name]],'RAW GWP FOSSIL'!$A$2:$A$500,'RAW GWP FOSSIL'!$H$2:$H$500,FALSE)</f>
        <v>326.09000000000003</v>
      </c>
      <c r="X74" s="129" t="s">
        <v>654</v>
      </c>
      <c r="Y74" s="129">
        <v>1</v>
      </c>
      <c r="Z74" s="129">
        <v>1</v>
      </c>
      <c r="AA74" s="129">
        <v>0.215</v>
      </c>
      <c r="AB74" s="115">
        <f>BASE_SYSTEM_TABLE[[#This Row],[Length (m) (on wall)]]*BASE_SYSTEM_TABLE[[#This Row],[Height (m)]]*BASE_SYSTEM_TABLE[[#This Row],[Thickness (m)]]</f>
        <v>0.215</v>
      </c>
      <c r="AC74" s="129"/>
      <c r="AD74" s="149"/>
      <c r="AE74" s="129">
        <v>760</v>
      </c>
      <c r="AF74" s="129">
        <f>BASE_SYSTEM_TABLE[[#This Row],[Material Density (kg/m^3)]]*BASE_SYSTEM_TABLE[[#This Row],[Element Volume (m^3)]]</f>
        <v>163.4</v>
      </c>
      <c r="AG74" s="129"/>
    </row>
    <row r="75" spans="2:33" x14ac:dyDescent="0.35">
      <c r="B75" s="115" t="str">
        <f>_xlfn.CONCAT(BASE_SYSTEM_TABLE[[#This Row],[Unique ID]],"_",BASE_SYSTEM_TABLE[[#This Row],[Model Source]],"_",BASE_SYSTEM_TABLE[[#This Row],[System Type]],BASE_SYSTEM_TABLE[[#This Row],[System Subtype]])</f>
        <v>Aircrete Seven_EPD_Concrete BlockTraditional</v>
      </c>
      <c r="C75" s="129" t="s">
        <v>513</v>
      </c>
      <c r="D75" s="129" t="s">
        <v>80</v>
      </c>
      <c r="E75" s="129" t="s">
        <v>462</v>
      </c>
      <c r="F75" s="129" t="s">
        <v>782</v>
      </c>
      <c r="G75" s="129" t="s">
        <v>908</v>
      </c>
      <c r="H75" s="129" t="s">
        <v>652</v>
      </c>
      <c r="I75" s="129" t="s">
        <v>821</v>
      </c>
      <c r="J75" s="110" t="s">
        <v>663</v>
      </c>
      <c r="K75" s="129" t="s">
        <v>668</v>
      </c>
      <c r="L75" t="s">
        <v>351</v>
      </c>
      <c r="M75" s="133" t="s">
        <v>29</v>
      </c>
      <c r="N75" s="129" t="s">
        <v>816</v>
      </c>
      <c r="O75" s="129" t="s">
        <v>470</v>
      </c>
      <c r="P75" t="s">
        <v>352</v>
      </c>
      <c r="Q75" s="129" t="s">
        <v>554</v>
      </c>
      <c r="R75" s="129" t="s">
        <v>334</v>
      </c>
      <c r="S75" t="s">
        <v>352</v>
      </c>
      <c r="T75" s="129" t="s">
        <v>334</v>
      </c>
      <c r="U75" s="138">
        <v>1.5E-3</v>
      </c>
      <c r="V75" s="139">
        <v>0.25229166666666669</v>
      </c>
      <c r="W75" s="129">
        <v>4.2</v>
      </c>
      <c r="X75" s="129" t="s">
        <v>545</v>
      </c>
      <c r="Y75" s="130">
        <v>2.4</v>
      </c>
      <c r="Z75" s="130">
        <v>2.4</v>
      </c>
      <c r="AA75" s="130">
        <v>4.4999999999999999E-4</v>
      </c>
      <c r="AB75" s="115">
        <f>BASE_SYSTEM_TABLE[[#This Row],[Length (m) (on wall)]]*BASE_SYSTEM_TABLE[[#This Row],[Height (m)]]*BASE_SYSTEM_TABLE[[#This Row],[Thickness (m)]]</f>
        <v>2.5919999999999997E-3</v>
      </c>
      <c r="AC75" s="129">
        <v>1</v>
      </c>
      <c r="AD75" s="149">
        <v>1</v>
      </c>
      <c r="AE75" s="151">
        <v>0</v>
      </c>
      <c r="AF75" s="151">
        <v>0.34599999999999997</v>
      </c>
      <c r="AG75" s="147">
        <v>0.3</v>
      </c>
    </row>
    <row r="76" spans="2:33" x14ac:dyDescent="0.35">
      <c r="B76" s="115" t="str">
        <f>_xlfn.CONCAT(BASE_SYSTEM_TABLE[[#This Row],[Unique ID]],"_",BASE_SYSTEM_TABLE[[#This Row],[Model Source]],"_",BASE_SYSTEM_TABLE[[#This Row],[System Type]],BASE_SYSTEM_TABLE[[#This Row],[System Subtype]])</f>
        <v>Aircrete Seven_EPD_Concrete BlockTraditional</v>
      </c>
      <c r="C76" s="129" t="s">
        <v>513</v>
      </c>
      <c r="D76" s="129" t="s">
        <v>80</v>
      </c>
      <c r="E76" s="129" t="s">
        <v>462</v>
      </c>
      <c r="F76" s="129" t="s">
        <v>782</v>
      </c>
      <c r="G76" s="129" t="s">
        <v>908</v>
      </c>
      <c r="H76" s="129" t="s">
        <v>652</v>
      </c>
      <c r="I76" s="129" t="s">
        <v>821</v>
      </c>
      <c r="J76" s="110" t="s">
        <v>663</v>
      </c>
      <c r="K76" s="129" t="s">
        <v>795</v>
      </c>
      <c r="L76" t="s">
        <v>351</v>
      </c>
      <c r="M76" s="129" t="s">
        <v>627</v>
      </c>
      <c r="N76" s="129" t="s">
        <v>816</v>
      </c>
      <c r="O76" s="129" t="s">
        <v>344</v>
      </c>
      <c r="P76" t="s">
        <v>352</v>
      </c>
      <c r="Q76" s="129" t="s">
        <v>656</v>
      </c>
      <c r="R76" s="129"/>
      <c r="S76" t="s">
        <v>352</v>
      </c>
      <c r="T76" s="129" t="s">
        <v>334</v>
      </c>
      <c r="U76" s="141">
        <f>BASE_SYSTEM_TABLE[[#This Row],[Thickness (m)]]/BASE_SYSTEM_TABLE[[#This Row],[Thermal Conductivity W/m-K]]</f>
        <v>2.1428571428571428</v>
      </c>
      <c r="V76" s="139">
        <f>BASE_SYSTEM_TABLE[[#This Row],[Raw A1-A3/Conversion factor]]*BASE_SYSTEM_TABLE[[#This Row],[Total Mass per m^2 (kg)]]</f>
        <v>6.9187500000000002</v>
      </c>
      <c r="W76" s="129">
        <v>3.69</v>
      </c>
      <c r="X76" s="129" t="s">
        <v>545</v>
      </c>
      <c r="Y76" s="129">
        <v>1</v>
      </c>
      <c r="Z76" s="129">
        <v>1</v>
      </c>
      <c r="AA76" s="129">
        <v>7.4999999999999997E-2</v>
      </c>
      <c r="AB76" s="115">
        <f>BASE_SYSTEM_TABLE[[#This Row],[Length (m) (on wall)]]*BASE_SYSTEM_TABLE[[#This Row],[Height (m)]]*BASE_SYSTEM_TABLE[[#This Row],[Thickness (m)]]</f>
        <v>7.4999999999999997E-2</v>
      </c>
      <c r="AC76" s="129">
        <v>1</v>
      </c>
      <c r="AD76" s="149">
        <v>1</v>
      </c>
      <c r="AE76" s="156">
        <v>25</v>
      </c>
      <c r="AF76" s="139">
        <f>BASE_SYSTEM_TABLE[[#This Row],[Material Density (kg/m^3)]]*BASE_SYSTEM_TABLE[[#This Row],[Element Volume (m^3)]]</f>
        <v>1.875</v>
      </c>
      <c r="AG76" s="157">
        <v>3.5000000000000003E-2</v>
      </c>
    </row>
    <row r="77" spans="2:33" x14ac:dyDescent="0.35">
      <c r="B77" s="115" t="str">
        <f>_xlfn.CONCAT(BASE_SYSTEM_TABLE[[#This Row],[Unique ID]],"_",BASE_SYSTEM_TABLE[[#This Row],[Model Source]],"_",BASE_SYSTEM_TABLE[[#This Row],[System Type]],BASE_SYSTEM_TABLE[[#This Row],[System Subtype]])</f>
        <v>Aircrete Seven_EPD_Concrete BlockTraditional</v>
      </c>
      <c r="C77" s="129" t="s">
        <v>513</v>
      </c>
      <c r="D77" s="129" t="s">
        <v>80</v>
      </c>
      <c r="E77" s="129" t="s">
        <v>462</v>
      </c>
      <c r="F77" s="129" t="s">
        <v>782</v>
      </c>
      <c r="G77" s="129" t="s">
        <v>908</v>
      </c>
      <c r="H77" s="129" t="s">
        <v>652</v>
      </c>
      <c r="I77" s="129" t="s">
        <v>821</v>
      </c>
      <c r="J77" s="110" t="s">
        <v>659</v>
      </c>
      <c r="K77" s="129" t="s">
        <v>807</v>
      </c>
      <c r="L77" t="s">
        <v>351</v>
      </c>
      <c r="M77" s="79" t="s">
        <v>796</v>
      </c>
      <c r="N77" s="134" t="s">
        <v>815</v>
      </c>
      <c r="O77" s="134" t="s">
        <v>4</v>
      </c>
      <c r="P77" t="s">
        <v>351</v>
      </c>
      <c r="Q77" s="134" t="s">
        <v>584</v>
      </c>
      <c r="R77" s="129" t="s">
        <v>576</v>
      </c>
      <c r="S77" t="s">
        <v>351</v>
      </c>
      <c r="T77" s="129" t="s">
        <v>808</v>
      </c>
      <c r="U77" s="140">
        <v>0</v>
      </c>
      <c r="V77" s="124">
        <f>_xlfn.XLOOKUP(BASE_SYSTEM_TABLE[[#This Row],[Component Name]],'GWP NORMALISED'!$A$2:$A$500,'GWP NORMALISED'!$H$2:$H$500,FALSE)</f>
        <v>4.1849999999999996</v>
      </c>
      <c r="W77" s="125">
        <f>_xlfn.XLOOKUP(BASE_SYSTEM_TABLE[[#This Row],[Component Name]],'RAW GWP FOSSIL'!$A$2:$A$500,'RAW GWP FOSSIL'!$H$2:$H$500,FALSE)</f>
        <v>135</v>
      </c>
      <c r="X77" s="129" t="s">
        <v>545</v>
      </c>
      <c r="Y77" s="129">
        <v>1</v>
      </c>
      <c r="Z77" s="129">
        <v>1.2E-2</v>
      </c>
      <c r="AA77" s="129">
        <v>0.1</v>
      </c>
      <c r="AB77" s="115">
        <f>BASE_SYSTEM_TABLE[[#This Row],[Length (m) (on wall)]]*BASE_SYSTEM_TABLE[[#This Row],[Height (m)]]*BASE_SYSTEM_TABLE[[#This Row],[Thickness (m)]]</f>
        <v>1.2000000000000001E-3</v>
      </c>
      <c r="AC77" s="129">
        <v>5</v>
      </c>
      <c r="AD77" s="149">
        <f>BASE_SYSTEM_TABLE[[#This Row],[Length (m) (on wall)]]*BASE_SYSTEM_TABLE[[#This Row],[Height (m)]]/1</f>
        <v>1.2E-2</v>
      </c>
      <c r="AE77" s="147">
        <v>2000</v>
      </c>
      <c r="AF77" s="129">
        <f>0.031*1000</f>
        <v>31</v>
      </c>
      <c r="AG77" s="147">
        <v>2</v>
      </c>
    </row>
    <row r="78" spans="2:33" x14ac:dyDescent="0.35">
      <c r="B78" s="115" t="str">
        <f>_xlfn.CONCAT(BASE_SYSTEM_TABLE[[#This Row],[Unique ID]],"_",BASE_SYSTEM_TABLE[[#This Row],[Model Source]],"_",BASE_SYSTEM_TABLE[[#This Row],[System Type]],BASE_SYSTEM_TABLE[[#This Row],[System Subtype]])</f>
        <v>Aircrete Super_EPD_Concrete BlockTraditional</v>
      </c>
      <c r="C78" s="129" t="s">
        <v>513</v>
      </c>
      <c r="D78" s="129" t="s">
        <v>80</v>
      </c>
      <c r="E78" s="129" t="s">
        <v>462</v>
      </c>
      <c r="F78" s="129" t="s">
        <v>783</v>
      </c>
      <c r="G78" s="129" t="s">
        <v>910</v>
      </c>
      <c r="H78" s="129" t="s">
        <v>652</v>
      </c>
      <c r="I78" s="129" t="s">
        <v>821</v>
      </c>
      <c r="J78" s="110" t="s">
        <v>660</v>
      </c>
      <c r="K78" s="129" t="s">
        <v>675</v>
      </c>
      <c r="L78" t="s">
        <v>351</v>
      </c>
      <c r="M78" s="137" t="s">
        <v>107</v>
      </c>
      <c r="N78" s="129" t="s">
        <v>814</v>
      </c>
      <c r="O78" s="129" t="s">
        <v>4</v>
      </c>
      <c r="P78" t="s">
        <v>351</v>
      </c>
      <c r="Q78" s="129" t="s">
        <v>653</v>
      </c>
      <c r="R78" s="129" t="s">
        <v>657</v>
      </c>
      <c r="S78" t="s">
        <v>352</v>
      </c>
      <c r="T78" s="129" t="s">
        <v>334</v>
      </c>
      <c r="U78" s="141">
        <v>1.79</v>
      </c>
      <c r="V78" s="124">
        <f>_xlfn.XLOOKUP(BASE_SYSTEM_TABLE[[#This Row],[Component Name]],'GWP NORMALISED'!$A$2:$A$500,'GWP NORMALISED'!$H$2:$H$500,FALSE)</f>
        <v>36.921864000000006</v>
      </c>
      <c r="W78" s="125">
        <f>_xlfn.XLOOKUP(BASE_SYSTEM_TABLE[[#This Row],[Component Name]],'RAW GWP FOSSIL'!$A$2:$A$500,'RAW GWP FOSSIL'!$H$2:$H$500,FALSE)</f>
        <v>357.77000000000004</v>
      </c>
      <c r="X78" s="129" t="s">
        <v>654</v>
      </c>
      <c r="Y78" s="129">
        <v>1</v>
      </c>
      <c r="Z78" s="129">
        <v>1</v>
      </c>
      <c r="AA78" s="129">
        <v>0.215</v>
      </c>
      <c r="AB78" s="115">
        <f>BASE_SYSTEM_TABLE[[#This Row],[Length (m) (on wall)]]*BASE_SYSTEM_TABLE[[#This Row],[Height (m)]]*BASE_SYSTEM_TABLE[[#This Row],[Thickness (m)]]</f>
        <v>0.215</v>
      </c>
      <c r="AC78" s="129"/>
      <c r="AD78" s="149"/>
      <c r="AE78" s="129">
        <v>480</v>
      </c>
      <c r="AF78" s="129">
        <f>BASE_SYSTEM_TABLE[[#This Row],[Material Density (kg/m^3)]]*BASE_SYSTEM_TABLE[[#This Row],[Element Volume (m^3)]]</f>
        <v>103.2</v>
      </c>
      <c r="AG78" s="129"/>
    </row>
    <row r="79" spans="2:33" x14ac:dyDescent="0.35">
      <c r="B79" s="115" t="str">
        <f>_xlfn.CONCAT(BASE_SYSTEM_TABLE[[#This Row],[Unique ID]],"_",BASE_SYSTEM_TABLE[[#This Row],[Model Source]],"_",BASE_SYSTEM_TABLE[[#This Row],[System Type]],BASE_SYSTEM_TABLE[[#This Row],[System Subtype]])</f>
        <v>Aircrete Super_EPD_Concrete BlockTraditional</v>
      </c>
      <c r="C79" s="129" t="s">
        <v>513</v>
      </c>
      <c r="D79" s="129" t="s">
        <v>80</v>
      </c>
      <c r="E79" s="129" t="s">
        <v>462</v>
      </c>
      <c r="F79" s="129" t="s">
        <v>783</v>
      </c>
      <c r="G79" s="129" t="s">
        <v>910</v>
      </c>
      <c r="H79" s="129" t="s">
        <v>652</v>
      </c>
      <c r="I79" s="129" t="s">
        <v>821</v>
      </c>
      <c r="J79" s="110" t="s">
        <v>663</v>
      </c>
      <c r="K79" s="129" t="s">
        <v>668</v>
      </c>
      <c r="L79" t="s">
        <v>351</v>
      </c>
      <c r="M79" s="133" t="s">
        <v>29</v>
      </c>
      <c r="N79" s="129" t="s">
        <v>816</v>
      </c>
      <c r="O79" s="129" t="s">
        <v>470</v>
      </c>
      <c r="P79" t="s">
        <v>352</v>
      </c>
      <c r="Q79" s="129" t="s">
        <v>554</v>
      </c>
      <c r="R79" s="129" t="s">
        <v>334</v>
      </c>
      <c r="S79" t="s">
        <v>352</v>
      </c>
      <c r="T79" s="129" t="s">
        <v>334</v>
      </c>
      <c r="U79" s="138">
        <v>1.5E-3</v>
      </c>
      <c r="V79" s="139">
        <v>0.25229166666666669</v>
      </c>
      <c r="W79" s="129">
        <v>4.2</v>
      </c>
      <c r="X79" s="129" t="s">
        <v>545</v>
      </c>
      <c r="Y79" s="130">
        <v>2.4</v>
      </c>
      <c r="Z79" s="130">
        <v>2.4</v>
      </c>
      <c r="AA79" s="130">
        <v>4.4999999999999999E-4</v>
      </c>
      <c r="AB79" s="115">
        <f>BASE_SYSTEM_TABLE[[#This Row],[Length (m) (on wall)]]*BASE_SYSTEM_TABLE[[#This Row],[Height (m)]]*BASE_SYSTEM_TABLE[[#This Row],[Thickness (m)]]</f>
        <v>2.5919999999999997E-3</v>
      </c>
      <c r="AC79" s="129">
        <v>1</v>
      </c>
      <c r="AD79" s="149">
        <v>1</v>
      </c>
      <c r="AE79" s="151">
        <v>0</v>
      </c>
      <c r="AF79" s="151">
        <v>0.34599999999999997</v>
      </c>
      <c r="AG79" s="147">
        <v>0.3</v>
      </c>
    </row>
    <row r="80" spans="2:33" x14ac:dyDescent="0.35">
      <c r="B80" s="115" t="str">
        <f>_xlfn.CONCAT(BASE_SYSTEM_TABLE[[#This Row],[Unique ID]],"_",BASE_SYSTEM_TABLE[[#This Row],[Model Source]],"_",BASE_SYSTEM_TABLE[[#This Row],[System Type]],BASE_SYSTEM_TABLE[[#This Row],[System Subtype]])</f>
        <v>Aircrete Super_EPD_Concrete BlockTraditional</v>
      </c>
      <c r="C80" s="129" t="s">
        <v>513</v>
      </c>
      <c r="D80" s="129" t="s">
        <v>80</v>
      </c>
      <c r="E80" s="129" t="s">
        <v>462</v>
      </c>
      <c r="F80" s="129" t="s">
        <v>783</v>
      </c>
      <c r="G80" s="129" t="s">
        <v>910</v>
      </c>
      <c r="H80" s="129" t="s">
        <v>652</v>
      </c>
      <c r="I80" s="129" t="s">
        <v>821</v>
      </c>
      <c r="J80" s="110" t="s">
        <v>663</v>
      </c>
      <c r="K80" s="129" t="s">
        <v>794</v>
      </c>
      <c r="L80" t="s">
        <v>351</v>
      </c>
      <c r="M80" s="129" t="s">
        <v>627</v>
      </c>
      <c r="N80" s="129" t="s">
        <v>816</v>
      </c>
      <c r="O80" s="129" t="s">
        <v>344</v>
      </c>
      <c r="P80" t="s">
        <v>352</v>
      </c>
      <c r="Q80" s="129" t="s">
        <v>656</v>
      </c>
      <c r="R80" s="129"/>
      <c r="S80" t="s">
        <v>352</v>
      </c>
      <c r="T80" s="129" t="s">
        <v>334</v>
      </c>
      <c r="U80" s="141">
        <f>BASE_SYSTEM_TABLE[[#This Row],[Thickness (m)]]/BASE_SYSTEM_TABLE[[#This Row],[Thermal Conductivity W/m-K]]</f>
        <v>1.4285714285714286</v>
      </c>
      <c r="V80" s="139">
        <f>BASE_SYSTEM_TABLE[[#This Row],[Raw A1-A3/Conversion factor]]*BASE_SYSTEM_TABLE[[#This Row],[Total Mass per m^2 (kg)]]</f>
        <v>4.6124999999999998</v>
      </c>
      <c r="W80" s="129">
        <v>3.69</v>
      </c>
      <c r="X80" s="129" t="s">
        <v>545</v>
      </c>
      <c r="Y80" s="129">
        <v>1</v>
      </c>
      <c r="Z80" s="129">
        <v>1</v>
      </c>
      <c r="AA80" s="129">
        <v>0.05</v>
      </c>
      <c r="AB80" s="115">
        <f>BASE_SYSTEM_TABLE[[#This Row],[Length (m) (on wall)]]*BASE_SYSTEM_TABLE[[#This Row],[Height (m)]]*BASE_SYSTEM_TABLE[[#This Row],[Thickness (m)]]</f>
        <v>0.05</v>
      </c>
      <c r="AC80" s="129">
        <v>1</v>
      </c>
      <c r="AD80" s="149">
        <v>1</v>
      </c>
      <c r="AE80" s="156">
        <v>25</v>
      </c>
      <c r="AF80" s="139">
        <f>BASE_SYSTEM_TABLE[[#This Row],[Material Density (kg/m^3)]]*BASE_SYSTEM_TABLE[[#This Row],[Element Volume (m^3)]]</f>
        <v>1.25</v>
      </c>
      <c r="AG80" s="157">
        <v>3.5000000000000003E-2</v>
      </c>
    </row>
    <row r="81" spans="2:33" x14ac:dyDescent="0.35">
      <c r="B81" s="115" t="str">
        <f>_xlfn.CONCAT(BASE_SYSTEM_TABLE[[#This Row],[Unique ID]],"_",BASE_SYSTEM_TABLE[[#This Row],[Model Source]],"_",BASE_SYSTEM_TABLE[[#This Row],[System Type]],BASE_SYSTEM_TABLE[[#This Row],[System Subtype]])</f>
        <v>Aircrete Super_EPD_Concrete BlockTraditional</v>
      </c>
      <c r="C81" s="129" t="s">
        <v>513</v>
      </c>
      <c r="D81" s="129" t="s">
        <v>80</v>
      </c>
      <c r="E81" s="129" t="s">
        <v>462</v>
      </c>
      <c r="F81" s="129" t="s">
        <v>783</v>
      </c>
      <c r="G81" s="129" t="s">
        <v>910</v>
      </c>
      <c r="H81" s="129" t="s">
        <v>652</v>
      </c>
      <c r="I81" s="129" t="s">
        <v>821</v>
      </c>
      <c r="J81" s="110" t="s">
        <v>659</v>
      </c>
      <c r="K81" s="129" t="s">
        <v>807</v>
      </c>
      <c r="L81" t="s">
        <v>351</v>
      </c>
      <c r="M81" s="79" t="s">
        <v>796</v>
      </c>
      <c r="N81" s="134" t="s">
        <v>815</v>
      </c>
      <c r="O81" s="134" t="s">
        <v>4</v>
      </c>
      <c r="P81" t="s">
        <v>351</v>
      </c>
      <c r="Q81" s="134" t="s">
        <v>584</v>
      </c>
      <c r="R81" s="129" t="s">
        <v>576</v>
      </c>
      <c r="S81" t="s">
        <v>351</v>
      </c>
      <c r="T81" s="129" t="s">
        <v>808</v>
      </c>
      <c r="U81" s="140">
        <v>0</v>
      </c>
      <c r="V81" s="124">
        <f>_xlfn.XLOOKUP(BASE_SYSTEM_TABLE[[#This Row],[Component Name]],'GWP NORMALISED'!$A$2:$A$500,'GWP NORMALISED'!$H$2:$H$500,FALSE)</f>
        <v>4.1849999999999996</v>
      </c>
      <c r="W81" s="125">
        <f>_xlfn.XLOOKUP(BASE_SYSTEM_TABLE[[#This Row],[Component Name]],'RAW GWP FOSSIL'!$A$2:$A$500,'RAW GWP FOSSIL'!$H$2:$H$500,FALSE)</f>
        <v>135</v>
      </c>
      <c r="X81" s="129" t="s">
        <v>545</v>
      </c>
      <c r="Y81" s="129">
        <v>1</v>
      </c>
      <c r="Z81" s="129">
        <v>1.2E-2</v>
      </c>
      <c r="AA81" s="129">
        <v>0.1</v>
      </c>
      <c r="AB81" s="115">
        <f>BASE_SYSTEM_TABLE[[#This Row],[Length (m) (on wall)]]*BASE_SYSTEM_TABLE[[#This Row],[Height (m)]]*BASE_SYSTEM_TABLE[[#This Row],[Thickness (m)]]</f>
        <v>1.2000000000000001E-3</v>
      </c>
      <c r="AC81" s="129">
        <v>5</v>
      </c>
      <c r="AD81" s="149">
        <f>BASE_SYSTEM_TABLE[[#This Row],[Length (m) (on wall)]]*BASE_SYSTEM_TABLE[[#This Row],[Height (m)]]/1</f>
        <v>1.2E-2</v>
      </c>
      <c r="AE81" s="147">
        <v>2000</v>
      </c>
      <c r="AF81" s="129">
        <f>0.031*1000</f>
        <v>31</v>
      </c>
      <c r="AG81" s="147">
        <v>2</v>
      </c>
    </row>
    <row r="82" spans="2:33" x14ac:dyDescent="0.35">
      <c r="B82" s="115" t="str">
        <f>_xlfn.CONCAT(BASE_SYSTEM_TABLE[[#This Row],[Unique ID]],"_",BASE_SYSTEM_TABLE[[#This Row],[Model Source]],"_",BASE_SYSTEM_TABLE[[#This Row],[System Type]],BASE_SYSTEM_TABLE[[#This Row],[System Subtype]])</f>
        <v>Roadstone Solid_EPD_Concrete BlockTraditional</v>
      </c>
      <c r="C82" s="129" t="s">
        <v>513</v>
      </c>
      <c r="D82" s="129" t="s">
        <v>80</v>
      </c>
      <c r="E82" s="129" t="s">
        <v>462</v>
      </c>
      <c r="F82" s="129" t="s">
        <v>792</v>
      </c>
      <c r="G82" s="129" t="s">
        <v>909</v>
      </c>
      <c r="H82" s="129" t="s">
        <v>825</v>
      </c>
      <c r="I82" s="129" t="s">
        <v>821</v>
      </c>
      <c r="J82" s="110" t="s">
        <v>660</v>
      </c>
      <c r="K82" s="129"/>
      <c r="L82" t="s">
        <v>351</v>
      </c>
      <c r="M82" s="137" t="s">
        <v>788</v>
      </c>
      <c r="N82" s="129" t="s">
        <v>814</v>
      </c>
      <c r="O82" s="129" t="s">
        <v>4</v>
      </c>
      <c r="P82" t="s">
        <v>351</v>
      </c>
      <c r="Q82" s="129" t="s">
        <v>653</v>
      </c>
      <c r="R82" s="129" t="s">
        <v>657</v>
      </c>
      <c r="S82" t="s">
        <v>352</v>
      </c>
      <c r="T82" s="129" t="s">
        <v>334</v>
      </c>
      <c r="U82" s="162">
        <f>BASE_SYSTEM_TABLE[[#This Row],[Thickness (m)]]/BASE_SYSTEM_TABLE[[#This Row],[Thermal Conductivity W/m-K]]</f>
        <v>0.19545454545454544</v>
      </c>
      <c r="V82" s="124">
        <f>_xlfn.XLOOKUP(BASE_SYSTEM_TABLE[[#This Row],[Component Name]],'GWP NORMALISED'!$A$2:$A$500,'GWP NORMALISED'!$H$2:$H$500,FALSE)</f>
        <v>20.360500000000002</v>
      </c>
      <c r="W82" s="125">
        <f>_xlfn.XLOOKUP(BASE_SYSTEM_TABLE[[#This Row],[Component Name]],'RAW GWP FOSSIL'!$A$2:$A$500,'RAW GWP FOSSIL'!$H$2:$H$500,FALSE)</f>
        <v>94.7</v>
      </c>
      <c r="X82" s="129" t="s">
        <v>642</v>
      </c>
      <c r="Y82" s="129">
        <v>1</v>
      </c>
      <c r="Z82" s="129">
        <v>1</v>
      </c>
      <c r="AA82" s="129">
        <v>0.215</v>
      </c>
      <c r="AB82" s="115">
        <f>BASE_SYSTEM_TABLE[[#This Row],[Length (m) (on wall)]]*BASE_SYSTEM_TABLE[[#This Row],[Height (m)]]*BASE_SYSTEM_TABLE[[#This Row],[Thickness (m)]]</f>
        <v>0.215</v>
      </c>
      <c r="AC82" s="129"/>
      <c r="AD82" s="149"/>
      <c r="AE82" s="129">
        <v>480</v>
      </c>
      <c r="AF82" s="129">
        <f>BASE_SYSTEM_TABLE[[#This Row],[Material Density (kg/m^3)]]*BASE_SYSTEM_TABLE[[#This Row],[Element Volume (m^3)]]</f>
        <v>103.2</v>
      </c>
      <c r="AG82" s="129">
        <v>1.1000000000000001</v>
      </c>
    </row>
    <row r="83" spans="2:33" x14ac:dyDescent="0.35">
      <c r="B83" s="115" t="str">
        <f>_xlfn.CONCAT(BASE_SYSTEM_TABLE[[#This Row],[Unique ID]],"_",BASE_SYSTEM_TABLE[[#This Row],[Model Source]],"_",BASE_SYSTEM_TABLE[[#This Row],[System Type]],BASE_SYSTEM_TABLE[[#This Row],[System Subtype]])</f>
        <v>Roadstone Solid_EPD_Concrete BlockTraditional</v>
      </c>
      <c r="C83" s="129" t="s">
        <v>513</v>
      </c>
      <c r="D83" s="129" t="s">
        <v>80</v>
      </c>
      <c r="E83" s="129" t="s">
        <v>462</v>
      </c>
      <c r="F83" s="129" t="s">
        <v>792</v>
      </c>
      <c r="G83" s="129" t="s">
        <v>909</v>
      </c>
      <c r="H83" s="129" t="s">
        <v>825</v>
      </c>
      <c r="I83" s="129" t="s">
        <v>821</v>
      </c>
      <c r="J83" s="110" t="s">
        <v>663</v>
      </c>
      <c r="K83" s="129"/>
      <c r="L83" t="s">
        <v>351</v>
      </c>
      <c r="M83" s="133" t="s">
        <v>29</v>
      </c>
      <c r="N83" s="129" t="s">
        <v>816</v>
      </c>
      <c r="O83" s="129" t="s">
        <v>470</v>
      </c>
      <c r="P83" t="s">
        <v>352</v>
      </c>
      <c r="Q83" s="129" t="s">
        <v>554</v>
      </c>
      <c r="R83" s="129" t="s">
        <v>334</v>
      </c>
      <c r="S83" t="s">
        <v>352</v>
      </c>
      <c r="T83" s="129" t="s">
        <v>334</v>
      </c>
      <c r="U83" s="138">
        <v>1.5E-3</v>
      </c>
      <c r="V83" s="139">
        <v>0.25229166666666669</v>
      </c>
      <c r="W83" s="129">
        <v>4.2</v>
      </c>
      <c r="X83" s="129" t="s">
        <v>545</v>
      </c>
      <c r="Y83" s="130">
        <v>2.4</v>
      </c>
      <c r="Z83" s="130">
        <v>2.4</v>
      </c>
      <c r="AA83" s="130">
        <v>4.4999999999999999E-4</v>
      </c>
      <c r="AB83" s="115">
        <f>BASE_SYSTEM_TABLE[[#This Row],[Length (m) (on wall)]]*BASE_SYSTEM_TABLE[[#This Row],[Height (m)]]*BASE_SYSTEM_TABLE[[#This Row],[Thickness (m)]]</f>
        <v>2.5919999999999997E-3</v>
      </c>
      <c r="AC83" s="129">
        <v>1</v>
      </c>
      <c r="AD83" s="149">
        <v>1</v>
      </c>
      <c r="AE83" s="151">
        <v>0</v>
      </c>
      <c r="AF83" s="151">
        <v>0.34599999999999997</v>
      </c>
      <c r="AG83" s="147">
        <v>0.3</v>
      </c>
    </row>
    <row r="84" spans="2:33" x14ac:dyDescent="0.35">
      <c r="B84" s="115" t="str">
        <f>_xlfn.CONCAT(BASE_SYSTEM_TABLE[[#This Row],[Unique ID]],"_",BASE_SYSTEM_TABLE[[#This Row],[Model Source]],"_",BASE_SYSTEM_TABLE[[#This Row],[System Type]],BASE_SYSTEM_TABLE[[#This Row],[System Subtype]])</f>
        <v>Roadstone Solid_EPD_Concrete BlockTraditional</v>
      </c>
      <c r="C84" s="129" t="s">
        <v>513</v>
      </c>
      <c r="D84" s="129" t="s">
        <v>80</v>
      </c>
      <c r="E84" s="129" t="s">
        <v>462</v>
      </c>
      <c r="F84" s="129" t="s">
        <v>792</v>
      </c>
      <c r="G84" s="129" t="s">
        <v>909</v>
      </c>
      <c r="H84" s="129" t="s">
        <v>825</v>
      </c>
      <c r="I84" s="129" t="s">
        <v>821</v>
      </c>
      <c r="J84" s="110" t="s">
        <v>663</v>
      </c>
      <c r="K84" s="129"/>
      <c r="L84" t="s">
        <v>351</v>
      </c>
      <c r="M84" s="129" t="s">
        <v>627</v>
      </c>
      <c r="N84" s="129" t="s">
        <v>816</v>
      </c>
      <c r="O84" s="129" t="s">
        <v>344</v>
      </c>
      <c r="P84" t="s">
        <v>352</v>
      </c>
      <c r="Q84" s="129" t="s">
        <v>656</v>
      </c>
      <c r="R84" s="129"/>
      <c r="S84" t="s">
        <v>352</v>
      </c>
      <c r="T84" s="129" t="s">
        <v>334</v>
      </c>
      <c r="U84" s="141">
        <f>BASE_SYSTEM_TABLE[[#This Row],[Thickness (m)]]/BASE_SYSTEM_TABLE[[#This Row],[Thermal Conductivity W/m-K]]</f>
        <v>2.8571428571428572</v>
      </c>
      <c r="V84" s="139">
        <f>BASE_SYSTEM_TABLE[[#This Row],[Raw A1-A3/Conversion factor]]*BASE_SYSTEM_TABLE[[#This Row],[Total Mass per m^2 (kg)]]</f>
        <v>9.2249999999999996</v>
      </c>
      <c r="W84" s="129">
        <v>3.69</v>
      </c>
      <c r="X84" s="129" t="s">
        <v>545</v>
      </c>
      <c r="Y84" s="129">
        <v>1</v>
      </c>
      <c r="Z84" s="129">
        <v>1</v>
      </c>
      <c r="AA84" s="129">
        <v>0.1</v>
      </c>
      <c r="AB84" s="115">
        <f>BASE_SYSTEM_TABLE[[#This Row],[Length (m) (on wall)]]*BASE_SYSTEM_TABLE[[#This Row],[Height (m)]]*BASE_SYSTEM_TABLE[[#This Row],[Thickness (m)]]</f>
        <v>0.1</v>
      </c>
      <c r="AC84" s="129">
        <v>1</v>
      </c>
      <c r="AD84" s="149">
        <v>1</v>
      </c>
      <c r="AE84" s="156">
        <v>25</v>
      </c>
      <c r="AF84" s="139">
        <f>BASE_SYSTEM_TABLE[[#This Row],[Material Density (kg/m^3)]]*BASE_SYSTEM_TABLE[[#This Row],[Element Volume (m^3)]]</f>
        <v>2.5</v>
      </c>
      <c r="AG84" s="157">
        <v>3.5000000000000003E-2</v>
      </c>
    </row>
    <row r="85" spans="2:33" x14ac:dyDescent="0.35">
      <c r="B85" s="115" t="str">
        <f>_xlfn.CONCAT(BASE_SYSTEM_TABLE[[#This Row],[Unique ID]],"_",BASE_SYSTEM_TABLE[[#This Row],[Model Source]],"_",BASE_SYSTEM_TABLE[[#This Row],[System Type]],BASE_SYSTEM_TABLE[[#This Row],[System Subtype]])</f>
        <v>Roadstone Solid_EPD_Concrete BlockTraditional</v>
      </c>
      <c r="C85" s="129" t="s">
        <v>513</v>
      </c>
      <c r="D85" s="129" t="s">
        <v>80</v>
      </c>
      <c r="E85" s="129" t="s">
        <v>462</v>
      </c>
      <c r="F85" s="129" t="s">
        <v>792</v>
      </c>
      <c r="G85" s="129" t="s">
        <v>909</v>
      </c>
      <c r="H85" s="129" t="s">
        <v>825</v>
      </c>
      <c r="I85" s="129" t="s">
        <v>821</v>
      </c>
      <c r="J85" s="110" t="s">
        <v>659</v>
      </c>
      <c r="K85" s="129" t="s">
        <v>807</v>
      </c>
      <c r="L85" t="s">
        <v>351</v>
      </c>
      <c r="M85" s="79" t="s">
        <v>796</v>
      </c>
      <c r="N85" s="134" t="s">
        <v>815</v>
      </c>
      <c r="O85" s="134" t="s">
        <v>4</v>
      </c>
      <c r="P85" t="s">
        <v>351</v>
      </c>
      <c r="Q85" s="134" t="s">
        <v>584</v>
      </c>
      <c r="R85" s="129" t="s">
        <v>576</v>
      </c>
      <c r="S85" t="s">
        <v>351</v>
      </c>
      <c r="T85" s="129" t="s">
        <v>808</v>
      </c>
      <c r="U85" s="140">
        <v>0</v>
      </c>
      <c r="V85" s="124">
        <f>_xlfn.XLOOKUP(BASE_SYSTEM_TABLE[[#This Row],[Component Name]],'GWP NORMALISED'!$A$2:$A$500,'GWP NORMALISED'!$H$2:$H$500,FALSE)</f>
        <v>4.1849999999999996</v>
      </c>
      <c r="W85" s="125">
        <f>_xlfn.XLOOKUP(BASE_SYSTEM_TABLE[[#This Row],[Component Name]],'RAW GWP FOSSIL'!$A$2:$A$500,'RAW GWP FOSSIL'!$H$2:$H$500,FALSE)</f>
        <v>135</v>
      </c>
      <c r="X85" s="129" t="s">
        <v>545</v>
      </c>
      <c r="Y85" s="129">
        <v>1</v>
      </c>
      <c r="Z85" s="129">
        <v>1.2E-2</v>
      </c>
      <c r="AA85" s="129">
        <v>0.1</v>
      </c>
      <c r="AB85" s="115">
        <f>BASE_SYSTEM_TABLE[[#This Row],[Length (m) (on wall)]]*BASE_SYSTEM_TABLE[[#This Row],[Height (m)]]*BASE_SYSTEM_TABLE[[#This Row],[Thickness (m)]]</f>
        <v>1.2000000000000001E-3</v>
      </c>
      <c r="AC85" s="129">
        <v>5</v>
      </c>
      <c r="AD85" s="149">
        <f>BASE_SYSTEM_TABLE[[#This Row],[Length (m) (on wall)]]*BASE_SYSTEM_TABLE[[#This Row],[Height (m)]]/1</f>
        <v>1.2E-2</v>
      </c>
      <c r="AE85" s="147">
        <v>2000</v>
      </c>
      <c r="AF85" s="129">
        <f>0.031*1000</f>
        <v>31</v>
      </c>
      <c r="AG85" s="147">
        <v>2</v>
      </c>
    </row>
    <row r="86" spans="2:33" x14ac:dyDescent="0.35">
      <c r="C86" s="129"/>
      <c r="D86" s="129"/>
      <c r="E86" s="129"/>
      <c r="F86" s="129"/>
      <c r="G86" s="129"/>
      <c r="H86" s="129"/>
      <c r="I86" s="129"/>
      <c r="J86" s="110"/>
      <c r="K86" s="129"/>
      <c r="L86" t="s">
        <v>351</v>
      </c>
      <c r="M86" s="129"/>
      <c r="N86" s="129"/>
      <c r="O86" s="129"/>
      <c r="P86" s="129"/>
      <c r="Q86" s="129"/>
      <c r="R86" s="129"/>
      <c r="S86" s="129"/>
      <c r="T86" s="129"/>
      <c r="U86" s="141"/>
      <c r="V86" s="139"/>
      <c r="W86" s="129"/>
      <c r="X86" s="129"/>
      <c r="Y86" s="129"/>
      <c r="Z86" s="129"/>
      <c r="AA86" s="129"/>
      <c r="AB86" s="115"/>
      <c r="AC86" s="129"/>
      <c r="AD86" s="149"/>
      <c r="AE86" s="129"/>
      <c r="AF86" s="129"/>
      <c r="AG86" s="129"/>
    </row>
    <row r="87" spans="2:33" x14ac:dyDescent="0.35">
      <c r="C87" s="129"/>
      <c r="D87" s="129"/>
      <c r="E87" s="129"/>
      <c r="F87" s="129"/>
      <c r="G87" s="129"/>
      <c r="H87" s="129"/>
      <c r="I87" s="129"/>
      <c r="J87" s="110"/>
      <c r="K87" s="129"/>
      <c r="L87" t="s">
        <v>351</v>
      </c>
      <c r="M87" s="129"/>
      <c r="N87" s="129"/>
      <c r="O87" s="129"/>
      <c r="P87" s="129"/>
      <c r="Q87" s="129"/>
      <c r="R87" s="129"/>
      <c r="S87" s="129"/>
      <c r="T87" s="129"/>
      <c r="U87" s="141"/>
      <c r="V87" s="139"/>
      <c r="W87" s="129"/>
      <c r="X87" s="129"/>
      <c r="Y87" s="129"/>
      <c r="Z87" s="129"/>
      <c r="AA87" s="129"/>
      <c r="AB87" s="115"/>
      <c r="AC87" s="129"/>
      <c r="AD87" s="149"/>
      <c r="AE87" s="129"/>
      <c r="AF87" s="129"/>
      <c r="AG87" s="129"/>
    </row>
    <row r="88" spans="2:33" x14ac:dyDescent="0.35">
      <c r="C88" s="129"/>
      <c r="D88" s="129"/>
      <c r="E88" s="129"/>
      <c r="F88" s="129"/>
      <c r="G88" s="129"/>
      <c r="H88" s="129"/>
      <c r="I88" s="129"/>
      <c r="J88" s="110"/>
      <c r="K88" s="129"/>
      <c r="L88" t="s">
        <v>351</v>
      </c>
      <c r="M88" s="129"/>
      <c r="N88" s="129"/>
      <c r="O88" s="129"/>
      <c r="P88" s="129"/>
      <c r="Q88" s="129"/>
      <c r="R88" s="129"/>
      <c r="S88" s="129"/>
      <c r="T88" s="129"/>
      <c r="U88" s="141"/>
      <c r="V88" s="139"/>
      <c r="W88" s="129"/>
      <c r="X88" s="129"/>
      <c r="Y88" s="129"/>
      <c r="Z88" s="129"/>
      <c r="AA88" s="129"/>
      <c r="AB88" s="115"/>
      <c r="AC88" s="129"/>
      <c r="AD88" s="149"/>
      <c r="AE88" s="129"/>
      <c r="AF88" s="129"/>
      <c r="AG88" s="129"/>
    </row>
    <row r="89" spans="2:33" x14ac:dyDescent="0.35">
      <c r="C89" s="129"/>
      <c r="D89" s="129"/>
      <c r="E89" s="129"/>
      <c r="F89" s="129"/>
      <c r="G89" s="129"/>
      <c r="H89" s="129"/>
      <c r="I89" s="129"/>
      <c r="J89" s="110"/>
      <c r="K89" s="129"/>
      <c r="L89" t="s">
        <v>351</v>
      </c>
      <c r="M89" s="129"/>
      <c r="N89" s="129"/>
      <c r="O89" s="129"/>
      <c r="P89" s="129"/>
      <c r="Q89" s="129"/>
      <c r="R89" s="129"/>
      <c r="S89" s="129"/>
      <c r="T89" s="129"/>
      <c r="U89" s="141"/>
      <c r="V89" s="139"/>
      <c r="W89" s="129"/>
      <c r="X89" s="129"/>
      <c r="Y89" s="129"/>
      <c r="Z89" s="129"/>
      <c r="AA89" s="129"/>
      <c r="AB89" s="115"/>
      <c r="AC89" s="129"/>
      <c r="AD89" s="149"/>
      <c r="AE89" s="129"/>
      <c r="AF89" s="129"/>
      <c r="AG89" s="129"/>
    </row>
    <row r="90" spans="2:33" x14ac:dyDescent="0.35">
      <c r="C90" s="129"/>
      <c r="D90" s="129"/>
      <c r="E90" s="129"/>
      <c r="F90" s="129"/>
      <c r="G90" s="129"/>
      <c r="H90" s="129"/>
      <c r="I90" s="129"/>
      <c r="J90" s="110"/>
      <c r="K90" s="129"/>
      <c r="L90" t="s">
        <v>351</v>
      </c>
      <c r="M90" s="129"/>
      <c r="N90" s="129"/>
      <c r="O90" s="129"/>
      <c r="P90" s="129"/>
      <c r="Q90" s="129"/>
      <c r="R90" s="129"/>
      <c r="S90" s="129"/>
      <c r="T90" s="129"/>
      <c r="U90" s="141"/>
      <c r="V90" s="139"/>
      <c r="W90" s="129"/>
      <c r="X90" s="129"/>
      <c r="Y90" s="129"/>
      <c r="Z90" s="129"/>
      <c r="AA90" s="129"/>
      <c r="AB90" s="115"/>
      <c r="AC90" s="129"/>
      <c r="AD90" s="149"/>
      <c r="AE90" s="129"/>
      <c r="AF90" s="129"/>
      <c r="AG90" s="129"/>
    </row>
    <row r="91" spans="2:33" x14ac:dyDescent="0.35">
      <c r="C91" s="129"/>
      <c r="D91" s="129"/>
      <c r="E91" s="129"/>
      <c r="F91" s="129"/>
      <c r="G91" s="129"/>
      <c r="H91" s="129"/>
      <c r="I91" s="129"/>
      <c r="J91" s="110"/>
      <c r="K91" s="129"/>
      <c r="L91" t="s">
        <v>351</v>
      </c>
      <c r="M91" s="129"/>
      <c r="N91" s="129"/>
      <c r="O91" s="129"/>
      <c r="P91" s="129"/>
      <c r="Q91" s="129"/>
      <c r="R91" s="129"/>
      <c r="S91" s="129"/>
      <c r="T91" s="129"/>
      <c r="U91" s="141"/>
      <c r="V91" s="139"/>
      <c r="W91" s="129"/>
      <c r="X91" s="129"/>
      <c r="Y91" s="129"/>
      <c r="Z91" s="129"/>
      <c r="AA91" s="129"/>
      <c r="AB91" s="115"/>
      <c r="AC91" s="129"/>
      <c r="AD91" s="149"/>
      <c r="AE91" s="129"/>
      <c r="AF91" s="129"/>
      <c r="AG91" s="129"/>
    </row>
    <row r="92" spans="2:33" x14ac:dyDescent="0.35">
      <c r="C92" s="129"/>
      <c r="D92" s="129"/>
      <c r="E92" s="129"/>
      <c r="F92" s="129"/>
      <c r="G92" s="129"/>
      <c r="H92" s="129"/>
      <c r="I92" s="129"/>
      <c r="J92" s="110"/>
      <c r="K92" s="129"/>
      <c r="L92" t="s">
        <v>351</v>
      </c>
      <c r="M92" s="129"/>
      <c r="N92" s="129"/>
      <c r="O92" s="129"/>
      <c r="P92" s="129"/>
      <c r="Q92" s="129"/>
      <c r="R92" s="129"/>
      <c r="S92" s="129"/>
      <c r="T92" s="129"/>
      <c r="U92" s="141"/>
      <c r="V92" s="139"/>
      <c r="W92" s="129"/>
      <c r="X92" s="129"/>
      <c r="Y92" s="129"/>
      <c r="Z92" s="129"/>
      <c r="AA92" s="129"/>
      <c r="AB92" s="115"/>
      <c r="AC92" s="129"/>
      <c r="AD92" s="149"/>
      <c r="AE92" s="129"/>
      <c r="AF92" s="129"/>
      <c r="AG92" s="129"/>
    </row>
    <row r="93" spans="2:33" x14ac:dyDescent="0.35">
      <c r="C93" s="129"/>
      <c r="D93" s="129"/>
      <c r="E93" s="129"/>
      <c r="F93" s="129"/>
      <c r="G93" s="129"/>
      <c r="H93" s="129"/>
      <c r="I93" s="129"/>
      <c r="J93" s="110"/>
      <c r="K93" s="129"/>
      <c r="L93" t="s">
        <v>351</v>
      </c>
      <c r="M93" s="129"/>
      <c r="N93" s="129"/>
      <c r="O93" s="129"/>
      <c r="P93" s="129"/>
      <c r="Q93" s="129"/>
      <c r="R93" s="129"/>
      <c r="S93" s="129"/>
      <c r="T93" s="129"/>
      <c r="U93" s="141"/>
      <c r="V93" s="139"/>
      <c r="W93" s="129"/>
      <c r="X93" s="129"/>
      <c r="Y93" s="129"/>
      <c r="Z93" s="129"/>
      <c r="AA93" s="129"/>
      <c r="AB93" s="115"/>
      <c r="AC93" s="129"/>
      <c r="AD93" s="149"/>
      <c r="AE93" s="129"/>
      <c r="AF93" s="129"/>
      <c r="AG93" s="129"/>
    </row>
    <row r="94" spans="2:33" x14ac:dyDescent="0.35">
      <c r="C94" s="129"/>
      <c r="D94" s="129"/>
      <c r="E94" s="129"/>
      <c r="F94" s="129"/>
      <c r="G94" s="129"/>
      <c r="H94" s="129"/>
      <c r="I94" s="129"/>
      <c r="J94" s="110"/>
      <c r="K94" s="129"/>
      <c r="L94" t="s">
        <v>351</v>
      </c>
      <c r="M94" s="129"/>
      <c r="N94" s="129"/>
      <c r="O94" s="129"/>
      <c r="P94" s="129"/>
      <c r="Q94" s="129"/>
      <c r="R94" s="129"/>
      <c r="S94" s="129"/>
      <c r="T94" s="129"/>
      <c r="U94" s="141"/>
      <c r="V94" s="139"/>
      <c r="W94" s="129"/>
      <c r="X94" s="129"/>
      <c r="Y94" s="129"/>
      <c r="Z94" s="129"/>
      <c r="AA94" s="129"/>
      <c r="AB94" s="115"/>
      <c r="AC94" s="129"/>
      <c r="AD94" s="149"/>
      <c r="AE94" s="129"/>
      <c r="AF94" s="129"/>
      <c r="AG94" s="129"/>
    </row>
    <row r="95" spans="2:33" x14ac:dyDescent="0.35">
      <c r="C95" s="129"/>
      <c r="D95" s="129"/>
      <c r="E95" s="129"/>
      <c r="F95" s="129"/>
      <c r="G95" s="129"/>
      <c r="H95" s="129"/>
      <c r="I95" s="129"/>
      <c r="J95" s="110"/>
      <c r="K95" s="129"/>
      <c r="L95" t="s">
        <v>351</v>
      </c>
      <c r="M95" s="129"/>
      <c r="N95" s="129"/>
      <c r="O95" s="129"/>
      <c r="P95" s="129"/>
      <c r="Q95" s="129"/>
      <c r="R95" s="129"/>
      <c r="S95" s="129"/>
      <c r="T95" s="129"/>
      <c r="U95" s="141"/>
      <c r="V95" s="139"/>
      <c r="W95" s="129"/>
      <c r="X95" s="129"/>
      <c r="Y95" s="129"/>
      <c r="Z95" s="129"/>
      <c r="AA95" s="129"/>
      <c r="AB95" s="115"/>
      <c r="AC95" s="129"/>
      <c r="AD95" s="149"/>
      <c r="AE95" s="129"/>
      <c r="AF95" s="129"/>
      <c r="AG95" s="129"/>
    </row>
    <row r="96" spans="2:33" x14ac:dyDescent="0.35">
      <c r="C96" s="129"/>
      <c r="D96" s="129"/>
      <c r="E96" s="129"/>
      <c r="F96" s="129"/>
      <c r="G96" s="129"/>
      <c r="H96" s="129"/>
      <c r="I96" s="129"/>
      <c r="J96" s="110"/>
      <c r="K96" s="129"/>
      <c r="L96" t="s">
        <v>351</v>
      </c>
      <c r="M96" s="129"/>
      <c r="N96" s="129"/>
      <c r="O96" s="129"/>
      <c r="P96" s="129"/>
      <c r="Q96" s="129"/>
      <c r="R96" s="129"/>
      <c r="S96" s="129"/>
      <c r="T96" s="129"/>
      <c r="U96" s="141"/>
      <c r="V96" s="139"/>
      <c r="W96" s="129"/>
      <c r="X96" s="129"/>
      <c r="Y96" s="129"/>
      <c r="Z96" s="129"/>
      <c r="AA96" s="129"/>
      <c r="AB96" s="115"/>
      <c r="AC96" s="129"/>
      <c r="AD96" s="149"/>
      <c r="AE96" s="129"/>
      <c r="AF96" s="129"/>
      <c r="AG96" s="129"/>
    </row>
    <row r="97" spans="3:33" x14ac:dyDescent="0.35">
      <c r="C97" s="129"/>
      <c r="D97" s="129"/>
      <c r="E97" s="129"/>
      <c r="F97" s="129"/>
      <c r="G97" s="129"/>
      <c r="H97" s="129"/>
      <c r="I97" s="129"/>
      <c r="J97" s="110"/>
      <c r="K97" s="129"/>
      <c r="L97" t="s">
        <v>351</v>
      </c>
      <c r="M97" s="129"/>
      <c r="N97" s="129"/>
      <c r="O97" s="129"/>
      <c r="P97" s="129"/>
      <c r="Q97" s="129"/>
      <c r="R97" s="129"/>
      <c r="S97" s="129"/>
      <c r="T97" s="129"/>
      <c r="U97" s="141"/>
      <c r="V97" s="139"/>
      <c r="W97" s="129"/>
      <c r="X97" s="129"/>
      <c r="Y97" s="129"/>
      <c r="Z97" s="129"/>
      <c r="AA97" s="129"/>
      <c r="AB97" s="115"/>
      <c r="AC97" s="129"/>
      <c r="AD97" s="149"/>
      <c r="AE97" s="129"/>
      <c r="AF97" s="129"/>
      <c r="AG97" s="129"/>
    </row>
    <row r="98" spans="3:33" x14ac:dyDescent="0.35">
      <c r="C98" s="129"/>
      <c r="D98" s="129"/>
      <c r="E98" s="129"/>
      <c r="F98" s="129"/>
      <c r="G98" s="129"/>
      <c r="H98" s="129"/>
      <c r="I98" s="129"/>
      <c r="J98" s="110"/>
      <c r="K98" s="129"/>
      <c r="L98" t="s">
        <v>351</v>
      </c>
      <c r="M98" s="129"/>
      <c r="N98" s="129"/>
      <c r="O98" s="129"/>
      <c r="P98" s="129"/>
      <c r="Q98" s="129"/>
      <c r="R98" s="129"/>
      <c r="S98" s="129"/>
      <c r="T98" s="129"/>
      <c r="U98" s="141"/>
      <c r="V98" s="139"/>
      <c r="W98" s="129"/>
      <c r="X98" s="129"/>
      <c r="Y98" s="129"/>
      <c r="Z98" s="129"/>
      <c r="AA98" s="129"/>
      <c r="AB98" s="115"/>
      <c r="AC98" s="129"/>
      <c r="AD98" s="149"/>
      <c r="AE98" s="129"/>
      <c r="AF98" s="129"/>
      <c r="AG98" s="129"/>
    </row>
    <row r="99" spans="3:33" x14ac:dyDescent="0.35">
      <c r="C99" s="129"/>
      <c r="D99" s="129"/>
      <c r="E99" s="129"/>
      <c r="F99" s="129"/>
      <c r="G99" s="129"/>
      <c r="H99" s="129"/>
      <c r="I99" s="129"/>
      <c r="J99" s="110"/>
      <c r="K99" s="129"/>
      <c r="L99" t="s">
        <v>351</v>
      </c>
      <c r="M99" s="129"/>
      <c r="N99" s="129"/>
      <c r="O99" s="129"/>
      <c r="P99" s="129"/>
      <c r="Q99" s="129"/>
      <c r="R99" s="129"/>
      <c r="S99" s="129"/>
      <c r="T99" s="129"/>
      <c r="U99" s="141"/>
      <c r="V99" s="139"/>
      <c r="W99" s="129"/>
      <c r="X99" s="129"/>
      <c r="Y99" s="129"/>
      <c r="Z99" s="129"/>
      <c r="AA99" s="129"/>
      <c r="AB99" s="115"/>
      <c r="AC99" s="129"/>
      <c r="AD99" s="149"/>
      <c r="AE99" s="129"/>
      <c r="AF99" s="129"/>
      <c r="AG99" s="129"/>
    </row>
    <row r="100" spans="3:33" x14ac:dyDescent="0.35">
      <c r="C100" s="129"/>
      <c r="D100" s="129"/>
      <c r="E100" s="129"/>
      <c r="F100" s="129"/>
      <c r="G100" s="129"/>
      <c r="H100" s="129"/>
      <c r="I100" s="129"/>
      <c r="J100" s="110"/>
      <c r="K100" s="129"/>
      <c r="L100" t="s">
        <v>351</v>
      </c>
      <c r="M100" s="129"/>
      <c r="N100" s="129"/>
      <c r="O100" s="129"/>
      <c r="P100" s="129"/>
      <c r="Q100" s="129"/>
      <c r="R100" s="129"/>
      <c r="S100" s="129"/>
      <c r="T100" s="129"/>
      <c r="U100" s="141"/>
      <c r="V100" s="139"/>
      <c r="W100" s="129"/>
      <c r="X100" s="129"/>
      <c r="Y100" s="129"/>
      <c r="Z100" s="129"/>
      <c r="AA100" s="129"/>
      <c r="AB100" s="115"/>
      <c r="AC100" s="129"/>
      <c r="AD100" s="149"/>
      <c r="AE100" s="129"/>
      <c r="AF100" s="129"/>
      <c r="AG100" s="129"/>
    </row>
    <row r="101" spans="3:33" x14ac:dyDescent="0.35">
      <c r="C101" s="129"/>
      <c r="D101" s="129"/>
      <c r="E101" s="129"/>
      <c r="F101" s="129"/>
      <c r="G101" s="129"/>
      <c r="H101" s="129"/>
      <c r="I101" s="129"/>
      <c r="J101" s="110"/>
      <c r="K101" s="129"/>
      <c r="L101" t="s">
        <v>351</v>
      </c>
      <c r="M101" s="129"/>
      <c r="N101" s="129"/>
      <c r="O101" s="129"/>
      <c r="P101" s="129"/>
      <c r="Q101" s="129"/>
      <c r="R101" s="129"/>
      <c r="S101" s="129"/>
      <c r="T101" s="129"/>
      <c r="U101" s="141"/>
      <c r="V101" s="139"/>
      <c r="W101" s="129"/>
      <c r="X101" s="129"/>
      <c r="Y101" s="129"/>
      <c r="Z101" s="129"/>
      <c r="AA101" s="129"/>
      <c r="AB101" s="115"/>
      <c r="AC101" s="129"/>
      <c r="AD101" s="149"/>
      <c r="AE101" s="129"/>
      <c r="AF101" s="129"/>
      <c r="AG101" s="129"/>
    </row>
    <row r="102" spans="3:33" x14ac:dyDescent="0.35">
      <c r="C102" s="129"/>
      <c r="D102" s="129"/>
      <c r="E102" s="129"/>
      <c r="F102" s="129"/>
      <c r="G102" s="129"/>
      <c r="H102" s="129"/>
      <c r="I102" s="129"/>
      <c r="J102" s="110"/>
      <c r="K102" s="129"/>
      <c r="L102" t="s">
        <v>351</v>
      </c>
      <c r="M102" s="129"/>
      <c r="N102" s="129"/>
      <c r="O102" s="129"/>
      <c r="P102" s="129"/>
      <c r="Q102" s="129"/>
      <c r="R102" s="129"/>
      <c r="S102" s="129"/>
      <c r="T102" s="129"/>
      <c r="U102" s="141"/>
      <c r="V102" s="139"/>
      <c r="W102" s="129"/>
      <c r="X102" s="129"/>
      <c r="Y102" s="129"/>
      <c r="Z102" s="129"/>
      <c r="AA102" s="129"/>
      <c r="AB102" s="115"/>
      <c r="AC102" s="129"/>
      <c r="AD102" s="149"/>
      <c r="AE102" s="129"/>
      <c r="AF102" s="129"/>
      <c r="AG102" s="129"/>
    </row>
    <row r="103" spans="3:33" x14ac:dyDescent="0.35">
      <c r="C103" s="129"/>
      <c r="D103" s="129"/>
      <c r="E103" s="129"/>
      <c r="F103" s="129"/>
      <c r="G103" s="129"/>
      <c r="H103" s="129"/>
      <c r="I103" s="129"/>
      <c r="J103" s="110"/>
      <c r="K103" s="129"/>
      <c r="L103" t="s">
        <v>351</v>
      </c>
      <c r="M103" s="129"/>
      <c r="N103" s="129"/>
      <c r="O103" s="129"/>
      <c r="P103" s="129"/>
      <c r="Q103" s="129"/>
      <c r="R103" s="129"/>
      <c r="S103" s="129"/>
      <c r="T103" s="129"/>
      <c r="U103" s="141"/>
      <c r="V103" s="139"/>
      <c r="W103" s="129"/>
      <c r="X103" s="129"/>
      <c r="Y103" s="129"/>
      <c r="Z103" s="129"/>
      <c r="AA103" s="129"/>
      <c r="AB103" s="115"/>
      <c r="AC103" s="129"/>
      <c r="AD103" s="149"/>
      <c r="AE103" s="129"/>
      <c r="AF103" s="129"/>
      <c r="AG103" s="129"/>
    </row>
    <row r="104" spans="3:33" x14ac:dyDescent="0.35">
      <c r="C104" s="129"/>
      <c r="D104" s="129"/>
      <c r="E104" s="129"/>
      <c r="F104" s="129"/>
      <c r="G104" s="129"/>
      <c r="H104" s="129"/>
      <c r="I104" s="129"/>
      <c r="J104" s="110"/>
      <c r="K104" s="129"/>
      <c r="L104" t="s">
        <v>351</v>
      </c>
      <c r="M104" s="129"/>
      <c r="N104" s="129"/>
      <c r="O104" s="129"/>
      <c r="P104" s="129"/>
      <c r="Q104" s="129"/>
      <c r="R104" s="129"/>
      <c r="S104" s="129"/>
      <c r="T104" s="129"/>
      <c r="U104" s="141"/>
      <c r="V104" s="139"/>
      <c r="W104" s="129"/>
      <c r="X104" s="129"/>
      <c r="Y104" s="129"/>
      <c r="Z104" s="129"/>
      <c r="AA104" s="129"/>
      <c r="AB104" s="115"/>
      <c r="AC104" s="129"/>
      <c r="AD104" s="149"/>
      <c r="AE104" s="129"/>
      <c r="AF104" s="129"/>
      <c r="AG104" s="129"/>
    </row>
    <row r="105" spans="3:33" x14ac:dyDescent="0.35">
      <c r="C105" s="129"/>
      <c r="D105" s="129"/>
      <c r="E105" s="129"/>
      <c r="F105" s="129"/>
      <c r="G105" s="129"/>
      <c r="H105" s="129"/>
      <c r="I105" s="129"/>
      <c r="J105" s="110"/>
      <c r="K105" s="129"/>
      <c r="L105" t="s">
        <v>351</v>
      </c>
      <c r="M105" s="129"/>
      <c r="N105" s="129"/>
      <c r="O105" s="129"/>
      <c r="P105" s="129"/>
      <c r="Q105" s="129"/>
      <c r="R105" s="129"/>
      <c r="S105" s="129"/>
      <c r="T105" s="129"/>
      <c r="U105" s="141"/>
      <c r="V105" s="139"/>
      <c r="W105" s="129"/>
      <c r="X105" s="129"/>
      <c r="Y105" s="129"/>
      <c r="Z105" s="129"/>
      <c r="AA105" s="129"/>
      <c r="AB105" s="115"/>
      <c r="AC105" s="129"/>
      <c r="AD105" s="149"/>
      <c r="AE105" s="129"/>
      <c r="AF105" s="129"/>
      <c r="AG105" s="129"/>
    </row>
    <row r="106" spans="3:33" x14ac:dyDescent="0.35">
      <c r="C106" s="129"/>
      <c r="D106" s="129"/>
      <c r="E106" s="129"/>
      <c r="F106" s="129"/>
      <c r="G106" s="129"/>
      <c r="H106" s="129"/>
      <c r="I106" s="129"/>
      <c r="J106" s="110"/>
      <c r="K106" s="129"/>
      <c r="L106" t="s">
        <v>351</v>
      </c>
      <c r="M106" s="129"/>
      <c r="N106" s="129"/>
      <c r="O106" s="129"/>
      <c r="P106" s="129"/>
      <c r="Q106" s="129"/>
      <c r="R106" s="129"/>
      <c r="S106" s="129"/>
      <c r="T106" s="129"/>
      <c r="U106" s="141"/>
      <c r="V106" s="139"/>
      <c r="W106" s="129"/>
      <c r="X106" s="129"/>
      <c r="Y106" s="129"/>
      <c r="Z106" s="129"/>
      <c r="AA106" s="129"/>
      <c r="AB106" s="115"/>
      <c r="AC106" s="129"/>
      <c r="AD106" s="149"/>
      <c r="AE106" s="129"/>
      <c r="AF106" s="129"/>
      <c r="AG106" s="129"/>
    </row>
    <row r="107" spans="3:33" x14ac:dyDescent="0.35">
      <c r="C107" s="129"/>
      <c r="D107" s="129"/>
      <c r="E107" s="129"/>
      <c r="F107" s="129"/>
      <c r="G107" s="129"/>
      <c r="H107" s="129"/>
      <c r="I107" s="129"/>
      <c r="J107" s="110"/>
      <c r="K107" s="129"/>
      <c r="L107" t="s">
        <v>351</v>
      </c>
      <c r="M107" s="129"/>
      <c r="N107" s="129"/>
      <c r="O107" s="129"/>
      <c r="P107" s="129"/>
      <c r="Q107" s="129"/>
      <c r="R107" s="129"/>
      <c r="S107" s="129"/>
      <c r="T107" s="129"/>
      <c r="U107" s="141"/>
      <c r="V107" s="139"/>
      <c r="W107" s="129"/>
      <c r="X107" s="129"/>
      <c r="Y107" s="129"/>
      <c r="Z107" s="129"/>
      <c r="AA107" s="129"/>
      <c r="AB107" s="115"/>
      <c r="AC107" s="129"/>
      <c r="AD107" s="149"/>
      <c r="AE107" s="129"/>
      <c r="AF107" s="129"/>
      <c r="AG107" s="129"/>
    </row>
    <row r="108" spans="3:33" x14ac:dyDescent="0.35">
      <c r="C108" s="129"/>
      <c r="D108" s="129"/>
      <c r="E108" s="129"/>
      <c r="F108" s="129"/>
      <c r="G108" s="129"/>
      <c r="H108" s="129"/>
      <c r="I108" s="129"/>
      <c r="J108" s="110"/>
      <c r="K108" s="129"/>
      <c r="L108" t="s">
        <v>351</v>
      </c>
      <c r="M108" s="129"/>
      <c r="N108" s="129"/>
      <c r="O108" s="129"/>
      <c r="P108" s="129"/>
      <c r="Q108" s="129"/>
      <c r="R108" s="129"/>
      <c r="S108" s="129"/>
      <c r="T108" s="129"/>
      <c r="U108" s="141"/>
      <c r="V108" s="139"/>
      <c r="W108" s="129"/>
      <c r="X108" s="129"/>
      <c r="Y108" s="129"/>
      <c r="Z108" s="129"/>
      <c r="AA108" s="129"/>
      <c r="AB108" s="115"/>
      <c r="AC108" s="129"/>
      <c r="AD108" s="149"/>
      <c r="AE108" s="129"/>
      <c r="AF108" s="129"/>
      <c r="AG108" s="129"/>
    </row>
    <row r="109" spans="3:33" x14ac:dyDescent="0.35">
      <c r="C109" s="129"/>
      <c r="D109" s="129"/>
      <c r="E109" s="129"/>
      <c r="F109" s="129"/>
      <c r="G109" s="129"/>
      <c r="H109" s="129"/>
      <c r="I109" s="129"/>
      <c r="J109" s="110"/>
      <c r="K109" s="129"/>
      <c r="L109" t="s">
        <v>351</v>
      </c>
      <c r="M109" s="129"/>
      <c r="N109" s="129"/>
      <c r="O109" s="129"/>
      <c r="P109" s="129"/>
      <c r="Q109" s="129"/>
      <c r="R109" s="129"/>
      <c r="S109" s="129"/>
      <c r="T109" s="129"/>
      <c r="U109" s="141"/>
      <c r="V109" s="139"/>
      <c r="W109" s="129"/>
      <c r="X109" s="129"/>
      <c r="Y109" s="129"/>
      <c r="Z109" s="129"/>
      <c r="AA109" s="129"/>
      <c r="AB109" s="115"/>
      <c r="AC109" s="129"/>
      <c r="AD109" s="149"/>
      <c r="AE109" s="129"/>
      <c r="AF109" s="129"/>
      <c r="AG109" s="129"/>
    </row>
    <row r="110" spans="3:33" x14ac:dyDescent="0.35">
      <c r="C110" s="129"/>
      <c r="D110" s="129"/>
      <c r="E110" s="129"/>
      <c r="F110" s="129"/>
      <c r="G110" s="129"/>
      <c r="H110" s="129"/>
      <c r="I110" s="129"/>
      <c r="J110" s="110"/>
      <c r="K110" s="129"/>
      <c r="L110" t="s">
        <v>351</v>
      </c>
      <c r="M110" s="129"/>
      <c r="N110" s="129"/>
      <c r="O110" s="129"/>
      <c r="P110" s="129"/>
      <c r="Q110" s="129"/>
      <c r="R110" s="129"/>
      <c r="S110" s="129"/>
      <c r="T110" s="129"/>
      <c r="U110" s="141"/>
      <c r="V110" s="139"/>
      <c r="W110" s="129"/>
      <c r="X110" s="129"/>
      <c r="Y110" s="129"/>
      <c r="Z110" s="129"/>
      <c r="AA110" s="129"/>
      <c r="AB110" s="115"/>
      <c r="AC110" s="129"/>
      <c r="AD110" s="149"/>
      <c r="AE110" s="129"/>
      <c r="AF110" s="129"/>
      <c r="AG110" s="129"/>
    </row>
    <row r="111" spans="3:33" x14ac:dyDescent="0.35">
      <c r="C111" s="129"/>
      <c r="D111" s="129"/>
      <c r="E111" s="129"/>
      <c r="F111" s="129"/>
      <c r="G111" s="129"/>
      <c r="H111" s="129"/>
      <c r="I111" s="129"/>
      <c r="J111" s="110"/>
      <c r="K111" s="129"/>
      <c r="L111" t="s">
        <v>351</v>
      </c>
      <c r="M111" s="129"/>
      <c r="N111" s="129"/>
      <c r="O111" s="129"/>
      <c r="P111" s="129"/>
      <c r="Q111" s="129"/>
      <c r="R111" s="129"/>
      <c r="S111" s="129"/>
      <c r="T111" s="129"/>
      <c r="U111" s="141"/>
      <c r="V111" s="139"/>
      <c r="W111" s="129"/>
      <c r="X111" s="129"/>
      <c r="Y111" s="129"/>
      <c r="Z111" s="129"/>
      <c r="AA111" s="129"/>
      <c r="AB111" s="115"/>
      <c r="AC111" s="129"/>
      <c r="AD111" s="149"/>
      <c r="AE111" s="129"/>
      <c r="AF111" s="129"/>
      <c r="AG111" s="129"/>
    </row>
    <row r="112" spans="3:33" x14ac:dyDescent="0.35">
      <c r="C112" s="129"/>
      <c r="D112" s="129"/>
      <c r="E112" s="129"/>
      <c r="F112" s="129"/>
      <c r="G112" s="129"/>
      <c r="H112" s="129"/>
      <c r="I112" s="129"/>
      <c r="J112" s="110"/>
      <c r="K112" s="129"/>
      <c r="L112" t="s">
        <v>351</v>
      </c>
      <c r="M112" s="129"/>
      <c r="N112" s="129"/>
      <c r="O112" s="129"/>
      <c r="P112" s="129"/>
      <c r="Q112" s="129"/>
      <c r="R112" s="129"/>
      <c r="S112" s="129"/>
      <c r="T112" s="129"/>
      <c r="U112" s="141"/>
      <c r="V112" s="139"/>
      <c r="W112" s="129"/>
      <c r="X112" s="129"/>
      <c r="Y112" s="129"/>
      <c r="Z112" s="129"/>
      <c r="AA112" s="129"/>
      <c r="AB112" s="115"/>
      <c r="AC112" s="129"/>
      <c r="AD112" s="149"/>
      <c r="AE112" s="129"/>
      <c r="AF112" s="129"/>
      <c r="AG112" s="129"/>
    </row>
    <row r="113" spans="3:33" x14ac:dyDescent="0.35">
      <c r="C113" s="129"/>
      <c r="D113" s="129"/>
      <c r="E113" s="129"/>
      <c r="F113" s="129"/>
      <c r="G113" s="129"/>
      <c r="H113" s="129"/>
      <c r="I113" s="129"/>
      <c r="J113" s="110"/>
      <c r="K113" s="129"/>
      <c r="L113" t="s">
        <v>351</v>
      </c>
      <c r="M113" s="129"/>
      <c r="N113" s="129"/>
      <c r="O113" s="129"/>
      <c r="P113" s="129"/>
      <c r="Q113" s="129"/>
      <c r="R113" s="129"/>
      <c r="S113" s="129"/>
      <c r="T113" s="129"/>
      <c r="U113" s="141"/>
      <c r="V113" s="139"/>
      <c r="W113" s="129"/>
      <c r="X113" s="129"/>
      <c r="Y113" s="129"/>
      <c r="Z113" s="129"/>
      <c r="AA113" s="129"/>
      <c r="AB113" s="115"/>
      <c r="AC113" s="129"/>
      <c r="AD113" s="149"/>
      <c r="AE113" s="129"/>
      <c r="AF113" s="129"/>
      <c r="AG113" s="129"/>
    </row>
    <row r="114" spans="3:33" x14ac:dyDescent="0.35">
      <c r="C114" s="129"/>
      <c r="D114" s="129"/>
      <c r="E114" s="129"/>
      <c r="F114" s="129"/>
      <c r="G114" s="129"/>
      <c r="H114" s="129"/>
      <c r="I114" s="129"/>
      <c r="J114" s="110"/>
      <c r="K114" s="129"/>
      <c r="L114" t="s">
        <v>351</v>
      </c>
      <c r="M114" s="129"/>
      <c r="N114" s="129"/>
      <c r="O114" s="129"/>
      <c r="P114" s="129"/>
      <c r="Q114" s="129"/>
      <c r="R114" s="129"/>
      <c r="S114" s="129"/>
      <c r="T114" s="129"/>
      <c r="U114" s="141"/>
      <c r="V114" s="139"/>
      <c r="W114" s="129"/>
      <c r="X114" s="129"/>
      <c r="Y114" s="129"/>
      <c r="Z114" s="129"/>
      <c r="AA114" s="129"/>
      <c r="AB114" s="115"/>
      <c r="AC114" s="129"/>
      <c r="AD114" s="149"/>
      <c r="AE114" s="129"/>
      <c r="AF114" s="129"/>
      <c r="AG114" s="129"/>
    </row>
    <row r="115" spans="3:33" x14ac:dyDescent="0.35">
      <c r="C115" s="129"/>
      <c r="D115" s="129"/>
      <c r="E115" s="129"/>
      <c r="F115" s="129"/>
      <c r="G115" s="129"/>
      <c r="H115" s="129"/>
      <c r="I115" s="129"/>
      <c r="J115" s="110"/>
      <c r="K115" s="129"/>
      <c r="L115" t="s">
        <v>351</v>
      </c>
      <c r="M115" s="129"/>
      <c r="N115" s="129"/>
      <c r="O115" s="129"/>
      <c r="P115" s="129"/>
      <c r="Q115" s="129"/>
      <c r="R115" s="129"/>
      <c r="S115" s="129"/>
      <c r="T115" s="129"/>
      <c r="U115" s="141"/>
      <c r="V115" s="139"/>
      <c r="W115" s="129"/>
      <c r="X115" s="129"/>
      <c r="Y115" s="129"/>
      <c r="Z115" s="129"/>
      <c r="AA115" s="129"/>
      <c r="AB115" s="115"/>
      <c r="AC115" s="129"/>
      <c r="AD115" s="149"/>
      <c r="AE115" s="129"/>
      <c r="AF115" s="129"/>
      <c r="AG115" s="129"/>
    </row>
    <row r="116" spans="3:33" x14ac:dyDescent="0.35">
      <c r="C116" s="129"/>
      <c r="D116" s="129"/>
      <c r="E116" s="129"/>
      <c r="F116" s="129"/>
      <c r="G116" s="129"/>
      <c r="H116" s="129"/>
      <c r="I116" s="129"/>
      <c r="J116" s="110"/>
      <c r="K116" s="129"/>
      <c r="L116" t="s">
        <v>351</v>
      </c>
      <c r="M116" s="129"/>
      <c r="N116" s="129"/>
      <c r="O116" s="129"/>
      <c r="P116" s="129"/>
      <c r="Q116" s="129"/>
      <c r="R116" s="129"/>
      <c r="S116" s="129"/>
      <c r="T116" s="129"/>
      <c r="U116" s="141"/>
      <c r="V116" s="139"/>
      <c r="W116" s="129"/>
      <c r="X116" s="129"/>
      <c r="Y116" s="129"/>
      <c r="Z116" s="129"/>
      <c r="AA116" s="129"/>
      <c r="AB116" s="115"/>
      <c r="AC116" s="129"/>
      <c r="AD116" s="149"/>
      <c r="AE116" s="129"/>
      <c r="AF116" s="129"/>
      <c r="AG116" s="129"/>
    </row>
    <row r="117" spans="3:33" x14ac:dyDescent="0.35">
      <c r="C117" s="129"/>
      <c r="D117" s="129"/>
      <c r="E117" s="129"/>
      <c r="F117" s="129"/>
      <c r="G117" s="129"/>
      <c r="H117" s="129"/>
      <c r="I117" s="129"/>
      <c r="J117" s="110"/>
      <c r="K117" s="129"/>
      <c r="L117" t="s">
        <v>351</v>
      </c>
      <c r="M117" s="129"/>
      <c r="N117" s="129"/>
      <c r="O117" s="129"/>
      <c r="P117" s="129"/>
      <c r="Q117" s="129"/>
      <c r="R117" s="129"/>
      <c r="S117" s="129"/>
      <c r="T117" s="129"/>
      <c r="U117" s="141"/>
      <c r="V117" s="139"/>
      <c r="W117" s="129"/>
      <c r="X117" s="129"/>
      <c r="Y117" s="129"/>
      <c r="Z117" s="129"/>
      <c r="AA117" s="129"/>
      <c r="AB117" s="115"/>
      <c r="AC117" s="129"/>
      <c r="AD117" s="149"/>
      <c r="AE117" s="129"/>
      <c r="AF117" s="129"/>
      <c r="AG117" s="129"/>
    </row>
    <row r="118" spans="3:33" x14ac:dyDescent="0.35">
      <c r="C118" s="129"/>
      <c r="D118" s="129"/>
      <c r="E118" s="129"/>
      <c r="F118" s="129"/>
      <c r="G118" s="129"/>
      <c r="H118" s="129"/>
      <c r="I118" s="129"/>
      <c r="J118" s="110"/>
      <c r="K118" s="129"/>
      <c r="L118" t="s">
        <v>351</v>
      </c>
      <c r="M118" s="129"/>
      <c r="N118" s="129"/>
      <c r="O118" s="129"/>
      <c r="P118" s="129"/>
      <c r="Q118" s="129"/>
      <c r="R118" s="129"/>
      <c r="S118" s="129"/>
      <c r="T118" s="129"/>
      <c r="U118" s="141"/>
      <c r="V118" s="139"/>
      <c r="W118" s="129"/>
      <c r="X118" s="129"/>
      <c r="Y118" s="129"/>
      <c r="Z118" s="129"/>
      <c r="AA118" s="129"/>
      <c r="AB118" s="115"/>
      <c r="AC118" s="129"/>
      <c r="AD118" s="149"/>
      <c r="AE118" s="129"/>
      <c r="AF118" s="129"/>
      <c r="AG118" s="129"/>
    </row>
    <row r="119" spans="3:33" x14ac:dyDescent="0.35">
      <c r="C119" s="129"/>
      <c r="D119" s="129"/>
      <c r="E119" s="129"/>
      <c r="F119" s="129"/>
      <c r="G119" s="129"/>
      <c r="H119" s="129"/>
      <c r="I119" s="129"/>
      <c r="J119" s="110"/>
      <c r="K119" s="129"/>
      <c r="L119" t="s">
        <v>351</v>
      </c>
      <c r="M119" s="129"/>
      <c r="N119" s="129"/>
      <c r="O119" s="129"/>
      <c r="P119" s="129"/>
      <c r="Q119" s="129"/>
      <c r="R119" s="129"/>
      <c r="S119" s="129"/>
      <c r="T119" s="129"/>
      <c r="U119" s="141"/>
      <c r="V119" s="139"/>
      <c r="W119" s="129"/>
      <c r="X119" s="129"/>
      <c r="Y119" s="129"/>
      <c r="Z119" s="129"/>
      <c r="AA119" s="129"/>
      <c r="AB119" s="115"/>
      <c r="AC119" s="129"/>
      <c r="AD119" s="149"/>
      <c r="AE119" s="129"/>
      <c r="AF119" s="129"/>
      <c r="AG119" s="129"/>
    </row>
    <row r="120" spans="3:33" x14ac:dyDescent="0.35">
      <c r="C120" s="129"/>
      <c r="D120" s="129"/>
      <c r="E120" s="129"/>
      <c r="F120" s="129"/>
      <c r="G120" s="129"/>
      <c r="H120" s="129"/>
      <c r="I120" s="129"/>
      <c r="J120" s="110"/>
      <c r="K120" s="129"/>
      <c r="L120" t="s">
        <v>351</v>
      </c>
      <c r="M120" s="129"/>
      <c r="N120" s="129"/>
      <c r="O120" s="129"/>
      <c r="P120" s="129"/>
      <c r="Q120" s="129"/>
      <c r="R120" s="129"/>
      <c r="S120" s="129"/>
      <c r="T120" s="129"/>
      <c r="U120" s="141"/>
      <c r="V120" s="139"/>
      <c r="W120" s="129"/>
      <c r="X120" s="129"/>
      <c r="Y120" s="129"/>
      <c r="Z120" s="129"/>
      <c r="AA120" s="129"/>
      <c r="AB120" s="115"/>
      <c r="AC120" s="129"/>
      <c r="AD120" s="149"/>
      <c r="AE120" s="129"/>
      <c r="AF120" s="129"/>
      <c r="AG120" s="129"/>
    </row>
    <row r="121" spans="3:33" x14ac:dyDescent="0.35">
      <c r="C121" s="129"/>
      <c r="D121" s="129"/>
      <c r="E121" s="129"/>
      <c r="F121" s="129"/>
      <c r="G121" s="129"/>
      <c r="H121" s="129"/>
      <c r="I121" s="129"/>
      <c r="J121" s="110"/>
      <c r="K121" s="129"/>
      <c r="L121" t="s">
        <v>351</v>
      </c>
      <c r="M121" s="129"/>
      <c r="N121" s="129"/>
      <c r="O121" s="129"/>
      <c r="P121" s="129"/>
      <c r="Q121" s="129"/>
      <c r="R121" s="129"/>
      <c r="S121" s="129"/>
      <c r="T121" s="129"/>
      <c r="U121" s="141"/>
      <c r="V121" s="139"/>
      <c r="W121" s="129"/>
      <c r="X121" s="129"/>
      <c r="Y121" s="129"/>
      <c r="Z121" s="129"/>
      <c r="AA121" s="129"/>
      <c r="AB121" s="115"/>
      <c r="AC121" s="129"/>
      <c r="AD121" s="149"/>
      <c r="AE121" s="129"/>
      <c r="AF121" s="129"/>
      <c r="AG121" s="129"/>
    </row>
    <row r="122" spans="3:33" x14ac:dyDescent="0.35">
      <c r="C122" s="129"/>
      <c r="D122" s="129"/>
      <c r="E122" s="129"/>
      <c r="F122" s="129"/>
      <c r="G122" s="129"/>
      <c r="H122" s="129"/>
      <c r="I122" s="129"/>
      <c r="J122" s="110"/>
      <c r="K122" s="129"/>
      <c r="L122" t="s">
        <v>351</v>
      </c>
      <c r="M122" s="129"/>
      <c r="N122" s="129"/>
      <c r="O122" s="129"/>
      <c r="P122" s="129"/>
      <c r="Q122" s="129"/>
      <c r="R122" s="129"/>
      <c r="S122" s="129"/>
      <c r="T122" s="129"/>
      <c r="U122" s="141"/>
      <c r="V122" s="139"/>
      <c r="W122" s="129"/>
      <c r="X122" s="129"/>
      <c r="Y122" s="129"/>
      <c r="Z122" s="129"/>
      <c r="AA122" s="129"/>
      <c r="AB122" s="115"/>
      <c r="AC122" s="129"/>
      <c r="AD122" s="149"/>
      <c r="AE122" s="129"/>
      <c r="AF122" s="129"/>
      <c r="AG122" s="129"/>
    </row>
    <row r="123" spans="3:33" x14ac:dyDescent="0.35">
      <c r="C123" s="129"/>
      <c r="D123" s="129"/>
      <c r="E123" s="129"/>
      <c r="F123" s="129"/>
      <c r="G123" s="129"/>
      <c r="H123" s="129"/>
      <c r="I123" s="129"/>
      <c r="J123" s="110"/>
      <c r="K123" s="129"/>
      <c r="L123" t="s">
        <v>351</v>
      </c>
      <c r="M123" s="129"/>
      <c r="N123" s="129"/>
      <c r="O123" s="129"/>
      <c r="P123" s="129"/>
      <c r="Q123" s="129"/>
      <c r="R123" s="129"/>
      <c r="S123" s="129"/>
      <c r="T123" s="129"/>
      <c r="U123" s="141"/>
      <c r="V123" s="139"/>
      <c r="W123" s="129"/>
      <c r="X123" s="129"/>
      <c r="Y123" s="129"/>
      <c r="Z123" s="129"/>
      <c r="AA123" s="129"/>
      <c r="AB123" s="115"/>
      <c r="AC123" s="129"/>
      <c r="AD123" s="149"/>
      <c r="AE123" s="129"/>
      <c r="AF123" s="129"/>
      <c r="AG123" s="129"/>
    </row>
    <row r="124" spans="3:33" x14ac:dyDescent="0.35">
      <c r="C124" s="129"/>
      <c r="D124" s="129"/>
      <c r="E124" s="129"/>
      <c r="F124" s="129"/>
      <c r="G124" s="129"/>
      <c r="H124" s="129"/>
      <c r="I124" s="129"/>
      <c r="J124" s="110"/>
      <c r="K124" s="129"/>
      <c r="L124" t="s">
        <v>351</v>
      </c>
      <c r="M124" s="129"/>
      <c r="N124" s="129"/>
      <c r="O124" s="129"/>
      <c r="P124" s="129"/>
      <c r="Q124" s="129"/>
      <c r="R124" s="129"/>
      <c r="S124" s="129"/>
      <c r="T124" s="129"/>
      <c r="U124" s="141"/>
      <c r="V124" s="139"/>
      <c r="W124" s="129"/>
      <c r="X124" s="129"/>
      <c r="Y124" s="129"/>
      <c r="Z124" s="129"/>
      <c r="AA124" s="129"/>
      <c r="AB124" s="115"/>
      <c r="AC124" s="129"/>
      <c r="AD124" s="149"/>
      <c r="AE124" s="129"/>
      <c r="AF124" s="129"/>
      <c r="AG124" s="129"/>
    </row>
    <row r="125" spans="3:33" x14ac:dyDescent="0.35">
      <c r="C125" s="129"/>
      <c r="D125" s="129"/>
      <c r="E125" s="129"/>
      <c r="F125" s="129"/>
      <c r="G125" s="129"/>
      <c r="H125" s="129"/>
      <c r="I125" s="129"/>
      <c r="J125" s="110"/>
      <c r="K125" s="129"/>
      <c r="L125" t="s">
        <v>351</v>
      </c>
      <c r="M125" s="129"/>
      <c r="N125" s="129"/>
      <c r="O125" s="129"/>
      <c r="P125" s="129"/>
      <c r="Q125" s="129"/>
      <c r="R125" s="129"/>
      <c r="S125" s="129"/>
      <c r="T125" s="129"/>
      <c r="U125" s="141"/>
      <c r="V125" s="139"/>
      <c r="W125" s="129"/>
      <c r="X125" s="129"/>
      <c r="Y125" s="129"/>
      <c r="Z125" s="129"/>
      <c r="AA125" s="129"/>
      <c r="AB125" s="115"/>
      <c r="AC125" s="129"/>
      <c r="AD125" s="149"/>
      <c r="AE125" s="129"/>
      <c r="AF125" s="129"/>
      <c r="AG125" s="129"/>
    </row>
    <row r="126" spans="3:33" x14ac:dyDescent="0.35">
      <c r="C126" s="129"/>
      <c r="D126" s="129"/>
      <c r="E126" s="129"/>
      <c r="F126" s="129"/>
      <c r="G126" s="129"/>
      <c r="H126" s="129"/>
      <c r="I126" s="129"/>
      <c r="J126" s="110"/>
      <c r="K126" s="129"/>
      <c r="L126" t="s">
        <v>351</v>
      </c>
      <c r="M126" s="129"/>
      <c r="N126" s="129"/>
      <c r="O126" s="129"/>
      <c r="P126" s="129"/>
      <c r="Q126" s="129"/>
      <c r="R126" s="129"/>
      <c r="S126" s="129"/>
      <c r="T126" s="129"/>
      <c r="U126" s="141"/>
      <c r="V126" s="139"/>
      <c r="W126" s="129"/>
      <c r="X126" s="129"/>
      <c r="Y126" s="129"/>
      <c r="Z126" s="129"/>
      <c r="AA126" s="129"/>
      <c r="AB126" s="115"/>
      <c r="AC126" s="129"/>
      <c r="AD126" s="149"/>
      <c r="AE126" s="129"/>
      <c r="AF126" s="129"/>
      <c r="AG126" s="129"/>
    </row>
    <row r="127" spans="3:33" x14ac:dyDescent="0.35">
      <c r="C127" s="129"/>
      <c r="D127" s="129"/>
      <c r="E127" s="129"/>
      <c r="F127" s="129"/>
      <c r="G127" s="129"/>
      <c r="H127" s="129"/>
      <c r="I127" s="129"/>
      <c r="J127" s="110"/>
      <c r="K127" s="129"/>
      <c r="L127" t="s">
        <v>351</v>
      </c>
      <c r="M127" s="129"/>
      <c r="N127" s="129"/>
      <c r="O127" s="129"/>
      <c r="P127" s="129"/>
      <c r="Q127" s="129"/>
      <c r="R127" s="129"/>
      <c r="S127" s="129"/>
      <c r="T127" s="129"/>
      <c r="U127" s="141"/>
      <c r="V127" s="139"/>
      <c r="W127" s="129"/>
      <c r="X127" s="129"/>
      <c r="Y127" s="129"/>
      <c r="Z127" s="129"/>
      <c r="AA127" s="129"/>
      <c r="AB127" s="115"/>
      <c r="AC127" s="129"/>
      <c r="AD127" s="149"/>
      <c r="AE127" s="129"/>
      <c r="AF127" s="129"/>
      <c r="AG127" s="129"/>
    </row>
    <row r="128" spans="3:33" x14ac:dyDescent="0.35">
      <c r="C128" s="129"/>
      <c r="D128" s="129"/>
      <c r="E128" s="129"/>
      <c r="F128" s="129"/>
      <c r="G128" s="129"/>
      <c r="H128" s="129"/>
      <c r="I128" s="129"/>
      <c r="J128" s="110"/>
      <c r="K128" s="129"/>
      <c r="L128" t="s">
        <v>351</v>
      </c>
      <c r="M128" s="129"/>
      <c r="N128" s="129"/>
      <c r="O128" s="129"/>
      <c r="P128" s="129"/>
      <c r="Q128" s="129"/>
      <c r="R128" s="129"/>
      <c r="S128" s="129"/>
      <c r="T128" s="129"/>
      <c r="U128" s="141"/>
      <c r="V128" s="139"/>
      <c r="W128" s="129"/>
      <c r="X128" s="129"/>
      <c r="Y128" s="129"/>
      <c r="Z128" s="129"/>
      <c r="AA128" s="129"/>
      <c r="AB128" s="115"/>
      <c r="AC128" s="129"/>
      <c r="AD128" s="149"/>
      <c r="AE128" s="129"/>
      <c r="AF128" s="129"/>
      <c r="AG128" s="129"/>
    </row>
    <row r="129" spans="3:33" x14ac:dyDescent="0.35">
      <c r="C129" s="129"/>
      <c r="D129" s="129"/>
      <c r="E129" s="129"/>
      <c r="F129" s="129"/>
      <c r="G129" s="129"/>
      <c r="H129" s="129"/>
      <c r="I129" s="129"/>
      <c r="J129" s="110"/>
      <c r="K129" s="129"/>
      <c r="L129" t="s">
        <v>351</v>
      </c>
      <c r="M129" s="129"/>
      <c r="N129" s="129"/>
      <c r="O129" s="129"/>
      <c r="P129" s="129"/>
      <c r="Q129" s="129"/>
      <c r="R129" s="129"/>
      <c r="S129" s="129"/>
      <c r="T129" s="129"/>
      <c r="U129" s="141"/>
      <c r="V129" s="139"/>
      <c r="W129" s="129"/>
      <c r="X129" s="129"/>
      <c r="Y129" s="129"/>
      <c r="Z129" s="129"/>
      <c r="AA129" s="129"/>
      <c r="AB129" s="115"/>
      <c r="AC129" s="129"/>
      <c r="AD129" s="149"/>
      <c r="AE129" s="129"/>
      <c r="AF129" s="129"/>
      <c r="AG129" s="129"/>
    </row>
    <row r="130" spans="3:33" x14ac:dyDescent="0.35">
      <c r="C130" s="129"/>
      <c r="D130" s="129"/>
      <c r="E130" s="129"/>
      <c r="F130" s="129"/>
      <c r="G130" s="129"/>
      <c r="H130" s="129"/>
      <c r="I130" s="129"/>
      <c r="J130" s="110"/>
      <c r="K130" s="129"/>
      <c r="L130" t="s">
        <v>351</v>
      </c>
      <c r="M130" s="129"/>
      <c r="N130" s="129"/>
      <c r="O130" s="129"/>
      <c r="P130" s="129"/>
      <c r="Q130" s="129"/>
      <c r="R130" s="129"/>
      <c r="S130" s="129"/>
      <c r="T130" s="129"/>
      <c r="U130" s="141"/>
      <c r="V130" s="139"/>
      <c r="W130" s="129"/>
      <c r="X130" s="129"/>
      <c r="Y130" s="129"/>
      <c r="Z130" s="129"/>
      <c r="AA130" s="129"/>
      <c r="AB130" s="115"/>
      <c r="AC130" s="129"/>
      <c r="AD130" s="149"/>
      <c r="AE130" s="129"/>
      <c r="AF130" s="129"/>
      <c r="AG130" s="129"/>
    </row>
    <row r="131" spans="3:33" x14ac:dyDescent="0.35">
      <c r="C131" s="129"/>
      <c r="D131" s="129"/>
      <c r="E131" s="129"/>
      <c r="F131" s="129"/>
      <c r="G131" s="129"/>
      <c r="H131" s="129"/>
      <c r="I131" s="129"/>
      <c r="J131" s="110"/>
      <c r="K131" s="129"/>
      <c r="L131" t="s">
        <v>351</v>
      </c>
      <c r="M131" s="129"/>
      <c r="N131" s="129"/>
      <c r="O131" s="129"/>
      <c r="P131" s="129"/>
      <c r="Q131" s="129"/>
      <c r="R131" s="129"/>
      <c r="S131" s="129"/>
      <c r="T131" s="129"/>
      <c r="U131" s="141"/>
      <c r="V131" s="139"/>
      <c r="W131" s="129"/>
      <c r="X131" s="129"/>
      <c r="Y131" s="129"/>
      <c r="Z131" s="129"/>
      <c r="AA131" s="129"/>
      <c r="AB131" s="115"/>
      <c r="AC131" s="129"/>
      <c r="AD131" s="149"/>
      <c r="AE131" s="129"/>
      <c r="AF131" s="129"/>
      <c r="AG131" s="129"/>
    </row>
    <row r="132" spans="3:33" x14ac:dyDescent="0.35">
      <c r="C132" s="129"/>
      <c r="D132" s="129"/>
      <c r="E132" s="129"/>
      <c r="F132" s="129"/>
      <c r="G132" s="129"/>
      <c r="H132" s="129"/>
      <c r="I132" s="129"/>
      <c r="J132" s="110"/>
      <c r="K132" s="129"/>
      <c r="L132" t="s">
        <v>351</v>
      </c>
      <c r="M132" s="129"/>
      <c r="N132" s="129"/>
      <c r="O132" s="129"/>
      <c r="P132" s="129"/>
      <c r="Q132" s="129"/>
      <c r="R132" s="129"/>
      <c r="S132" s="129"/>
      <c r="T132" s="129"/>
      <c r="U132" s="141"/>
      <c r="V132" s="139"/>
      <c r="W132" s="129"/>
      <c r="X132" s="129"/>
      <c r="Y132" s="129"/>
      <c r="Z132" s="129"/>
      <c r="AA132" s="129"/>
      <c r="AB132" s="115"/>
      <c r="AC132" s="129"/>
      <c r="AD132" s="149"/>
      <c r="AE132" s="129"/>
      <c r="AF132" s="129"/>
      <c r="AG132" s="129"/>
    </row>
    <row r="133" spans="3:33" x14ac:dyDescent="0.35">
      <c r="C133" s="129"/>
      <c r="D133" s="129"/>
      <c r="E133" s="129"/>
      <c r="F133" s="129"/>
      <c r="G133" s="129"/>
      <c r="H133" s="129"/>
      <c r="I133" s="129"/>
      <c r="J133" s="110"/>
      <c r="K133" s="129"/>
      <c r="L133" t="s">
        <v>351</v>
      </c>
      <c r="M133" s="129"/>
      <c r="N133" s="129"/>
      <c r="O133" s="129"/>
      <c r="P133" s="129"/>
      <c r="Q133" s="129"/>
      <c r="R133" s="129"/>
      <c r="S133" s="129"/>
      <c r="T133" s="129"/>
      <c r="U133" s="141"/>
      <c r="V133" s="139"/>
      <c r="W133" s="129"/>
      <c r="X133" s="129"/>
      <c r="Y133" s="129"/>
      <c r="Z133" s="129"/>
      <c r="AA133" s="129"/>
      <c r="AB133" s="115"/>
      <c r="AC133" s="129"/>
      <c r="AD133" s="149"/>
      <c r="AE133" s="129"/>
      <c r="AF133" s="129"/>
      <c r="AG133" s="129"/>
    </row>
    <row r="134" spans="3:33" x14ac:dyDescent="0.35">
      <c r="C134" s="129"/>
      <c r="D134" s="129"/>
      <c r="E134" s="129"/>
      <c r="F134" s="129"/>
      <c r="G134" s="129"/>
      <c r="H134" s="129"/>
      <c r="I134" s="129"/>
      <c r="J134" s="110"/>
      <c r="K134" s="129"/>
      <c r="L134" t="s">
        <v>351</v>
      </c>
      <c r="M134" s="129"/>
      <c r="N134" s="129"/>
      <c r="O134" s="129"/>
      <c r="P134" s="129"/>
      <c r="Q134" s="129"/>
      <c r="R134" s="129"/>
      <c r="S134" s="129"/>
      <c r="T134" s="129"/>
      <c r="U134" s="141"/>
      <c r="V134" s="139"/>
      <c r="W134" s="129"/>
      <c r="X134" s="129"/>
      <c r="Y134" s="129"/>
      <c r="Z134" s="129"/>
      <c r="AA134" s="129"/>
      <c r="AB134" s="115"/>
      <c r="AC134" s="129"/>
      <c r="AD134" s="149"/>
      <c r="AE134" s="129"/>
      <c r="AF134" s="129"/>
      <c r="AG134" s="129"/>
    </row>
    <row r="135" spans="3:33" x14ac:dyDescent="0.35">
      <c r="C135" s="129"/>
      <c r="D135" s="129"/>
      <c r="E135" s="129"/>
      <c r="F135" s="129"/>
      <c r="G135" s="129"/>
      <c r="H135" s="129"/>
      <c r="I135" s="129"/>
      <c r="J135" s="110"/>
      <c r="K135" s="129"/>
      <c r="L135" t="s">
        <v>351</v>
      </c>
      <c r="M135" s="129"/>
      <c r="N135" s="129"/>
      <c r="O135" s="129"/>
      <c r="P135" s="129"/>
      <c r="Q135" s="129"/>
      <c r="R135" s="129"/>
      <c r="S135" s="129"/>
      <c r="T135" s="129"/>
      <c r="U135" s="141"/>
      <c r="V135" s="139"/>
      <c r="W135" s="129"/>
      <c r="X135" s="129"/>
      <c r="Y135" s="129"/>
      <c r="Z135" s="129"/>
      <c r="AA135" s="129"/>
      <c r="AB135" s="115"/>
      <c r="AC135" s="129"/>
      <c r="AD135" s="149"/>
      <c r="AE135" s="129"/>
      <c r="AF135" s="129"/>
      <c r="AG135" s="129"/>
    </row>
    <row r="136" spans="3:33" x14ac:dyDescent="0.35">
      <c r="C136" s="129"/>
      <c r="D136" s="129"/>
      <c r="E136" s="129"/>
      <c r="F136" s="129"/>
      <c r="G136" s="129"/>
      <c r="H136" s="129"/>
      <c r="I136" s="129"/>
      <c r="J136" s="110"/>
      <c r="K136" s="129"/>
      <c r="L136" t="s">
        <v>351</v>
      </c>
      <c r="M136" s="129"/>
      <c r="N136" s="129"/>
      <c r="O136" s="129"/>
      <c r="P136" s="129"/>
      <c r="Q136" s="129"/>
      <c r="R136" s="129"/>
      <c r="S136" s="129"/>
      <c r="T136" s="129"/>
      <c r="U136" s="141"/>
      <c r="V136" s="139"/>
      <c r="W136" s="129"/>
      <c r="X136" s="129"/>
      <c r="Y136" s="129"/>
      <c r="Z136" s="129"/>
      <c r="AA136" s="129"/>
      <c r="AB136" s="115"/>
      <c r="AC136" s="129"/>
      <c r="AD136" s="149"/>
      <c r="AE136" s="129"/>
      <c r="AF136" s="129"/>
      <c r="AG136" s="129"/>
    </row>
    <row r="137" spans="3:33" x14ac:dyDescent="0.35">
      <c r="C137" s="129"/>
      <c r="D137" s="129"/>
      <c r="E137" s="129"/>
      <c r="F137" s="129"/>
      <c r="G137" s="129"/>
      <c r="H137" s="129"/>
      <c r="I137" s="129"/>
      <c r="J137" s="110"/>
      <c r="K137" s="129"/>
      <c r="L137" t="s">
        <v>351</v>
      </c>
      <c r="M137" s="129"/>
      <c r="N137" s="129"/>
      <c r="O137" s="129"/>
      <c r="P137" s="129"/>
      <c r="Q137" s="129"/>
      <c r="R137" s="129"/>
      <c r="S137" s="129"/>
      <c r="T137" s="129"/>
      <c r="U137" s="141"/>
      <c r="V137" s="139"/>
      <c r="W137" s="129"/>
      <c r="X137" s="129"/>
      <c r="Y137" s="129"/>
      <c r="Z137" s="129"/>
      <c r="AA137" s="129"/>
      <c r="AB137" s="115"/>
      <c r="AC137" s="129"/>
      <c r="AD137" s="149"/>
      <c r="AE137" s="129"/>
      <c r="AF137" s="129"/>
      <c r="AG137" s="129"/>
    </row>
    <row r="138" spans="3:33" x14ac:dyDescent="0.35">
      <c r="C138" s="129"/>
      <c r="D138" s="129"/>
      <c r="E138" s="129"/>
      <c r="F138" s="129"/>
      <c r="G138" s="129"/>
      <c r="H138" s="129"/>
      <c r="I138" s="129"/>
      <c r="J138" s="110"/>
      <c r="K138" s="129"/>
      <c r="L138" t="s">
        <v>351</v>
      </c>
      <c r="M138" s="129"/>
      <c r="N138" s="129"/>
      <c r="O138" s="129"/>
      <c r="P138" s="129"/>
      <c r="Q138" s="129"/>
      <c r="R138" s="129"/>
      <c r="S138" s="129"/>
      <c r="T138" s="129"/>
      <c r="U138" s="141"/>
      <c r="V138" s="139"/>
      <c r="W138" s="129"/>
      <c r="X138" s="129"/>
      <c r="Y138" s="129"/>
      <c r="Z138" s="129"/>
      <c r="AA138" s="129"/>
      <c r="AB138" s="115"/>
      <c r="AC138" s="129"/>
      <c r="AD138" s="149"/>
      <c r="AE138" s="129"/>
      <c r="AF138" s="129"/>
      <c r="AG138" s="129"/>
    </row>
    <row r="139" spans="3:33" x14ac:dyDescent="0.35">
      <c r="C139" s="129"/>
      <c r="D139" s="129"/>
      <c r="E139" s="129"/>
      <c r="F139" s="129"/>
      <c r="G139" s="129"/>
      <c r="H139" s="129"/>
      <c r="I139" s="129"/>
      <c r="J139" s="110"/>
      <c r="K139" s="129"/>
      <c r="L139" t="s">
        <v>351</v>
      </c>
      <c r="M139" s="129"/>
      <c r="N139" s="129"/>
      <c r="O139" s="129"/>
      <c r="P139" s="129"/>
      <c r="Q139" s="129"/>
      <c r="R139" s="129"/>
      <c r="S139" s="129"/>
      <c r="T139" s="129"/>
      <c r="U139" s="141"/>
      <c r="V139" s="139"/>
      <c r="W139" s="129"/>
      <c r="X139" s="129"/>
      <c r="Y139" s="129"/>
      <c r="Z139" s="129"/>
      <c r="AA139" s="129"/>
      <c r="AB139" s="115"/>
      <c r="AC139" s="129"/>
      <c r="AD139" s="149"/>
      <c r="AE139" s="129"/>
      <c r="AF139" s="129"/>
      <c r="AG139" s="129"/>
    </row>
    <row r="140" spans="3:33" x14ac:dyDescent="0.35">
      <c r="C140" s="129"/>
      <c r="D140" s="129"/>
      <c r="E140" s="129"/>
      <c r="F140" s="129"/>
      <c r="G140" s="129"/>
      <c r="H140" s="129"/>
      <c r="I140" s="129"/>
      <c r="J140" s="110"/>
      <c r="K140" s="129"/>
      <c r="L140" t="s">
        <v>351</v>
      </c>
      <c r="M140" s="129"/>
      <c r="N140" s="129"/>
      <c r="O140" s="129"/>
      <c r="P140" s="129"/>
      <c r="Q140" s="129"/>
      <c r="R140" s="129"/>
      <c r="S140" s="129"/>
      <c r="T140" s="129"/>
      <c r="U140" s="141"/>
      <c r="V140" s="139"/>
      <c r="W140" s="129"/>
      <c r="X140" s="129"/>
      <c r="Y140" s="129"/>
      <c r="Z140" s="129"/>
      <c r="AA140" s="129"/>
      <c r="AB140" s="115"/>
      <c r="AC140" s="129"/>
      <c r="AD140" s="149"/>
      <c r="AE140" s="129"/>
      <c r="AF140" s="129"/>
      <c r="AG140" s="129"/>
    </row>
    <row r="141" spans="3:33" x14ac:dyDescent="0.35">
      <c r="C141" s="129"/>
      <c r="D141" s="129"/>
      <c r="E141" s="129"/>
      <c r="F141" s="129"/>
      <c r="G141" s="129"/>
      <c r="H141" s="129"/>
      <c r="I141" s="129"/>
      <c r="J141" s="110"/>
      <c r="K141" s="129"/>
      <c r="L141" t="s">
        <v>351</v>
      </c>
      <c r="M141" s="129"/>
      <c r="N141" s="129"/>
      <c r="O141" s="129"/>
      <c r="P141" s="129"/>
      <c r="Q141" s="129"/>
      <c r="R141" s="129"/>
      <c r="S141" s="129"/>
      <c r="T141" s="129"/>
      <c r="U141" s="141"/>
      <c r="V141" s="139"/>
      <c r="W141" s="129"/>
      <c r="X141" s="129"/>
      <c r="Y141" s="129"/>
      <c r="Z141" s="129"/>
      <c r="AA141" s="129"/>
      <c r="AB141" s="115"/>
      <c r="AC141" s="129"/>
      <c r="AD141" s="149"/>
      <c r="AE141" s="129"/>
      <c r="AF141" s="129"/>
      <c r="AG141" s="129"/>
    </row>
    <row r="142" spans="3:33" x14ac:dyDescent="0.35">
      <c r="C142" s="129"/>
      <c r="D142" s="129"/>
      <c r="E142" s="129"/>
      <c r="F142" s="129"/>
      <c r="G142" s="129"/>
      <c r="H142" s="129"/>
      <c r="I142" s="129"/>
      <c r="J142" s="110"/>
      <c r="K142" s="129"/>
      <c r="L142" t="s">
        <v>351</v>
      </c>
      <c r="M142" s="129"/>
      <c r="N142" s="129"/>
      <c r="O142" s="129"/>
      <c r="P142" s="129"/>
      <c r="Q142" s="129"/>
      <c r="R142" s="129"/>
      <c r="S142" s="129"/>
      <c r="T142" s="129"/>
      <c r="U142" s="141"/>
      <c r="V142" s="139"/>
      <c r="W142" s="129"/>
      <c r="X142" s="129"/>
      <c r="Y142" s="129"/>
      <c r="Z142" s="129"/>
      <c r="AA142" s="129"/>
      <c r="AB142" s="115"/>
      <c r="AC142" s="129"/>
      <c r="AD142" s="149"/>
      <c r="AE142" s="129"/>
      <c r="AF142" s="129"/>
      <c r="AG142" s="129"/>
    </row>
    <row r="143" spans="3:33" x14ac:dyDescent="0.35">
      <c r="C143" s="129"/>
      <c r="D143" s="129"/>
      <c r="E143" s="129"/>
      <c r="F143" s="129"/>
      <c r="G143" s="129"/>
      <c r="H143" s="129"/>
      <c r="I143" s="129"/>
      <c r="J143" s="110"/>
      <c r="K143" s="129"/>
      <c r="L143" t="s">
        <v>351</v>
      </c>
      <c r="M143" s="129"/>
      <c r="N143" s="129"/>
      <c r="O143" s="129"/>
      <c r="P143" s="129"/>
      <c r="Q143" s="129"/>
      <c r="R143" s="129"/>
      <c r="S143" s="129"/>
      <c r="T143" s="129"/>
      <c r="U143" s="141"/>
      <c r="V143" s="139"/>
      <c r="W143" s="129"/>
      <c r="X143" s="129"/>
      <c r="Y143" s="129"/>
      <c r="Z143" s="129"/>
      <c r="AA143" s="129"/>
      <c r="AB143" s="115"/>
      <c r="AC143" s="129"/>
      <c r="AD143" s="149"/>
      <c r="AE143" s="129"/>
      <c r="AF143" s="129"/>
      <c r="AG143" s="129"/>
    </row>
    <row r="144" spans="3:33" x14ac:dyDescent="0.35">
      <c r="C144" s="129"/>
      <c r="D144" s="129"/>
      <c r="E144" s="129"/>
      <c r="F144" s="129"/>
      <c r="G144" s="129"/>
      <c r="H144" s="129"/>
      <c r="I144" s="129"/>
      <c r="J144" s="110"/>
      <c r="K144" s="129"/>
      <c r="L144" t="s">
        <v>351</v>
      </c>
      <c r="M144" s="129"/>
      <c r="N144" s="129"/>
      <c r="O144" s="129"/>
      <c r="P144" s="129"/>
      <c r="Q144" s="129"/>
      <c r="R144" s="129"/>
      <c r="S144" s="129"/>
      <c r="T144" s="129"/>
      <c r="U144" s="141"/>
      <c r="V144" s="139"/>
      <c r="W144" s="129"/>
      <c r="X144" s="129"/>
      <c r="Y144" s="129"/>
      <c r="Z144" s="129"/>
      <c r="AA144" s="129"/>
      <c r="AB144" s="115"/>
      <c r="AC144" s="129"/>
      <c r="AD144" s="149"/>
      <c r="AE144" s="129"/>
      <c r="AF144" s="129"/>
      <c r="AG144" s="129"/>
    </row>
    <row r="145" spans="3:33" x14ac:dyDescent="0.35">
      <c r="C145" s="129"/>
      <c r="D145" s="129"/>
      <c r="E145" s="129"/>
      <c r="F145" s="129"/>
      <c r="G145" s="129"/>
      <c r="H145" s="129"/>
      <c r="I145" s="129"/>
      <c r="J145" s="110"/>
      <c r="K145" s="129"/>
      <c r="L145" t="s">
        <v>351</v>
      </c>
      <c r="M145" s="129"/>
      <c r="N145" s="129"/>
      <c r="O145" s="129"/>
      <c r="P145" s="129"/>
      <c r="Q145" s="129"/>
      <c r="R145" s="129"/>
      <c r="S145" s="129"/>
      <c r="T145" s="129"/>
      <c r="U145" s="141"/>
      <c r="V145" s="139"/>
      <c r="W145" s="129"/>
      <c r="X145" s="129"/>
      <c r="Y145" s="129"/>
      <c r="Z145" s="129"/>
      <c r="AA145" s="129"/>
      <c r="AB145" s="115"/>
      <c r="AC145" s="129"/>
      <c r="AD145" s="149"/>
      <c r="AE145" s="129"/>
      <c r="AF145" s="129"/>
      <c r="AG145" s="129"/>
    </row>
    <row r="146" spans="3:33" x14ac:dyDescent="0.35">
      <c r="C146" s="129"/>
      <c r="D146" s="129"/>
      <c r="E146" s="129"/>
      <c r="F146" s="129"/>
      <c r="G146" s="129"/>
      <c r="H146" s="129"/>
      <c r="I146" s="129"/>
      <c r="J146" s="110"/>
      <c r="K146" s="129"/>
      <c r="L146" t="s">
        <v>351</v>
      </c>
      <c r="M146" s="129"/>
      <c r="N146" s="129"/>
      <c r="O146" s="129"/>
      <c r="P146" s="129"/>
      <c r="Q146" s="129"/>
      <c r="R146" s="129"/>
      <c r="S146" s="129"/>
      <c r="T146" s="129"/>
      <c r="U146" s="141"/>
      <c r="V146" s="139"/>
      <c r="W146" s="129"/>
      <c r="X146" s="129"/>
      <c r="Y146" s="129"/>
      <c r="Z146" s="129"/>
      <c r="AA146" s="129"/>
      <c r="AB146" s="115"/>
      <c r="AC146" s="129"/>
      <c r="AD146" s="149"/>
      <c r="AE146" s="129"/>
      <c r="AF146" s="129"/>
      <c r="AG146" s="129"/>
    </row>
    <row r="147" spans="3:33" x14ac:dyDescent="0.35">
      <c r="C147" s="129"/>
      <c r="D147" s="129"/>
      <c r="E147" s="129"/>
      <c r="F147" s="129"/>
      <c r="G147" s="129"/>
      <c r="H147" s="129"/>
      <c r="I147" s="129"/>
      <c r="J147" s="110"/>
      <c r="K147" s="129"/>
      <c r="L147" t="s">
        <v>351</v>
      </c>
      <c r="M147" s="129"/>
      <c r="N147" s="129"/>
      <c r="O147" s="129"/>
      <c r="P147" s="129"/>
      <c r="Q147" s="129"/>
      <c r="R147" s="129"/>
      <c r="S147" s="129"/>
      <c r="T147" s="129"/>
      <c r="U147" s="141"/>
      <c r="V147" s="139"/>
      <c r="W147" s="129"/>
      <c r="X147" s="129"/>
      <c r="Y147" s="129"/>
      <c r="Z147" s="129"/>
      <c r="AA147" s="129"/>
      <c r="AB147" s="115"/>
      <c r="AC147" s="129"/>
      <c r="AD147" s="149"/>
      <c r="AE147" s="129"/>
      <c r="AF147" s="129"/>
      <c r="AG147" s="129"/>
    </row>
    <row r="148" spans="3:33" x14ac:dyDescent="0.35">
      <c r="C148" s="129"/>
      <c r="D148" s="129"/>
      <c r="E148" s="129"/>
      <c r="F148" s="129"/>
      <c r="G148" s="129"/>
      <c r="H148" s="129"/>
      <c r="I148" s="129"/>
      <c r="J148" s="110"/>
      <c r="K148" s="129"/>
      <c r="L148" t="s">
        <v>351</v>
      </c>
      <c r="M148" s="129"/>
      <c r="N148" s="129"/>
      <c r="O148" s="129"/>
      <c r="P148" s="129"/>
      <c r="Q148" s="129"/>
      <c r="R148" s="129"/>
      <c r="S148" s="129"/>
      <c r="T148" s="129"/>
      <c r="U148" s="141"/>
      <c r="V148" s="139"/>
      <c r="W148" s="129"/>
      <c r="X148" s="129"/>
      <c r="Y148" s="129"/>
      <c r="Z148" s="129"/>
      <c r="AA148" s="129"/>
      <c r="AB148" s="115"/>
      <c r="AC148" s="129"/>
      <c r="AD148" s="149"/>
      <c r="AE148" s="129"/>
      <c r="AF148" s="129"/>
      <c r="AG148" s="129"/>
    </row>
    <row r="149" spans="3:33" x14ac:dyDescent="0.35">
      <c r="C149" s="129"/>
      <c r="D149" s="129"/>
      <c r="E149" s="129"/>
      <c r="F149" s="129"/>
      <c r="G149" s="129"/>
      <c r="H149" s="129"/>
      <c r="I149" s="129"/>
      <c r="J149" s="110"/>
      <c r="K149" s="129"/>
      <c r="L149" t="s">
        <v>351</v>
      </c>
      <c r="M149" s="129"/>
      <c r="N149" s="129"/>
      <c r="O149" s="129"/>
      <c r="P149" s="129"/>
      <c r="Q149" s="129"/>
      <c r="R149" s="129"/>
      <c r="S149" s="129"/>
      <c r="T149" s="129"/>
      <c r="U149" s="141"/>
      <c r="V149" s="139"/>
      <c r="W149" s="129"/>
      <c r="X149" s="129"/>
      <c r="Y149" s="129"/>
      <c r="Z149" s="129"/>
      <c r="AA149" s="129"/>
      <c r="AB149" s="115"/>
      <c r="AC149" s="129"/>
      <c r="AD149" s="149"/>
      <c r="AE149" s="129"/>
      <c r="AF149" s="129"/>
      <c r="AG149" s="129"/>
    </row>
    <row r="150" spans="3:33" x14ac:dyDescent="0.35">
      <c r="C150" s="129"/>
      <c r="D150" s="129"/>
      <c r="E150" s="129"/>
      <c r="F150" s="129"/>
      <c r="G150" s="129"/>
      <c r="H150" s="129"/>
      <c r="I150" s="129"/>
      <c r="J150" s="110"/>
      <c r="K150" s="129"/>
      <c r="L150" t="s">
        <v>351</v>
      </c>
      <c r="M150" s="129"/>
      <c r="N150" s="129"/>
      <c r="O150" s="129"/>
      <c r="P150" s="129"/>
      <c r="Q150" s="129"/>
      <c r="R150" s="129"/>
      <c r="S150" s="129"/>
      <c r="T150" s="129"/>
      <c r="U150" s="141"/>
      <c r="V150" s="139"/>
      <c r="W150" s="129"/>
      <c r="X150" s="129"/>
      <c r="Y150" s="129"/>
      <c r="Z150" s="129"/>
      <c r="AA150" s="129"/>
      <c r="AB150" s="115"/>
      <c r="AC150" s="129"/>
      <c r="AD150" s="149"/>
      <c r="AE150" s="129"/>
      <c r="AF150" s="129"/>
      <c r="AG150" s="129"/>
    </row>
    <row r="151" spans="3:33" x14ac:dyDescent="0.35">
      <c r="C151" s="129"/>
      <c r="D151" s="129"/>
      <c r="E151" s="129"/>
      <c r="F151" s="129"/>
      <c r="G151" s="129"/>
      <c r="H151" s="129"/>
      <c r="I151" s="129"/>
      <c r="J151" s="110"/>
      <c r="K151" s="129"/>
      <c r="L151" t="s">
        <v>351</v>
      </c>
      <c r="M151" s="129"/>
      <c r="N151" s="129"/>
      <c r="O151" s="129"/>
      <c r="P151" s="129"/>
      <c r="Q151" s="129"/>
      <c r="R151" s="129"/>
      <c r="S151" s="129"/>
      <c r="T151" s="129"/>
      <c r="U151" s="141"/>
      <c r="V151" s="139"/>
      <c r="W151" s="129"/>
      <c r="X151" s="129"/>
      <c r="Y151" s="129"/>
      <c r="Z151" s="129"/>
      <c r="AA151" s="129"/>
      <c r="AB151" s="115"/>
      <c r="AC151" s="129"/>
      <c r="AD151" s="149"/>
      <c r="AE151" s="129"/>
      <c r="AF151" s="129"/>
      <c r="AG151" s="129"/>
    </row>
    <row r="152" spans="3:33" x14ac:dyDescent="0.35">
      <c r="C152" s="129"/>
      <c r="D152" s="129"/>
      <c r="E152" s="129"/>
      <c r="F152" s="129"/>
      <c r="G152" s="129"/>
      <c r="H152" s="129"/>
      <c r="I152" s="129"/>
      <c r="J152" s="110"/>
      <c r="K152" s="129"/>
      <c r="L152" t="s">
        <v>351</v>
      </c>
      <c r="M152" s="129"/>
      <c r="N152" s="129"/>
      <c r="O152" s="129"/>
      <c r="P152" s="129"/>
      <c r="Q152" s="129"/>
      <c r="R152" s="129"/>
      <c r="S152" s="129"/>
      <c r="T152" s="129"/>
      <c r="U152" s="141"/>
      <c r="V152" s="139"/>
      <c r="W152" s="129"/>
      <c r="X152" s="129"/>
      <c r="Y152" s="129"/>
      <c r="Z152" s="129"/>
      <c r="AA152" s="129"/>
      <c r="AB152" s="115"/>
      <c r="AC152" s="129"/>
      <c r="AD152" s="149"/>
      <c r="AE152" s="129"/>
      <c r="AF152" s="129"/>
      <c r="AG152" s="129"/>
    </row>
    <row r="153" spans="3:33" x14ac:dyDescent="0.35">
      <c r="C153" s="129"/>
      <c r="D153" s="129"/>
      <c r="E153" s="129"/>
      <c r="F153" s="129"/>
      <c r="G153" s="129"/>
      <c r="H153" s="129"/>
      <c r="I153" s="129"/>
      <c r="J153" s="110"/>
      <c r="K153" s="129"/>
      <c r="L153" t="s">
        <v>351</v>
      </c>
      <c r="M153" s="129"/>
      <c r="N153" s="129"/>
      <c r="O153" s="129"/>
      <c r="P153" s="129"/>
      <c r="Q153" s="129"/>
      <c r="R153" s="129"/>
      <c r="S153" s="129"/>
      <c r="T153" s="129"/>
      <c r="U153" s="141"/>
      <c r="V153" s="139"/>
      <c r="W153" s="129"/>
      <c r="X153" s="129"/>
      <c r="Y153" s="129"/>
      <c r="Z153" s="129"/>
      <c r="AA153" s="129"/>
      <c r="AB153" s="115"/>
      <c r="AC153" s="129"/>
      <c r="AD153" s="149"/>
      <c r="AE153" s="129"/>
      <c r="AF153" s="129"/>
      <c r="AG153" s="129"/>
    </row>
    <row r="154" spans="3:33" x14ac:dyDescent="0.35">
      <c r="C154" s="129"/>
      <c r="D154" s="129"/>
      <c r="E154" s="129"/>
      <c r="F154" s="129"/>
      <c r="G154" s="129"/>
      <c r="H154" s="129"/>
      <c r="I154" s="129"/>
      <c r="J154" s="110"/>
      <c r="K154" s="129"/>
      <c r="L154" t="s">
        <v>351</v>
      </c>
      <c r="M154" s="129"/>
      <c r="N154" s="129"/>
      <c r="O154" s="129"/>
      <c r="P154" s="129"/>
      <c r="Q154" s="129"/>
      <c r="R154" s="129"/>
      <c r="S154" s="129"/>
      <c r="T154" s="129"/>
      <c r="U154" s="141"/>
      <c r="V154" s="139"/>
      <c r="W154" s="129"/>
      <c r="X154" s="129"/>
      <c r="Y154" s="129"/>
      <c r="Z154" s="129"/>
      <c r="AA154" s="129"/>
      <c r="AB154" s="115"/>
      <c r="AC154" s="129"/>
      <c r="AD154" s="149"/>
      <c r="AE154" s="129"/>
      <c r="AF154" s="129"/>
      <c r="AG154" s="129"/>
    </row>
    <row r="155" spans="3:33" x14ac:dyDescent="0.35">
      <c r="C155" s="129"/>
      <c r="D155" s="129"/>
      <c r="E155" s="129"/>
      <c r="F155" s="129"/>
      <c r="G155" s="129"/>
      <c r="H155" s="129"/>
      <c r="I155" s="129"/>
      <c r="J155" s="110"/>
      <c r="K155" s="129"/>
      <c r="L155" t="s">
        <v>351</v>
      </c>
      <c r="M155" s="129"/>
      <c r="N155" s="129"/>
      <c r="O155" s="129"/>
      <c r="P155" s="129"/>
      <c r="Q155" s="129"/>
      <c r="R155" s="129"/>
      <c r="S155" s="129"/>
      <c r="T155" s="129"/>
      <c r="U155" s="141"/>
      <c r="V155" s="139"/>
      <c r="W155" s="129"/>
      <c r="X155" s="129"/>
      <c r="Y155" s="129"/>
      <c r="Z155" s="129"/>
      <c r="AA155" s="129"/>
      <c r="AB155" s="115"/>
      <c r="AC155" s="129"/>
      <c r="AD155" s="149"/>
      <c r="AE155" s="129"/>
      <c r="AF155" s="129"/>
      <c r="AG155" s="129"/>
    </row>
    <row r="156" spans="3:33" x14ac:dyDescent="0.35">
      <c r="C156" s="129"/>
      <c r="D156" s="129"/>
      <c r="E156" s="129"/>
      <c r="F156" s="129"/>
      <c r="G156" s="129"/>
      <c r="H156" s="129"/>
      <c r="I156" s="129"/>
      <c r="J156" s="110"/>
      <c r="K156" s="129"/>
      <c r="L156" t="s">
        <v>351</v>
      </c>
      <c r="M156" s="129"/>
      <c r="N156" s="129"/>
      <c r="O156" s="129"/>
      <c r="P156" s="129"/>
      <c r="Q156" s="129"/>
      <c r="R156" s="129"/>
      <c r="S156" s="129"/>
      <c r="T156" s="129"/>
      <c r="U156" s="141"/>
      <c r="V156" s="139"/>
      <c r="W156" s="129"/>
      <c r="X156" s="129"/>
      <c r="Y156" s="129"/>
      <c r="Z156" s="129"/>
      <c r="AA156" s="129"/>
      <c r="AB156" s="115"/>
      <c r="AC156" s="129"/>
      <c r="AD156" s="149"/>
      <c r="AE156" s="129"/>
      <c r="AF156" s="129"/>
      <c r="AG156" s="129"/>
    </row>
    <row r="157" spans="3:33" x14ac:dyDescent="0.35">
      <c r="C157" s="129"/>
      <c r="D157" s="129"/>
      <c r="E157" s="129"/>
      <c r="F157" s="129"/>
      <c r="G157" s="129"/>
      <c r="H157" s="129"/>
      <c r="I157" s="129"/>
      <c r="J157" s="110"/>
      <c r="K157" s="129"/>
      <c r="L157" t="s">
        <v>351</v>
      </c>
      <c r="M157" s="129"/>
      <c r="N157" s="129"/>
      <c r="O157" s="129"/>
      <c r="P157" s="129"/>
      <c r="Q157" s="129"/>
      <c r="R157" s="129"/>
      <c r="S157" s="129"/>
      <c r="T157" s="129"/>
      <c r="U157" s="141"/>
      <c r="V157" s="139"/>
      <c r="W157" s="129"/>
      <c r="X157" s="129"/>
      <c r="Y157" s="129"/>
      <c r="Z157" s="129"/>
      <c r="AA157" s="129"/>
      <c r="AB157" s="115"/>
      <c r="AC157" s="129"/>
      <c r="AD157" s="149"/>
      <c r="AE157" s="129"/>
      <c r="AF157" s="129"/>
      <c r="AG157" s="129"/>
    </row>
    <row r="158" spans="3:33" x14ac:dyDescent="0.35">
      <c r="C158" s="129"/>
      <c r="D158" s="129"/>
      <c r="E158" s="129"/>
      <c r="F158" s="129"/>
      <c r="G158" s="129"/>
      <c r="H158" s="129"/>
      <c r="I158" s="129"/>
      <c r="J158" s="110"/>
      <c r="K158" s="129"/>
      <c r="L158" t="s">
        <v>351</v>
      </c>
      <c r="M158" s="129"/>
      <c r="N158" s="129"/>
      <c r="O158" s="129"/>
      <c r="P158" s="129"/>
      <c r="Q158" s="129"/>
      <c r="R158" s="129"/>
      <c r="S158" s="129"/>
      <c r="T158" s="129"/>
      <c r="U158" s="141"/>
      <c r="V158" s="139"/>
      <c r="W158" s="129"/>
      <c r="X158" s="129"/>
      <c r="Y158" s="129"/>
      <c r="Z158" s="129"/>
      <c r="AA158" s="129"/>
      <c r="AB158" s="115"/>
      <c r="AC158" s="129"/>
      <c r="AD158" s="149"/>
      <c r="AE158" s="129"/>
      <c r="AF158" s="129"/>
      <c r="AG158" s="129"/>
    </row>
    <row r="159" spans="3:33" x14ac:dyDescent="0.35">
      <c r="C159" s="129"/>
      <c r="D159" s="129"/>
      <c r="E159" s="129"/>
      <c r="F159" s="129"/>
      <c r="G159" s="129"/>
      <c r="H159" s="129"/>
      <c r="I159" s="129"/>
      <c r="J159" s="110"/>
      <c r="K159" s="129"/>
      <c r="L159" t="s">
        <v>351</v>
      </c>
      <c r="M159" s="129"/>
      <c r="N159" s="129"/>
      <c r="O159" s="129"/>
      <c r="P159" s="129"/>
      <c r="Q159" s="129"/>
      <c r="R159" s="129"/>
      <c r="S159" s="129"/>
      <c r="T159" s="129"/>
      <c r="U159" s="141"/>
      <c r="V159" s="139"/>
      <c r="W159" s="129"/>
      <c r="X159" s="129"/>
      <c r="Y159" s="129"/>
      <c r="Z159" s="129"/>
      <c r="AA159" s="129"/>
      <c r="AB159" s="115"/>
      <c r="AC159" s="129"/>
      <c r="AD159" s="149"/>
      <c r="AE159" s="129"/>
      <c r="AF159" s="129"/>
      <c r="AG159" s="129"/>
    </row>
    <row r="160" spans="3:33" x14ac:dyDescent="0.35">
      <c r="C160" s="129"/>
      <c r="D160" s="129"/>
      <c r="E160" s="129"/>
      <c r="F160" s="129"/>
      <c r="G160" s="129"/>
      <c r="H160" s="129"/>
      <c r="I160" s="129"/>
      <c r="J160" s="110"/>
      <c r="K160" s="129"/>
      <c r="L160" t="s">
        <v>351</v>
      </c>
      <c r="M160" s="129"/>
      <c r="N160" s="129"/>
      <c r="O160" s="129"/>
      <c r="P160" s="129"/>
      <c r="Q160" s="129"/>
      <c r="R160" s="129"/>
      <c r="S160" s="129"/>
      <c r="T160" s="129"/>
      <c r="U160" s="141"/>
      <c r="V160" s="139"/>
      <c r="W160" s="129"/>
      <c r="X160" s="129"/>
      <c r="Y160" s="129"/>
      <c r="Z160" s="129"/>
      <c r="AA160" s="129"/>
      <c r="AB160" s="115"/>
      <c r="AC160" s="129"/>
      <c r="AD160" s="149"/>
      <c r="AE160" s="129"/>
      <c r="AF160" s="129"/>
      <c r="AG160" s="129"/>
    </row>
    <row r="161" spans="3:33" x14ac:dyDescent="0.35">
      <c r="C161" s="129"/>
      <c r="D161" s="129"/>
      <c r="E161" s="129"/>
      <c r="F161" s="129"/>
      <c r="G161" s="129"/>
      <c r="H161" s="129"/>
      <c r="I161" s="129"/>
      <c r="J161" s="110"/>
      <c r="K161" s="129"/>
      <c r="L161" t="s">
        <v>351</v>
      </c>
      <c r="M161" s="129"/>
      <c r="N161" s="129"/>
      <c r="O161" s="129"/>
      <c r="P161" s="129"/>
      <c r="Q161" s="129"/>
      <c r="R161" s="129"/>
      <c r="S161" s="129"/>
      <c r="T161" s="129"/>
      <c r="U161" s="141"/>
      <c r="V161" s="139"/>
      <c r="W161" s="129"/>
      <c r="X161" s="129"/>
      <c r="Y161" s="129"/>
      <c r="Z161" s="129"/>
      <c r="AA161" s="129"/>
      <c r="AB161" s="115"/>
      <c r="AC161" s="129"/>
      <c r="AD161" s="149"/>
      <c r="AE161" s="129"/>
      <c r="AF161" s="129"/>
      <c r="AG161" s="129"/>
    </row>
    <row r="162" spans="3:33" x14ac:dyDescent="0.35">
      <c r="C162" s="129"/>
      <c r="D162" s="129"/>
      <c r="E162" s="129"/>
      <c r="F162" s="129"/>
      <c r="G162" s="129"/>
      <c r="H162" s="129"/>
      <c r="I162" s="129"/>
      <c r="J162" s="110"/>
      <c r="K162" s="129"/>
      <c r="L162" t="s">
        <v>351</v>
      </c>
      <c r="M162" s="129"/>
      <c r="N162" s="129"/>
      <c r="O162" s="129"/>
      <c r="P162" s="129"/>
      <c r="Q162" s="129"/>
      <c r="R162" s="129"/>
      <c r="S162" s="129"/>
      <c r="T162" s="129"/>
      <c r="U162" s="141"/>
      <c r="V162" s="139"/>
      <c r="W162" s="129"/>
      <c r="X162" s="129"/>
      <c r="Y162" s="129"/>
      <c r="Z162" s="129"/>
      <c r="AA162" s="129"/>
      <c r="AB162" s="115"/>
      <c r="AC162" s="129"/>
      <c r="AD162" s="149"/>
      <c r="AE162" s="129"/>
      <c r="AF162" s="129"/>
      <c r="AG162" s="129"/>
    </row>
    <row r="163" spans="3:33" x14ac:dyDescent="0.35">
      <c r="C163" s="129"/>
      <c r="D163" s="129"/>
      <c r="E163" s="129"/>
      <c r="F163" s="129"/>
      <c r="G163" s="129"/>
      <c r="H163" s="129"/>
      <c r="I163" s="129"/>
      <c r="J163" s="110"/>
      <c r="K163" s="129"/>
      <c r="L163" t="s">
        <v>351</v>
      </c>
      <c r="M163" s="129"/>
      <c r="N163" s="129"/>
      <c r="O163" s="129"/>
      <c r="P163" s="129"/>
      <c r="Q163" s="129"/>
      <c r="R163" s="129"/>
      <c r="S163" s="129"/>
      <c r="T163" s="129"/>
      <c r="U163" s="141"/>
      <c r="V163" s="139"/>
      <c r="W163" s="129"/>
      <c r="X163" s="129"/>
      <c r="Y163" s="129"/>
      <c r="Z163" s="129"/>
      <c r="AA163" s="129"/>
      <c r="AB163" s="115"/>
      <c r="AC163" s="129"/>
      <c r="AD163" s="149"/>
      <c r="AE163" s="129"/>
      <c r="AF163" s="129"/>
      <c r="AG163" s="129"/>
    </row>
    <row r="164" spans="3:33" x14ac:dyDescent="0.35">
      <c r="C164" s="129"/>
      <c r="D164" s="129"/>
      <c r="E164" s="129"/>
      <c r="F164" s="129"/>
      <c r="G164" s="129"/>
      <c r="H164" s="129"/>
      <c r="I164" s="129"/>
      <c r="J164" s="110"/>
      <c r="K164" s="129"/>
      <c r="L164" t="s">
        <v>351</v>
      </c>
      <c r="M164" s="129"/>
      <c r="N164" s="129"/>
      <c r="O164" s="129"/>
      <c r="P164" s="129"/>
      <c r="Q164" s="129"/>
      <c r="R164" s="129"/>
      <c r="S164" s="129"/>
      <c r="T164" s="129"/>
      <c r="U164" s="141"/>
      <c r="V164" s="139"/>
      <c r="W164" s="129"/>
      <c r="X164" s="129"/>
      <c r="Y164" s="129"/>
      <c r="Z164" s="129"/>
      <c r="AA164" s="129"/>
      <c r="AB164" s="115"/>
      <c r="AC164" s="129"/>
      <c r="AD164" s="149"/>
      <c r="AE164" s="129"/>
      <c r="AF164" s="129"/>
      <c r="AG164" s="129"/>
    </row>
    <row r="165" spans="3:33" x14ac:dyDescent="0.35">
      <c r="C165" s="129"/>
      <c r="D165" s="129"/>
      <c r="E165" s="129"/>
      <c r="F165" s="129"/>
      <c r="G165" s="129"/>
      <c r="H165" s="129"/>
      <c r="I165" s="129"/>
      <c r="J165" s="110"/>
      <c r="K165" s="129"/>
      <c r="L165" t="s">
        <v>351</v>
      </c>
      <c r="M165" s="129"/>
      <c r="N165" s="129"/>
      <c r="O165" s="129"/>
      <c r="P165" s="129"/>
      <c r="Q165" s="129"/>
      <c r="R165" s="129"/>
      <c r="S165" s="129"/>
      <c r="T165" s="129"/>
      <c r="U165" s="141"/>
      <c r="V165" s="139"/>
      <c r="W165" s="129"/>
      <c r="X165" s="129"/>
      <c r="Y165" s="129"/>
      <c r="Z165" s="129"/>
      <c r="AA165" s="129"/>
      <c r="AB165" s="115"/>
      <c r="AC165" s="129"/>
      <c r="AD165" s="149"/>
      <c r="AE165" s="129"/>
      <c r="AF165" s="129"/>
      <c r="AG165" s="129"/>
    </row>
    <row r="166" spans="3:33" x14ac:dyDescent="0.35">
      <c r="C166" s="129"/>
      <c r="D166" s="129"/>
      <c r="E166" s="129"/>
      <c r="F166" s="129"/>
      <c r="G166" s="129"/>
      <c r="H166" s="129"/>
      <c r="I166" s="129"/>
      <c r="J166" s="110"/>
      <c r="K166" s="129"/>
      <c r="L166" t="s">
        <v>351</v>
      </c>
      <c r="M166" s="129"/>
      <c r="N166" s="129"/>
      <c r="O166" s="129"/>
      <c r="P166" s="129"/>
      <c r="Q166" s="129"/>
      <c r="R166" s="129"/>
      <c r="S166" s="129"/>
      <c r="T166" s="129"/>
      <c r="U166" s="141"/>
      <c r="V166" s="139"/>
      <c r="W166" s="129"/>
      <c r="X166" s="129"/>
      <c r="Y166" s="129"/>
      <c r="Z166" s="129"/>
      <c r="AA166" s="129"/>
      <c r="AB166" s="115"/>
      <c r="AC166" s="129"/>
      <c r="AD166" s="149"/>
      <c r="AE166" s="129"/>
      <c r="AF166" s="129"/>
      <c r="AG166" s="129"/>
    </row>
    <row r="167" spans="3:33" x14ac:dyDescent="0.35">
      <c r="C167" s="129"/>
      <c r="D167" s="129"/>
      <c r="E167" s="129"/>
      <c r="F167" s="129"/>
      <c r="G167" s="129"/>
      <c r="H167" s="129"/>
      <c r="I167" s="129"/>
      <c r="J167" s="110"/>
      <c r="K167" s="129"/>
      <c r="L167" t="s">
        <v>351</v>
      </c>
      <c r="M167" s="129"/>
      <c r="N167" s="129"/>
      <c r="O167" s="129"/>
      <c r="P167" s="129"/>
      <c r="Q167" s="129"/>
      <c r="R167" s="129"/>
      <c r="S167" s="129"/>
      <c r="T167" s="129"/>
      <c r="U167" s="141"/>
      <c r="V167" s="139"/>
      <c r="W167" s="129"/>
      <c r="X167" s="129"/>
      <c r="Y167" s="129"/>
      <c r="Z167" s="129"/>
      <c r="AA167" s="129"/>
      <c r="AB167" s="115"/>
      <c r="AC167" s="129"/>
      <c r="AD167" s="149"/>
      <c r="AE167" s="129"/>
      <c r="AF167" s="129"/>
      <c r="AG167" s="129"/>
    </row>
    <row r="168" spans="3:33" x14ac:dyDescent="0.35">
      <c r="C168" s="129"/>
      <c r="D168" s="129"/>
      <c r="E168" s="129"/>
      <c r="F168" s="129"/>
      <c r="G168" s="129"/>
      <c r="H168" s="129"/>
      <c r="I168" s="129"/>
      <c r="J168" s="110"/>
      <c r="K168" s="129"/>
      <c r="L168" t="s">
        <v>351</v>
      </c>
      <c r="M168" s="129"/>
      <c r="N168" s="129"/>
      <c r="O168" s="129"/>
      <c r="P168" s="129"/>
      <c r="Q168" s="129"/>
      <c r="R168" s="129"/>
      <c r="S168" s="129"/>
      <c r="T168" s="129"/>
      <c r="U168" s="141"/>
      <c r="V168" s="139"/>
      <c r="W168" s="129"/>
      <c r="X168" s="129"/>
      <c r="Y168" s="129"/>
      <c r="Z168" s="129"/>
      <c r="AA168" s="129"/>
      <c r="AB168" s="115"/>
      <c r="AC168" s="129"/>
      <c r="AD168" s="149"/>
      <c r="AE168" s="129"/>
      <c r="AF168" s="129"/>
      <c r="AG168" s="129"/>
    </row>
    <row r="169" spans="3:33" x14ac:dyDescent="0.35">
      <c r="C169" s="129"/>
      <c r="D169" s="129"/>
      <c r="E169" s="129"/>
      <c r="F169" s="129"/>
      <c r="G169" s="129"/>
      <c r="H169" s="129"/>
      <c r="I169" s="129"/>
      <c r="J169" s="110"/>
      <c r="K169" s="129"/>
      <c r="L169" t="s">
        <v>351</v>
      </c>
      <c r="M169" s="129"/>
      <c r="N169" s="129"/>
      <c r="O169" s="129"/>
      <c r="P169" s="129"/>
      <c r="Q169" s="129"/>
      <c r="R169" s="129"/>
      <c r="S169" s="129"/>
      <c r="T169" s="129"/>
      <c r="U169" s="141"/>
      <c r="V169" s="139"/>
      <c r="W169" s="129"/>
      <c r="X169" s="129"/>
      <c r="Y169" s="129"/>
      <c r="Z169" s="129"/>
      <c r="AA169" s="129"/>
      <c r="AB169" s="115"/>
      <c r="AC169" s="129"/>
      <c r="AD169" s="149"/>
      <c r="AE169" s="129"/>
      <c r="AF169" s="129"/>
      <c r="AG169" s="129"/>
    </row>
    <row r="170" spans="3:33" x14ac:dyDescent="0.35">
      <c r="C170" s="129"/>
      <c r="D170" s="129"/>
      <c r="E170" s="129"/>
      <c r="F170" s="129"/>
      <c r="G170" s="129"/>
      <c r="H170" s="129"/>
      <c r="I170" s="129"/>
      <c r="J170" s="110"/>
      <c r="K170" s="129"/>
      <c r="L170" t="s">
        <v>351</v>
      </c>
      <c r="M170" s="129"/>
      <c r="N170" s="129"/>
      <c r="O170" s="129"/>
      <c r="P170" s="129"/>
      <c r="Q170" s="129"/>
      <c r="R170" s="129"/>
      <c r="S170" s="129"/>
      <c r="T170" s="129"/>
      <c r="U170" s="141"/>
      <c r="V170" s="139"/>
      <c r="W170" s="129"/>
      <c r="X170" s="129"/>
      <c r="Y170" s="129"/>
      <c r="Z170" s="129"/>
      <c r="AA170" s="129"/>
      <c r="AB170" s="115"/>
      <c r="AC170" s="129"/>
      <c r="AD170" s="149"/>
      <c r="AE170" s="129"/>
      <c r="AF170" s="129"/>
      <c r="AG170" s="129"/>
    </row>
    <row r="171" spans="3:33" x14ac:dyDescent="0.35">
      <c r="C171" s="129"/>
      <c r="D171" s="129"/>
      <c r="E171" s="129"/>
      <c r="F171" s="129"/>
      <c r="G171" s="129"/>
      <c r="H171" s="129"/>
      <c r="I171" s="129"/>
      <c r="J171" s="110"/>
      <c r="K171" s="129"/>
      <c r="L171" t="s">
        <v>351</v>
      </c>
      <c r="M171" s="129"/>
      <c r="N171" s="129"/>
      <c r="O171" s="129"/>
      <c r="P171" s="129"/>
      <c r="Q171" s="129"/>
      <c r="R171" s="129"/>
      <c r="S171" s="129"/>
      <c r="T171" s="129"/>
      <c r="U171" s="141"/>
      <c r="V171" s="139"/>
      <c r="W171" s="129"/>
      <c r="X171" s="129"/>
      <c r="Y171" s="129"/>
      <c r="Z171" s="129"/>
      <c r="AA171" s="129"/>
      <c r="AB171" s="115"/>
      <c r="AC171" s="129"/>
      <c r="AD171" s="149"/>
      <c r="AE171" s="129"/>
      <c r="AF171" s="129"/>
      <c r="AG171" s="129"/>
    </row>
    <row r="172" spans="3:33" x14ac:dyDescent="0.35">
      <c r="C172" s="129"/>
      <c r="D172" s="129"/>
      <c r="E172" s="129"/>
      <c r="F172" s="129"/>
      <c r="G172" s="129"/>
      <c r="H172" s="129"/>
      <c r="I172" s="129"/>
      <c r="J172" s="110"/>
      <c r="K172" s="129"/>
      <c r="L172" t="s">
        <v>351</v>
      </c>
      <c r="M172" s="129"/>
      <c r="N172" s="129"/>
      <c r="O172" s="129"/>
      <c r="P172" s="129"/>
      <c r="Q172" s="129"/>
      <c r="R172" s="129"/>
      <c r="S172" s="129"/>
      <c r="T172" s="129"/>
      <c r="U172" s="141"/>
      <c r="V172" s="139"/>
      <c r="W172" s="129"/>
      <c r="X172" s="129"/>
      <c r="Y172" s="129"/>
      <c r="Z172" s="129"/>
      <c r="AA172" s="129"/>
      <c r="AB172" s="115"/>
      <c r="AC172" s="129"/>
      <c r="AD172" s="149"/>
      <c r="AE172" s="129"/>
      <c r="AF172" s="129"/>
      <c r="AG172" s="129"/>
    </row>
    <row r="173" spans="3:33" x14ac:dyDescent="0.35">
      <c r="C173" s="129"/>
      <c r="D173" s="129"/>
      <c r="E173" s="129"/>
      <c r="F173" s="129"/>
      <c r="G173" s="129"/>
      <c r="H173" s="129"/>
      <c r="I173" s="129"/>
      <c r="J173" s="110"/>
      <c r="K173" s="129"/>
      <c r="L173" t="s">
        <v>351</v>
      </c>
      <c r="M173" s="129"/>
      <c r="N173" s="129"/>
      <c r="O173" s="129"/>
      <c r="P173" s="129"/>
      <c r="Q173" s="129"/>
      <c r="R173" s="129"/>
      <c r="S173" s="129"/>
      <c r="T173" s="129"/>
      <c r="U173" s="141"/>
      <c r="V173" s="139"/>
      <c r="W173" s="129"/>
      <c r="X173" s="129"/>
      <c r="Y173" s="129"/>
      <c r="Z173" s="129"/>
      <c r="AA173" s="129"/>
      <c r="AB173" s="115"/>
      <c r="AC173" s="129"/>
      <c r="AD173" s="149"/>
      <c r="AE173" s="129"/>
      <c r="AF173" s="129"/>
      <c r="AG173" s="129"/>
    </row>
    <row r="174" spans="3:33" x14ac:dyDescent="0.35">
      <c r="C174" s="129"/>
      <c r="D174" s="129"/>
      <c r="E174" s="129"/>
      <c r="F174" s="129"/>
      <c r="G174" s="129"/>
      <c r="H174" s="129"/>
      <c r="I174" s="129"/>
      <c r="J174" s="110"/>
      <c r="K174" s="129"/>
      <c r="L174" t="s">
        <v>351</v>
      </c>
      <c r="M174" s="129"/>
      <c r="N174" s="129"/>
      <c r="O174" s="129"/>
      <c r="P174" s="129"/>
      <c r="Q174" s="129"/>
      <c r="R174" s="129"/>
      <c r="S174" s="129"/>
      <c r="T174" s="129"/>
      <c r="U174" s="141"/>
      <c r="V174" s="139"/>
      <c r="W174" s="129"/>
      <c r="X174" s="129"/>
      <c r="Y174" s="129"/>
      <c r="Z174" s="129"/>
      <c r="AA174" s="129"/>
      <c r="AB174" s="115"/>
      <c r="AC174" s="129"/>
      <c r="AD174" s="149"/>
      <c r="AE174" s="129"/>
      <c r="AF174" s="129"/>
      <c r="AG174" s="129"/>
    </row>
    <row r="175" spans="3:33" x14ac:dyDescent="0.35">
      <c r="C175" s="129"/>
      <c r="D175" s="129"/>
      <c r="E175" s="129"/>
      <c r="F175" s="129"/>
      <c r="G175" s="129"/>
      <c r="H175" s="129"/>
      <c r="I175" s="129"/>
      <c r="J175" s="110"/>
      <c r="K175" s="129"/>
      <c r="L175" t="s">
        <v>351</v>
      </c>
      <c r="M175" s="129"/>
      <c r="N175" s="129"/>
      <c r="O175" s="129"/>
      <c r="P175" s="129"/>
      <c r="Q175" s="129"/>
      <c r="R175" s="129"/>
      <c r="S175" s="129"/>
      <c r="T175" s="129"/>
      <c r="U175" s="141"/>
      <c r="V175" s="139"/>
      <c r="W175" s="129"/>
      <c r="X175" s="129"/>
      <c r="Y175" s="129"/>
      <c r="Z175" s="129"/>
      <c r="AA175" s="129"/>
      <c r="AB175" s="115"/>
      <c r="AC175" s="129"/>
      <c r="AD175" s="149"/>
      <c r="AE175" s="129"/>
      <c r="AF175" s="129"/>
      <c r="AG175" s="129"/>
    </row>
    <row r="176" spans="3:33" x14ac:dyDescent="0.35">
      <c r="C176" s="129"/>
      <c r="D176" s="129"/>
      <c r="E176" s="129"/>
      <c r="F176" s="129"/>
      <c r="G176" s="129"/>
      <c r="H176" s="129"/>
      <c r="I176" s="129"/>
      <c r="J176" s="110"/>
      <c r="K176" s="129"/>
      <c r="L176" t="s">
        <v>351</v>
      </c>
      <c r="M176" s="129"/>
      <c r="N176" s="129"/>
      <c r="O176" s="129"/>
      <c r="P176" s="129"/>
      <c r="Q176" s="129"/>
      <c r="R176" s="129"/>
      <c r="S176" s="129"/>
      <c r="T176" s="129"/>
      <c r="U176" s="141"/>
      <c r="V176" s="139"/>
      <c r="W176" s="129"/>
      <c r="X176" s="129"/>
      <c r="Y176" s="129"/>
      <c r="Z176" s="129"/>
      <c r="AA176" s="129"/>
      <c r="AB176" s="115"/>
      <c r="AC176" s="129"/>
      <c r="AD176" s="149"/>
      <c r="AE176" s="129"/>
      <c r="AF176" s="129"/>
      <c r="AG176" s="129"/>
    </row>
    <row r="177" spans="3:33" x14ac:dyDescent="0.35">
      <c r="C177" s="129"/>
      <c r="D177" s="129"/>
      <c r="E177" s="129"/>
      <c r="F177" s="129"/>
      <c r="G177" s="129"/>
      <c r="H177" s="129"/>
      <c r="I177" s="129"/>
      <c r="J177" s="110"/>
      <c r="K177" s="129"/>
      <c r="L177" t="s">
        <v>351</v>
      </c>
      <c r="M177" s="129"/>
      <c r="N177" s="129"/>
      <c r="O177" s="129"/>
      <c r="P177" s="129"/>
      <c r="Q177" s="129"/>
      <c r="R177" s="129"/>
      <c r="S177" s="129"/>
      <c r="T177" s="129"/>
      <c r="U177" s="141"/>
      <c r="V177" s="139"/>
      <c r="W177" s="129"/>
      <c r="X177" s="129"/>
      <c r="Y177" s="129"/>
      <c r="Z177" s="129"/>
      <c r="AA177" s="129"/>
      <c r="AB177" s="115"/>
      <c r="AC177" s="129"/>
      <c r="AD177" s="149"/>
      <c r="AE177" s="129"/>
      <c r="AF177" s="129"/>
      <c r="AG177" s="129"/>
    </row>
    <row r="178" spans="3:33" x14ac:dyDescent="0.35">
      <c r="C178" s="129"/>
      <c r="D178" s="129"/>
      <c r="E178" s="129"/>
      <c r="F178" s="129"/>
      <c r="G178" s="129"/>
      <c r="H178" s="129"/>
      <c r="I178" s="129"/>
      <c r="J178" s="110"/>
      <c r="K178" s="129"/>
      <c r="L178" t="s">
        <v>351</v>
      </c>
      <c r="M178" s="129"/>
      <c r="N178" s="129"/>
      <c r="O178" s="129"/>
      <c r="P178" s="129"/>
      <c r="Q178" s="129"/>
      <c r="R178" s="129"/>
      <c r="S178" s="129"/>
      <c r="T178" s="129"/>
      <c r="U178" s="141"/>
      <c r="V178" s="139"/>
      <c r="W178" s="129"/>
      <c r="X178" s="129"/>
      <c r="Y178" s="129"/>
      <c r="Z178" s="129"/>
      <c r="AA178" s="129"/>
      <c r="AB178" s="115"/>
      <c r="AC178" s="129"/>
      <c r="AD178" s="149"/>
      <c r="AE178" s="129"/>
      <c r="AF178" s="129"/>
      <c r="AG178" s="129"/>
    </row>
    <row r="179" spans="3:33" x14ac:dyDescent="0.35">
      <c r="C179" s="129"/>
      <c r="D179" s="129"/>
      <c r="E179" s="129"/>
      <c r="F179" s="129"/>
      <c r="G179" s="129"/>
      <c r="H179" s="129"/>
      <c r="I179" s="129"/>
      <c r="J179" s="110"/>
      <c r="K179" s="129"/>
      <c r="L179" t="s">
        <v>351</v>
      </c>
      <c r="M179" s="129"/>
      <c r="N179" s="129"/>
      <c r="O179" s="129"/>
      <c r="P179" s="129"/>
      <c r="Q179" s="129"/>
      <c r="R179" s="129"/>
      <c r="S179" s="129"/>
      <c r="T179" s="129"/>
      <c r="U179" s="141"/>
      <c r="V179" s="139"/>
      <c r="W179" s="129"/>
      <c r="X179" s="129"/>
      <c r="Y179" s="129"/>
      <c r="Z179" s="129"/>
      <c r="AA179" s="129"/>
      <c r="AB179" s="115"/>
      <c r="AC179" s="129"/>
      <c r="AD179" s="149"/>
      <c r="AE179" s="129"/>
      <c r="AF179" s="129"/>
      <c r="AG179" s="129"/>
    </row>
    <row r="180" spans="3:33" x14ac:dyDescent="0.35">
      <c r="C180" s="129"/>
      <c r="D180" s="129"/>
      <c r="E180" s="129"/>
      <c r="F180" s="129"/>
      <c r="G180" s="129"/>
      <c r="H180" s="129"/>
      <c r="I180" s="129"/>
      <c r="J180" s="110"/>
      <c r="K180" s="129"/>
      <c r="L180" t="s">
        <v>351</v>
      </c>
      <c r="M180" s="129"/>
      <c r="N180" s="129"/>
      <c r="O180" s="129"/>
      <c r="P180" s="129"/>
      <c r="Q180" s="129"/>
      <c r="R180" s="129"/>
      <c r="S180" s="129"/>
      <c r="T180" s="129"/>
      <c r="U180" s="141"/>
      <c r="V180" s="139"/>
      <c r="W180" s="129"/>
      <c r="X180" s="129"/>
      <c r="Y180" s="129"/>
      <c r="Z180" s="129"/>
      <c r="AA180" s="129"/>
      <c r="AB180" s="115"/>
      <c r="AC180" s="129"/>
      <c r="AD180" s="149"/>
      <c r="AE180" s="129"/>
      <c r="AF180" s="129"/>
      <c r="AG180" s="129"/>
    </row>
    <row r="181" spans="3:33" x14ac:dyDescent="0.35">
      <c r="C181" s="129"/>
      <c r="D181" s="129"/>
      <c r="E181" s="129"/>
      <c r="F181" s="129"/>
      <c r="G181" s="129"/>
      <c r="H181" s="129"/>
      <c r="I181" s="129"/>
      <c r="J181" s="110"/>
      <c r="K181" s="129"/>
      <c r="L181" t="s">
        <v>351</v>
      </c>
      <c r="M181" s="129"/>
      <c r="N181" s="129"/>
      <c r="O181" s="129"/>
      <c r="P181" s="129"/>
      <c r="Q181" s="129"/>
      <c r="R181" s="129"/>
      <c r="S181" s="129"/>
      <c r="T181" s="129"/>
      <c r="U181" s="141"/>
      <c r="V181" s="139"/>
      <c r="W181" s="129"/>
      <c r="X181" s="129"/>
      <c r="Y181" s="129"/>
      <c r="Z181" s="129"/>
      <c r="AA181" s="129"/>
      <c r="AB181" s="115"/>
      <c r="AC181" s="129"/>
      <c r="AD181" s="149"/>
      <c r="AE181" s="129"/>
      <c r="AF181" s="129"/>
      <c r="AG181" s="129"/>
    </row>
    <row r="182" spans="3:33" x14ac:dyDescent="0.35">
      <c r="C182" s="129"/>
      <c r="D182" s="129"/>
      <c r="E182" s="129"/>
      <c r="F182" s="129"/>
      <c r="G182" s="129"/>
      <c r="H182" s="129"/>
      <c r="I182" s="129"/>
      <c r="J182" s="110"/>
      <c r="K182" s="129"/>
      <c r="L182" t="s">
        <v>351</v>
      </c>
      <c r="M182" s="129"/>
      <c r="N182" s="129"/>
      <c r="O182" s="129"/>
      <c r="P182" s="129"/>
      <c r="Q182" s="129"/>
      <c r="R182" s="129"/>
      <c r="S182" s="129"/>
      <c r="T182" s="129"/>
      <c r="U182" s="141"/>
      <c r="V182" s="139"/>
      <c r="W182" s="129"/>
      <c r="X182" s="129"/>
      <c r="Y182" s="129"/>
      <c r="Z182" s="129"/>
      <c r="AA182" s="129"/>
      <c r="AB182" s="115"/>
      <c r="AC182" s="129"/>
      <c r="AD182" s="149"/>
      <c r="AE182" s="129"/>
      <c r="AF182" s="129"/>
      <c r="AG182" s="129"/>
    </row>
    <row r="183" spans="3:33" x14ac:dyDescent="0.35">
      <c r="C183" s="129"/>
      <c r="D183" s="129"/>
      <c r="E183" s="129"/>
      <c r="F183" s="129"/>
      <c r="G183" s="129"/>
      <c r="H183" s="129"/>
      <c r="I183" s="129"/>
      <c r="J183" s="110"/>
      <c r="K183" s="129"/>
      <c r="L183" t="s">
        <v>351</v>
      </c>
      <c r="M183" s="129"/>
      <c r="N183" s="129"/>
      <c r="O183" s="129"/>
      <c r="P183" s="129"/>
      <c r="Q183" s="129"/>
      <c r="R183" s="129"/>
      <c r="S183" s="129"/>
      <c r="T183" s="129"/>
      <c r="U183" s="141"/>
      <c r="V183" s="139"/>
      <c r="W183" s="129"/>
      <c r="X183" s="129"/>
      <c r="Y183" s="129"/>
      <c r="Z183" s="129"/>
      <c r="AA183" s="129"/>
      <c r="AB183" s="115"/>
      <c r="AC183" s="129"/>
      <c r="AD183" s="149"/>
      <c r="AE183" s="129"/>
      <c r="AF183" s="129"/>
      <c r="AG183" s="129"/>
    </row>
    <row r="184" spans="3:33" x14ac:dyDescent="0.35">
      <c r="C184" s="129"/>
      <c r="D184" s="129"/>
      <c r="E184" s="129"/>
      <c r="F184" s="129"/>
      <c r="G184" s="129"/>
      <c r="H184" s="129"/>
      <c r="I184" s="129"/>
      <c r="J184" s="110"/>
      <c r="K184" s="129"/>
      <c r="L184" t="s">
        <v>351</v>
      </c>
      <c r="M184" s="129"/>
      <c r="N184" s="129"/>
      <c r="O184" s="129"/>
      <c r="P184" s="129"/>
      <c r="Q184" s="129"/>
      <c r="R184" s="129"/>
      <c r="S184" s="129"/>
      <c r="T184" s="129"/>
      <c r="U184" s="141"/>
      <c r="V184" s="139"/>
      <c r="W184" s="129"/>
      <c r="X184" s="129"/>
      <c r="Y184" s="129"/>
      <c r="Z184" s="129"/>
      <c r="AA184" s="129"/>
      <c r="AB184" s="115"/>
      <c r="AC184" s="129"/>
      <c r="AD184" s="149"/>
      <c r="AE184" s="129"/>
      <c r="AF184" s="129"/>
      <c r="AG184" s="129"/>
    </row>
    <row r="185" spans="3:33" x14ac:dyDescent="0.35">
      <c r="C185" s="129"/>
      <c r="D185" s="129"/>
      <c r="E185" s="129"/>
      <c r="F185" s="129"/>
      <c r="G185" s="129"/>
      <c r="H185" s="129"/>
      <c r="I185" s="129"/>
      <c r="J185" s="110"/>
      <c r="K185" s="129"/>
      <c r="L185" t="s">
        <v>351</v>
      </c>
      <c r="M185" s="129"/>
      <c r="N185" s="129"/>
      <c r="O185" s="129"/>
      <c r="P185" s="129"/>
      <c r="Q185" s="129"/>
      <c r="R185" s="129"/>
      <c r="S185" s="129"/>
      <c r="T185" s="129"/>
      <c r="U185" s="141"/>
      <c r="V185" s="139"/>
      <c r="W185" s="129"/>
      <c r="X185" s="129"/>
      <c r="Y185" s="129"/>
      <c r="Z185" s="129"/>
      <c r="AA185" s="129"/>
      <c r="AB185" s="115"/>
      <c r="AC185" s="129"/>
      <c r="AD185" s="149"/>
      <c r="AE185" s="129"/>
      <c r="AF185" s="129"/>
      <c r="AG185" s="129"/>
    </row>
    <row r="186" spans="3:33" x14ac:dyDescent="0.35">
      <c r="C186" s="129"/>
      <c r="D186" s="129"/>
      <c r="E186" s="129"/>
      <c r="F186" s="129"/>
      <c r="G186" s="129"/>
      <c r="H186" s="129"/>
      <c r="I186" s="129"/>
      <c r="J186" s="110"/>
      <c r="K186" s="129"/>
      <c r="L186" t="s">
        <v>351</v>
      </c>
      <c r="M186" s="129"/>
      <c r="N186" s="129"/>
      <c r="O186" s="129"/>
      <c r="P186" s="129"/>
      <c r="Q186" s="129"/>
      <c r="R186" s="129"/>
      <c r="S186" s="129"/>
      <c r="T186" s="129"/>
      <c r="U186" s="141"/>
      <c r="V186" s="139"/>
      <c r="W186" s="129"/>
      <c r="X186" s="129"/>
      <c r="Y186" s="129"/>
      <c r="Z186" s="129"/>
      <c r="AA186" s="129"/>
      <c r="AB186" s="115"/>
      <c r="AC186" s="129"/>
      <c r="AD186" s="149"/>
      <c r="AE186" s="129"/>
      <c r="AF186" s="129"/>
      <c r="AG186" s="129"/>
    </row>
    <row r="187" spans="3:33" x14ac:dyDescent="0.35">
      <c r="C187" s="129"/>
      <c r="D187" s="129"/>
      <c r="E187" s="129"/>
      <c r="F187" s="129"/>
      <c r="G187" s="129"/>
      <c r="H187" s="129"/>
      <c r="I187" s="129"/>
      <c r="J187" s="110"/>
      <c r="K187" s="129"/>
      <c r="L187" t="s">
        <v>351</v>
      </c>
      <c r="M187" s="129"/>
      <c r="N187" s="129"/>
      <c r="O187" s="129"/>
      <c r="P187" s="129"/>
      <c r="Q187" s="129"/>
      <c r="R187" s="129"/>
      <c r="S187" s="129"/>
      <c r="T187" s="129"/>
      <c r="U187" s="141"/>
      <c r="V187" s="139"/>
      <c r="W187" s="129"/>
      <c r="X187" s="129"/>
      <c r="Y187" s="129"/>
      <c r="Z187" s="129"/>
      <c r="AA187" s="129"/>
      <c r="AB187" s="115"/>
      <c r="AC187" s="129"/>
      <c r="AD187" s="149"/>
      <c r="AE187" s="129"/>
      <c r="AF187" s="129"/>
      <c r="AG187" s="129"/>
    </row>
    <row r="188" spans="3:33" x14ac:dyDescent="0.35">
      <c r="C188" s="129"/>
      <c r="D188" s="129"/>
      <c r="E188" s="129"/>
      <c r="F188" s="129"/>
      <c r="G188" s="129"/>
      <c r="H188" s="129"/>
      <c r="I188" s="129"/>
      <c r="J188" s="110"/>
      <c r="K188" s="129"/>
      <c r="L188" t="s">
        <v>351</v>
      </c>
      <c r="M188" s="129"/>
      <c r="N188" s="129"/>
      <c r="O188" s="129"/>
      <c r="P188" s="129"/>
      <c r="Q188" s="129"/>
      <c r="R188" s="129"/>
      <c r="S188" s="129"/>
      <c r="T188" s="129"/>
      <c r="U188" s="141"/>
      <c r="V188" s="139"/>
      <c r="W188" s="129"/>
      <c r="X188" s="129"/>
      <c r="Y188" s="129"/>
      <c r="Z188" s="129"/>
      <c r="AA188" s="129"/>
      <c r="AB188" s="115"/>
      <c r="AC188" s="129"/>
      <c r="AD188" s="149"/>
      <c r="AE188" s="129"/>
      <c r="AF188" s="129"/>
      <c r="AG188" s="129"/>
    </row>
    <row r="189" spans="3:33" x14ac:dyDescent="0.35">
      <c r="C189" s="129"/>
      <c r="D189" s="129"/>
      <c r="E189" s="129"/>
      <c r="F189" s="129"/>
      <c r="G189" s="129"/>
      <c r="H189" s="129"/>
      <c r="I189" s="129"/>
      <c r="J189" s="110"/>
      <c r="K189" s="129"/>
      <c r="L189" t="s">
        <v>351</v>
      </c>
      <c r="M189" s="129"/>
      <c r="N189" s="129"/>
      <c r="O189" s="129"/>
      <c r="P189" s="129"/>
      <c r="Q189" s="129"/>
      <c r="R189" s="129"/>
      <c r="S189" s="129"/>
      <c r="T189" s="129"/>
      <c r="U189" s="141"/>
      <c r="V189" s="139"/>
      <c r="W189" s="129"/>
      <c r="X189" s="129"/>
      <c r="Y189" s="129"/>
      <c r="Z189" s="129"/>
      <c r="AA189" s="129"/>
      <c r="AB189" s="115"/>
      <c r="AC189" s="129"/>
      <c r="AD189" s="149"/>
      <c r="AE189" s="129"/>
      <c r="AF189" s="129"/>
      <c r="AG189" s="129"/>
    </row>
    <row r="190" spans="3:33" x14ac:dyDescent="0.35">
      <c r="C190" s="129"/>
      <c r="D190" s="129"/>
      <c r="E190" s="129"/>
      <c r="F190" s="129"/>
      <c r="G190" s="129"/>
      <c r="H190" s="129"/>
      <c r="I190" s="129"/>
      <c r="J190" s="110"/>
      <c r="K190" s="129"/>
      <c r="L190" t="s">
        <v>351</v>
      </c>
      <c r="M190" s="129"/>
      <c r="N190" s="129"/>
      <c r="O190" s="129"/>
      <c r="P190" s="129"/>
      <c r="Q190" s="129"/>
      <c r="R190" s="129"/>
      <c r="S190" s="129"/>
      <c r="T190" s="129"/>
      <c r="U190" s="141"/>
      <c r="V190" s="139"/>
      <c r="W190" s="129"/>
      <c r="X190" s="129"/>
      <c r="Y190" s="129"/>
      <c r="Z190" s="129"/>
      <c r="AA190" s="129"/>
      <c r="AB190" s="115"/>
      <c r="AC190" s="129"/>
      <c r="AD190" s="149"/>
      <c r="AE190" s="129"/>
      <c r="AF190" s="129"/>
      <c r="AG190" s="129"/>
    </row>
    <row r="191" spans="3:33" x14ac:dyDescent="0.35">
      <c r="C191" s="129"/>
      <c r="D191" s="129"/>
      <c r="E191" s="129"/>
      <c r="F191" s="129"/>
      <c r="G191" s="129"/>
      <c r="H191" s="129"/>
      <c r="I191" s="129"/>
      <c r="J191" s="110"/>
      <c r="K191" s="129"/>
      <c r="L191" t="s">
        <v>351</v>
      </c>
      <c r="M191" s="129"/>
      <c r="N191" s="129"/>
      <c r="O191" s="129"/>
      <c r="P191" s="129"/>
      <c r="Q191" s="129"/>
      <c r="R191" s="129"/>
      <c r="S191" s="129"/>
      <c r="T191" s="129"/>
      <c r="U191" s="141"/>
      <c r="V191" s="139"/>
      <c r="W191" s="129"/>
      <c r="X191" s="129"/>
      <c r="Y191" s="129"/>
      <c r="Z191" s="129"/>
      <c r="AA191" s="129"/>
      <c r="AB191" s="115"/>
      <c r="AC191" s="129"/>
      <c r="AD191" s="149"/>
      <c r="AE191" s="129"/>
      <c r="AF191" s="129"/>
      <c r="AG191" s="129"/>
    </row>
    <row r="192" spans="3:33" x14ac:dyDescent="0.35">
      <c r="C192" s="129"/>
      <c r="D192" s="129"/>
      <c r="E192" s="129"/>
      <c r="F192" s="129"/>
      <c r="G192" s="129"/>
      <c r="H192" s="129"/>
      <c r="I192" s="129"/>
      <c r="J192" s="110"/>
      <c r="K192" s="129"/>
      <c r="L192" t="s">
        <v>351</v>
      </c>
      <c r="M192" s="129"/>
      <c r="N192" s="129"/>
      <c r="O192" s="129"/>
      <c r="P192" s="129"/>
      <c r="Q192" s="129"/>
      <c r="R192" s="129"/>
      <c r="S192" s="129"/>
      <c r="T192" s="129"/>
      <c r="U192" s="141"/>
      <c r="V192" s="139"/>
      <c r="W192" s="129"/>
      <c r="X192" s="129"/>
      <c r="Y192" s="129"/>
      <c r="Z192" s="129"/>
      <c r="AA192" s="129"/>
      <c r="AB192" s="115"/>
      <c r="AC192" s="129"/>
      <c r="AD192" s="149"/>
      <c r="AE192" s="129"/>
      <c r="AF192" s="129"/>
      <c r="AG192" s="129"/>
    </row>
    <row r="193" spans="3:33" x14ac:dyDescent="0.35">
      <c r="C193" s="129"/>
      <c r="D193" s="129"/>
      <c r="E193" s="129"/>
      <c r="F193" s="129"/>
      <c r="G193" s="129"/>
      <c r="H193" s="129"/>
      <c r="I193" s="129"/>
      <c r="J193" s="110"/>
      <c r="K193" s="129"/>
      <c r="L193" t="s">
        <v>351</v>
      </c>
      <c r="M193" s="129"/>
      <c r="N193" s="129"/>
      <c r="O193" s="129"/>
      <c r="P193" s="129"/>
      <c r="Q193" s="129"/>
      <c r="R193" s="129"/>
      <c r="S193" s="129"/>
      <c r="T193" s="129"/>
      <c r="U193" s="141"/>
      <c r="V193" s="139"/>
      <c r="W193" s="129"/>
      <c r="X193" s="129"/>
      <c r="Y193" s="129"/>
      <c r="Z193" s="129"/>
      <c r="AA193" s="129"/>
      <c r="AB193" s="115"/>
      <c r="AC193" s="129"/>
      <c r="AD193" s="149"/>
      <c r="AE193" s="129"/>
      <c r="AF193" s="129"/>
      <c r="AG193" s="129"/>
    </row>
    <row r="194" spans="3:33" x14ac:dyDescent="0.35">
      <c r="C194" s="129"/>
      <c r="D194" s="129"/>
      <c r="E194" s="129"/>
      <c r="F194" s="129"/>
      <c r="G194" s="129"/>
      <c r="H194" s="129"/>
      <c r="I194" s="129"/>
      <c r="J194" s="110"/>
      <c r="K194" s="129"/>
      <c r="L194" t="s">
        <v>351</v>
      </c>
      <c r="M194" s="129"/>
      <c r="N194" s="129"/>
      <c r="O194" s="129"/>
      <c r="P194" s="129"/>
      <c r="Q194" s="129"/>
      <c r="R194" s="129"/>
      <c r="S194" s="129"/>
      <c r="T194" s="129"/>
      <c r="U194" s="141"/>
      <c r="V194" s="139"/>
      <c r="W194" s="129"/>
      <c r="X194" s="129"/>
      <c r="Y194" s="129"/>
      <c r="Z194" s="129"/>
      <c r="AA194" s="129"/>
      <c r="AB194" s="115"/>
      <c r="AC194" s="129"/>
      <c r="AD194" s="149"/>
      <c r="AE194" s="129"/>
      <c r="AF194" s="129"/>
      <c r="AG194" s="129"/>
    </row>
    <row r="195" spans="3:33" x14ac:dyDescent="0.35">
      <c r="C195" s="129"/>
      <c r="D195" s="129"/>
      <c r="E195" s="129"/>
      <c r="F195" s="129"/>
      <c r="G195" s="129"/>
      <c r="H195" s="129"/>
      <c r="I195" s="129"/>
      <c r="J195" s="110"/>
      <c r="K195" s="129"/>
      <c r="L195" t="s">
        <v>351</v>
      </c>
      <c r="M195" s="129"/>
      <c r="N195" s="129"/>
      <c r="O195" s="129"/>
      <c r="P195" s="129"/>
      <c r="Q195" s="129"/>
      <c r="R195" s="129"/>
      <c r="S195" s="129"/>
      <c r="T195" s="129"/>
      <c r="U195" s="141"/>
      <c r="V195" s="139"/>
      <c r="W195" s="129"/>
      <c r="X195" s="129"/>
      <c r="Y195" s="129"/>
      <c r="Z195" s="129"/>
      <c r="AA195" s="129"/>
      <c r="AB195" s="115"/>
      <c r="AC195" s="129"/>
      <c r="AD195" s="149"/>
      <c r="AE195" s="129"/>
      <c r="AF195" s="129"/>
      <c r="AG195" s="129"/>
    </row>
    <row r="196" spans="3:33" x14ac:dyDescent="0.35">
      <c r="C196" s="129"/>
      <c r="D196" s="129"/>
      <c r="E196" s="129"/>
      <c r="F196" s="129"/>
      <c r="G196" s="129"/>
      <c r="H196" s="129"/>
      <c r="I196" s="129"/>
      <c r="J196" s="110"/>
      <c r="K196" s="129"/>
      <c r="L196" t="s">
        <v>351</v>
      </c>
      <c r="M196" s="129"/>
      <c r="N196" s="129"/>
      <c r="O196" s="129"/>
      <c r="P196" s="129"/>
      <c r="Q196" s="129"/>
      <c r="R196" s="129"/>
      <c r="S196" s="129"/>
      <c r="T196" s="129"/>
      <c r="U196" s="141"/>
      <c r="V196" s="139"/>
      <c r="W196" s="129"/>
      <c r="X196" s="129"/>
      <c r="Y196" s="129"/>
      <c r="Z196" s="129"/>
      <c r="AA196" s="129"/>
      <c r="AB196" s="115"/>
      <c r="AC196" s="129"/>
      <c r="AD196" s="149"/>
      <c r="AE196" s="129"/>
      <c r="AF196" s="129"/>
      <c r="AG196" s="129"/>
    </row>
    <row r="197" spans="3:33" x14ac:dyDescent="0.35">
      <c r="C197" s="129"/>
      <c r="D197" s="129"/>
      <c r="E197" s="129"/>
      <c r="F197" s="129"/>
      <c r="G197" s="129"/>
      <c r="H197" s="129"/>
      <c r="I197" s="129"/>
      <c r="J197" s="110"/>
      <c r="K197" s="129"/>
      <c r="L197" t="s">
        <v>351</v>
      </c>
      <c r="M197" s="129"/>
      <c r="N197" s="129"/>
      <c r="O197" s="129"/>
      <c r="P197" s="129"/>
      <c r="Q197" s="129"/>
      <c r="R197" s="129"/>
      <c r="S197" s="129"/>
      <c r="T197" s="129"/>
      <c r="U197" s="141"/>
      <c r="V197" s="139"/>
      <c r="W197" s="129"/>
      <c r="X197" s="129"/>
      <c r="Y197" s="129"/>
      <c r="Z197" s="129"/>
      <c r="AA197" s="129"/>
      <c r="AB197" s="115"/>
      <c r="AC197" s="129"/>
      <c r="AD197" s="149"/>
      <c r="AE197" s="129"/>
      <c r="AF197" s="129"/>
      <c r="AG197" s="129"/>
    </row>
    <row r="198" spans="3:33" x14ac:dyDescent="0.35">
      <c r="C198" s="129"/>
      <c r="D198" s="129"/>
      <c r="E198" s="129"/>
      <c r="F198" s="129"/>
      <c r="G198" s="129"/>
      <c r="H198" s="129"/>
      <c r="I198" s="129"/>
      <c r="J198" s="110"/>
      <c r="K198" s="129"/>
      <c r="L198" t="s">
        <v>351</v>
      </c>
      <c r="M198" s="129"/>
      <c r="N198" s="129"/>
      <c r="O198" s="129"/>
      <c r="P198" s="129"/>
      <c r="Q198" s="129"/>
      <c r="R198" s="129"/>
      <c r="S198" s="129"/>
      <c r="T198" s="129"/>
      <c r="U198" s="141"/>
      <c r="V198" s="139"/>
      <c r="W198" s="129"/>
      <c r="X198" s="129"/>
      <c r="Y198" s="129"/>
      <c r="Z198" s="129"/>
      <c r="AA198" s="129"/>
      <c r="AB198" s="115"/>
      <c r="AC198" s="129"/>
      <c r="AD198" s="149"/>
      <c r="AE198" s="129"/>
      <c r="AF198" s="129"/>
      <c r="AG198" s="129"/>
    </row>
    <row r="199" spans="3:33" x14ac:dyDescent="0.35">
      <c r="C199" s="129"/>
      <c r="D199" s="129"/>
      <c r="E199" s="129"/>
      <c r="F199" s="129"/>
      <c r="G199" s="129"/>
      <c r="H199" s="129"/>
      <c r="I199" s="129"/>
      <c r="J199" s="110"/>
      <c r="K199" s="129"/>
      <c r="L199" t="s">
        <v>351</v>
      </c>
      <c r="M199" s="129"/>
      <c r="N199" s="129"/>
      <c r="O199" s="129"/>
      <c r="P199" s="129"/>
      <c r="Q199" s="129"/>
      <c r="R199" s="129"/>
      <c r="S199" s="129"/>
      <c r="T199" s="129"/>
      <c r="U199" s="141"/>
      <c r="V199" s="139"/>
      <c r="W199" s="129"/>
      <c r="X199" s="129"/>
      <c r="Y199" s="129"/>
      <c r="Z199" s="129"/>
      <c r="AA199" s="129"/>
      <c r="AB199" s="115"/>
      <c r="AC199" s="129"/>
      <c r="AD199" s="149"/>
      <c r="AE199" s="129"/>
      <c r="AF199" s="129"/>
      <c r="AG199" s="129"/>
    </row>
    <row r="200" spans="3:33" x14ac:dyDescent="0.35">
      <c r="C200" s="129"/>
      <c r="D200" s="129"/>
      <c r="E200" s="129"/>
      <c r="F200" s="129"/>
      <c r="G200" s="129"/>
      <c r="H200" s="129"/>
      <c r="I200" s="129"/>
      <c r="J200" s="110"/>
      <c r="K200" s="129"/>
      <c r="L200" t="s">
        <v>351</v>
      </c>
      <c r="M200" s="129"/>
      <c r="N200" s="129"/>
      <c r="O200" s="129"/>
      <c r="P200" s="129"/>
      <c r="Q200" s="129"/>
      <c r="R200" s="129"/>
      <c r="S200" s="129"/>
      <c r="T200" s="129"/>
      <c r="U200" s="141"/>
      <c r="V200" s="139"/>
      <c r="W200" s="129"/>
      <c r="X200" s="129"/>
      <c r="Y200" s="129"/>
      <c r="Z200" s="129"/>
      <c r="AA200" s="129"/>
      <c r="AB200" s="115"/>
      <c r="AC200" s="129"/>
      <c r="AD200" s="149"/>
      <c r="AE200" s="129"/>
      <c r="AF200" s="129"/>
      <c r="AG200" s="129"/>
    </row>
    <row r="201" spans="3:33" x14ac:dyDescent="0.35">
      <c r="C201" s="129"/>
      <c r="D201" s="129"/>
      <c r="E201" s="129"/>
      <c r="F201" s="129"/>
      <c r="G201" s="129"/>
      <c r="H201" s="129"/>
      <c r="I201" s="129"/>
      <c r="J201" s="110"/>
      <c r="K201" s="129"/>
      <c r="L201" t="s">
        <v>351</v>
      </c>
      <c r="M201" s="129"/>
      <c r="N201" s="129"/>
      <c r="O201" s="129"/>
      <c r="P201" s="129"/>
      <c r="Q201" s="129"/>
      <c r="R201" s="129"/>
      <c r="S201" s="129"/>
      <c r="T201" s="129"/>
      <c r="U201" s="141"/>
      <c r="V201" s="139"/>
      <c r="W201" s="129"/>
      <c r="X201" s="129"/>
      <c r="Y201" s="129"/>
      <c r="Z201" s="129"/>
      <c r="AA201" s="129"/>
      <c r="AB201" s="115"/>
      <c r="AC201" s="129"/>
      <c r="AD201" s="149"/>
      <c r="AE201" s="129"/>
      <c r="AF201" s="129"/>
      <c r="AG201" s="129"/>
    </row>
    <row r="202" spans="3:33" x14ac:dyDescent="0.35">
      <c r="C202" s="129"/>
      <c r="D202" s="129"/>
      <c r="E202" s="129"/>
      <c r="F202" s="129"/>
      <c r="G202" s="129"/>
      <c r="H202" s="129"/>
      <c r="I202" s="129"/>
      <c r="J202" s="110"/>
      <c r="K202" s="129"/>
      <c r="L202" t="s">
        <v>351</v>
      </c>
      <c r="M202" s="129"/>
      <c r="N202" s="129"/>
      <c r="O202" s="129"/>
      <c r="P202" s="129"/>
      <c r="Q202" s="129"/>
      <c r="R202" s="129"/>
      <c r="S202" s="129"/>
      <c r="T202" s="129"/>
      <c r="U202" s="141"/>
      <c r="V202" s="139"/>
      <c r="W202" s="129"/>
      <c r="X202" s="129"/>
      <c r="Y202" s="129"/>
      <c r="Z202" s="129"/>
      <c r="AA202" s="129"/>
      <c r="AB202" s="115"/>
      <c r="AC202" s="129"/>
      <c r="AD202" s="149"/>
      <c r="AE202" s="129"/>
      <c r="AF202" s="129"/>
      <c r="AG202" s="129"/>
    </row>
    <row r="203" spans="3:33" x14ac:dyDescent="0.35">
      <c r="C203" s="129"/>
      <c r="D203" s="129"/>
      <c r="E203" s="129"/>
      <c r="F203" s="129"/>
      <c r="G203" s="129"/>
      <c r="H203" s="129"/>
      <c r="I203" s="129"/>
      <c r="J203" s="110"/>
      <c r="K203" s="129"/>
      <c r="L203" t="s">
        <v>351</v>
      </c>
      <c r="M203" s="129"/>
      <c r="N203" s="129"/>
      <c r="O203" s="129"/>
      <c r="P203" s="129"/>
      <c r="Q203" s="129"/>
      <c r="R203" s="129"/>
      <c r="S203" s="129"/>
      <c r="T203" s="129"/>
      <c r="U203" s="141"/>
      <c r="V203" s="139"/>
      <c r="W203" s="129"/>
      <c r="X203" s="129"/>
      <c r="Y203" s="129"/>
      <c r="Z203" s="129"/>
      <c r="AA203" s="129"/>
      <c r="AB203" s="115"/>
      <c r="AC203" s="129"/>
      <c r="AD203" s="149"/>
      <c r="AE203" s="129"/>
      <c r="AF203" s="129"/>
      <c r="AG203" s="129"/>
    </row>
    <row r="204" spans="3:33" x14ac:dyDescent="0.35">
      <c r="C204" s="129"/>
      <c r="D204" s="129"/>
      <c r="E204" s="129"/>
      <c r="F204" s="129"/>
      <c r="G204" s="129"/>
      <c r="H204" s="129"/>
      <c r="I204" s="129"/>
      <c r="J204" s="110"/>
      <c r="K204" s="129"/>
      <c r="L204" t="s">
        <v>351</v>
      </c>
      <c r="M204" s="129"/>
      <c r="N204" s="129"/>
      <c r="O204" s="129"/>
      <c r="P204" s="129"/>
      <c r="Q204" s="129"/>
      <c r="R204" s="129"/>
      <c r="S204" s="129"/>
      <c r="T204" s="129"/>
      <c r="U204" s="141"/>
      <c r="V204" s="139"/>
      <c r="W204" s="129"/>
      <c r="X204" s="129"/>
      <c r="Y204" s="129"/>
      <c r="Z204" s="129"/>
      <c r="AA204" s="129"/>
      <c r="AB204" s="115"/>
      <c r="AC204" s="129"/>
      <c r="AD204" s="149"/>
      <c r="AE204" s="129"/>
      <c r="AF204" s="129"/>
      <c r="AG204" s="129"/>
    </row>
    <row r="205" spans="3:33" x14ac:dyDescent="0.35">
      <c r="C205" s="129"/>
      <c r="D205" s="129"/>
      <c r="E205" s="129"/>
      <c r="F205" s="129"/>
      <c r="G205" s="129"/>
      <c r="H205" s="129"/>
      <c r="I205" s="129"/>
      <c r="J205" s="110"/>
      <c r="K205" s="129"/>
      <c r="L205" t="s">
        <v>351</v>
      </c>
      <c r="M205" s="129"/>
      <c r="N205" s="129"/>
      <c r="O205" s="129"/>
      <c r="P205" s="129"/>
      <c r="Q205" s="129"/>
      <c r="R205" s="129"/>
      <c r="S205" s="129"/>
      <c r="T205" s="129"/>
      <c r="U205" s="141"/>
      <c r="V205" s="139"/>
      <c r="W205" s="129"/>
      <c r="X205" s="129"/>
      <c r="Y205" s="129"/>
      <c r="Z205" s="129"/>
      <c r="AA205" s="129"/>
      <c r="AB205" s="115"/>
      <c r="AC205" s="129"/>
      <c r="AD205" s="149"/>
      <c r="AE205" s="129"/>
      <c r="AF205" s="129"/>
      <c r="AG205" s="129"/>
    </row>
    <row r="206" spans="3:33" x14ac:dyDescent="0.35">
      <c r="C206" s="129"/>
      <c r="D206" s="129"/>
      <c r="E206" s="129"/>
      <c r="F206" s="129"/>
      <c r="G206" s="129"/>
      <c r="H206" s="129"/>
      <c r="I206" s="129"/>
      <c r="J206" s="110"/>
      <c r="K206" s="129"/>
      <c r="L206" t="s">
        <v>351</v>
      </c>
      <c r="M206" s="129"/>
      <c r="N206" s="129"/>
      <c r="O206" s="129"/>
      <c r="P206" s="129"/>
      <c r="Q206" s="129"/>
      <c r="R206" s="129"/>
      <c r="S206" s="129"/>
      <c r="T206" s="129"/>
      <c r="U206" s="141"/>
      <c r="V206" s="139"/>
      <c r="W206" s="129"/>
      <c r="X206" s="129"/>
      <c r="Y206" s="129"/>
      <c r="Z206" s="129"/>
      <c r="AA206" s="129"/>
      <c r="AB206" s="115"/>
      <c r="AC206" s="129"/>
      <c r="AD206" s="149"/>
      <c r="AE206" s="129"/>
      <c r="AF206" s="129"/>
      <c r="AG206" s="129"/>
    </row>
    <row r="207" spans="3:33" x14ac:dyDescent="0.35">
      <c r="C207" s="129"/>
      <c r="D207" s="129"/>
      <c r="E207" s="129"/>
      <c r="F207" s="129"/>
      <c r="G207" s="129"/>
      <c r="H207" s="129"/>
      <c r="I207" s="129"/>
      <c r="J207" s="110"/>
      <c r="K207" s="129"/>
      <c r="L207" t="s">
        <v>351</v>
      </c>
      <c r="M207" s="129"/>
      <c r="N207" s="129"/>
      <c r="O207" s="129"/>
      <c r="P207" s="129"/>
      <c r="Q207" s="129"/>
      <c r="R207" s="129"/>
      <c r="S207" s="129"/>
      <c r="T207" s="129"/>
      <c r="U207" s="141"/>
      <c r="V207" s="139"/>
      <c r="W207" s="129"/>
      <c r="X207" s="129"/>
      <c r="Y207" s="129"/>
      <c r="Z207" s="129"/>
      <c r="AA207" s="129"/>
      <c r="AB207" s="115"/>
      <c r="AC207" s="129"/>
      <c r="AD207" s="149"/>
      <c r="AE207" s="129"/>
      <c r="AF207" s="129"/>
      <c r="AG207" s="129"/>
    </row>
    <row r="208" spans="3:33" x14ac:dyDescent="0.35">
      <c r="C208" s="129"/>
      <c r="D208" s="129"/>
      <c r="E208" s="129"/>
      <c r="F208" s="129"/>
      <c r="G208" s="129"/>
      <c r="H208" s="129"/>
      <c r="I208" s="129"/>
      <c r="J208" s="110"/>
      <c r="K208" s="129"/>
      <c r="L208" t="s">
        <v>351</v>
      </c>
      <c r="M208" s="129"/>
      <c r="N208" s="129"/>
      <c r="O208" s="129"/>
      <c r="P208" s="129"/>
      <c r="Q208" s="129"/>
      <c r="R208" s="129"/>
      <c r="S208" s="129"/>
      <c r="T208" s="129"/>
      <c r="U208" s="141"/>
      <c r="V208" s="139"/>
      <c r="W208" s="129"/>
      <c r="X208" s="129"/>
      <c r="Y208" s="129"/>
      <c r="Z208" s="129"/>
      <c r="AA208" s="129"/>
      <c r="AB208" s="115"/>
      <c r="AC208" s="129"/>
      <c r="AD208" s="149"/>
      <c r="AE208" s="129"/>
      <c r="AF208" s="129"/>
      <c r="AG208" s="129"/>
    </row>
    <row r="209" spans="3:33" x14ac:dyDescent="0.35">
      <c r="C209" s="129"/>
      <c r="D209" s="129"/>
      <c r="E209" s="129"/>
      <c r="F209" s="129"/>
      <c r="G209" s="129"/>
      <c r="H209" s="129"/>
      <c r="I209" s="129"/>
      <c r="J209" s="110"/>
      <c r="K209" s="129"/>
      <c r="L209" t="s">
        <v>351</v>
      </c>
      <c r="M209" s="129"/>
      <c r="N209" s="129"/>
      <c r="O209" s="129"/>
      <c r="P209" s="129"/>
      <c r="Q209" s="129"/>
      <c r="R209" s="129"/>
      <c r="S209" s="129"/>
      <c r="T209" s="129"/>
      <c r="U209" s="141"/>
      <c r="V209" s="139"/>
      <c r="W209" s="129"/>
      <c r="X209" s="129"/>
      <c r="Y209" s="129"/>
      <c r="Z209" s="129"/>
      <c r="AA209" s="129"/>
      <c r="AB209" s="115"/>
      <c r="AC209" s="129"/>
      <c r="AD209" s="149"/>
      <c r="AE209" s="129"/>
      <c r="AF209" s="129"/>
      <c r="AG209" s="129"/>
    </row>
    <row r="210" spans="3:33" x14ac:dyDescent="0.35">
      <c r="C210" s="129"/>
      <c r="D210" s="129"/>
      <c r="E210" s="129"/>
      <c r="F210" s="129"/>
      <c r="G210" s="129"/>
      <c r="H210" s="129"/>
      <c r="I210" s="129"/>
      <c r="J210" s="110"/>
      <c r="K210" s="129"/>
      <c r="L210" t="s">
        <v>351</v>
      </c>
      <c r="M210" s="129"/>
      <c r="N210" s="129"/>
      <c r="O210" s="129"/>
      <c r="P210" s="129"/>
      <c r="Q210" s="129"/>
      <c r="R210" s="129"/>
      <c r="S210" s="129"/>
      <c r="T210" s="129"/>
      <c r="U210" s="141"/>
      <c r="V210" s="139"/>
      <c r="W210" s="129"/>
      <c r="X210" s="129"/>
      <c r="Y210" s="129"/>
      <c r="Z210" s="129"/>
      <c r="AA210" s="129"/>
      <c r="AB210" s="115"/>
      <c r="AC210" s="129"/>
      <c r="AD210" s="149"/>
      <c r="AE210" s="129"/>
      <c r="AF210" s="129"/>
      <c r="AG210" s="129"/>
    </row>
    <row r="211" spans="3:33" x14ac:dyDescent="0.35">
      <c r="C211" s="129"/>
      <c r="D211" s="129"/>
      <c r="E211" s="129"/>
      <c r="F211" s="129"/>
      <c r="G211" s="129"/>
      <c r="H211" s="129"/>
      <c r="I211" s="129"/>
      <c r="J211" s="110"/>
      <c r="K211" s="129"/>
      <c r="L211" t="s">
        <v>351</v>
      </c>
      <c r="M211" s="129"/>
      <c r="N211" s="129"/>
      <c r="O211" s="129"/>
      <c r="P211" s="129"/>
      <c r="Q211" s="129"/>
      <c r="R211" s="129"/>
      <c r="S211" s="129"/>
      <c r="T211" s="129"/>
      <c r="U211" s="141"/>
      <c r="V211" s="139"/>
      <c r="W211" s="129"/>
      <c r="X211" s="129"/>
      <c r="Y211" s="129"/>
      <c r="Z211" s="129"/>
      <c r="AA211" s="129"/>
      <c r="AB211" s="115"/>
      <c r="AC211" s="129"/>
      <c r="AD211" s="149"/>
      <c r="AE211" s="129"/>
      <c r="AF211" s="129"/>
      <c r="AG211" s="129"/>
    </row>
    <row r="212" spans="3:33" x14ac:dyDescent="0.35">
      <c r="C212" s="129"/>
      <c r="D212" s="129"/>
      <c r="E212" s="129"/>
      <c r="F212" s="129"/>
      <c r="G212" s="129"/>
      <c r="H212" s="129"/>
      <c r="I212" s="129"/>
      <c r="J212" s="110"/>
      <c r="K212" s="129"/>
      <c r="L212" t="s">
        <v>351</v>
      </c>
      <c r="M212" s="129"/>
      <c r="N212" s="129"/>
      <c r="O212" s="129"/>
      <c r="P212" s="129"/>
      <c r="Q212" s="129"/>
      <c r="R212" s="129"/>
      <c r="S212" s="129"/>
      <c r="T212" s="129"/>
      <c r="U212" s="141"/>
      <c r="V212" s="139"/>
      <c r="W212" s="129"/>
      <c r="X212" s="129"/>
      <c r="Y212" s="129"/>
      <c r="Z212" s="129"/>
      <c r="AA212" s="129"/>
      <c r="AB212" s="115"/>
      <c r="AC212" s="129"/>
      <c r="AD212" s="149"/>
      <c r="AE212" s="129"/>
      <c r="AF212" s="129"/>
      <c r="AG212" s="129"/>
    </row>
    <row r="213" spans="3:33" x14ac:dyDescent="0.35">
      <c r="C213" s="129"/>
      <c r="D213" s="129"/>
      <c r="E213" s="129"/>
      <c r="F213" s="129"/>
      <c r="G213" s="129"/>
      <c r="H213" s="129"/>
      <c r="I213" s="129"/>
      <c r="J213" s="110"/>
      <c r="K213" s="129"/>
      <c r="L213" t="s">
        <v>351</v>
      </c>
      <c r="M213" s="129"/>
      <c r="N213" s="129"/>
      <c r="O213" s="129"/>
      <c r="P213" s="129"/>
      <c r="Q213" s="129"/>
      <c r="R213" s="129"/>
      <c r="S213" s="129"/>
      <c r="T213" s="129"/>
      <c r="U213" s="141"/>
      <c r="V213" s="139"/>
      <c r="W213" s="129"/>
      <c r="X213" s="129"/>
      <c r="Y213" s="129"/>
      <c r="Z213" s="129"/>
      <c r="AA213" s="129"/>
      <c r="AB213" s="115"/>
      <c r="AC213" s="129"/>
      <c r="AD213" s="149"/>
      <c r="AE213" s="129"/>
      <c r="AF213" s="129"/>
      <c r="AG213" s="129"/>
    </row>
    <row r="214" spans="3:33" x14ac:dyDescent="0.35">
      <c r="C214" s="129"/>
      <c r="D214" s="129"/>
      <c r="E214" s="129"/>
      <c r="F214" s="129"/>
      <c r="G214" s="129"/>
      <c r="H214" s="129"/>
      <c r="I214" s="129"/>
      <c r="J214" s="110"/>
      <c r="K214" s="129"/>
      <c r="L214" t="s">
        <v>351</v>
      </c>
      <c r="M214" s="129"/>
      <c r="N214" s="129"/>
      <c r="O214" s="129"/>
      <c r="P214" s="129"/>
      <c r="Q214" s="129"/>
      <c r="R214" s="129"/>
      <c r="S214" s="129"/>
      <c r="T214" s="129"/>
      <c r="U214" s="141"/>
      <c r="V214" s="139"/>
      <c r="W214" s="129"/>
      <c r="X214" s="129"/>
      <c r="Y214" s="129"/>
      <c r="Z214" s="129"/>
      <c r="AA214" s="129"/>
      <c r="AB214" s="115"/>
      <c r="AC214" s="129"/>
      <c r="AD214" s="149"/>
      <c r="AE214" s="129"/>
      <c r="AF214" s="129"/>
      <c r="AG214" s="129"/>
    </row>
    <row r="215" spans="3:33" x14ac:dyDescent="0.35">
      <c r="C215" s="129"/>
      <c r="D215" s="129"/>
      <c r="E215" s="129"/>
      <c r="F215" s="129"/>
      <c r="G215" s="129"/>
      <c r="H215" s="129"/>
      <c r="I215" s="129"/>
      <c r="J215" s="110"/>
      <c r="K215" s="129"/>
      <c r="L215" t="s">
        <v>351</v>
      </c>
      <c r="M215" s="129"/>
      <c r="N215" s="129"/>
      <c r="O215" s="129"/>
      <c r="P215" s="129"/>
      <c r="Q215" s="129"/>
      <c r="R215" s="129"/>
      <c r="S215" s="129"/>
      <c r="T215" s="129"/>
      <c r="U215" s="141"/>
      <c r="V215" s="139"/>
      <c r="W215" s="129"/>
      <c r="X215" s="129"/>
      <c r="Y215" s="129"/>
      <c r="Z215" s="129"/>
      <c r="AA215" s="129"/>
      <c r="AB215" s="115"/>
      <c r="AC215" s="129"/>
      <c r="AD215" s="149"/>
      <c r="AE215" s="129"/>
      <c r="AF215" s="129"/>
      <c r="AG215" s="129"/>
    </row>
    <row r="216" spans="3:33" x14ac:dyDescent="0.35">
      <c r="C216" s="129"/>
      <c r="D216" s="129"/>
      <c r="E216" s="129"/>
      <c r="F216" s="129"/>
      <c r="G216" s="129"/>
      <c r="H216" s="129"/>
      <c r="I216" s="129"/>
      <c r="J216" s="110"/>
      <c r="K216" s="129"/>
      <c r="L216" t="s">
        <v>351</v>
      </c>
      <c r="M216" s="129"/>
      <c r="N216" s="129"/>
      <c r="O216" s="129"/>
      <c r="P216" s="129"/>
      <c r="Q216" s="129"/>
      <c r="R216" s="129"/>
      <c r="S216" s="129"/>
      <c r="T216" s="129"/>
      <c r="U216" s="141"/>
      <c r="V216" s="139"/>
      <c r="W216" s="129"/>
      <c r="X216" s="129"/>
      <c r="Y216" s="129"/>
      <c r="Z216" s="129"/>
      <c r="AA216" s="129"/>
      <c r="AB216" s="115"/>
      <c r="AC216" s="129"/>
      <c r="AD216" s="149"/>
      <c r="AE216" s="129"/>
      <c r="AF216" s="129"/>
      <c r="AG216" s="129"/>
    </row>
    <row r="217" spans="3:33" x14ac:dyDescent="0.35">
      <c r="C217" s="129"/>
      <c r="D217" s="129"/>
      <c r="E217" s="129"/>
      <c r="F217" s="129"/>
      <c r="G217" s="129"/>
      <c r="H217" s="129"/>
      <c r="I217" s="129"/>
      <c r="J217" s="110"/>
      <c r="K217" s="129"/>
      <c r="L217" t="s">
        <v>351</v>
      </c>
      <c r="M217" s="129"/>
      <c r="N217" s="129"/>
      <c r="O217" s="129"/>
      <c r="P217" s="129"/>
      <c r="Q217" s="129"/>
      <c r="R217" s="129"/>
      <c r="S217" s="129"/>
      <c r="T217" s="129"/>
      <c r="U217" s="141"/>
      <c r="V217" s="139"/>
      <c r="W217" s="129"/>
      <c r="X217" s="129"/>
      <c r="Y217" s="129"/>
      <c r="Z217" s="129"/>
      <c r="AA217" s="129"/>
      <c r="AB217" s="115"/>
      <c r="AC217" s="129"/>
      <c r="AD217" s="149"/>
      <c r="AE217" s="129"/>
      <c r="AF217" s="129"/>
      <c r="AG217" s="129"/>
    </row>
    <row r="218" spans="3:33" x14ac:dyDescent="0.35">
      <c r="C218" s="129"/>
      <c r="D218" s="129"/>
      <c r="E218" s="129"/>
      <c r="F218" s="129"/>
      <c r="G218" s="129"/>
      <c r="H218" s="129"/>
      <c r="I218" s="129"/>
      <c r="J218" s="110"/>
      <c r="K218" s="129"/>
      <c r="L218" t="s">
        <v>351</v>
      </c>
      <c r="M218" s="129"/>
      <c r="N218" s="129"/>
      <c r="O218" s="129"/>
      <c r="P218" s="129"/>
      <c r="Q218" s="129"/>
      <c r="R218" s="129"/>
      <c r="S218" s="129"/>
      <c r="T218" s="129"/>
      <c r="U218" s="141"/>
      <c r="V218" s="139"/>
      <c r="W218" s="129"/>
      <c r="X218" s="129"/>
      <c r="Y218" s="129"/>
      <c r="Z218" s="129"/>
      <c r="AA218" s="129"/>
      <c r="AB218" s="115"/>
      <c r="AC218" s="129"/>
      <c r="AD218" s="149"/>
      <c r="AE218" s="129"/>
      <c r="AF218" s="129"/>
      <c r="AG218" s="129"/>
    </row>
    <row r="219" spans="3:33" x14ac:dyDescent="0.35">
      <c r="C219" s="129"/>
      <c r="D219" s="129"/>
      <c r="E219" s="129"/>
      <c r="F219" s="129"/>
      <c r="G219" s="129"/>
      <c r="H219" s="129"/>
      <c r="I219" s="129"/>
      <c r="J219" s="110"/>
      <c r="K219" s="129"/>
      <c r="L219" t="s">
        <v>351</v>
      </c>
      <c r="M219" s="129"/>
      <c r="N219" s="129"/>
      <c r="O219" s="129"/>
      <c r="P219" s="129"/>
      <c r="Q219" s="129"/>
      <c r="R219" s="129"/>
      <c r="S219" s="129"/>
      <c r="T219" s="129"/>
      <c r="U219" s="141"/>
      <c r="V219" s="139"/>
      <c r="W219" s="129"/>
      <c r="X219" s="129"/>
      <c r="Y219" s="129"/>
      <c r="Z219" s="129"/>
      <c r="AA219" s="129"/>
      <c r="AB219" s="115"/>
      <c r="AC219" s="129"/>
      <c r="AD219" s="149"/>
      <c r="AE219" s="129"/>
      <c r="AF219" s="129"/>
      <c r="AG219" s="129"/>
    </row>
    <row r="220" spans="3:33" x14ac:dyDescent="0.35">
      <c r="C220" s="129"/>
      <c r="D220" s="129"/>
      <c r="E220" s="129"/>
      <c r="F220" s="129"/>
      <c r="G220" s="129"/>
      <c r="H220" s="129"/>
      <c r="I220" s="129"/>
      <c r="J220" s="110"/>
      <c r="K220" s="129"/>
      <c r="L220" t="s">
        <v>351</v>
      </c>
      <c r="M220" s="129"/>
      <c r="N220" s="129"/>
      <c r="O220" s="129"/>
      <c r="P220" s="129"/>
      <c r="Q220" s="129"/>
      <c r="R220" s="129"/>
      <c r="S220" s="129"/>
      <c r="T220" s="129"/>
      <c r="U220" s="141"/>
      <c r="V220" s="139"/>
      <c r="W220" s="129"/>
      <c r="X220" s="129"/>
      <c r="Y220" s="129"/>
      <c r="Z220" s="129"/>
      <c r="AA220" s="129"/>
      <c r="AB220" s="115"/>
      <c r="AC220" s="129"/>
      <c r="AD220" s="149"/>
      <c r="AE220" s="129"/>
      <c r="AF220" s="129"/>
      <c r="AG220" s="129"/>
    </row>
    <row r="221" spans="3:33" x14ac:dyDescent="0.35">
      <c r="C221" s="129"/>
      <c r="D221" s="129"/>
      <c r="E221" s="129"/>
      <c r="F221" s="129"/>
      <c r="G221" s="129"/>
      <c r="H221" s="129"/>
      <c r="I221" s="129"/>
      <c r="J221" s="110"/>
      <c r="K221" s="129"/>
      <c r="L221" t="s">
        <v>351</v>
      </c>
      <c r="M221" s="129"/>
      <c r="N221" s="129"/>
      <c r="O221" s="129"/>
      <c r="P221" s="129"/>
      <c r="Q221" s="129"/>
      <c r="R221" s="129"/>
      <c r="S221" s="129"/>
      <c r="T221" s="129"/>
      <c r="U221" s="141"/>
      <c r="V221" s="139"/>
      <c r="W221" s="129"/>
      <c r="X221" s="129"/>
      <c r="Y221" s="129"/>
      <c r="Z221" s="129"/>
      <c r="AA221" s="129"/>
      <c r="AB221" s="115"/>
      <c r="AC221" s="129"/>
      <c r="AD221" s="149"/>
      <c r="AE221" s="129"/>
      <c r="AF221" s="129"/>
      <c r="AG221" s="129"/>
    </row>
    <row r="222" spans="3:33" x14ac:dyDescent="0.35">
      <c r="C222" s="129"/>
      <c r="D222" s="129"/>
      <c r="E222" s="129"/>
      <c r="F222" s="129"/>
      <c r="G222" s="129"/>
      <c r="H222" s="129"/>
      <c r="I222" s="129"/>
      <c r="J222" s="110"/>
      <c r="K222" s="129"/>
      <c r="L222" t="s">
        <v>351</v>
      </c>
      <c r="M222" s="129"/>
      <c r="N222" s="129"/>
      <c r="O222" s="129"/>
      <c r="P222" s="129"/>
      <c r="Q222" s="129"/>
      <c r="R222" s="129"/>
      <c r="S222" s="129"/>
      <c r="T222" s="129"/>
      <c r="U222" s="141"/>
      <c r="V222" s="139"/>
      <c r="W222" s="129"/>
      <c r="X222" s="129"/>
      <c r="Y222" s="129"/>
      <c r="Z222" s="129"/>
      <c r="AA222" s="129"/>
      <c r="AB222" s="115"/>
      <c r="AC222" s="129"/>
      <c r="AD222" s="149"/>
      <c r="AE222" s="129"/>
      <c r="AF222" s="129"/>
      <c r="AG222" s="129"/>
    </row>
    <row r="223" spans="3:33" x14ac:dyDescent="0.35">
      <c r="C223" s="129"/>
      <c r="D223" s="129"/>
      <c r="E223" s="129"/>
      <c r="F223" s="129"/>
      <c r="G223" s="129"/>
      <c r="H223" s="129"/>
      <c r="I223" s="129"/>
      <c r="J223" s="110"/>
      <c r="K223" s="129"/>
      <c r="L223" t="s">
        <v>351</v>
      </c>
      <c r="M223" s="129"/>
      <c r="N223" s="129"/>
      <c r="O223" s="129"/>
      <c r="P223" s="129"/>
      <c r="Q223" s="129"/>
      <c r="R223" s="129"/>
      <c r="S223" s="129"/>
      <c r="T223" s="129"/>
      <c r="U223" s="141"/>
      <c r="V223" s="139"/>
      <c r="W223" s="129"/>
      <c r="X223" s="129"/>
      <c r="Y223" s="129"/>
      <c r="Z223" s="129"/>
      <c r="AA223" s="129"/>
      <c r="AB223" s="115"/>
      <c r="AC223" s="129"/>
      <c r="AD223" s="149"/>
      <c r="AE223" s="129"/>
      <c r="AF223" s="129"/>
      <c r="AG223" s="129"/>
    </row>
    <row r="224" spans="3:33" x14ac:dyDescent="0.35">
      <c r="C224" s="129"/>
      <c r="D224" s="129"/>
      <c r="E224" s="129"/>
      <c r="F224" s="129"/>
      <c r="G224" s="129"/>
      <c r="H224" s="129"/>
      <c r="I224" s="129"/>
      <c r="J224" s="110"/>
      <c r="K224" s="129"/>
      <c r="L224" t="s">
        <v>351</v>
      </c>
      <c r="M224" s="129"/>
      <c r="N224" s="129"/>
      <c r="O224" s="129"/>
      <c r="P224" s="129"/>
      <c r="Q224" s="129"/>
      <c r="R224" s="129"/>
      <c r="S224" s="129"/>
      <c r="T224" s="129"/>
      <c r="U224" s="141"/>
      <c r="V224" s="139"/>
      <c r="W224" s="129"/>
      <c r="X224" s="129"/>
      <c r="Y224" s="129"/>
      <c r="Z224" s="129"/>
      <c r="AA224" s="129"/>
      <c r="AB224" s="115"/>
      <c r="AC224" s="129"/>
      <c r="AD224" s="149"/>
      <c r="AE224" s="129"/>
      <c r="AF224" s="129"/>
      <c r="AG224" s="129"/>
    </row>
    <row r="225" spans="3:33" x14ac:dyDescent="0.35">
      <c r="C225" s="129"/>
      <c r="D225" s="129"/>
      <c r="E225" s="129"/>
      <c r="F225" s="129"/>
      <c r="G225" s="129"/>
      <c r="H225" s="129"/>
      <c r="I225" s="129"/>
      <c r="J225" s="110"/>
      <c r="K225" s="129"/>
      <c r="L225" t="s">
        <v>351</v>
      </c>
      <c r="M225" s="129"/>
      <c r="N225" s="129"/>
      <c r="O225" s="129"/>
      <c r="P225" s="129"/>
      <c r="Q225" s="129"/>
      <c r="R225" s="129"/>
      <c r="S225" s="129"/>
      <c r="T225" s="129"/>
      <c r="U225" s="141"/>
      <c r="V225" s="139"/>
      <c r="W225" s="129"/>
      <c r="X225" s="129"/>
      <c r="Y225" s="129"/>
      <c r="Z225" s="129"/>
      <c r="AA225" s="129"/>
      <c r="AB225" s="115"/>
      <c r="AC225" s="129"/>
      <c r="AD225" s="149"/>
      <c r="AE225" s="129"/>
      <c r="AF225" s="129"/>
      <c r="AG225" s="129"/>
    </row>
    <row r="226" spans="3:33" x14ac:dyDescent="0.35">
      <c r="C226" s="129"/>
      <c r="D226" s="129"/>
      <c r="E226" s="129"/>
      <c r="F226" s="129"/>
      <c r="G226" s="129"/>
      <c r="H226" s="129"/>
      <c r="I226" s="129"/>
      <c r="J226" s="110"/>
      <c r="K226" s="129"/>
      <c r="L226" t="s">
        <v>351</v>
      </c>
      <c r="M226" s="129"/>
      <c r="N226" s="129"/>
      <c r="O226" s="129"/>
      <c r="P226" s="129"/>
      <c r="Q226" s="129"/>
      <c r="R226" s="129"/>
      <c r="S226" s="129"/>
      <c r="T226" s="129"/>
      <c r="U226" s="141"/>
      <c r="V226" s="139"/>
      <c r="W226" s="129"/>
      <c r="X226" s="129"/>
      <c r="Y226" s="129"/>
      <c r="Z226" s="129"/>
      <c r="AA226" s="129"/>
      <c r="AB226" s="115"/>
      <c r="AC226" s="129"/>
      <c r="AD226" s="149"/>
      <c r="AE226" s="129"/>
      <c r="AF226" s="129"/>
      <c r="AG226" s="129"/>
    </row>
    <row r="227" spans="3:33" x14ac:dyDescent="0.35">
      <c r="C227" s="129"/>
      <c r="D227" s="129"/>
      <c r="E227" s="129"/>
      <c r="F227" s="129"/>
      <c r="G227" s="129"/>
      <c r="H227" s="129"/>
      <c r="I227" s="129"/>
      <c r="J227" s="110"/>
      <c r="K227" s="129"/>
      <c r="L227" t="s">
        <v>351</v>
      </c>
      <c r="M227" s="129"/>
      <c r="N227" s="129"/>
      <c r="O227" s="129"/>
      <c r="P227" s="129"/>
      <c r="Q227" s="129"/>
      <c r="R227" s="129"/>
      <c r="S227" s="129"/>
      <c r="T227" s="129"/>
      <c r="U227" s="141"/>
      <c r="V227" s="139"/>
      <c r="W227" s="129"/>
      <c r="X227" s="129"/>
      <c r="Y227" s="129"/>
      <c r="Z227" s="129"/>
      <c r="AA227" s="129"/>
      <c r="AB227" s="115"/>
      <c r="AC227" s="129"/>
      <c r="AD227" s="149"/>
      <c r="AE227" s="129"/>
      <c r="AF227" s="129"/>
      <c r="AG227" s="129"/>
    </row>
    <row r="228" spans="3:33" x14ac:dyDescent="0.35">
      <c r="C228" s="129"/>
      <c r="D228" s="129"/>
      <c r="E228" s="129"/>
      <c r="F228" s="129"/>
      <c r="G228" s="129"/>
      <c r="H228" s="129"/>
      <c r="I228" s="129"/>
      <c r="J228" s="110"/>
      <c r="K228" s="129"/>
      <c r="L228" t="s">
        <v>351</v>
      </c>
      <c r="M228" s="129"/>
      <c r="N228" s="129"/>
      <c r="O228" s="129"/>
      <c r="P228" s="129"/>
      <c r="Q228" s="129"/>
      <c r="R228" s="129"/>
      <c r="S228" s="129"/>
      <c r="T228" s="129"/>
      <c r="U228" s="141"/>
      <c r="V228" s="139"/>
      <c r="W228" s="129"/>
      <c r="X228" s="129"/>
      <c r="Y228" s="129"/>
      <c r="Z228" s="129"/>
      <c r="AA228" s="129"/>
      <c r="AB228" s="115"/>
      <c r="AC228" s="129"/>
      <c r="AD228" s="149"/>
      <c r="AE228" s="129"/>
      <c r="AF228" s="129"/>
      <c r="AG228" s="129"/>
    </row>
    <row r="229" spans="3:33" x14ac:dyDescent="0.35">
      <c r="C229" s="129"/>
      <c r="D229" s="129"/>
      <c r="E229" s="129"/>
      <c r="F229" s="129"/>
      <c r="G229" s="129"/>
      <c r="H229" s="129"/>
      <c r="I229" s="129"/>
      <c r="J229" s="110"/>
      <c r="K229" s="129"/>
      <c r="L229" t="s">
        <v>351</v>
      </c>
      <c r="M229" s="129"/>
      <c r="N229" s="129"/>
      <c r="O229" s="129"/>
      <c r="P229" s="129"/>
      <c r="Q229" s="129"/>
      <c r="R229" s="129"/>
      <c r="S229" s="129"/>
      <c r="T229" s="129"/>
      <c r="U229" s="141"/>
      <c r="V229" s="139"/>
      <c r="W229" s="129"/>
      <c r="X229" s="129"/>
      <c r="Y229" s="129"/>
      <c r="Z229" s="129"/>
      <c r="AA229" s="129"/>
      <c r="AB229" s="115"/>
      <c r="AC229" s="129"/>
      <c r="AD229" s="149"/>
      <c r="AE229" s="129"/>
      <c r="AF229" s="129"/>
      <c r="AG229" s="129"/>
    </row>
    <row r="230" spans="3:33" x14ac:dyDescent="0.35">
      <c r="C230" s="129"/>
      <c r="D230" s="129"/>
      <c r="E230" s="129"/>
      <c r="F230" s="129"/>
      <c r="G230" s="129"/>
      <c r="H230" s="129"/>
      <c r="I230" s="129"/>
      <c r="J230" s="110"/>
      <c r="K230" s="129"/>
      <c r="L230" t="s">
        <v>351</v>
      </c>
      <c r="M230" s="129"/>
      <c r="N230" s="129"/>
      <c r="O230" s="129"/>
      <c r="P230" s="129"/>
      <c r="Q230" s="129"/>
      <c r="R230" s="129"/>
      <c r="S230" s="129"/>
      <c r="T230" s="129"/>
      <c r="U230" s="141"/>
      <c r="V230" s="139"/>
      <c r="W230" s="129"/>
      <c r="X230" s="129"/>
      <c r="Y230" s="129"/>
      <c r="Z230" s="129"/>
      <c r="AA230" s="129"/>
      <c r="AB230" s="115"/>
      <c r="AC230" s="129"/>
      <c r="AD230" s="149"/>
      <c r="AE230" s="129"/>
      <c r="AF230" s="129"/>
      <c r="AG230" s="129"/>
    </row>
    <row r="231" spans="3:33" x14ac:dyDescent="0.35">
      <c r="C231" s="129"/>
      <c r="D231" s="129"/>
      <c r="E231" s="129"/>
      <c r="F231" s="129"/>
      <c r="G231" s="129"/>
      <c r="H231" s="129"/>
      <c r="I231" s="129"/>
      <c r="J231" s="110"/>
      <c r="K231" s="129"/>
      <c r="L231" t="s">
        <v>351</v>
      </c>
      <c r="M231" s="129"/>
      <c r="N231" s="129"/>
      <c r="O231" s="129"/>
      <c r="P231" s="129"/>
      <c r="Q231" s="129"/>
      <c r="R231" s="129"/>
      <c r="S231" s="129"/>
      <c r="T231" s="129"/>
      <c r="U231" s="141"/>
      <c r="V231" s="139"/>
      <c r="W231" s="129"/>
      <c r="X231" s="129"/>
      <c r="Y231" s="129"/>
      <c r="Z231" s="129"/>
      <c r="AA231" s="129"/>
      <c r="AB231" s="115"/>
      <c r="AC231" s="129"/>
      <c r="AD231" s="149"/>
      <c r="AE231" s="129"/>
      <c r="AF231" s="129"/>
      <c r="AG231" s="129"/>
    </row>
    <row r="232" spans="3:33" x14ac:dyDescent="0.35">
      <c r="C232" s="129"/>
      <c r="D232" s="129"/>
      <c r="E232" s="129"/>
      <c r="F232" s="129"/>
      <c r="G232" s="129"/>
      <c r="H232" s="129"/>
      <c r="I232" s="129"/>
      <c r="J232" s="110"/>
      <c r="K232" s="129"/>
      <c r="L232" t="s">
        <v>351</v>
      </c>
      <c r="M232" s="129"/>
      <c r="N232" s="129"/>
      <c r="O232" s="129"/>
      <c r="P232" s="129"/>
      <c r="Q232" s="129"/>
      <c r="R232" s="129"/>
      <c r="S232" s="129"/>
      <c r="T232" s="129"/>
      <c r="U232" s="141"/>
      <c r="V232" s="139"/>
      <c r="W232" s="129"/>
      <c r="X232" s="129"/>
      <c r="Y232" s="129"/>
      <c r="Z232" s="129"/>
      <c r="AA232" s="129"/>
      <c r="AB232" s="115"/>
      <c r="AC232" s="129"/>
      <c r="AD232" s="149"/>
      <c r="AE232" s="129"/>
      <c r="AF232" s="129"/>
      <c r="AG232" s="129"/>
    </row>
    <row r="233" spans="3:33" x14ac:dyDescent="0.35">
      <c r="C233" s="129"/>
      <c r="D233" s="129"/>
      <c r="E233" s="129"/>
      <c r="F233" s="129"/>
      <c r="G233" s="129"/>
      <c r="H233" s="129"/>
      <c r="I233" s="129"/>
      <c r="J233" s="110"/>
      <c r="K233" s="129"/>
      <c r="L233" t="s">
        <v>351</v>
      </c>
      <c r="M233" s="129"/>
      <c r="N233" s="129"/>
      <c r="O233" s="129"/>
      <c r="P233" s="129"/>
      <c r="Q233" s="129"/>
      <c r="R233" s="129"/>
      <c r="S233" s="129"/>
      <c r="T233" s="129"/>
      <c r="U233" s="141"/>
      <c r="V233" s="139"/>
      <c r="W233" s="129"/>
      <c r="X233" s="129"/>
      <c r="Y233" s="129"/>
      <c r="Z233" s="129"/>
      <c r="AA233" s="129"/>
      <c r="AB233" s="115"/>
      <c r="AC233" s="129"/>
      <c r="AD233" s="149"/>
      <c r="AE233" s="129"/>
      <c r="AF233" s="129"/>
      <c r="AG233" s="129"/>
    </row>
    <row r="234" spans="3:33" x14ac:dyDescent="0.35">
      <c r="C234" s="129"/>
      <c r="D234" s="129"/>
      <c r="E234" s="129"/>
      <c r="F234" s="129"/>
      <c r="G234" s="129"/>
      <c r="H234" s="129"/>
      <c r="I234" s="129"/>
      <c r="J234" s="110"/>
      <c r="K234" s="129"/>
      <c r="L234" t="s">
        <v>351</v>
      </c>
      <c r="M234" s="129"/>
      <c r="N234" s="129"/>
      <c r="O234" s="129"/>
      <c r="P234" s="129"/>
      <c r="Q234" s="129"/>
      <c r="R234" s="129"/>
      <c r="S234" s="129"/>
      <c r="T234" s="129"/>
      <c r="U234" s="141"/>
      <c r="V234" s="139"/>
      <c r="W234" s="129"/>
      <c r="X234" s="129"/>
      <c r="Y234" s="129"/>
      <c r="Z234" s="129"/>
      <c r="AA234" s="129"/>
      <c r="AB234" s="115"/>
      <c r="AC234" s="129"/>
      <c r="AD234" s="149"/>
      <c r="AE234" s="129"/>
      <c r="AF234" s="129"/>
      <c r="AG234" s="129"/>
    </row>
    <row r="235" spans="3:33" x14ac:dyDescent="0.35">
      <c r="C235" s="129"/>
      <c r="D235" s="129"/>
      <c r="E235" s="129"/>
      <c r="F235" s="129"/>
      <c r="G235" s="129"/>
      <c r="H235" s="129"/>
      <c r="I235" s="129"/>
      <c r="J235" s="110"/>
      <c r="K235" s="129"/>
      <c r="L235" t="s">
        <v>351</v>
      </c>
      <c r="M235" s="129"/>
      <c r="N235" s="129"/>
      <c r="O235" s="129"/>
      <c r="P235" s="129"/>
      <c r="Q235" s="129"/>
      <c r="R235" s="129"/>
      <c r="S235" s="129"/>
      <c r="T235" s="129"/>
      <c r="U235" s="141"/>
      <c r="V235" s="139"/>
      <c r="W235" s="129"/>
      <c r="X235" s="129"/>
      <c r="Y235" s="129"/>
      <c r="Z235" s="129"/>
      <c r="AA235" s="129"/>
      <c r="AB235" s="115"/>
      <c r="AC235" s="129"/>
      <c r="AD235" s="149"/>
      <c r="AE235" s="129"/>
      <c r="AF235" s="129"/>
      <c r="AG235" s="129"/>
    </row>
    <row r="236" spans="3:33" x14ac:dyDescent="0.35">
      <c r="C236" s="129"/>
      <c r="D236" s="129"/>
      <c r="E236" s="129"/>
      <c r="F236" s="129"/>
      <c r="G236" s="129"/>
      <c r="H236" s="129"/>
      <c r="I236" s="129"/>
      <c r="J236" s="110"/>
      <c r="K236" s="129"/>
      <c r="L236" t="s">
        <v>351</v>
      </c>
      <c r="M236" s="129"/>
      <c r="N236" s="129"/>
      <c r="O236" s="129"/>
      <c r="P236" s="129"/>
      <c r="Q236" s="129"/>
      <c r="R236" s="129"/>
      <c r="S236" s="129"/>
      <c r="T236" s="129"/>
      <c r="U236" s="141"/>
      <c r="V236" s="139"/>
      <c r="W236" s="129"/>
      <c r="X236" s="129"/>
      <c r="Y236" s="129"/>
      <c r="Z236" s="129"/>
      <c r="AA236" s="129"/>
      <c r="AB236" s="115"/>
      <c r="AC236" s="129"/>
      <c r="AD236" s="149"/>
      <c r="AE236" s="129"/>
      <c r="AF236" s="129"/>
      <c r="AG236" s="129"/>
    </row>
    <row r="237" spans="3:33" x14ac:dyDescent="0.35">
      <c r="C237" s="129"/>
      <c r="D237" s="129"/>
      <c r="E237" s="129"/>
      <c r="F237" s="129"/>
      <c r="G237" s="129"/>
      <c r="H237" s="129"/>
      <c r="I237" s="129"/>
      <c r="J237" s="110"/>
      <c r="K237" s="129"/>
      <c r="L237" t="s">
        <v>351</v>
      </c>
      <c r="M237" s="129"/>
      <c r="N237" s="129"/>
      <c r="O237" s="129"/>
      <c r="P237" s="129"/>
      <c r="Q237" s="129"/>
      <c r="R237" s="129"/>
      <c r="S237" s="129"/>
      <c r="T237" s="129"/>
      <c r="U237" s="141"/>
      <c r="V237" s="139"/>
      <c r="W237" s="129"/>
      <c r="X237" s="129"/>
      <c r="Y237" s="129"/>
      <c r="Z237" s="129"/>
      <c r="AA237" s="129"/>
      <c r="AB237" s="115"/>
      <c r="AC237" s="129"/>
      <c r="AD237" s="149"/>
      <c r="AE237" s="129"/>
      <c r="AF237" s="129"/>
      <c r="AG237" s="129"/>
    </row>
    <row r="238" spans="3:33" x14ac:dyDescent="0.35">
      <c r="C238" s="129"/>
      <c r="D238" s="129"/>
      <c r="E238" s="129"/>
      <c r="F238" s="129"/>
      <c r="G238" s="129"/>
      <c r="H238" s="129"/>
      <c r="I238" s="129"/>
      <c r="J238" s="110"/>
      <c r="K238" s="129"/>
      <c r="L238" t="s">
        <v>351</v>
      </c>
      <c r="M238" s="129"/>
      <c r="N238" s="129"/>
      <c r="O238" s="129"/>
      <c r="P238" s="129"/>
      <c r="Q238" s="129"/>
      <c r="R238" s="129"/>
      <c r="S238" s="129"/>
      <c r="T238" s="129"/>
      <c r="U238" s="141"/>
      <c r="V238" s="139"/>
      <c r="W238" s="129"/>
      <c r="X238" s="129"/>
      <c r="Y238" s="129"/>
      <c r="Z238" s="129"/>
      <c r="AA238" s="129"/>
      <c r="AB238" s="115"/>
      <c r="AC238" s="129"/>
      <c r="AD238" s="149"/>
      <c r="AE238" s="129"/>
      <c r="AF238" s="129"/>
      <c r="AG238" s="129"/>
    </row>
    <row r="239" spans="3:33" x14ac:dyDescent="0.35">
      <c r="C239" s="129"/>
      <c r="D239" s="129"/>
      <c r="E239" s="129"/>
      <c r="F239" s="129"/>
      <c r="G239" s="129"/>
      <c r="H239" s="129"/>
      <c r="I239" s="129"/>
      <c r="J239" s="110"/>
      <c r="K239" s="129"/>
      <c r="L239" t="s">
        <v>351</v>
      </c>
      <c r="M239" s="129"/>
      <c r="N239" s="129"/>
      <c r="O239" s="129"/>
      <c r="P239" s="129"/>
      <c r="Q239" s="129"/>
      <c r="R239" s="129"/>
      <c r="S239" s="129"/>
      <c r="T239" s="129"/>
      <c r="U239" s="141"/>
      <c r="V239" s="139"/>
      <c r="W239" s="129"/>
      <c r="X239" s="129"/>
      <c r="Y239" s="129"/>
      <c r="Z239" s="129"/>
      <c r="AA239" s="129"/>
      <c r="AB239" s="115"/>
      <c r="AC239" s="129"/>
      <c r="AD239" s="149"/>
      <c r="AE239" s="129"/>
      <c r="AF239" s="129"/>
      <c r="AG239" s="129"/>
    </row>
    <row r="240" spans="3:33" x14ac:dyDescent="0.35">
      <c r="C240" s="129"/>
      <c r="D240" s="129"/>
      <c r="E240" s="129"/>
      <c r="F240" s="129"/>
      <c r="G240" s="129"/>
      <c r="H240" s="129"/>
      <c r="I240" s="129"/>
      <c r="J240" s="110"/>
      <c r="K240" s="129"/>
      <c r="L240" t="s">
        <v>351</v>
      </c>
      <c r="M240" s="129"/>
      <c r="N240" s="129"/>
      <c r="O240" s="129"/>
      <c r="P240" s="129"/>
      <c r="Q240" s="129"/>
      <c r="R240" s="129"/>
      <c r="S240" s="129"/>
      <c r="T240" s="129"/>
      <c r="U240" s="141"/>
      <c r="V240" s="139"/>
      <c r="W240" s="129"/>
      <c r="X240" s="129"/>
      <c r="Y240" s="129"/>
      <c r="Z240" s="129"/>
      <c r="AA240" s="129"/>
      <c r="AB240" s="115"/>
      <c r="AC240" s="129"/>
      <c r="AD240" s="149"/>
      <c r="AE240" s="129"/>
      <c r="AF240" s="129"/>
      <c r="AG240" s="129"/>
    </row>
    <row r="241" spans="3:33" x14ac:dyDescent="0.35">
      <c r="C241" s="129"/>
      <c r="D241" s="129"/>
      <c r="E241" s="129"/>
      <c r="F241" s="129"/>
      <c r="G241" s="129"/>
      <c r="H241" s="129"/>
      <c r="I241" s="129"/>
      <c r="J241" s="110"/>
      <c r="K241" s="129"/>
      <c r="L241" t="s">
        <v>351</v>
      </c>
      <c r="M241" s="129"/>
      <c r="N241" s="129"/>
      <c r="O241" s="129"/>
      <c r="P241" s="129"/>
      <c r="Q241" s="129"/>
      <c r="R241" s="129"/>
      <c r="S241" s="129"/>
      <c r="T241" s="129"/>
      <c r="U241" s="141"/>
      <c r="V241" s="139"/>
      <c r="W241" s="129"/>
      <c r="X241" s="129"/>
      <c r="Y241" s="129"/>
      <c r="Z241" s="129"/>
      <c r="AA241" s="129"/>
      <c r="AB241" s="115"/>
      <c r="AC241" s="129"/>
      <c r="AD241" s="149"/>
      <c r="AE241" s="129"/>
      <c r="AF241" s="129"/>
      <c r="AG241" s="129"/>
    </row>
    <row r="242" spans="3:33" x14ac:dyDescent="0.35">
      <c r="C242" s="129"/>
      <c r="D242" s="129"/>
      <c r="E242" s="129"/>
      <c r="F242" s="129"/>
      <c r="G242" s="129"/>
      <c r="H242" s="129"/>
      <c r="I242" s="129"/>
      <c r="J242" s="110"/>
      <c r="K242" s="129"/>
      <c r="L242" t="s">
        <v>351</v>
      </c>
      <c r="M242" s="129"/>
      <c r="N242" s="129"/>
      <c r="O242" s="129"/>
      <c r="P242" s="129"/>
      <c r="Q242" s="129"/>
      <c r="R242" s="129"/>
      <c r="S242" s="129"/>
      <c r="T242" s="129"/>
      <c r="U242" s="141"/>
      <c r="V242" s="139"/>
      <c r="W242" s="129"/>
      <c r="X242" s="129"/>
      <c r="Y242" s="129"/>
      <c r="Z242" s="129"/>
      <c r="AA242" s="129"/>
      <c r="AB242" s="115"/>
      <c r="AC242" s="129"/>
      <c r="AD242" s="149"/>
      <c r="AE242" s="129"/>
      <c r="AF242" s="129"/>
      <c r="AG242" s="129"/>
    </row>
    <row r="243" spans="3:33" x14ac:dyDescent="0.35">
      <c r="C243" s="129"/>
      <c r="D243" s="129"/>
      <c r="E243" s="129"/>
      <c r="F243" s="129"/>
      <c r="G243" s="129"/>
      <c r="H243" s="129"/>
      <c r="I243" s="129"/>
      <c r="J243" s="110"/>
      <c r="K243" s="129"/>
      <c r="L243" t="s">
        <v>351</v>
      </c>
      <c r="M243" s="129"/>
      <c r="N243" s="129"/>
      <c r="O243" s="129"/>
      <c r="P243" s="129"/>
      <c r="Q243" s="129"/>
      <c r="R243" s="129"/>
      <c r="S243" s="129"/>
      <c r="T243" s="129"/>
      <c r="U243" s="141"/>
      <c r="V243" s="139"/>
      <c r="W243" s="129"/>
      <c r="X243" s="129"/>
      <c r="Y243" s="129"/>
      <c r="Z243" s="129"/>
      <c r="AA243" s="129"/>
      <c r="AB243" s="115"/>
      <c r="AC243" s="129"/>
      <c r="AD243" s="149"/>
      <c r="AE243" s="129"/>
      <c r="AF243" s="129"/>
      <c r="AG243" s="129"/>
    </row>
    <row r="244" spans="3:33" x14ac:dyDescent="0.35">
      <c r="C244" s="129"/>
      <c r="D244" s="129"/>
      <c r="E244" s="129"/>
      <c r="F244" s="129"/>
      <c r="G244" s="129"/>
      <c r="H244" s="129"/>
      <c r="I244" s="129"/>
      <c r="J244" s="110"/>
      <c r="K244" s="129"/>
      <c r="L244" t="s">
        <v>351</v>
      </c>
      <c r="M244" s="129"/>
      <c r="N244" s="129"/>
      <c r="O244" s="129"/>
      <c r="P244" s="129"/>
      <c r="Q244" s="129"/>
      <c r="R244" s="129"/>
      <c r="S244" s="129"/>
      <c r="T244" s="129"/>
      <c r="U244" s="141"/>
      <c r="V244" s="139"/>
      <c r="W244" s="129"/>
      <c r="X244" s="129"/>
      <c r="Y244" s="129"/>
      <c r="Z244" s="129"/>
      <c r="AA244" s="129"/>
      <c r="AB244" s="115"/>
      <c r="AC244" s="129"/>
      <c r="AD244" s="149"/>
      <c r="AE244" s="129"/>
      <c r="AF244" s="129"/>
      <c r="AG244" s="129"/>
    </row>
    <row r="245" spans="3:33" x14ac:dyDescent="0.35">
      <c r="C245" s="129"/>
      <c r="D245" s="129"/>
      <c r="E245" s="129"/>
      <c r="F245" s="129"/>
      <c r="G245" s="129"/>
      <c r="H245" s="129"/>
      <c r="I245" s="129"/>
      <c r="J245" s="110"/>
      <c r="K245" s="129"/>
      <c r="L245" t="s">
        <v>351</v>
      </c>
      <c r="M245" s="129"/>
      <c r="N245" s="129"/>
      <c r="O245" s="129"/>
      <c r="P245" s="129"/>
      <c r="Q245" s="129"/>
      <c r="R245" s="129"/>
      <c r="S245" s="129"/>
      <c r="T245" s="129"/>
      <c r="U245" s="141"/>
      <c r="V245" s="139"/>
      <c r="W245" s="129"/>
      <c r="X245" s="129"/>
      <c r="Y245" s="129"/>
      <c r="Z245" s="129"/>
      <c r="AA245" s="129"/>
      <c r="AB245" s="115"/>
      <c r="AC245" s="129"/>
      <c r="AD245" s="149"/>
      <c r="AE245" s="129"/>
      <c r="AF245" s="129"/>
      <c r="AG245" s="129"/>
    </row>
    <row r="246" spans="3:33" x14ac:dyDescent="0.35">
      <c r="C246" s="129"/>
      <c r="D246" s="129"/>
      <c r="E246" s="129"/>
      <c r="F246" s="129"/>
      <c r="G246" s="129"/>
      <c r="H246" s="129"/>
      <c r="I246" s="129"/>
      <c r="J246" s="110"/>
      <c r="K246" s="129"/>
      <c r="L246" t="s">
        <v>351</v>
      </c>
      <c r="M246" s="129"/>
      <c r="N246" s="129"/>
      <c r="O246" s="129"/>
      <c r="P246" s="129"/>
      <c r="Q246" s="129"/>
      <c r="R246" s="129"/>
      <c r="S246" s="129"/>
      <c r="T246" s="129"/>
      <c r="U246" s="141"/>
      <c r="V246" s="139"/>
      <c r="W246" s="129"/>
      <c r="X246" s="129"/>
      <c r="Y246" s="129"/>
      <c r="Z246" s="129"/>
      <c r="AA246" s="129"/>
      <c r="AB246" s="115"/>
      <c r="AC246" s="129"/>
      <c r="AD246" s="149"/>
      <c r="AE246" s="129"/>
      <c r="AF246" s="129"/>
      <c r="AG246" s="129"/>
    </row>
    <row r="247" spans="3:33" x14ac:dyDescent="0.35">
      <c r="C247" s="129"/>
      <c r="D247" s="129"/>
      <c r="E247" s="129"/>
      <c r="F247" s="129"/>
      <c r="G247" s="129"/>
      <c r="H247" s="129"/>
      <c r="I247" s="129"/>
      <c r="J247" s="110"/>
      <c r="K247" s="129"/>
      <c r="L247" t="s">
        <v>351</v>
      </c>
      <c r="M247" s="129"/>
      <c r="N247" s="129"/>
      <c r="O247" s="129"/>
      <c r="P247" s="129"/>
      <c r="Q247" s="129"/>
      <c r="R247" s="129"/>
      <c r="S247" s="129"/>
      <c r="T247" s="129"/>
      <c r="U247" s="141"/>
      <c r="V247" s="139"/>
      <c r="W247" s="129"/>
      <c r="X247" s="129"/>
      <c r="Y247" s="129"/>
      <c r="Z247" s="129"/>
      <c r="AA247" s="129"/>
      <c r="AB247" s="115"/>
      <c r="AC247" s="129"/>
      <c r="AD247" s="149"/>
      <c r="AE247" s="129"/>
      <c r="AF247" s="129"/>
      <c r="AG247" s="129"/>
    </row>
    <row r="248" spans="3:33" x14ac:dyDescent="0.35">
      <c r="C248" s="129"/>
      <c r="D248" s="129"/>
      <c r="E248" s="129"/>
      <c r="F248" s="129"/>
      <c r="G248" s="129"/>
      <c r="H248" s="129"/>
      <c r="I248" s="129"/>
      <c r="J248" s="110"/>
      <c r="K248" s="129"/>
      <c r="L248" t="s">
        <v>351</v>
      </c>
      <c r="M248" s="129"/>
      <c r="N248" s="129"/>
      <c r="O248" s="129"/>
      <c r="P248" s="129"/>
      <c r="Q248" s="129"/>
      <c r="R248" s="129"/>
      <c r="S248" s="129"/>
      <c r="T248" s="129"/>
      <c r="U248" s="141"/>
      <c r="V248" s="139"/>
      <c r="W248" s="129"/>
      <c r="X248" s="129"/>
      <c r="Y248" s="129"/>
      <c r="Z248" s="129"/>
      <c r="AA248" s="129"/>
      <c r="AB248" s="115"/>
      <c r="AC248" s="129"/>
      <c r="AD248" s="149"/>
      <c r="AE248" s="129"/>
      <c r="AF248" s="129"/>
      <c r="AG248" s="129"/>
    </row>
    <row r="249" spans="3:33" x14ac:dyDescent="0.35">
      <c r="C249" s="129"/>
      <c r="D249" s="129"/>
      <c r="E249" s="129"/>
      <c r="F249" s="129"/>
      <c r="G249" s="129"/>
      <c r="H249" s="129"/>
      <c r="I249" s="129"/>
      <c r="J249" s="110"/>
      <c r="K249" s="129"/>
      <c r="L249" t="s">
        <v>351</v>
      </c>
      <c r="M249" s="129"/>
      <c r="N249" s="129"/>
      <c r="O249" s="129"/>
      <c r="P249" s="129"/>
      <c r="Q249" s="129"/>
      <c r="R249" s="129"/>
      <c r="S249" s="129"/>
      <c r="T249" s="129"/>
      <c r="U249" s="141"/>
      <c r="V249" s="139"/>
      <c r="W249" s="129"/>
      <c r="X249" s="129"/>
      <c r="Y249" s="129"/>
      <c r="Z249" s="129"/>
      <c r="AA249" s="129"/>
      <c r="AB249" s="115"/>
      <c r="AC249" s="129"/>
      <c r="AD249" s="149"/>
      <c r="AE249" s="129"/>
      <c r="AF249" s="129"/>
      <c r="AG249" s="129"/>
    </row>
    <row r="250" spans="3:33" x14ac:dyDescent="0.35">
      <c r="C250" s="129"/>
      <c r="D250" s="129"/>
      <c r="E250" s="129"/>
      <c r="F250" s="129"/>
      <c r="G250" s="129"/>
      <c r="H250" s="129"/>
      <c r="I250" s="129"/>
      <c r="J250" s="110"/>
      <c r="K250" s="129"/>
      <c r="L250" t="s">
        <v>351</v>
      </c>
      <c r="M250" s="129"/>
      <c r="N250" s="129"/>
      <c r="O250" s="129"/>
      <c r="P250" s="129"/>
      <c r="Q250" s="129"/>
      <c r="R250" s="129"/>
      <c r="S250" s="129"/>
      <c r="T250" s="129"/>
      <c r="U250" s="141"/>
      <c r="V250" s="139"/>
      <c r="W250" s="129"/>
      <c r="X250" s="129"/>
      <c r="Y250" s="129"/>
      <c r="Z250" s="129"/>
      <c r="AA250" s="129"/>
      <c r="AB250" s="115"/>
      <c r="AC250" s="129"/>
      <c r="AD250" s="149"/>
      <c r="AE250" s="129"/>
      <c r="AF250" s="129"/>
      <c r="AG250" s="129"/>
    </row>
    <row r="251" spans="3:33" x14ac:dyDescent="0.35">
      <c r="C251" s="129"/>
      <c r="D251" s="129"/>
      <c r="E251" s="129"/>
      <c r="F251" s="129"/>
      <c r="G251" s="129"/>
      <c r="H251" s="129"/>
      <c r="I251" s="129"/>
      <c r="J251" s="110"/>
      <c r="K251" s="129"/>
      <c r="L251" t="s">
        <v>351</v>
      </c>
      <c r="M251" s="129"/>
      <c r="N251" s="129"/>
      <c r="O251" s="129"/>
      <c r="P251" s="129"/>
      <c r="Q251" s="129"/>
      <c r="R251" s="129"/>
      <c r="S251" s="129"/>
      <c r="T251" s="129"/>
      <c r="U251" s="141"/>
      <c r="V251" s="139"/>
      <c r="W251" s="129"/>
      <c r="X251" s="129"/>
      <c r="Y251" s="129"/>
      <c r="Z251" s="129"/>
      <c r="AA251" s="129"/>
      <c r="AB251" s="115"/>
      <c r="AC251" s="129"/>
      <c r="AD251" s="149"/>
      <c r="AE251" s="129"/>
      <c r="AF251" s="129"/>
      <c r="AG251" s="129"/>
    </row>
    <row r="252" spans="3:33" x14ac:dyDescent="0.35">
      <c r="C252" s="129"/>
      <c r="D252" s="129"/>
      <c r="E252" s="129"/>
      <c r="F252" s="129"/>
      <c r="G252" s="129"/>
      <c r="H252" s="129"/>
      <c r="I252" s="129"/>
      <c r="J252" s="110"/>
      <c r="K252" s="129"/>
      <c r="L252" t="s">
        <v>351</v>
      </c>
      <c r="M252" s="129"/>
      <c r="N252" s="129"/>
      <c r="O252" s="129"/>
      <c r="P252" s="129"/>
      <c r="Q252" s="129"/>
      <c r="R252" s="129"/>
      <c r="S252" s="129"/>
      <c r="T252" s="129"/>
      <c r="U252" s="141"/>
      <c r="V252" s="139"/>
      <c r="W252" s="129"/>
      <c r="X252" s="129"/>
      <c r="Y252" s="129"/>
      <c r="Z252" s="129"/>
      <c r="AA252" s="129"/>
      <c r="AB252" s="115"/>
      <c r="AC252" s="129"/>
      <c r="AD252" s="149"/>
      <c r="AE252" s="129"/>
      <c r="AF252" s="129"/>
      <c r="AG252" s="129"/>
    </row>
    <row r="253" spans="3:33" x14ac:dyDescent="0.35">
      <c r="C253" s="129"/>
      <c r="D253" s="129"/>
      <c r="E253" s="129"/>
      <c r="F253" s="129"/>
      <c r="G253" s="129"/>
      <c r="H253" s="129"/>
      <c r="I253" s="129"/>
      <c r="J253" s="110"/>
      <c r="K253" s="129"/>
      <c r="L253" t="s">
        <v>351</v>
      </c>
      <c r="M253" s="129"/>
      <c r="N253" s="129"/>
      <c r="O253" s="129"/>
      <c r="P253" s="129"/>
      <c r="Q253" s="129"/>
      <c r="R253" s="129"/>
      <c r="S253" s="129"/>
      <c r="T253" s="129"/>
      <c r="U253" s="141"/>
      <c r="V253" s="139"/>
      <c r="W253" s="129"/>
      <c r="X253" s="129"/>
      <c r="Y253" s="129"/>
      <c r="Z253" s="129"/>
      <c r="AA253" s="129"/>
      <c r="AB253" s="115"/>
      <c r="AC253" s="129"/>
      <c r="AD253" s="149"/>
      <c r="AE253" s="129"/>
      <c r="AF253" s="129"/>
      <c r="AG253" s="129"/>
    </row>
    <row r="254" spans="3:33" x14ac:dyDescent="0.35">
      <c r="C254" s="129"/>
      <c r="D254" s="129"/>
      <c r="E254" s="129"/>
      <c r="F254" s="129"/>
      <c r="G254" s="129"/>
      <c r="H254" s="129"/>
      <c r="I254" s="129"/>
      <c r="J254" s="110"/>
      <c r="K254" s="129"/>
      <c r="L254" t="s">
        <v>351</v>
      </c>
      <c r="M254" s="129"/>
      <c r="N254" s="129"/>
      <c r="O254" s="129"/>
      <c r="P254" s="129"/>
      <c r="Q254" s="129"/>
      <c r="R254" s="129"/>
      <c r="S254" s="129"/>
      <c r="T254" s="129"/>
      <c r="U254" s="141"/>
      <c r="V254" s="139"/>
      <c r="W254" s="129"/>
      <c r="X254" s="129"/>
      <c r="Y254" s="129"/>
      <c r="Z254" s="129"/>
      <c r="AA254" s="129"/>
      <c r="AB254" s="115"/>
      <c r="AC254" s="129"/>
      <c r="AD254" s="149"/>
      <c r="AE254" s="129"/>
      <c r="AF254" s="129"/>
      <c r="AG254" s="129"/>
    </row>
    <row r="255" spans="3:33" x14ac:dyDescent="0.35">
      <c r="C255" s="129"/>
      <c r="D255" s="129"/>
      <c r="E255" s="129"/>
      <c r="F255" s="129"/>
      <c r="G255" s="129"/>
      <c r="H255" s="129"/>
      <c r="I255" s="129"/>
      <c r="J255" s="110"/>
      <c r="K255" s="129"/>
      <c r="L255" t="s">
        <v>351</v>
      </c>
      <c r="M255" s="129"/>
      <c r="N255" s="129"/>
      <c r="O255" s="129"/>
      <c r="P255" s="129"/>
      <c r="Q255" s="129"/>
      <c r="R255" s="129"/>
      <c r="S255" s="129"/>
      <c r="T255" s="129"/>
      <c r="U255" s="141"/>
      <c r="V255" s="139"/>
      <c r="W255" s="129"/>
      <c r="X255" s="129"/>
      <c r="Y255" s="129"/>
      <c r="Z255" s="129"/>
      <c r="AA255" s="129"/>
      <c r="AB255" s="115"/>
      <c r="AC255" s="129"/>
      <c r="AD255" s="149"/>
      <c r="AE255" s="129"/>
      <c r="AF255" s="129"/>
      <c r="AG255" s="129"/>
    </row>
    <row r="256" spans="3:33" x14ac:dyDescent="0.35">
      <c r="C256" s="129"/>
      <c r="D256" s="129"/>
      <c r="E256" s="129"/>
      <c r="F256" s="129"/>
      <c r="G256" s="129"/>
      <c r="H256" s="129"/>
      <c r="I256" s="129"/>
      <c r="J256" s="110"/>
      <c r="K256" s="129"/>
      <c r="L256" t="s">
        <v>351</v>
      </c>
      <c r="M256" s="129"/>
      <c r="N256" s="129"/>
      <c r="O256" s="129"/>
      <c r="P256" s="129"/>
      <c r="Q256" s="129"/>
      <c r="R256" s="129"/>
      <c r="S256" s="129"/>
      <c r="T256" s="129"/>
      <c r="U256" s="141"/>
      <c r="V256" s="139"/>
      <c r="W256" s="129"/>
      <c r="X256" s="129"/>
      <c r="Y256" s="129"/>
      <c r="Z256" s="129"/>
      <c r="AA256" s="129"/>
      <c r="AB256" s="115"/>
      <c r="AC256" s="129"/>
      <c r="AD256" s="149"/>
      <c r="AE256" s="129"/>
      <c r="AF256" s="129"/>
      <c r="AG256" s="129"/>
    </row>
    <row r="257" spans="3:33" x14ac:dyDescent="0.35">
      <c r="C257" s="129"/>
      <c r="D257" s="129"/>
      <c r="E257" s="129"/>
      <c r="F257" s="129"/>
      <c r="G257" s="129"/>
      <c r="H257" s="129"/>
      <c r="I257" s="129"/>
      <c r="J257" s="110"/>
      <c r="K257" s="129"/>
      <c r="L257" t="s">
        <v>351</v>
      </c>
      <c r="M257" s="129"/>
      <c r="N257" s="129"/>
      <c r="O257" s="129"/>
      <c r="P257" s="129"/>
      <c r="Q257" s="129"/>
      <c r="R257" s="129"/>
      <c r="S257" s="129"/>
      <c r="T257" s="129"/>
      <c r="U257" s="141"/>
      <c r="V257" s="139"/>
      <c r="W257" s="129"/>
      <c r="X257" s="129"/>
      <c r="Y257" s="129"/>
      <c r="Z257" s="129"/>
      <c r="AA257" s="129"/>
      <c r="AB257" s="115"/>
      <c r="AC257" s="129"/>
      <c r="AD257" s="149"/>
      <c r="AE257" s="129"/>
      <c r="AF257" s="129"/>
      <c r="AG257" s="129"/>
    </row>
    <row r="258" spans="3:33" x14ac:dyDescent="0.35">
      <c r="C258" s="129"/>
      <c r="D258" s="129"/>
      <c r="E258" s="129"/>
      <c r="F258" s="129"/>
      <c r="G258" s="129"/>
      <c r="H258" s="129"/>
      <c r="I258" s="129"/>
      <c r="J258" s="110"/>
      <c r="K258" s="129"/>
      <c r="L258" t="s">
        <v>351</v>
      </c>
      <c r="M258" s="129"/>
      <c r="N258" s="129"/>
      <c r="O258" s="129"/>
      <c r="P258" s="129"/>
      <c r="Q258" s="129"/>
      <c r="R258" s="129"/>
      <c r="S258" s="129"/>
      <c r="T258" s="129"/>
      <c r="U258" s="141"/>
      <c r="V258" s="139"/>
      <c r="W258" s="129"/>
      <c r="X258" s="129"/>
      <c r="Y258" s="129"/>
      <c r="Z258" s="129"/>
      <c r="AA258" s="129"/>
      <c r="AB258" s="115"/>
      <c r="AC258" s="129"/>
      <c r="AD258" s="149"/>
      <c r="AE258" s="129"/>
      <c r="AF258" s="129"/>
      <c r="AG258" s="129"/>
    </row>
    <row r="259" spans="3:33" x14ac:dyDescent="0.35">
      <c r="C259" s="129"/>
      <c r="D259" s="129"/>
      <c r="E259" s="129"/>
      <c r="F259" s="129"/>
      <c r="G259" s="129"/>
      <c r="H259" s="129"/>
      <c r="I259" s="129"/>
      <c r="J259" s="110"/>
      <c r="K259" s="129"/>
      <c r="L259" t="s">
        <v>351</v>
      </c>
      <c r="M259" s="129"/>
      <c r="N259" s="129"/>
      <c r="O259" s="129"/>
      <c r="P259" s="129"/>
      <c r="Q259" s="129"/>
      <c r="R259" s="129"/>
      <c r="S259" s="129"/>
      <c r="T259" s="129"/>
      <c r="U259" s="141"/>
      <c r="V259" s="139"/>
      <c r="W259" s="129"/>
      <c r="X259" s="129"/>
      <c r="Y259" s="129"/>
      <c r="Z259" s="129"/>
      <c r="AA259" s="129"/>
      <c r="AB259" s="115"/>
      <c r="AC259" s="129"/>
      <c r="AD259" s="149"/>
      <c r="AE259" s="129"/>
      <c r="AF259" s="129"/>
      <c r="AG259" s="129"/>
    </row>
    <row r="260" spans="3:33" x14ac:dyDescent="0.35">
      <c r="C260" s="129"/>
      <c r="D260" s="129"/>
      <c r="E260" s="129"/>
      <c r="F260" s="129"/>
      <c r="G260" s="129"/>
      <c r="H260" s="129"/>
      <c r="I260" s="129"/>
      <c r="J260" s="110"/>
      <c r="K260" s="129"/>
      <c r="L260" t="s">
        <v>351</v>
      </c>
      <c r="M260" s="129"/>
      <c r="N260" s="129"/>
      <c r="O260" s="129"/>
      <c r="P260" s="129"/>
      <c r="Q260" s="129"/>
      <c r="R260" s="129"/>
      <c r="S260" s="129"/>
      <c r="T260" s="129"/>
      <c r="U260" s="141"/>
      <c r="V260" s="139"/>
      <c r="W260" s="129"/>
      <c r="X260" s="129"/>
      <c r="Y260" s="129"/>
      <c r="Z260" s="129"/>
      <c r="AA260" s="129"/>
      <c r="AB260" s="115"/>
      <c r="AC260" s="129"/>
      <c r="AD260" s="149"/>
      <c r="AE260" s="129"/>
      <c r="AF260" s="129"/>
      <c r="AG260" s="129"/>
    </row>
    <row r="261" spans="3:33" x14ac:dyDescent="0.35">
      <c r="C261" s="129"/>
      <c r="D261" s="129"/>
      <c r="E261" s="129"/>
      <c r="F261" s="129"/>
      <c r="G261" s="129"/>
      <c r="H261" s="129"/>
      <c r="I261" s="129"/>
      <c r="J261" s="110"/>
      <c r="K261" s="129"/>
      <c r="L261" t="s">
        <v>351</v>
      </c>
      <c r="M261" s="129"/>
      <c r="N261" s="129"/>
      <c r="O261" s="129"/>
      <c r="P261" s="129"/>
      <c r="Q261" s="129"/>
      <c r="R261" s="129"/>
      <c r="S261" s="129"/>
      <c r="T261" s="129"/>
      <c r="U261" s="141"/>
      <c r="V261" s="139"/>
      <c r="W261" s="129"/>
      <c r="X261" s="129"/>
      <c r="Y261" s="129"/>
      <c r="Z261" s="129"/>
      <c r="AA261" s="129"/>
      <c r="AB261" s="115"/>
      <c r="AC261" s="129"/>
      <c r="AD261" s="149"/>
      <c r="AE261" s="129"/>
      <c r="AF261" s="129"/>
      <c r="AG261" s="129"/>
    </row>
    <row r="262" spans="3:33" x14ac:dyDescent="0.35">
      <c r="C262" s="129"/>
      <c r="D262" s="129"/>
      <c r="E262" s="129"/>
      <c r="F262" s="129"/>
      <c r="G262" s="129"/>
      <c r="H262" s="129"/>
      <c r="I262" s="129"/>
      <c r="J262" s="110"/>
      <c r="K262" s="129"/>
      <c r="L262" t="s">
        <v>351</v>
      </c>
      <c r="M262" s="129"/>
      <c r="N262" s="129"/>
      <c r="O262" s="129"/>
      <c r="P262" s="129"/>
      <c r="Q262" s="129"/>
      <c r="R262" s="129"/>
      <c r="S262" s="129"/>
      <c r="T262" s="129"/>
      <c r="U262" s="141"/>
      <c r="V262" s="139"/>
      <c r="W262" s="129"/>
      <c r="X262" s="129"/>
      <c r="Y262" s="129"/>
      <c r="Z262" s="129"/>
      <c r="AA262" s="129"/>
      <c r="AB262" s="115"/>
      <c r="AC262" s="129"/>
      <c r="AD262" s="149"/>
      <c r="AE262" s="129"/>
      <c r="AF262" s="129"/>
      <c r="AG262" s="129"/>
    </row>
    <row r="263" spans="3:33" x14ac:dyDescent="0.35">
      <c r="C263" s="129"/>
      <c r="D263" s="129"/>
      <c r="E263" s="129"/>
      <c r="F263" s="129"/>
      <c r="G263" s="129"/>
      <c r="H263" s="129"/>
      <c r="I263" s="129"/>
      <c r="J263" s="110"/>
      <c r="K263" s="129"/>
      <c r="L263" t="s">
        <v>351</v>
      </c>
      <c r="M263" s="129"/>
      <c r="N263" s="129"/>
      <c r="O263" s="129"/>
      <c r="P263" s="129"/>
      <c r="Q263" s="129"/>
      <c r="R263" s="129"/>
      <c r="S263" s="129"/>
      <c r="T263" s="129"/>
      <c r="U263" s="141"/>
      <c r="V263" s="139"/>
      <c r="W263" s="129"/>
      <c r="X263" s="129"/>
      <c r="Y263" s="129"/>
      <c r="Z263" s="129"/>
      <c r="AA263" s="129"/>
      <c r="AB263" s="115"/>
      <c r="AC263" s="129"/>
      <c r="AD263" s="149"/>
      <c r="AE263" s="129"/>
      <c r="AF263" s="129"/>
      <c r="AG263" s="129"/>
    </row>
    <row r="264" spans="3:33" x14ac:dyDescent="0.35">
      <c r="C264" s="129"/>
      <c r="D264" s="129"/>
      <c r="E264" s="129"/>
      <c r="F264" s="129"/>
      <c r="G264" s="129"/>
      <c r="H264" s="129"/>
      <c r="I264" s="129"/>
      <c r="J264" s="110"/>
      <c r="K264" s="129"/>
      <c r="L264" t="s">
        <v>351</v>
      </c>
      <c r="M264" s="129"/>
      <c r="N264" s="129"/>
      <c r="O264" s="129"/>
      <c r="P264" s="129"/>
      <c r="Q264" s="129"/>
      <c r="R264" s="129"/>
      <c r="S264" s="129"/>
      <c r="T264" s="129"/>
      <c r="U264" s="141"/>
      <c r="V264" s="139"/>
      <c r="W264" s="129"/>
      <c r="X264" s="129"/>
      <c r="Y264" s="129"/>
      <c r="Z264" s="129"/>
      <c r="AA264" s="129"/>
      <c r="AB264" s="115"/>
      <c r="AC264" s="129"/>
      <c r="AD264" s="149"/>
      <c r="AE264" s="129"/>
      <c r="AF264" s="129"/>
      <c r="AG264" s="129"/>
    </row>
    <row r="265" spans="3:33" x14ac:dyDescent="0.35">
      <c r="C265" s="129"/>
      <c r="D265" s="129"/>
      <c r="E265" s="129"/>
      <c r="F265" s="129"/>
      <c r="G265" s="129"/>
      <c r="H265" s="129"/>
      <c r="I265" s="129"/>
      <c r="J265" s="110"/>
      <c r="K265" s="129"/>
      <c r="L265" t="s">
        <v>351</v>
      </c>
      <c r="M265" s="129"/>
      <c r="N265" s="129"/>
      <c r="O265" s="129"/>
      <c r="P265" s="129"/>
      <c r="Q265" s="129"/>
      <c r="R265" s="129"/>
      <c r="S265" s="129"/>
      <c r="T265" s="129"/>
      <c r="U265" s="141"/>
      <c r="V265" s="139"/>
      <c r="W265" s="129"/>
      <c r="X265" s="129"/>
      <c r="Y265" s="129"/>
      <c r="Z265" s="129"/>
      <c r="AA265" s="129"/>
      <c r="AB265" s="115"/>
      <c r="AC265" s="129"/>
      <c r="AD265" s="149"/>
      <c r="AE265" s="129"/>
      <c r="AF265" s="129"/>
      <c r="AG265" s="129"/>
    </row>
    <row r="266" spans="3:33" x14ac:dyDescent="0.35">
      <c r="C266" s="129"/>
      <c r="D266" s="129"/>
      <c r="E266" s="129"/>
      <c r="F266" s="129"/>
      <c r="G266" s="129"/>
      <c r="H266" s="129"/>
      <c r="I266" s="129"/>
      <c r="J266" s="110"/>
      <c r="K266" s="129"/>
      <c r="L266" t="s">
        <v>351</v>
      </c>
      <c r="M266" s="129"/>
      <c r="N266" s="129"/>
      <c r="O266" s="129"/>
      <c r="P266" s="129"/>
      <c r="Q266" s="129"/>
      <c r="R266" s="129"/>
      <c r="S266" s="129"/>
      <c r="T266" s="129"/>
      <c r="U266" s="141"/>
      <c r="V266" s="139"/>
      <c r="W266" s="129"/>
      <c r="X266" s="129"/>
      <c r="Y266" s="129"/>
      <c r="Z266" s="129"/>
      <c r="AA266" s="129"/>
      <c r="AB266" s="115"/>
      <c r="AC266" s="129"/>
      <c r="AD266" s="149"/>
      <c r="AE266" s="129"/>
      <c r="AF266" s="129"/>
      <c r="AG266" s="129"/>
    </row>
    <row r="267" spans="3:33" x14ac:dyDescent="0.35">
      <c r="C267" s="129"/>
      <c r="D267" s="129"/>
      <c r="E267" s="129"/>
      <c r="F267" s="129"/>
      <c r="G267" s="129"/>
      <c r="H267" s="129"/>
      <c r="I267" s="129"/>
      <c r="J267" s="110"/>
      <c r="K267" s="129"/>
      <c r="L267" t="s">
        <v>351</v>
      </c>
      <c r="M267" s="129"/>
      <c r="N267" s="129"/>
      <c r="O267" s="129"/>
      <c r="P267" s="129"/>
      <c r="Q267" s="129"/>
      <c r="R267" s="129"/>
      <c r="S267" s="129"/>
      <c r="T267" s="129"/>
      <c r="U267" s="141"/>
      <c r="V267" s="139"/>
      <c r="W267" s="129"/>
      <c r="X267" s="129"/>
      <c r="Y267" s="129"/>
      <c r="Z267" s="129"/>
      <c r="AA267" s="129"/>
      <c r="AB267" s="115"/>
      <c r="AC267" s="129"/>
      <c r="AD267" s="149"/>
      <c r="AE267" s="129"/>
      <c r="AF267" s="129"/>
      <c r="AG267" s="129"/>
    </row>
    <row r="268" spans="3:33" x14ac:dyDescent="0.35">
      <c r="C268" s="129"/>
      <c r="D268" s="129"/>
      <c r="E268" s="129"/>
      <c r="F268" s="129"/>
      <c r="G268" s="129"/>
      <c r="H268" s="129"/>
      <c r="I268" s="129"/>
      <c r="J268" s="110"/>
      <c r="K268" s="129"/>
      <c r="L268" t="s">
        <v>351</v>
      </c>
      <c r="M268" s="129"/>
      <c r="N268" s="129"/>
      <c r="O268" s="129"/>
      <c r="P268" s="129"/>
      <c r="Q268" s="129"/>
      <c r="R268" s="129"/>
      <c r="S268" s="129"/>
      <c r="T268" s="129"/>
      <c r="U268" s="141"/>
      <c r="V268" s="139"/>
      <c r="W268" s="129"/>
      <c r="X268" s="129"/>
      <c r="Y268" s="129"/>
      <c r="Z268" s="129"/>
      <c r="AA268" s="129"/>
      <c r="AB268" s="115"/>
      <c r="AC268" s="129"/>
      <c r="AD268" s="149"/>
      <c r="AE268" s="129"/>
      <c r="AF268" s="129"/>
      <c r="AG268" s="129"/>
    </row>
    <row r="269" spans="3:33" x14ac:dyDescent="0.35">
      <c r="C269" s="129"/>
      <c r="D269" s="129"/>
      <c r="E269" s="129"/>
      <c r="F269" s="129"/>
      <c r="G269" s="129"/>
      <c r="H269" s="129"/>
      <c r="I269" s="129"/>
      <c r="J269" s="110"/>
      <c r="K269" s="129"/>
      <c r="L269" t="s">
        <v>351</v>
      </c>
      <c r="M269" s="129"/>
      <c r="N269" s="129"/>
      <c r="O269" s="129"/>
      <c r="P269" s="129"/>
      <c r="Q269" s="129"/>
      <c r="R269" s="129"/>
      <c r="S269" s="129"/>
      <c r="T269" s="129"/>
      <c r="U269" s="141"/>
      <c r="V269" s="139"/>
      <c r="W269" s="129"/>
      <c r="X269" s="129"/>
      <c r="Y269" s="129"/>
      <c r="Z269" s="129"/>
      <c r="AA269" s="129"/>
      <c r="AB269" s="115"/>
      <c r="AC269" s="129"/>
      <c r="AD269" s="149"/>
      <c r="AE269" s="129"/>
      <c r="AF269" s="129"/>
      <c r="AG269" s="129"/>
    </row>
    <row r="270" spans="3:33" x14ac:dyDescent="0.35">
      <c r="C270" s="129"/>
      <c r="D270" s="129"/>
      <c r="E270" s="129"/>
      <c r="F270" s="129"/>
      <c r="G270" s="129"/>
      <c r="H270" s="129"/>
      <c r="I270" s="129"/>
      <c r="J270" s="110"/>
      <c r="K270" s="129"/>
      <c r="L270" t="s">
        <v>351</v>
      </c>
      <c r="M270" s="129"/>
      <c r="N270" s="129"/>
      <c r="O270" s="129"/>
      <c r="P270" s="129"/>
      <c r="Q270" s="129"/>
      <c r="R270" s="129"/>
      <c r="S270" s="129"/>
      <c r="T270" s="129"/>
      <c r="U270" s="141"/>
      <c r="V270" s="139"/>
      <c r="W270" s="129"/>
      <c r="X270" s="129"/>
      <c r="Y270" s="129"/>
      <c r="Z270" s="129"/>
      <c r="AA270" s="129"/>
      <c r="AB270" s="115"/>
      <c r="AC270" s="129"/>
      <c r="AD270" s="149"/>
      <c r="AE270" s="129"/>
      <c r="AF270" s="129"/>
      <c r="AG270" s="129"/>
    </row>
    <row r="271" spans="3:33" x14ac:dyDescent="0.35">
      <c r="C271" s="129"/>
      <c r="D271" s="129"/>
      <c r="E271" s="129"/>
      <c r="F271" s="129"/>
      <c r="G271" s="129"/>
      <c r="H271" s="129"/>
      <c r="I271" s="129"/>
      <c r="J271" s="110"/>
      <c r="K271" s="129"/>
      <c r="L271" t="s">
        <v>351</v>
      </c>
      <c r="M271" s="129"/>
      <c r="N271" s="129"/>
      <c r="O271" s="129"/>
      <c r="P271" s="129"/>
      <c r="Q271" s="129"/>
      <c r="R271" s="129"/>
      <c r="S271" s="129"/>
      <c r="T271" s="129"/>
      <c r="U271" s="141"/>
      <c r="V271" s="139"/>
      <c r="W271" s="129"/>
      <c r="X271" s="129"/>
      <c r="Y271" s="129"/>
      <c r="Z271" s="129"/>
      <c r="AA271" s="129"/>
      <c r="AB271" s="115"/>
      <c r="AC271" s="129"/>
      <c r="AD271" s="149"/>
      <c r="AE271" s="129"/>
      <c r="AF271" s="129"/>
      <c r="AG271" s="129"/>
    </row>
    <row r="272" spans="3:33" x14ac:dyDescent="0.35">
      <c r="C272" s="129"/>
      <c r="D272" s="129"/>
      <c r="E272" s="129"/>
      <c r="F272" s="129"/>
      <c r="G272" s="129"/>
      <c r="H272" s="129"/>
      <c r="I272" s="129"/>
      <c r="J272" s="110"/>
      <c r="K272" s="129"/>
      <c r="L272" t="s">
        <v>351</v>
      </c>
      <c r="M272" s="129"/>
      <c r="N272" s="129"/>
      <c r="O272" s="129"/>
      <c r="P272" s="129"/>
      <c r="Q272" s="129"/>
      <c r="R272" s="129"/>
      <c r="S272" s="129"/>
      <c r="T272" s="129"/>
      <c r="U272" s="141"/>
      <c r="V272" s="139"/>
      <c r="W272" s="129"/>
      <c r="X272" s="129"/>
      <c r="Y272" s="129"/>
      <c r="Z272" s="129"/>
      <c r="AA272" s="129"/>
      <c r="AB272" s="115"/>
      <c r="AC272" s="129"/>
      <c r="AD272" s="149"/>
      <c r="AE272" s="129"/>
      <c r="AF272" s="129"/>
      <c r="AG272" s="129"/>
    </row>
    <row r="273" spans="3:33" x14ac:dyDescent="0.35">
      <c r="C273" s="129"/>
      <c r="D273" s="129"/>
      <c r="E273" s="129"/>
      <c r="F273" s="129"/>
      <c r="G273" s="129"/>
      <c r="H273" s="129"/>
      <c r="I273" s="129"/>
      <c r="J273" s="110"/>
      <c r="K273" s="129"/>
      <c r="L273" t="s">
        <v>351</v>
      </c>
      <c r="M273" s="129"/>
      <c r="N273" s="129"/>
      <c r="O273" s="129"/>
      <c r="P273" s="129"/>
      <c r="Q273" s="129"/>
      <c r="R273" s="129"/>
      <c r="S273" s="129"/>
      <c r="T273" s="129"/>
      <c r="U273" s="141"/>
      <c r="V273" s="139"/>
      <c r="W273" s="129"/>
      <c r="X273" s="129"/>
      <c r="Y273" s="129"/>
      <c r="Z273" s="129"/>
      <c r="AA273" s="129"/>
      <c r="AB273" s="115"/>
      <c r="AC273" s="129"/>
      <c r="AD273" s="149"/>
      <c r="AE273" s="129"/>
      <c r="AF273" s="129"/>
      <c r="AG273" s="129"/>
    </row>
    <row r="274" spans="3:33" x14ac:dyDescent="0.35">
      <c r="C274" s="129"/>
      <c r="D274" s="129"/>
      <c r="E274" s="129"/>
      <c r="F274" s="129"/>
      <c r="G274" s="129"/>
      <c r="H274" s="129"/>
      <c r="I274" s="129"/>
      <c r="J274" s="110"/>
      <c r="K274" s="129"/>
      <c r="L274" t="s">
        <v>351</v>
      </c>
      <c r="M274" s="129"/>
      <c r="N274" s="129"/>
      <c r="O274" s="129"/>
      <c r="P274" s="129"/>
      <c r="Q274" s="129"/>
      <c r="R274" s="129"/>
      <c r="S274" s="129"/>
      <c r="T274" s="129"/>
      <c r="U274" s="141"/>
      <c r="V274" s="139"/>
      <c r="W274" s="129"/>
      <c r="X274" s="129"/>
      <c r="Y274" s="129"/>
      <c r="Z274" s="129"/>
      <c r="AA274" s="129"/>
      <c r="AB274" s="115"/>
      <c r="AC274" s="129"/>
      <c r="AD274" s="149"/>
      <c r="AE274" s="129"/>
      <c r="AF274" s="129"/>
      <c r="AG274" s="129"/>
    </row>
    <row r="275" spans="3:33" x14ac:dyDescent="0.35">
      <c r="C275" s="129"/>
      <c r="D275" s="129"/>
      <c r="E275" s="129"/>
      <c r="F275" s="129"/>
      <c r="G275" s="129"/>
      <c r="H275" s="129"/>
      <c r="I275" s="129"/>
      <c r="J275" s="110"/>
      <c r="K275" s="129"/>
      <c r="L275" t="s">
        <v>351</v>
      </c>
      <c r="M275" s="129"/>
      <c r="N275" s="129"/>
      <c r="O275" s="129"/>
      <c r="P275" s="129"/>
      <c r="Q275" s="129"/>
      <c r="R275" s="129"/>
      <c r="S275" s="129"/>
      <c r="T275" s="129"/>
      <c r="U275" s="141"/>
      <c r="V275" s="139"/>
      <c r="W275" s="129"/>
      <c r="X275" s="129"/>
      <c r="Y275" s="129"/>
      <c r="Z275" s="129"/>
      <c r="AA275" s="129"/>
      <c r="AB275" s="115"/>
      <c r="AC275" s="129"/>
      <c r="AD275" s="149"/>
      <c r="AE275" s="129"/>
      <c r="AF275" s="129"/>
      <c r="AG275" s="129"/>
    </row>
    <row r="276" spans="3:33" x14ac:dyDescent="0.35">
      <c r="C276" s="129"/>
      <c r="D276" s="129"/>
      <c r="E276" s="129"/>
      <c r="F276" s="129"/>
      <c r="G276" s="129"/>
      <c r="H276" s="129"/>
      <c r="I276" s="129"/>
      <c r="J276" s="110"/>
      <c r="K276" s="129"/>
      <c r="L276" t="s">
        <v>351</v>
      </c>
      <c r="M276" s="129"/>
      <c r="N276" s="129"/>
      <c r="O276" s="129"/>
      <c r="P276" s="129"/>
      <c r="Q276" s="129"/>
      <c r="R276" s="129"/>
      <c r="S276" s="129"/>
      <c r="T276" s="129"/>
      <c r="U276" s="141"/>
      <c r="V276" s="139"/>
      <c r="W276" s="129"/>
      <c r="X276" s="129"/>
      <c r="Y276" s="129"/>
      <c r="Z276" s="129"/>
      <c r="AA276" s="129"/>
      <c r="AB276" s="115"/>
      <c r="AC276" s="129"/>
      <c r="AD276" s="149"/>
      <c r="AE276" s="129"/>
      <c r="AF276" s="129"/>
      <c r="AG276" s="129"/>
    </row>
    <row r="277" spans="3:33" x14ac:dyDescent="0.35">
      <c r="C277" s="129"/>
      <c r="D277" s="129"/>
      <c r="E277" s="129"/>
      <c r="F277" s="129"/>
      <c r="G277" s="129"/>
      <c r="H277" s="129"/>
      <c r="I277" s="129"/>
      <c r="J277" s="110"/>
      <c r="K277" s="129"/>
      <c r="L277" t="s">
        <v>351</v>
      </c>
      <c r="M277" s="129"/>
      <c r="N277" s="129"/>
      <c r="O277" s="129"/>
      <c r="P277" s="129"/>
      <c r="Q277" s="129"/>
      <c r="R277" s="129"/>
      <c r="S277" s="129"/>
      <c r="T277" s="129"/>
      <c r="U277" s="141"/>
      <c r="V277" s="139"/>
      <c r="W277" s="129"/>
      <c r="X277" s="129"/>
      <c r="Y277" s="129"/>
      <c r="Z277" s="129"/>
      <c r="AA277" s="129"/>
      <c r="AB277" s="115"/>
      <c r="AC277" s="129"/>
      <c r="AD277" s="149"/>
      <c r="AE277" s="129"/>
      <c r="AF277" s="129"/>
      <c r="AG277" s="129"/>
    </row>
    <row r="278" spans="3:33" x14ac:dyDescent="0.35">
      <c r="C278" s="129"/>
      <c r="D278" s="129"/>
      <c r="E278" s="129"/>
      <c r="F278" s="129"/>
      <c r="G278" s="129"/>
      <c r="H278" s="129"/>
      <c r="I278" s="129"/>
      <c r="J278" s="110"/>
      <c r="K278" s="129"/>
      <c r="L278" t="s">
        <v>351</v>
      </c>
      <c r="M278" s="129"/>
      <c r="N278" s="129"/>
      <c r="O278" s="129"/>
      <c r="P278" s="129"/>
      <c r="Q278" s="129"/>
      <c r="R278" s="129"/>
      <c r="S278" s="129"/>
      <c r="T278" s="129"/>
      <c r="U278" s="141"/>
      <c r="V278" s="139"/>
      <c r="W278" s="129"/>
      <c r="X278" s="129"/>
      <c r="Y278" s="129"/>
      <c r="Z278" s="129"/>
      <c r="AA278" s="129"/>
      <c r="AB278" s="115"/>
      <c r="AC278" s="129"/>
      <c r="AD278" s="149"/>
      <c r="AE278" s="129"/>
      <c r="AF278" s="129"/>
      <c r="AG278" s="129"/>
    </row>
    <row r="279" spans="3:33" x14ac:dyDescent="0.35">
      <c r="C279" s="129"/>
      <c r="D279" s="129"/>
      <c r="E279" s="129"/>
      <c r="F279" s="129"/>
      <c r="G279" s="129"/>
      <c r="H279" s="129"/>
      <c r="I279" s="129"/>
      <c r="J279" s="110"/>
      <c r="K279" s="129"/>
      <c r="L279" t="s">
        <v>351</v>
      </c>
      <c r="M279" s="129"/>
      <c r="N279" s="129"/>
      <c r="O279" s="129"/>
      <c r="P279" s="129"/>
      <c r="Q279" s="129"/>
      <c r="R279" s="129"/>
      <c r="S279" s="129"/>
      <c r="T279" s="129"/>
      <c r="U279" s="141"/>
      <c r="V279" s="139"/>
      <c r="W279" s="129"/>
      <c r="X279" s="129"/>
      <c r="Y279" s="129"/>
      <c r="Z279" s="129"/>
      <c r="AA279" s="129"/>
      <c r="AB279" s="115"/>
      <c r="AC279" s="129"/>
      <c r="AD279" s="149"/>
      <c r="AE279" s="129"/>
      <c r="AF279" s="129"/>
      <c r="AG279" s="129"/>
    </row>
    <row r="280" spans="3:33" x14ac:dyDescent="0.35">
      <c r="C280" s="129"/>
      <c r="D280" s="129"/>
      <c r="E280" s="129"/>
      <c r="F280" s="129"/>
      <c r="G280" s="129"/>
      <c r="H280" s="129"/>
      <c r="I280" s="129"/>
      <c r="J280" s="110"/>
      <c r="K280" s="129"/>
      <c r="L280" t="s">
        <v>351</v>
      </c>
      <c r="M280" s="129"/>
      <c r="N280" s="129"/>
      <c r="O280" s="129"/>
      <c r="P280" s="129"/>
      <c r="Q280" s="129"/>
      <c r="R280" s="129"/>
      <c r="S280" s="129"/>
      <c r="T280" s="129"/>
      <c r="U280" s="141"/>
      <c r="V280" s="139"/>
      <c r="W280" s="129"/>
      <c r="X280" s="129"/>
      <c r="Y280" s="129"/>
      <c r="Z280" s="129"/>
      <c r="AA280" s="129"/>
      <c r="AB280" s="115"/>
      <c r="AC280" s="129"/>
      <c r="AD280" s="149"/>
      <c r="AE280" s="129"/>
      <c r="AF280" s="129"/>
      <c r="AG280" s="129"/>
    </row>
    <row r="281" spans="3:33" x14ac:dyDescent="0.35">
      <c r="C281" s="129"/>
      <c r="D281" s="129"/>
      <c r="E281" s="129"/>
      <c r="F281" s="129"/>
      <c r="G281" s="129"/>
      <c r="H281" s="129"/>
      <c r="I281" s="129"/>
      <c r="J281" s="110"/>
      <c r="K281" s="129"/>
      <c r="L281" t="s">
        <v>351</v>
      </c>
      <c r="M281" s="129"/>
      <c r="N281" s="129"/>
      <c r="O281" s="129"/>
      <c r="P281" s="129"/>
      <c r="Q281" s="129"/>
      <c r="R281" s="129"/>
      <c r="S281" s="129"/>
      <c r="T281" s="129"/>
      <c r="U281" s="141"/>
      <c r="V281" s="139"/>
      <c r="W281" s="129"/>
      <c r="X281" s="129"/>
      <c r="Y281" s="129"/>
      <c r="Z281" s="129"/>
      <c r="AA281" s="129"/>
      <c r="AB281" s="115"/>
      <c r="AC281" s="129"/>
      <c r="AD281" s="149"/>
      <c r="AE281" s="129"/>
      <c r="AF281" s="129"/>
      <c r="AG281" s="129"/>
    </row>
    <row r="282" spans="3:33" x14ac:dyDescent="0.35">
      <c r="C282" s="129"/>
      <c r="D282" s="129"/>
      <c r="E282" s="129"/>
      <c r="F282" s="129"/>
      <c r="G282" s="129"/>
      <c r="H282" s="129"/>
      <c r="I282" s="129"/>
      <c r="J282" s="110"/>
      <c r="K282" s="129"/>
      <c r="L282" t="s">
        <v>351</v>
      </c>
      <c r="M282" s="129"/>
      <c r="N282" s="129"/>
      <c r="O282" s="129"/>
      <c r="P282" s="129"/>
      <c r="Q282" s="129"/>
      <c r="R282" s="129"/>
      <c r="S282" s="129"/>
      <c r="T282" s="129"/>
      <c r="U282" s="141"/>
      <c r="V282" s="139"/>
      <c r="W282" s="129"/>
      <c r="X282" s="129"/>
      <c r="Y282" s="129"/>
      <c r="Z282" s="129"/>
      <c r="AA282" s="129"/>
      <c r="AB282" s="115"/>
      <c r="AC282" s="129"/>
      <c r="AD282" s="149"/>
      <c r="AE282" s="129"/>
      <c r="AF282" s="129"/>
      <c r="AG282" s="129"/>
    </row>
    <row r="283" spans="3:33" x14ac:dyDescent="0.35">
      <c r="C283" s="129"/>
      <c r="D283" s="129"/>
      <c r="E283" s="129"/>
      <c r="F283" s="129"/>
      <c r="G283" s="129"/>
      <c r="H283" s="129"/>
      <c r="I283" s="129"/>
      <c r="J283" s="110"/>
      <c r="K283" s="129"/>
      <c r="L283" t="s">
        <v>351</v>
      </c>
      <c r="M283" s="129"/>
      <c r="N283" s="129"/>
      <c r="O283" s="129"/>
      <c r="P283" s="129"/>
      <c r="Q283" s="129"/>
      <c r="R283" s="129"/>
      <c r="S283" s="129"/>
      <c r="T283" s="129"/>
      <c r="U283" s="141"/>
      <c r="V283" s="139"/>
      <c r="W283" s="129"/>
      <c r="X283" s="129"/>
      <c r="Y283" s="129"/>
      <c r="Z283" s="129"/>
      <c r="AA283" s="129"/>
      <c r="AB283" s="115"/>
      <c r="AC283" s="129"/>
      <c r="AD283" s="149"/>
      <c r="AE283" s="129"/>
      <c r="AF283" s="129"/>
      <c r="AG283" s="129"/>
    </row>
    <row r="284" spans="3:33" x14ac:dyDescent="0.35">
      <c r="C284" s="129"/>
      <c r="D284" s="129"/>
      <c r="E284" s="129"/>
      <c r="F284" s="129"/>
      <c r="G284" s="129"/>
      <c r="H284" s="129"/>
      <c r="I284" s="129"/>
      <c r="J284" s="110"/>
      <c r="K284" s="129"/>
      <c r="L284" t="s">
        <v>351</v>
      </c>
      <c r="M284" s="129"/>
      <c r="N284" s="129"/>
      <c r="O284" s="129"/>
      <c r="P284" s="129"/>
      <c r="Q284" s="129"/>
      <c r="R284" s="129"/>
      <c r="S284" s="129"/>
      <c r="T284" s="129"/>
      <c r="U284" s="141"/>
      <c r="V284" s="139"/>
      <c r="W284" s="129"/>
      <c r="X284" s="129"/>
      <c r="Y284" s="129"/>
      <c r="Z284" s="129"/>
      <c r="AA284" s="129"/>
      <c r="AB284" s="115"/>
      <c r="AC284" s="129"/>
      <c r="AD284" s="149"/>
      <c r="AE284" s="129"/>
      <c r="AF284" s="129"/>
      <c r="AG284" s="129"/>
    </row>
    <row r="285" spans="3:33" x14ac:dyDescent="0.35">
      <c r="C285" s="129"/>
      <c r="D285" s="129"/>
      <c r="E285" s="129"/>
      <c r="F285" s="129"/>
      <c r="G285" s="129"/>
      <c r="H285" s="129"/>
      <c r="I285" s="129"/>
      <c r="J285" s="110"/>
      <c r="K285" s="129"/>
      <c r="L285" t="s">
        <v>351</v>
      </c>
      <c r="M285" s="129"/>
      <c r="N285" s="129"/>
      <c r="O285" s="129"/>
      <c r="P285" s="129"/>
      <c r="Q285" s="129"/>
      <c r="R285" s="129"/>
      <c r="S285" s="129"/>
      <c r="T285" s="129"/>
      <c r="U285" s="141"/>
      <c r="V285" s="139"/>
      <c r="W285" s="129"/>
      <c r="X285" s="129"/>
      <c r="Y285" s="129"/>
      <c r="Z285" s="129"/>
      <c r="AA285" s="129"/>
      <c r="AB285" s="115"/>
      <c r="AC285" s="129"/>
      <c r="AD285" s="149"/>
      <c r="AE285" s="129"/>
      <c r="AF285" s="129"/>
      <c r="AG285" s="129"/>
    </row>
    <row r="286" spans="3:33" x14ac:dyDescent="0.35">
      <c r="C286" s="129"/>
      <c r="D286" s="129"/>
      <c r="E286" s="129"/>
      <c r="F286" s="129"/>
      <c r="G286" s="129"/>
      <c r="H286" s="129"/>
      <c r="I286" s="129"/>
      <c r="J286" s="110"/>
      <c r="K286" s="129"/>
      <c r="L286" t="s">
        <v>351</v>
      </c>
      <c r="M286" s="129"/>
      <c r="N286" s="129"/>
      <c r="O286" s="129"/>
      <c r="P286" s="129"/>
      <c r="Q286" s="129"/>
      <c r="R286" s="129"/>
      <c r="S286" s="129"/>
      <c r="T286" s="129"/>
      <c r="U286" s="141"/>
      <c r="V286" s="139"/>
      <c r="W286" s="129"/>
      <c r="X286" s="129"/>
      <c r="Y286" s="129"/>
      <c r="Z286" s="129"/>
      <c r="AA286" s="129"/>
      <c r="AB286" s="115"/>
      <c r="AC286" s="129"/>
      <c r="AD286" s="149"/>
      <c r="AE286" s="129"/>
      <c r="AF286" s="129"/>
      <c r="AG286" s="129"/>
    </row>
    <row r="287" spans="3:33" x14ac:dyDescent="0.35">
      <c r="C287" s="129"/>
      <c r="D287" s="129"/>
      <c r="E287" s="129"/>
      <c r="F287" s="129"/>
      <c r="G287" s="129"/>
      <c r="H287" s="129"/>
      <c r="I287" s="129"/>
      <c r="J287" s="110"/>
      <c r="K287" s="129"/>
      <c r="L287" t="s">
        <v>351</v>
      </c>
      <c r="M287" s="129"/>
      <c r="N287" s="129"/>
      <c r="O287" s="129"/>
      <c r="P287" s="129"/>
      <c r="Q287" s="129"/>
      <c r="R287" s="129"/>
      <c r="S287" s="129"/>
      <c r="T287" s="129"/>
      <c r="U287" s="141"/>
      <c r="V287" s="139"/>
      <c r="W287" s="129"/>
      <c r="X287" s="129"/>
      <c r="Y287" s="129"/>
      <c r="Z287" s="129"/>
      <c r="AA287" s="129"/>
      <c r="AB287" s="115"/>
      <c r="AC287" s="129"/>
      <c r="AD287" s="149"/>
      <c r="AE287" s="129"/>
      <c r="AF287" s="129"/>
      <c r="AG287" s="129"/>
    </row>
    <row r="288" spans="3:33" x14ac:dyDescent="0.35">
      <c r="C288" s="129"/>
      <c r="D288" s="129"/>
      <c r="E288" s="129"/>
      <c r="F288" s="129"/>
      <c r="G288" s="129"/>
      <c r="H288" s="129"/>
      <c r="I288" s="129"/>
      <c r="J288" s="110"/>
      <c r="K288" s="129"/>
      <c r="L288" t="s">
        <v>351</v>
      </c>
      <c r="M288" s="129"/>
      <c r="N288" s="129"/>
      <c r="O288" s="129"/>
      <c r="P288" s="129"/>
      <c r="Q288" s="129"/>
      <c r="R288" s="129"/>
      <c r="S288" s="129"/>
      <c r="T288" s="129"/>
      <c r="U288" s="141"/>
      <c r="V288" s="139"/>
      <c r="W288" s="129"/>
      <c r="X288" s="129"/>
      <c r="Y288" s="129"/>
      <c r="Z288" s="129"/>
      <c r="AA288" s="129"/>
      <c r="AB288" s="115"/>
      <c r="AC288" s="129"/>
      <c r="AD288" s="149"/>
      <c r="AE288" s="129"/>
      <c r="AF288" s="129"/>
      <c r="AG288" s="129"/>
    </row>
    <row r="289" spans="3:33" x14ac:dyDescent="0.35">
      <c r="C289" s="129"/>
      <c r="D289" s="129"/>
      <c r="E289" s="129"/>
      <c r="F289" s="129"/>
      <c r="G289" s="129"/>
      <c r="H289" s="129"/>
      <c r="I289" s="129"/>
      <c r="J289" s="110"/>
      <c r="K289" s="129"/>
      <c r="L289" t="s">
        <v>351</v>
      </c>
      <c r="M289" s="129"/>
      <c r="N289" s="129"/>
      <c r="O289" s="129"/>
      <c r="P289" s="129"/>
      <c r="Q289" s="129"/>
      <c r="R289" s="129"/>
      <c r="S289" s="129"/>
      <c r="T289" s="129"/>
      <c r="U289" s="141"/>
      <c r="V289" s="139"/>
      <c r="W289" s="129"/>
      <c r="X289" s="129"/>
      <c r="Y289" s="129"/>
      <c r="Z289" s="129"/>
      <c r="AA289" s="129"/>
      <c r="AB289" s="115"/>
      <c r="AC289" s="129"/>
      <c r="AD289" s="149"/>
      <c r="AE289" s="129"/>
      <c r="AF289" s="129"/>
      <c r="AG289" s="129"/>
    </row>
    <row r="290" spans="3:33" x14ac:dyDescent="0.35">
      <c r="C290" s="129"/>
      <c r="D290" s="129"/>
      <c r="E290" s="129"/>
      <c r="F290" s="129"/>
      <c r="G290" s="129"/>
      <c r="H290" s="129"/>
      <c r="I290" s="129"/>
      <c r="J290" s="110"/>
      <c r="K290" s="129"/>
      <c r="L290" t="s">
        <v>351</v>
      </c>
      <c r="M290" s="129"/>
      <c r="N290" s="129"/>
      <c r="O290" s="129"/>
      <c r="P290" s="129"/>
      <c r="Q290" s="129"/>
      <c r="R290" s="129"/>
      <c r="S290" s="129"/>
      <c r="T290" s="129"/>
      <c r="U290" s="141"/>
      <c r="V290" s="139"/>
      <c r="W290" s="129"/>
      <c r="X290" s="129"/>
      <c r="Y290" s="129"/>
      <c r="Z290" s="129"/>
      <c r="AA290" s="129"/>
      <c r="AB290" s="115"/>
      <c r="AC290" s="129"/>
      <c r="AD290" s="149"/>
      <c r="AE290" s="129"/>
      <c r="AF290" s="129"/>
      <c r="AG290" s="129"/>
    </row>
    <row r="291" spans="3:33" x14ac:dyDescent="0.35">
      <c r="C291" s="129"/>
      <c r="D291" s="129"/>
      <c r="E291" s="129"/>
      <c r="F291" s="129"/>
      <c r="G291" s="129"/>
      <c r="H291" s="129"/>
      <c r="I291" s="129"/>
      <c r="J291" s="110"/>
      <c r="K291" s="129"/>
      <c r="L291" t="s">
        <v>351</v>
      </c>
      <c r="M291" s="129"/>
      <c r="N291" s="129"/>
      <c r="O291" s="129"/>
      <c r="P291" s="129"/>
      <c r="Q291" s="129"/>
      <c r="R291" s="129"/>
      <c r="S291" s="129"/>
      <c r="T291" s="129"/>
      <c r="U291" s="141"/>
      <c r="V291" s="139"/>
      <c r="W291" s="129"/>
      <c r="X291" s="129"/>
      <c r="Y291" s="129"/>
      <c r="Z291" s="129"/>
      <c r="AA291" s="129"/>
      <c r="AB291" s="115"/>
      <c r="AC291" s="129"/>
      <c r="AD291" s="149"/>
      <c r="AE291" s="129"/>
      <c r="AF291" s="129"/>
      <c r="AG291" s="129"/>
    </row>
    <row r="292" spans="3:33" x14ac:dyDescent="0.35">
      <c r="C292" s="129"/>
      <c r="D292" s="129"/>
      <c r="E292" s="129"/>
      <c r="F292" s="129"/>
      <c r="G292" s="129"/>
      <c r="H292" s="129"/>
      <c r="I292" s="129"/>
      <c r="J292" s="110"/>
      <c r="K292" s="129"/>
      <c r="L292" t="s">
        <v>351</v>
      </c>
      <c r="M292" s="129"/>
      <c r="N292" s="129"/>
      <c r="O292" s="129"/>
      <c r="P292" s="129"/>
      <c r="Q292" s="129"/>
      <c r="R292" s="129"/>
      <c r="S292" s="129"/>
      <c r="T292" s="129"/>
      <c r="U292" s="141"/>
      <c r="V292" s="139"/>
      <c r="W292" s="129"/>
      <c r="X292" s="129"/>
      <c r="Y292" s="129"/>
      <c r="Z292" s="129"/>
      <c r="AA292" s="129"/>
      <c r="AB292" s="115"/>
      <c r="AC292" s="129"/>
      <c r="AD292" s="149"/>
      <c r="AE292" s="129"/>
      <c r="AF292" s="129"/>
      <c r="AG292" s="129"/>
    </row>
    <row r="293" spans="3:33" x14ac:dyDescent="0.35">
      <c r="C293" s="129"/>
      <c r="D293" s="129"/>
      <c r="E293" s="129"/>
      <c r="F293" s="129"/>
      <c r="G293" s="129"/>
      <c r="H293" s="129"/>
      <c r="I293" s="129"/>
      <c r="J293" s="110"/>
      <c r="K293" s="129"/>
      <c r="L293" t="s">
        <v>351</v>
      </c>
      <c r="M293" s="129"/>
      <c r="N293" s="129"/>
      <c r="O293" s="129"/>
      <c r="P293" s="129"/>
      <c r="Q293" s="129"/>
      <c r="R293" s="129"/>
      <c r="S293" s="129"/>
      <c r="T293" s="129"/>
      <c r="U293" s="141"/>
      <c r="V293" s="139"/>
      <c r="W293" s="129"/>
      <c r="X293" s="129"/>
      <c r="Y293" s="129"/>
      <c r="Z293" s="129"/>
      <c r="AA293" s="129"/>
      <c r="AB293" s="115"/>
      <c r="AC293" s="129"/>
      <c r="AD293" s="149"/>
      <c r="AE293" s="129"/>
      <c r="AF293" s="129"/>
      <c r="AG293" s="129"/>
    </row>
    <row r="294" spans="3:33" x14ac:dyDescent="0.35">
      <c r="C294" s="129"/>
      <c r="D294" s="129"/>
      <c r="E294" s="129"/>
      <c r="F294" s="129"/>
      <c r="G294" s="129"/>
      <c r="H294" s="129"/>
      <c r="I294" s="129"/>
      <c r="J294" s="110"/>
      <c r="K294" s="129"/>
      <c r="L294" t="s">
        <v>351</v>
      </c>
      <c r="M294" s="129"/>
      <c r="N294" s="129"/>
      <c r="O294" s="129"/>
      <c r="P294" s="129"/>
      <c r="Q294" s="129"/>
      <c r="R294" s="129"/>
      <c r="S294" s="129"/>
      <c r="T294" s="129"/>
      <c r="U294" s="141"/>
      <c r="V294" s="139"/>
      <c r="W294" s="129"/>
      <c r="X294" s="129"/>
      <c r="Y294" s="129"/>
      <c r="Z294" s="129"/>
      <c r="AA294" s="129"/>
      <c r="AB294" s="115"/>
      <c r="AC294" s="129"/>
      <c r="AD294" s="149"/>
      <c r="AE294" s="129"/>
      <c r="AF294" s="129"/>
      <c r="AG294" s="129"/>
    </row>
    <row r="295" spans="3:33" x14ac:dyDescent="0.35">
      <c r="C295" s="129"/>
      <c r="D295" s="129"/>
      <c r="E295" s="129"/>
      <c r="F295" s="129"/>
      <c r="G295" s="129"/>
      <c r="H295" s="129"/>
      <c r="I295" s="129"/>
      <c r="J295" s="110"/>
      <c r="K295" s="129"/>
      <c r="L295" t="s">
        <v>351</v>
      </c>
      <c r="M295" s="129"/>
      <c r="N295" s="129"/>
      <c r="O295" s="129"/>
      <c r="P295" s="129"/>
      <c r="Q295" s="129"/>
      <c r="R295" s="129"/>
      <c r="S295" s="129"/>
      <c r="T295" s="129"/>
      <c r="U295" s="141"/>
      <c r="V295" s="139"/>
      <c r="W295" s="129"/>
      <c r="X295" s="129"/>
      <c r="Y295" s="129"/>
      <c r="Z295" s="129"/>
      <c r="AA295" s="129"/>
      <c r="AB295" s="115"/>
      <c r="AC295" s="129"/>
      <c r="AD295" s="149"/>
      <c r="AE295" s="129"/>
      <c r="AF295" s="129"/>
      <c r="AG295" s="129"/>
    </row>
    <row r="296" spans="3:33" x14ac:dyDescent="0.35">
      <c r="C296" s="129"/>
      <c r="D296" s="129"/>
      <c r="E296" s="129"/>
      <c r="F296" s="129"/>
      <c r="G296" s="129"/>
      <c r="H296" s="129"/>
      <c r="I296" s="129"/>
      <c r="J296" s="110"/>
      <c r="K296" s="129"/>
      <c r="L296" t="s">
        <v>351</v>
      </c>
      <c r="M296" s="129"/>
      <c r="N296" s="129"/>
      <c r="O296" s="129"/>
      <c r="P296" s="129"/>
      <c r="Q296" s="129"/>
      <c r="R296" s="129"/>
      <c r="S296" s="129"/>
      <c r="T296" s="129"/>
      <c r="U296" s="141"/>
      <c r="V296" s="139"/>
      <c r="W296" s="129"/>
      <c r="X296" s="129"/>
      <c r="Y296" s="129"/>
      <c r="Z296" s="129"/>
      <c r="AA296" s="129"/>
      <c r="AB296" s="115"/>
      <c r="AC296" s="129"/>
      <c r="AD296" s="149"/>
      <c r="AE296" s="129"/>
      <c r="AF296" s="129"/>
      <c r="AG296" s="129"/>
    </row>
    <row r="297" spans="3:33" x14ac:dyDescent="0.35">
      <c r="C297" s="129"/>
      <c r="D297" s="129"/>
      <c r="E297" s="129"/>
      <c r="F297" s="129"/>
      <c r="G297" s="129"/>
      <c r="H297" s="129"/>
      <c r="I297" s="129"/>
      <c r="J297" s="110"/>
      <c r="K297" s="129"/>
      <c r="L297" t="s">
        <v>351</v>
      </c>
      <c r="M297" s="129"/>
      <c r="N297" s="129"/>
      <c r="O297" s="129"/>
      <c r="P297" s="129"/>
      <c r="Q297" s="129"/>
      <c r="R297" s="129"/>
      <c r="S297" s="129"/>
      <c r="T297" s="129"/>
      <c r="U297" s="141"/>
      <c r="V297" s="139"/>
      <c r="W297" s="129"/>
      <c r="X297" s="129"/>
      <c r="Y297" s="129"/>
      <c r="Z297" s="129"/>
      <c r="AA297" s="129"/>
      <c r="AB297" s="115"/>
      <c r="AC297" s="129"/>
      <c r="AD297" s="149"/>
      <c r="AE297" s="129"/>
      <c r="AF297" s="129"/>
      <c r="AG297" s="129"/>
    </row>
    <row r="298" spans="3:33" x14ac:dyDescent="0.35">
      <c r="C298" s="129"/>
      <c r="D298" s="129"/>
      <c r="E298" s="129"/>
      <c r="F298" s="129"/>
      <c r="G298" s="129"/>
      <c r="H298" s="129"/>
      <c r="I298" s="129"/>
      <c r="J298" s="110"/>
      <c r="K298" s="129"/>
      <c r="L298" t="s">
        <v>351</v>
      </c>
      <c r="M298" s="129"/>
      <c r="N298" s="129"/>
      <c r="O298" s="129"/>
      <c r="P298" s="129"/>
      <c r="Q298" s="129"/>
      <c r="R298" s="129"/>
      <c r="S298" s="129"/>
      <c r="T298" s="129"/>
      <c r="U298" s="141"/>
      <c r="V298" s="139"/>
      <c r="W298" s="129"/>
      <c r="X298" s="129"/>
      <c r="Y298" s="129"/>
      <c r="Z298" s="129"/>
      <c r="AA298" s="129"/>
      <c r="AB298" s="115"/>
      <c r="AC298" s="129"/>
      <c r="AD298" s="149"/>
      <c r="AE298" s="129"/>
      <c r="AF298" s="129"/>
      <c r="AG298" s="129"/>
    </row>
    <row r="299" spans="3:33" x14ac:dyDescent="0.35">
      <c r="C299" s="129"/>
      <c r="D299" s="129"/>
      <c r="E299" s="129"/>
      <c r="F299" s="129"/>
      <c r="G299" s="129"/>
      <c r="H299" s="129"/>
      <c r="I299" s="129"/>
      <c r="J299" s="110"/>
      <c r="K299" s="129"/>
      <c r="L299" t="s">
        <v>351</v>
      </c>
      <c r="M299" s="129"/>
      <c r="N299" s="129"/>
      <c r="O299" s="129"/>
      <c r="P299" s="129"/>
      <c r="Q299" s="129"/>
      <c r="R299" s="129"/>
      <c r="S299" s="129"/>
      <c r="T299" s="129"/>
      <c r="U299" s="141"/>
      <c r="V299" s="139"/>
      <c r="W299" s="129"/>
      <c r="X299" s="129"/>
      <c r="Y299" s="129"/>
      <c r="Z299" s="129"/>
      <c r="AA299" s="129"/>
      <c r="AB299" s="115"/>
      <c r="AC299" s="129"/>
      <c r="AD299" s="149"/>
      <c r="AE299" s="129"/>
      <c r="AF299" s="129"/>
      <c r="AG299" s="129"/>
    </row>
    <row r="300" spans="3:33" x14ac:dyDescent="0.35">
      <c r="C300" s="129"/>
      <c r="D300" s="129"/>
      <c r="E300" s="129"/>
      <c r="F300" s="129"/>
      <c r="G300" s="129"/>
      <c r="H300" s="129"/>
      <c r="I300" s="129"/>
      <c r="J300" s="110"/>
      <c r="K300" s="129"/>
      <c r="L300" t="s">
        <v>351</v>
      </c>
      <c r="M300" s="129"/>
      <c r="N300" s="129"/>
      <c r="O300" s="129"/>
      <c r="P300" s="129"/>
      <c r="Q300" s="129"/>
      <c r="R300" s="129"/>
      <c r="S300" s="129"/>
      <c r="T300" s="129"/>
      <c r="U300" s="141"/>
      <c r="V300" s="139"/>
      <c r="W300" s="129"/>
      <c r="X300" s="129"/>
      <c r="Y300" s="129"/>
      <c r="Z300" s="129"/>
      <c r="AA300" s="129"/>
      <c r="AB300" s="115"/>
      <c r="AC300" s="129"/>
      <c r="AD300" s="149"/>
      <c r="AE300" s="129"/>
      <c r="AF300" s="129"/>
      <c r="AG300" s="129"/>
    </row>
    <row r="301" spans="3:33" x14ac:dyDescent="0.35">
      <c r="C301" s="129"/>
      <c r="D301" s="129"/>
      <c r="E301" s="129"/>
      <c r="F301" s="129"/>
      <c r="G301" s="129"/>
      <c r="H301" s="129"/>
      <c r="I301" s="129"/>
      <c r="J301" s="110"/>
      <c r="K301" s="129"/>
      <c r="L301" t="s">
        <v>351</v>
      </c>
      <c r="M301" s="129"/>
      <c r="N301" s="129"/>
      <c r="O301" s="129"/>
      <c r="P301" s="129"/>
      <c r="Q301" s="129"/>
      <c r="R301" s="129"/>
      <c r="S301" s="129"/>
      <c r="T301" s="129"/>
      <c r="U301" s="141"/>
      <c r="V301" s="139"/>
      <c r="W301" s="129"/>
      <c r="X301" s="129"/>
      <c r="Y301" s="129"/>
      <c r="Z301" s="129"/>
      <c r="AA301" s="129"/>
      <c r="AB301" s="115"/>
      <c r="AC301" s="129"/>
      <c r="AD301" s="149"/>
      <c r="AE301" s="129"/>
      <c r="AF301" s="129"/>
      <c r="AG301" s="129"/>
    </row>
    <row r="302" spans="3:33" x14ac:dyDescent="0.35">
      <c r="C302" s="129"/>
      <c r="D302" s="129"/>
      <c r="E302" s="129"/>
      <c r="F302" s="129"/>
      <c r="G302" s="129"/>
      <c r="H302" s="129"/>
      <c r="I302" s="129"/>
      <c r="J302" s="110"/>
      <c r="K302" s="129"/>
      <c r="L302" t="s">
        <v>351</v>
      </c>
      <c r="M302" s="129"/>
      <c r="N302" s="129"/>
      <c r="O302" s="129"/>
      <c r="P302" s="129"/>
      <c r="Q302" s="129"/>
      <c r="R302" s="129"/>
      <c r="S302" s="129"/>
      <c r="T302" s="129"/>
      <c r="U302" s="141"/>
      <c r="V302" s="139"/>
      <c r="W302" s="129"/>
      <c r="X302" s="129"/>
      <c r="Y302" s="129"/>
      <c r="Z302" s="129"/>
      <c r="AA302" s="129"/>
      <c r="AB302" s="115"/>
      <c r="AC302" s="129"/>
      <c r="AD302" s="149"/>
      <c r="AE302" s="129"/>
      <c r="AF302" s="129"/>
      <c r="AG302" s="129"/>
    </row>
    <row r="303" spans="3:33" x14ac:dyDescent="0.35">
      <c r="C303" s="129"/>
      <c r="D303" s="129"/>
      <c r="E303" s="129"/>
      <c r="F303" s="129"/>
      <c r="G303" s="129"/>
      <c r="H303" s="129"/>
      <c r="I303" s="129"/>
      <c r="J303" s="110"/>
      <c r="K303" s="129"/>
      <c r="L303" t="s">
        <v>351</v>
      </c>
      <c r="M303" s="129"/>
      <c r="N303" s="129"/>
      <c r="O303" s="129"/>
      <c r="P303" s="129"/>
      <c r="Q303" s="129"/>
      <c r="R303" s="129"/>
      <c r="S303" s="129"/>
      <c r="T303" s="129"/>
      <c r="U303" s="141"/>
      <c r="V303" s="139"/>
      <c r="W303" s="129"/>
      <c r="X303" s="129"/>
      <c r="Y303" s="129"/>
      <c r="Z303" s="129"/>
      <c r="AA303" s="129"/>
      <c r="AB303" s="115"/>
      <c r="AC303" s="129"/>
      <c r="AD303" s="149"/>
      <c r="AE303" s="129"/>
      <c r="AF303" s="129"/>
      <c r="AG303" s="129"/>
    </row>
    <row r="304" spans="3:33" x14ac:dyDescent="0.35">
      <c r="C304" s="129"/>
      <c r="D304" s="129"/>
      <c r="E304" s="129"/>
      <c r="F304" s="129"/>
      <c r="G304" s="129"/>
      <c r="H304" s="129"/>
      <c r="I304" s="129"/>
      <c r="J304" s="110"/>
      <c r="K304" s="129"/>
      <c r="L304" t="s">
        <v>351</v>
      </c>
      <c r="M304" s="129"/>
      <c r="N304" s="129"/>
      <c r="O304" s="129"/>
      <c r="P304" s="129"/>
      <c r="Q304" s="129"/>
      <c r="R304" s="129"/>
      <c r="S304" s="129"/>
      <c r="T304" s="129"/>
      <c r="U304" s="141"/>
      <c r="V304" s="139"/>
      <c r="W304" s="129"/>
      <c r="X304" s="129"/>
      <c r="Y304" s="129"/>
      <c r="Z304" s="129"/>
      <c r="AA304" s="129"/>
      <c r="AB304" s="115"/>
      <c r="AC304" s="129"/>
      <c r="AD304" s="149"/>
      <c r="AE304" s="129"/>
      <c r="AF304" s="129"/>
      <c r="AG304" s="129"/>
    </row>
    <row r="305" spans="3:33" x14ac:dyDescent="0.35">
      <c r="C305" s="129"/>
      <c r="D305" s="129"/>
      <c r="E305" s="129"/>
      <c r="F305" s="129"/>
      <c r="G305" s="129"/>
      <c r="H305" s="129"/>
      <c r="I305" s="129"/>
      <c r="J305" s="110"/>
      <c r="K305" s="129"/>
      <c r="L305" t="s">
        <v>351</v>
      </c>
      <c r="M305" s="129"/>
      <c r="N305" s="129"/>
      <c r="O305" s="129"/>
      <c r="P305" s="129"/>
      <c r="Q305" s="129"/>
      <c r="R305" s="129"/>
      <c r="S305" s="129"/>
      <c r="T305" s="129"/>
      <c r="U305" s="141"/>
      <c r="V305" s="139"/>
      <c r="W305" s="129"/>
      <c r="X305" s="129"/>
      <c r="Y305" s="129"/>
      <c r="Z305" s="129"/>
      <c r="AA305" s="129"/>
      <c r="AB305" s="115"/>
      <c r="AC305" s="129"/>
      <c r="AD305" s="149"/>
      <c r="AE305" s="129"/>
      <c r="AF305" s="129"/>
      <c r="AG305" s="129"/>
    </row>
    <row r="306" spans="3:33" x14ac:dyDescent="0.35">
      <c r="C306" s="129"/>
      <c r="D306" s="129"/>
      <c r="E306" s="129"/>
      <c r="F306" s="129"/>
      <c r="G306" s="129"/>
      <c r="H306" s="129"/>
      <c r="I306" s="129"/>
      <c r="J306" s="110"/>
      <c r="K306" s="129"/>
      <c r="L306" t="s">
        <v>351</v>
      </c>
      <c r="M306" s="129"/>
      <c r="N306" s="129"/>
      <c r="O306" s="129"/>
      <c r="P306" s="129"/>
      <c r="Q306" s="129"/>
      <c r="R306" s="129"/>
      <c r="S306" s="129"/>
      <c r="T306" s="129"/>
      <c r="U306" s="141"/>
      <c r="V306" s="139"/>
      <c r="W306" s="129"/>
      <c r="X306" s="129"/>
      <c r="Y306" s="129"/>
      <c r="Z306" s="129"/>
      <c r="AA306" s="129"/>
      <c r="AB306" s="115"/>
      <c r="AC306" s="129"/>
      <c r="AD306" s="149"/>
      <c r="AE306" s="129"/>
      <c r="AF306" s="129"/>
      <c r="AG306" s="129"/>
    </row>
    <row r="307" spans="3:33" x14ac:dyDescent="0.35">
      <c r="C307" s="129"/>
      <c r="D307" s="129"/>
      <c r="E307" s="129"/>
      <c r="F307" s="129"/>
      <c r="G307" s="129"/>
      <c r="H307" s="129"/>
      <c r="I307" s="129"/>
      <c r="J307" s="110"/>
      <c r="K307" s="129"/>
      <c r="L307" t="s">
        <v>351</v>
      </c>
      <c r="M307" s="129"/>
      <c r="N307" s="129"/>
      <c r="O307" s="129"/>
      <c r="P307" s="129"/>
      <c r="Q307" s="129"/>
      <c r="R307" s="129"/>
      <c r="S307" s="129"/>
      <c r="T307" s="129"/>
      <c r="U307" s="141"/>
      <c r="V307" s="139"/>
      <c r="W307" s="129"/>
      <c r="X307" s="129"/>
      <c r="Y307" s="129"/>
      <c r="Z307" s="129"/>
      <c r="AA307" s="129"/>
      <c r="AB307" s="115"/>
      <c r="AC307" s="129"/>
      <c r="AD307" s="149"/>
      <c r="AE307" s="129"/>
      <c r="AF307" s="129"/>
      <c r="AG307" s="129"/>
    </row>
    <row r="308" spans="3:33" x14ac:dyDescent="0.35">
      <c r="C308" s="129"/>
      <c r="D308" s="129"/>
      <c r="E308" s="129"/>
      <c r="F308" s="129"/>
      <c r="G308" s="129"/>
      <c r="H308" s="129"/>
      <c r="I308" s="129"/>
      <c r="J308" s="110"/>
      <c r="K308" s="129"/>
      <c r="L308" t="s">
        <v>351</v>
      </c>
      <c r="M308" s="129"/>
      <c r="N308" s="129"/>
      <c r="O308" s="129"/>
      <c r="P308" s="129"/>
      <c r="Q308" s="129"/>
      <c r="R308" s="129"/>
      <c r="S308" s="129"/>
      <c r="T308" s="129"/>
      <c r="U308" s="141"/>
      <c r="V308" s="139"/>
      <c r="W308" s="129"/>
      <c r="X308" s="129"/>
      <c r="Y308" s="129"/>
      <c r="Z308" s="129"/>
      <c r="AA308" s="129"/>
      <c r="AB308" s="115"/>
      <c r="AC308" s="129"/>
      <c r="AD308" s="149"/>
      <c r="AE308" s="129"/>
      <c r="AF308" s="129"/>
      <c r="AG308" s="129"/>
    </row>
    <row r="309" spans="3:33" x14ac:dyDescent="0.35">
      <c r="C309" s="129"/>
      <c r="D309" s="129"/>
      <c r="E309" s="129"/>
      <c r="F309" s="129"/>
      <c r="G309" s="129"/>
      <c r="H309" s="129"/>
      <c r="I309" s="129"/>
      <c r="J309" s="110"/>
      <c r="K309" s="129"/>
      <c r="L309" t="s">
        <v>351</v>
      </c>
      <c r="M309" s="129"/>
      <c r="N309" s="129"/>
      <c r="O309" s="129"/>
      <c r="P309" s="129"/>
      <c r="Q309" s="129"/>
      <c r="R309" s="129"/>
      <c r="S309" s="129"/>
      <c r="T309" s="129"/>
      <c r="U309" s="141"/>
      <c r="V309" s="139"/>
      <c r="W309" s="129"/>
      <c r="X309" s="129"/>
      <c r="Y309" s="129"/>
      <c r="Z309" s="129"/>
      <c r="AA309" s="129"/>
      <c r="AB309" s="115"/>
      <c r="AC309" s="129"/>
      <c r="AD309" s="149"/>
      <c r="AE309" s="129"/>
      <c r="AF309" s="129"/>
      <c r="AG309" s="129"/>
    </row>
    <row r="310" spans="3:33" x14ac:dyDescent="0.35">
      <c r="C310" s="129"/>
      <c r="D310" s="129"/>
      <c r="E310" s="129"/>
      <c r="F310" s="129"/>
      <c r="G310" s="129"/>
      <c r="H310" s="129"/>
      <c r="I310" s="129"/>
      <c r="J310" s="110"/>
      <c r="K310" s="129"/>
      <c r="L310" t="s">
        <v>351</v>
      </c>
      <c r="M310" s="129"/>
      <c r="N310" s="129"/>
      <c r="O310" s="129"/>
      <c r="P310" s="129"/>
      <c r="Q310" s="129"/>
      <c r="R310" s="129"/>
      <c r="S310" s="129"/>
      <c r="T310" s="129"/>
      <c r="U310" s="141"/>
      <c r="V310" s="139"/>
      <c r="W310" s="129"/>
      <c r="X310" s="129"/>
      <c r="Y310" s="129"/>
      <c r="Z310" s="129"/>
      <c r="AA310" s="129"/>
      <c r="AB310" s="115"/>
      <c r="AC310" s="129"/>
      <c r="AD310" s="149"/>
      <c r="AE310" s="129"/>
      <c r="AF310" s="129"/>
      <c r="AG310" s="129"/>
    </row>
    <row r="311" spans="3:33" x14ac:dyDescent="0.35">
      <c r="C311" s="129"/>
      <c r="D311" s="129"/>
      <c r="E311" s="129"/>
      <c r="F311" s="129"/>
      <c r="G311" s="129"/>
      <c r="H311" s="129"/>
      <c r="I311" s="129"/>
      <c r="J311" s="110"/>
      <c r="K311" s="129"/>
      <c r="L311" t="s">
        <v>351</v>
      </c>
      <c r="M311" s="129"/>
      <c r="N311" s="129"/>
      <c r="O311" s="129"/>
      <c r="P311" s="129"/>
      <c r="Q311" s="129"/>
      <c r="R311" s="129"/>
      <c r="S311" s="129"/>
      <c r="T311" s="129"/>
      <c r="U311" s="141"/>
      <c r="V311" s="139"/>
      <c r="W311" s="129"/>
      <c r="X311" s="129"/>
      <c r="Y311" s="129"/>
      <c r="Z311" s="129"/>
      <c r="AA311" s="129"/>
      <c r="AB311" s="115"/>
      <c r="AC311" s="129"/>
      <c r="AD311" s="149"/>
      <c r="AE311" s="129"/>
      <c r="AF311" s="129"/>
      <c r="AG311" s="129"/>
    </row>
    <row r="312" spans="3:33" x14ac:dyDescent="0.35">
      <c r="C312" s="129"/>
      <c r="D312" s="129"/>
      <c r="E312" s="129"/>
      <c r="F312" s="129"/>
      <c r="G312" s="129"/>
      <c r="H312" s="129"/>
      <c r="I312" s="129"/>
      <c r="J312" s="110"/>
      <c r="K312" s="129"/>
      <c r="L312" t="s">
        <v>351</v>
      </c>
      <c r="M312" s="129"/>
      <c r="N312" s="129"/>
      <c r="O312" s="129"/>
      <c r="P312" s="129"/>
      <c r="Q312" s="129"/>
      <c r="R312" s="129"/>
      <c r="S312" s="129"/>
      <c r="T312" s="129"/>
      <c r="U312" s="141"/>
      <c r="V312" s="139"/>
      <c r="W312" s="129"/>
      <c r="X312" s="129"/>
      <c r="Y312" s="129"/>
      <c r="Z312" s="129"/>
      <c r="AA312" s="129"/>
      <c r="AB312" s="115"/>
      <c r="AC312" s="129"/>
      <c r="AD312" s="149"/>
      <c r="AE312" s="129"/>
      <c r="AF312" s="129"/>
      <c r="AG312" s="129"/>
    </row>
    <row r="313" spans="3:33" x14ac:dyDescent="0.35">
      <c r="C313" s="129"/>
      <c r="D313" s="129"/>
      <c r="E313" s="129"/>
      <c r="F313" s="129"/>
      <c r="G313" s="129"/>
      <c r="H313" s="129"/>
      <c r="I313" s="129"/>
      <c r="J313" s="110"/>
      <c r="K313" s="129"/>
      <c r="L313" t="s">
        <v>351</v>
      </c>
      <c r="M313" s="129"/>
      <c r="N313" s="129"/>
      <c r="O313" s="129"/>
      <c r="P313" s="129"/>
      <c r="Q313" s="129"/>
      <c r="R313" s="129"/>
      <c r="S313" s="129"/>
      <c r="T313" s="129"/>
      <c r="U313" s="141"/>
      <c r="V313" s="139"/>
      <c r="W313" s="129"/>
      <c r="X313" s="129"/>
      <c r="Y313" s="129"/>
      <c r="Z313" s="129"/>
      <c r="AA313" s="129"/>
      <c r="AB313" s="115"/>
      <c r="AC313" s="129"/>
      <c r="AD313" s="149"/>
      <c r="AE313" s="129"/>
      <c r="AF313" s="129"/>
      <c r="AG313" s="129"/>
    </row>
    <row r="314" spans="3:33" x14ac:dyDescent="0.35">
      <c r="C314" s="129"/>
      <c r="D314" s="129"/>
      <c r="E314" s="129"/>
      <c r="F314" s="129"/>
      <c r="G314" s="129"/>
      <c r="H314" s="129"/>
      <c r="I314" s="129"/>
      <c r="J314" s="110"/>
      <c r="K314" s="129"/>
      <c r="L314" t="s">
        <v>351</v>
      </c>
      <c r="M314" s="129"/>
      <c r="N314" s="129"/>
      <c r="O314" s="129"/>
      <c r="P314" s="129"/>
      <c r="Q314" s="129"/>
      <c r="R314" s="129"/>
      <c r="S314" s="129"/>
      <c r="T314" s="129"/>
      <c r="U314" s="141"/>
      <c r="V314" s="139"/>
      <c r="W314" s="129"/>
      <c r="X314" s="129"/>
      <c r="Y314" s="129"/>
      <c r="Z314" s="129"/>
      <c r="AA314" s="129"/>
      <c r="AB314" s="115"/>
      <c r="AC314" s="129"/>
      <c r="AD314" s="149"/>
      <c r="AE314" s="129"/>
      <c r="AF314" s="129"/>
      <c r="AG314" s="129"/>
    </row>
    <row r="315" spans="3:33" x14ac:dyDescent="0.35">
      <c r="C315" s="129"/>
      <c r="D315" s="129"/>
      <c r="E315" s="129"/>
      <c r="F315" s="129"/>
      <c r="G315" s="129"/>
      <c r="H315" s="129"/>
      <c r="I315" s="129"/>
      <c r="J315" s="110"/>
      <c r="K315" s="129"/>
      <c r="L315" t="s">
        <v>351</v>
      </c>
      <c r="M315" s="129"/>
      <c r="N315" s="129"/>
      <c r="O315" s="129"/>
      <c r="P315" s="129"/>
      <c r="Q315" s="129"/>
      <c r="R315" s="129"/>
      <c r="S315" s="129"/>
      <c r="T315" s="129"/>
      <c r="U315" s="141"/>
      <c r="V315" s="139"/>
      <c r="W315" s="129"/>
      <c r="X315" s="129"/>
      <c r="Y315" s="129"/>
      <c r="Z315" s="129"/>
      <c r="AA315" s="129"/>
      <c r="AB315" s="115"/>
      <c r="AC315" s="129"/>
      <c r="AD315" s="149"/>
      <c r="AE315" s="129"/>
      <c r="AF315" s="129"/>
      <c r="AG315" s="129"/>
    </row>
    <row r="316" spans="3:33" x14ac:dyDescent="0.35">
      <c r="C316" s="129"/>
      <c r="D316" s="129"/>
      <c r="E316" s="129"/>
      <c r="F316" s="129"/>
      <c r="G316" s="129"/>
      <c r="H316" s="129"/>
      <c r="I316" s="129"/>
      <c r="J316" s="110"/>
      <c r="K316" s="129"/>
      <c r="L316" t="s">
        <v>351</v>
      </c>
      <c r="M316" s="129"/>
      <c r="N316" s="129"/>
      <c r="O316" s="129"/>
      <c r="P316" s="129"/>
      <c r="Q316" s="129"/>
      <c r="R316" s="129"/>
      <c r="S316" s="129"/>
      <c r="T316" s="129"/>
      <c r="U316" s="141"/>
      <c r="V316" s="139"/>
      <c r="W316" s="129"/>
      <c r="X316" s="129"/>
      <c r="Y316" s="129"/>
      <c r="Z316" s="129"/>
      <c r="AA316" s="129"/>
      <c r="AB316" s="115"/>
      <c r="AC316" s="129"/>
      <c r="AD316" s="149"/>
      <c r="AE316" s="129"/>
      <c r="AF316" s="129"/>
      <c r="AG316" s="129"/>
    </row>
    <row r="317" spans="3:33" x14ac:dyDescent="0.35">
      <c r="C317" s="129"/>
      <c r="D317" s="129"/>
      <c r="E317" s="129"/>
      <c r="F317" s="129"/>
      <c r="G317" s="129"/>
      <c r="H317" s="129"/>
      <c r="I317" s="129"/>
      <c r="J317" s="110"/>
      <c r="K317" s="129"/>
      <c r="L317" t="s">
        <v>351</v>
      </c>
      <c r="M317" s="129"/>
      <c r="N317" s="129"/>
      <c r="O317" s="129"/>
      <c r="P317" s="129"/>
      <c r="Q317" s="129"/>
      <c r="R317" s="129"/>
      <c r="S317" s="129"/>
      <c r="T317" s="129"/>
      <c r="U317" s="141"/>
      <c r="V317" s="139"/>
      <c r="W317" s="129"/>
      <c r="X317" s="129"/>
      <c r="Y317" s="129"/>
      <c r="Z317" s="129"/>
      <c r="AA317" s="129"/>
      <c r="AB317" s="115"/>
      <c r="AC317" s="129"/>
      <c r="AD317" s="149"/>
      <c r="AE317" s="129"/>
      <c r="AF317" s="129"/>
      <c r="AG317" s="129"/>
    </row>
    <row r="318" spans="3:33" x14ac:dyDescent="0.35">
      <c r="C318" s="129"/>
      <c r="D318" s="129"/>
      <c r="E318" s="129"/>
      <c r="F318" s="129"/>
      <c r="G318" s="129"/>
      <c r="H318" s="129"/>
      <c r="I318" s="129"/>
      <c r="J318" s="110"/>
      <c r="K318" s="129"/>
      <c r="L318" t="s">
        <v>351</v>
      </c>
      <c r="M318" s="129"/>
      <c r="N318" s="129"/>
      <c r="O318" s="129"/>
      <c r="P318" s="129"/>
      <c r="Q318" s="129"/>
      <c r="R318" s="129"/>
      <c r="S318" s="129"/>
      <c r="T318" s="129"/>
      <c r="U318" s="141"/>
      <c r="V318" s="139"/>
      <c r="W318" s="129"/>
      <c r="X318" s="129"/>
      <c r="Y318" s="129"/>
      <c r="Z318" s="129"/>
      <c r="AA318" s="129"/>
      <c r="AB318" s="115"/>
      <c r="AC318" s="129"/>
      <c r="AD318" s="149"/>
      <c r="AE318" s="129"/>
      <c r="AF318" s="129"/>
      <c r="AG318" s="129"/>
    </row>
    <row r="319" spans="3:33" x14ac:dyDescent="0.35">
      <c r="C319" s="129"/>
      <c r="D319" s="129"/>
      <c r="E319" s="129"/>
      <c r="F319" s="129"/>
      <c r="G319" s="129"/>
      <c r="H319" s="129"/>
      <c r="I319" s="129"/>
      <c r="J319" s="110"/>
      <c r="K319" s="129"/>
      <c r="L319" t="s">
        <v>351</v>
      </c>
      <c r="M319" s="129"/>
      <c r="N319" s="129"/>
      <c r="O319" s="129"/>
      <c r="P319" s="129"/>
      <c r="Q319" s="129"/>
      <c r="R319" s="129"/>
      <c r="S319" s="129"/>
      <c r="T319" s="129"/>
      <c r="U319" s="141"/>
      <c r="V319" s="139"/>
      <c r="W319" s="129"/>
      <c r="X319" s="129"/>
      <c r="Y319" s="129"/>
      <c r="Z319" s="129"/>
      <c r="AA319" s="129"/>
      <c r="AB319" s="115"/>
      <c r="AC319" s="129"/>
      <c r="AD319" s="149"/>
      <c r="AE319" s="129"/>
      <c r="AF319" s="129"/>
      <c r="AG319" s="129"/>
    </row>
    <row r="320" spans="3:33" x14ac:dyDescent="0.35">
      <c r="C320" s="129"/>
      <c r="D320" s="129"/>
      <c r="E320" s="129"/>
      <c r="F320" s="129"/>
      <c r="G320" s="129"/>
      <c r="H320" s="129"/>
      <c r="I320" s="129"/>
      <c r="J320" s="110"/>
      <c r="K320" s="129"/>
      <c r="L320" t="s">
        <v>351</v>
      </c>
      <c r="M320" s="129"/>
      <c r="N320" s="129"/>
      <c r="O320" s="129"/>
      <c r="P320" s="129"/>
      <c r="Q320" s="129"/>
      <c r="R320" s="129"/>
      <c r="S320" s="129"/>
      <c r="T320" s="129"/>
      <c r="U320" s="141"/>
      <c r="V320" s="139"/>
      <c r="W320" s="129"/>
      <c r="X320" s="129"/>
      <c r="Y320" s="129"/>
      <c r="Z320" s="129"/>
      <c r="AA320" s="129"/>
      <c r="AB320" s="115"/>
      <c r="AC320" s="129"/>
      <c r="AD320" s="149"/>
      <c r="AE320" s="129"/>
      <c r="AF320" s="129"/>
      <c r="AG320" s="129"/>
    </row>
    <row r="321" spans="3:33" x14ac:dyDescent="0.35">
      <c r="C321" s="129"/>
      <c r="D321" s="129"/>
      <c r="E321" s="129"/>
      <c r="F321" s="129"/>
      <c r="G321" s="129"/>
      <c r="H321" s="129"/>
      <c r="I321" s="129"/>
      <c r="J321" s="110"/>
      <c r="K321" s="129"/>
      <c r="L321" t="s">
        <v>351</v>
      </c>
      <c r="M321" s="129"/>
      <c r="N321" s="129"/>
      <c r="O321" s="129"/>
      <c r="P321" s="129"/>
      <c r="Q321" s="129"/>
      <c r="R321" s="129"/>
      <c r="S321" s="129"/>
      <c r="T321" s="129"/>
      <c r="U321" s="141"/>
      <c r="V321" s="139"/>
      <c r="W321" s="129"/>
      <c r="X321" s="129"/>
      <c r="Y321" s="129"/>
      <c r="Z321" s="129"/>
      <c r="AA321" s="129"/>
      <c r="AB321" s="115"/>
      <c r="AC321" s="129"/>
      <c r="AD321" s="149"/>
      <c r="AE321" s="129"/>
      <c r="AF321" s="129"/>
      <c r="AG321" s="129"/>
    </row>
    <row r="322" spans="3:33" x14ac:dyDescent="0.35">
      <c r="C322" s="129"/>
      <c r="D322" s="129"/>
      <c r="E322" s="129"/>
      <c r="F322" s="129"/>
      <c r="G322" s="129"/>
      <c r="H322" s="129"/>
      <c r="I322" s="129"/>
      <c r="J322" s="110"/>
      <c r="K322" s="129"/>
      <c r="L322" t="s">
        <v>351</v>
      </c>
      <c r="M322" s="129"/>
      <c r="N322" s="129"/>
      <c r="O322" s="129"/>
      <c r="P322" s="129"/>
      <c r="Q322" s="129"/>
      <c r="R322" s="129"/>
      <c r="S322" s="129"/>
      <c r="T322" s="129"/>
      <c r="U322" s="141"/>
      <c r="V322" s="139"/>
      <c r="W322" s="129"/>
      <c r="X322" s="129"/>
      <c r="Y322" s="129"/>
      <c r="Z322" s="129"/>
      <c r="AA322" s="129"/>
      <c r="AB322" s="115"/>
      <c r="AC322" s="129"/>
      <c r="AD322" s="149"/>
      <c r="AE322" s="129"/>
      <c r="AF322" s="129"/>
      <c r="AG322" s="129"/>
    </row>
    <row r="323" spans="3:33" x14ac:dyDescent="0.35">
      <c r="C323" s="129"/>
      <c r="D323" s="129"/>
      <c r="E323" s="129"/>
      <c r="F323" s="129"/>
      <c r="G323" s="129"/>
      <c r="H323" s="129"/>
      <c r="I323" s="129"/>
      <c r="J323" s="110"/>
      <c r="K323" s="129"/>
      <c r="L323" t="s">
        <v>351</v>
      </c>
      <c r="M323" s="129"/>
      <c r="N323" s="129"/>
      <c r="O323" s="129"/>
      <c r="P323" s="129"/>
      <c r="Q323" s="129"/>
      <c r="R323" s="129"/>
      <c r="S323" s="129"/>
      <c r="T323" s="129"/>
      <c r="U323" s="141"/>
      <c r="V323" s="139"/>
      <c r="W323" s="129"/>
      <c r="X323" s="129"/>
      <c r="Y323" s="129"/>
      <c r="Z323" s="129"/>
      <c r="AA323" s="129"/>
      <c r="AB323" s="115"/>
      <c r="AC323" s="129"/>
      <c r="AD323" s="149"/>
      <c r="AE323" s="129"/>
      <c r="AF323" s="129"/>
      <c r="AG323" s="129"/>
    </row>
    <row r="324" spans="3:33" x14ac:dyDescent="0.35">
      <c r="C324" s="129"/>
      <c r="D324" s="129"/>
      <c r="E324" s="129"/>
      <c r="F324" s="129"/>
      <c r="G324" s="129"/>
      <c r="H324" s="129"/>
      <c r="I324" s="129"/>
      <c r="J324" s="110"/>
      <c r="K324" s="129"/>
      <c r="L324" t="s">
        <v>351</v>
      </c>
      <c r="M324" s="129"/>
      <c r="N324" s="129"/>
      <c r="O324" s="129"/>
      <c r="P324" s="129"/>
      <c r="Q324" s="129"/>
      <c r="R324" s="129"/>
      <c r="S324" s="129"/>
      <c r="T324" s="129"/>
      <c r="U324" s="141"/>
      <c r="V324" s="139"/>
      <c r="W324" s="129"/>
      <c r="X324" s="129"/>
      <c r="Y324" s="129"/>
      <c r="Z324" s="129"/>
      <c r="AA324" s="129"/>
      <c r="AB324" s="115"/>
      <c r="AC324" s="129"/>
      <c r="AD324" s="149"/>
      <c r="AE324" s="129"/>
      <c r="AF324" s="129"/>
      <c r="AG324" s="129"/>
    </row>
    <row r="325" spans="3:33" x14ac:dyDescent="0.35">
      <c r="C325" s="129"/>
      <c r="D325" s="129"/>
      <c r="E325" s="129"/>
      <c r="F325" s="129"/>
      <c r="G325" s="129"/>
      <c r="H325" s="129"/>
      <c r="I325" s="129"/>
      <c r="J325" s="110"/>
      <c r="K325" s="129"/>
      <c r="L325" t="s">
        <v>351</v>
      </c>
      <c r="M325" s="129"/>
      <c r="N325" s="129"/>
      <c r="O325" s="129"/>
      <c r="P325" s="129"/>
      <c r="Q325" s="129"/>
      <c r="R325" s="129"/>
      <c r="S325" s="129"/>
      <c r="T325" s="129"/>
      <c r="U325" s="141"/>
      <c r="V325" s="139"/>
      <c r="W325" s="129"/>
      <c r="X325" s="129"/>
      <c r="Y325" s="129"/>
      <c r="Z325" s="129"/>
      <c r="AA325" s="129"/>
      <c r="AB325" s="115"/>
      <c r="AC325" s="129"/>
      <c r="AD325" s="149"/>
      <c r="AE325" s="129"/>
      <c r="AF325" s="129"/>
      <c r="AG325" s="129"/>
    </row>
    <row r="326" spans="3:33" x14ac:dyDescent="0.35">
      <c r="C326" s="129"/>
      <c r="D326" s="129"/>
      <c r="E326" s="129"/>
      <c r="F326" s="129"/>
      <c r="G326" s="129"/>
      <c r="H326" s="129"/>
      <c r="I326" s="129"/>
      <c r="J326" s="110"/>
      <c r="K326" s="129"/>
      <c r="L326" t="s">
        <v>351</v>
      </c>
      <c r="M326" s="129"/>
      <c r="N326" s="129"/>
      <c r="O326" s="129"/>
      <c r="P326" s="129"/>
      <c r="Q326" s="129"/>
      <c r="R326" s="129"/>
      <c r="S326" s="129"/>
      <c r="T326" s="129"/>
      <c r="U326" s="141"/>
      <c r="V326" s="139"/>
      <c r="W326" s="129"/>
      <c r="X326" s="129"/>
      <c r="Y326" s="129"/>
      <c r="Z326" s="129"/>
      <c r="AA326" s="129"/>
      <c r="AB326" s="115"/>
      <c r="AC326" s="129"/>
      <c r="AD326" s="149"/>
      <c r="AE326" s="129"/>
      <c r="AF326" s="129"/>
      <c r="AG326" s="129"/>
    </row>
    <row r="327" spans="3:33" x14ac:dyDescent="0.35">
      <c r="C327" s="129"/>
      <c r="D327" s="129"/>
      <c r="E327" s="129"/>
      <c r="F327" s="129"/>
      <c r="G327" s="129"/>
      <c r="H327" s="129"/>
      <c r="I327" s="129"/>
      <c r="J327" s="110"/>
      <c r="K327" s="129"/>
      <c r="L327" t="s">
        <v>351</v>
      </c>
      <c r="M327" s="129"/>
      <c r="N327" s="129"/>
      <c r="O327" s="129"/>
      <c r="P327" s="129"/>
      <c r="Q327" s="129"/>
      <c r="R327" s="129"/>
      <c r="S327" s="129"/>
      <c r="T327" s="129"/>
      <c r="U327" s="141"/>
      <c r="V327" s="139"/>
      <c r="W327" s="129"/>
      <c r="X327" s="129"/>
      <c r="Y327" s="129"/>
      <c r="Z327" s="129"/>
      <c r="AA327" s="129"/>
      <c r="AB327" s="115"/>
      <c r="AC327" s="129"/>
      <c r="AD327" s="149"/>
      <c r="AE327" s="129"/>
      <c r="AF327" s="129"/>
      <c r="AG327" s="129"/>
    </row>
    <row r="328" spans="3:33" x14ac:dyDescent="0.35">
      <c r="C328" s="129"/>
      <c r="D328" s="129"/>
      <c r="E328" s="129"/>
      <c r="F328" s="129"/>
      <c r="G328" s="129"/>
      <c r="H328" s="129"/>
      <c r="I328" s="129"/>
      <c r="J328" s="110"/>
      <c r="K328" s="129"/>
      <c r="L328" t="s">
        <v>351</v>
      </c>
      <c r="M328" s="129"/>
      <c r="N328" s="129"/>
      <c r="O328" s="129"/>
      <c r="P328" s="129"/>
      <c r="Q328" s="129"/>
      <c r="R328" s="129"/>
      <c r="S328" s="129"/>
      <c r="T328" s="129"/>
      <c r="U328" s="141"/>
      <c r="V328" s="139"/>
      <c r="W328" s="129"/>
      <c r="X328" s="129"/>
      <c r="Y328" s="129"/>
      <c r="Z328" s="129"/>
      <c r="AA328" s="129"/>
      <c r="AB328" s="115"/>
      <c r="AC328" s="129"/>
      <c r="AD328" s="149"/>
      <c r="AE328" s="129"/>
      <c r="AF328" s="129"/>
      <c r="AG328" s="129"/>
    </row>
    <row r="329" spans="3:33" x14ac:dyDescent="0.35">
      <c r="C329" s="129"/>
      <c r="D329" s="129"/>
      <c r="E329" s="129"/>
      <c r="F329" s="129"/>
      <c r="G329" s="129"/>
      <c r="H329" s="129"/>
      <c r="I329" s="129"/>
      <c r="J329" s="110"/>
      <c r="K329" s="129"/>
      <c r="L329" t="s">
        <v>351</v>
      </c>
      <c r="M329" s="129"/>
      <c r="N329" s="129"/>
      <c r="O329" s="129"/>
      <c r="P329" s="129"/>
      <c r="Q329" s="129"/>
      <c r="R329" s="129"/>
      <c r="S329" s="129"/>
      <c r="T329" s="129"/>
      <c r="U329" s="141"/>
      <c r="V329" s="139"/>
      <c r="W329" s="129"/>
      <c r="X329" s="129"/>
      <c r="Y329" s="129"/>
      <c r="Z329" s="129"/>
      <c r="AA329" s="129"/>
      <c r="AB329" s="115"/>
      <c r="AC329" s="129"/>
      <c r="AD329" s="149"/>
      <c r="AE329" s="129"/>
      <c r="AF329" s="129"/>
      <c r="AG329" s="129"/>
    </row>
    <row r="330" spans="3:33" x14ac:dyDescent="0.35">
      <c r="C330" s="129"/>
      <c r="D330" s="129"/>
      <c r="E330" s="129"/>
      <c r="F330" s="129"/>
      <c r="G330" s="129"/>
      <c r="H330" s="129"/>
      <c r="I330" s="129"/>
      <c r="J330" s="110"/>
      <c r="K330" s="129"/>
      <c r="L330" t="s">
        <v>351</v>
      </c>
      <c r="M330" s="129"/>
      <c r="N330" s="129"/>
      <c r="O330" s="129"/>
      <c r="P330" s="129"/>
      <c r="Q330" s="129"/>
      <c r="R330" s="129"/>
      <c r="S330" s="129"/>
      <c r="T330" s="129"/>
      <c r="U330" s="141"/>
      <c r="V330" s="139"/>
      <c r="W330" s="129"/>
      <c r="X330" s="129"/>
      <c r="Y330" s="129"/>
      <c r="Z330" s="129"/>
      <c r="AA330" s="129"/>
      <c r="AB330" s="115"/>
      <c r="AC330" s="129"/>
      <c r="AD330" s="149"/>
      <c r="AE330" s="129"/>
      <c r="AF330" s="129"/>
      <c r="AG330" s="129"/>
    </row>
    <row r="331" spans="3:33" x14ac:dyDescent="0.35">
      <c r="C331" s="129"/>
      <c r="D331" s="129"/>
      <c r="E331" s="129"/>
      <c r="F331" s="129"/>
      <c r="G331" s="129"/>
      <c r="H331" s="129"/>
      <c r="I331" s="129"/>
      <c r="J331" s="110"/>
      <c r="K331" s="129"/>
      <c r="L331" t="s">
        <v>351</v>
      </c>
      <c r="M331" s="129"/>
      <c r="N331" s="129"/>
      <c r="O331" s="129"/>
      <c r="P331" s="129"/>
      <c r="Q331" s="129"/>
      <c r="R331" s="129"/>
      <c r="S331" s="129"/>
      <c r="T331" s="129"/>
      <c r="U331" s="141"/>
      <c r="V331" s="139"/>
      <c r="W331" s="129"/>
      <c r="X331" s="129"/>
      <c r="Y331" s="129"/>
      <c r="Z331" s="129"/>
      <c r="AA331" s="129"/>
      <c r="AB331" s="115"/>
      <c r="AC331" s="129"/>
      <c r="AD331" s="149"/>
      <c r="AE331" s="129"/>
      <c r="AF331" s="129"/>
      <c r="AG331" s="129"/>
    </row>
    <row r="332" spans="3:33" x14ac:dyDescent="0.35">
      <c r="C332" s="129"/>
      <c r="D332" s="129"/>
      <c r="E332" s="129"/>
      <c r="F332" s="129"/>
      <c r="G332" s="129"/>
      <c r="H332" s="129"/>
      <c r="I332" s="129"/>
      <c r="J332" s="110"/>
      <c r="K332" s="129"/>
      <c r="L332" t="s">
        <v>351</v>
      </c>
      <c r="M332" s="129"/>
      <c r="N332" s="129"/>
      <c r="O332" s="129"/>
      <c r="P332" s="129"/>
      <c r="Q332" s="129"/>
      <c r="R332" s="129"/>
      <c r="S332" s="129"/>
      <c r="T332" s="129"/>
      <c r="U332" s="141"/>
      <c r="V332" s="139"/>
      <c r="W332" s="129"/>
      <c r="X332" s="129"/>
      <c r="Y332" s="129"/>
      <c r="Z332" s="129"/>
      <c r="AA332" s="129"/>
      <c r="AB332" s="115"/>
      <c r="AC332" s="129"/>
      <c r="AD332" s="149"/>
      <c r="AE332" s="129"/>
      <c r="AF332" s="129"/>
      <c r="AG332" s="129"/>
    </row>
    <row r="333" spans="3:33" x14ac:dyDescent="0.35">
      <c r="C333" s="129"/>
      <c r="D333" s="129"/>
      <c r="E333" s="129"/>
      <c r="F333" s="129"/>
      <c r="G333" s="129"/>
      <c r="H333" s="129"/>
      <c r="I333" s="129"/>
      <c r="J333" s="110"/>
      <c r="K333" s="129"/>
      <c r="L333" t="s">
        <v>351</v>
      </c>
      <c r="M333" s="129"/>
      <c r="N333" s="129"/>
      <c r="O333" s="129"/>
      <c r="P333" s="129"/>
      <c r="Q333" s="129"/>
      <c r="R333" s="129"/>
      <c r="S333" s="129"/>
      <c r="T333" s="129"/>
      <c r="U333" s="141"/>
      <c r="V333" s="139"/>
      <c r="W333" s="129"/>
      <c r="X333" s="129"/>
      <c r="Y333" s="129"/>
      <c r="Z333" s="129"/>
      <c r="AA333" s="129"/>
      <c r="AB333" s="115"/>
      <c r="AC333" s="129"/>
      <c r="AD333" s="149"/>
      <c r="AE333" s="129"/>
      <c r="AF333" s="129"/>
      <c r="AG333" s="129"/>
    </row>
    <row r="334" spans="3:33" x14ac:dyDescent="0.35">
      <c r="C334" s="129"/>
      <c r="D334" s="129"/>
      <c r="E334" s="129"/>
      <c r="F334" s="129"/>
      <c r="G334" s="129"/>
      <c r="H334" s="129"/>
      <c r="I334" s="129"/>
      <c r="J334" s="110"/>
      <c r="K334" s="129"/>
      <c r="L334" t="s">
        <v>351</v>
      </c>
      <c r="M334" s="129"/>
      <c r="N334" s="129"/>
      <c r="O334" s="129"/>
      <c r="P334" s="129"/>
      <c r="Q334" s="129"/>
      <c r="R334" s="129"/>
      <c r="S334" s="129"/>
      <c r="T334" s="129"/>
      <c r="U334" s="141"/>
      <c r="V334" s="139"/>
      <c r="W334" s="129"/>
      <c r="X334" s="129"/>
      <c r="Y334" s="129"/>
      <c r="Z334" s="129"/>
      <c r="AA334" s="129"/>
      <c r="AB334" s="115"/>
      <c r="AC334" s="129"/>
      <c r="AD334" s="149"/>
      <c r="AE334" s="129"/>
      <c r="AF334" s="129"/>
      <c r="AG334" s="129"/>
    </row>
    <row r="335" spans="3:33" x14ac:dyDescent="0.35">
      <c r="C335" s="129"/>
      <c r="D335" s="129"/>
      <c r="E335" s="129"/>
      <c r="F335" s="129"/>
      <c r="G335" s="129"/>
      <c r="H335" s="129"/>
      <c r="I335" s="129"/>
      <c r="J335" s="110"/>
      <c r="K335" s="129"/>
      <c r="L335" t="s">
        <v>351</v>
      </c>
      <c r="M335" s="129"/>
      <c r="N335" s="129"/>
      <c r="O335" s="129"/>
      <c r="P335" s="129"/>
      <c r="Q335" s="129"/>
      <c r="R335" s="129"/>
      <c r="S335" s="129"/>
      <c r="T335" s="129"/>
      <c r="U335" s="141"/>
      <c r="V335" s="139"/>
      <c r="W335" s="129"/>
      <c r="X335" s="129"/>
      <c r="Y335" s="129"/>
      <c r="Z335" s="129"/>
      <c r="AA335" s="129"/>
      <c r="AB335" s="115"/>
      <c r="AC335" s="129"/>
      <c r="AD335" s="149"/>
      <c r="AE335" s="129"/>
      <c r="AF335" s="129"/>
      <c r="AG335" s="129"/>
    </row>
    <row r="336" spans="3:33" x14ac:dyDescent="0.35">
      <c r="C336" s="129"/>
      <c r="D336" s="129"/>
      <c r="E336" s="129"/>
      <c r="F336" s="129"/>
      <c r="G336" s="129"/>
      <c r="H336" s="129"/>
      <c r="I336" s="129"/>
      <c r="J336" s="110"/>
      <c r="K336" s="129"/>
      <c r="L336" t="s">
        <v>351</v>
      </c>
      <c r="M336" s="129"/>
      <c r="N336" s="129"/>
      <c r="O336" s="129"/>
      <c r="P336" s="129"/>
      <c r="Q336" s="129"/>
      <c r="R336" s="129"/>
      <c r="S336" s="129"/>
      <c r="T336" s="129"/>
      <c r="U336" s="141"/>
      <c r="V336" s="139"/>
      <c r="W336" s="129"/>
      <c r="X336" s="129"/>
      <c r="Y336" s="129"/>
      <c r="Z336" s="129"/>
      <c r="AA336" s="129"/>
      <c r="AB336" s="115"/>
      <c r="AC336" s="129"/>
      <c r="AD336" s="149"/>
      <c r="AE336" s="129"/>
      <c r="AF336" s="129"/>
      <c r="AG336" s="129"/>
    </row>
    <row r="337" spans="3:33" x14ac:dyDescent="0.35">
      <c r="C337" s="129"/>
      <c r="D337" s="129"/>
      <c r="E337" s="129"/>
      <c r="F337" s="129"/>
      <c r="G337" s="129"/>
      <c r="H337" s="129"/>
      <c r="I337" s="129"/>
      <c r="J337" s="110"/>
      <c r="K337" s="129"/>
      <c r="L337" t="s">
        <v>351</v>
      </c>
      <c r="M337" s="129"/>
      <c r="N337" s="129"/>
      <c r="O337" s="129"/>
      <c r="P337" s="129"/>
      <c r="Q337" s="129"/>
      <c r="R337" s="129"/>
      <c r="S337" s="129"/>
      <c r="T337" s="129"/>
      <c r="U337" s="141"/>
      <c r="V337" s="139"/>
      <c r="W337" s="129"/>
      <c r="X337" s="129"/>
      <c r="Y337" s="129"/>
      <c r="Z337" s="129"/>
      <c r="AA337" s="129"/>
      <c r="AB337" s="115"/>
      <c r="AC337" s="129"/>
      <c r="AD337" s="149"/>
      <c r="AE337" s="129"/>
      <c r="AF337" s="129"/>
      <c r="AG337" s="129"/>
    </row>
    <row r="338" spans="3:33" x14ac:dyDescent="0.35">
      <c r="C338" s="129"/>
      <c r="D338" s="129"/>
      <c r="E338" s="129"/>
      <c r="F338" s="129"/>
      <c r="G338" s="129"/>
      <c r="H338" s="129"/>
      <c r="I338" s="129"/>
      <c r="J338" s="110"/>
      <c r="K338" s="129"/>
      <c r="L338" t="s">
        <v>351</v>
      </c>
      <c r="M338" s="129"/>
      <c r="N338" s="129"/>
      <c r="O338" s="129"/>
      <c r="P338" s="129"/>
      <c r="Q338" s="129"/>
      <c r="R338" s="129"/>
      <c r="S338" s="129"/>
      <c r="T338" s="129"/>
      <c r="U338" s="141"/>
      <c r="V338" s="139"/>
      <c r="W338" s="129"/>
      <c r="X338" s="129"/>
      <c r="Y338" s="129"/>
      <c r="Z338" s="129"/>
      <c r="AA338" s="129"/>
      <c r="AB338" s="115"/>
      <c r="AC338" s="129"/>
      <c r="AD338" s="149"/>
      <c r="AE338" s="129"/>
      <c r="AF338" s="129"/>
      <c r="AG338" s="129"/>
    </row>
    <row r="339" spans="3:33" x14ac:dyDescent="0.35">
      <c r="C339" s="129"/>
      <c r="D339" s="129"/>
      <c r="E339" s="129"/>
      <c r="F339" s="129"/>
      <c r="G339" s="129"/>
      <c r="H339" s="129"/>
      <c r="I339" s="129"/>
      <c r="J339" s="110"/>
      <c r="K339" s="129"/>
      <c r="L339" t="s">
        <v>351</v>
      </c>
      <c r="M339" s="129"/>
      <c r="N339" s="129"/>
      <c r="O339" s="129"/>
      <c r="P339" s="129"/>
      <c r="Q339" s="129"/>
      <c r="R339" s="129"/>
      <c r="S339" s="129"/>
      <c r="T339" s="129"/>
      <c r="U339" s="141"/>
      <c r="V339" s="139"/>
      <c r="W339" s="129"/>
      <c r="X339" s="129"/>
      <c r="Y339" s="129"/>
      <c r="Z339" s="129"/>
      <c r="AA339" s="129"/>
      <c r="AB339" s="115"/>
      <c r="AC339" s="129"/>
      <c r="AD339" s="149"/>
      <c r="AE339" s="129"/>
      <c r="AF339" s="129"/>
      <c r="AG339" s="129"/>
    </row>
    <row r="340" spans="3:33" x14ac:dyDescent="0.35">
      <c r="C340" s="129"/>
      <c r="D340" s="129"/>
      <c r="E340" s="129"/>
      <c r="F340" s="129"/>
      <c r="G340" s="129"/>
      <c r="H340" s="129"/>
      <c r="I340" s="129"/>
      <c r="J340" s="110"/>
      <c r="K340" s="129"/>
      <c r="L340" t="s">
        <v>351</v>
      </c>
      <c r="M340" s="129"/>
      <c r="N340" s="129"/>
      <c r="O340" s="129"/>
      <c r="P340" s="129"/>
      <c r="Q340" s="129"/>
      <c r="R340" s="129"/>
      <c r="S340" s="129"/>
      <c r="T340" s="129"/>
      <c r="U340" s="141"/>
      <c r="V340" s="139"/>
      <c r="W340" s="129"/>
      <c r="X340" s="129"/>
      <c r="Y340" s="129"/>
      <c r="Z340" s="129"/>
      <c r="AA340" s="129"/>
      <c r="AB340" s="115"/>
      <c r="AC340" s="129"/>
      <c r="AD340" s="149"/>
      <c r="AE340" s="129"/>
      <c r="AF340" s="129"/>
      <c r="AG340" s="129"/>
    </row>
    <row r="341" spans="3:33" x14ac:dyDescent="0.35">
      <c r="C341" s="129"/>
      <c r="D341" s="129"/>
      <c r="E341" s="129"/>
      <c r="F341" s="129"/>
      <c r="G341" s="129"/>
      <c r="H341" s="129"/>
      <c r="I341" s="129"/>
      <c r="J341" s="110"/>
      <c r="K341" s="129"/>
      <c r="L341" t="s">
        <v>351</v>
      </c>
      <c r="M341" s="129"/>
      <c r="N341" s="129"/>
      <c r="O341" s="129"/>
      <c r="P341" s="129"/>
      <c r="Q341" s="129"/>
      <c r="R341" s="129"/>
      <c r="S341" s="129"/>
      <c r="T341" s="129"/>
      <c r="U341" s="141"/>
      <c r="V341" s="139"/>
      <c r="W341" s="129"/>
      <c r="X341" s="129"/>
      <c r="Y341" s="129"/>
      <c r="Z341" s="129"/>
      <c r="AA341" s="129"/>
      <c r="AB341" s="115"/>
      <c r="AC341" s="129"/>
      <c r="AD341" s="149"/>
      <c r="AE341" s="129"/>
      <c r="AF341" s="129"/>
      <c r="AG341" s="129"/>
    </row>
    <row r="342" spans="3:33" x14ac:dyDescent="0.35">
      <c r="C342" s="129"/>
      <c r="D342" s="129"/>
      <c r="E342" s="129"/>
      <c r="F342" s="129"/>
      <c r="G342" s="129"/>
      <c r="H342" s="129"/>
      <c r="I342" s="129"/>
      <c r="J342" s="110"/>
      <c r="K342" s="129"/>
      <c r="L342" t="s">
        <v>351</v>
      </c>
      <c r="M342" s="129"/>
      <c r="N342" s="129"/>
      <c r="O342" s="129"/>
      <c r="P342" s="129"/>
      <c r="Q342" s="129"/>
      <c r="R342" s="129"/>
      <c r="S342" s="129"/>
      <c r="T342" s="129"/>
      <c r="U342" s="141"/>
      <c r="V342" s="139"/>
      <c r="W342" s="129"/>
      <c r="X342" s="129"/>
      <c r="Y342" s="129"/>
      <c r="Z342" s="129"/>
      <c r="AA342" s="129"/>
      <c r="AB342" s="115"/>
      <c r="AC342" s="129"/>
      <c r="AD342" s="149"/>
      <c r="AE342" s="129"/>
      <c r="AF342" s="129"/>
      <c r="AG342" s="129"/>
    </row>
    <row r="343" spans="3:33" x14ac:dyDescent="0.35">
      <c r="C343" s="129"/>
      <c r="D343" s="129"/>
      <c r="E343" s="129"/>
      <c r="F343" s="129"/>
      <c r="G343" s="129"/>
      <c r="H343" s="129"/>
      <c r="I343" s="129"/>
      <c r="J343" s="110"/>
      <c r="K343" s="129"/>
      <c r="L343" t="s">
        <v>351</v>
      </c>
      <c r="M343" s="129"/>
      <c r="N343" s="129"/>
      <c r="O343" s="129"/>
      <c r="P343" s="129"/>
      <c r="Q343" s="129"/>
      <c r="R343" s="129"/>
      <c r="S343" s="129"/>
      <c r="T343" s="129"/>
      <c r="U343" s="141"/>
      <c r="V343" s="139"/>
      <c r="W343" s="129"/>
      <c r="X343" s="129"/>
      <c r="Y343" s="129"/>
      <c r="Z343" s="129"/>
      <c r="AA343" s="129"/>
      <c r="AB343" s="115"/>
      <c r="AC343" s="129"/>
      <c r="AD343" s="149"/>
      <c r="AE343" s="129"/>
      <c r="AF343" s="129"/>
      <c r="AG343" s="129"/>
    </row>
    <row r="344" spans="3:33" x14ac:dyDescent="0.35">
      <c r="C344" s="129"/>
      <c r="D344" s="129"/>
      <c r="E344" s="129"/>
      <c r="F344" s="129"/>
      <c r="G344" s="129"/>
      <c r="H344" s="129"/>
      <c r="I344" s="129"/>
      <c r="J344" s="110"/>
      <c r="K344" s="129"/>
      <c r="L344" t="s">
        <v>351</v>
      </c>
      <c r="M344" s="129"/>
      <c r="N344" s="129"/>
      <c r="O344" s="129"/>
      <c r="P344" s="129"/>
      <c r="Q344" s="129"/>
      <c r="R344" s="129"/>
      <c r="S344" s="129"/>
      <c r="T344" s="129"/>
      <c r="U344" s="141"/>
      <c r="V344" s="139"/>
      <c r="W344" s="129"/>
      <c r="X344" s="129"/>
      <c r="Y344" s="129"/>
      <c r="Z344" s="129"/>
      <c r="AA344" s="129"/>
      <c r="AB344" s="115"/>
      <c r="AC344" s="129"/>
      <c r="AD344" s="149"/>
      <c r="AE344" s="129"/>
      <c r="AF344" s="129"/>
      <c r="AG344" s="129"/>
    </row>
    <row r="345" spans="3:33" x14ac:dyDescent="0.35">
      <c r="C345" s="129"/>
      <c r="D345" s="129"/>
      <c r="E345" s="129"/>
      <c r="F345" s="129"/>
      <c r="G345" s="129"/>
      <c r="H345" s="129"/>
      <c r="I345" s="129"/>
      <c r="J345" s="110"/>
      <c r="K345" s="129"/>
      <c r="L345" t="s">
        <v>351</v>
      </c>
      <c r="M345" s="129"/>
      <c r="N345" s="129"/>
      <c r="O345" s="129"/>
      <c r="P345" s="129"/>
      <c r="Q345" s="129"/>
      <c r="R345" s="129"/>
      <c r="S345" s="129"/>
      <c r="T345" s="129"/>
      <c r="U345" s="141"/>
      <c r="V345" s="139"/>
      <c r="W345" s="129"/>
      <c r="X345" s="129"/>
      <c r="Y345" s="129"/>
      <c r="Z345" s="129"/>
      <c r="AA345" s="129"/>
      <c r="AB345" s="115"/>
      <c r="AC345" s="129"/>
      <c r="AD345" s="149"/>
      <c r="AE345" s="129"/>
      <c r="AF345" s="129"/>
      <c r="AG345" s="129"/>
    </row>
    <row r="346" spans="3:33" x14ac:dyDescent="0.35">
      <c r="C346" s="129"/>
      <c r="D346" s="129"/>
      <c r="E346" s="129"/>
      <c r="F346" s="129"/>
      <c r="G346" s="129"/>
      <c r="H346" s="129"/>
      <c r="I346" s="129"/>
      <c r="J346" s="110"/>
      <c r="K346" s="129"/>
      <c r="L346" t="s">
        <v>351</v>
      </c>
      <c r="M346" s="129"/>
      <c r="N346" s="129"/>
      <c r="O346" s="129"/>
      <c r="P346" s="129"/>
      <c r="Q346" s="129"/>
      <c r="R346" s="129"/>
      <c r="S346" s="129"/>
      <c r="T346" s="129"/>
      <c r="U346" s="141"/>
      <c r="V346" s="139"/>
      <c r="W346" s="129"/>
      <c r="X346" s="129"/>
      <c r="Y346" s="129"/>
      <c r="Z346" s="129"/>
      <c r="AA346" s="129"/>
      <c r="AB346" s="115"/>
      <c r="AC346" s="129"/>
      <c r="AD346" s="149"/>
      <c r="AE346" s="129"/>
      <c r="AF346" s="129"/>
      <c r="AG346" s="129"/>
    </row>
    <row r="347" spans="3:33" x14ac:dyDescent="0.35">
      <c r="C347" s="129"/>
      <c r="D347" s="129"/>
      <c r="E347" s="129"/>
      <c r="F347" s="129"/>
      <c r="G347" s="129"/>
      <c r="H347" s="129"/>
      <c r="I347" s="129"/>
      <c r="J347" s="110"/>
      <c r="K347" s="129"/>
      <c r="L347" t="s">
        <v>351</v>
      </c>
      <c r="M347" s="129"/>
      <c r="N347" s="129"/>
      <c r="O347" s="129"/>
      <c r="P347" s="129"/>
      <c r="Q347" s="129"/>
      <c r="R347" s="129"/>
      <c r="S347" s="129"/>
      <c r="T347" s="129"/>
      <c r="U347" s="141"/>
      <c r="V347" s="139"/>
      <c r="W347" s="129"/>
      <c r="X347" s="129"/>
      <c r="Y347" s="129"/>
      <c r="Z347" s="129"/>
      <c r="AA347" s="129"/>
      <c r="AB347" s="115"/>
      <c r="AC347" s="129"/>
      <c r="AD347" s="149"/>
      <c r="AE347" s="129"/>
      <c r="AF347" s="129"/>
      <c r="AG347" s="129"/>
    </row>
    <row r="348" spans="3:33" x14ac:dyDescent="0.35">
      <c r="C348" s="129"/>
      <c r="D348" s="129"/>
      <c r="E348" s="129"/>
      <c r="F348" s="129"/>
      <c r="G348" s="129"/>
      <c r="H348" s="129"/>
      <c r="I348" s="129"/>
      <c r="J348" s="110"/>
      <c r="K348" s="129"/>
      <c r="L348" t="s">
        <v>351</v>
      </c>
      <c r="M348" s="129"/>
      <c r="N348" s="129"/>
      <c r="O348" s="129"/>
      <c r="P348" s="129"/>
      <c r="Q348" s="129"/>
      <c r="R348" s="129"/>
      <c r="S348" s="129"/>
      <c r="T348" s="129"/>
      <c r="U348" s="141"/>
      <c r="V348" s="139"/>
      <c r="W348" s="129"/>
      <c r="X348" s="129"/>
      <c r="Y348" s="129"/>
      <c r="Z348" s="129"/>
      <c r="AA348" s="129"/>
      <c r="AB348" s="115"/>
      <c r="AC348" s="129"/>
      <c r="AD348" s="149"/>
      <c r="AE348" s="129"/>
      <c r="AF348" s="129"/>
      <c r="AG348" s="129"/>
    </row>
    <row r="349" spans="3:33" x14ac:dyDescent="0.35">
      <c r="C349" s="129"/>
      <c r="D349" s="129"/>
      <c r="E349" s="129"/>
      <c r="F349" s="129"/>
      <c r="G349" s="129"/>
      <c r="H349" s="129"/>
      <c r="I349" s="129"/>
      <c r="J349" s="110"/>
      <c r="K349" s="129"/>
      <c r="L349" t="s">
        <v>351</v>
      </c>
      <c r="M349" s="129"/>
      <c r="N349" s="129"/>
      <c r="O349" s="129"/>
      <c r="P349" s="129"/>
      <c r="Q349" s="129"/>
      <c r="R349" s="129"/>
      <c r="S349" s="129"/>
      <c r="T349" s="129"/>
      <c r="U349" s="141"/>
      <c r="V349" s="139"/>
      <c r="W349" s="129"/>
      <c r="X349" s="129"/>
      <c r="Y349" s="129"/>
      <c r="Z349" s="129"/>
      <c r="AA349" s="129"/>
      <c r="AB349" s="115"/>
      <c r="AC349" s="129"/>
      <c r="AD349" s="149"/>
      <c r="AE349" s="129"/>
      <c r="AF349" s="129"/>
      <c r="AG349" s="129"/>
    </row>
    <row r="350" spans="3:33" x14ac:dyDescent="0.35">
      <c r="C350" s="129"/>
      <c r="D350" s="129"/>
      <c r="E350" s="129"/>
      <c r="F350" s="129"/>
      <c r="G350" s="129"/>
      <c r="H350" s="129"/>
      <c r="I350" s="129"/>
      <c r="J350" s="110"/>
      <c r="K350" s="129"/>
      <c r="L350" t="s">
        <v>351</v>
      </c>
      <c r="M350" s="129"/>
      <c r="N350" s="129"/>
      <c r="O350" s="129"/>
      <c r="P350" s="129"/>
      <c r="Q350" s="129"/>
      <c r="R350" s="129"/>
      <c r="S350" s="129"/>
      <c r="T350" s="129"/>
      <c r="U350" s="141"/>
      <c r="V350" s="139"/>
      <c r="W350" s="129"/>
      <c r="X350" s="129"/>
      <c r="Y350" s="129"/>
      <c r="Z350" s="129"/>
      <c r="AA350" s="129"/>
      <c r="AB350" s="115"/>
      <c r="AC350" s="129"/>
      <c r="AD350" s="149"/>
      <c r="AE350" s="129"/>
      <c r="AF350" s="129"/>
      <c r="AG350" s="129"/>
    </row>
    <row r="351" spans="3:33" x14ac:dyDescent="0.35">
      <c r="C351" s="129"/>
      <c r="D351" s="129"/>
      <c r="E351" s="129"/>
      <c r="F351" s="129"/>
      <c r="G351" s="129"/>
      <c r="H351" s="129"/>
      <c r="I351" s="129"/>
      <c r="J351" s="110"/>
      <c r="K351" s="129"/>
      <c r="L351" t="s">
        <v>351</v>
      </c>
      <c r="M351" s="129"/>
      <c r="N351" s="129"/>
      <c r="O351" s="129"/>
      <c r="P351" s="129"/>
      <c r="Q351" s="129"/>
      <c r="R351" s="129"/>
      <c r="S351" s="129"/>
      <c r="T351" s="129"/>
      <c r="U351" s="141"/>
      <c r="V351" s="139"/>
      <c r="W351" s="129"/>
      <c r="X351" s="129"/>
      <c r="Y351" s="129"/>
      <c r="Z351" s="129"/>
      <c r="AA351" s="129"/>
      <c r="AB351" s="115"/>
      <c r="AC351" s="129"/>
      <c r="AD351" s="149"/>
      <c r="AE351" s="129"/>
      <c r="AF351" s="129"/>
      <c r="AG351" s="129"/>
    </row>
    <row r="352" spans="3:33" x14ac:dyDescent="0.35">
      <c r="C352" s="129"/>
      <c r="D352" s="129"/>
      <c r="E352" s="129"/>
      <c r="F352" s="129"/>
      <c r="G352" s="129"/>
      <c r="H352" s="129"/>
      <c r="I352" s="129"/>
      <c r="J352" s="110"/>
      <c r="K352" s="129"/>
      <c r="L352" t="s">
        <v>351</v>
      </c>
      <c r="M352" s="129"/>
      <c r="N352" s="129"/>
      <c r="O352" s="129"/>
      <c r="P352" s="129"/>
      <c r="Q352" s="129"/>
      <c r="R352" s="129"/>
      <c r="S352" s="129"/>
      <c r="T352" s="129"/>
      <c r="U352" s="141"/>
      <c r="V352" s="139"/>
      <c r="W352" s="129"/>
      <c r="X352" s="129"/>
      <c r="Y352" s="129"/>
      <c r="Z352" s="129"/>
      <c r="AA352" s="129"/>
      <c r="AB352" s="115"/>
      <c r="AC352" s="129"/>
      <c r="AD352" s="149"/>
      <c r="AE352" s="129"/>
      <c r="AF352" s="129"/>
      <c r="AG352" s="129"/>
    </row>
    <row r="353" spans="3:33" x14ac:dyDescent="0.35">
      <c r="C353" s="129"/>
      <c r="D353" s="129"/>
      <c r="E353" s="129"/>
      <c r="F353" s="129"/>
      <c r="G353" s="129"/>
      <c r="H353" s="129"/>
      <c r="I353" s="129"/>
      <c r="J353" s="110"/>
      <c r="K353" s="129"/>
      <c r="L353" t="s">
        <v>351</v>
      </c>
      <c r="M353" s="129"/>
      <c r="N353" s="129"/>
      <c r="O353" s="129"/>
      <c r="P353" s="129"/>
      <c r="Q353" s="129"/>
      <c r="R353" s="129"/>
      <c r="S353" s="129"/>
      <c r="T353" s="129"/>
      <c r="U353" s="141"/>
      <c r="V353" s="139"/>
      <c r="W353" s="129"/>
      <c r="X353" s="129"/>
      <c r="Y353" s="129"/>
      <c r="Z353" s="129"/>
      <c r="AA353" s="129"/>
      <c r="AB353" s="115"/>
      <c r="AC353" s="129"/>
      <c r="AD353" s="149"/>
      <c r="AE353" s="129"/>
      <c r="AF353" s="129"/>
      <c r="AG353" s="129"/>
    </row>
    <row r="354" spans="3:33" x14ac:dyDescent="0.35">
      <c r="C354" s="129"/>
      <c r="D354" s="129"/>
      <c r="E354" s="129"/>
      <c r="F354" s="129"/>
      <c r="G354" s="129"/>
      <c r="H354" s="129"/>
      <c r="I354" s="129"/>
      <c r="J354" s="110"/>
      <c r="K354" s="129"/>
      <c r="L354" t="s">
        <v>351</v>
      </c>
      <c r="M354" s="129"/>
      <c r="N354" s="129"/>
      <c r="O354" s="129"/>
      <c r="P354" s="129"/>
      <c r="Q354" s="129"/>
      <c r="R354" s="129"/>
      <c r="S354" s="129"/>
      <c r="T354" s="129"/>
      <c r="U354" s="141"/>
      <c r="V354" s="139"/>
      <c r="W354" s="129"/>
      <c r="X354" s="129"/>
      <c r="Y354" s="129"/>
      <c r="Z354" s="129"/>
      <c r="AA354" s="129"/>
      <c r="AB354" s="115"/>
      <c r="AC354" s="129"/>
      <c r="AD354" s="149"/>
      <c r="AE354" s="129"/>
      <c r="AF354" s="129"/>
      <c r="AG354" s="129"/>
    </row>
    <row r="355" spans="3:33" x14ac:dyDescent="0.35">
      <c r="C355" s="129"/>
      <c r="D355" s="129"/>
      <c r="E355" s="129"/>
      <c r="F355" s="129"/>
      <c r="G355" s="129"/>
      <c r="H355" s="129"/>
      <c r="I355" s="129"/>
      <c r="J355" s="110"/>
      <c r="K355" s="129"/>
      <c r="L355" t="s">
        <v>351</v>
      </c>
      <c r="M355" s="129"/>
      <c r="N355" s="129"/>
      <c r="O355" s="129"/>
      <c r="P355" s="129"/>
      <c r="Q355" s="129"/>
      <c r="R355" s="129"/>
      <c r="S355" s="129"/>
      <c r="T355" s="129"/>
      <c r="U355" s="141"/>
      <c r="V355" s="139"/>
      <c r="W355" s="129"/>
      <c r="X355" s="129"/>
      <c r="Y355" s="129"/>
      <c r="Z355" s="129"/>
      <c r="AA355" s="129"/>
      <c r="AB355" s="115"/>
      <c r="AC355" s="129"/>
      <c r="AD355" s="149"/>
      <c r="AE355" s="129"/>
      <c r="AF355" s="129"/>
      <c r="AG355" s="129"/>
    </row>
    <row r="356" spans="3:33" x14ac:dyDescent="0.35">
      <c r="C356" s="129"/>
      <c r="D356" s="129"/>
      <c r="E356" s="129"/>
      <c r="F356" s="129"/>
      <c r="G356" s="129"/>
      <c r="H356" s="129"/>
      <c r="I356" s="129"/>
      <c r="J356" s="110"/>
      <c r="K356" s="129"/>
      <c r="L356" t="s">
        <v>351</v>
      </c>
      <c r="M356" s="129"/>
      <c r="N356" s="129"/>
      <c r="O356" s="129"/>
      <c r="P356" s="129"/>
      <c r="Q356" s="129"/>
      <c r="R356" s="129"/>
      <c r="S356" s="129"/>
      <c r="T356" s="129"/>
      <c r="U356" s="141"/>
      <c r="V356" s="139"/>
      <c r="W356" s="129"/>
      <c r="X356" s="129"/>
      <c r="Y356" s="129"/>
      <c r="Z356" s="129"/>
      <c r="AA356" s="129"/>
      <c r="AB356" s="115"/>
      <c r="AC356" s="129"/>
      <c r="AD356" s="149"/>
      <c r="AE356" s="129"/>
      <c r="AF356" s="129"/>
      <c r="AG356" s="129"/>
    </row>
    <row r="357" spans="3:33" x14ac:dyDescent="0.35">
      <c r="C357" s="129"/>
      <c r="D357" s="129"/>
      <c r="E357" s="129"/>
      <c r="F357" s="129"/>
      <c r="G357" s="129"/>
      <c r="H357" s="129"/>
      <c r="I357" s="129"/>
      <c r="J357" s="110"/>
      <c r="K357" s="129"/>
      <c r="L357" t="s">
        <v>351</v>
      </c>
      <c r="M357" s="129"/>
      <c r="N357" s="129"/>
      <c r="O357" s="129"/>
      <c r="P357" s="129"/>
      <c r="Q357" s="129"/>
      <c r="R357" s="129"/>
      <c r="S357" s="129"/>
      <c r="T357" s="129"/>
      <c r="U357" s="141"/>
      <c r="V357" s="139"/>
      <c r="W357" s="129"/>
      <c r="X357" s="129"/>
      <c r="Y357" s="129"/>
      <c r="Z357" s="129"/>
      <c r="AA357" s="129"/>
      <c r="AB357" s="115"/>
      <c r="AC357" s="129"/>
      <c r="AD357" s="149"/>
      <c r="AE357" s="129"/>
      <c r="AF357" s="129"/>
      <c r="AG357" s="129"/>
    </row>
    <row r="358" spans="3:33" x14ac:dyDescent="0.35">
      <c r="C358" s="129"/>
      <c r="D358" s="129"/>
      <c r="E358" s="129"/>
      <c r="F358" s="129"/>
      <c r="G358" s="129"/>
      <c r="H358" s="129"/>
      <c r="I358" s="129"/>
      <c r="J358" s="110"/>
      <c r="K358" s="129"/>
      <c r="L358" t="s">
        <v>351</v>
      </c>
      <c r="M358" s="129"/>
      <c r="N358" s="129"/>
      <c r="O358" s="129"/>
      <c r="P358" s="129"/>
      <c r="Q358" s="129"/>
      <c r="R358" s="129"/>
      <c r="S358" s="129"/>
      <c r="T358" s="129"/>
      <c r="U358" s="141"/>
      <c r="V358" s="139"/>
      <c r="W358" s="129"/>
      <c r="X358" s="129"/>
      <c r="Y358" s="129"/>
      <c r="Z358" s="129"/>
      <c r="AA358" s="129"/>
      <c r="AB358" s="115"/>
      <c r="AC358" s="129"/>
      <c r="AD358" s="149"/>
      <c r="AE358" s="129"/>
      <c r="AF358" s="129"/>
      <c r="AG358" s="129"/>
    </row>
    <row r="359" spans="3:33" x14ac:dyDescent="0.35">
      <c r="C359" s="129"/>
      <c r="D359" s="129"/>
      <c r="E359" s="129"/>
      <c r="F359" s="129"/>
      <c r="G359" s="129"/>
      <c r="H359" s="129"/>
      <c r="I359" s="129"/>
      <c r="J359" s="110"/>
      <c r="K359" s="129"/>
      <c r="L359" t="s">
        <v>351</v>
      </c>
      <c r="M359" s="129"/>
      <c r="N359" s="129"/>
      <c r="O359" s="129"/>
      <c r="P359" s="129"/>
      <c r="Q359" s="129"/>
      <c r="R359" s="129"/>
      <c r="S359" s="129"/>
      <c r="T359" s="129"/>
      <c r="U359" s="141"/>
      <c r="V359" s="139"/>
      <c r="W359" s="129"/>
      <c r="X359" s="129"/>
      <c r="Y359" s="129"/>
      <c r="Z359" s="129"/>
      <c r="AA359" s="129"/>
      <c r="AB359" s="115"/>
      <c r="AC359" s="129"/>
      <c r="AD359" s="149"/>
      <c r="AE359" s="129"/>
      <c r="AF359" s="129"/>
      <c r="AG359" s="129"/>
    </row>
    <row r="360" spans="3:33" x14ac:dyDescent="0.35">
      <c r="C360" s="129"/>
      <c r="D360" s="129"/>
      <c r="E360" s="129"/>
      <c r="F360" s="129"/>
      <c r="G360" s="129"/>
      <c r="H360" s="129"/>
      <c r="I360" s="129"/>
      <c r="J360" s="110"/>
      <c r="K360" s="129"/>
      <c r="L360" t="s">
        <v>351</v>
      </c>
      <c r="M360" s="129"/>
      <c r="N360" s="129"/>
      <c r="O360" s="129"/>
      <c r="P360" s="129"/>
      <c r="Q360" s="129"/>
      <c r="R360" s="129"/>
      <c r="S360" s="129"/>
      <c r="T360" s="129"/>
      <c r="U360" s="141"/>
      <c r="V360" s="139"/>
      <c r="W360" s="129"/>
      <c r="X360" s="129"/>
      <c r="Y360" s="129"/>
      <c r="Z360" s="129"/>
      <c r="AA360" s="129"/>
      <c r="AB360" s="115"/>
      <c r="AC360" s="129"/>
      <c r="AD360" s="149"/>
      <c r="AE360" s="129"/>
      <c r="AF360" s="129"/>
      <c r="AG360" s="129"/>
    </row>
    <row r="361" spans="3:33" x14ac:dyDescent="0.35">
      <c r="C361" s="129"/>
      <c r="D361" s="129"/>
      <c r="E361" s="129"/>
      <c r="F361" s="129"/>
      <c r="G361" s="129"/>
      <c r="H361" s="129"/>
      <c r="I361" s="129"/>
      <c r="J361" s="110"/>
      <c r="K361" s="129"/>
      <c r="L361" t="s">
        <v>351</v>
      </c>
      <c r="M361" s="129"/>
      <c r="N361" s="129"/>
      <c r="O361" s="129"/>
      <c r="P361" s="129"/>
      <c r="Q361" s="129"/>
      <c r="R361" s="129"/>
      <c r="S361" s="129"/>
      <c r="T361" s="129"/>
      <c r="U361" s="141"/>
      <c r="V361" s="139"/>
      <c r="W361" s="129"/>
      <c r="X361" s="129"/>
      <c r="Y361" s="129"/>
      <c r="Z361" s="129"/>
      <c r="AA361" s="129"/>
      <c r="AB361" s="115"/>
      <c r="AC361" s="129"/>
      <c r="AD361" s="149"/>
      <c r="AE361" s="129"/>
      <c r="AF361" s="129"/>
      <c r="AG361" s="129"/>
    </row>
    <row r="362" spans="3:33" x14ac:dyDescent="0.35">
      <c r="C362" s="129"/>
      <c r="D362" s="129"/>
      <c r="E362" s="129"/>
      <c r="F362" s="129"/>
      <c r="G362" s="129"/>
      <c r="H362" s="129"/>
      <c r="I362" s="129"/>
      <c r="J362" s="110"/>
      <c r="K362" s="129"/>
      <c r="L362" t="s">
        <v>351</v>
      </c>
      <c r="M362" s="129"/>
      <c r="N362" s="129"/>
      <c r="O362" s="129"/>
      <c r="P362" s="129"/>
      <c r="Q362" s="129"/>
      <c r="R362" s="129"/>
      <c r="S362" s="129"/>
      <c r="T362" s="129"/>
      <c r="U362" s="141"/>
      <c r="V362" s="139"/>
      <c r="W362" s="129"/>
      <c r="X362" s="129"/>
      <c r="Y362" s="129"/>
      <c r="Z362" s="129"/>
      <c r="AA362" s="129"/>
      <c r="AB362" s="115"/>
      <c r="AC362" s="129"/>
      <c r="AD362" s="149"/>
      <c r="AE362" s="129"/>
      <c r="AF362" s="129"/>
      <c r="AG362" s="129"/>
    </row>
    <row r="363" spans="3:33" x14ac:dyDescent="0.35">
      <c r="C363" s="129"/>
      <c r="D363" s="129"/>
      <c r="E363" s="129"/>
      <c r="F363" s="129"/>
      <c r="G363" s="129"/>
      <c r="H363" s="129"/>
      <c r="I363" s="129"/>
      <c r="J363" s="110"/>
      <c r="K363" s="129"/>
      <c r="L363" t="s">
        <v>351</v>
      </c>
      <c r="M363" s="129"/>
      <c r="N363" s="129"/>
      <c r="O363" s="129"/>
      <c r="P363" s="129"/>
      <c r="Q363" s="129"/>
      <c r="R363" s="129"/>
      <c r="S363" s="129"/>
      <c r="T363" s="129"/>
      <c r="U363" s="141"/>
      <c r="V363" s="139"/>
      <c r="W363" s="129"/>
      <c r="X363" s="129"/>
      <c r="Y363" s="129"/>
      <c r="Z363" s="129"/>
      <c r="AA363" s="129"/>
      <c r="AB363" s="115"/>
      <c r="AC363" s="129"/>
      <c r="AD363" s="149"/>
      <c r="AE363" s="129"/>
      <c r="AF363" s="129"/>
      <c r="AG363" s="129"/>
    </row>
    <row r="364" spans="3:33" x14ac:dyDescent="0.35">
      <c r="C364" s="129"/>
      <c r="D364" s="129"/>
      <c r="E364" s="129"/>
      <c r="F364" s="129"/>
      <c r="G364" s="129"/>
      <c r="H364" s="129"/>
      <c r="I364" s="129"/>
      <c r="J364" s="110"/>
      <c r="K364" s="129"/>
      <c r="L364" t="s">
        <v>351</v>
      </c>
      <c r="M364" s="129"/>
      <c r="N364" s="129"/>
      <c r="O364" s="129"/>
      <c r="P364" s="129"/>
      <c r="Q364" s="129"/>
      <c r="R364" s="129"/>
      <c r="S364" s="129"/>
      <c r="T364" s="129"/>
      <c r="U364" s="141"/>
      <c r="V364" s="139"/>
      <c r="W364" s="129"/>
      <c r="X364" s="129"/>
      <c r="Y364" s="129"/>
      <c r="Z364" s="129"/>
      <c r="AA364" s="129"/>
      <c r="AB364" s="115"/>
      <c r="AC364" s="129"/>
      <c r="AD364" s="149"/>
      <c r="AE364" s="129"/>
      <c r="AF364" s="129"/>
      <c r="AG364" s="129"/>
    </row>
    <row r="365" spans="3:33" x14ac:dyDescent="0.35">
      <c r="C365" s="129"/>
      <c r="D365" s="129"/>
      <c r="E365" s="129"/>
      <c r="F365" s="129"/>
      <c r="G365" s="129"/>
      <c r="H365" s="129"/>
      <c r="I365" s="129"/>
      <c r="J365" s="110"/>
      <c r="K365" s="129"/>
      <c r="L365" t="s">
        <v>351</v>
      </c>
      <c r="M365" s="129"/>
      <c r="N365" s="129"/>
      <c r="O365" s="129"/>
      <c r="P365" s="129"/>
      <c r="Q365" s="129"/>
      <c r="R365" s="129"/>
      <c r="S365" s="129"/>
      <c r="T365" s="129"/>
      <c r="U365" s="141"/>
      <c r="V365" s="139"/>
      <c r="W365" s="129"/>
      <c r="X365" s="129"/>
      <c r="Y365" s="129"/>
      <c r="Z365" s="129"/>
      <c r="AA365" s="129"/>
      <c r="AB365" s="115"/>
      <c r="AC365" s="129"/>
      <c r="AD365" s="149"/>
      <c r="AE365" s="129"/>
      <c r="AF365" s="129"/>
      <c r="AG365" s="129"/>
    </row>
    <row r="366" spans="3:33" x14ac:dyDescent="0.35">
      <c r="C366" s="129"/>
      <c r="D366" s="129"/>
      <c r="E366" s="129"/>
      <c r="F366" s="129"/>
      <c r="G366" s="129"/>
      <c r="H366" s="129"/>
      <c r="I366" s="129"/>
      <c r="J366" s="110"/>
      <c r="K366" s="129"/>
      <c r="L366" t="s">
        <v>351</v>
      </c>
      <c r="M366" s="129"/>
      <c r="N366" s="129"/>
      <c r="O366" s="129"/>
      <c r="P366" s="129"/>
      <c r="Q366" s="129"/>
      <c r="R366" s="129"/>
      <c r="S366" s="129"/>
      <c r="T366" s="129"/>
      <c r="U366" s="141"/>
      <c r="V366" s="139"/>
      <c r="W366" s="129"/>
      <c r="X366" s="129"/>
      <c r="Y366" s="129"/>
      <c r="Z366" s="129"/>
      <c r="AA366" s="129"/>
      <c r="AB366" s="115"/>
      <c r="AC366" s="129"/>
      <c r="AD366" s="149"/>
      <c r="AE366" s="129"/>
      <c r="AF366" s="129"/>
      <c r="AG366" s="129"/>
    </row>
    <row r="367" spans="3:33" x14ac:dyDescent="0.35">
      <c r="C367" s="129"/>
      <c r="D367" s="129"/>
      <c r="E367" s="129"/>
      <c r="F367" s="129"/>
      <c r="G367" s="129"/>
      <c r="H367" s="129"/>
      <c r="I367" s="129"/>
      <c r="J367" s="110"/>
      <c r="K367" s="129"/>
      <c r="L367" t="s">
        <v>351</v>
      </c>
      <c r="M367" s="129"/>
      <c r="N367" s="129"/>
      <c r="O367" s="129"/>
      <c r="P367" s="129"/>
      <c r="Q367" s="129"/>
      <c r="R367" s="129"/>
      <c r="S367" s="129"/>
      <c r="T367" s="129"/>
      <c r="U367" s="141"/>
      <c r="V367" s="139"/>
      <c r="W367" s="129"/>
      <c r="X367" s="129"/>
      <c r="Y367" s="129"/>
      <c r="Z367" s="129"/>
      <c r="AA367" s="129"/>
      <c r="AB367" s="115"/>
      <c r="AC367" s="129"/>
      <c r="AD367" s="149"/>
      <c r="AE367" s="129"/>
      <c r="AF367" s="129"/>
      <c r="AG367" s="129"/>
    </row>
    <row r="368" spans="3:33" x14ac:dyDescent="0.35">
      <c r="C368" s="129"/>
      <c r="D368" s="129"/>
      <c r="E368" s="129"/>
      <c r="F368" s="129"/>
      <c r="G368" s="129"/>
      <c r="H368" s="129"/>
      <c r="I368" s="129"/>
      <c r="J368" s="110"/>
      <c r="K368" s="129"/>
      <c r="L368" t="s">
        <v>351</v>
      </c>
      <c r="M368" s="129"/>
      <c r="N368" s="129"/>
      <c r="O368" s="129"/>
      <c r="P368" s="129"/>
      <c r="Q368" s="129"/>
      <c r="R368" s="129"/>
      <c r="S368" s="129"/>
      <c r="T368" s="129"/>
      <c r="U368" s="141"/>
      <c r="V368" s="139"/>
      <c r="W368" s="129"/>
      <c r="X368" s="129"/>
      <c r="Y368" s="129"/>
      <c r="Z368" s="129"/>
      <c r="AA368" s="129"/>
      <c r="AB368" s="115"/>
      <c r="AC368" s="129"/>
      <c r="AD368" s="149"/>
      <c r="AE368" s="129"/>
      <c r="AF368" s="129"/>
      <c r="AG368" s="129"/>
    </row>
    <row r="369" spans="3:33" x14ac:dyDescent="0.35">
      <c r="C369" s="129"/>
      <c r="D369" s="129"/>
      <c r="E369" s="129"/>
      <c r="F369" s="129"/>
      <c r="G369" s="129"/>
      <c r="H369" s="129"/>
      <c r="I369" s="129"/>
      <c r="J369" s="110"/>
      <c r="K369" s="129"/>
      <c r="L369" t="s">
        <v>351</v>
      </c>
      <c r="M369" s="129"/>
      <c r="N369" s="129"/>
      <c r="O369" s="129"/>
      <c r="P369" s="129"/>
      <c r="Q369" s="129"/>
      <c r="R369" s="129"/>
      <c r="S369" s="129"/>
      <c r="T369" s="129"/>
      <c r="U369" s="141"/>
      <c r="V369" s="139"/>
      <c r="W369" s="129"/>
      <c r="X369" s="129"/>
      <c r="Y369" s="129"/>
      <c r="Z369" s="129"/>
      <c r="AA369" s="129"/>
      <c r="AB369" s="115"/>
      <c r="AC369" s="129"/>
      <c r="AD369" s="149"/>
      <c r="AE369" s="129"/>
      <c r="AF369" s="129"/>
      <c r="AG369" s="129"/>
    </row>
    <row r="370" spans="3:33" x14ac:dyDescent="0.35">
      <c r="C370" s="129"/>
      <c r="D370" s="129"/>
      <c r="E370" s="129"/>
      <c r="F370" s="129"/>
      <c r="G370" s="129"/>
      <c r="H370" s="129"/>
      <c r="I370" s="129"/>
      <c r="J370" s="110"/>
      <c r="K370" s="129"/>
      <c r="L370" t="s">
        <v>351</v>
      </c>
      <c r="M370" s="129"/>
      <c r="N370" s="129"/>
      <c r="O370" s="129"/>
      <c r="P370" s="129"/>
      <c r="Q370" s="129"/>
      <c r="R370" s="129"/>
      <c r="S370" s="129"/>
      <c r="T370" s="129"/>
      <c r="U370" s="141"/>
      <c r="V370" s="139"/>
      <c r="W370" s="129"/>
      <c r="X370" s="129"/>
      <c r="Y370" s="129"/>
      <c r="Z370" s="129"/>
      <c r="AA370" s="129"/>
      <c r="AB370" s="115"/>
      <c r="AC370" s="129"/>
      <c r="AD370" s="149"/>
      <c r="AE370" s="129"/>
      <c r="AF370" s="129"/>
      <c r="AG370" s="129"/>
    </row>
    <row r="371" spans="3:33" x14ac:dyDescent="0.35">
      <c r="C371" s="129"/>
      <c r="D371" s="129"/>
      <c r="E371" s="129"/>
      <c r="F371" s="129"/>
      <c r="G371" s="129"/>
      <c r="H371" s="129"/>
      <c r="I371" s="129"/>
      <c r="J371" s="110"/>
      <c r="K371" s="129"/>
      <c r="L371" t="s">
        <v>351</v>
      </c>
      <c r="M371" s="129"/>
      <c r="N371" s="129"/>
      <c r="O371" s="129"/>
      <c r="P371" s="129"/>
      <c r="Q371" s="129"/>
      <c r="R371" s="129"/>
      <c r="S371" s="129"/>
      <c r="T371" s="129"/>
      <c r="U371" s="141"/>
      <c r="V371" s="139"/>
      <c r="W371" s="129"/>
      <c r="X371" s="129"/>
      <c r="Y371" s="129"/>
      <c r="Z371" s="129"/>
      <c r="AA371" s="129"/>
      <c r="AB371" s="115"/>
      <c r="AC371" s="129"/>
      <c r="AD371" s="149"/>
      <c r="AE371" s="129"/>
      <c r="AF371" s="129"/>
      <c r="AG371" s="129"/>
    </row>
    <row r="372" spans="3:33" x14ac:dyDescent="0.35">
      <c r="C372" s="129"/>
      <c r="D372" s="129"/>
      <c r="E372" s="129"/>
      <c r="F372" s="129"/>
      <c r="G372" s="129"/>
      <c r="H372" s="129"/>
      <c r="I372" s="129"/>
      <c r="J372" s="110"/>
      <c r="K372" s="129"/>
      <c r="L372" t="s">
        <v>351</v>
      </c>
      <c r="M372" s="129"/>
      <c r="N372" s="129"/>
      <c r="O372" s="129"/>
      <c r="P372" s="129"/>
      <c r="Q372" s="129"/>
      <c r="R372" s="129"/>
      <c r="S372" s="129"/>
      <c r="T372" s="129"/>
      <c r="U372" s="141"/>
      <c r="V372" s="139"/>
      <c r="W372" s="129"/>
      <c r="X372" s="129"/>
      <c r="Y372" s="129"/>
      <c r="Z372" s="129"/>
      <c r="AA372" s="129"/>
      <c r="AB372" s="115"/>
      <c r="AC372" s="129"/>
      <c r="AD372" s="149"/>
      <c r="AE372" s="129"/>
      <c r="AF372" s="129"/>
      <c r="AG372" s="129"/>
    </row>
    <row r="373" spans="3:33" x14ac:dyDescent="0.35">
      <c r="C373" s="129"/>
      <c r="D373" s="129"/>
      <c r="E373" s="129"/>
      <c r="F373" s="129"/>
      <c r="G373" s="129"/>
      <c r="H373" s="129"/>
      <c r="I373" s="129"/>
      <c r="J373" s="110"/>
      <c r="K373" s="129"/>
      <c r="L373" t="s">
        <v>351</v>
      </c>
      <c r="M373" s="129"/>
      <c r="N373" s="129"/>
      <c r="O373" s="129"/>
      <c r="P373" s="129"/>
      <c r="Q373" s="129"/>
      <c r="R373" s="129"/>
      <c r="S373" s="129"/>
      <c r="T373" s="129"/>
      <c r="U373" s="141"/>
      <c r="V373" s="139"/>
      <c r="W373" s="129"/>
      <c r="X373" s="129"/>
      <c r="Y373" s="129"/>
      <c r="Z373" s="129"/>
      <c r="AA373" s="129"/>
      <c r="AB373" s="115"/>
      <c r="AC373" s="129"/>
      <c r="AD373" s="149"/>
      <c r="AE373" s="129"/>
      <c r="AF373" s="129"/>
      <c r="AG373" s="129"/>
    </row>
    <row r="374" spans="3:33" x14ac:dyDescent="0.35">
      <c r="C374" s="129"/>
      <c r="D374" s="129"/>
      <c r="E374" s="129"/>
      <c r="F374" s="129"/>
      <c r="G374" s="129"/>
      <c r="H374" s="129"/>
      <c r="I374" s="129"/>
      <c r="J374" s="110"/>
      <c r="K374" s="129"/>
      <c r="L374" t="s">
        <v>351</v>
      </c>
      <c r="M374" s="129"/>
      <c r="N374" s="129"/>
      <c r="O374" s="129"/>
      <c r="P374" s="129"/>
      <c r="Q374" s="129"/>
      <c r="R374" s="129"/>
      <c r="S374" s="129"/>
      <c r="T374" s="129"/>
      <c r="U374" s="141"/>
      <c r="V374" s="139"/>
      <c r="W374" s="129"/>
      <c r="X374" s="129"/>
      <c r="Y374" s="129"/>
      <c r="Z374" s="129"/>
      <c r="AA374" s="129"/>
      <c r="AB374" s="115"/>
      <c r="AC374" s="129"/>
      <c r="AD374" s="149"/>
      <c r="AE374" s="129"/>
      <c r="AF374" s="129"/>
      <c r="AG374" s="129"/>
    </row>
    <row r="375" spans="3:33" x14ac:dyDescent="0.35">
      <c r="C375" s="129"/>
      <c r="D375" s="129"/>
      <c r="E375" s="129"/>
      <c r="F375" s="129"/>
      <c r="G375" s="129"/>
      <c r="H375" s="129"/>
      <c r="I375" s="129"/>
      <c r="J375" s="110"/>
      <c r="K375" s="129"/>
      <c r="L375" t="s">
        <v>351</v>
      </c>
      <c r="M375" s="129"/>
      <c r="N375" s="129"/>
      <c r="O375" s="129"/>
      <c r="P375" s="129"/>
      <c r="Q375" s="129"/>
      <c r="R375" s="129"/>
      <c r="S375" s="129"/>
      <c r="T375" s="129"/>
      <c r="U375" s="141"/>
      <c r="V375" s="139"/>
      <c r="W375" s="129"/>
      <c r="X375" s="129"/>
      <c r="Y375" s="129"/>
      <c r="Z375" s="129"/>
      <c r="AA375" s="129"/>
      <c r="AB375" s="115"/>
      <c r="AC375" s="129"/>
      <c r="AD375" s="149"/>
      <c r="AE375" s="129"/>
      <c r="AF375" s="129"/>
      <c r="AG375" s="129"/>
    </row>
    <row r="376" spans="3:33" x14ac:dyDescent="0.35">
      <c r="C376" s="129"/>
      <c r="D376" s="129"/>
      <c r="E376" s="129"/>
      <c r="F376" s="129"/>
      <c r="G376" s="129"/>
      <c r="H376" s="129"/>
      <c r="I376" s="129"/>
      <c r="J376" s="110"/>
      <c r="K376" s="129"/>
      <c r="L376" t="s">
        <v>351</v>
      </c>
      <c r="M376" s="129"/>
      <c r="N376" s="129"/>
      <c r="O376" s="129"/>
      <c r="P376" s="129"/>
      <c r="Q376" s="129"/>
      <c r="R376" s="129"/>
      <c r="S376" s="129"/>
      <c r="T376" s="129"/>
      <c r="U376" s="141"/>
      <c r="V376" s="139"/>
      <c r="W376" s="129"/>
      <c r="X376" s="129"/>
      <c r="Y376" s="129"/>
      <c r="Z376" s="129"/>
      <c r="AA376" s="129"/>
      <c r="AB376" s="115"/>
      <c r="AC376" s="129"/>
      <c r="AD376" s="149"/>
      <c r="AE376" s="129"/>
      <c r="AF376" s="129"/>
      <c r="AG376" s="129"/>
    </row>
    <row r="377" spans="3:33" x14ac:dyDescent="0.35">
      <c r="C377" s="129"/>
      <c r="D377" s="129"/>
      <c r="E377" s="129"/>
      <c r="F377" s="129"/>
      <c r="G377" s="129"/>
      <c r="H377" s="129"/>
      <c r="I377" s="129"/>
      <c r="J377" s="110"/>
      <c r="K377" s="129"/>
      <c r="L377" t="s">
        <v>351</v>
      </c>
      <c r="M377" s="129"/>
      <c r="N377" s="129"/>
      <c r="O377" s="129"/>
      <c r="P377" s="129"/>
      <c r="Q377" s="129"/>
      <c r="R377" s="129"/>
      <c r="S377" s="129"/>
      <c r="T377" s="129"/>
      <c r="U377" s="141"/>
      <c r="V377" s="139"/>
      <c r="W377" s="129"/>
      <c r="X377" s="129"/>
      <c r="Y377" s="129"/>
      <c r="Z377" s="129"/>
      <c r="AA377" s="129"/>
      <c r="AB377" s="115"/>
      <c r="AC377" s="129"/>
      <c r="AD377" s="149"/>
      <c r="AE377" s="129"/>
      <c r="AF377" s="129"/>
      <c r="AG377" s="129"/>
    </row>
    <row r="378" spans="3:33" x14ac:dyDescent="0.35">
      <c r="C378" s="129"/>
      <c r="D378" s="129"/>
      <c r="E378" s="129"/>
      <c r="F378" s="129"/>
      <c r="G378" s="129"/>
      <c r="H378" s="129"/>
      <c r="I378" s="129"/>
      <c r="J378" s="110"/>
      <c r="K378" s="129"/>
      <c r="L378" t="s">
        <v>351</v>
      </c>
      <c r="M378" s="129"/>
      <c r="N378" s="129"/>
      <c r="O378" s="129"/>
      <c r="P378" s="129"/>
      <c r="Q378" s="129"/>
      <c r="R378" s="129"/>
      <c r="S378" s="129"/>
      <c r="T378" s="129"/>
      <c r="U378" s="141"/>
      <c r="V378" s="139"/>
      <c r="W378" s="129"/>
      <c r="X378" s="129"/>
      <c r="Y378" s="129"/>
      <c r="Z378" s="129"/>
      <c r="AA378" s="129"/>
      <c r="AB378" s="115"/>
      <c r="AC378" s="129"/>
      <c r="AD378" s="149"/>
      <c r="AE378" s="129"/>
      <c r="AF378" s="129"/>
      <c r="AG378" s="129"/>
    </row>
    <row r="379" spans="3:33" x14ac:dyDescent="0.35">
      <c r="C379" s="129"/>
      <c r="D379" s="129"/>
      <c r="E379" s="129"/>
      <c r="F379" s="129"/>
      <c r="G379" s="129"/>
      <c r="H379" s="129"/>
      <c r="I379" s="129"/>
      <c r="J379" s="110"/>
      <c r="K379" s="129"/>
      <c r="L379" t="s">
        <v>351</v>
      </c>
      <c r="M379" s="129"/>
      <c r="N379" s="129"/>
      <c r="O379" s="129"/>
      <c r="P379" s="129"/>
      <c r="Q379" s="129"/>
      <c r="R379" s="129"/>
      <c r="S379" s="129"/>
      <c r="T379" s="129"/>
      <c r="U379" s="141"/>
      <c r="V379" s="139"/>
      <c r="W379" s="129"/>
      <c r="X379" s="129"/>
      <c r="Y379" s="129"/>
      <c r="Z379" s="129"/>
      <c r="AA379" s="129"/>
      <c r="AB379" s="115"/>
      <c r="AC379" s="129"/>
      <c r="AD379" s="149"/>
      <c r="AE379" s="129"/>
      <c r="AF379" s="129"/>
      <c r="AG379" s="129"/>
    </row>
    <row r="380" spans="3:33" x14ac:dyDescent="0.35">
      <c r="C380" s="129"/>
      <c r="D380" s="129"/>
      <c r="E380" s="129"/>
      <c r="F380" s="129"/>
      <c r="G380" s="129"/>
      <c r="H380" s="129"/>
      <c r="I380" s="129"/>
      <c r="J380" s="110"/>
      <c r="K380" s="129"/>
      <c r="L380" t="s">
        <v>351</v>
      </c>
      <c r="M380" s="129"/>
      <c r="N380" s="129"/>
      <c r="O380" s="129"/>
      <c r="P380" s="129"/>
      <c r="Q380" s="129"/>
      <c r="R380" s="129"/>
      <c r="S380" s="129"/>
      <c r="T380" s="129"/>
      <c r="U380" s="141"/>
      <c r="V380" s="139"/>
      <c r="W380" s="129"/>
      <c r="X380" s="129"/>
      <c r="Y380" s="129"/>
      <c r="Z380" s="129"/>
      <c r="AA380" s="129"/>
      <c r="AB380" s="115"/>
      <c r="AC380" s="129"/>
      <c r="AD380" s="149"/>
      <c r="AE380" s="129"/>
      <c r="AF380" s="129"/>
      <c r="AG380" s="129"/>
    </row>
    <row r="381" spans="3:33" x14ac:dyDescent="0.35">
      <c r="C381" s="129"/>
      <c r="D381" s="129"/>
      <c r="E381" s="129"/>
      <c r="F381" s="129"/>
      <c r="G381" s="129"/>
      <c r="H381" s="129"/>
      <c r="I381" s="129"/>
      <c r="J381" s="110"/>
      <c r="K381" s="129"/>
      <c r="L381" t="s">
        <v>351</v>
      </c>
      <c r="M381" s="129"/>
      <c r="N381" s="129"/>
      <c r="O381" s="129"/>
      <c r="P381" s="129"/>
      <c r="Q381" s="129"/>
      <c r="R381" s="129"/>
      <c r="S381" s="129"/>
      <c r="T381" s="129"/>
      <c r="U381" s="141"/>
      <c r="V381" s="139"/>
      <c r="W381" s="129"/>
      <c r="X381" s="129"/>
      <c r="Y381" s="129"/>
      <c r="Z381" s="129"/>
      <c r="AA381" s="129"/>
      <c r="AB381" s="115"/>
      <c r="AC381" s="129"/>
      <c r="AD381" s="149"/>
      <c r="AE381" s="129"/>
      <c r="AF381" s="129"/>
      <c r="AG381" s="129"/>
    </row>
    <row r="382" spans="3:33" x14ac:dyDescent="0.35">
      <c r="C382" s="129"/>
      <c r="D382" s="129"/>
      <c r="E382" s="129"/>
      <c r="F382" s="129"/>
      <c r="G382" s="129"/>
      <c r="H382" s="129"/>
      <c r="I382" s="129"/>
      <c r="J382" s="110"/>
      <c r="K382" s="129"/>
      <c r="L382" t="s">
        <v>351</v>
      </c>
      <c r="M382" s="129"/>
      <c r="N382" s="129"/>
      <c r="O382" s="129"/>
      <c r="P382" s="129"/>
      <c r="Q382" s="129"/>
      <c r="R382" s="129"/>
      <c r="S382" s="129"/>
      <c r="T382" s="129"/>
      <c r="U382" s="141"/>
      <c r="V382" s="139"/>
      <c r="W382" s="129"/>
      <c r="X382" s="129"/>
      <c r="Y382" s="129"/>
      <c r="Z382" s="129"/>
      <c r="AA382" s="129"/>
      <c r="AB382" s="115"/>
      <c r="AC382" s="129"/>
      <c r="AD382" s="149"/>
      <c r="AE382" s="129"/>
      <c r="AF382" s="129"/>
      <c r="AG382" s="129"/>
    </row>
    <row r="383" spans="3:33" x14ac:dyDescent="0.35">
      <c r="C383" s="129"/>
      <c r="D383" s="129"/>
      <c r="E383" s="129"/>
      <c r="F383" s="129"/>
      <c r="G383" s="129"/>
      <c r="H383" s="129"/>
      <c r="I383" s="129"/>
      <c r="J383" s="110"/>
      <c r="K383" s="129"/>
      <c r="L383" t="s">
        <v>351</v>
      </c>
      <c r="M383" s="129"/>
      <c r="N383" s="129"/>
      <c r="O383" s="129"/>
      <c r="P383" s="129"/>
      <c r="Q383" s="129"/>
      <c r="R383" s="129"/>
      <c r="S383" s="129"/>
      <c r="T383" s="129"/>
      <c r="U383" s="141"/>
      <c r="V383" s="139"/>
      <c r="W383" s="129"/>
      <c r="X383" s="129"/>
      <c r="Y383" s="129"/>
      <c r="Z383" s="129"/>
      <c r="AA383" s="129"/>
      <c r="AB383" s="115"/>
      <c r="AC383" s="129"/>
      <c r="AD383" s="149"/>
      <c r="AE383" s="129"/>
      <c r="AF383" s="129"/>
      <c r="AG383" s="129"/>
    </row>
    <row r="384" spans="3:33" x14ac:dyDescent="0.35">
      <c r="C384" s="129"/>
      <c r="D384" s="129"/>
      <c r="E384" s="129"/>
      <c r="F384" s="129"/>
      <c r="G384" s="129"/>
      <c r="H384" s="129"/>
      <c r="I384" s="129"/>
      <c r="J384" s="110"/>
      <c r="K384" s="129"/>
      <c r="L384" t="s">
        <v>351</v>
      </c>
      <c r="M384" s="129"/>
      <c r="N384" s="129"/>
      <c r="O384" s="129"/>
      <c r="P384" s="129"/>
      <c r="Q384" s="129"/>
      <c r="R384" s="129"/>
      <c r="S384" s="129"/>
      <c r="T384" s="129"/>
      <c r="U384" s="141"/>
      <c r="V384" s="139"/>
      <c r="W384" s="129"/>
      <c r="X384" s="129"/>
      <c r="Y384" s="129"/>
      <c r="Z384" s="129"/>
      <c r="AA384" s="129"/>
      <c r="AB384" s="115"/>
      <c r="AC384" s="129"/>
      <c r="AD384" s="149"/>
      <c r="AE384" s="129"/>
      <c r="AF384" s="129"/>
      <c r="AG384" s="129"/>
    </row>
    <row r="385" spans="3:33" x14ac:dyDescent="0.35">
      <c r="C385" s="129"/>
      <c r="D385" s="129"/>
      <c r="E385" s="129"/>
      <c r="F385" s="129"/>
      <c r="G385" s="129"/>
      <c r="H385" s="129"/>
      <c r="I385" s="129"/>
      <c r="J385" s="110"/>
      <c r="K385" s="129"/>
      <c r="L385" t="s">
        <v>351</v>
      </c>
      <c r="M385" s="129"/>
      <c r="N385" s="129"/>
      <c r="O385" s="129"/>
      <c r="P385" s="129"/>
      <c r="Q385" s="129"/>
      <c r="R385" s="129"/>
      <c r="S385" s="129"/>
      <c r="T385" s="129"/>
      <c r="U385" s="141"/>
      <c r="V385" s="139"/>
      <c r="W385" s="129"/>
      <c r="X385" s="129"/>
      <c r="Y385" s="129"/>
      <c r="Z385" s="129"/>
      <c r="AA385" s="129"/>
      <c r="AB385" s="115"/>
      <c r="AC385" s="129"/>
      <c r="AD385" s="149"/>
      <c r="AE385" s="129"/>
      <c r="AF385" s="129"/>
      <c r="AG385" s="129"/>
    </row>
    <row r="386" spans="3:33" x14ac:dyDescent="0.35">
      <c r="C386" s="129"/>
      <c r="D386" s="129"/>
      <c r="E386" s="129"/>
      <c r="F386" s="129"/>
      <c r="G386" s="129"/>
      <c r="H386" s="129"/>
      <c r="I386" s="129"/>
      <c r="J386" s="110"/>
      <c r="K386" s="129"/>
      <c r="L386" t="s">
        <v>351</v>
      </c>
      <c r="M386" s="129"/>
      <c r="N386" s="129"/>
      <c r="O386" s="129"/>
      <c r="P386" s="129"/>
      <c r="Q386" s="129"/>
      <c r="R386" s="129"/>
      <c r="S386" s="129"/>
      <c r="T386" s="129"/>
      <c r="U386" s="141"/>
      <c r="V386" s="139"/>
      <c r="W386" s="129"/>
      <c r="X386" s="129"/>
      <c r="Y386" s="129"/>
      <c r="Z386" s="129"/>
      <c r="AA386" s="129"/>
      <c r="AB386" s="115"/>
      <c r="AC386" s="129"/>
      <c r="AD386" s="149"/>
      <c r="AE386" s="129"/>
      <c r="AF386" s="129"/>
      <c r="AG386" s="129"/>
    </row>
    <row r="387" spans="3:33" x14ac:dyDescent="0.35">
      <c r="C387" s="129"/>
      <c r="D387" s="129"/>
      <c r="E387" s="129"/>
      <c r="F387" s="129"/>
      <c r="G387" s="129"/>
      <c r="H387" s="129"/>
      <c r="I387" s="129"/>
      <c r="J387" s="110"/>
      <c r="K387" s="129"/>
      <c r="L387" t="s">
        <v>351</v>
      </c>
      <c r="M387" s="129"/>
      <c r="N387" s="129"/>
      <c r="O387" s="129"/>
      <c r="P387" s="129"/>
      <c r="Q387" s="129"/>
      <c r="R387" s="129"/>
      <c r="S387" s="129"/>
      <c r="T387" s="129"/>
      <c r="U387" s="141"/>
      <c r="V387" s="139"/>
      <c r="W387" s="129"/>
      <c r="X387" s="129"/>
      <c r="Y387" s="129"/>
      <c r="Z387" s="129"/>
      <c r="AA387" s="129"/>
      <c r="AB387" s="115"/>
      <c r="AC387" s="129"/>
      <c r="AD387" s="149"/>
      <c r="AE387" s="129"/>
      <c r="AF387" s="129"/>
      <c r="AG387" s="129"/>
    </row>
    <row r="388" spans="3:33" x14ac:dyDescent="0.35">
      <c r="C388" s="129"/>
      <c r="D388" s="129"/>
      <c r="E388" s="129"/>
      <c r="F388" s="129"/>
      <c r="G388" s="129"/>
      <c r="H388" s="129"/>
      <c r="I388" s="129"/>
      <c r="J388" s="110"/>
      <c r="K388" s="129"/>
      <c r="L388" t="s">
        <v>351</v>
      </c>
      <c r="M388" s="129"/>
      <c r="N388" s="129"/>
      <c r="O388" s="129"/>
      <c r="P388" s="129"/>
      <c r="Q388" s="129"/>
      <c r="R388" s="129"/>
      <c r="S388" s="129"/>
      <c r="T388" s="129"/>
      <c r="U388" s="141"/>
      <c r="V388" s="139"/>
      <c r="W388" s="129"/>
      <c r="X388" s="129"/>
      <c r="Y388" s="129"/>
      <c r="Z388" s="129"/>
      <c r="AA388" s="129"/>
      <c r="AB388" s="115"/>
      <c r="AC388" s="129"/>
      <c r="AD388" s="149"/>
      <c r="AE388" s="129"/>
      <c r="AF388" s="129"/>
      <c r="AG388" s="129"/>
    </row>
    <row r="389" spans="3:33" x14ac:dyDescent="0.35">
      <c r="C389" s="129"/>
      <c r="D389" s="129"/>
      <c r="E389" s="129"/>
      <c r="F389" s="129"/>
      <c r="G389" s="129"/>
      <c r="H389" s="129"/>
      <c r="I389" s="129"/>
      <c r="J389" s="110"/>
      <c r="K389" s="129"/>
      <c r="L389" t="s">
        <v>351</v>
      </c>
      <c r="M389" s="129"/>
      <c r="N389" s="129"/>
      <c r="O389" s="129"/>
      <c r="P389" s="129"/>
      <c r="Q389" s="129"/>
      <c r="R389" s="129"/>
      <c r="S389" s="129"/>
      <c r="T389" s="129"/>
      <c r="U389" s="141"/>
      <c r="V389" s="139"/>
      <c r="W389" s="129"/>
      <c r="X389" s="129"/>
      <c r="Y389" s="129"/>
      <c r="Z389" s="129"/>
      <c r="AA389" s="129"/>
      <c r="AB389" s="115"/>
      <c r="AC389" s="129"/>
      <c r="AD389" s="149"/>
      <c r="AE389" s="129"/>
      <c r="AF389" s="129"/>
      <c r="AG389" s="129"/>
    </row>
    <row r="390" spans="3:33" x14ac:dyDescent="0.35">
      <c r="C390" s="129"/>
      <c r="D390" s="129"/>
      <c r="E390" s="129"/>
      <c r="F390" s="129"/>
      <c r="G390" s="129"/>
      <c r="H390" s="129"/>
      <c r="I390" s="129"/>
      <c r="J390" s="110"/>
      <c r="K390" s="129"/>
      <c r="L390" t="s">
        <v>351</v>
      </c>
      <c r="M390" s="129"/>
      <c r="N390" s="129"/>
      <c r="O390" s="129"/>
      <c r="P390" s="129"/>
      <c r="Q390" s="129"/>
      <c r="R390" s="129"/>
      <c r="S390" s="129"/>
      <c r="T390" s="129"/>
      <c r="U390" s="141"/>
      <c r="V390" s="139"/>
      <c r="W390" s="129"/>
      <c r="X390" s="129"/>
      <c r="Y390" s="129"/>
      <c r="Z390" s="129"/>
      <c r="AA390" s="129"/>
      <c r="AB390" s="115"/>
      <c r="AC390" s="129"/>
      <c r="AD390" s="149"/>
      <c r="AE390" s="129"/>
      <c r="AF390" s="129"/>
      <c r="AG390" s="129"/>
    </row>
    <row r="391" spans="3:33" x14ac:dyDescent="0.35">
      <c r="C391" s="129"/>
      <c r="D391" s="129"/>
      <c r="E391" s="129"/>
      <c r="F391" s="129"/>
      <c r="G391" s="129"/>
      <c r="H391" s="129"/>
      <c r="I391" s="129"/>
      <c r="J391" s="110"/>
      <c r="K391" s="129"/>
      <c r="L391" t="s">
        <v>351</v>
      </c>
      <c r="M391" s="129"/>
      <c r="N391" s="129"/>
      <c r="O391" s="129"/>
      <c r="P391" s="129"/>
      <c r="Q391" s="129"/>
      <c r="R391" s="129"/>
      <c r="S391" s="129"/>
      <c r="T391" s="129"/>
      <c r="U391" s="141"/>
      <c r="V391" s="139"/>
      <c r="W391" s="129"/>
      <c r="X391" s="129"/>
      <c r="Y391" s="129"/>
      <c r="Z391" s="129"/>
      <c r="AA391" s="129"/>
      <c r="AB391" s="115"/>
      <c r="AC391" s="129"/>
      <c r="AD391" s="149"/>
      <c r="AE391" s="129"/>
      <c r="AF391" s="129"/>
      <c r="AG391" s="129"/>
    </row>
    <row r="392" spans="3:33" x14ac:dyDescent="0.35">
      <c r="C392" s="129"/>
      <c r="D392" s="129"/>
      <c r="E392" s="129"/>
      <c r="F392" s="129"/>
      <c r="G392" s="129"/>
      <c r="H392" s="129"/>
      <c r="I392" s="129"/>
      <c r="J392" s="110"/>
      <c r="K392" s="129"/>
      <c r="L392" t="s">
        <v>351</v>
      </c>
      <c r="M392" s="129"/>
      <c r="N392" s="129"/>
      <c r="O392" s="129"/>
      <c r="P392" s="129"/>
      <c r="Q392" s="129"/>
      <c r="R392" s="129"/>
      <c r="S392" s="129"/>
      <c r="T392" s="129"/>
      <c r="U392" s="141"/>
      <c r="V392" s="139"/>
      <c r="W392" s="129"/>
      <c r="X392" s="129"/>
      <c r="Y392" s="129"/>
      <c r="Z392" s="129"/>
      <c r="AA392" s="129"/>
      <c r="AB392" s="115"/>
      <c r="AC392" s="129"/>
      <c r="AD392" s="149"/>
      <c r="AE392" s="129"/>
      <c r="AF392" s="129"/>
      <c r="AG392" s="129"/>
    </row>
    <row r="393" spans="3:33" x14ac:dyDescent="0.35">
      <c r="C393" s="129"/>
      <c r="D393" s="129"/>
      <c r="E393" s="129"/>
      <c r="F393" s="129"/>
      <c r="G393" s="129"/>
      <c r="H393" s="129"/>
      <c r="I393" s="129"/>
      <c r="J393" s="110"/>
      <c r="K393" s="129"/>
      <c r="L393" t="s">
        <v>351</v>
      </c>
      <c r="M393" s="129"/>
      <c r="N393" s="129"/>
      <c r="O393" s="129"/>
      <c r="P393" s="129"/>
      <c r="Q393" s="129"/>
      <c r="R393" s="129"/>
      <c r="S393" s="129"/>
      <c r="T393" s="129"/>
      <c r="U393" s="141"/>
      <c r="V393" s="139"/>
      <c r="W393" s="129"/>
      <c r="X393" s="129"/>
      <c r="Y393" s="129"/>
      <c r="Z393" s="129"/>
      <c r="AA393" s="129"/>
      <c r="AB393" s="115"/>
      <c r="AC393" s="129"/>
      <c r="AD393" s="149"/>
      <c r="AE393" s="129"/>
      <c r="AF393" s="129"/>
      <c r="AG393" s="129"/>
    </row>
    <row r="394" spans="3:33" x14ac:dyDescent="0.35">
      <c r="C394" s="129"/>
      <c r="D394" s="129"/>
      <c r="E394" s="129"/>
      <c r="F394" s="129"/>
      <c r="G394" s="129"/>
      <c r="H394" s="129"/>
      <c r="I394" s="129"/>
      <c r="J394" s="110"/>
      <c r="K394" s="129"/>
      <c r="L394" t="s">
        <v>351</v>
      </c>
      <c r="M394" s="129"/>
      <c r="N394" s="129"/>
      <c r="O394" s="129"/>
      <c r="P394" s="129"/>
      <c r="Q394" s="129"/>
      <c r="R394" s="129"/>
      <c r="S394" s="129"/>
      <c r="T394" s="129"/>
      <c r="U394" s="141"/>
      <c r="V394" s="139"/>
      <c r="W394" s="129"/>
      <c r="X394" s="129"/>
      <c r="Y394" s="129"/>
      <c r="Z394" s="129"/>
      <c r="AA394" s="129"/>
      <c r="AB394" s="115"/>
      <c r="AC394" s="129"/>
      <c r="AD394" s="149"/>
      <c r="AE394" s="129"/>
      <c r="AF394" s="129"/>
      <c r="AG394" s="129"/>
    </row>
    <row r="395" spans="3:33" x14ac:dyDescent="0.35">
      <c r="C395" s="129"/>
      <c r="D395" s="129"/>
      <c r="E395" s="129"/>
      <c r="F395" s="129"/>
      <c r="G395" s="129"/>
      <c r="H395" s="129"/>
      <c r="I395" s="129"/>
      <c r="J395" s="110"/>
      <c r="K395" s="129"/>
      <c r="L395" t="s">
        <v>351</v>
      </c>
      <c r="M395" s="129"/>
      <c r="N395" s="129"/>
      <c r="O395" s="129"/>
      <c r="P395" s="129"/>
      <c r="Q395" s="129"/>
      <c r="R395" s="129"/>
      <c r="S395" s="129"/>
      <c r="T395" s="129"/>
      <c r="U395" s="141"/>
      <c r="V395" s="139"/>
      <c r="W395" s="129"/>
      <c r="X395" s="129"/>
      <c r="Y395" s="129"/>
      <c r="Z395" s="129"/>
      <c r="AA395" s="129"/>
      <c r="AB395" s="115"/>
      <c r="AC395" s="129"/>
      <c r="AD395" s="149"/>
      <c r="AE395" s="129"/>
      <c r="AF395" s="129"/>
      <c r="AG395" s="129"/>
    </row>
    <row r="396" spans="3:33" x14ac:dyDescent="0.35">
      <c r="C396" s="129"/>
      <c r="D396" s="129"/>
      <c r="E396" s="129"/>
      <c r="F396" s="129"/>
      <c r="G396" s="129"/>
      <c r="H396" s="129"/>
      <c r="I396" s="129"/>
      <c r="J396" s="110"/>
      <c r="K396" s="129"/>
      <c r="L396" t="s">
        <v>351</v>
      </c>
      <c r="M396" s="129"/>
      <c r="N396" s="129"/>
      <c r="O396" s="129"/>
      <c r="P396" s="129"/>
      <c r="Q396" s="129"/>
      <c r="R396" s="129"/>
      <c r="S396" s="129"/>
      <c r="T396" s="129"/>
      <c r="U396" s="141"/>
      <c r="V396" s="139"/>
      <c r="W396" s="129"/>
      <c r="X396" s="129"/>
      <c r="Y396" s="129"/>
      <c r="Z396" s="129"/>
      <c r="AA396" s="129"/>
      <c r="AB396" s="115"/>
      <c r="AC396" s="129"/>
      <c r="AD396" s="149"/>
      <c r="AE396" s="129"/>
      <c r="AF396" s="129"/>
      <c r="AG396" s="129"/>
    </row>
    <row r="397" spans="3:33" x14ac:dyDescent="0.35">
      <c r="C397" s="129"/>
      <c r="D397" s="129"/>
      <c r="E397" s="129"/>
      <c r="F397" s="129"/>
      <c r="G397" s="129"/>
      <c r="H397" s="129"/>
      <c r="I397" s="129"/>
      <c r="J397" s="110"/>
      <c r="K397" s="129"/>
      <c r="L397" t="s">
        <v>351</v>
      </c>
      <c r="M397" s="129"/>
      <c r="N397" s="129"/>
      <c r="O397" s="129"/>
      <c r="P397" s="129"/>
      <c r="Q397" s="129"/>
      <c r="R397" s="129"/>
      <c r="S397" s="129"/>
      <c r="T397" s="129"/>
      <c r="U397" s="141"/>
      <c r="V397" s="139"/>
      <c r="W397" s="129"/>
      <c r="X397" s="129"/>
      <c r="Y397" s="129"/>
      <c r="Z397" s="129"/>
      <c r="AA397" s="129"/>
      <c r="AB397" s="115"/>
      <c r="AC397" s="129"/>
      <c r="AD397" s="149"/>
      <c r="AE397" s="129"/>
      <c r="AF397" s="129"/>
      <c r="AG397" s="129"/>
    </row>
    <row r="398" spans="3:33" x14ac:dyDescent="0.35">
      <c r="C398" s="129"/>
      <c r="D398" s="129"/>
      <c r="E398" s="129"/>
      <c r="F398" s="129"/>
      <c r="G398" s="129"/>
      <c r="H398" s="129"/>
      <c r="I398" s="129"/>
      <c r="J398" s="110"/>
      <c r="K398" s="129"/>
      <c r="L398" t="s">
        <v>351</v>
      </c>
      <c r="M398" s="129"/>
      <c r="N398" s="129"/>
      <c r="O398" s="129"/>
      <c r="P398" s="129"/>
      <c r="Q398" s="129"/>
      <c r="R398" s="129"/>
      <c r="S398" s="129"/>
      <c r="T398" s="129"/>
      <c r="U398" s="141"/>
      <c r="V398" s="139"/>
      <c r="W398" s="129"/>
      <c r="X398" s="129"/>
      <c r="Y398" s="129"/>
      <c r="Z398" s="129"/>
      <c r="AA398" s="129"/>
      <c r="AB398" s="115"/>
      <c r="AC398" s="129"/>
      <c r="AD398" s="149"/>
      <c r="AE398" s="129"/>
      <c r="AF398" s="129"/>
      <c r="AG398" s="129"/>
    </row>
    <row r="399" spans="3:33" x14ac:dyDescent="0.35">
      <c r="C399" s="129"/>
      <c r="D399" s="129"/>
      <c r="E399" s="129"/>
      <c r="F399" s="129"/>
      <c r="G399" s="129"/>
      <c r="H399" s="129"/>
      <c r="I399" s="129"/>
      <c r="J399" s="110"/>
      <c r="K399" s="129"/>
      <c r="L399" t="s">
        <v>351</v>
      </c>
      <c r="M399" s="129"/>
      <c r="N399" s="129"/>
      <c r="O399" s="129"/>
      <c r="P399" s="129"/>
      <c r="Q399" s="129"/>
      <c r="R399" s="129"/>
      <c r="S399" s="129"/>
      <c r="T399" s="129"/>
      <c r="U399" s="141"/>
      <c r="V399" s="139"/>
      <c r="W399" s="129"/>
      <c r="X399" s="129"/>
      <c r="Y399" s="129"/>
      <c r="Z399" s="129"/>
      <c r="AA399" s="129"/>
      <c r="AB399" s="115"/>
      <c r="AC399" s="129"/>
      <c r="AD399" s="149"/>
      <c r="AE399" s="129"/>
      <c r="AF399" s="129"/>
      <c r="AG399" s="129"/>
    </row>
    <row r="400" spans="3:33" x14ac:dyDescent="0.35">
      <c r="C400" s="129"/>
      <c r="D400" s="129"/>
      <c r="E400" s="129"/>
      <c r="F400" s="129"/>
      <c r="G400" s="129"/>
      <c r="H400" s="129"/>
      <c r="I400" s="129"/>
      <c r="J400" s="110"/>
      <c r="K400" s="129"/>
      <c r="L400" t="s">
        <v>351</v>
      </c>
      <c r="M400" s="129"/>
      <c r="N400" s="129"/>
      <c r="O400" s="129"/>
      <c r="P400" s="129"/>
      <c r="Q400" s="129"/>
      <c r="R400" s="129"/>
      <c r="S400" s="129"/>
      <c r="T400" s="129"/>
      <c r="U400" s="141"/>
      <c r="V400" s="139"/>
      <c r="W400" s="129"/>
      <c r="X400" s="129"/>
      <c r="Y400" s="129"/>
      <c r="Z400" s="129"/>
      <c r="AA400" s="129"/>
      <c r="AB400" s="115"/>
      <c r="AC400" s="129"/>
      <c r="AD400" s="149"/>
      <c r="AE400" s="129"/>
      <c r="AF400" s="129"/>
      <c r="AG400" s="129"/>
    </row>
    <row r="401" spans="3:33" x14ac:dyDescent="0.35">
      <c r="C401" s="129"/>
      <c r="D401" s="129"/>
      <c r="E401" s="129"/>
      <c r="F401" s="129"/>
      <c r="G401" s="129"/>
      <c r="H401" s="129"/>
      <c r="I401" s="129"/>
      <c r="J401" s="110"/>
      <c r="K401" s="129"/>
      <c r="L401" t="s">
        <v>351</v>
      </c>
      <c r="M401" s="129"/>
      <c r="N401" s="129"/>
      <c r="O401" s="129"/>
      <c r="P401" s="129"/>
      <c r="Q401" s="129"/>
      <c r="R401" s="129"/>
      <c r="S401" s="129"/>
      <c r="T401" s="129"/>
      <c r="U401" s="141"/>
      <c r="V401" s="139"/>
      <c r="W401" s="129"/>
      <c r="X401" s="129"/>
      <c r="Y401" s="129"/>
      <c r="Z401" s="129"/>
      <c r="AA401" s="129"/>
      <c r="AB401" s="115"/>
      <c r="AC401" s="129"/>
      <c r="AD401" s="149"/>
      <c r="AE401" s="129"/>
      <c r="AF401" s="129"/>
      <c r="AG401" s="129"/>
    </row>
    <row r="402" spans="3:33" x14ac:dyDescent="0.35">
      <c r="C402" s="129"/>
      <c r="D402" s="129"/>
      <c r="E402" s="129"/>
      <c r="F402" s="129"/>
      <c r="G402" s="129"/>
      <c r="H402" s="129"/>
      <c r="I402" s="129"/>
      <c r="J402" s="110"/>
      <c r="K402" s="129"/>
      <c r="L402" t="s">
        <v>351</v>
      </c>
      <c r="M402" s="129"/>
      <c r="N402" s="129"/>
      <c r="O402" s="129"/>
      <c r="P402" s="129"/>
      <c r="Q402" s="129"/>
      <c r="R402" s="129"/>
      <c r="S402" s="129"/>
      <c r="T402" s="129"/>
      <c r="U402" s="141"/>
      <c r="V402" s="139"/>
      <c r="W402" s="129"/>
      <c r="X402" s="129"/>
      <c r="Y402" s="129"/>
      <c r="Z402" s="129"/>
      <c r="AA402" s="129"/>
      <c r="AB402" s="115"/>
      <c r="AC402" s="129"/>
      <c r="AD402" s="149"/>
      <c r="AE402" s="129"/>
      <c r="AF402" s="129"/>
      <c r="AG402" s="129"/>
    </row>
    <row r="403" spans="3:33" x14ac:dyDescent="0.35">
      <c r="C403" s="129"/>
      <c r="D403" s="129"/>
      <c r="E403" s="129"/>
      <c r="F403" s="129"/>
      <c r="G403" s="129"/>
      <c r="H403" s="129"/>
      <c r="I403" s="129"/>
      <c r="J403" s="110"/>
      <c r="K403" s="129"/>
      <c r="L403" t="s">
        <v>351</v>
      </c>
      <c r="M403" s="129"/>
      <c r="N403" s="129"/>
      <c r="O403" s="129"/>
      <c r="P403" s="129"/>
      <c r="Q403" s="129"/>
      <c r="R403" s="129"/>
      <c r="S403" s="129"/>
      <c r="T403" s="129"/>
      <c r="U403" s="141"/>
      <c r="V403" s="139"/>
      <c r="W403" s="129"/>
      <c r="X403" s="129"/>
      <c r="Y403" s="129"/>
      <c r="Z403" s="129"/>
      <c r="AA403" s="129"/>
      <c r="AB403" s="115"/>
      <c r="AC403" s="129"/>
      <c r="AD403" s="149"/>
      <c r="AE403" s="129"/>
      <c r="AF403" s="129"/>
      <c r="AG403" s="129"/>
    </row>
    <row r="404" spans="3:33" x14ac:dyDescent="0.35">
      <c r="C404" s="129"/>
      <c r="D404" s="129"/>
      <c r="E404" s="129"/>
      <c r="F404" s="129"/>
      <c r="G404" s="129"/>
      <c r="H404" s="129"/>
      <c r="I404" s="129"/>
      <c r="J404" s="110"/>
      <c r="K404" s="129"/>
      <c r="L404" t="s">
        <v>351</v>
      </c>
      <c r="M404" s="129"/>
      <c r="N404" s="129"/>
      <c r="O404" s="129"/>
      <c r="P404" s="129"/>
      <c r="Q404" s="129"/>
      <c r="R404" s="129"/>
      <c r="S404" s="129"/>
      <c r="T404" s="129"/>
      <c r="U404" s="141"/>
      <c r="V404" s="139"/>
      <c r="W404" s="129"/>
      <c r="X404" s="129"/>
      <c r="Y404" s="129"/>
      <c r="Z404" s="129"/>
      <c r="AA404" s="129"/>
      <c r="AB404" s="115"/>
      <c r="AC404" s="129"/>
      <c r="AD404" s="149"/>
      <c r="AE404" s="129"/>
      <c r="AF404" s="129"/>
      <c r="AG404" s="129"/>
    </row>
    <row r="405" spans="3:33" x14ac:dyDescent="0.35">
      <c r="C405" s="129"/>
      <c r="D405" s="129"/>
      <c r="E405" s="129"/>
      <c r="F405" s="129"/>
      <c r="G405" s="129"/>
      <c r="H405" s="129"/>
      <c r="I405" s="129"/>
      <c r="J405" s="110"/>
      <c r="K405" s="129"/>
      <c r="L405" t="s">
        <v>351</v>
      </c>
      <c r="M405" s="129"/>
      <c r="N405" s="129"/>
      <c r="O405" s="129"/>
      <c r="P405" s="129"/>
      <c r="Q405" s="129"/>
      <c r="R405" s="129"/>
      <c r="S405" s="129"/>
      <c r="T405" s="129"/>
      <c r="U405" s="141"/>
      <c r="V405" s="139"/>
      <c r="W405" s="129"/>
      <c r="X405" s="129"/>
      <c r="Y405" s="129"/>
      <c r="Z405" s="129"/>
      <c r="AA405" s="129"/>
      <c r="AB405" s="115"/>
      <c r="AC405" s="129"/>
      <c r="AD405" s="149"/>
      <c r="AE405" s="129"/>
      <c r="AF405" s="129"/>
      <c r="AG405" s="129"/>
    </row>
    <row r="406" spans="3:33" x14ac:dyDescent="0.35">
      <c r="C406" s="129"/>
      <c r="D406" s="129"/>
      <c r="E406" s="129"/>
      <c r="F406" s="129"/>
      <c r="G406" s="129"/>
      <c r="H406" s="129"/>
      <c r="I406" s="129"/>
      <c r="J406" s="110"/>
      <c r="K406" s="129"/>
      <c r="L406" t="s">
        <v>351</v>
      </c>
      <c r="M406" s="129"/>
      <c r="N406" s="129"/>
      <c r="O406" s="129"/>
      <c r="P406" s="129"/>
      <c r="Q406" s="129"/>
      <c r="R406" s="129"/>
      <c r="S406" s="129"/>
      <c r="T406" s="129"/>
      <c r="U406" s="141"/>
      <c r="V406" s="139"/>
      <c r="W406" s="129"/>
      <c r="X406" s="129"/>
      <c r="Y406" s="129"/>
      <c r="Z406" s="129"/>
      <c r="AA406" s="129"/>
      <c r="AB406" s="115"/>
      <c r="AC406" s="129"/>
      <c r="AD406" s="149"/>
      <c r="AE406" s="129"/>
      <c r="AF406" s="129"/>
      <c r="AG406" s="129"/>
    </row>
    <row r="407" spans="3:33" x14ac:dyDescent="0.35">
      <c r="C407" s="129"/>
      <c r="D407" s="129"/>
      <c r="E407" s="129"/>
      <c r="F407" s="129"/>
      <c r="G407" s="129"/>
      <c r="H407" s="129"/>
      <c r="I407" s="129"/>
      <c r="J407" s="110"/>
      <c r="K407" s="129"/>
      <c r="L407" t="s">
        <v>351</v>
      </c>
      <c r="M407" s="129"/>
      <c r="N407" s="129"/>
      <c r="O407" s="129"/>
      <c r="P407" s="129"/>
      <c r="Q407" s="129"/>
      <c r="R407" s="129"/>
      <c r="S407" s="129"/>
      <c r="T407" s="129"/>
      <c r="U407" s="141"/>
      <c r="V407" s="139"/>
      <c r="W407" s="129"/>
      <c r="X407" s="129"/>
      <c r="Y407" s="129"/>
      <c r="Z407" s="129"/>
      <c r="AA407" s="129"/>
      <c r="AB407" s="115"/>
      <c r="AC407" s="129"/>
      <c r="AD407" s="149"/>
      <c r="AE407" s="129"/>
      <c r="AF407" s="129"/>
      <c r="AG407" s="129"/>
    </row>
    <row r="408" spans="3:33" x14ac:dyDescent="0.35">
      <c r="C408" s="129"/>
      <c r="D408" s="129"/>
      <c r="E408" s="129"/>
      <c r="F408" s="129"/>
      <c r="G408" s="129"/>
      <c r="H408" s="129"/>
      <c r="I408" s="129"/>
      <c r="J408" s="110"/>
      <c r="K408" s="129"/>
      <c r="L408" t="s">
        <v>351</v>
      </c>
      <c r="M408" s="129"/>
      <c r="N408" s="129"/>
      <c r="O408" s="129"/>
      <c r="P408" s="129"/>
      <c r="Q408" s="129"/>
      <c r="R408" s="129"/>
      <c r="S408" s="129"/>
      <c r="T408" s="129"/>
      <c r="U408" s="141"/>
      <c r="V408" s="139"/>
      <c r="W408" s="129"/>
      <c r="X408" s="129"/>
      <c r="Y408" s="129"/>
      <c r="Z408" s="129"/>
      <c r="AA408" s="129"/>
      <c r="AB408" s="115"/>
      <c r="AC408" s="129"/>
      <c r="AD408" s="149"/>
      <c r="AE408" s="129"/>
      <c r="AF408" s="129"/>
      <c r="AG408" s="129"/>
    </row>
    <row r="409" spans="3:33" x14ac:dyDescent="0.35">
      <c r="C409" s="129"/>
      <c r="D409" s="129"/>
      <c r="E409" s="129"/>
      <c r="F409" s="129"/>
      <c r="G409" s="129"/>
      <c r="H409" s="129"/>
      <c r="I409" s="129"/>
      <c r="J409" s="110"/>
      <c r="K409" s="129"/>
      <c r="L409" t="s">
        <v>351</v>
      </c>
      <c r="M409" s="129"/>
      <c r="N409" s="129"/>
      <c r="O409" s="129"/>
      <c r="P409" s="129"/>
      <c r="Q409" s="129"/>
      <c r="R409" s="129"/>
      <c r="S409" s="129"/>
      <c r="T409" s="129"/>
      <c r="U409" s="141"/>
      <c r="V409" s="139"/>
      <c r="W409" s="129"/>
      <c r="X409" s="129"/>
      <c r="Y409" s="129"/>
      <c r="Z409" s="129"/>
      <c r="AA409" s="129"/>
      <c r="AB409" s="115"/>
      <c r="AC409" s="129"/>
      <c r="AD409" s="149"/>
      <c r="AE409" s="129"/>
      <c r="AF409" s="129"/>
      <c r="AG409" s="129"/>
    </row>
    <row r="410" spans="3:33" x14ac:dyDescent="0.35">
      <c r="C410" s="129"/>
      <c r="D410" s="129"/>
      <c r="E410" s="129"/>
      <c r="F410" s="129"/>
      <c r="G410" s="129"/>
      <c r="H410" s="129"/>
      <c r="I410" s="129"/>
      <c r="J410" s="110"/>
      <c r="K410" s="129"/>
      <c r="L410" t="s">
        <v>351</v>
      </c>
      <c r="M410" s="129"/>
      <c r="N410" s="129"/>
      <c r="O410" s="129"/>
      <c r="P410" s="129"/>
      <c r="Q410" s="129"/>
      <c r="R410" s="129"/>
      <c r="S410" s="129"/>
      <c r="T410" s="129"/>
      <c r="U410" s="141"/>
      <c r="V410" s="139"/>
      <c r="W410" s="129"/>
      <c r="X410" s="129"/>
      <c r="Y410" s="129"/>
      <c r="Z410" s="129"/>
      <c r="AA410" s="129"/>
      <c r="AB410" s="115"/>
      <c r="AC410" s="129"/>
      <c r="AD410" s="149"/>
      <c r="AE410" s="129"/>
      <c r="AF410" s="129"/>
      <c r="AG410" s="129"/>
    </row>
    <row r="411" spans="3:33" x14ac:dyDescent="0.35">
      <c r="C411" s="129"/>
      <c r="D411" s="129"/>
      <c r="E411" s="129"/>
      <c r="F411" s="129"/>
      <c r="G411" s="129"/>
      <c r="H411" s="129"/>
      <c r="I411" s="129"/>
      <c r="J411" s="110"/>
      <c r="K411" s="129"/>
      <c r="L411" t="s">
        <v>351</v>
      </c>
      <c r="M411" s="129"/>
      <c r="N411" s="129"/>
      <c r="O411" s="129"/>
      <c r="P411" s="129"/>
      <c r="Q411" s="129"/>
      <c r="R411" s="129"/>
      <c r="S411" s="129"/>
      <c r="T411" s="129"/>
      <c r="U411" s="141"/>
      <c r="V411" s="139"/>
      <c r="W411" s="129"/>
      <c r="X411" s="129"/>
      <c r="Y411" s="129"/>
      <c r="Z411" s="129"/>
      <c r="AA411" s="129"/>
      <c r="AB411" s="115"/>
      <c r="AC411" s="129"/>
      <c r="AD411" s="149"/>
      <c r="AE411" s="129"/>
      <c r="AF411" s="129"/>
      <c r="AG411" s="129"/>
    </row>
    <row r="412" spans="3:33" x14ac:dyDescent="0.35">
      <c r="C412" s="129"/>
      <c r="D412" s="129"/>
      <c r="E412" s="129"/>
      <c r="F412" s="129"/>
      <c r="G412" s="129"/>
      <c r="H412" s="129"/>
      <c r="I412" s="129"/>
      <c r="J412" s="110"/>
      <c r="K412" s="129"/>
      <c r="L412" t="s">
        <v>351</v>
      </c>
      <c r="M412" s="129"/>
      <c r="N412" s="129"/>
      <c r="O412" s="129"/>
      <c r="P412" s="129"/>
      <c r="Q412" s="129"/>
      <c r="R412" s="129"/>
      <c r="S412" s="129"/>
      <c r="T412" s="129"/>
      <c r="U412" s="141"/>
      <c r="V412" s="139"/>
      <c r="W412" s="129"/>
      <c r="X412" s="129"/>
      <c r="Y412" s="129"/>
      <c r="Z412" s="129"/>
      <c r="AA412" s="129"/>
      <c r="AB412" s="115"/>
      <c r="AC412" s="129"/>
      <c r="AD412" s="149"/>
      <c r="AE412" s="129"/>
      <c r="AF412" s="129"/>
      <c r="AG412" s="129"/>
    </row>
    <row r="413" spans="3:33" x14ac:dyDescent="0.35">
      <c r="C413" s="129"/>
      <c r="D413" s="129"/>
      <c r="E413" s="129"/>
      <c r="F413" s="129"/>
      <c r="G413" s="129"/>
      <c r="H413" s="129"/>
      <c r="I413" s="129"/>
      <c r="J413" s="110"/>
      <c r="K413" s="129"/>
      <c r="L413" t="s">
        <v>351</v>
      </c>
      <c r="M413" s="129"/>
      <c r="N413" s="129"/>
      <c r="O413" s="129"/>
      <c r="P413" s="129"/>
      <c r="Q413" s="129"/>
      <c r="R413" s="129"/>
      <c r="S413" s="129"/>
      <c r="T413" s="129"/>
      <c r="U413" s="141"/>
      <c r="V413" s="139"/>
      <c r="W413" s="129"/>
      <c r="X413" s="129"/>
      <c r="Y413" s="129"/>
      <c r="Z413" s="129"/>
      <c r="AA413" s="129"/>
      <c r="AB413" s="115"/>
      <c r="AC413" s="129"/>
      <c r="AD413" s="149"/>
      <c r="AE413" s="129"/>
      <c r="AF413" s="129"/>
      <c r="AG413" s="129"/>
    </row>
    <row r="414" spans="3:33" x14ac:dyDescent="0.35">
      <c r="C414" s="129"/>
      <c r="D414" s="129"/>
      <c r="E414" s="129"/>
      <c r="F414" s="129"/>
      <c r="G414" s="129"/>
      <c r="H414" s="129"/>
      <c r="I414" s="129"/>
      <c r="J414" s="110"/>
      <c r="K414" s="129"/>
      <c r="L414" t="s">
        <v>351</v>
      </c>
      <c r="M414" s="129"/>
      <c r="N414" s="129"/>
      <c r="O414" s="129"/>
      <c r="P414" s="129"/>
      <c r="Q414" s="129"/>
      <c r="R414" s="129"/>
      <c r="S414" s="129"/>
      <c r="T414" s="129"/>
      <c r="U414" s="141"/>
      <c r="V414" s="139"/>
      <c r="W414" s="129"/>
      <c r="X414" s="129"/>
      <c r="Y414" s="129"/>
      <c r="Z414" s="129"/>
      <c r="AA414" s="129"/>
      <c r="AB414" s="115"/>
      <c r="AC414" s="129"/>
      <c r="AD414" s="149"/>
      <c r="AE414" s="129"/>
      <c r="AF414" s="129"/>
      <c r="AG414" s="129"/>
    </row>
    <row r="415" spans="3:33" x14ac:dyDescent="0.35">
      <c r="C415" s="129"/>
      <c r="D415" s="129"/>
      <c r="E415" s="129"/>
      <c r="F415" s="129"/>
      <c r="G415" s="129"/>
      <c r="H415" s="129"/>
      <c r="I415" s="129"/>
      <c r="J415" s="110"/>
      <c r="K415" s="129"/>
      <c r="L415" t="s">
        <v>351</v>
      </c>
      <c r="M415" s="129"/>
      <c r="N415" s="129"/>
      <c r="O415" s="129"/>
      <c r="P415" s="129"/>
      <c r="Q415" s="129"/>
      <c r="R415" s="129"/>
      <c r="S415" s="129"/>
      <c r="T415" s="129"/>
      <c r="U415" s="141"/>
      <c r="V415" s="139"/>
      <c r="W415" s="129"/>
      <c r="X415" s="129"/>
      <c r="Y415" s="129"/>
      <c r="Z415" s="129"/>
      <c r="AA415" s="129"/>
      <c r="AB415" s="115"/>
      <c r="AC415" s="129"/>
      <c r="AD415" s="149"/>
      <c r="AE415" s="129"/>
      <c r="AF415" s="129"/>
      <c r="AG415" s="129"/>
    </row>
    <row r="416" spans="3:33" x14ac:dyDescent="0.35">
      <c r="C416" s="129"/>
      <c r="D416" s="129"/>
      <c r="E416" s="129"/>
      <c r="F416" s="129"/>
      <c r="G416" s="129"/>
      <c r="H416" s="129"/>
      <c r="I416" s="129"/>
      <c r="J416" s="110"/>
      <c r="K416" s="129"/>
      <c r="L416" t="s">
        <v>351</v>
      </c>
      <c r="M416" s="129"/>
      <c r="N416" s="129"/>
      <c r="O416" s="129"/>
      <c r="P416" s="129"/>
      <c r="Q416" s="129"/>
      <c r="R416" s="129"/>
      <c r="S416" s="129"/>
      <c r="T416" s="129"/>
      <c r="U416" s="141"/>
      <c r="V416" s="139"/>
      <c r="W416" s="129"/>
      <c r="X416" s="129"/>
      <c r="Y416" s="129"/>
      <c r="Z416" s="129"/>
      <c r="AA416" s="129"/>
      <c r="AB416" s="115"/>
      <c r="AC416" s="129"/>
      <c r="AD416" s="149"/>
      <c r="AE416" s="129"/>
      <c r="AF416" s="129"/>
      <c r="AG416" s="129"/>
    </row>
    <row r="417" spans="3:33" x14ac:dyDescent="0.35">
      <c r="C417" s="129"/>
      <c r="D417" s="129"/>
      <c r="E417" s="129"/>
      <c r="F417" s="129"/>
      <c r="G417" s="129"/>
      <c r="H417" s="129"/>
      <c r="I417" s="129"/>
      <c r="J417" s="110"/>
      <c r="K417" s="129"/>
      <c r="L417" t="s">
        <v>351</v>
      </c>
      <c r="M417" s="129"/>
      <c r="N417" s="129"/>
      <c r="O417" s="129"/>
      <c r="P417" s="129"/>
      <c r="Q417" s="129"/>
      <c r="R417" s="129"/>
      <c r="S417" s="129"/>
      <c r="T417" s="129"/>
      <c r="U417" s="141"/>
      <c r="V417" s="139"/>
      <c r="W417" s="129"/>
      <c r="X417" s="129"/>
      <c r="Y417" s="129"/>
      <c r="Z417" s="129"/>
      <c r="AA417" s="129"/>
      <c r="AB417" s="115"/>
      <c r="AC417" s="129"/>
      <c r="AD417" s="149"/>
      <c r="AE417" s="129"/>
      <c r="AF417" s="129"/>
      <c r="AG417" s="129"/>
    </row>
    <row r="418" spans="3:33" x14ac:dyDescent="0.35">
      <c r="C418" s="129"/>
      <c r="D418" s="129"/>
      <c r="E418" s="129"/>
      <c r="F418" s="129"/>
      <c r="G418" s="129"/>
      <c r="H418" s="129"/>
      <c r="I418" s="129"/>
      <c r="J418" s="110"/>
      <c r="K418" s="129"/>
      <c r="L418" t="s">
        <v>351</v>
      </c>
      <c r="M418" s="129"/>
      <c r="N418" s="129"/>
      <c r="O418" s="129"/>
      <c r="P418" s="129"/>
      <c r="Q418" s="129"/>
      <c r="R418" s="129"/>
      <c r="S418" s="129"/>
      <c r="T418" s="129"/>
      <c r="U418" s="141"/>
      <c r="V418" s="139"/>
      <c r="W418" s="129"/>
      <c r="X418" s="129"/>
      <c r="Y418" s="129"/>
      <c r="Z418" s="129"/>
      <c r="AA418" s="129"/>
      <c r="AB418" s="115"/>
      <c r="AC418" s="129"/>
      <c r="AD418" s="149"/>
      <c r="AE418" s="129"/>
      <c r="AF418" s="129"/>
      <c r="AG418" s="129"/>
    </row>
    <row r="419" spans="3:33" x14ac:dyDescent="0.35">
      <c r="C419" s="129"/>
      <c r="D419" s="129"/>
      <c r="E419" s="129"/>
      <c r="F419" s="129"/>
      <c r="G419" s="129"/>
      <c r="H419" s="129"/>
      <c r="I419" s="129"/>
      <c r="J419" s="110"/>
      <c r="K419" s="129"/>
      <c r="L419" t="s">
        <v>351</v>
      </c>
      <c r="M419" s="129"/>
      <c r="N419" s="129"/>
      <c r="O419" s="129"/>
      <c r="P419" s="129"/>
      <c r="Q419" s="129"/>
      <c r="R419" s="129"/>
      <c r="S419" s="129"/>
      <c r="T419" s="129"/>
      <c r="U419" s="141"/>
      <c r="V419" s="139"/>
      <c r="W419" s="129"/>
      <c r="X419" s="129"/>
      <c r="Y419" s="129"/>
      <c r="Z419" s="129"/>
      <c r="AA419" s="129"/>
      <c r="AB419" s="115"/>
      <c r="AC419" s="129"/>
      <c r="AD419" s="149"/>
      <c r="AE419" s="129"/>
      <c r="AF419" s="129"/>
      <c r="AG419" s="129"/>
    </row>
    <row r="420" spans="3:33" x14ac:dyDescent="0.35">
      <c r="C420" s="129"/>
      <c r="D420" s="129"/>
      <c r="E420" s="129"/>
      <c r="F420" s="129"/>
      <c r="G420" s="129"/>
      <c r="H420" s="129"/>
      <c r="I420" s="129"/>
      <c r="J420" s="110"/>
      <c r="K420" s="129"/>
      <c r="L420" t="s">
        <v>351</v>
      </c>
      <c r="M420" s="129"/>
      <c r="N420" s="129"/>
      <c r="O420" s="129"/>
      <c r="P420" s="129"/>
      <c r="Q420" s="129"/>
      <c r="R420" s="129"/>
      <c r="S420" s="129"/>
      <c r="T420" s="129"/>
      <c r="U420" s="141"/>
      <c r="V420" s="139"/>
      <c r="W420" s="129"/>
      <c r="X420" s="129"/>
      <c r="Y420" s="129"/>
      <c r="Z420" s="129"/>
      <c r="AA420" s="129"/>
      <c r="AB420" s="115"/>
      <c r="AC420" s="129"/>
      <c r="AD420" s="149"/>
      <c r="AE420" s="129"/>
      <c r="AF420" s="129"/>
      <c r="AG420" s="129"/>
    </row>
    <row r="421" spans="3:33" x14ac:dyDescent="0.35">
      <c r="C421" s="129"/>
      <c r="D421" s="129"/>
      <c r="E421" s="129"/>
      <c r="F421" s="129"/>
      <c r="G421" s="129"/>
      <c r="H421" s="129"/>
      <c r="I421" s="129"/>
      <c r="J421" s="110"/>
      <c r="K421" s="129"/>
      <c r="L421" t="s">
        <v>351</v>
      </c>
      <c r="M421" s="129"/>
      <c r="N421" s="129"/>
      <c r="O421" s="129"/>
      <c r="P421" s="129"/>
      <c r="Q421" s="129"/>
      <c r="R421" s="129"/>
      <c r="S421" s="129"/>
      <c r="T421" s="129"/>
      <c r="U421" s="141"/>
      <c r="V421" s="139"/>
      <c r="W421" s="129"/>
      <c r="X421" s="129"/>
      <c r="Y421" s="129"/>
      <c r="Z421" s="129"/>
      <c r="AA421" s="129"/>
      <c r="AB421" s="115"/>
      <c r="AC421" s="129"/>
      <c r="AD421" s="149"/>
      <c r="AE421" s="129"/>
      <c r="AF421" s="129"/>
      <c r="AG421" s="129"/>
    </row>
    <row r="422" spans="3:33" x14ac:dyDescent="0.35">
      <c r="C422" s="129"/>
      <c r="D422" s="129"/>
      <c r="E422" s="129"/>
      <c r="F422" s="129"/>
      <c r="G422" s="129"/>
      <c r="H422" s="129"/>
      <c r="I422" s="129"/>
      <c r="J422" s="110"/>
      <c r="K422" s="129"/>
      <c r="L422" t="s">
        <v>351</v>
      </c>
      <c r="M422" s="129"/>
      <c r="N422" s="129"/>
      <c r="O422" s="129"/>
      <c r="P422" s="129"/>
      <c r="Q422" s="129"/>
      <c r="R422" s="129"/>
      <c r="S422" s="129"/>
      <c r="T422" s="129"/>
      <c r="U422" s="141"/>
      <c r="V422" s="139"/>
      <c r="W422" s="129"/>
      <c r="X422" s="129"/>
      <c r="Y422" s="129"/>
      <c r="Z422" s="129"/>
      <c r="AA422" s="129"/>
      <c r="AB422" s="115"/>
      <c r="AC422" s="129"/>
      <c r="AD422" s="149"/>
      <c r="AE422" s="129"/>
      <c r="AF422" s="129"/>
      <c r="AG422" s="129"/>
    </row>
    <row r="423" spans="3:33" x14ac:dyDescent="0.35">
      <c r="C423" s="129"/>
      <c r="D423" s="129"/>
      <c r="E423" s="129"/>
      <c r="F423" s="129"/>
      <c r="G423" s="129"/>
      <c r="H423" s="129"/>
      <c r="I423" s="129"/>
      <c r="J423" s="110"/>
      <c r="K423" s="129"/>
      <c r="L423" t="s">
        <v>351</v>
      </c>
      <c r="M423" s="129"/>
      <c r="N423" s="129"/>
      <c r="O423" s="129"/>
      <c r="P423" s="129"/>
      <c r="Q423" s="129"/>
      <c r="R423" s="129"/>
      <c r="S423" s="129"/>
      <c r="T423" s="129"/>
      <c r="U423" s="141"/>
      <c r="V423" s="139"/>
      <c r="W423" s="129"/>
      <c r="X423" s="129"/>
      <c r="Y423" s="129"/>
      <c r="Z423" s="129"/>
      <c r="AA423" s="129"/>
      <c r="AB423" s="115"/>
      <c r="AC423" s="129"/>
      <c r="AD423" s="149"/>
      <c r="AE423" s="129"/>
      <c r="AF423" s="129"/>
      <c r="AG423" s="129"/>
    </row>
    <row r="424" spans="3:33" x14ac:dyDescent="0.35">
      <c r="C424" s="129"/>
      <c r="D424" s="129"/>
      <c r="E424" s="129"/>
      <c r="F424" s="129"/>
      <c r="G424" s="129"/>
      <c r="H424" s="129"/>
      <c r="I424" s="129"/>
      <c r="J424" s="110"/>
      <c r="K424" s="129"/>
      <c r="L424" t="s">
        <v>351</v>
      </c>
      <c r="M424" s="129"/>
      <c r="N424" s="129"/>
      <c r="O424" s="129"/>
      <c r="P424" s="129"/>
      <c r="Q424" s="129"/>
      <c r="R424" s="129"/>
      <c r="S424" s="129"/>
      <c r="T424" s="129"/>
      <c r="U424" s="141"/>
      <c r="V424" s="139"/>
      <c r="W424" s="129"/>
      <c r="X424" s="129"/>
      <c r="Y424" s="129"/>
      <c r="Z424" s="129"/>
      <c r="AA424" s="129"/>
      <c r="AB424" s="115"/>
      <c r="AC424" s="129"/>
      <c r="AD424" s="149"/>
      <c r="AE424" s="129"/>
      <c r="AF424" s="129"/>
      <c r="AG424" s="129"/>
    </row>
    <row r="425" spans="3:33" x14ac:dyDescent="0.35">
      <c r="C425" s="129"/>
      <c r="D425" s="129"/>
      <c r="E425" s="129"/>
      <c r="F425" s="129"/>
      <c r="G425" s="129"/>
      <c r="H425" s="129"/>
      <c r="I425" s="129"/>
      <c r="J425" s="110"/>
      <c r="K425" s="129"/>
      <c r="L425" t="s">
        <v>351</v>
      </c>
      <c r="M425" s="129"/>
      <c r="N425" s="129"/>
      <c r="O425" s="129"/>
      <c r="P425" s="129"/>
      <c r="Q425" s="129"/>
      <c r="R425" s="129"/>
      <c r="S425" s="129"/>
      <c r="T425" s="129"/>
      <c r="U425" s="141"/>
      <c r="V425" s="139"/>
      <c r="W425" s="129"/>
      <c r="X425" s="129"/>
      <c r="Y425" s="129"/>
      <c r="Z425" s="129"/>
      <c r="AA425" s="129"/>
      <c r="AB425" s="115"/>
      <c r="AC425" s="129"/>
      <c r="AD425" s="149"/>
      <c r="AE425" s="129"/>
      <c r="AF425" s="129"/>
      <c r="AG425" s="129"/>
    </row>
    <row r="426" spans="3:33" x14ac:dyDescent="0.35">
      <c r="C426" s="129"/>
      <c r="D426" s="129"/>
      <c r="E426" s="129"/>
      <c r="F426" s="129"/>
      <c r="G426" s="129"/>
      <c r="H426" s="129"/>
      <c r="I426" s="129"/>
      <c r="J426" s="110"/>
      <c r="K426" s="129"/>
      <c r="L426" t="s">
        <v>351</v>
      </c>
      <c r="M426" s="129"/>
      <c r="N426" s="129"/>
      <c r="O426" s="129"/>
      <c r="P426" s="129"/>
      <c r="Q426" s="129"/>
      <c r="R426" s="129"/>
      <c r="S426" s="129"/>
      <c r="T426" s="129"/>
      <c r="U426" s="141"/>
      <c r="V426" s="139"/>
      <c r="W426" s="129"/>
      <c r="X426" s="129"/>
      <c r="Y426" s="129"/>
      <c r="Z426" s="129"/>
      <c r="AA426" s="129"/>
      <c r="AB426" s="115"/>
      <c r="AC426" s="129"/>
      <c r="AD426" s="149"/>
      <c r="AE426" s="129"/>
      <c r="AF426" s="129"/>
      <c r="AG426" s="129"/>
    </row>
    <row r="427" spans="3:33" x14ac:dyDescent="0.35">
      <c r="C427" s="129"/>
      <c r="D427" s="129"/>
      <c r="E427" s="129"/>
      <c r="F427" s="129"/>
      <c r="G427" s="129"/>
      <c r="H427" s="129"/>
      <c r="I427" s="129"/>
      <c r="J427" s="110"/>
      <c r="K427" s="129"/>
      <c r="L427" t="s">
        <v>351</v>
      </c>
      <c r="M427" s="129"/>
      <c r="N427" s="129"/>
      <c r="O427" s="129"/>
      <c r="P427" s="129"/>
      <c r="Q427" s="129"/>
      <c r="R427" s="129"/>
      <c r="S427" s="129"/>
      <c r="T427" s="129"/>
      <c r="U427" s="141"/>
      <c r="V427" s="139"/>
      <c r="W427" s="129"/>
      <c r="X427" s="129"/>
      <c r="Y427" s="129"/>
      <c r="Z427" s="129"/>
      <c r="AA427" s="129"/>
      <c r="AB427" s="115"/>
      <c r="AC427" s="129"/>
      <c r="AD427" s="149"/>
      <c r="AE427" s="129"/>
      <c r="AF427" s="129"/>
      <c r="AG427" s="129"/>
    </row>
    <row r="428" spans="3:33" x14ac:dyDescent="0.35">
      <c r="C428" s="129"/>
      <c r="D428" s="129"/>
      <c r="E428" s="129"/>
      <c r="F428" s="129"/>
      <c r="G428" s="129"/>
      <c r="H428" s="129"/>
      <c r="I428" s="129"/>
      <c r="J428" s="110"/>
      <c r="K428" s="129"/>
      <c r="L428" t="s">
        <v>351</v>
      </c>
      <c r="M428" s="129"/>
      <c r="N428" s="129"/>
      <c r="O428" s="129"/>
      <c r="P428" s="129"/>
      <c r="Q428" s="129"/>
      <c r="R428" s="129"/>
      <c r="S428" s="129"/>
      <c r="T428" s="129"/>
      <c r="U428" s="141"/>
      <c r="V428" s="139"/>
      <c r="W428" s="129"/>
      <c r="X428" s="129"/>
      <c r="Y428" s="129"/>
      <c r="Z428" s="129"/>
      <c r="AA428" s="129"/>
      <c r="AB428" s="115"/>
      <c r="AC428" s="129"/>
      <c r="AD428" s="149"/>
      <c r="AE428" s="129"/>
      <c r="AF428" s="129"/>
      <c r="AG428" s="129"/>
    </row>
    <row r="429" spans="3:33" x14ac:dyDescent="0.35">
      <c r="C429" s="129"/>
      <c r="D429" s="129"/>
      <c r="E429" s="129"/>
      <c r="F429" s="129"/>
      <c r="G429" s="129"/>
      <c r="H429" s="129"/>
      <c r="I429" s="129"/>
      <c r="J429" s="110"/>
      <c r="K429" s="129"/>
      <c r="L429" t="s">
        <v>351</v>
      </c>
      <c r="M429" s="129"/>
      <c r="N429" s="129"/>
      <c r="O429" s="129"/>
      <c r="P429" s="129"/>
      <c r="Q429" s="129"/>
      <c r="R429" s="129"/>
      <c r="S429" s="129"/>
      <c r="T429" s="129"/>
      <c r="U429" s="141"/>
      <c r="V429" s="139"/>
      <c r="W429" s="129"/>
      <c r="X429" s="129"/>
      <c r="Y429" s="129"/>
      <c r="Z429" s="129"/>
      <c r="AA429" s="129"/>
      <c r="AB429" s="115"/>
      <c r="AC429" s="129"/>
      <c r="AD429" s="149"/>
      <c r="AE429" s="129"/>
      <c r="AF429" s="129"/>
      <c r="AG429" s="129"/>
    </row>
    <row r="430" spans="3:33" x14ac:dyDescent="0.35">
      <c r="C430" s="129"/>
      <c r="D430" s="129"/>
      <c r="E430" s="129"/>
      <c r="F430" s="129"/>
      <c r="G430" s="129"/>
      <c r="H430" s="129"/>
      <c r="I430" s="129"/>
      <c r="J430" s="110"/>
      <c r="K430" s="129"/>
      <c r="L430" t="s">
        <v>351</v>
      </c>
      <c r="M430" s="129"/>
      <c r="N430" s="129"/>
      <c r="O430" s="129"/>
      <c r="P430" s="129"/>
      <c r="Q430" s="129"/>
      <c r="R430" s="129"/>
      <c r="S430" s="129"/>
      <c r="T430" s="129"/>
      <c r="U430" s="141"/>
      <c r="V430" s="139"/>
      <c r="W430" s="129"/>
      <c r="X430" s="129"/>
      <c r="Y430" s="129"/>
      <c r="Z430" s="129"/>
      <c r="AA430" s="129"/>
      <c r="AB430" s="115"/>
      <c r="AC430" s="129"/>
      <c r="AD430" s="149"/>
      <c r="AE430" s="129"/>
      <c r="AF430" s="129"/>
      <c r="AG430" s="129"/>
    </row>
    <row r="431" spans="3:33" x14ac:dyDescent="0.35">
      <c r="C431" s="129"/>
      <c r="D431" s="129"/>
      <c r="E431" s="129"/>
      <c r="F431" s="129"/>
      <c r="G431" s="129"/>
      <c r="H431" s="129"/>
      <c r="I431" s="129"/>
      <c r="J431" s="110"/>
      <c r="K431" s="129"/>
      <c r="L431" t="s">
        <v>351</v>
      </c>
      <c r="M431" s="129"/>
      <c r="N431" s="129"/>
      <c r="O431" s="129"/>
      <c r="P431" s="129"/>
      <c r="Q431" s="129"/>
      <c r="R431" s="129"/>
      <c r="S431" s="129"/>
      <c r="T431" s="129"/>
      <c r="U431" s="141"/>
      <c r="V431" s="139"/>
      <c r="W431" s="129"/>
      <c r="X431" s="129"/>
      <c r="Y431" s="129"/>
      <c r="Z431" s="129"/>
      <c r="AA431" s="129"/>
      <c r="AB431" s="115"/>
      <c r="AC431" s="129"/>
      <c r="AD431" s="149"/>
      <c r="AE431" s="129"/>
      <c r="AF431" s="129"/>
      <c r="AG431" s="129"/>
    </row>
    <row r="432" spans="3:33" x14ac:dyDescent="0.35">
      <c r="C432" s="129"/>
      <c r="D432" s="129"/>
      <c r="E432" s="129"/>
      <c r="F432" s="129"/>
      <c r="G432" s="129"/>
      <c r="H432" s="129"/>
      <c r="I432" s="129"/>
      <c r="J432" s="110"/>
      <c r="K432" s="129"/>
      <c r="L432" t="s">
        <v>351</v>
      </c>
      <c r="M432" s="129"/>
      <c r="N432" s="129"/>
      <c r="O432" s="129"/>
      <c r="P432" s="129"/>
      <c r="Q432" s="129"/>
      <c r="R432" s="129"/>
      <c r="S432" s="129"/>
      <c r="T432" s="129"/>
      <c r="U432" s="141"/>
      <c r="V432" s="139"/>
      <c r="W432" s="129"/>
      <c r="X432" s="129"/>
      <c r="Y432" s="129"/>
      <c r="Z432" s="129"/>
      <c r="AA432" s="129"/>
      <c r="AB432" s="115"/>
      <c r="AC432" s="129"/>
      <c r="AD432" s="149"/>
      <c r="AE432" s="129"/>
      <c r="AF432" s="129"/>
      <c r="AG432" s="129"/>
    </row>
    <row r="433" spans="3:33" x14ac:dyDescent="0.35">
      <c r="C433" s="129"/>
      <c r="D433" s="129"/>
      <c r="E433" s="129"/>
      <c r="F433" s="129"/>
      <c r="G433" s="129"/>
      <c r="H433" s="129"/>
      <c r="I433" s="129"/>
      <c r="J433" s="110"/>
      <c r="K433" s="129"/>
      <c r="L433" t="s">
        <v>351</v>
      </c>
      <c r="M433" s="129"/>
      <c r="N433" s="129"/>
      <c r="O433" s="129"/>
      <c r="P433" s="129"/>
      <c r="Q433" s="129"/>
      <c r="R433" s="129"/>
      <c r="S433" s="129"/>
      <c r="T433" s="129"/>
      <c r="U433" s="141"/>
      <c r="V433" s="139"/>
      <c r="W433" s="129"/>
      <c r="X433" s="129"/>
      <c r="Y433" s="129"/>
      <c r="Z433" s="129"/>
      <c r="AA433" s="129"/>
      <c r="AB433" s="115"/>
      <c r="AC433" s="129"/>
      <c r="AD433" s="149"/>
      <c r="AE433" s="129"/>
      <c r="AF433" s="129"/>
      <c r="AG433" s="129"/>
    </row>
    <row r="434" spans="3:33" x14ac:dyDescent="0.35">
      <c r="C434" s="129"/>
      <c r="D434" s="129"/>
      <c r="E434" s="129"/>
      <c r="F434" s="129"/>
      <c r="G434" s="129"/>
      <c r="H434" s="129"/>
      <c r="I434" s="129"/>
      <c r="J434" s="110"/>
      <c r="K434" s="129"/>
      <c r="L434" t="s">
        <v>351</v>
      </c>
      <c r="M434" s="129"/>
      <c r="N434" s="129"/>
      <c r="O434" s="129"/>
      <c r="P434" s="129"/>
      <c r="Q434" s="129"/>
      <c r="R434" s="129"/>
      <c r="S434" s="129"/>
      <c r="T434" s="129"/>
      <c r="U434" s="141"/>
      <c r="V434" s="139"/>
      <c r="W434" s="129"/>
      <c r="X434" s="129"/>
      <c r="Y434" s="129"/>
      <c r="Z434" s="129"/>
      <c r="AA434" s="129"/>
      <c r="AB434" s="115"/>
      <c r="AC434" s="129"/>
      <c r="AD434" s="149"/>
      <c r="AE434" s="129"/>
      <c r="AF434" s="129"/>
      <c r="AG434" s="129"/>
    </row>
    <row r="435" spans="3:33" x14ac:dyDescent="0.35">
      <c r="C435" s="129"/>
      <c r="D435" s="129"/>
      <c r="E435" s="129"/>
      <c r="F435" s="129"/>
      <c r="G435" s="129"/>
      <c r="H435" s="129"/>
      <c r="I435" s="129"/>
      <c r="J435" s="110"/>
      <c r="K435" s="129"/>
      <c r="L435" t="s">
        <v>351</v>
      </c>
      <c r="M435" s="129"/>
      <c r="N435" s="129"/>
      <c r="O435" s="129"/>
      <c r="P435" s="129"/>
      <c r="Q435" s="129"/>
      <c r="R435" s="129"/>
      <c r="S435" s="129"/>
      <c r="T435" s="129"/>
      <c r="U435" s="141"/>
      <c r="V435" s="139"/>
      <c r="W435" s="129"/>
      <c r="X435" s="129"/>
      <c r="Y435" s="129"/>
      <c r="Z435" s="129"/>
      <c r="AA435" s="129"/>
      <c r="AB435" s="115"/>
      <c r="AC435" s="129"/>
      <c r="AD435" s="149"/>
      <c r="AE435" s="129"/>
      <c r="AF435" s="129"/>
      <c r="AG435" s="129"/>
    </row>
    <row r="436" spans="3:33" x14ac:dyDescent="0.35">
      <c r="C436" s="129"/>
      <c r="D436" s="129"/>
      <c r="E436" s="129"/>
      <c r="F436" s="129"/>
      <c r="G436" s="129"/>
      <c r="H436" s="129"/>
      <c r="I436" s="129"/>
      <c r="J436" s="110"/>
      <c r="K436" s="129"/>
      <c r="L436" t="s">
        <v>351</v>
      </c>
      <c r="M436" s="129"/>
      <c r="N436" s="129"/>
      <c r="O436" s="129"/>
      <c r="P436" s="129"/>
      <c r="Q436" s="129"/>
      <c r="R436" s="129"/>
      <c r="S436" s="129"/>
      <c r="T436" s="129"/>
      <c r="U436" s="141"/>
      <c r="V436" s="139"/>
      <c r="W436" s="129"/>
      <c r="X436" s="129"/>
      <c r="Y436" s="129"/>
      <c r="Z436" s="129"/>
      <c r="AA436" s="129"/>
      <c r="AB436" s="115"/>
      <c r="AC436" s="129"/>
      <c r="AD436" s="149"/>
      <c r="AE436" s="129"/>
      <c r="AF436" s="129"/>
      <c r="AG436" s="129"/>
    </row>
    <row r="437" spans="3:33" x14ac:dyDescent="0.35">
      <c r="C437" s="129"/>
      <c r="D437" s="129"/>
      <c r="E437" s="129"/>
      <c r="F437" s="129"/>
      <c r="G437" s="129"/>
      <c r="H437" s="129"/>
      <c r="I437" s="129"/>
      <c r="J437" s="110"/>
      <c r="K437" s="129"/>
      <c r="L437" t="s">
        <v>351</v>
      </c>
      <c r="M437" s="129"/>
      <c r="N437" s="129"/>
      <c r="O437" s="129"/>
      <c r="P437" s="129"/>
      <c r="Q437" s="129"/>
      <c r="R437" s="129"/>
      <c r="S437" s="129"/>
      <c r="T437" s="129"/>
      <c r="U437" s="141"/>
      <c r="V437" s="139"/>
      <c r="W437" s="129"/>
      <c r="X437" s="129"/>
      <c r="Y437" s="129"/>
      <c r="Z437" s="129"/>
      <c r="AA437" s="129"/>
      <c r="AB437" s="115"/>
      <c r="AC437" s="129"/>
      <c r="AD437" s="149"/>
      <c r="AE437" s="129"/>
      <c r="AF437" s="129"/>
      <c r="AG437" s="129"/>
    </row>
    <row r="438" spans="3:33" x14ac:dyDescent="0.35">
      <c r="C438" s="129"/>
      <c r="D438" s="129"/>
      <c r="E438" s="129"/>
      <c r="F438" s="129"/>
      <c r="G438" s="129"/>
      <c r="H438" s="129"/>
      <c r="I438" s="129"/>
      <c r="J438" s="110"/>
      <c r="K438" s="129"/>
      <c r="L438" t="s">
        <v>351</v>
      </c>
      <c r="M438" s="129"/>
      <c r="N438" s="129"/>
      <c r="O438" s="129"/>
      <c r="P438" s="129"/>
      <c r="Q438" s="129"/>
      <c r="R438" s="129"/>
      <c r="S438" s="129"/>
      <c r="T438" s="129"/>
      <c r="U438" s="141"/>
      <c r="V438" s="139"/>
      <c r="W438" s="129"/>
      <c r="X438" s="129"/>
      <c r="Y438" s="129"/>
      <c r="Z438" s="129"/>
      <c r="AA438" s="129"/>
      <c r="AB438" s="115"/>
      <c r="AC438" s="129"/>
      <c r="AD438" s="149"/>
      <c r="AE438" s="129"/>
      <c r="AF438" s="129"/>
      <c r="AG438" s="129"/>
    </row>
    <row r="439" spans="3:33" x14ac:dyDescent="0.35">
      <c r="C439" s="129"/>
      <c r="D439" s="129"/>
      <c r="E439" s="129"/>
      <c r="F439" s="129"/>
      <c r="G439" s="129"/>
      <c r="H439" s="129"/>
      <c r="I439" s="129"/>
      <c r="J439" s="110"/>
      <c r="K439" s="129"/>
      <c r="L439" t="s">
        <v>351</v>
      </c>
      <c r="M439" s="129"/>
      <c r="N439" s="129"/>
      <c r="O439" s="129"/>
      <c r="P439" s="129"/>
      <c r="Q439" s="129"/>
      <c r="R439" s="129"/>
      <c r="S439" s="129"/>
      <c r="T439" s="129"/>
      <c r="U439" s="141"/>
      <c r="V439" s="139"/>
      <c r="W439" s="129"/>
      <c r="X439" s="129"/>
      <c r="Y439" s="129"/>
      <c r="Z439" s="129"/>
      <c r="AA439" s="129"/>
      <c r="AB439" s="115"/>
      <c r="AC439" s="129"/>
      <c r="AD439" s="149"/>
      <c r="AE439" s="129"/>
      <c r="AF439" s="129"/>
      <c r="AG439" s="129"/>
    </row>
    <row r="440" spans="3:33" x14ac:dyDescent="0.35">
      <c r="C440" s="129"/>
      <c r="D440" s="129"/>
      <c r="E440" s="129"/>
      <c r="F440" s="129"/>
      <c r="G440" s="129"/>
      <c r="H440" s="129"/>
      <c r="I440" s="129"/>
      <c r="J440" s="110"/>
      <c r="K440" s="129"/>
      <c r="L440" t="s">
        <v>351</v>
      </c>
      <c r="M440" s="129"/>
      <c r="N440" s="129"/>
      <c r="O440" s="129"/>
      <c r="P440" s="129"/>
      <c r="Q440" s="129"/>
      <c r="R440" s="129"/>
      <c r="S440" s="129"/>
      <c r="T440" s="129"/>
      <c r="U440" s="141"/>
      <c r="V440" s="139"/>
      <c r="W440" s="129"/>
      <c r="X440" s="129"/>
      <c r="Y440" s="129"/>
      <c r="Z440" s="129"/>
      <c r="AA440" s="129"/>
      <c r="AB440" s="115"/>
      <c r="AC440" s="129"/>
      <c r="AD440" s="149"/>
      <c r="AE440" s="129"/>
      <c r="AF440" s="129"/>
      <c r="AG440" s="129"/>
    </row>
    <row r="441" spans="3:33" x14ac:dyDescent="0.35">
      <c r="C441" s="129"/>
      <c r="D441" s="129"/>
      <c r="E441" s="129"/>
      <c r="F441" s="129"/>
      <c r="G441" s="129"/>
      <c r="H441" s="129"/>
      <c r="I441" s="129"/>
      <c r="J441" s="110"/>
      <c r="K441" s="129"/>
      <c r="L441" t="s">
        <v>351</v>
      </c>
      <c r="M441" s="129"/>
      <c r="N441" s="129"/>
      <c r="O441" s="129"/>
      <c r="P441" s="129"/>
      <c r="Q441" s="129"/>
      <c r="R441" s="129"/>
      <c r="S441" s="129"/>
      <c r="T441" s="129"/>
      <c r="U441" s="141"/>
      <c r="V441" s="139"/>
      <c r="W441" s="129"/>
      <c r="X441" s="129"/>
      <c r="Y441" s="129"/>
      <c r="Z441" s="129"/>
      <c r="AA441" s="129"/>
      <c r="AB441" s="115"/>
      <c r="AC441" s="129"/>
      <c r="AD441" s="149"/>
      <c r="AE441" s="129"/>
      <c r="AF441" s="129"/>
      <c r="AG441" s="129"/>
    </row>
    <row r="442" spans="3:33" x14ac:dyDescent="0.35">
      <c r="C442" s="129"/>
      <c r="D442" s="129"/>
      <c r="E442" s="129"/>
      <c r="F442" s="129"/>
      <c r="G442" s="129"/>
      <c r="H442" s="129"/>
      <c r="I442" s="129"/>
      <c r="J442" s="110"/>
      <c r="K442" s="129"/>
      <c r="L442" t="s">
        <v>351</v>
      </c>
      <c r="M442" s="129"/>
      <c r="N442" s="129"/>
      <c r="O442" s="129"/>
      <c r="P442" s="129"/>
      <c r="Q442" s="129"/>
      <c r="R442" s="129"/>
      <c r="S442" s="129"/>
      <c r="T442" s="129"/>
      <c r="U442" s="141"/>
      <c r="V442" s="139"/>
      <c r="W442" s="129"/>
      <c r="X442" s="129"/>
      <c r="Y442" s="129"/>
      <c r="Z442" s="129"/>
      <c r="AA442" s="129"/>
      <c r="AB442" s="115"/>
      <c r="AC442" s="129"/>
      <c r="AD442" s="149"/>
      <c r="AE442" s="129"/>
      <c r="AF442" s="129"/>
      <c r="AG442" s="129"/>
    </row>
    <row r="443" spans="3:33" x14ac:dyDescent="0.35">
      <c r="C443" s="129"/>
      <c r="D443" s="129"/>
      <c r="E443" s="129"/>
      <c r="F443" s="129"/>
      <c r="G443" s="129"/>
      <c r="H443" s="129"/>
      <c r="I443" s="129"/>
      <c r="J443" s="110"/>
      <c r="K443" s="129"/>
      <c r="L443" t="s">
        <v>351</v>
      </c>
      <c r="M443" s="129"/>
      <c r="N443" s="129"/>
      <c r="O443" s="129"/>
      <c r="P443" s="129"/>
      <c r="Q443" s="129"/>
      <c r="R443" s="129"/>
      <c r="S443" s="129"/>
      <c r="T443" s="129"/>
      <c r="U443" s="141"/>
      <c r="V443" s="139"/>
      <c r="W443" s="129"/>
      <c r="X443" s="129"/>
      <c r="Y443" s="129"/>
      <c r="Z443" s="129"/>
      <c r="AA443" s="129"/>
      <c r="AB443" s="115"/>
      <c r="AC443" s="129"/>
      <c r="AD443" s="149"/>
      <c r="AE443" s="129"/>
      <c r="AF443" s="129"/>
      <c r="AG443" s="129"/>
    </row>
    <row r="444" spans="3:33" x14ac:dyDescent="0.35">
      <c r="C444" s="129"/>
      <c r="D444" s="129"/>
      <c r="E444" s="129"/>
      <c r="F444" s="129"/>
      <c r="G444" s="129"/>
      <c r="H444" s="129"/>
      <c r="I444" s="129"/>
      <c r="J444" s="110"/>
      <c r="K444" s="129"/>
      <c r="L444" t="s">
        <v>351</v>
      </c>
      <c r="M444" s="129"/>
      <c r="N444" s="129"/>
      <c r="O444" s="129"/>
      <c r="P444" s="129"/>
      <c r="Q444" s="129"/>
      <c r="R444" s="129"/>
      <c r="S444" s="129"/>
      <c r="T444" s="129"/>
      <c r="U444" s="141"/>
      <c r="V444" s="139"/>
      <c r="W444" s="129"/>
      <c r="X444" s="129"/>
      <c r="Y444" s="129"/>
      <c r="Z444" s="129"/>
      <c r="AA444" s="129"/>
      <c r="AB444" s="115"/>
      <c r="AC444" s="129"/>
      <c r="AD444" s="149"/>
      <c r="AE444" s="129"/>
      <c r="AF444" s="129"/>
      <c r="AG444" s="129"/>
    </row>
    <row r="445" spans="3:33" x14ac:dyDescent="0.35">
      <c r="C445" s="129"/>
      <c r="D445" s="129"/>
      <c r="E445" s="129"/>
      <c r="F445" s="129"/>
      <c r="G445" s="129"/>
      <c r="H445" s="129"/>
      <c r="I445" s="129"/>
      <c r="J445" s="110"/>
      <c r="K445" s="129"/>
      <c r="L445" t="s">
        <v>351</v>
      </c>
      <c r="M445" s="129"/>
      <c r="N445" s="129"/>
      <c r="O445" s="129"/>
      <c r="P445" s="129"/>
      <c r="Q445" s="129"/>
      <c r="R445" s="129"/>
      <c r="S445" s="129"/>
      <c r="T445" s="129"/>
      <c r="U445" s="141"/>
      <c r="V445" s="139"/>
      <c r="W445" s="129"/>
      <c r="X445" s="129"/>
      <c r="Y445" s="129"/>
      <c r="Z445" s="129"/>
      <c r="AA445" s="129"/>
      <c r="AB445" s="115"/>
      <c r="AC445" s="129"/>
      <c r="AD445" s="149"/>
      <c r="AE445" s="129"/>
      <c r="AF445" s="129"/>
      <c r="AG445" s="129"/>
    </row>
    <row r="446" spans="3:33" x14ac:dyDescent="0.35">
      <c r="C446" s="129"/>
      <c r="D446" s="129"/>
      <c r="E446" s="129"/>
      <c r="F446" s="129"/>
      <c r="G446" s="129"/>
      <c r="H446" s="129"/>
      <c r="I446" s="129"/>
      <c r="J446" s="110"/>
      <c r="K446" s="129"/>
      <c r="L446" t="s">
        <v>351</v>
      </c>
      <c r="M446" s="129"/>
      <c r="N446" s="129"/>
      <c r="O446" s="129"/>
      <c r="P446" s="129"/>
      <c r="Q446" s="129"/>
      <c r="R446" s="129"/>
      <c r="S446" s="129"/>
      <c r="T446" s="129"/>
      <c r="U446" s="141"/>
      <c r="V446" s="139"/>
      <c r="W446" s="129"/>
      <c r="X446" s="129"/>
      <c r="Y446" s="129"/>
      <c r="Z446" s="129"/>
      <c r="AA446" s="129"/>
      <c r="AB446" s="115"/>
      <c r="AC446" s="129"/>
      <c r="AD446" s="149"/>
      <c r="AE446" s="129"/>
      <c r="AF446" s="129"/>
      <c r="AG446" s="129"/>
    </row>
    <row r="447" spans="3:33" x14ac:dyDescent="0.35">
      <c r="C447" s="129"/>
      <c r="D447" s="129"/>
      <c r="E447" s="129"/>
      <c r="F447" s="129"/>
      <c r="G447" s="129"/>
      <c r="H447" s="129"/>
      <c r="I447" s="129"/>
      <c r="J447" s="110"/>
      <c r="K447" s="129"/>
      <c r="L447" t="s">
        <v>351</v>
      </c>
      <c r="M447" s="129"/>
      <c r="N447" s="129"/>
      <c r="O447" s="129"/>
      <c r="P447" s="129"/>
      <c r="Q447" s="129"/>
      <c r="R447" s="129"/>
      <c r="S447" s="129"/>
      <c r="T447" s="129"/>
      <c r="U447" s="141"/>
      <c r="V447" s="139"/>
      <c r="W447" s="129"/>
      <c r="X447" s="129"/>
      <c r="Y447" s="129"/>
      <c r="Z447" s="129"/>
      <c r="AA447" s="129"/>
      <c r="AB447" s="115"/>
      <c r="AC447" s="129"/>
      <c r="AD447" s="149"/>
      <c r="AE447" s="129"/>
      <c r="AF447" s="129"/>
      <c r="AG447" s="129"/>
    </row>
    <row r="448" spans="3:33" x14ac:dyDescent="0.35">
      <c r="C448" s="129"/>
      <c r="D448" s="129"/>
      <c r="E448" s="129"/>
      <c r="F448" s="129"/>
      <c r="G448" s="129"/>
      <c r="H448" s="129"/>
      <c r="I448" s="129"/>
      <c r="J448" s="110"/>
      <c r="K448" s="129"/>
      <c r="L448" t="s">
        <v>351</v>
      </c>
      <c r="M448" s="129"/>
      <c r="N448" s="129"/>
      <c r="O448" s="129"/>
      <c r="P448" s="129"/>
      <c r="Q448" s="129"/>
      <c r="R448" s="129"/>
      <c r="S448" s="129"/>
      <c r="T448" s="129"/>
      <c r="U448" s="141"/>
      <c r="V448" s="139"/>
      <c r="W448" s="129"/>
      <c r="X448" s="129"/>
      <c r="Y448" s="129"/>
      <c r="Z448" s="129"/>
      <c r="AA448" s="129"/>
      <c r="AB448" s="115"/>
      <c r="AC448" s="129"/>
      <c r="AD448" s="149"/>
      <c r="AE448" s="129"/>
      <c r="AF448" s="129"/>
      <c r="AG448" s="129"/>
    </row>
    <row r="449" spans="3:33" x14ac:dyDescent="0.35">
      <c r="C449" s="129"/>
      <c r="D449" s="129"/>
      <c r="E449" s="129"/>
      <c r="F449" s="129"/>
      <c r="G449" s="129"/>
      <c r="H449" s="129"/>
      <c r="I449" s="129"/>
      <c r="J449" s="110"/>
      <c r="K449" s="129"/>
      <c r="L449" t="s">
        <v>351</v>
      </c>
      <c r="M449" s="129"/>
      <c r="N449" s="129"/>
      <c r="O449" s="129"/>
      <c r="P449" s="129"/>
      <c r="Q449" s="129"/>
      <c r="R449" s="129"/>
      <c r="S449" s="129"/>
      <c r="T449" s="129"/>
      <c r="U449" s="141"/>
      <c r="V449" s="139"/>
      <c r="W449" s="129"/>
      <c r="X449" s="129"/>
      <c r="Y449" s="129"/>
      <c r="Z449" s="129"/>
      <c r="AA449" s="129"/>
      <c r="AB449" s="115"/>
      <c r="AC449" s="129"/>
      <c r="AD449" s="149"/>
      <c r="AE449" s="129"/>
      <c r="AF449" s="129"/>
      <c r="AG449" s="129"/>
    </row>
    <row r="450" spans="3:33" x14ac:dyDescent="0.35">
      <c r="C450" s="129"/>
      <c r="D450" s="129"/>
      <c r="E450" s="129"/>
      <c r="F450" s="129"/>
      <c r="G450" s="129"/>
      <c r="H450" s="129"/>
      <c r="I450" s="129"/>
      <c r="J450" s="110"/>
      <c r="K450" s="129"/>
      <c r="L450" t="s">
        <v>351</v>
      </c>
      <c r="M450" s="129"/>
      <c r="N450" s="129"/>
      <c r="O450" s="129"/>
      <c r="P450" s="129"/>
      <c r="Q450" s="129"/>
      <c r="R450" s="129"/>
      <c r="S450" s="129"/>
      <c r="T450" s="129"/>
      <c r="U450" s="141"/>
      <c r="V450" s="139"/>
      <c r="W450" s="129"/>
      <c r="X450" s="129"/>
      <c r="Y450" s="129"/>
      <c r="Z450" s="129"/>
      <c r="AA450" s="129"/>
      <c r="AB450" s="115"/>
      <c r="AC450" s="129"/>
      <c r="AD450" s="149"/>
      <c r="AE450" s="129"/>
      <c r="AF450" s="129"/>
      <c r="AG450" s="129"/>
    </row>
    <row r="451" spans="3:33" x14ac:dyDescent="0.35">
      <c r="C451" s="129"/>
      <c r="D451" s="129"/>
      <c r="E451" s="129"/>
      <c r="F451" s="129"/>
      <c r="G451" s="129"/>
      <c r="H451" s="129"/>
      <c r="I451" s="129"/>
      <c r="J451" s="110"/>
      <c r="K451" s="129"/>
      <c r="L451" t="s">
        <v>351</v>
      </c>
      <c r="M451" s="129"/>
      <c r="N451" s="129"/>
      <c r="O451" s="129"/>
      <c r="P451" s="129"/>
      <c r="Q451" s="129"/>
      <c r="R451" s="129"/>
      <c r="S451" s="129"/>
      <c r="T451" s="129"/>
      <c r="U451" s="141"/>
      <c r="V451" s="139"/>
      <c r="W451" s="129"/>
      <c r="X451" s="129"/>
      <c r="Y451" s="129"/>
      <c r="Z451" s="129"/>
      <c r="AA451" s="129"/>
      <c r="AB451" s="115"/>
      <c r="AC451" s="129"/>
      <c r="AD451" s="149"/>
      <c r="AE451" s="129"/>
      <c r="AF451" s="129"/>
      <c r="AG451" s="129"/>
    </row>
    <row r="452" spans="3:33" x14ac:dyDescent="0.35">
      <c r="C452" s="129"/>
      <c r="D452" s="129"/>
      <c r="E452" s="129"/>
      <c r="F452" s="129"/>
      <c r="G452" s="129"/>
      <c r="H452" s="129"/>
      <c r="I452" s="129"/>
      <c r="J452" s="110"/>
      <c r="K452" s="129"/>
      <c r="L452" t="s">
        <v>351</v>
      </c>
      <c r="M452" s="129"/>
      <c r="N452" s="129"/>
      <c r="O452" s="129"/>
      <c r="P452" s="129"/>
      <c r="Q452" s="129"/>
      <c r="R452" s="129"/>
      <c r="S452" s="129"/>
      <c r="T452" s="129"/>
      <c r="U452" s="141"/>
      <c r="V452" s="139"/>
      <c r="W452" s="129"/>
      <c r="X452" s="129"/>
      <c r="Y452" s="129"/>
      <c r="Z452" s="129"/>
      <c r="AA452" s="129"/>
      <c r="AB452" s="115"/>
      <c r="AC452" s="129"/>
      <c r="AD452" s="149"/>
      <c r="AE452" s="129"/>
      <c r="AF452" s="129"/>
      <c r="AG452" s="129"/>
    </row>
    <row r="453" spans="3:33" x14ac:dyDescent="0.35">
      <c r="C453" s="129"/>
      <c r="D453" s="129"/>
      <c r="E453" s="129"/>
      <c r="F453" s="129"/>
      <c r="G453" s="129"/>
      <c r="H453" s="129"/>
      <c r="I453" s="129"/>
      <c r="J453" s="110"/>
      <c r="K453" s="129"/>
      <c r="L453" t="s">
        <v>351</v>
      </c>
      <c r="M453" s="129"/>
      <c r="N453" s="129"/>
      <c r="O453" s="129"/>
      <c r="P453" s="129"/>
      <c r="Q453" s="129"/>
      <c r="R453" s="129"/>
      <c r="S453" s="129"/>
      <c r="T453" s="129"/>
      <c r="U453" s="141"/>
      <c r="V453" s="139"/>
      <c r="W453" s="129"/>
      <c r="X453" s="129"/>
      <c r="Y453" s="129"/>
      <c r="Z453" s="129"/>
      <c r="AA453" s="129"/>
      <c r="AB453" s="115"/>
      <c r="AC453" s="129"/>
      <c r="AD453" s="149"/>
      <c r="AE453" s="129"/>
      <c r="AF453" s="129"/>
      <c r="AG453" s="129"/>
    </row>
    <row r="454" spans="3:33" x14ac:dyDescent="0.35">
      <c r="C454" s="129"/>
      <c r="D454" s="129"/>
      <c r="E454" s="129"/>
      <c r="F454" s="129"/>
      <c r="G454" s="129"/>
      <c r="H454" s="129"/>
      <c r="I454" s="129"/>
      <c r="J454" s="110"/>
      <c r="K454" s="129"/>
      <c r="L454" t="s">
        <v>351</v>
      </c>
      <c r="M454" s="129"/>
      <c r="N454" s="129"/>
      <c r="O454" s="129"/>
      <c r="P454" s="129"/>
      <c r="Q454" s="129"/>
      <c r="R454" s="129"/>
      <c r="S454" s="129"/>
      <c r="T454" s="129"/>
      <c r="U454" s="141"/>
      <c r="V454" s="139"/>
      <c r="W454" s="129"/>
      <c r="X454" s="129"/>
      <c r="Y454" s="129"/>
      <c r="Z454" s="129"/>
      <c r="AA454" s="129"/>
      <c r="AB454" s="115"/>
      <c r="AC454" s="129"/>
      <c r="AD454" s="149"/>
      <c r="AE454" s="129"/>
      <c r="AF454" s="129"/>
      <c r="AG454" s="129"/>
    </row>
    <row r="455" spans="3:33" x14ac:dyDescent="0.35">
      <c r="C455" s="129"/>
      <c r="D455" s="129"/>
      <c r="E455" s="129"/>
      <c r="F455" s="129"/>
      <c r="G455" s="129"/>
      <c r="H455" s="129"/>
      <c r="I455" s="129"/>
      <c r="J455" s="110"/>
      <c r="K455" s="129"/>
      <c r="L455" t="s">
        <v>351</v>
      </c>
      <c r="M455" s="129"/>
      <c r="N455" s="129"/>
      <c r="O455" s="129"/>
      <c r="P455" s="129"/>
      <c r="Q455" s="129"/>
      <c r="R455" s="129"/>
      <c r="S455" s="129"/>
      <c r="T455" s="129"/>
      <c r="U455" s="141"/>
      <c r="V455" s="139"/>
      <c r="W455" s="129"/>
      <c r="X455" s="129"/>
      <c r="Y455" s="129"/>
      <c r="Z455" s="129"/>
      <c r="AA455" s="129"/>
      <c r="AB455" s="115"/>
      <c r="AC455" s="129"/>
      <c r="AD455" s="149"/>
      <c r="AE455" s="129"/>
      <c r="AF455" s="129"/>
      <c r="AG455" s="129"/>
    </row>
    <row r="456" spans="3:33" x14ac:dyDescent="0.35">
      <c r="C456" s="129"/>
      <c r="D456" s="129"/>
      <c r="E456" s="129"/>
      <c r="F456" s="129"/>
      <c r="G456" s="129"/>
      <c r="H456" s="129"/>
      <c r="I456" s="129"/>
      <c r="J456" s="110"/>
      <c r="K456" s="129"/>
      <c r="L456" t="s">
        <v>351</v>
      </c>
      <c r="M456" s="129"/>
      <c r="N456" s="129"/>
      <c r="O456" s="129"/>
      <c r="P456" s="129"/>
      <c r="Q456" s="129"/>
      <c r="R456" s="129"/>
      <c r="S456" s="129"/>
      <c r="T456" s="129"/>
      <c r="U456" s="141"/>
      <c r="V456" s="139"/>
      <c r="W456" s="129"/>
      <c r="X456" s="129"/>
      <c r="Y456" s="129"/>
      <c r="Z456" s="129"/>
      <c r="AA456" s="129"/>
      <c r="AB456" s="115"/>
      <c r="AC456" s="129"/>
      <c r="AD456" s="149"/>
      <c r="AE456" s="129"/>
      <c r="AF456" s="129"/>
      <c r="AG456" s="129"/>
    </row>
    <row r="457" spans="3:33" x14ac:dyDescent="0.35">
      <c r="C457" s="129"/>
      <c r="D457" s="129"/>
      <c r="E457" s="129"/>
      <c r="F457" s="129"/>
      <c r="G457" s="129"/>
      <c r="H457" s="129"/>
      <c r="I457" s="129"/>
      <c r="J457" s="110"/>
      <c r="K457" s="129"/>
      <c r="L457" t="s">
        <v>351</v>
      </c>
      <c r="M457" s="129"/>
      <c r="N457" s="129"/>
      <c r="O457" s="129"/>
      <c r="P457" s="129"/>
      <c r="Q457" s="129"/>
      <c r="R457" s="129"/>
      <c r="S457" s="129"/>
      <c r="T457" s="129"/>
      <c r="U457" s="141"/>
      <c r="V457" s="139"/>
      <c r="W457" s="129"/>
      <c r="X457" s="129"/>
      <c r="Y457" s="129"/>
      <c r="Z457" s="129"/>
      <c r="AA457" s="129"/>
      <c r="AB457" s="115"/>
      <c r="AC457" s="129"/>
      <c r="AD457" s="149"/>
      <c r="AE457" s="129"/>
      <c r="AF457" s="129"/>
      <c r="AG457" s="129"/>
    </row>
    <row r="458" spans="3:33" x14ac:dyDescent="0.35">
      <c r="C458" s="129"/>
      <c r="D458" s="129"/>
      <c r="E458" s="129"/>
      <c r="F458" s="129"/>
      <c r="G458" s="129"/>
      <c r="H458" s="129"/>
      <c r="I458" s="129"/>
      <c r="J458" s="110"/>
      <c r="K458" s="129"/>
      <c r="L458" t="s">
        <v>351</v>
      </c>
      <c r="M458" s="129"/>
      <c r="N458" s="129"/>
      <c r="O458" s="129"/>
      <c r="P458" s="129"/>
      <c r="Q458" s="129"/>
      <c r="R458" s="129"/>
      <c r="S458" s="129"/>
      <c r="T458" s="129"/>
      <c r="U458" s="141"/>
      <c r="V458" s="139"/>
      <c r="W458" s="129"/>
      <c r="X458" s="129"/>
      <c r="Y458" s="129"/>
      <c r="Z458" s="129"/>
      <c r="AA458" s="129"/>
      <c r="AB458" s="115"/>
      <c r="AC458" s="129"/>
      <c r="AD458" s="149"/>
      <c r="AE458" s="129"/>
      <c r="AF458" s="129"/>
      <c r="AG458" s="129"/>
    </row>
    <row r="459" spans="3:33" x14ac:dyDescent="0.35">
      <c r="C459" s="129"/>
      <c r="D459" s="129"/>
      <c r="E459" s="129"/>
      <c r="F459" s="129"/>
      <c r="G459" s="129"/>
      <c r="H459" s="129"/>
      <c r="I459" s="129"/>
      <c r="J459" s="110"/>
      <c r="K459" s="129"/>
      <c r="L459" t="s">
        <v>351</v>
      </c>
      <c r="M459" s="129"/>
      <c r="N459" s="129"/>
      <c r="O459" s="129"/>
      <c r="P459" s="129"/>
      <c r="Q459" s="129"/>
      <c r="R459" s="129"/>
      <c r="S459" s="129"/>
      <c r="T459" s="129"/>
      <c r="U459" s="141"/>
      <c r="V459" s="139"/>
      <c r="W459" s="129"/>
      <c r="X459" s="129"/>
      <c r="Y459" s="129"/>
      <c r="Z459" s="129"/>
      <c r="AA459" s="129"/>
      <c r="AB459" s="115"/>
      <c r="AC459" s="129"/>
      <c r="AD459" s="149"/>
      <c r="AE459" s="129"/>
      <c r="AF459" s="129"/>
      <c r="AG459" s="129"/>
    </row>
    <row r="460" spans="3:33" x14ac:dyDescent="0.35">
      <c r="C460" s="129"/>
      <c r="D460" s="129"/>
      <c r="E460" s="129"/>
      <c r="F460" s="129"/>
      <c r="G460" s="129"/>
      <c r="H460" s="129"/>
      <c r="I460" s="129"/>
      <c r="J460" s="110"/>
      <c r="K460" s="129"/>
      <c r="L460" t="s">
        <v>351</v>
      </c>
      <c r="M460" s="129"/>
      <c r="N460" s="129"/>
      <c r="O460" s="129"/>
      <c r="P460" s="129"/>
      <c r="Q460" s="129"/>
      <c r="R460" s="129"/>
      <c r="S460" s="129"/>
      <c r="T460" s="129"/>
      <c r="U460" s="141"/>
      <c r="V460" s="139"/>
      <c r="W460" s="129"/>
      <c r="X460" s="129"/>
      <c r="Y460" s="129"/>
      <c r="Z460" s="129"/>
      <c r="AA460" s="129"/>
      <c r="AB460" s="115"/>
      <c r="AC460" s="129"/>
      <c r="AD460" s="149"/>
      <c r="AE460" s="129"/>
      <c r="AF460" s="129"/>
      <c r="AG460" s="129"/>
    </row>
    <row r="461" spans="3:33" x14ac:dyDescent="0.35">
      <c r="C461" s="129"/>
      <c r="D461" s="129"/>
      <c r="E461" s="129"/>
      <c r="F461" s="129"/>
      <c r="G461" s="129"/>
      <c r="H461" s="129"/>
      <c r="I461" s="129"/>
      <c r="J461" s="110"/>
      <c r="K461" s="129"/>
      <c r="L461" t="s">
        <v>351</v>
      </c>
      <c r="M461" s="129"/>
      <c r="N461" s="129"/>
      <c r="O461" s="129"/>
      <c r="P461" s="129"/>
      <c r="Q461" s="129"/>
      <c r="R461" s="129"/>
      <c r="S461" s="129"/>
      <c r="T461" s="129"/>
      <c r="U461" s="141"/>
      <c r="V461" s="139"/>
      <c r="W461" s="129"/>
      <c r="X461" s="129"/>
      <c r="Y461" s="129"/>
      <c r="Z461" s="129"/>
      <c r="AA461" s="129"/>
      <c r="AB461" s="115"/>
      <c r="AC461" s="129"/>
      <c r="AD461" s="149"/>
      <c r="AE461" s="129"/>
      <c r="AF461" s="129"/>
      <c r="AG461" s="129"/>
    </row>
    <row r="462" spans="3:33" x14ac:dyDescent="0.35">
      <c r="C462" s="129"/>
      <c r="D462" s="129"/>
      <c r="E462" s="129"/>
      <c r="F462" s="129"/>
      <c r="G462" s="129"/>
      <c r="H462" s="129"/>
      <c r="I462" s="129"/>
      <c r="J462" s="110"/>
      <c r="K462" s="129"/>
      <c r="L462" t="s">
        <v>351</v>
      </c>
      <c r="M462" s="129"/>
      <c r="N462" s="129"/>
      <c r="O462" s="129"/>
      <c r="P462" s="129"/>
      <c r="Q462" s="129"/>
      <c r="R462" s="129"/>
      <c r="S462" s="129"/>
      <c r="T462" s="129"/>
      <c r="U462" s="141"/>
      <c r="V462" s="139"/>
      <c r="W462" s="129"/>
      <c r="X462" s="129"/>
      <c r="Y462" s="129"/>
      <c r="Z462" s="129"/>
      <c r="AA462" s="129"/>
      <c r="AB462" s="115"/>
      <c r="AC462" s="129"/>
      <c r="AD462" s="149"/>
      <c r="AE462" s="129"/>
      <c r="AF462" s="129"/>
      <c r="AG462" s="129"/>
    </row>
    <row r="463" spans="3:33" x14ac:dyDescent="0.35">
      <c r="C463" s="129"/>
      <c r="D463" s="129"/>
      <c r="E463" s="129"/>
      <c r="F463" s="129"/>
      <c r="G463" s="129"/>
      <c r="H463" s="129"/>
      <c r="I463" s="129"/>
      <c r="J463" s="110"/>
      <c r="K463" s="129"/>
      <c r="L463" t="s">
        <v>351</v>
      </c>
      <c r="M463" s="129"/>
      <c r="N463" s="129"/>
      <c r="O463" s="129"/>
      <c r="P463" s="129"/>
      <c r="Q463" s="129"/>
      <c r="R463" s="129"/>
      <c r="S463" s="129"/>
      <c r="T463" s="129"/>
      <c r="U463" s="141"/>
      <c r="V463" s="139"/>
      <c r="W463" s="129"/>
      <c r="X463" s="129"/>
      <c r="Y463" s="129"/>
      <c r="Z463" s="129"/>
      <c r="AA463" s="129"/>
      <c r="AB463" s="115"/>
      <c r="AC463" s="129"/>
      <c r="AD463" s="149"/>
      <c r="AE463" s="129"/>
      <c r="AF463" s="129"/>
      <c r="AG463" s="129"/>
    </row>
    <row r="464" spans="3:33" x14ac:dyDescent="0.35">
      <c r="C464" s="129"/>
      <c r="D464" s="129"/>
      <c r="E464" s="129"/>
      <c r="F464" s="129"/>
      <c r="G464" s="129"/>
      <c r="H464" s="129"/>
      <c r="I464" s="129"/>
      <c r="J464" s="110"/>
      <c r="K464" s="129"/>
      <c r="L464" t="s">
        <v>351</v>
      </c>
      <c r="M464" s="129"/>
      <c r="N464" s="129"/>
      <c r="O464" s="129"/>
      <c r="P464" s="129"/>
      <c r="Q464" s="129"/>
      <c r="R464" s="129"/>
      <c r="S464" s="129"/>
      <c r="T464" s="129"/>
      <c r="U464" s="141"/>
      <c r="V464" s="139"/>
      <c r="W464" s="129"/>
      <c r="X464" s="129"/>
      <c r="Y464" s="129"/>
      <c r="Z464" s="129"/>
      <c r="AA464" s="129"/>
      <c r="AB464" s="115"/>
      <c r="AC464" s="129"/>
      <c r="AD464" s="149"/>
      <c r="AE464" s="129"/>
      <c r="AF464" s="129"/>
      <c r="AG464" s="129"/>
    </row>
    <row r="465" spans="3:33" x14ac:dyDescent="0.35">
      <c r="C465" s="129"/>
      <c r="D465" s="129"/>
      <c r="E465" s="129"/>
      <c r="F465" s="129"/>
      <c r="G465" s="129"/>
      <c r="H465" s="129"/>
      <c r="I465" s="129"/>
      <c r="J465" s="110"/>
      <c r="K465" s="129"/>
      <c r="L465" t="s">
        <v>351</v>
      </c>
      <c r="M465" s="129"/>
      <c r="N465" s="129"/>
      <c r="O465" s="129"/>
      <c r="P465" s="129"/>
      <c r="Q465" s="129"/>
      <c r="R465" s="129"/>
      <c r="S465" s="129"/>
      <c r="T465" s="129"/>
      <c r="U465" s="141"/>
      <c r="V465" s="139"/>
      <c r="W465" s="129"/>
      <c r="X465" s="129"/>
      <c r="Y465" s="129"/>
      <c r="Z465" s="129"/>
      <c r="AA465" s="129"/>
      <c r="AB465" s="115"/>
      <c r="AC465" s="129"/>
      <c r="AD465" s="149"/>
      <c r="AE465" s="129"/>
      <c r="AF465" s="129"/>
      <c r="AG465" s="129"/>
    </row>
    <row r="466" spans="3:33" x14ac:dyDescent="0.35">
      <c r="C466" s="129"/>
      <c r="D466" s="129"/>
      <c r="E466" s="129"/>
      <c r="F466" s="129"/>
      <c r="G466" s="129"/>
      <c r="H466" s="129"/>
      <c r="I466" s="129"/>
      <c r="J466" s="110"/>
      <c r="K466" s="129"/>
      <c r="L466" t="s">
        <v>351</v>
      </c>
      <c r="M466" s="129"/>
      <c r="N466" s="129"/>
      <c r="O466" s="129"/>
      <c r="P466" s="129"/>
      <c r="Q466" s="129"/>
      <c r="R466" s="129"/>
      <c r="S466" s="129"/>
      <c r="T466" s="129"/>
      <c r="U466" s="141"/>
      <c r="V466" s="139"/>
      <c r="W466" s="129"/>
      <c r="X466" s="129"/>
      <c r="Y466" s="129"/>
      <c r="Z466" s="129"/>
      <c r="AA466" s="129"/>
      <c r="AB466" s="115"/>
      <c r="AC466" s="129"/>
      <c r="AD466" s="149"/>
      <c r="AE466" s="129"/>
      <c r="AF466" s="129"/>
      <c r="AG466" s="129"/>
    </row>
    <row r="467" spans="3:33" x14ac:dyDescent="0.35">
      <c r="C467" s="129"/>
      <c r="D467" s="129"/>
      <c r="E467" s="129"/>
      <c r="F467" s="129"/>
      <c r="G467" s="129"/>
      <c r="H467" s="129"/>
      <c r="I467" s="129"/>
      <c r="J467" s="110"/>
      <c r="K467" s="129"/>
      <c r="L467" t="s">
        <v>351</v>
      </c>
      <c r="M467" s="129"/>
      <c r="N467" s="129"/>
      <c r="O467" s="129"/>
      <c r="P467" s="129"/>
      <c r="Q467" s="129"/>
      <c r="R467" s="129"/>
      <c r="S467" s="129"/>
      <c r="T467" s="129"/>
      <c r="U467" s="141"/>
      <c r="V467" s="139"/>
      <c r="W467" s="129"/>
      <c r="X467" s="129"/>
      <c r="Y467" s="129"/>
      <c r="Z467" s="129"/>
      <c r="AA467" s="129"/>
      <c r="AB467" s="115"/>
      <c r="AC467" s="129"/>
      <c r="AD467" s="149"/>
      <c r="AE467" s="129"/>
      <c r="AF467" s="129"/>
      <c r="AG467" s="129"/>
    </row>
    <row r="468" spans="3:33" x14ac:dyDescent="0.35">
      <c r="C468" s="129"/>
      <c r="D468" s="129"/>
      <c r="E468" s="129"/>
      <c r="F468" s="129"/>
      <c r="G468" s="129"/>
      <c r="H468" s="129"/>
      <c r="I468" s="129"/>
      <c r="J468" s="110"/>
      <c r="K468" s="129"/>
      <c r="L468" t="s">
        <v>351</v>
      </c>
      <c r="M468" s="129"/>
      <c r="N468" s="129"/>
      <c r="O468" s="129"/>
      <c r="P468" s="129"/>
      <c r="Q468" s="129"/>
      <c r="R468" s="129"/>
      <c r="S468" s="129"/>
      <c r="T468" s="129"/>
      <c r="U468" s="141"/>
      <c r="V468" s="139"/>
      <c r="W468" s="129"/>
      <c r="X468" s="129"/>
      <c r="Y468" s="129"/>
      <c r="Z468" s="129"/>
      <c r="AA468" s="129"/>
      <c r="AB468" s="115"/>
      <c r="AC468" s="129"/>
      <c r="AD468" s="149"/>
      <c r="AE468" s="129"/>
      <c r="AF468" s="129"/>
      <c r="AG468" s="129"/>
    </row>
    <row r="469" spans="3:33" x14ac:dyDescent="0.35">
      <c r="C469" s="129"/>
      <c r="D469" s="129"/>
      <c r="E469" s="129"/>
      <c r="F469" s="129"/>
      <c r="G469" s="129"/>
      <c r="H469" s="129"/>
      <c r="I469" s="129"/>
      <c r="J469" s="110"/>
      <c r="K469" s="129"/>
      <c r="L469" t="s">
        <v>351</v>
      </c>
      <c r="M469" s="129"/>
      <c r="N469" s="129"/>
      <c r="O469" s="129"/>
      <c r="P469" s="129"/>
      <c r="Q469" s="129"/>
      <c r="R469" s="129"/>
      <c r="S469" s="129"/>
      <c r="T469" s="129"/>
      <c r="U469" s="141"/>
      <c r="V469" s="139"/>
      <c r="W469" s="129"/>
      <c r="X469" s="129"/>
      <c r="Y469" s="129"/>
      <c r="Z469" s="129"/>
      <c r="AA469" s="129"/>
      <c r="AB469" s="115"/>
      <c r="AC469" s="129"/>
      <c r="AD469" s="149"/>
      <c r="AE469" s="129"/>
      <c r="AF469" s="129"/>
      <c r="AG469" s="129"/>
    </row>
    <row r="470" spans="3:33" x14ac:dyDescent="0.35">
      <c r="C470" s="129"/>
      <c r="D470" s="129"/>
      <c r="E470" s="129"/>
      <c r="F470" s="129"/>
      <c r="G470" s="129"/>
      <c r="H470" s="129"/>
      <c r="I470" s="129"/>
      <c r="J470" s="110"/>
      <c r="K470" s="129"/>
      <c r="L470" t="s">
        <v>351</v>
      </c>
      <c r="M470" s="129"/>
      <c r="N470" s="129"/>
      <c r="O470" s="129"/>
      <c r="P470" s="129"/>
      <c r="Q470" s="129"/>
      <c r="R470" s="129"/>
      <c r="S470" s="129"/>
      <c r="T470" s="129"/>
      <c r="U470" s="141"/>
      <c r="V470" s="139"/>
      <c r="W470" s="129"/>
      <c r="X470" s="129"/>
      <c r="Y470" s="129"/>
      <c r="Z470" s="129"/>
      <c r="AA470" s="129"/>
      <c r="AB470" s="115"/>
      <c r="AC470" s="129"/>
      <c r="AD470" s="149"/>
      <c r="AE470" s="129"/>
      <c r="AF470" s="129"/>
      <c r="AG470" s="129"/>
    </row>
    <row r="471" spans="3:33" x14ac:dyDescent="0.35">
      <c r="C471" s="129"/>
      <c r="D471" s="129"/>
      <c r="E471" s="129"/>
      <c r="F471" s="129"/>
      <c r="G471" s="129"/>
      <c r="H471" s="129"/>
      <c r="I471" s="129"/>
      <c r="J471" s="110"/>
      <c r="K471" s="129"/>
      <c r="L471" t="s">
        <v>351</v>
      </c>
      <c r="M471" s="129"/>
      <c r="N471" s="129"/>
      <c r="O471" s="129"/>
      <c r="P471" s="129"/>
      <c r="Q471" s="129"/>
      <c r="R471" s="129"/>
      <c r="S471" s="129"/>
      <c r="T471" s="129"/>
      <c r="U471" s="141"/>
      <c r="V471" s="139"/>
      <c r="W471" s="129"/>
      <c r="X471" s="129"/>
      <c r="Y471" s="129"/>
      <c r="Z471" s="129"/>
      <c r="AA471" s="129"/>
      <c r="AB471" s="115"/>
      <c r="AC471" s="129"/>
      <c r="AD471" s="149"/>
      <c r="AE471" s="129"/>
      <c r="AF471" s="129"/>
      <c r="AG471" s="129"/>
    </row>
    <row r="472" spans="3:33" x14ac:dyDescent="0.35">
      <c r="C472" s="129"/>
      <c r="D472" s="129"/>
      <c r="E472" s="129"/>
      <c r="F472" s="129"/>
      <c r="G472" s="129"/>
      <c r="H472" s="129"/>
      <c r="I472" s="129"/>
      <c r="J472" s="110"/>
      <c r="K472" s="129"/>
      <c r="L472" t="s">
        <v>351</v>
      </c>
      <c r="M472" s="129"/>
      <c r="N472" s="129"/>
      <c r="O472" s="129"/>
      <c r="P472" s="129"/>
      <c r="Q472" s="129"/>
      <c r="R472" s="129"/>
      <c r="S472" s="129"/>
      <c r="T472" s="129"/>
      <c r="U472" s="141"/>
      <c r="V472" s="139"/>
      <c r="W472" s="129"/>
      <c r="X472" s="129"/>
      <c r="Y472" s="129"/>
      <c r="Z472" s="129"/>
      <c r="AA472" s="129"/>
      <c r="AB472" s="115"/>
      <c r="AC472" s="129"/>
      <c r="AD472" s="149"/>
      <c r="AE472" s="129"/>
      <c r="AF472" s="129"/>
      <c r="AG472" s="129"/>
    </row>
    <row r="473" spans="3:33" x14ac:dyDescent="0.35">
      <c r="C473" s="129"/>
      <c r="D473" s="129"/>
      <c r="E473" s="129"/>
      <c r="F473" s="129"/>
      <c r="G473" s="129"/>
      <c r="H473" s="129"/>
      <c r="I473" s="129"/>
      <c r="J473" s="110"/>
      <c r="K473" s="129"/>
      <c r="L473" t="s">
        <v>351</v>
      </c>
      <c r="M473" s="129"/>
      <c r="N473" s="129"/>
      <c r="O473" s="129"/>
      <c r="P473" s="129"/>
      <c r="Q473" s="129"/>
      <c r="R473" s="129"/>
      <c r="S473" s="129"/>
      <c r="T473" s="129"/>
      <c r="U473" s="141"/>
      <c r="V473" s="139"/>
      <c r="W473" s="129"/>
      <c r="X473" s="129"/>
      <c r="Y473" s="129"/>
      <c r="Z473" s="129"/>
      <c r="AA473" s="129"/>
      <c r="AB473" s="115"/>
      <c r="AC473" s="129"/>
      <c r="AD473" s="149"/>
      <c r="AE473" s="129"/>
      <c r="AF473" s="129"/>
      <c r="AG473" s="129"/>
    </row>
    <row r="474" spans="3:33" x14ac:dyDescent="0.35">
      <c r="C474" s="129"/>
      <c r="D474" s="129"/>
      <c r="E474" s="129"/>
      <c r="F474" s="129"/>
      <c r="G474" s="129"/>
      <c r="H474" s="129"/>
      <c r="I474" s="129"/>
      <c r="J474" s="110"/>
      <c r="K474" s="129"/>
      <c r="L474" t="s">
        <v>351</v>
      </c>
      <c r="M474" s="129"/>
      <c r="N474" s="129"/>
      <c r="O474" s="129"/>
      <c r="P474" s="129"/>
      <c r="Q474" s="129"/>
      <c r="R474" s="129"/>
      <c r="S474" s="129"/>
      <c r="T474" s="129"/>
      <c r="U474" s="141"/>
      <c r="V474" s="139"/>
      <c r="W474" s="129"/>
      <c r="X474" s="129"/>
      <c r="Y474" s="129"/>
      <c r="Z474" s="129"/>
      <c r="AA474" s="129"/>
      <c r="AB474" s="115"/>
      <c r="AC474" s="129"/>
      <c r="AD474" s="149"/>
      <c r="AE474" s="129"/>
      <c r="AF474" s="129"/>
      <c r="AG474" s="129"/>
    </row>
    <row r="475" spans="3:33" x14ac:dyDescent="0.35">
      <c r="C475" s="129"/>
      <c r="D475" s="129"/>
      <c r="E475" s="129"/>
      <c r="F475" s="129"/>
      <c r="G475" s="129"/>
      <c r="H475" s="129"/>
      <c r="I475" s="129"/>
      <c r="J475" s="110"/>
      <c r="K475" s="129"/>
      <c r="L475" t="s">
        <v>351</v>
      </c>
      <c r="M475" s="129"/>
      <c r="N475" s="129"/>
      <c r="O475" s="129"/>
      <c r="P475" s="129"/>
      <c r="Q475" s="129"/>
      <c r="R475" s="129"/>
      <c r="S475" s="129"/>
      <c r="T475" s="129"/>
      <c r="U475" s="141"/>
      <c r="V475" s="139"/>
      <c r="W475" s="129"/>
      <c r="X475" s="129"/>
      <c r="Y475" s="129"/>
      <c r="Z475" s="129"/>
      <c r="AA475" s="129"/>
      <c r="AB475" s="115"/>
      <c r="AC475" s="129"/>
      <c r="AD475" s="149"/>
      <c r="AE475" s="129"/>
      <c r="AF475" s="129"/>
      <c r="AG475" s="129"/>
    </row>
    <row r="476" spans="3:33" x14ac:dyDescent="0.35">
      <c r="C476" s="129"/>
      <c r="D476" s="129"/>
      <c r="E476" s="129"/>
      <c r="F476" s="129"/>
      <c r="G476" s="129"/>
      <c r="H476" s="129"/>
      <c r="I476" s="129"/>
      <c r="J476" s="110"/>
      <c r="K476" s="129"/>
      <c r="L476" t="s">
        <v>351</v>
      </c>
      <c r="M476" s="129"/>
      <c r="N476" s="129"/>
      <c r="O476" s="129"/>
      <c r="P476" s="129"/>
      <c r="Q476" s="129"/>
      <c r="R476" s="129"/>
      <c r="S476" s="129"/>
      <c r="T476" s="129"/>
      <c r="U476" s="141"/>
      <c r="V476" s="139"/>
      <c r="W476" s="129"/>
      <c r="X476" s="129"/>
      <c r="Y476" s="129"/>
      <c r="Z476" s="129"/>
      <c r="AA476" s="129"/>
      <c r="AB476" s="115"/>
      <c r="AC476" s="129"/>
      <c r="AD476" s="149"/>
      <c r="AE476" s="129"/>
      <c r="AF476" s="129"/>
      <c r="AG476" s="129"/>
    </row>
    <row r="477" spans="3:33" x14ac:dyDescent="0.35">
      <c r="C477" s="129"/>
      <c r="D477" s="129"/>
      <c r="E477" s="129"/>
      <c r="F477" s="129"/>
      <c r="G477" s="129"/>
      <c r="H477" s="129"/>
      <c r="I477" s="129"/>
      <c r="J477" s="110"/>
      <c r="K477" s="129"/>
      <c r="L477" t="s">
        <v>351</v>
      </c>
      <c r="M477" s="129"/>
      <c r="N477" s="129"/>
      <c r="O477" s="129"/>
      <c r="P477" s="129"/>
      <c r="Q477" s="129"/>
      <c r="R477" s="129"/>
      <c r="S477" s="129"/>
      <c r="T477" s="129"/>
      <c r="U477" s="141"/>
      <c r="V477" s="139"/>
      <c r="W477" s="129"/>
      <c r="X477" s="129"/>
      <c r="Y477" s="129"/>
      <c r="Z477" s="129"/>
      <c r="AA477" s="129"/>
      <c r="AB477" s="115"/>
      <c r="AC477" s="129"/>
      <c r="AD477" s="149"/>
      <c r="AE477" s="129"/>
      <c r="AF477" s="129"/>
      <c r="AG477" s="129"/>
    </row>
    <row r="478" spans="3:33" x14ac:dyDescent="0.35">
      <c r="C478" s="129"/>
      <c r="D478" s="129"/>
      <c r="E478" s="129"/>
      <c r="F478" s="129"/>
      <c r="G478" s="129"/>
      <c r="H478" s="129"/>
      <c r="I478" s="129"/>
      <c r="J478" s="110"/>
      <c r="K478" s="129"/>
      <c r="L478" t="s">
        <v>351</v>
      </c>
      <c r="M478" s="129"/>
      <c r="N478" s="129"/>
      <c r="O478" s="129"/>
      <c r="P478" s="129"/>
      <c r="Q478" s="129"/>
      <c r="R478" s="129"/>
      <c r="S478" s="129"/>
      <c r="T478" s="129"/>
      <c r="U478" s="141"/>
      <c r="V478" s="139"/>
      <c r="W478" s="129"/>
      <c r="X478" s="129"/>
      <c r="Y478" s="129"/>
      <c r="Z478" s="129"/>
      <c r="AA478" s="129"/>
      <c r="AB478" s="115"/>
      <c r="AC478" s="129"/>
      <c r="AD478" s="149"/>
      <c r="AE478" s="129"/>
      <c r="AF478" s="129"/>
      <c r="AG478" s="129"/>
    </row>
    <row r="479" spans="3:33" x14ac:dyDescent="0.35">
      <c r="C479" s="129"/>
      <c r="D479" s="129"/>
      <c r="E479" s="129"/>
      <c r="F479" s="129"/>
      <c r="G479" s="129"/>
      <c r="H479" s="129"/>
      <c r="I479" s="129"/>
      <c r="J479" s="110"/>
      <c r="K479" s="129"/>
      <c r="L479" t="s">
        <v>351</v>
      </c>
      <c r="M479" s="129"/>
      <c r="N479" s="129"/>
      <c r="O479" s="129"/>
      <c r="P479" s="129"/>
      <c r="Q479" s="129"/>
      <c r="R479" s="129"/>
      <c r="S479" s="129"/>
      <c r="T479" s="129"/>
      <c r="U479" s="141"/>
      <c r="V479" s="139"/>
      <c r="W479" s="129"/>
      <c r="X479" s="129"/>
      <c r="Y479" s="129"/>
      <c r="Z479" s="129"/>
      <c r="AA479" s="129"/>
      <c r="AB479" s="115"/>
      <c r="AC479" s="129"/>
      <c r="AD479" s="149"/>
      <c r="AE479" s="129"/>
      <c r="AF479" s="129"/>
      <c r="AG479" s="129"/>
    </row>
    <row r="480" spans="3:33" x14ac:dyDescent="0.35">
      <c r="C480" s="129"/>
      <c r="D480" s="129"/>
      <c r="E480" s="129"/>
      <c r="F480" s="129"/>
      <c r="G480" s="129"/>
      <c r="H480" s="129"/>
      <c r="I480" s="129"/>
      <c r="J480" s="110"/>
      <c r="K480" s="129"/>
      <c r="L480" t="s">
        <v>351</v>
      </c>
      <c r="M480" s="129"/>
      <c r="N480" s="129"/>
      <c r="O480" s="129"/>
      <c r="P480" s="129"/>
      <c r="Q480" s="129"/>
      <c r="R480" s="129"/>
      <c r="S480" s="129"/>
      <c r="T480" s="129"/>
      <c r="U480" s="141"/>
      <c r="V480" s="139"/>
      <c r="W480" s="129"/>
      <c r="X480" s="129"/>
      <c r="Y480" s="129"/>
      <c r="Z480" s="129"/>
      <c r="AA480" s="129"/>
      <c r="AB480" s="115"/>
      <c r="AC480" s="129"/>
      <c r="AD480" s="149"/>
      <c r="AE480" s="129"/>
      <c r="AF480" s="129"/>
      <c r="AG480" s="129"/>
    </row>
    <row r="481" spans="3:33" x14ac:dyDescent="0.35">
      <c r="C481" s="129"/>
      <c r="D481" s="129"/>
      <c r="E481" s="129"/>
      <c r="F481" s="129"/>
      <c r="G481" s="129"/>
      <c r="H481" s="129"/>
      <c r="I481" s="129"/>
      <c r="J481" s="110"/>
      <c r="K481" s="129"/>
      <c r="L481" t="s">
        <v>351</v>
      </c>
      <c r="M481" s="129"/>
      <c r="N481" s="129"/>
      <c r="O481" s="129"/>
      <c r="P481" s="129"/>
      <c r="Q481" s="129"/>
      <c r="R481" s="129"/>
      <c r="S481" s="129"/>
      <c r="T481" s="129"/>
      <c r="U481" s="141"/>
      <c r="V481" s="139"/>
      <c r="W481" s="129"/>
      <c r="X481" s="129"/>
      <c r="Y481" s="129"/>
      <c r="Z481" s="129"/>
      <c r="AA481" s="129"/>
      <c r="AB481" s="115"/>
      <c r="AC481" s="129"/>
      <c r="AD481" s="149"/>
      <c r="AE481" s="129"/>
      <c r="AF481" s="129"/>
      <c r="AG481" s="129"/>
    </row>
    <row r="482" spans="3:33" x14ac:dyDescent="0.35">
      <c r="C482" s="129"/>
      <c r="D482" s="129"/>
      <c r="E482" s="129"/>
      <c r="F482" s="129"/>
      <c r="G482" s="129"/>
      <c r="H482" s="129"/>
      <c r="I482" s="129"/>
      <c r="J482" s="110"/>
      <c r="K482" s="129"/>
      <c r="L482" t="s">
        <v>351</v>
      </c>
      <c r="M482" s="129"/>
      <c r="N482" s="129"/>
      <c r="O482" s="129"/>
      <c r="P482" s="129"/>
      <c r="Q482" s="129"/>
      <c r="R482" s="129"/>
      <c r="S482" s="129"/>
      <c r="T482" s="129"/>
      <c r="U482" s="141"/>
      <c r="V482" s="139"/>
      <c r="W482" s="129"/>
      <c r="X482" s="129"/>
      <c r="Y482" s="129"/>
      <c r="Z482" s="129"/>
      <c r="AA482" s="129"/>
      <c r="AB482" s="115"/>
      <c r="AC482" s="129"/>
      <c r="AD482" s="149"/>
      <c r="AE482" s="129"/>
      <c r="AF482" s="129"/>
      <c r="AG482" s="129"/>
    </row>
    <row r="483" spans="3:33" x14ac:dyDescent="0.35">
      <c r="C483" s="129"/>
      <c r="D483" s="129"/>
      <c r="E483" s="129"/>
      <c r="F483" s="129"/>
      <c r="G483" s="129"/>
      <c r="H483" s="129"/>
      <c r="I483" s="129"/>
      <c r="J483" s="110"/>
      <c r="K483" s="129"/>
      <c r="L483" t="s">
        <v>351</v>
      </c>
      <c r="M483" s="129"/>
      <c r="N483" s="129"/>
      <c r="O483" s="129"/>
      <c r="P483" s="129"/>
      <c r="Q483" s="129"/>
      <c r="R483" s="129"/>
      <c r="S483" s="129"/>
      <c r="T483" s="129"/>
      <c r="U483" s="141"/>
      <c r="V483" s="139"/>
      <c r="W483" s="129"/>
      <c r="X483" s="129"/>
      <c r="Y483" s="129"/>
      <c r="Z483" s="129"/>
      <c r="AA483" s="129"/>
      <c r="AB483" s="115"/>
      <c r="AC483" s="129"/>
      <c r="AD483" s="149"/>
      <c r="AE483" s="129"/>
      <c r="AF483" s="129"/>
      <c r="AG483" s="129"/>
    </row>
    <row r="484" spans="3:33" x14ac:dyDescent="0.35">
      <c r="C484" s="129"/>
      <c r="D484" s="129"/>
      <c r="E484" s="129"/>
      <c r="F484" s="129"/>
      <c r="G484" s="129"/>
      <c r="H484" s="129"/>
      <c r="I484" s="129"/>
      <c r="J484" s="110"/>
      <c r="K484" s="129"/>
      <c r="L484" t="s">
        <v>351</v>
      </c>
      <c r="M484" s="129"/>
      <c r="N484" s="129"/>
      <c r="O484" s="129"/>
      <c r="P484" s="129"/>
      <c r="Q484" s="129"/>
      <c r="R484" s="129"/>
      <c r="S484" s="129"/>
      <c r="T484" s="129"/>
      <c r="U484" s="141"/>
      <c r="V484" s="139"/>
      <c r="W484" s="129"/>
      <c r="X484" s="129"/>
      <c r="Y484" s="129"/>
      <c r="Z484" s="129"/>
      <c r="AA484" s="129"/>
      <c r="AB484" s="115"/>
      <c r="AC484" s="129"/>
      <c r="AD484" s="149"/>
      <c r="AE484" s="129"/>
      <c r="AF484" s="129"/>
      <c r="AG484" s="129"/>
    </row>
    <row r="485" spans="3:33" x14ac:dyDescent="0.35">
      <c r="C485" s="129"/>
      <c r="D485" s="129"/>
      <c r="E485" s="129"/>
      <c r="F485" s="129"/>
      <c r="G485" s="129"/>
      <c r="H485" s="129"/>
      <c r="I485" s="129"/>
      <c r="J485" s="110"/>
      <c r="K485" s="129"/>
      <c r="L485" t="s">
        <v>351</v>
      </c>
      <c r="M485" s="129"/>
      <c r="N485" s="129"/>
      <c r="O485" s="129"/>
      <c r="P485" s="129"/>
      <c r="Q485" s="129"/>
      <c r="R485" s="129"/>
      <c r="S485" s="129"/>
      <c r="T485" s="129"/>
      <c r="U485" s="141"/>
      <c r="V485" s="139"/>
      <c r="W485" s="129"/>
      <c r="X485" s="129"/>
      <c r="Y485" s="129"/>
      <c r="Z485" s="129"/>
      <c r="AA485" s="129"/>
      <c r="AB485" s="115"/>
      <c r="AC485" s="129"/>
      <c r="AD485" s="149"/>
      <c r="AE485" s="129"/>
      <c r="AF485" s="129"/>
      <c r="AG485" s="129"/>
    </row>
    <row r="486" spans="3:33" x14ac:dyDescent="0.35">
      <c r="C486" s="129"/>
      <c r="D486" s="129"/>
      <c r="E486" s="129"/>
      <c r="F486" s="129"/>
      <c r="G486" s="129"/>
      <c r="H486" s="129"/>
      <c r="I486" s="129"/>
      <c r="J486" s="110"/>
      <c r="K486" s="129"/>
      <c r="L486" t="s">
        <v>351</v>
      </c>
      <c r="M486" s="129"/>
      <c r="N486" s="129"/>
      <c r="O486" s="129"/>
      <c r="P486" s="129"/>
      <c r="Q486" s="129"/>
      <c r="R486" s="129"/>
      <c r="S486" s="129"/>
      <c r="T486" s="129"/>
      <c r="U486" s="141"/>
      <c r="V486" s="139"/>
      <c r="W486" s="129"/>
      <c r="X486" s="129"/>
      <c r="Y486" s="129"/>
      <c r="Z486" s="129"/>
      <c r="AA486" s="129"/>
      <c r="AB486" s="115"/>
      <c r="AC486" s="129"/>
      <c r="AD486" s="149"/>
      <c r="AE486" s="129"/>
      <c r="AF486" s="129"/>
      <c r="AG486" s="129"/>
    </row>
    <row r="487" spans="3:33" x14ac:dyDescent="0.35">
      <c r="C487" s="129"/>
      <c r="D487" s="129"/>
      <c r="E487" s="129"/>
      <c r="F487" s="129"/>
      <c r="G487" s="129"/>
      <c r="H487" s="129"/>
      <c r="I487" s="129"/>
      <c r="J487" s="110"/>
      <c r="K487" s="129"/>
      <c r="L487" t="s">
        <v>351</v>
      </c>
      <c r="M487" s="129"/>
      <c r="N487" s="129"/>
      <c r="O487" s="129"/>
      <c r="P487" s="129"/>
      <c r="Q487" s="129"/>
      <c r="R487" s="129"/>
      <c r="S487" s="129"/>
      <c r="T487" s="129"/>
      <c r="U487" s="141"/>
      <c r="V487" s="139"/>
      <c r="W487" s="129"/>
      <c r="X487" s="129"/>
      <c r="Y487" s="129"/>
      <c r="Z487" s="129"/>
      <c r="AA487" s="129"/>
      <c r="AB487" s="115"/>
      <c r="AC487" s="129"/>
      <c r="AD487" s="149"/>
      <c r="AE487" s="129"/>
      <c r="AF487" s="129"/>
      <c r="AG487" s="129"/>
    </row>
    <row r="488" spans="3:33" x14ac:dyDescent="0.35">
      <c r="C488" s="129"/>
      <c r="D488" s="129"/>
      <c r="E488" s="129"/>
      <c r="F488" s="129"/>
      <c r="G488" s="129"/>
      <c r="H488" s="129"/>
      <c r="I488" s="129"/>
      <c r="J488" s="110"/>
      <c r="K488" s="129"/>
      <c r="L488" t="s">
        <v>351</v>
      </c>
      <c r="M488" s="129"/>
      <c r="N488" s="129"/>
      <c r="O488" s="129"/>
      <c r="P488" s="129"/>
      <c r="Q488" s="129"/>
      <c r="R488" s="129"/>
      <c r="S488" s="129"/>
      <c r="T488" s="129"/>
      <c r="U488" s="141"/>
      <c r="V488" s="139"/>
      <c r="W488" s="129"/>
      <c r="X488" s="129"/>
      <c r="Y488" s="129"/>
      <c r="Z488" s="129"/>
      <c r="AA488" s="129"/>
      <c r="AB488" s="115"/>
      <c r="AC488" s="129"/>
      <c r="AD488" s="149"/>
      <c r="AE488" s="129"/>
      <c r="AF488" s="129"/>
      <c r="AG488" s="129"/>
    </row>
    <row r="489" spans="3:33" x14ac:dyDescent="0.35">
      <c r="C489" s="129"/>
      <c r="D489" s="129"/>
      <c r="E489" s="129"/>
      <c r="F489" s="129"/>
      <c r="G489" s="129"/>
      <c r="H489" s="129"/>
      <c r="I489" s="129"/>
      <c r="J489" s="110"/>
      <c r="K489" s="129"/>
      <c r="L489" t="s">
        <v>351</v>
      </c>
      <c r="M489" s="129"/>
      <c r="N489" s="129"/>
      <c r="O489" s="129"/>
      <c r="P489" s="129"/>
      <c r="Q489" s="129"/>
      <c r="R489" s="129"/>
      <c r="S489" s="129"/>
      <c r="T489" s="129"/>
      <c r="U489" s="141"/>
      <c r="V489" s="139"/>
      <c r="W489" s="129"/>
      <c r="X489" s="129"/>
      <c r="Y489" s="129"/>
      <c r="Z489" s="129"/>
      <c r="AA489" s="129"/>
      <c r="AB489" s="115"/>
      <c r="AC489" s="129"/>
      <c r="AD489" s="149"/>
      <c r="AE489" s="129"/>
      <c r="AF489" s="129"/>
      <c r="AG489" s="129"/>
    </row>
    <row r="490" spans="3:33" x14ac:dyDescent="0.35">
      <c r="C490" s="129"/>
      <c r="D490" s="129"/>
      <c r="E490" s="129"/>
      <c r="F490" s="129"/>
      <c r="G490" s="129"/>
      <c r="H490" s="129"/>
      <c r="I490" s="129"/>
      <c r="J490" s="110"/>
      <c r="K490" s="129"/>
      <c r="L490" t="s">
        <v>351</v>
      </c>
      <c r="M490" s="129"/>
      <c r="N490" s="129"/>
      <c r="O490" s="129"/>
      <c r="P490" s="129"/>
      <c r="Q490" s="129"/>
      <c r="R490" s="129"/>
      <c r="S490" s="129"/>
      <c r="T490" s="129"/>
      <c r="U490" s="141"/>
      <c r="V490" s="139"/>
      <c r="W490" s="129"/>
      <c r="X490" s="129"/>
      <c r="Y490" s="129"/>
      <c r="Z490" s="129"/>
      <c r="AA490" s="129"/>
      <c r="AB490" s="115"/>
      <c r="AC490" s="129"/>
      <c r="AD490" s="149"/>
      <c r="AE490" s="129"/>
      <c r="AF490" s="129"/>
      <c r="AG490" s="129"/>
    </row>
    <row r="491" spans="3:33" x14ac:dyDescent="0.35">
      <c r="C491" s="129"/>
      <c r="D491" s="129"/>
      <c r="E491" s="129"/>
      <c r="F491" s="129"/>
      <c r="G491" s="129"/>
      <c r="H491" s="129"/>
      <c r="I491" s="129"/>
      <c r="J491" s="110"/>
      <c r="K491" s="129"/>
      <c r="L491" t="s">
        <v>351</v>
      </c>
      <c r="M491" s="129"/>
      <c r="N491" s="129"/>
      <c r="O491" s="129"/>
      <c r="P491" s="129"/>
      <c r="Q491" s="129"/>
      <c r="R491" s="129"/>
      <c r="S491" s="129"/>
      <c r="T491" s="129"/>
      <c r="U491" s="141"/>
      <c r="V491" s="139"/>
      <c r="W491" s="129"/>
      <c r="X491" s="129"/>
      <c r="Y491" s="129"/>
      <c r="Z491" s="129"/>
      <c r="AA491" s="129"/>
      <c r="AB491" s="115"/>
      <c r="AC491" s="129"/>
      <c r="AD491" s="149"/>
      <c r="AE491" s="129"/>
      <c r="AF491" s="129"/>
      <c r="AG491" s="129"/>
    </row>
    <row r="492" spans="3:33" x14ac:dyDescent="0.35">
      <c r="C492" s="129"/>
      <c r="D492" s="129"/>
      <c r="E492" s="129"/>
      <c r="F492" s="129"/>
      <c r="G492" s="129"/>
      <c r="H492" s="129"/>
      <c r="I492" s="129"/>
      <c r="J492" s="110"/>
      <c r="K492" s="129"/>
      <c r="L492" t="s">
        <v>351</v>
      </c>
      <c r="M492" s="129"/>
      <c r="N492" s="129"/>
      <c r="O492" s="129"/>
      <c r="P492" s="129"/>
      <c r="Q492" s="129"/>
      <c r="R492" s="129"/>
      <c r="S492" s="129"/>
      <c r="T492" s="129"/>
      <c r="U492" s="141"/>
      <c r="V492" s="139"/>
      <c r="W492" s="129"/>
      <c r="X492" s="129"/>
      <c r="Y492" s="129"/>
      <c r="Z492" s="129"/>
      <c r="AA492" s="129"/>
      <c r="AB492" s="115"/>
      <c r="AC492" s="129"/>
      <c r="AD492" s="149"/>
      <c r="AE492" s="129"/>
      <c r="AF492" s="129"/>
      <c r="AG492" s="129"/>
    </row>
    <row r="493" spans="3:33" x14ac:dyDescent="0.35">
      <c r="C493" s="129"/>
      <c r="D493" s="129"/>
      <c r="E493" s="129"/>
      <c r="F493" s="129"/>
      <c r="G493" s="129"/>
      <c r="H493" s="129"/>
      <c r="I493" s="129"/>
      <c r="J493" s="110"/>
      <c r="K493" s="129"/>
      <c r="L493" t="s">
        <v>351</v>
      </c>
      <c r="M493" s="129"/>
      <c r="N493" s="129"/>
      <c r="O493" s="129"/>
      <c r="P493" s="129"/>
      <c r="Q493" s="129"/>
      <c r="R493" s="129"/>
      <c r="S493" s="129"/>
      <c r="T493" s="129"/>
      <c r="U493" s="141"/>
      <c r="V493" s="139"/>
      <c r="W493" s="129"/>
      <c r="X493" s="129"/>
      <c r="Y493" s="129"/>
      <c r="Z493" s="129"/>
      <c r="AA493" s="129"/>
      <c r="AB493" s="115"/>
      <c r="AC493" s="129"/>
      <c r="AD493" s="149"/>
      <c r="AE493" s="129"/>
      <c r="AF493" s="129"/>
      <c r="AG493" s="129"/>
    </row>
    <row r="494" spans="3:33" x14ac:dyDescent="0.35">
      <c r="C494" s="129"/>
      <c r="D494" s="129"/>
      <c r="E494" s="129"/>
      <c r="F494" s="129"/>
      <c r="G494" s="129"/>
      <c r="H494" s="129"/>
      <c r="I494" s="129"/>
      <c r="J494" s="110"/>
      <c r="K494" s="129"/>
      <c r="L494" t="s">
        <v>351</v>
      </c>
      <c r="M494" s="129"/>
      <c r="N494" s="129"/>
      <c r="O494" s="129"/>
      <c r="P494" s="129"/>
      <c r="Q494" s="129"/>
      <c r="R494" s="129"/>
      <c r="S494" s="129"/>
      <c r="T494" s="129"/>
      <c r="U494" s="141"/>
      <c r="V494" s="139"/>
      <c r="W494" s="129"/>
      <c r="X494" s="129"/>
      <c r="Y494" s="129"/>
      <c r="Z494" s="129"/>
      <c r="AA494" s="129"/>
      <c r="AB494" s="115"/>
      <c r="AC494" s="129"/>
      <c r="AD494" s="149"/>
      <c r="AE494" s="129"/>
      <c r="AF494" s="129"/>
      <c r="AG494" s="129"/>
    </row>
    <row r="495" spans="3:33" x14ac:dyDescent="0.35">
      <c r="C495" s="129"/>
      <c r="D495" s="129"/>
      <c r="E495" s="129"/>
      <c r="F495" s="129"/>
      <c r="G495" s="129"/>
      <c r="H495" s="129"/>
      <c r="I495" s="129"/>
      <c r="J495" s="110"/>
      <c r="K495" s="129"/>
      <c r="L495" t="s">
        <v>351</v>
      </c>
      <c r="M495" s="129"/>
      <c r="N495" s="129"/>
      <c r="O495" s="129"/>
      <c r="P495" s="129"/>
      <c r="Q495" s="129"/>
      <c r="R495" s="129"/>
      <c r="S495" s="129"/>
      <c r="T495" s="129"/>
      <c r="U495" s="141"/>
      <c r="V495" s="139"/>
      <c r="W495" s="129"/>
      <c r="X495" s="129"/>
      <c r="Y495" s="129"/>
      <c r="Z495" s="129"/>
      <c r="AA495" s="129"/>
      <c r="AB495" s="115"/>
      <c r="AC495" s="129"/>
      <c r="AD495" s="149"/>
      <c r="AE495" s="129"/>
      <c r="AF495" s="129"/>
      <c r="AG495" s="129"/>
    </row>
    <row r="496" spans="3:33" x14ac:dyDescent="0.35">
      <c r="C496" s="129"/>
      <c r="D496" s="129"/>
      <c r="E496" s="129"/>
      <c r="F496" s="129"/>
      <c r="G496" s="129"/>
      <c r="H496" s="129"/>
      <c r="I496" s="129"/>
      <c r="J496" s="110"/>
      <c r="K496" s="129"/>
      <c r="L496" t="s">
        <v>351</v>
      </c>
      <c r="M496" s="129"/>
      <c r="N496" s="129"/>
      <c r="O496" s="129"/>
      <c r="P496" s="129"/>
      <c r="Q496" s="129"/>
      <c r="R496" s="129"/>
      <c r="S496" s="129"/>
      <c r="T496" s="129"/>
      <c r="U496" s="141"/>
      <c r="V496" s="139"/>
      <c r="W496" s="129"/>
      <c r="X496" s="129"/>
      <c r="Y496" s="129"/>
      <c r="Z496" s="129"/>
      <c r="AA496" s="129"/>
      <c r="AB496" s="115"/>
      <c r="AC496" s="129"/>
      <c r="AD496" s="149"/>
      <c r="AE496" s="129"/>
      <c r="AF496" s="129"/>
      <c r="AG496" s="129"/>
    </row>
    <row r="497" spans="3:33" x14ac:dyDescent="0.35">
      <c r="C497" s="129"/>
      <c r="D497" s="129"/>
      <c r="E497" s="129"/>
      <c r="F497" s="129"/>
      <c r="G497" s="129"/>
      <c r="H497" s="129"/>
      <c r="I497" s="129"/>
      <c r="J497" s="110"/>
      <c r="K497" s="129"/>
      <c r="L497" t="s">
        <v>351</v>
      </c>
      <c r="M497" s="129"/>
      <c r="N497" s="129"/>
      <c r="O497" s="129"/>
      <c r="P497" s="129"/>
      <c r="Q497" s="129"/>
      <c r="R497" s="129"/>
      <c r="S497" s="129"/>
      <c r="T497" s="129"/>
      <c r="U497" s="141"/>
      <c r="V497" s="139"/>
      <c r="W497" s="129"/>
      <c r="X497" s="129"/>
      <c r="Y497" s="129"/>
      <c r="Z497" s="129"/>
      <c r="AA497" s="129"/>
      <c r="AB497" s="115"/>
      <c r="AC497" s="129"/>
      <c r="AD497" s="149"/>
      <c r="AE497" s="129"/>
      <c r="AF497" s="129"/>
      <c r="AG497" s="129"/>
    </row>
    <row r="498" spans="3:33" x14ac:dyDescent="0.35">
      <c r="C498" s="129"/>
      <c r="D498" s="129"/>
      <c r="E498" s="129"/>
      <c r="F498" s="129"/>
      <c r="G498" s="129"/>
      <c r="H498" s="129"/>
      <c r="I498" s="129"/>
      <c r="J498" s="110"/>
      <c r="K498" s="129"/>
      <c r="L498" t="s">
        <v>351</v>
      </c>
      <c r="M498" s="129"/>
      <c r="N498" s="129"/>
      <c r="O498" s="129"/>
      <c r="P498" s="129"/>
      <c r="Q498" s="129"/>
      <c r="R498" s="129"/>
      <c r="S498" s="129"/>
      <c r="T498" s="129"/>
      <c r="U498" s="141"/>
      <c r="V498" s="139"/>
      <c r="W498" s="129"/>
      <c r="X498" s="129"/>
      <c r="Y498" s="129"/>
      <c r="Z498" s="129"/>
      <c r="AA498" s="129"/>
      <c r="AB498" s="115"/>
      <c r="AC498" s="129"/>
      <c r="AD498" s="149"/>
      <c r="AE498" s="129"/>
      <c r="AF498" s="129"/>
      <c r="AG498" s="129"/>
    </row>
    <row r="499" spans="3:33" x14ac:dyDescent="0.35">
      <c r="C499" s="129"/>
      <c r="D499" s="129"/>
      <c r="E499" s="129"/>
      <c r="F499" s="129"/>
      <c r="G499" s="129"/>
      <c r="H499" s="129"/>
      <c r="I499" s="129"/>
      <c r="J499" s="110"/>
      <c r="K499" s="129"/>
      <c r="L499" t="s">
        <v>351</v>
      </c>
      <c r="M499" s="129"/>
      <c r="N499" s="129"/>
      <c r="O499" s="129"/>
      <c r="P499" s="129"/>
      <c r="Q499" s="129"/>
      <c r="R499" s="129"/>
      <c r="S499" s="129"/>
      <c r="T499" s="129"/>
      <c r="U499" s="141"/>
      <c r="V499" s="139"/>
      <c r="W499" s="129"/>
      <c r="X499" s="129"/>
      <c r="Y499" s="129"/>
      <c r="Z499" s="129"/>
      <c r="AA499" s="129"/>
      <c r="AB499" s="115"/>
      <c r="AC499" s="129"/>
      <c r="AD499" s="149"/>
      <c r="AE499" s="129"/>
      <c r="AF499" s="129"/>
      <c r="AG499" s="129"/>
    </row>
    <row r="500" spans="3:33" x14ac:dyDescent="0.35">
      <c r="C500" s="129"/>
      <c r="D500" s="129"/>
      <c r="E500" s="129"/>
      <c r="F500" s="129"/>
      <c r="G500" s="129"/>
      <c r="H500" s="129"/>
      <c r="I500" s="129"/>
      <c r="J500" s="110"/>
      <c r="K500" s="129"/>
      <c r="L500" t="s">
        <v>351</v>
      </c>
      <c r="M500" s="129"/>
      <c r="N500" s="129"/>
      <c r="O500" s="129"/>
      <c r="P500" s="129"/>
      <c r="Q500" s="129"/>
      <c r="R500" s="129"/>
      <c r="S500" s="129"/>
      <c r="T500" s="129"/>
      <c r="U500" s="141"/>
      <c r="V500" s="139"/>
      <c r="W500" s="129"/>
      <c r="X500" s="129"/>
      <c r="Y500" s="129"/>
      <c r="Z500" s="129"/>
      <c r="AA500" s="129"/>
      <c r="AB500" s="115"/>
      <c r="AC500" s="129"/>
      <c r="AD500" s="149"/>
      <c r="AE500" s="129"/>
      <c r="AF500" s="129"/>
      <c r="AG500" s="129"/>
    </row>
    <row r="501" spans="3:33" x14ac:dyDescent="0.35">
      <c r="C501" s="129"/>
      <c r="D501" s="129"/>
      <c r="E501" s="129"/>
      <c r="F501" s="129"/>
      <c r="G501" s="129"/>
      <c r="H501" s="129"/>
      <c r="I501" s="129"/>
      <c r="J501" s="110"/>
      <c r="K501" s="129"/>
      <c r="L501" t="s">
        <v>351</v>
      </c>
      <c r="M501" s="129"/>
      <c r="N501" s="129"/>
      <c r="O501" s="129"/>
      <c r="P501" s="129"/>
      <c r="Q501" s="129"/>
      <c r="R501" s="129"/>
      <c r="S501" s="129"/>
      <c r="T501" s="129"/>
      <c r="U501" s="141"/>
      <c r="V501" s="139"/>
      <c r="W501" s="129"/>
      <c r="X501" s="129"/>
      <c r="Y501" s="129"/>
      <c r="Z501" s="129"/>
      <c r="AA501" s="129"/>
      <c r="AB501" s="115"/>
      <c r="AC501" s="129"/>
      <c r="AD501" s="149"/>
      <c r="AE501" s="129"/>
      <c r="AF501" s="129"/>
      <c r="AG501" s="129"/>
    </row>
    <row r="502" spans="3:33" x14ac:dyDescent="0.35">
      <c r="C502" s="129"/>
      <c r="D502" s="129"/>
      <c r="E502" s="129"/>
      <c r="F502" s="129"/>
      <c r="G502" s="129"/>
      <c r="H502" s="129"/>
      <c r="I502" s="129"/>
      <c r="J502" s="110"/>
      <c r="K502" s="129"/>
      <c r="L502" t="s">
        <v>351</v>
      </c>
      <c r="M502" s="129"/>
      <c r="N502" s="129"/>
      <c r="O502" s="129"/>
      <c r="P502" s="129"/>
      <c r="Q502" s="129"/>
      <c r="R502" s="129"/>
      <c r="S502" s="129"/>
      <c r="T502" s="129"/>
      <c r="U502" s="141"/>
      <c r="V502" s="139"/>
      <c r="W502" s="129"/>
      <c r="X502" s="129"/>
      <c r="Y502" s="129"/>
      <c r="Z502" s="129"/>
      <c r="AA502" s="129"/>
      <c r="AB502" s="115"/>
      <c r="AC502" s="129"/>
      <c r="AD502" s="149"/>
      <c r="AE502" s="129"/>
      <c r="AF502" s="129"/>
      <c r="AG502" s="129"/>
    </row>
    <row r="503" spans="3:33" x14ac:dyDescent="0.35">
      <c r="C503" s="129"/>
      <c r="D503" s="129"/>
      <c r="E503" s="129"/>
      <c r="F503" s="129"/>
      <c r="G503" s="129"/>
      <c r="H503" s="129"/>
      <c r="I503" s="129"/>
      <c r="J503" s="110"/>
      <c r="K503" s="129"/>
      <c r="L503" t="s">
        <v>351</v>
      </c>
      <c r="M503" s="129"/>
      <c r="N503" s="129"/>
      <c r="O503" s="129"/>
      <c r="P503" s="129"/>
      <c r="Q503" s="129"/>
      <c r="R503" s="129"/>
      <c r="S503" s="129"/>
      <c r="T503" s="129"/>
      <c r="U503" s="141"/>
      <c r="V503" s="139"/>
      <c r="W503" s="129"/>
      <c r="X503" s="129"/>
      <c r="Y503" s="129"/>
      <c r="Z503" s="129"/>
      <c r="AA503" s="129"/>
      <c r="AB503" s="115"/>
      <c r="AC503" s="129"/>
      <c r="AD503" s="149"/>
      <c r="AE503" s="129"/>
      <c r="AF503" s="129"/>
      <c r="AG503" s="129"/>
    </row>
    <row r="504" spans="3:33" x14ac:dyDescent="0.35">
      <c r="C504" s="129"/>
      <c r="D504" s="129"/>
      <c r="E504" s="129"/>
      <c r="F504" s="129"/>
      <c r="G504" s="129"/>
      <c r="H504" s="129"/>
      <c r="I504" s="129"/>
      <c r="J504" s="110"/>
      <c r="K504" s="129"/>
      <c r="L504" t="s">
        <v>351</v>
      </c>
      <c r="M504" s="129"/>
      <c r="N504" s="129"/>
      <c r="O504" s="129"/>
      <c r="P504" s="129"/>
      <c r="Q504" s="129"/>
      <c r="R504" s="129"/>
      <c r="S504" s="129"/>
      <c r="T504" s="129"/>
      <c r="U504" s="141"/>
      <c r="V504" s="139"/>
      <c r="W504" s="129"/>
      <c r="X504" s="129"/>
      <c r="Y504" s="129"/>
      <c r="Z504" s="129"/>
      <c r="AA504" s="129"/>
      <c r="AB504" s="115"/>
      <c r="AC504" s="129"/>
      <c r="AD504" s="149"/>
      <c r="AE504" s="129"/>
      <c r="AF504" s="129"/>
      <c r="AG504" s="129"/>
    </row>
    <row r="505" spans="3:33" x14ac:dyDescent="0.35">
      <c r="C505" s="129"/>
      <c r="D505" s="129"/>
      <c r="E505" s="129"/>
      <c r="F505" s="129"/>
      <c r="G505" s="129"/>
      <c r="H505" s="129"/>
      <c r="I505" s="129"/>
      <c r="J505" s="110"/>
      <c r="K505" s="129"/>
      <c r="L505" t="s">
        <v>351</v>
      </c>
      <c r="M505" s="129"/>
      <c r="N505" s="129"/>
      <c r="O505" s="129"/>
      <c r="P505" s="129"/>
      <c r="Q505" s="129"/>
      <c r="R505" s="129"/>
      <c r="S505" s="129"/>
      <c r="T505" s="129"/>
      <c r="U505" s="141"/>
      <c r="V505" s="139"/>
      <c r="W505" s="129"/>
      <c r="X505" s="129"/>
      <c r="Y505" s="129"/>
      <c r="Z505" s="129"/>
      <c r="AA505" s="129"/>
      <c r="AB505" s="115"/>
      <c r="AC505" s="129"/>
      <c r="AD505" s="149"/>
      <c r="AE505" s="129"/>
      <c r="AF505" s="129"/>
      <c r="AG505" s="129"/>
    </row>
    <row r="506" spans="3:33" x14ac:dyDescent="0.35">
      <c r="C506" s="129"/>
      <c r="D506" s="129"/>
      <c r="E506" s="129"/>
      <c r="F506" s="129"/>
      <c r="G506" s="129"/>
      <c r="H506" s="129"/>
      <c r="I506" s="129"/>
      <c r="J506" s="110"/>
      <c r="K506" s="129"/>
      <c r="L506" t="s">
        <v>351</v>
      </c>
      <c r="M506" s="129"/>
      <c r="N506" s="129"/>
      <c r="O506" s="129"/>
      <c r="P506" s="129"/>
      <c r="Q506" s="129"/>
      <c r="R506" s="129"/>
      <c r="S506" s="129"/>
      <c r="T506" s="129"/>
      <c r="U506" s="141"/>
      <c r="V506" s="139"/>
      <c r="W506" s="129"/>
      <c r="X506" s="129"/>
      <c r="Y506" s="129"/>
      <c r="Z506" s="129"/>
      <c r="AA506" s="129"/>
      <c r="AB506" s="115"/>
      <c r="AC506" s="129"/>
      <c r="AD506" s="149"/>
      <c r="AE506" s="129"/>
      <c r="AF506" s="129"/>
      <c r="AG506" s="129"/>
    </row>
    <row r="507" spans="3:33" x14ac:dyDescent="0.35">
      <c r="C507" s="129"/>
      <c r="D507" s="129"/>
      <c r="E507" s="129"/>
      <c r="F507" s="129"/>
      <c r="G507" s="129"/>
      <c r="H507" s="129"/>
      <c r="I507" s="129"/>
      <c r="J507" s="110"/>
      <c r="K507" s="129"/>
      <c r="L507" t="s">
        <v>351</v>
      </c>
      <c r="M507" s="129"/>
      <c r="N507" s="129"/>
      <c r="O507" s="129"/>
      <c r="P507" s="129"/>
      <c r="Q507" s="129"/>
      <c r="R507" s="129"/>
      <c r="S507" s="129"/>
      <c r="T507" s="129"/>
      <c r="U507" s="141"/>
      <c r="V507" s="139"/>
      <c r="W507" s="129"/>
      <c r="X507" s="129"/>
      <c r="Y507" s="129"/>
      <c r="Z507" s="129"/>
      <c r="AA507" s="129"/>
      <c r="AB507" s="115"/>
      <c r="AC507" s="129"/>
      <c r="AD507" s="149"/>
      <c r="AE507" s="129"/>
      <c r="AF507" s="129"/>
      <c r="AG507" s="129"/>
    </row>
    <row r="508" spans="3:33" x14ac:dyDescent="0.35">
      <c r="C508" s="129"/>
      <c r="D508" s="129"/>
      <c r="E508" s="129"/>
      <c r="F508" s="129"/>
      <c r="G508" s="129"/>
      <c r="H508" s="129"/>
      <c r="I508" s="129"/>
      <c r="J508" s="110"/>
      <c r="K508" s="129"/>
      <c r="L508" t="s">
        <v>351</v>
      </c>
      <c r="M508" s="129"/>
      <c r="N508" s="129"/>
      <c r="O508" s="129"/>
      <c r="P508" s="129"/>
      <c r="Q508" s="129"/>
      <c r="R508" s="129"/>
      <c r="S508" s="129"/>
      <c r="T508" s="129"/>
      <c r="U508" s="141"/>
      <c r="V508" s="139"/>
      <c r="W508" s="129"/>
      <c r="X508" s="129"/>
      <c r="Y508" s="129"/>
      <c r="Z508" s="129"/>
      <c r="AA508" s="129"/>
      <c r="AB508" s="115"/>
      <c r="AC508" s="129"/>
      <c r="AD508" s="149"/>
      <c r="AE508" s="129"/>
      <c r="AF508" s="129"/>
      <c r="AG508" s="129"/>
    </row>
    <row r="509" spans="3:33" x14ac:dyDescent="0.35">
      <c r="C509" s="129"/>
      <c r="D509" s="129"/>
      <c r="E509" s="129"/>
      <c r="F509" s="129"/>
      <c r="G509" s="129"/>
      <c r="H509" s="129"/>
      <c r="I509" s="129"/>
      <c r="J509" s="110"/>
      <c r="K509" s="129"/>
      <c r="L509" t="s">
        <v>351</v>
      </c>
      <c r="M509" s="129"/>
      <c r="N509" s="129"/>
      <c r="O509" s="129"/>
      <c r="P509" s="129"/>
      <c r="Q509" s="129"/>
      <c r="R509" s="129"/>
      <c r="S509" s="129"/>
      <c r="T509" s="129"/>
      <c r="U509" s="141"/>
      <c r="V509" s="139"/>
      <c r="W509" s="129"/>
      <c r="X509" s="129"/>
      <c r="Y509" s="129"/>
      <c r="Z509" s="129"/>
      <c r="AA509" s="129"/>
      <c r="AB509" s="115"/>
      <c r="AC509" s="129"/>
      <c r="AD509" s="149"/>
      <c r="AE509" s="129"/>
      <c r="AF509" s="129"/>
      <c r="AG509" s="129"/>
    </row>
    <row r="510" spans="3:33" x14ac:dyDescent="0.35">
      <c r="C510" s="129"/>
      <c r="D510" s="129"/>
      <c r="E510" s="129"/>
      <c r="F510" s="129"/>
      <c r="G510" s="129"/>
      <c r="H510" s="129"/>
      <c r="I510" s="129"/>
      <c r="J510" s="110"/>
      <c r="K510" s="129"/>
      <c r="L510" t="s">
        <v>351</v>
      </c>
      <c r="M510" s="129"/>
      <c r="N510" s="129"/>
      <c r="O510" s="129"/>
      <c r="P510" s="129"/>
      <c r="Q510" s="129"/>
      <c r="R510" s="129"/>
      <c r="S510" s="129"/>
      <c r="T510" s="129"/>
      <c r="U510" s="141"/>
      <c r="V510" s="139"/>
      <c r="W510" s="129"/>
      <c r="X510" s="129"/>
      <c r="Y510" s="129"/>
      <c r="Z510" s="129"/>
      <c r="AA510" s="129"/>
      <c r="AB510" s="115"/>
      <c r="AC510" s="129"/>
      <c r="AD510" s="149"/>
      <c r="AE510" s="129"/>
      <c r="AF510" s="129"/>
      <c r="AG510" s="129"/>
    </row>
    <row r="511" spans="3:33" x14ac:dyDescent="0.35">
      <c r="C511" s="129"/>
      <c r="D511" s="129"/>
      <c r="E511" s="129"/>
      <c r="F511" s="129"/>
      <c r="G511" s="129"/>
      <c r="H511" s="129"/>
      <c r="I511" s="129"/>
      <c r="J511" s="110"/>
      <c r="K511" s="129"/>
      <c r="L511" t="s">
        <v>351</v>
      </c>
      <c r="M511" s="129"/>
      <c r="N511" s="129"/>
      <c r="O511" s="129"/>
      <c r="P511" s="129"/>
      <c r="Q511" s="129"/>
      <c r="R511" s="129"/>
      <c r="S511" s="129"/>
      <c r="T511" s="129"/>
      <c r="U511" s="141"/>
      <c r="V511" s="139"/>
      <c r="W511" s="129"/>
      <c r="X511" s="129"/>
      <c r="Y511" s="129"/>
      <c r="Z511" s="129"/>
      <c r="AA511" s="129"/>
      <c r="AB511" s="115"/>
      <c r="AC511" s="129"/>
      <c r="AD511" s="149"/>
      <c r="AE511" s="129"/>
      <c r="AF511" s="129"/>
      <c r="AG511" s="129"/>
    </row>
    <row r="512" spans="3:33" x14ac:dyDescent="0.35">
      <c r="C512" s="129"/>
      <c r="D512" s="129"/>
      <c r="E512" s="129"/>
      <c r="F512" s="129"/>
      <c r="G512" s="129"/>
      <c r="H512" s="129"/>
      <c r="I512" s="129"/>
      <c r="J512" s="110"/>
      <c r="K512" s="129"/>
      <c r="L512" t="s">
        <v>351</v>
      </c>
      <c r="M512" s="129"/>
      <c r="N512" s="129"/>
      <c r="O512" s="129"/>
      <c r="P512" s="129"/>
      <c r="Q512" s="129"/>
      <c r="R512" s="129"/>
      <c r="S512" s="129"/>
      <c r="T512" s="129"/>
      <c r="U512" s="141"/>
      <c r="V512" s="139"/>
      <c r="W512" s="129"/>
      <c r="X512" s="129"/>
      <c r="Y512" s="129"/>
      <c r="Z512" s="129"/>
      <c r="AA512" s="129"/>
      <c r="AB512" s="115"/>
      <c r="AC512" s="129"/>
      <c r="AD512" s="149"/>
      <c r="AE512" s="129"/>
      <c r="AF512" s="129"/>
      <c r="AG512" s="129"/>
    </row>
    <row r="513" spans="3:33" x14ac:dyDescent="0.35">
      <c r="C513" s="129"/>
      <c r="D513" s="129"/>
      <c r="E513" s="129"/>
      <c r="F513" s="129"/>
      <c r="G513" s="129"/>
      <c r="H513" s="129"/>
      <c r="I513" s="129"/>
      <c r="J513" s="110"/>
      <c r="K513" s="129"/>
      <c r="L513" t="s">
        <v>351</v>
      </c>
      <c r="M513" s="129"/>
      <c r="N513" s="129"/>
      <c r="O513" s="129"/>
      <c r="P513" s="129"/>
      <c r="Q513" s="129"/>
      <c r="R513" s="129"/>
      <c r="S513" s="129"/>
      <c r="T513" s="129"/>
      <c r="U513" s="141"/>
      <c r="V513" s="139"/>
      <c r="W513" s="129"/>
      <c r="X513" s="129"/>
      <c r="Y513" s="129"/>
      <c r="Z513" s="129"/>
      <c r="AA513" s="129"/>
      <c r="AB513" s="115"/>
      <c r="AC513" s="129"/>
      <c r="AD513" s="149"/>
      <c r="AE513" s="129"/>
      <c r="AF513" s="129"/>
      <c r="AG513" s="129"/>
    </row>
    <row r="514" spans="3:33" x14ac:dyDescent="0.35">
      <c r="C514" s="129"/>
      <c r="D514" s="129"/>
      <c r="E514" s="129"/>
      <c r="F514" s="129"/>
      <c r="G514" s="129"/>
      <c r="H514" s="129"/>
      <c r="I514" s="129"/>
      <c r="J514" s="110"/>
      <c r="K514" s="129"/>
      <c r="L514" t="s">
        <v>351</v>
      </c>
      <c r="M514" s="129"/>
      <c r="N514" s="129"/>
      <c r="O514" s="129"/>
      <c r="P514" s="129"/>
      <c r="Q514" s="129"/>
      <c r="R514" s="129"/>
      <c r="S514" s="129"/>
      <c r="T514" s="129"/>
      <c r="U514" s="141"/>
      <c r="V514" s="139"/>
      <c r="W514" s="129"/>
      <c r="X514" s="129"/>
      <c r="Y514" s="129"/>
      <c r="Z514" s="129"/>
      <c r="AA514" s="129"/>
      <c r="AB514" s="115"/>
      <c r="AC514" s="129"/>
      <c r="AD514" s="149"/>
      <c r="AE514" s="129"/>
      <c r="AF514" s="129"/>
      <c r="AG514" s="129"/>
    </row>
    <row r="515" spans="3:33" x14ac:dyDescent="0.35">
      <c r="C515" s="129"/>
      <c r="D515" s="129"/>
      <c r="E515" s="129"/>
      <c r="F515" s="129"/>
      <c r="G515" s="129"/>
      <c r="H515" s="129"/>
      <c r="I515" s="129"/>
      <c r="J515" s="110"/>
      <c r="K515" s="129"/>
      <c r="L515" t="s">
        <v>351</v>
      </c>
      <c r="M515" s="129"/>
      <c r="N515" s="129"/>
      <c r="O515" s="129"/>
      <c r="P515" s="129"/>
      <c r="Q515" s="129"/>
      <c r="R515" s="129"/>
      <c r="S515" s="129"/>
      <c r="T515" s="129"/>
      <c r="U515" s="141"/>
      <c r="V515" s="139"/>
      <c r="W515" s="129"/>
      <c r="X515" s="129"/>
      <c r="Y515" s="129"/>
      <c r="Z515" s="129"/>
      <c r="AA515" s="129"/>
      <c r="AB515" s="115"/>
      <c r="AC515" s="129"/>
      <c r="AD515" s="149"/>
      <c r="AE515" s="129"/>
      <c r="AF515" s="129"/>
      <c r="AG515" s="129"/>
    </row>
    <row r="516" spans="3:33" x14ac:dyDescent="0.35">
      <c r="C516" s="129"/>
      <c r="D516" s="129"/>
      <c r="E516" s="129"/>
      <c r="F516" s="129"/>
      <c r="G516" s="129"/>
      <c r="H516" s="129"/>
      <c r="I516" s="129"/>
      <c r="J516" s="110"/>
      <c r="K516" s="129"/>
      <c r="L516" t="s">
        <v>351</v>
      </c>
      <c r="M516" s="129"/>
      <c r="N516" s="129"/>
      <c r="O516" s="129"/>
      <c r="P516" s="129"/>
      <c r="Q516" s="129"/>
      <c r="R516" s="129"/>
      <c r="S516" s="129"/>
      <c r="T516" s="129"/>
      <c r="U516" s="141"/>
      <c r="V516" s="139"/>
      <c r="W516" s="129"/>
      <c r="X516" s="129"/>
      <c r="Y516" s="129"/>
      <c r="Z516" s="129"/>
      <c r="AA516" s="129"/>
      <c r="AB516" s="115"/>
      <c r="AC516" s="129"/>
      <c r="AD516" s="149"/>
      <c r="AE516" s="129"/>
      <c r="AF516" s="129"/>
      <c r="AG516" s="129"/>
    </row>
    <row r="517" spans="3:33" x14ac:dyDescent="0.35">
      <c r="C517" s="129"/>
      <c r="D517" s="129"/>
      <c r="E517" s="129"/>
      <c r="F517" s="129"/>
      <c r="G517" s="129"/>
      <c r="H517" s="129"/>
      <c r="I517" s="129"/>
      <c r="J517" s="110"/>
      <c r="K517" s="129"/>
      <c r="L517" t="s">
        <v>351</v>
      </c>
      <c r="M517" s="129"/>
      <c r="N517" s="129"/>
      <c r="O517" s="129"/>
      <c r="P517" s="129"/>
      <c r="Q517" s="129"/>
      <c r="R517" s="129"/>
      <c r="S517" s="129"/>
      <c r="T517" s="129"/>
      <c r="U517" s="141"/>
      <c r="V517" s="139"/>
      <c r="W517" s="129"/>
      <c r="X517" s="129"/>
      <c r="Y517" s="129"/>
      <c r="Z517" s="129"/>
      <c r="AA517" s="129"/>
      <c r="AB517" s="115"/>
      <c r="AC517" s="129"/>
      <c r="AD517" s="149"/>
      <c r="AE517" s="129"/>
      <c r="AF517" s="129"/>
      <c r="AG517" s="129"/>
    </row>
    <row r="518" spans="3:33" x14ac:dyDescent="0.35">
      <c r="C518" s="129"/>
      <c r="D518" s="129"/>
      <c r="E518" s="129"/>
      <c r="F518" s="129"/>
      <c r="G518" s="129"/>
      <c r="H518" s="129"/>
      <c r="I518" s="129"/>
      <c r="J518" s="110"/>
      <c r="K518" s="129"/>
      <c r="L518" t="s">
        <v>351</v>
      </c>
      <c r="M518" s="129"/>
      <c r="N518" s="129"/>
      <c r="O518" s="129"/>
      <c r="P518" s="129"/>
      <c r="Q518" s="129"/>
      <c r="R518" s="129"/>
      <c r="S518" s="129"/>
      <c r="T518" s="129"/>
      <c r="U518" s="141"/>
      <c r="V518" s="139"/>
      <c r="W518" s="129"/>
      <c r="X518" s="129"/>
      <c r="Y518" s="129"/>
      <c r="Z518" s="129"/>
      <c r="AA518" s="129"/>
      <c r="AB518" s="115"/>
      <c r="AC518" s="129"/>
      <c r="AD518" s="149"/>
      <c r="AE518" s="129"/>
      <c r="AF518" s="129"/>
      <c r="AG518" s="129"/>
    </row>
    <row r="519" spans="3:33" x14ac:dyDescent="0.35">
      <c r="C519" s="129"/>
      <c r="D519" s="129"/>
      <c r="E519" s="129"/>
      <c r="F519" s="129"/>
      <c r="G519" s="129"/>
      <c r="H519" s="129"/>
      <c r="I519" s="129"/>
      <c r="J519" s="110"/>
      <c r="K519" s="129"/>
      <c r="L519" t="s">
        <v>351</v>
      </c>
      <c r="M519" s="129"/>
      <c r="N519" s="129"/>
      <c r="O519" s="129"/>
      <c r="P519" s="129"/>
      <c r="Q519" s="129"/>
      <c r="R519" s="129"/>
      <c r="S519" s="129"/>
      <c r="T519" s="129"/>
      <c r="U519" s="141"/>
      <c r="V519" s="139"/>
      <c r="W519" s="129"/>
      <c r="X519" s="129"/>
      <c r="Y519" s="129"/>
      <c r="Z519" s="129"/>
      <c r="AA519" s="129"/>
      <c r="AB519" s="115"/>
      <c r="AC519" s="129"/>
      <c r="AD519" s="149"/>
      <c r="AE519" s="129"/>
      <c r="AF519" s="129"/>
      <c r="AG519" s="129"/>
    </row>
    <row r="520" spans="3:33" x14ac:dyDescent="0.35">
      <c r="C520" s="129"/>
      <c r="D520" s="129"/>
      <c r="E520" s="129"/>
      <c r="F520" s="129"/>
      <c r="G520" s="129"/>
      <c r="H520" s="129"/>
      <c r="I520" s="129"/>
      <c r="J520" s="110"/>
      <c r="K520" s="129"/>
      <c r="L520" t="s">
        <v>351</v>
      </c>
      <c r="M520" s="129"/>
      <c r="N520" s="129"/>
      <c r="O520" s="129"/>
      <c r="P520" s="129"/>
      <c r="Q520" s="129"/>
      <c r="R520" s="129"/>
      <c r="S520" s="129"/>
      <c r="T520" s="129"/>
      <c r="U520" s="141"/>
      <c r="V520" s="139"/>
      <c r="W520" s="129"/>
      <c r="X520" s="129"/>
      <c r="Y520" s="129"/>
      <c r="Z520" s="129"/>
      <c r="AA520" s="129"/>
      <c r="AB520" s="115"/>
      <c r="AC520" s="129"/>
      <c r="AD520" s="149"/>
      <c r="AE520" s="129"/>
      <c r="AF520" s="129"/>
      <c r="AG520" s="129"/>
    </row>
    <row r="521" spans="3:33" x14ac:dyDescent="0.35">
      <c r="C521" s="129"/>
      <c r="D521" s="129"/>
      <c r="E521" s="129"/>
      <c r="F521" s="129"/>
      <c r="G521" s="129"/>
      <c r="H521" s="129"/>
      <c r="I521" s="129"/>
      <c r="J521" s="110"/>
      <c r="K521" s="129"/>
      <c r="L521" t="s">
        <v>351</v>
      </c>
      <c r="M521" s="129"/>
      <c r="N521" s="129"/>
      <c r="O521" s="129"/>
      <c r="P521" s="129"/>
      <c r="Q521" s="129"/>
      <c r="R521" s="129"/>
      <c r="S521" s="129"/>
      <c r="T521" s="129"/>
      <c r="U521" s="141"/>
      <c r="V521" s="139"/>
      <c r="W521" s="129"/>
      <c r="X521" s="129"/>
      <c r="Y521" s="129"/>
      <c r="Z521" s="129"/>
      <c r="AA521" s="129"/>
      <c r="AB521" s="115"/>
      <c r="AC521" s="129"/>
      <c r="AD521" s="149"/>
      <c r="AE521" s="129"/>
      <c r="AF521" s="129"/>
      <c r="AG521" s="129"/>
    </row>
    <row r="522" spans="3:33" x14ac:dyDescent="0.35">
      <c r="C522" s="129"/>
      <c r="D522" s="129"/>
      <c r="E522" s="129"/>
      <c r="F522" s="129"/>
      <c r="G522" s="129"/>
      <c r="H522" s="129"/>
      <c r="I522" s="129"/>
      <c r="J522" s="110"/>
      <c r="K522" s="129"/>
      <c r="L522" t="s">
        <v>351</v>
      </c>
      <c r="M522" s="129"/>
      <c r="N522" s="129"/>
      <c r="O522" s="129"/>
      <c r="P522" s="129"/>
      <c r="Q522" s="129"/>
      <c r="R522" s="129"/>
      <c r="S522" s="129"/>
      <c r="T522" s="129"/>
      <c r="U522" s="141"/>
      <c r="V522" s="139"/>
      <c r="W522" s="129"/>
      <c r="X522" s="129"/>
      <c r="Y522" s="129"/>
      <c r="Z522" s="129"/>
      <c r="AA522" s="129"/>
      <c r="AB522" s="115"/>
      <c r="AC522" s="129"/>
      <c r="AD522" s="149"/>
      <c r="AE522" s="129"/>
      <c r="AF522" s="129"/>
      <c r="AG522" s="129"/>
    </row>
    <row r="523" spans="3:33" x14ac:dyDescent="0.35">
      <c r="C523" s="129"/>
      <c r="D523" s="129"/>
      <c r="E523" s="129"/>
      <c r="F523" s="129"/>
      <c r="G523" s="129"/>
      <c r="H523" s="129"/>
      <c r="I523" s="129"/>
      <c r="J523" s="110"/>
      <c r="K523" s="129"/>
      <c r="L523" t="s">
        <v>351</v>
      </c>
      <c r="M523" s="129"/>
      <c r="N523" s="129"/>
      <c r="O523" s="129"/>
      <c r="P523" s="129"/>
      <c r="Q523" s="129"/>
      <c r="R523" s="129"/>
      <c r="S523" s="129"/>
      <c r="T523" s="129"/>
      <c r="U523" s="141"/>
      <c r="V523" s="139"/>
      <c r="W523" s="129"/>
      <c r="X523" s="129"/>
      <c r="Y523" s="129"/>
      <c r="Z523" s="129"/>
      <c r="AA523" s="129"/>
      <c r="AB523" s="115"/>
      <c r="AC523" s="129"/>
      <c r="AD523" s="149"/>
      <c r="AE523" s="129"/>
      <c r="AF523" s="129"/>
      <c r="AG523" s="129"/>
    </row>
    <row r="524" spans="3:33" x14ac:dyDescent="0.35">
      <c r="C524" s="129"/>
      <c r="D524" s="129"/>
      <c r="E524" s="129"/>
      <c r="F524" s="129"/>
      <c r="G524" s="129"/>
      <c r="H524" s="129"/>
      <c r="I524" s="129"/>
      <c r="J524" s="110"/>
      <c r="K524" s="129"/>
      <c r="L524" t="s">
        <v>351</v>
      </c>
      <c r="M524" s="129"/>
      <c r="N524" s="129"/>
      <c r="O524" s="129"/>
      <c r="P524" s="129"/>
      <c r="Q524" s="129"/>
      <c r="R524" s="129"/>
      <c r="S524" s="129"/>
      <c r="T524" s="129"/>
      <c r="U524" s="141"/>
      <c r="V524" s="139"/>
      <c r="W524" s="129"/>
      <c r="X524" s="129"/>
      <c r="Y524" s="129"/>
      <c r="Z524" s="129"/>
      <c r="AA524" s="129"/>
      <c r="AB524" s="115"/>
      <c r="AC524" s="129"/>
      <c r="AD524" s="149"/>
      <c r="AE524" s="129"/>
      <c r="AF524" s="129"/>
      <c r="AG524" s="129"/>
    </row>
    <row r="525" spans="3:33" x14ac:dyDescent="0.35">
      <c r="C525" s="129"/>
      <c r="D525" s="129"/>
      <c r="E525" s="129"/>
      <c r="F525" s="129"/>
      <c r="G525" s="129"/>
      <c r="H525" s="129"/>
      <c r="I525" s="129"/>
      <c r="J525" s="110"/>
      <c r="K525" s="129"/>
      <c r="L525" t="s">
        <v>351</v>
      </c>
      <c r="M525" s="129"/>
      <c r="N525" s="129"/>
      <c r="O525" s="129"/>
      <c r="P525" s="129"/>
      <c r="Q525" s="129"/>
      <c r="R525" s="129"/>
      <c r="S525" s="129"/>
      <c r="T525" s="129"/>
      <c r="U525" s="141"/>
      <c r="V525" s="139"/>
      <c r="W525" s="129"/>
      <c r="X525" s="129"/>
      <c r="Y525" s="129"/>
      <c r="Z525" s="129"/>
      <c r="AA525" s="129"/>
      <c r="AB525" s="115"/>
      <c r="AC525" s="129"/>
      <c r="AD525" s="149"/>
      <c r="AE525" s="129"/>
      <c r="AF525" s="129"/>
      <c r="AG525" s="129"/>
    </row>
    <row r="526" spans="3:33" x14ac:dyDescent="0.35">
      <c r="C526" s="129"/>
      <c r="D526" s="129"/>
      <c r="E526" s="129"/>
      <c r="F526" s="129"/>
      <c r="G526" s="129"/>
      <c r="H526" s="129"/>
      <c r="I526" s="129"/>
      <c r="J526" s="110"/>
      <c r="K526" s="129"/>
      <c r="L526" t="s">
        <v>351</v>
      </c>
      <c r="M526" s="129"/>
      <c r="N526" s="129"/>
      <c r="O526" s="129"/>
      <c r="P526" s="129"/>
      <c r="Q526" s="129"/>
      <c r="R526" s="129"/>
      <c r="S526" s="129"/>
      <c r="T526" s="129"/>
      <c r="U526" s="141"/>
      <c r="V526" s="139"/>
      <c r="W526" s="129"/>
      <c r="X526" s="129"/>
      <c r="Y526" s="129"/>
      <c r="Z526" s="129"/>
      <c r="AA526" s="129"/>
      <c r="AB526" s="115"/>
      <c r="AC526" s="129"/>
      <c r="AD526" s="149"/>
      <c r="AE526" s="129"/>
      <c r="AF526" s="129"/>
      <c r="AG526" s="129"/>
    </row>
    <row r="527" spans="3:33" x14ac:dyDescent="0.35">
      <c r="C527" s="129"/>
      <c r="D527" s="129"/>
      <c r="E527" s="129"/>
      <c r="F527" s="129"/>
      <c r="G527" s="129"/>
      <c r="H527" s="129"/>
      <c r="I527" s="129"/>
      <c r="J527" s="110"/>
      <c r="K527" s="129"/>
      <c r="L527" t="s">
        <v>351</v>
      </c>
      <c r="M527" s="129"/>
      <c r="N527" s="129"/>
      <c r="O527" s="129"/>
      <c r="P527" s="129"/>
      <c r="Q527" s="129"/>
      <c r="R527" s="129"/>
      <c r="S527" s="129"/>
      <c r="T527" s="129"/>
      <c r="U527" s="141"/>
      <c r="V527" s="139"/>
      <c r="W527" s="129"/>
      <c r="X527" s="129"/>
      <c r="Y527" s="129"/>
      <c r="Z527" s="129"/>
      <c r="AA527" s="129"/>
      <c r="AB527" s="115"/>
      <c r="AC527" s="129"/>
      <c r="AD527" s="149"/>
      <c r="AE527" s="129"/>
      <c r="AF527" s="129"/>
      <c r="AG527" s="129"/>
    </row>
    <row r="528" spans="3:33" x14ac:dyDescent="0.35">
      <c r="C528" s="129"/>
      <c r="D528" s="129"/>
      <c r="E528" s="129"/>
      <c r="F528" s="129"/>
      <c r="G528" s="129"/>
      <c r="H528" s="129"/>
      <c r="I528" s="129"/>
      <c r="J528" s="110"/>
      <c r="K528" s="129"/>
      <c r="L528" t="s">
        <v>351</v>
      </c>
      <c r="M528" s="129"/>
      <c r="N528" s="129"/>
      <c r="O528" s="129"/>
      <c r="P528" s="129"/>
      <c r="Q528" s="129"/>
      <c r="R528" s="129"/>
      <c r="S528" s="129"/>
      <c r="T528" s="129"/>
      <c r="U528" s="141"/>
      <c r="V528" s="139"/>
      <c r="W528" s="129"/>
      <c r="X528" s="129"/>
      <c r="Y528" s="129"/>
      <c r="Z528" s="129"/>
      <c r="AA528" s="129"/>
      <c r="AB528" s="115"/>
      <c r="AC528" s="129"/>
      <c r="AD528" s="149"/>
      <c r="AE528" s="129"/>
      <c r="AF528" s="129"/>
      <c r="AG528" s="129"/>
    </row>
    <row r="529" spans="3:33" x14ac:dyDescent="0.35">
      <c r="C529" s="129"/>
      <c r="D529" s="129"/>
      <c r="E529" s="129"/>
      <c r="F529" s="129"/>
      <c r="G529" s="129"/>
      <c r="H529" s="129"/>
      <c r="I529" s="129"/>
      <c r="J529" s="110"/>
      <c r="K529" s="129"/>
      <c r="L529" t="s">
        <v>351</v>
      </c>
      <c r="M529" s="129"/>
      <c r="N529" s="129"/>
      <c r="O529" s="129"/>
      <c r="P529" s="129"/>
      <c r="Q529" s="129"/>
      <c r="R529" s="129"/>
      <c r="S529" s="129"/>
      <c r="T529" s="129"/>
      <c r="U529" s="141"/>
      <c r="V529" s="139"/>
      <c r="W529" s="129"/>
      <c r="X529" s="129"/>
      <c r="Y529" s="129"/>
      <c r="Z529" s="129"/>
      <c r="AA529" s="129"/>
      <c r="AB529" s="115"/>
      <c r="AC529" s="129"/>
      <c r="AD529" s="149"/>
      <c r="AE529" s="129"/>
      <c r="AF529" s="129"/>
      <c r="AG529" s="129"/>
    </row>
    <row r="530" spans="3:33" x14ac:dyDescent="0.35">
      <c r="C530" s="129"/>
      <c r="D530" s="129"/>
      <c r="E530" s="129"/>
      <c r="F530" s="129"/>
      <c r="G530" s="129"/>
      <c r="H530" s="129"/>
      <c r="I530" s="129"/>
      <c r="J530" s="110"/>
      <c r="K530" s="129"/>
      <c r="L530" t="s">
        <v>351</v>
      </c>
      <c r="M530" s="129"/>
      <c r="N530" s="129"/>
      <c r="O530" s="129"/>
      <c r="P530" s="129"/>
      <c r="Q530" s="129"/>
      <c r="R530" s="129"/>
      <c r="S530" s="129"/>
      <c r="T530" s="129"/>
      <c r="U530" s="141"/>
      <c r="V530" s="139"/>
      <c r="W530" s="129"/>
      <c r="X530" s="129"/>
      <c r="Y530" s="129"/>
      <c r="Z530" s="129"/>
      <c r="AA530" s="129"/>
      <c r="AB530" s="115"/>
      <c r="AC530" s="129"/>
      <c r="AD530" s="149"/>
      <c r="AE530" s="129"/>
      <c r="AF530" s="129"/>
      <c r="AG530" s="129"/>
    </row>
    <row r="531" spans="3:33" x14ac:dyDescent="0.35">
      <c r="C531" s="129"/>
      <c r="D531" s="129"/>
      <c r="E531" s="129"/>
      <c r="F531" s="129"/>
      <c r="G531" s="129"/>
      <c r="H531" s="129"/>
      <c r="I531" s="129"/>
      <c r="J531" s="110"/>
      <c r="K531" s="129"/>
      <c r="L531" t="s">
        <v>351</v>
      </c>
      <c r="M531" s="129"/>
      <c r="N531" s="129"/>
      <c r="O531" s="129"/>
      <c r="P531" s="129"/>
      <c r="Q531" s="129"/>
      <c r="R531" s="129"/>
      <c r="S531" s="129"/>
      <c r="T531" s="129"/>
      <c r="U531" s="141"/>
      <c r="V531" s="139"/>
      <c r="W531" s="129"/>
      <c r="X531" s="129"/>
      <c r="Y531" s="129"/>
      <c r="Z531" s="129"/>
      <c r="AA531" s="129"/>
      <c r="AB531" s="115"/>
      <c r="AC531" s="129"/>
      <c r="AD531" s="149"/>
      <c r="AE531" s="129"/>
      <c r="AF531" s="129"/>
      <c r="AG531" s="129"/>
    </row>
    <row r="532" spans="3:33" x14ac:dyDescent="0.35">
      <c r="C532" s="129"/>
      <c r="D532" s="129"/>
      <c r="E532" s="129"/>
      <c r="F532" s="129"/>
      <c r="G532" s="129"/>
      <c r="H532" s="129"/>
      <c r="I532" s="129"/>
      <c r="J532" s="110"/>
      <c r="K532" s="129"/>
      <c r="L532" t="s">
        <v>351</v>
      </c>
      <c r="M532" s="129"/>
      <c r="N532" s="129"/>
      <c r="O532" s="129"/>
      <c r="P532" s="129"/>
      <c r="Q532" s="129"/>
      <c r="R532" s="129"/>
      <c r="S532" s="129"/>
      <c r="T532" s="129"/>
      <c r="U532" s="141"/>
      <c r="V532" s="139"/>
      <c r="W532" s="129"/>
      <c r="X532" s="129"/>
      <c r="Y532" s="129"/>
      <c r="Z532" s="129"/>
      <c r="AA532" s="129"/>
      <c r="AB532" s="115"/>
      <c r="AC532" s="129"/>
      <c r="AD532" s="149"/>
      <c r="AE532" s="129"/>
      <c r="AF532" s="129"/>
      <c r="AG532" s="129"/>
    </row>
    <row r="533" spans="3:33" x14ac:dyDescent="0.35">
      <c r="C533" s="129"/>
      <c r="D533" s="129"/>
      <c r="E533" s="129"/>
      <c r="F533" s="129"/>
      <c r="G533" s="129"/>
      <c r="H533" s="129"/>
      <c r="I533" s="129"/>
      <c r="J533" s="110"/>
      <c r="K533" s="129"/>
      <c r="L533" t="s">
        <v>351</v>
      </c>
      <c r="M533" s="129"/>
      <c r="N533" s="129"/>
      <c r="O533" s="129"/>
      <c r="P533" s="129"/>
      <c r="Q533" s="129"/>
      <c r="R533" s="129"/>
      <c r="S533" s="129"/>
      <c r="T533" s="129"/>
      <c r="U533" s="141"/>
      <c r="V533" s="139"/>
      <c r="W533" s="129"/>
      <c r="X533" s="129"/>
      <c r="Y533" s="129"/>
      <c r="Z533" s="129"/>
      <c r="AA533" s="129"/>
      <c r="AB533" s="115"/>
      <c r="AC533" s="129"/>
      <c r="AD533" s="149"/>
      <c r="AE533" s="129"/>
      <c r="AF533" s="129"/>
      <c r="AG533" s="129"/>
    </row>
    <row r="534" spans="3:33" x14ac:dyDescent="0.35">
      <c r="C534" s="129"/>
      <c r="D534" s="129"/>
      <c r="E534" s="129"/>
      <c r="F534" s="129"/>
      <c r="G534" s="129"/>
      <c r="H534" s="129"/>
      <c r="I534" s="129"/>
      <c r="J534" s="110"/>
      <c r="K534" s="129"/>
      <c r="L534" t="s">
        <v>351</v>
      </c>
      <c r="M534" s="129"/>
      <c r="N534" s="129"/>
      <c r="O534" s="129"/>
      <c r="P534" s="129"/>
      <c r="Q534" s="129"/>
      <c r="R534" s="129"/>
      <c r="S534" s="129"/>
      <c r="T534" s="129"/>
      <c r="U534" s="141"/>
      <c r="V534" s="139"/>
      <c r="W534" s="129"/>
      <c r="X534" s="129"/>
      <c r="Y534" s="129"/>
      <c r="Z534" s="129"/>
      <c r="AA534" s="129"/>
      <c r="AB534" s="115"/>
      <c r="AC534" s="129"/>
      <c r="AD534" s="149"/>
      <c r="AE534" s="129"/>
      <c r="AF534" s="129"/>
      <c r="AG534" s="129"/>
    </row>
    <row r="535" spans="3:33" x14ac:dyDescent="0.35">
      <c r="C535" s="129"/>
      <c r="D535" s="129"/>
      <c r="E535" s="129"/>
      <c r="F535" s="129"/>
      <c r="G535" s="129"/>
      <c r="H535" s="129"/>
      <c r="I535" s="129"/>
      <c r="J535" s="110"/>
      <c r="K535" s="129"/>
      <c r="L535" t="s">
        <v>351</v>
      </c>
      <c r="M535" s="129"/>
      <c r="N535" s="129"/>
      <c r="O535" s="129"/>
      <c r="P535" s="129"/>
      <c r="Q535" s="129"/>
      <c r="R535" s="129"/>
      <c r="S535" s="129"/>
      <c r="T535" s="129"/>
      <c r="U535" s="141"/>
      <c r="V535" s="139"/>
      <c r="W535" s="129"/>
      <c r="X535" s="129"/>
      <c r="Y535" s="129"/>
      <c r="Z535" s="129"/>
      <c r="AA535" s="129"/>
      <c r="AB535" s="115"/>
      <c r="AC535" s="129"/>
      <c r="AD535" s="149"/>
      <c r="AE535" s="129"/>
      <c r="AF535" s="129"/>
      <c r="AG535" s="129"/>
    </row>
    <row r="536" spans="3:33" x14ac:dyDescent="0.35">
      <c r="C536" s="129"/>
      <c r="D536" s="129"/>
      <c r="E536" s="129"/>
      <c r="F536" s="129"/>
      <c r="G536" s="129"/>
      <c r="H536" s="129"/>
      <c r="I536" s="129"/>
      <c r="J536" s="110"/>
      <c r="K536" s="129"/>
      <c r="L536" t="s">
        <v>351</v>
      </c>
      <c r="M536" s="129"/>
      <c r="N536" s="129"/>
      <c r="O536" s="129"/>
      <c r="P536" s="129"/>
      <c r="Q536" s="129"/>
      <c r="R536" s="129"/>
      <c r="S536" s="129"/>
      <c r="T536" s="129"/>
      <c r="U536" s="141"/>
      <c r="V536" s="139"/>
      <c r="W536" s="129"/>
      <c r="X536" s="129"/>
      <c r="Y536" s="129"/>
      <c r="Z536" s="129"/>
      <c r="AA536" s="129"/>
      <c r="AB536" s="115"/>
      <c r="AC536" s="129"/>
      <c r="AD536" s="149"/>
      <c r="AE536" s="129"/>
      <c r="AF536" s="129"/>
      <c r="AG536" s="129"/>
    </row>
    <row r="537" spans="3:33" x14ac:dyDescent="0.35">
      <c r="C537" s="129"/>
      <c r="D537" s="129"/>
      <c r="E537" s="129"/>
      <c r="F537" s="129"/>
      <c r="G537" s="129"/>
      <c r="H537" s="129"/>
      <c r="I537" s="129"/>
      <c r="J537" s="110"/>
      <c r="K537" s="129"/>
      <c r="L537" t="s">
        <v>351</v>
      </c>
      <c r="M537" s="129"/>
      <c r="N537" s="129"/>
      <c r="O537" s="129"/>
      <c r="P537" s="129"/>
      <c r="Q537" s="129"/>
      <c r="R537" s="129"/>
      <c r="S537" s="129"/>
      <c r="T537" s="129"/>
      <c r="U537" s="141"/>
      <c r="V537" s="139"/>
      <c r="W537" s="129"/>
      <c r="X537" s="129"/>
      <c r="Y537" s="129"/>
      <c r="Z537" s="129"/>
      <c r="AA537" s="129"/>
      <c r="AB537" s="115"/>
      <c r="AC537" s="129"/>
      <c r="AD537" s="149"/>
      <c r="AE537" s="129"/>
      <c r="AF537" s="129"/>
      <c r="AG537" s="129"/>
    </row>
    <row r="538" spans="3:33" x14ac:dyDescent="0.35">
      <c r="C538" s="129"/>
      <c r="D538" s="129"/>
      <c r="E538" s="129"/>
      <c r="F538" s="129"/>
      <c r="G538" s="129"/>
      <c r="H538" s="129"/>
      <c r="I538" s="129"/>
      <c r="J538" s="110"/>
      <c r="K538" s="129"/>
      <c r="L538" t="s">
        <v>351</v>
      </c>
      <c r="M538" s="129"/>
      <c r="N538" s="129"/>
      <c r="O538" s="129"/>
      <c r="P538" s="129"/>
      <c r="Q538" s="129"/>
      <c r="R538" s="129"/>
      <c r="S538" s="129"/>
      <c r="T538" s="129"/>
      <c r="U538" s="141"/>
      <c r="V538" s="139"/>
      <c r="W538" s="129"/>
      <c r="X538" s="129"/>
      <c r="Y538" s="129"/>
      <c r="Z538" s="129"/>
      <c r="AA538" s="129"/>
      <c r="AB538" s="115"/>
      <c r="AC538" s="129"/>
      <c r="AD538" s="149"/>
      <c r="AE538" s="129"/>
      <c r="AF538" s="129"/>
      <c r="AG538" s="129"/>
    </row>
    <row r="539" spans="3:33" x14ac:dyDescent="0.35">
      <c r="C539" s="129"/>
      <c r="D539" s="129"/>
      <c r="E539" s="129"/>
      <c r="F539" s="129"/>
      <c r="G539" s="129"/>
      <c r="H539" s="129"/>
      <c r="I539" s="129"/>
      <c r="J539" s="110"/>
      <c r="K539" s="129"/>
      <c r="L539" t="s">
        <v>351</v>
      </c>
      <c r="M539" s="129"/>
      <c r="N539" s="129"/>
      <c r="O539" s="129"/>
      <c r="P539" s="129"/>
      <c r="Q539" s="129"/>
      <c r="R539" s="129"/>
      <c r="S539" s="129"/>
      <c r="T539" s="129"/>
      <c r="U539" s="141"/>
      <c r="V539" s="139"/>
      <c r="W539" s="129"/>
      <c r="X539" s="129"/>
      <c r="Y539" s="129"/>
      <c r="Z539" s="129"/>
      <c r="AA539" s="129"/>
      <c r="AB539" s="115"/>
      <c r="AC539" s="129"/>
      <c r="AD539" s="149"/>
      <c r="AE539" s="129"/>
      <c r="AF539" s="129"/>
      <c r="AG539" s="129"/>
    </row>
    <row r="540" spans="3:33" x14ac:dyDescent="0.35">
      <c r="C540" s="129"/>
      <c r="D540" s="129"/>
      <c r="E540" s="129"/>
      <c r="F540" s="129"/>
      <c r="G540" s="129"/>
      <c r="H540" s="129"/>
      <c r="I540" s="129"/>
      <c r="J540" s="110"/>
      <c r="K540" s="129"/>
      <c r="L540" t="s">
        <v>351</v>
      </c>
      <c r="M540" s="129"/>
      <c r="N540" s="129"/>
      <c r="O540" s="129"/>
      <c r="P540" s="129"/>
      <c r="Q540" s="129"/>
      <c r="R540" s="129"/>
      <c r="S540" s="129"/>
      <c r="T540" s="129"/>
      <c r="U540" s="141"/>
      <c r="V540" s="139"/>
      <c r="W540" s="129"/>
      <c r="X540" s="129"/>
      <c r="Y540" s="129"/>
      <c r="Z540" s="129"/>
      <c r="AA540" s="129"/>
      <c r="AB540" s="115"/>
      <c r="AC540" s="129"/>
      <c r="AD540" s="149"/>
      <c r="AE540" s="129"/>
      <c r="AF540" s="129"/>
      <c r="AG540" s="129"/>
    </row>
    <row r="541" spans="3:33" x14ac:dyDescent="0.35">
      <c r="C541" s="129"/>
      <c r="D541" s="129"/>
      <c r="E541" s="129"/>
      <c r="F541" s="129"/>
      <c r="G541" s="129"/>
      <c r="H541" s="129"/>
      <c r="I541" s="129"/>
      <c r="J541" s="110"/>
      <c r="K541" s="129"/>
      <c r="L541" t="s">
        <v>351</v>
      </c>
      <c r="M541" s="129"/>
      <c r="N541" s="129"/>
      <c r="O541" s="129"/>
      <c r="P541" s="129"/>
      <c r="Q541" s="129"/>
      <c r="R541" s="129"/>
      <c r="S541" s="129"/>
      <c r="T541" s="129"/>
      <c r="U541" s="141"/>
      <c r="V541" s="139"/>
      <c r="W541" s="129"/>
      <c r="X541" s="129"/>
      <c r="Y541" s="129"/>
      <c r="Z541" s="129"/>
      <c r="AA541" s="129"/>
      <c r="AB541" s="115"/>
      <c r="AC541" s="129"/>
      <c r="AD541" s="149"/>
      <c r="AE541" s="129"/>
      <c r="AF541" s="129"/>
      <c r="AG541" s="129"/>
    </row>
    <row r="542" spans="3:33" x14ac:dyDescent="0.35">
      <c r="C542" s="129"/>
      <c r="D542" s="129"/>
      <c r="E542" s="129"/>
      <c r="F542" s="129"/>
      <c r="G542" s="129"/>
      <c r="H542" s="129"/>
      <c r="I542" s="129"/>
      <c r="J542" s="110"/>
      <c r="K542" s="129"/>
      <c r="L542" t="s">
        <v>351</v>
      </c>
      <c r="M542" s="129"/>
      <c r="N542" s="129"/>
      <c r="O542" s="129"/>
      <c r="P542" s="129"/>
      <c r="Q542" s="129"/>
      <c r="R542" s="129"/>
      <c r="S542" s="129"/>
      <c r="T542" s="129"/>
      <c r="U542" s="141"/>
      <c r="V542" s="139"/>
      <c r="W542" s="129"/>
      <c r="X542" s="129"/>
      <c r="Y542" s="129"/>
      <c r="Z542" s="129"/>
      <c r="AA542" s="129"/>
      <c r="AB542" s="115"/>
      <c r="AC542" s="129"/>
      <c r="AD542" s="149"/>
      <c r="AE542" s="129"/>
      <c r="AF542" s="129"/>
      <c r="AG542" s="129"/>
    </row>
    <row r="543" spans="3:33" x14ac:dyDescent="0.35">
      <c r="C543" s="129"/>
      <c r="D543" s="129"/>
      <c r="E543" s="129"/>
      <c r="F543" s="129"/>
      <c r="G543" s="129"/>
      <c r="H543" s="129"/>
      <c r="I543" s="129"/>
      <c r="J543" s="110"/>
      <c r="K543" s="129"/>
      <c r="L543" t="s">
        <v>351</v>
      </c>
      <c r="M543" s="129"/>
      <c r="N543" s="129"/>
      <c r="O543" s="129"/>
      <c r="P543" s="129"/>
      <c r="Q543" s="129"/>
      <c r="R543" s="129"/>
      <c r="S543" s="129"/>
      <c r="T543" s="129"/>
      <c r="U543" s="141"/>
      <c r="V543" s="139"/>
      <c r="W543" s="129"/>
      <c r="X543" s="129"/>
      <c r="Y543" s="129"/>
      <c r="Z543" s="129"/>
      <c r="AA543" s="129"/>
      <c r="AB543" s="115"/>
      <c r="AC543" s="129"/>
      <c r="AD543" s="149"/>
      <c r="AE543" s="129"/>
      <c r="AF543" s="129"/>
      <c r="AG543" s="129"/>
    </row>
    <row r="544" spans="3:33" x14ac:dyDescent="0.35">
      <c r="C544" s="129"/>
      <c r="D544" s="129"/>
      <c r="E544" s="129"/>
      <c r="F544" s="129"/>
      <c r="G544" s="129"/>
      <c r="H544" s="129"/>
      <c r="I544" s="129"/>
      <c r="J544" s="110"/>
      <c r="K544" s="129"/>
      <c r="L544" t="s">
        <v>351</v>
      </c>
      <c r="M544" s="129"/>
      <c r="N544" s="129"/>
      <c r="O544" s="129"/>
      <c r="P544" s="129"/>
      <c r="Q544" s="129"/>
      <c r="R544" s="129"/>
      <c r="S544" s="129"/>
      <c r="T544" s="129"/>
      <c r="U544" s="141"/>
      <c r="V544" s="139"/>
      <c r="W544" s="129"/>
      <c r="X544" s="129"/>
      <c r="Y544" s="129"/>
      <c r="Z544" s="129"/>
      <c r="AA544" s="129"/>
      <c r="AB544" s="115"/>
      <c r="AC544" s="129"/>
      <c r="AD544" s="149"/>
      <c r="AE544" s="129"/>
      <c r="AF544" s="129"/>
      <c r="AG544" s="129"/>
    </row>
    <row r="545" spans="3:33" x14ac:dyDescent="0.35">
      <c r="C545" s="129"/>
      <c r="D545" s="129"/>
      <c r="E545" s="129"/>
      <c r="F545" s="129"/>
      <c r="G545" s="129"/>
      <c r="H545" s="129"/>
      <c r="I545" s="129"/>
      <c r="J545" s="110"/>
      <c r="K545" s="129"/>
      <c r="L545" t="s">
        <v>351</v>
      </c>
      <c r="M545" s="129"/>
      <c r="N545" s="129"/>
      <c r="O545" s="129"/>
      <c r="P545" s="129"/>
      <c r="Q545" s="129"/>
      <c r="R545" s="129"/>
      <c r="S545" s="129"/>
      <c r="T545" s="129"/>
      <c r="U545" s="141"/>
      <c r="V545" s="139"/>
      <c r="W545" s="129"/>
      <c r="X545" s="129"/>
      <c r="Y545" s="129"/>
      <c r="Z545" s="129"/>
      <c r="AA545" s="129"/>
      <c r="AB545" s="115"/>
      <c r="AC545" s="129"/>
      <c r="AD545" s="149"/>
      <c r="AE545" s="129"/>
      <c r="AF545" s="129"/>
      <c r="AG545" s="129"/>
    </row>
    <row r="546" spans="3:33" x14ac:dyDescent="0.35">
      <c r="C546" s="129"/>
      <c r="D546" s="129"/>
      <c r="E546" s="129"/>
      <c r="F546" s="129"/>
      <c r="G546" s="129"/>
      <c r="H546" s="129"/>
      <c r="I546" s="129"/>
      <c r="J546" s="110"/>
      <c r="K546" s="129"/>
      <c r="L546" t="s">
        <v>351</v>
      </c>
      <c r="M546" s="129"/>
      <c r="N546" s="129"/>
      <c r="O546" s="129"/>
      <c r="P546" s="129"/>
      <c r="Q546" s="129"/>
      <c r="R546" s="129"/>
      <c r="S546" s="129"/>
      <c r="T546" s="129"/>
      <c r="U546" s="141"/>
      <c r="V546" s="139"/>
      <c r="W546" s="129"/>
      <c r="X546" s="129"/>
      <c r="Y546" s="129"/>
      <c r="Z546" s="129"/>
      <c r="AA546" s="129"/>
      <c r="AB546" s="115"/>
      <c r="AC546" s="129"/>
      <c r="AD546" s="149"/>
      <c r="AE546" s="129"/>
      <c r="AF546" s="129"/>
      <c r="AG546" s="129"/>
    </row>
    <row r="547" spans="3:33" x14ac:dyDescent="0.35">
      <c r="C547" s="129"/>
      <c r="D547" s="129"/>
      <c r="E547" s="129"/>
      <c r="F547" s="129"/>
      <c r="G547" s="129"/>
      <c r="H547" s="129"/>
      <c r="I547" s="129"/>
      <c r="J547" s="110"/>
      <c r="K547" s="129"/>
      <c r="L547" t="s">
        <v>351</v>
      </c>
      <c r="M547" s="129"/>
      <c r="N547" s="129"/>
      <c r="O547" s="129"/>
      <c r="P547" s="129"/>
      <c r="Q547" s="129"/>
      <c r="R547" s="129"/>
      <c r="S547" s="129"/>
      <c r="T547" s="129"/>
      <c r="U547" s="141"/>
      <c r="V547" s="139"/>
      <c r="W547" s="129"/>
      <c r="X547" s="129"/>
      <c r="Y547" s="129"/>
      <c r="Z547" s="129"/>
      <c r="AA547" s="129"/>
      <c r="AB547" s="115"/>
      <c r="AC547" s="129"/>
      <c r="AD547" s="149"/>
      <c r="AE547" s="129"/>
      <c r="AF547" s="129"/>
      <c r="AG547" s="129"/>
    </row>
    <row r="548" spans="3:33" x14ac:dyDescent="0.35">
      <c r="C548" s="129"/>
      <c r="D548" s="129"/>
      <c r="E548" s="129"/>
      <c r="F548" s="129"/>
      <c r="G548" s="129"/>
      <c r="H548" s="129"/>
      <c r="I548" s="129"/>
      <c r="J548" s="110"/>
      <c r="K548" s="129"/>
      <c r="L548" t="s">
        <v>351</v>
      </c>
      <c r="M548" s="129"/>
      <c r="N548" s="129"/>
      <c r="O548" s="129"/>
      <c r="P548" s="129"/>
      <c r="Q548" s="129"/>
      <c r="R548" s="129"/>
      <c r="S548" s="129"/>
      <c r="T548" s="129"/>
      <c r="U548" s="141"/>
      <c r="V548" s="139"/>
      <c r="W548" s="129"/>
      <c r="X548" s="129"/>
      <c r="Y548" s="129"/>
      <c r="Z548" s="129"/>
      <c r="AA548" s="129"/>
      <c r="AB548" s="115"/>
      <c r="AC548" s="129"/>
      <c r="AD548" s="149"/>
      <c r="AE548" s="129"/>
      <c r="AF548" s="129"/>
      <c r="AG548" s="129"/>
    </row>
    <row r="549" spans="3:33" x14ac:dyDescent="0.35">
      <c r="C549" s="129"/>
      <c r="D549" s="129"/>
      <c r="E549" s="129"/>
      <c r="F549" s="129"/>
      <c r="G549" s="129"/>
      <c r="H549" s="129"/>
      <c r="I549" s="129"/>
      <c r="J549" s="110"/>
      <c r="K549" s="129"/>
      <c r="L549" t="s">
        <v>351</v>
      </c>
      <c r="M549" s="129"/>
      <c r="N549" s="129"/>
      <c r="O549" s="129"/>
      <c r="P549" s="129"/>
      <c r="Q549" s="129"/>
      <c r="R549" s="129"/>
      <c r="S549" s="129"/>
      <c r="T549" s="129"/>
      <c r="U549" s="141"/>
      <c r="V549" s="139"/>
      <c r="W549" s="129"/>
      <c r="X549" s="129"/>
      <c r="Y549" s="129"/>
      <c r="Z549" s="129"/>
      <c r="AA549" s="129"/>
      <c r="AB549" s="115"/>
      <c r="AC549" s="129"/>
      <c r="AD549" s="149"/>
      <c r="AE549" s="129"/>
      <c r="AF549" s="129"/>
      <c r="AG549" s="129"/>
    </row>
    <row r="550" spans="3:33" x14ac:dyDescent="0.35">
      <c r="C550" s="129"/>
      <c r="D550" s="129"/>
      <c r="E550" s="129"/>
      <c r="F550" s="129"/>
      <c r="G550" s="129"/>
      <c r="H550" s="129"/>
      <c r="I550" s="129"/>
      <c r="J550" s="110"/>
      <c r="K550" s="129"/>
      <c r="L550" t="s">
        <v>351</v>
      </c>
      <c r="M550" s="129"/>
      <c r="N550" s="129"/>
      <c r="O550" s="129"/>
      <c r="P550" s="129"/>
      <c r="Q550" s="129"/>
      <c r="R550" s="129"/>
      <c r="S550" s="129"/>
      <c r="T550" s="129"/>
      <c r="U550" s="141"/>
      <c r="V550" s="139"/>
      <c r="W550" s="129"/>
      <c r="X550" s="129"/>
      <c r="Y550" s="129"/>
      <c r="Z550" s="129"/>
      <c r="AA550" s="129"/>
      <c r="AB550" s="115"/>
      <c r="AC550" s="129"/>
      <c r="AD550" s="149"/>
      <c r="AE550" s="129"/>
      <c r="AF550" s="129"/>
      <c r="AG550" s="129"/>
    </row>
    <row r="551" spans="3:33" x14ac:dyDescent="0.35">
      <c r="C551" s="129"/>
      <c r="D551" s="129"/>
      <c r="E551" s="129"/>
      <c r="F551" s="129"/>
      <c r="G551" s="129"/>
      <c r="H551" s="129"/>
      <c r="I551" s="129"/>
      <c r="J551" s="110"/>
      <c r="K551" s="129"/>
      <c r="L551" t="s">
        <v>351</v>
      </c>
      <c r="M551" s="129"/>
      <c r="N551" s="129"/>
      <c r="O551" s="129"/>
      <c r="P551" s="129"/>
      <c r="Q551" s="129"/>
      <c r="R551" s="129"/>
      <c r="S551" s="129"/>
      <c r="T551" s="129"/>
      <c r="U551" s="141"/>
      <c r="V551" s="139"/>
      <c r="W551" s="129"/>
      <c r="X551" s="129"/>
      <c r="Y551" s="129"/>
      <c r="Z551" s="129"/>
      <c r="AA551" s="129"/>
      <c r="AB551" s="115"/>
      <c r="AC551" s="129"/>
      <c r="AD551" s="149"/>
      <c r="AE551" s="129"/>
      <c r="AF551" s="129"/>
      <c r="AG551" s="129"/>
    </row>
    <row r="552" spans="3:33" x14ac:dyDescent="0.35">
      <c r="C552" s="129"/>
      <c r="D552" s="129"/>
      <c r="E552" s="129"/>
      <c r="F552" s="129"/>
      <c r="G552" s="129"/>
      <c r="H552" s="129"/>
      <c r="I552" s="129"/>
      <c r="J552" s="110"/>
      <c r="K552" s="129"/>
      <c r="L552" t="s">
        <v>351</v>
      </c>
      <c r="M552" s="129"/>
      <c r="N552" s="129"/>
      <c r="O552" s="129"/>
      <c r="P552" s="129"/>
      <c r="Q552" s="129"/>
      <c r="R552" s="129"/>
      <c r="S552" s="129"/>
      <c r="T552" s="129"/>
      <c r="U552" s="141"/>
      <c r="V552" s="139"/>
      <c r="W552" s="129"/>
      <c r="X552" s="129"/>
      <c r="Y552" s="129"/>
      <c r="Z552" s="129"/>
      <c r="AA552" s="129"/>
      <c r="AB552" s="115"/>
      <c r="AC552" s="129"/>
      <c r="AD552" s="149"/>
      <c r="AE552" s="129"/>
      <c r="AF552" s="129"/>
      <c r="AG552" s="129"/>
    </row>
    <row r="553" spans="3:33" x14ac:dyDescent="0.35">
      <c r="C553" s="129"/>
      <c r="D553" s="129"/>
      <c r="E553" s="129"/>
      <c r="F553" s="129"/>
      <c r="G553" s="129"/>
      <c r="H553" s="129"/>
      <c r="I553" s="129"/>
      <c r="J553" s="110"/>
      <c r="K553" s="129"/>
      <c r="L553" t="s">
        <v>351</v>
      </c>
      <c r="M553" s="129"/>
      <c r="N553" s="129"/>
      <c r="O553" s="129"/>
      <c r="P553" s="129"/>
      <c r="Q553" s="129"/>
      <c r="R553" s="129"/>
      <c r="S553" s="129"/>
      <c r="T553" s="129"/>
      <c r="U553" s="141"/>
      <c r="V553" s="139"/>
      <c r="W553" s="129"/>
      <c r="X553" s="129"/>
      <c r="Y553" s="129"/>
      <c r="Z553" s="129"/>
      <c r="AA553" s="129"/>
      <c r="AB553" s="115"/>
      <c r="AC553" s="129"/>
      <c r="AD553" s="149"/>
      <c r="AE553" s="129"/>
      <c r="AF553" s="129"/>
      <c r="AG553" s="129"/>
    </row>
    <row r="554" spans="3:33" x14ac:dyDescent="0.35">
      <c r="C554" s="129"/>
      <c r="D554" s="129"/>
      <c r="E554" s="129"/>
      <c r="F554" s="129"/>
      <c r="G554" s="129"/>
      <c r="H554" s="129"/>
      <c r="I554" s="129"/>
      <c r="J554" s="110"/>
      <c r="K554" s="129"/>
      <c r="L554" t="s">
        <v>351</v>
      </c>
      <c r="M554" s="129"/>
      <c r="N554" s="129"/>
      <c r="O554" s="129"/>
      <c r="P554" s="129"/>
      <c r="Q554" s="129"/>
      <c r="R554" s="129"/>
      <c r="S554" s="129"/>
      <c r="T554" s="129"/>
      <c r="U554" s="141"/>
      <c r="V554" s="139"/>
      <c r="W554" s="129"/>
      <c r="X554" s="129"/>
      <c r="Y554" s="129"/>
      <c r="Z554" s="129"/>
      <c r="AA554" s="129"/>
      <c r="AB554" s="115"/>
      <c r="AC554" s="129"/>
      <c r="AD554" s="149"/>
      <c r="AE554" s="129"/>
      <c r="AF554" s="129"/>
      <c r="AG554" s="129"/>
    </row>
    <row r="555" spans="3:33" x14ac:dyDescent="0.35">
      <c r="C555" s="129"/>
      <c r="D555" s="129"/>
      <c r="E555" s="129"/>
      <c r="F555" s="129"/>
      <c r="G555" s="129"/>
      <c r="H555" s="129"/>
      <c r="I555" s="129"/>
      <c r="J555" s="110"/>
      <c r="K555" s="129"/>
      <c r="L555" t="s">
        <v>351</v>
      </c>
      <c r="M555" s="129"/>
      <c r="N555" s="129"/>
      <c r="O555" s="129"/>
      <c r="P555" s="129"/>
      <c r="Q555" s="129"/>
      <c r="R555" s="129"/>
      <c r="S555" s="129"/>
      <c r="T555" s="129"/>
      <c r="U555" s="141"/>
      <c r="V555" s="139"/>
      <c r="W555" s="129"/>
      <c r="X555" s="129"/>
      <c r="Y555" s="129"/>
      <c r="Z555" s="129"/>
      <c r="AA555" s="129"/>
      <c r="AB555" s="115"/>
      <c r="AC555" s="129"/>
      <c r="AD555" s="149"/>
      <c r="AE555" s="129"/>
      <c r="AF555" s="129"/>
      <c r="AG555" s="129"/>
    </row>
    <row r="556" spans="3:33" x14ac:dyDescent="0.35">
      <c r="C556" s="129"/>
      <c r="D556" s="129"/>
      <c r="E556" s="129"/>
      <c r="F556" s="129"/>
      <c r="G556" s="129"/>
      <c r="H556" s="129"/>
      <c r="I556" s="129"/>
      <c r="J556" s="110"/>
      <c r="K556" s="129"/>
      <c r="L556" t="s">
        <v>351</v>
      </c>
      <c r="M556" s="129"/>
      <c r="N556" s="129"/>
      <c r="O556" s="129"/>
      <c r="P556" s="129"/>
      <c r="Q556" s="129"/>
      <c r="R556" s="129"/>
      <c r="S556" s="129"/>
      <c r="T556" s="129"/>
      <c r="U556" s="141"/>
      <c r="V556" s="139"/>
      <c r="W556" s="129"/>
      <c r="X556" s="129"/>
      <c r="Y556" s="129"/>
      <c r="Z556" s="129"/>
      <c r="AA556" s="129"/>
      <c r="AB556" s="115"/>
      <c r="AC556" s="129"/>
      <c r="AD556" s="149"/>
      <c r="AE556" s="129"/>
      <c r="AF556" s="129"/>
      <c r="AG556" s="129"/>
    </row>
    <row r="557" spans="3:33" x14ac:dyDescent="0.35">
      <c r="C557" s="129"/>
      <c r="D557" s="129"/>
      <c r="E557" s="129"/>
      <c r="F557" s="129"/>
      <c r="G557" s="129"/>
      <c r="H557" s="129"/>
      <c r="I557" s="129"/>
      <c r="J557" s="110"/>
      <c r="K557" s="129"/>
      <c r="L557" t="s">
        <v>351</v>
      </c>
      <c r="M557" s="129"/>
      <c r="N557" s="129"/>
      <c r="O557" s="129"/>
      <c r="P557" s="129"/>
      <c r="Q557" s="129"/>
      <c r="R557" s="129"/>
      <c r="S557" s="129"/>
      <c r="T557" s="129"/>
      <c r="U557" s="141"/>
      <c r="V557" s="139"/>
      <c r="W557" s="129"/>
      <c r="X557" s="129"/>
      <c r="Y557" s="129"/>
      <c r="Z557" s="129"/>
      <c r="AA557" s="129"/>
      <c r="AB557" s="115"/>
      <c r="AC557" s="129"/>
      <c r="AD557" s="149"/>
      <c r="AE557" s="129"/>
      <c r="AF557" s="129"/>
      <c r="AG557" s="129"/>
    </row>
    <row r="558" spans="3:33" x14ac:dyDescent="0.35">
      <c r="C558" s="129"/>
      <c r="D558" s="129"/>
      <c r="E558" s="129"/>
      <c r="F558" s="129"/>
      <c r="G558" s="129"/>
      <c r="H558" s="129"/>
      <c r="I558" s="129"/>
      <c r="J558" s="110"/>
      <c r="K558" s="129"/>
      <c r="L558" t="s">
        <v>351</v>
      </c>
      <c r="M558" s="129"/>
      <c r="N558" s="129"/>
      <c r="O558" s="129"/>
      <c r="P558" s="129"/>
      <c r="Q558" s="129"/>
      <c r="R558" s="129"/>
      <c r="S558" s="129"/>
      <c r="T558" s="129"/>
      <c r="U558" s="141"/>
      <c r="V558" s="139"/>
      <c r="W558" s="129"/>
      <c r="X558" s="129"/>
      <c r="Y558" s="129"/>
      <c r="Z558" s="129"/>
      <c r="AA558" s="129"/>
      <c r="AB558" s="115"/>
      <c r="AC558" s="129"/>
      <c r="AD558" s="149"/>
      <c r="AE558" s="129"/>
      <c r="AF558" s="129"/>
      <c r="AG558" s="129"/>
    </row>
    <row r="559" spans="3:33" x14ac:dyDescent="0.35">
      <c r="C559" s="129"/>
      <c r="D559" s="129"/>
      <c r="E559" s="129"/>
      <c r="F559" s="129"/>
      <c r="G559" s="129"/>
      <c r="H559" s="129"/>
      <c r="I559" s="129"/>
      <c r="J559" s="110"/>
      <c r="K559" s="129"/>
      <c r="L559" t="s">
        <v>351</v>
      </c>
      <c r="M559" s="129"/>
      <c r="N559" s="129"/>
      <c r="O559" s="129"/>
      <c r="P559" s="129"/>
      <c r="Q559" s="129"/>
      <c r="R559" s="129"/>
      <c r="S559" s="129"/>
      <c r="T559" s="129"/>
      <c r="U559" s="141"/>
      <c r="V559" s="139"/>
      <c r="W559" s="129"/>
      <c r="X559" s="129"/>
      <c r="Y559" s="129"/>
      <c r="Z559" s="129"/>
      <c r="AA559" s="129"/>
      <c r="AB559" s="115"/>
      <c r="AC559" s="129"/>
      <c r="AD559" s="149"/>
      <c r="AE559" s="129"/>
      <c r="AF559" s="129"/>
      <c r="AG559" s="129"/>
    </row>
    <row r="560" spans="3:33" x14ac:dyDescent="0.35">
      <c r="C560" s="129"/>
      <c r="D560" s="129"/>
      <c r="E560" s="129"/>
      <c r="F560" s="129"/>
      <c r="G560" s="129"/>
      <c r="H560" s="129"/>
      <c r="I560" s="129"/>
      <c r="J560" s="110"/>
      <c r="K560" s="129"/>
      <c r="L560" t="s">
        <v>351</v>
      </c>
      <c r="M560" s="129"/>
      <c r="N560" s="129"/>
      <c r="O560" s="129"/>
      <c r="P560" s="129"/>
      <c r="Q560" s="129"/>
      <c r="R560" s="129"/>
      <c r="S560" s="129"/>
      <c r="T560" s="129"/>
      <c r="U560" s="141"/>
      <c r="V560" s="139"/>
      <c r="W560" s="129"/>
      <c r="X560" s="129"/>
      <c r="Y560" s="129"/>
      <c r="Z560" s="129"/>
      <c r="AA560" s="129"/>
      <c r="AB560" s="115"/>
      <c r="AC560" s="129"/>
      <c r="AD560" s="149"/>
      <c r="AE560" s="129"/>
      <c r="AF560" s="129"/>
      <c r="AG560" s="129"/>
    </row>
    <row r="561" spans="3:33" x14ac:dyDescent="0.35">
      <c r="C561" s="129"/>
      <c r="D561" s="129"/>
      <c r="E561" s="129"/>
      <c r="F561" s="129"/>
      <c r="G561" s="129"/>
      <c r="H561" s="129"/>
      <c r="I561" s="129"/>
      <c r="J561" s="110"/>
      <c r="K561" s="129"/>
      <c r="L561" t="s">
        <v>351</v>
      </c>
      <c r="M561" s="129"/>
      <c r="N561" s="129"/>
      <c r="O561" s="129"/>
      <c r="P561" s="129"/>
      <c r="Q561" s="129"/>
      <c r="R561" s="129"/>
      <c r="S561" s="129"/>
      <c r="T561" s="129"/>
      <c r="U561" s="141"/>
      <c r="V561" s="139"/>
      <c r="W561" s="129"/>
      <c r="X561" s="129"/>
      <c r="Y561" s="129"/>
      <c r="Z561" s="129"/>
      <c r="AA561" s="129"/>
      <c r="AB561" s="115"/>
      <c r="AC561" s="129"/>
      <c r="AD561" s="149"/>
      <c r="AE561" s="129"/>
      <c r="AF561" s="129"/>
      <c r="AG561" s="129"/>
    </row>
    <row r="562" spans="3:33" x14ac:dyDescent="0.35">
      <c r="C562" s="129"/>
      <c r="D562" s="129"/>
      <c r="E562" s="129"/>
      <c r="F562" s="129"/>
      <c r="G562" s="129"/>
      <c r="H562" s="129"/>
      <c r="I562" s="129"/>
      <c r="J562" s="110"/>
      <c r="K562" s="129"/>
      <c r="L562" t="s">
        <v>351</v>
      </c>
      <c r="M562" s="129"/>
      <c r="N562" s="129"/>
      <c r="O562" s="129"/>
      <c r="P562" s="129"/>
      <c r="Q562" s="129"/>
      <c r="R562" s="129"/>
      <c r="S562" s="129"/>
      <c r="T562" s="129"/>
      <c r="U562" s="141"/>
      <c r="V562" s="139"/>
      <c r="W562" s="129"/>
      <c r="X562" s="129"/>
      <c r="Y562" s="129"/>
      <c r="Z562" s="129"/>
      <c r="AA562" s="129"/>
      <c r="AB562" s="115"/>
      <c r="AC562" s="129"/>
      <c r="AD562" s="149"/>
      <c r="AE562" s="129"/>
      <c r="AF562" s="129"/>
      <c r="AG562" s="129"/>
    </row>
    <row r="563" spans="3:33" x14ac:dyDescent="0.35">
      <c r="C563" s="129"/>
      <c r="D563" s="129"/>
      <c r="E563" s="129"/>
      <c r="F563" s="129"/>
      <c r="G563" s="129"/>
      <c r="H563" s="129"/>
      <c r="I563" s="129"/>
      <c r="J563" s="110"/>
      <c r="K563" s="129"/>
      <c r="L563" t="s">
        <v>351</v>
      </c>
      <c r="M563" s="129"/>
      <c r="N563" s="129"/>
      <c r="O563" s="129"/>
      <c r="P563" s="129"/>
      <c r="Q563" s="129"/>
      <c r="R563" s="129"/>
      <c r="S563" s="129"/>
      <c r="T563" s="129"/>
      <c r="U563" s="141"/>
      <c r="V563" s="139"/>
      <c r="W563" s="129"/>
      <c r="X563" s="129"/>
      <c r="Y563" s="129"/>
      <c r="Z563" s="129"/>
      <c r="AA563" s="129"/>
      <c r="AB563" s="115"/>
      <c r="AC563" s="129"/>
      <c r="AD563" s="149"/>
      <c r="AE563" s="129"/>
      <c r="AF563" s="129"/>
      <c r="AG563" s="129"/>
    </row>
    <row r="564" spans="3:33" x14ac:dyDescent="0.35">
      <c r="C564" s="129"/>
      <c r="D564" s="129"/>
      <c r="E564" s="129"/>
      <c r="F564" s="129"/>
      <c r="G564" s="129"/>
      <c r="H564" s="129"/>
      <c r="I564" s="129"/>
      <c r="J564" s="110"/>
      <c r="K564" s="129"/>
      <c r="L564" t="s">
        <v>351</v>
      </c>
      <c r="M564" s="129"/>
      <c r="N564" s="129"/>
      <c r="O564" s="129"/>
      <c r="P564" s="129"/>
      <c r="Q564" s="129"/>
      <c r="R564" s="129"/>
      <c r="S564" s="129"/>
      <c r="T564" s="129"/>
      <c r="U564" s="141"/>
      <c r="V564" s="139"/>
      <c r="W564" s="129"/>
      <c r="X564" s="129"/>
      <c r="Y564" s="129"/>
      <c r="Z564" s="129"/>
      <c r="AA564" s="129"/>
      <c r="AB564" s="115"/>
      <c r="AC564" s="129"/>
      <c r="AD564" s="149"/>
      <c r="AE564" s="129"/>
      <c r="AF564" s="129"/>
      <c r="AG564" s="129"/>
    </row>
    <row r="565" spans="3:33" x14ac:dyDescent="0.35">
      <c r="C565" s="129"/>
      <c r="D565" s="129"/>
      <c r="E565" s="129"/>
      <c r="F565" s="129"/>
      <c r="G565" s="129"/>
      <c r="H565" s="129"/>
      <c r="I565" s="129"/>
      <c r="J565" s="110"/>
      <c r="K565" s="129"/>
      <c r="L565" t="s">
        <v>351</v>
      </c>
      <c r="M565" s="129"/>
      <c r="N565" s="129"/>
      <c r="O565" s="129"/>
      <c r="P565" s="129"/>
      <c r="Q565" s="129"/>
      <c r="R565" s="129"/>
      <c r="S565" s="129"/>
      <c r="T565" s="129"/>
      <c r="U565" s="141"/>
      <c r="V565" s="139"/>
      <c r="W565" s="129"/>
      <c r="X565" s="129"/>
      <c r="Y565" s="129"/>
      <c r="Z565" s="129"/>
      <c r="AA565" s="129"/>
      <c r="AB565" s="115"/>
      <c r="AC565" s="129"/>
      <c r="AD565" s="149"/>
      <c r="AE565" s="129"/>
      <c r="AF565" s="129"/>
      <c r="AG565" s="129"/>
    </row>
    <row r="566" spans="3:33" x14ac:dyDescent="0.35">
      <c r="C566" s="129"/>
      <c r="D566" s="129"/>
      <c r="E566" s="129"/>
      <c r="F566" s="129"/>
      <c r="G566" s="129"/>
      <c r="H566" s="129"/>
      <c r="I566" s="129"/>
      <c r="J566" s="110"/>
      <c r="K566" s="129"/>
      <c r="L566" t="s">
        <v>351</v>
      </c>
      <c r="M566" s="129"/>
      <c r="N566" s="129"/>
      <c r="O566" s="129"/>
      <c r="P566" s="129"/>
      <c r="Q566" s="129"/>
      <c r="R566" s="129"/>
      <c r="S566" s="129"/>
      <c r="T566" s="129"/>
      <c r="U566" s="141"/>
      <c r="V566" s="139"/>
      <c r="W566" s="129"/>
      <c r="X566" s="129"/>
      <c r="Y566" s="129"/>
      <c r="Z566" s="129"/>
      <c r="AA566" s="129"/>
      <c r="AB566" s="115"/>
      <c r="AC566" s="129"/>
      <c r="AD566" s="149"/>
      <c r="AE566" s="129"/>
      <c r="AF566" s="129"/>
      <c r="AG566" s="129"/>
    </row>
    <row r="567" spans="3:33" x14ac:dyDescent="0.35">
      <c r="C567" s="129"/>
      <c r="D567" s="129"/>
      <c r="E567" s="129"/>
      <c r="F567" s="129"/>
      <c r="G567" s="129"/>
      <c r="H567" s="129"/>
      <c r="I567" s="129"/>
      <c r="J567" s="110"/>
      <c r="K567" s="129"/>
      <c r="L567" t="s">
        <v>351</v>
      </c>
      <c r="M567" s="129"/>
      <c r="N567" s="129"/>
      <c r="O567" s="129"/>
      <c r="P567" s="129"/>
      <c r="Q567" s="129"/>
      <c r="R567" s="129"/>
      <c r="S567" s="129"/>
      <c r="T567" s="129"/>
      <c r="U567" s="141"/>
      <c r="V567" s="139"/>
      <c r="W567" s="129"/>
      <c r="X567" s="129"/>
      <c r="Y567" s="129"/>
      <c r="Z567" s="129"/>
      <c r="AA567" s="129"/>
      <c r="AB567" s="115"/>
      <c r="AC567" s="129"/>
      <c r="AD567" s="149"/>
      <c r="AE567" s="129"/>
      <c r="AF567" s="129"/>
      <c r="AG567" s="129"/>
    </row>
    <row r="568" spans="3:33" x14ac:dyDescent="0.35">
      <c r="C568" s="129"/>
      <c r="D568" s="129"/>
      <c r="E568" s="129"/>
      <c r="F568" s="129"/>
      <c r="G568" s="129"/>
      <c r="H568" s="129"/>
      <c r="I568" s="129"/>
      <c r="J568" s="110"/>
      <c r="K568" s="129"/>
      <c r="L568" t="s">
        <v>351</v>
      </c>
      <c r="M568" s="129"/>
      <c r="N568" s="129"/>
      <c r="O568" s="129"/>
      <c r="P568" s="129"/>
      <c r="Q568" s="129"/>
      <c r="R568" s="129"/>
      <c r="S568" s="129"/>
      <c r="T568" s="129"/>
      <c r="U568" s="141"/>
      <c r="V568" s="139"/>
      <c r="W568" s="129"/>
      <c r="X568" s="129"/>
      <c r="Y568" s="129"/>
      <c r="Z568" s="129"/>
      <c r="AA568" s="129"/>
      <c r="AB568" s="115"/>
      <c r="AC568" s="129"/>
      <c r="AD568" s="149"/>
      <c r="AE568" s="129"/>
      <c r="AF568" s="129"/>
      <c r="AG568" s="129"/>
    </row>
    <row r="569" spans="3:33" x14ac:dyDescent="0.35">
      <c r="C569" s="129"/>
      <c r="D569" s="129"/>
      <c r="E569" s="129"/>
      <c r="F569" s="129"/>
      <c r="G569" s="129"/>
      <c r="H569" s="129"/>
      <c r="I569" s="129"/>
      <c r="J569" s="110"/>
      <c r="K569" s="129"/>
      <c r="L569" t="s">
        <v>351</v>
      </c>
      <c r="M569" s="129"/>
      <c r="N569" s="129"/>
      <c r="O569" s="129"/>
      <c r="P569" s="129"/>
      <c r="Q569" s="129"/>
      <c r="R569" s="129"/>
      <c r="S569" s="129"/>
      <c r="T569" s="129"/>
      <c r="U569" s="141"/>
      <c r="V569" s="139"/>
      <c r="W569" s="129"/>
      <c r="X569" s="129"/>
      <c r="Y569" s="129"/>
      <c r="Z569" s="129"/>
      <c r="AA569" s="129"/>
      <c r="AB569" s="115"/>
      <c r="AC569" s="129"/>
      <c r="AD569" s="149"/>
      <c r="AE569" s="129"/>
      <c r="AF569" s="129"/>
      <c r="AG569" s="129"/>
    </row>
    <row r="570" spans="3:33" x14ac:dyDescent="0.35">
      <c r="C570" s="129"/>
      <c r="D570" s="129"/>
      <c r="E570" s="129"/>
      <c r="F570" s="129"/>
      <c r="G570" s="129"/>
      <c r="H570" s="129"/>
      <c r="I570" s="129"/>
      <c r="J570" s="110"/>
      <c r="K570" s="129"/>
      <c r="L570" t="s">
        <v>351</v>
      </c>
      <c r="M570" s="129"/>
      <c r="N570" s="129"/>
      <c r="O570" s="129"/>
      <c r="P570" s="129"/>
      <c r="Q570" s="129"/>
      <c r="R570" s="129"/>
      <c r="S570" s="129"/>
      <c r="T570" s="129"/>
      <c r="U570" s="141"/>
      <c r="V570" s="139"/>
      <c r="W570" s="129"/>
      <c r="X570" s="129"/>
      <c r="Y570" s="129"/>
      <c r="Z570" s="129"/>
      <c r="AA570" s="129"/>
      <c r="AB570" s="115"/>
      <c r="AC570" s="129"/>
      <c r="AD570" s="149"/>
      <c r="AE570" s="129"/>
      <c r="AF570" s="129"/>
      <c r="AG570" s="129"/>
    </row>
    <row r="571" spans="3:33" x14ac:dyDescent="0.35">
      <c r="C571" s="129"/>
      <c r="D571" s="129"/>
      <c r="E571" s="129"/>
      <c r="F571" s="129"/>
      <c r="G571" s="129"/>
      <c r="H571" s="129"/>
      <c r="I571" s="129"/>
      <c r="J571" s="110"/>
      <c r="K571" s="129"/>
      <c r="L571" t="s">
        <v>351</v>
      </c>
      <c r="M571" s="129"/>
      <c r="N571" s="129"/>
      <c r="O571" s="129"/>
      <c r="P571" s="129"/>
      <c r="Q571" s="129"/>
      <c r="R571" s="129"/>
      <c r="S571" s="129"/>
      <c r="T571" s="129"/>
      <c r="U571" s="141"/>
      <c r="V571" s="139"/>
      <c r="W571" s="129"/>
      <c r="X571" s="129"/>
      <c r="Y571" s="129"/>
      <c r="Z571" s="129"/>
      <c r="AA571" s="129"/>
      <c r="AB571" s="115"/>
      <c r="AC571" s="129"/>
      <c r="AD571" s="149"/>
      <c r="AE571" s="129"/>
      <c r="AF571" s="129"/>
      <c r="AG571" s="129"/>
    </row>
    <row r="572" spans="3:33" x14ac:dyDescent="0.35">
      <c r="C572" s="129"/>
      <c r="D572" s="129"/>
      <c r="E572" s="129"/>
      <c r="F572" s="129"/>
      <c r="G572" s="129"/>
      <c r="H572" s="129"/>
      <c r="I572" s="129"/>
      <c r="J572" s="110"/>
      <c r="K572" s="129"/>
      <c r="L572" t="s">
        <v>351</v>
      </c>
      <c r="M572" s="129"/>
      <c r="N572" s="129"/>
      <c r="O572" s="129"/>
      <c r="P572" s="129"/>
      <c r="Q572" s="129"/>
      <c r="R572" s="129"/>
      <c r="S572" s="129"/>
      <c r="T572" s="129"/>
      <c r="U572" s="141"/>
      <c r="V572" s="139"/>
      <c r="W572" s="129"/>
      <c r="X572" s="129"/>
      <c r="Y572" s="129"/>
      <c r="Z572" s="129"/>
      <c r="AA572" s="129"/>
      <c r="AB572" s="115"/>
      <c r="AC572" s="129"/>
      <c r="AD572" s="149"/>
      <c r="AE572" s="129"/>
      <c r="AF572" s="129"/>
      <c r="AG572" s="129"/>
    </row>
    <row r="573" spans="3:33" x14ac:dyDescent="0.35">
      <c r="C573" s="129"/>
      <c r="D573" s="129"/>
      <c r="E573" s="129"/>
      <c r="F573" s="129"/>
      <c r="G573" s="129"/>
      <c r="H573" s="129"/>
      <c r="I573" s="129"/>
      <c r="J573" s="110"/>
      <c r="K573" s="129"/>
      <c r="L573" t="s">
        <v>351</v>
      </c>
      <c r="M573" s="129"/>
      <c r="N573" s="129"/>
      <c r="O573" s="129"/>
      <c r="P573" s="129"/>
      <c r="Q573" s="129"/>
      <c r="R573" s="129"/>
      <c r="S573" s="129"/>
      <c r="T573" s="129"/>
      <c r="U573" s="141"/>
      <c r="V573" s="139"/>
      <c r="W573" s="129"/>
      <c r="X573" s="129"/>
      <c r="Y573" s="129"/>
      <c r="Z573" s="129"/>
      <c r="AA573" s="129"/>
      <c r="AB573" s="115"/>
      <c r="AC573" s="129"/>
      <c r="AD573" s="149"/>
      <c r="AE573" s="129"/>
      <c r="AF573" s="129"/>
      <c r="AG573" s="129"/>
    </row>
    <row r="574" spans="3:33" x14ac:dyDescent="0.35">
      <c r="C574" s="129"/>
      <c r="D574" s="129"/>
      <c r="E574" s="129"/>
      <c r="F574" s="129"/>
      <c r="G574" s="129"/>
      <c r="H574" s="129"/>
      <c r="I574" s="129"/>
      <c r="J574" s="110"/>
      <c r="K574" s="129"/>
      <c r="L574" t="s">
        <v>351</v>
      </c>
      <c r="M574" s="129"/>
      <c r="N574" s="129"/>
      <c r="O574" s="129"/>
      <c r="P574" s="129"/>
      <c r="Q574" s="129"/>
      <c r="R574" s="129"/>
      <c r="S574" s="129"/>
      <c r="T574" s="129"/>
      <c r="U574" s="141"/>
      <c r="V574" s="139"/>
      <c r="W574" s="129"/>
      <c r="X574" s="129"/>
      <c r="Y574" s="129"/>
      <c r="Z574" s="129"/>
      <c r="AA574" s="129"/>
      <c r="AB574" s="115"/>
      <c r="AC574" s="129"/>
      <c r="AD574" s="149"/>
      <c r="AE574" s="129"/>
      <c r="AF574" s="129"/>
      <c r="AG574" s="129"/>
    </row>
    <row r="575" spans="3:33" x14ac:dyDescent="0.35">
      <c r="C575" s="129"/>
      <c r="D575" s="129"/>
      <c r="E575" s="129"/>
      <c r="F575" s="129"/>
      <c r="G575" s="129"/>
      <c r="H575" s="129"/>
      <c r="I575" s="129"/>
      <c r="J575" s="110"/>
      <c r="K575" s="129"/>
      <c r="L575" t="s">
        <v>351</v>
      </c>
      <c r="M575" s="129"/>
      <c r="N575" s="129"/>
      <c r="O575" s="129"/>
      <c r="P575" s="129"/>
      <c r="Q575" s="129"/>
      <c r="R575" s="129"/>
      <c r="S575" s="129"/>
      <c r="T575" s="129"/>
      <c r="U575" s="141"/>
      <c r="V575" s="139"/>
      <c r="W575" s="129"/>
      <c r="X575" s="129"/>
      <c r="Y575" s="129"/>
      <c r="Z575" s="129"/>
      <c r="AA575" s="129"/>
      <c r="AB575" s="115"/>
      <c r="AC575" s="129"/>
      <c r="AD575" s="149"/>
      <c r="AE575" s="129"/>
      <c r="AF575" s="129"/>
      <c r="AG575" s="129"/>
    </row>
    <row r="576" spans="3:33" x14ac:dyDescent="0.35">
      <c r="C576" s="129"/>
      <c r="D576" s="129"/>
      <c r="E576" s="129"/>
      <c r="F576" s="129"/>
      <c r="G576" s="129"/>
      <c r="H576" s="129"/>
      <c r="I576" s="129"/>
      <c r="J576" s="110"/>
      <c r="K576" s="129"/>
      <c r="L576" t="s">
        <v>351</v>
      </c>
      <c r="M576" s="129"/>
      <c r="N576" s="129"/>
      <c r="O576" s="129"/>
      <c r="P576" s="129"/>
      <c r="Q576" s="129"/>
      <c r="R576" s="129"/>
      <c r="S576" s="129"/>
      <c r="T576" s="129"/>
      <c r="U576" s="141"/>
      <c r="V576" s="139"/>
      <c r="W576" s="129"/>
      <c r="X576" s="129"/>
      <c r="Y576" s="129"/>
      <c r="Z576" s="129"/>
      <c r="AA576" s="129"/>
      <c r="AB576" s="115"/>
      <c r="AC576" s="129"/>
      <c r="AD576" s="149"/>
      <c r="AE576" s="129"/>
      <c r="AF576" s="129"/>
      <c r="AG576" s="129"/>
    </row>
    <row r="577" spans="3:33" x14ac:dyDescent="0.35">
      <c r="C577" s="129"/>
      <c r="D577" s="129"/>
      <c r="E577" s="129"/>
      <c r="F577" s="129"/>
      <c r="G577" s="129"/>
      <c r="H577" s="129"/>
      <c r="I577" s="129"/>
      <c r="J577" s="110"/>
      <c r="K577" s="129"/>
      <c r="L577" t="s">
        <v>351</v>
      </c>
      <c r="M577" s="129"/>
      <c r="N577" s="129"/>
      <c r="O577" s="129"/>
      <c r="P577" s="129"/>
      <c r="Q577" s="129"/>
      <c r="R577" s="129"/>
      <c r="S577" s="129"/>
      <c r="T577" s="129"/>
      <c r="U577" s="141"/>
      <c r="V577" s="139"/>
      <c r="W577" s="129"/>
      <c r="X577" s="129"/>
      <c r="Y577" s="129"/>
      <c r="Z577" s="129"/>
      <c r="AA577" s="129"/>
      <c r="AB577" s="115"/>
      <c r="AC577" s="129"/>
      <c r="AD577" s="149"/>
      <c r="AE577" s="129"/>
      <c r="AF577" s="129"/>
      <c r="AG577" s="129"/>
    </row>
    <row r="578" spans="3:33" x14ac:dyDescent="0.35">
      <c r="C578" s="129"/>
      <c r="D578" s="129"/>
      <c r="E578" s="129"/>
      <c r="F578" s="129"/>
      <c r="G578" s="129"/>
      <c r="H578" s="129"/>
      <c r="I578" s="129"/>
      <c r="J578" s="110"/>
      <c r="K578" s="129"/>
      <c r="L578" t="s">
        <v>351</v>
      </c>
      <c r="M578" s="129"/>
      <c r="N578" s="129"/>
      <c r="O578" s="129"/>
      <c r="P578" s="129"/>
      <c r="Q578" s="129"/>
      <c r="R578" s="129"/>
      <c r="S578" s="129"/>
      <c r="T578" s="129"/>
      <c r="U578" s="141"/>
      <c r="V578" s="139"/>
      <c r="W578" s="129"/>
      <c r="X578" s="129"/>
      <c r="Y578" s="129"/>
      <c r="Z578" s="129"/>
      <c r="AA578" s="129"/>
      <c r="AB578" s="115"/>
      <c r="AC578" s="129"/>
      <c r="AD578" s="149"/>
      <c r="AE578" s="129"/>
      <c r="AF578" s="129"/>
      <c r="AG578" s="129"/>
    </row>
    <row r="579" spans="3:33" x14ac:dyDescent="0.35">
      <c r="C579" s="129"/>
      <c r="D579" s="129"/>
      <c r="E579" s="129"/>
      <c r="F579" s="129"/>
      <c r="G579" s="129"/>
      <c r="H579" s="129"/>
      <c r="I579" s="129"/>
      <c r="J579" s="110"/>
      <c r="K579" s="129"/>
      <c r="L579" t="s">
        <v>351</v>
      </c>
      <c r="M579" s="129"/>
      <c r="N579" s="129"/>
      <c r="O579" s="129"/>
      <c r="P579" s="129"/>
      <c r="Q579" s="129"/>
      <c r="R579" s="129"/>
      <c r="S579" s="129"/>
      <c r="T579" s="129"/>
      <c r="U579" s="141"/>
      <c r="V579" s="139"/>
      <c r="W579" s="129"/>
      <c r="X579" s="129"/>
      <c r="Y579" s="129"/>
      <c r="Z579" s="129"/>
      <c r="AA579" s="129"/>
      <c r="AB579" s="115"/>
      <c r="AC579" s="129"/>
      <c r="AD579" s="149"/>
      <c r="AE579" s="129"/>
      <c r="AF579" s="129"/>
      <c r="AG579" s="129"/>
    </row>
    <row r="580" spans="3:33" x14ac:dyDescent="0.35">
      <c r="C580" s="129"/>
      <c r="D580" s="129"/>
      <c r="E580" s="129"/>
      <c r="F580" s="129"/>
      <c r="G580" s="129"/>
      <c r="H580" s="129"/>
      <c r="I580" s="129"/>
      <c r="J580" s="110"/>
      <c r="K580" s="129"/>
      <c r="L580" t="s">
        <v>351</v>
      </c>
      <c r="M580" s="129"/>
      <c r="N580" s="129"/>
      <c r="O580" s="129"/>
      <c r="P580" s="129"/>
      <c r="Q580" s="129"/>
      <c r="R580" s="129"/>
      <c r="S580" s="129"/>
      <c r="T580" s="129"/>
      <c r="U580" s="141"/>
      <c r="V580" s="139"/>
      <c r="W580" s="129"/>
      <c r="X580" s="129"/>
      <c r="Y580" s="129"/>
      <c r="Z580" s="129"/>
      <c r="AA580" s="129"/>
      <c r="AB580" s="115"/>
      <c r="AC580" s="129"/>
      <c r="AD580" s="149"/>
      <c r="AE580" s="129"/>
      <c r="AF580" s="129"/>
      <c r="AG580" s="129"/>
    </row>
    <row r="581" spans="3:33" x14ac:dyDescent="0.35">
      <c r="C581" s="129"/>
      <c r="D581" s="129"/>
      <c r="E581" s="129"/>
      <c r="F581" s="129"/>
      <c r="G581" s="129"/>
      <c r="H581" s="129"/>
      <c r="I581" s="129"/>
      <c r="J581" s="110"/>
      <c r="K581" s="129"/>
      <c r="L581" t="s">
        <v>351</v>
      </c>
      <c r="M581" s="129"/>
      <c r="N581" s="129"/>
      <c r="O581" s="129"/>
      <c r="P581" s="129"/>
      <c r="Q581" s="129"/>
      <c r="R581" s="129"/>
      <c r="S581" s="129"/>
      <c r="T581" s="129"/>
      <c r="U581" s="141"/>
      <c r="V581" s="139"/>
      <c r="W581" s="129"/>
      <c r="X581" s="129"/>
      <c r="Y581" s="129"/>
      <c r="Z581" s="129"/>
      <c r="AA581" s="129"/>
      <c r="AB581" s="115"/>
      <c r="AC581" s="129"/>
      <c r="AD581" s="149"/>
      <c r="AE581" s="129"/>
      <c r="AF581" s="129"/>
      <c r="AG581" s="129"/>
    </row>
    <row r="582" spans="3:33" x14ac:dyDescent="0.35">
      <c r="C582" s="129"/>
      <c r="D582" s="129"/>
      <c r="E582" s="129"/>
      <c r="F582" s="129"/>
      <c r="G582" s="129"/>
      <c r="H582" s="129"/>
      <c r="I582" s="129"/>
      <c r="J582" s="110"/>
      <c r="K582" s="129"/>
      <c r="L582" t="s">
        <v>351</v>
      </c>
      <c r="M582" s="129"/>
      <c r="N582" s="129"/>
      <c r="O582" s="129"/>
      <c r="P582" s="129"/>
      <c r="Q582" s="129"/>
      <c r="R582" s="129"/>
      <c r="S582" s="129"/>
      <c r="T582" s="129"/>
      <c r="U582" s="141"/>
      <c r="V582" s="139"/>
      <c r="W582" s="129"/>
      <c r="X582" s="129"/>
      <c r="Y582" s="129"/>
      <c r="Z582" s="129"/>
      <c r="AA582" s="129"/>
      <c r="AB582" s="115"/>
      <c r="AC582" s="129"/>
      <c r="AD582" s="149"/>
      <c r="AE582" s="129"/>
      <c r="AF582" s="129"/>
      <c r="AG582" s="129"/>
    </row>
    <row r="583" spans="3:33" x14ac:dyDescent="0.35">
      <c r="C583" s="129"/>
      <c r="D583" s="129"/>
      <c r="E583" s="129"/>
      <c r="F583" s="129"/>
      <c r="G583" s="129"/>
      <c r="H583" s="129"/>
      <c r="I583" s="129"/>
      <c r="J583" s="110"/>
      <c r="K583" s="129"/>
      <c r="L583" t="s">
        <v>351</v>
      </c>
      <c r="M583" s="129"/>
      <c r="N583" s="129"/>
      <c r="O583" s="129"/>
      <c r="P583" s="129"/>
      <c r="Q583" s="129"/>
      <c r="R583" s="129"/>
      <c r="S583" s="129"/>
      <c r="T583" s="129"/>
      <c r="U583" s="141"/>
      <c r="V583" s="139"/>
      <c r="W583" s="129"/>
      <c r="X583" s="129"/>
      <c r="Y583" s="129"/>
      <c r="Z583" s="129"/>
      <c r="AA583" s="129"/>
      <c r="AB583" s="115"/>
      <c r="AC583" s="129"/>
      <c r="AD583" s="149"/>
      <c r="AE583" s="129"/>
      <c r="AF583" s="129"/>
      <c r="AG583" s="129"/>
    </row>
    <row r="584" spans="3:33" x14ac:dyDescent="0.35">
      <c r="C584" s="129"/>
      <c r="D584" s="129"/>
      <c r="E584" s="129"/>
      <c r="F584" s="129"/>
      <c r="G584" s="129"/>
      <c r="H584" s="129"/>
      <c r="I584" s="129"/>
      <c r="J584" s="110"/>
      <c r="K584" s="129"/>
      <c r="L584" t="s">
        <v>351</v>
      </c>
      <c r="M584" s="129"/>
      <c r="N584" s="129"/>
      <c r="O584" s="129"/>
      <c r="P584" s="129"/>
      <c r="Q584" s="129"/>
      <c r="R584" s="129"/>
      <c r="S584" s="129"/>
      <c r="T584" s="129"/>
      <c r="U584" s="141"/>
      <c r="V584" s="139"/>
      <c r="W584" s="129"/>
      <c r="X584" s="129"/>
      <c r="Y584" s="129"/>
      <c r="Z584" s="129"/>
      <c r="AA584" s="129"/>
      <c r="AB584" s="115"/>
      <c r="AC584" s="129"/>
      <c r="AD584" s="149"/>
      <c r="AE584" s="129"/>
      <c r="AF584" s="129"/>
      <c r="AG584" s="129"/>
    </row>
    <row r="585" spans="3:33" x14ac:dyDescent="0.35">
      <c r="C585" s="129"/>
      <c r="D585" s="129"/>
      <c r="E585" s="129"/>
      <c r="F585" s="129"/>
      <c r="G585" s="129"/>
      <c r="H585" s="129"/>
      <c r="I585" s="129"/>
      <c r="J585" s="110"/>
      <c r="K585" s="129"/>
      <c r="L585" t="s">
        <v>351</v>
      </c>
      <c r="M585" s="129"/>
      <c r="N585" s="129"/>
      <c r="O585" s="129"/>
      <c r="P585" s="129"/>
      <c r="Q585" s="129"/>
      <c r="R585" s="129"/>
      <c r="S585" s="129"/>
      <c r="T585" s="129"/>
      <c r="U585" s="141"/>
      <c r="V585" s="139"/>
      <c r="W585" s="129"/>
      <c r="X585" s="129"/>
      <c r="Y585" s="129"/>
      <c r="Z585" s="129"/>
      <c r="AA585" s="129"/>
      <c r="AB585" s="115"/>
      <c r="AC585" s="129"/>
      <c r="AD585" s="149"/>
      <c r="AE585" s="129"/>
      <c r="AF585" s="129"/>
      <c r="AG585" s="129"/>
    </row>
    <row r="586" spans="3:33" x14ac:dyDescent="0.35">
      <c r="C586" s="129"/>
      <c r="D586" s="129"/>
      <c r="E586" s="129"/>
      <c r="F586" s="129"/>
      <c r="G586" s="129"/>
      <c r="H586" s="129"/>
      <c r="I586" s="129"/>
      <c r="J586" s="110"/>
      <c r="K586" s="129"/>
      <c r="L586" t="s">
        <v>351</v>
      </c>
      <c r="M586" s="129"/>
      <c r="N586" s="129"/>
      <c r="O586" s="129"/>
      <c r="P586" s="129"/>
      <c r="Q586" s="129"/>
      <c r="R586" s="129"/>
      <c r="S586" s="129"/>
      <c r="T586" s="129"/>
      <c r="U586" s="141"/>
      <c r="V586" s="139"/>
      <c r="W586" s="129"/>
      <c r="X586" s="129"/>
      <c r="Y586" s="129"/>
      <c r="Z586" s="129"/>
      <c r="AA586" s="129"/>
      <c r="AB586" s="115"/>
      <c r="AC586" s="129"/>
      <c r="AD586" s="149"/>
      <c r="AE586" s="129"/>
      <c r="AF586" s="129"/>
      <c r="AG586" s="129"/>
    </row>
    <row r="587" spans="3:33" x14ac:dyDescent="0.35">
      <c r="C587" s="129"/>
      <c r="D587" s="129"/>
      <c r="E587" s="129"/>
      <c r="F587" s="129"/>
      <c r="G587" s="129"/>
      <c r="H587" s="129"/>
      <c r="I587" s="129"/>
      <c r="J587" s="110"/>
      <c r="K587" s="129"/>
      <c r="L587" t="s">
        <v>351</v>
      </c>
      <c r="M587" s="129"/>
      <c r="N587" s="129"/>
      <c r="O587" s="129"/>
      <c r="P587" s="129"/>
      <c r="Q587" s="129"/>
      <c r="R587" s="129"/>
      <c r="S587" s="129"/>
      <c r="T587" s="129"/>
      <c r="U587" s="141"/>
      <c r="V587" s="139"/>
      <c r="W587" s="129"/>
      <c r="X587" s="129"/>
      <c r="Y587" s="129"/>
      <c r="Z587" s="129"/>
      <c r="AA587" s="129"/>
      <c r="AB587" s="115"/>
      <c r="AC587" s="129"/>
      <c r="AD587" s="149"/>
      <c r="AE587" s="129"/>
      <c r="AF587" s="129"/>
      <c r="AG587" s="129"/>
    </row>
    <row r="588" spans="3:33" x14ac:dyDescent="0.35">
      <c r="C588" s="129"/>
      <c r="D588" s="129"/>
      <c r="E588" s="129"/>
      <c r="F588" s="129"/>
      <c r="G588" s="129"/>
      <c r="H588" s="129"/>
      <c r="I588" s="129"/>
      <c r="J588" s="110"/>
      <c r="K588" s="129"/>
      <c r="L588" t="s">
        <v>351</v>
      </c>
      <c r="M588" s="129"/>
      <c r="N588" s="129"/>
      <c r="O588" s="129"/>
      <c r="P588" s="129"/>
      <c r="Q588" s="129"/>
      <c r="R588" s="129"/>
      <c r="S588" s="129"/>
      <c r="T588" s="129"/>
      <c r="U588" s="141"/>
      <c r="V588" s="139"/>
      <c r="W588" s="129"/>
      <c r="X588" s="129"/>
      <c r="Y588" s="129"/>
      <c r="Z588" s="129"/>
      <c r="AA588" s="129"/>
      <c r="AB588" s="115"/>
      <c r="AC588" s="129"/>
      <c r="AD588" s="149"/>
      <c r="AE588" s="129"/>
      <c r="AF588" s="129"/>
      <c r="AG588" s="129"/>
    </row>
    <row r="589" spans="3:33" x14ac:dyDescent="0.35">
      <c r="C589" s="129"/>
      <c r="D589" s="129"/>
      <c r="E589" s="129"/>
      <c r="F589" s="129"/>
      <c r="G589" s="129"/>
      <c r="H589" s="129"/>
      <c r="I589" s="129"/>
      <c r="J589" s="110"/>
      <c r="K589" s="129"/>
      <c r="L589" t="s">
        <v>351</v>
      </c>
      <c r="M589" s="129"/>
      <c r="N589" s="129"/>
      <c r="O589" s="129"/>
      <c r="P589" s="129"/>
      <c r="Q589" s="129"/>
      <c r="R589" s="129"/>
      <c r="S589" s="129"/>
      <c r="T589" s="129"/>
      <c r="U589" s="141"/>
      <c r="V589" s="139"/>
      <c r="W589" s="129"/>
      <c r="X589" s="129"/>
      <c r="Y589" s="129"/>
      <c r="Z589" s="129"/>
      <c r="AA589" s="129"/>
      <c r="AB589" s="115"/>
      <c r="AC589" s="129"/>
      <c r="AD589" s="149"/>
      <c r="AE589" s="129"/>
      <c r="AF589" s="129"/>
      <c r="AG589" s="129"/>
    </row>
    <row r="590" spans="3:33" x14ac:dyDescent="0.35">
      <c r="C590" s="129"/>
      <c r="D590" s="129"/>
      <c r="E590" s="129"/>
      <c r="F590" s="129"/>
      <c r="G590" s="129"/>
      <c r="H590" s="129"/>
      <c r="I590" s="129"/>
      <c r="J590" s="110"/>
      <c r="K590" s="129"/>
      <c r="L590" t="s">
        <v>351</v>
      </c>
      <c r="M590" s="129"/>
      <c r="N590" s="129"/>
      <c r="O590" s="129"/>
      <c r="P590" s="129"/>
      <c r="Q590" s="129"/>
      <c r="R590" s="129"/>
      <c r="S590" s="129"/>
      <c r="T590" s="129"/>
      <c r="U590" s="141"/>
      <c r="V590" s="139"/>
      <c r="W590" s="129"/>
      <c r="X590" s="129"/>
      <c r="Y590" s="129"/>
      <c r="Z590" s="129"/>
      <c r="AA590" s="129"/>
      <c r="AB590" s="115"/>
      <c r="AC590" s="129"/>
      <c r="AD590" s="149"/>
      <c r="AE590" s="129"/>
      <c r="AF590" s="129"/>
      <c r="AG590" s="129"/>
    </row>
    <row r="591" spans="3:33" x14ac:dyDescent="0.35">
      <c r="C591" s="129"/>
      <c r="D591" s="129"/>
      <c r="E591" s="129"/>
      <c r="F591" s="129"/>
      <c r="G591" s="129"/>
      <c r="H591" s="129"/>
      <c r="I591" s="129"/>
      <c r="J591" s="110"/>
      <c r="K591" s="129"/>
      <c r="L591" t="s">
        <v>351</v>
      </c>
      <c r="M591" s="129"/>
      <c r="N591" s="129"/>
      <c r="O591" s="129"/>
      <c r="P591" s="129"/>
      <c r="Q591" s="129"/>
      <c r="R591" s="129"/>
      <c r="S591" s="129"/>
      <c r="T591" s="129"/>
      <c r="U591" s="141"/>
      <c r="V591" s="139"/>
      <c r="W591" s="129"/>
      <c r="X591" s="129"/>
      <c r="Y591" s="129"/>
      <c r="Z591" s="129"/>
      <c r="AA591" s="129"/>
      <c r="AB591" s="115"/>
      <c r="AC591" s="129"/>
      <c r="AD591" s="149"/>
      <c r="AE591" s="129"/>
      <c r="AF591" s="129"/>
      <c r="AG591" s="129"/>
    </row>
    <row r="592" spans="3:33" x14ac:dyDescent="0.35">
      <c r="C592" s="129"/>
      <c r="D592" s="129"/>
      <c r="E592" s="129"/>
      <c r="F592" s="129"/>
      <c r="G592" s="129"/>
      <c r="H592" s="129"/>
      <c r="I592" s="129"/>
      <c r="J592" s="110"/>
      <c r="K592" s="129"/>
      <c r="L592" t="s">
        <v>351</v>
      </c>
      <c r="M592" s="129"/>
      <c r="N592" s="129"/>
      <c r="O592" s="129"/>
      <c r="P592" s="129"/>
      <c r="Q592" s="129"/>
      <c r="R592" s="129"/>
      <c r="S592" s="129"/>
      <c r="T592" s="129"/>
      <c r="U592" s="141"/>
      <c r="V592" s="139"/>
      <c r="W592" s="129"/>
      <c r="X592" s="129"/>
      <c r="Y592" s="129"/>
      <c r="Z592" s="129"/>
      <c r="AA592" s="129"/>
      <c r="AB592" s="115"/>
      <c r="AC592" s="129"/>
      <c r="AD592" s="149"/>
      <c r="AE592" s="129"/>
      <c r="AF592" s="129"/>
      <c r="AG592" s="129"/>
    </row>
    <row r="593" spans="3:33" x14ac:dyDescent="0.35">
      <c r="C593" s="129"/>
      <c r="D593" s="129"/>
      <c r="E593" s="129"/>
      <c r="F593" s="129"/>
      <c r="G593" s="129"/>
      <c r="H593" s="129"/>
      <c r="I593" s="129"/>
      <c r="J593" s="110"/>
      <c r="K593" s="129"/>
      <c r="L593" t="s">
        <v>351</v>
      </c>
      <c r="M593" s="129"/>
      <c r="N593" s="129"/>
      <c r="O593" s="129"/>
      <c r="P593" s="129"/>
      <c r="Q593" s="129"/>
      <c r="R593" s="129"/>
      <c r="S593" s="129"/>
      <c r="T593" s="129"/>
      <c r="U593" s="141"/>
      <c r="V593" s="139"/>
      <c r="W593" s="129"/>
      <c r="X593" s="129"/>
      <c r="Y593" s="129"/>
      <c r="Z593" s="129"/>
      <c r="AA593" s="129"/>
      <c r="AB593" s="115"/>
      <c r="AC593" s="129"/>
      <c r="AD593" s="149"/>
      <c r="AE593" s="129"/>
      <c r="AF593" s="129"/>
      <c r="AG593" s="129"/>
    </row>
    <row r="594" spans="3:33" x14ac:dyDescent="0.35">
      <c r="C594" s="129"/>
      <c r="D594" s="129"/>
      <c r="E594" s="129"/>
      <c r="F594" s="129"/>
      <c r="G594" s="129"/>
      <c r="H594" s="129"/>
      <c r="I594" s="129"/>
      <c r="J594" s="110"/>
      <c r="K594" s="129"/>
      <c r="L594" t="s">
        <v>351</v>
      </c>
      <c r="M594" s="129"/>
      <c r="N594" s="129"/>
      <c r="O594" s="129"/>
      <c r="P594" s="129"/>
      <c r="Q594" s="129"/>
      <c r="R594" s="129"/>
      <c r="S594" s="129"/>
      <c r="T594" s="129"/>
      <c r="U594" s="141"/>
      <c r="V594" s="139"/>
      <c r="W594" s="129"/>
      <c r="X594" s="129"/>
      <c r="Y594" s="129"/>
      <c r="Z594" s="129"/>
      <c r="AA594" s="129"/>
      <c r="AB594" s="115"/>
      <c r="AC594" s="129"/>
      <c r="AD594" s="149"/>
      <c r="AE594" s="129"/>
      <c r="AF594" s="129"/>
      <c r="AG594" s="129"/>
    </row>
    <row r="595" spans="3:33" x14ac:dyDescent="0.35">
      <c r="C595" s="129"/>
      <c r="D595" s="129"/>
      <c r="E595" s="129"/>
      <c r="F595" s="129"/>
      <c r="G595" s="129"/>
      <c r="H595" s="129"/>
      <c r="I595" s="129"/>
      <c r="J595" s="110"/>
      <c r="K595" s="129"/>
      <c r="L595" t="s">
        <v>351</v>
      </c>
      <c r="M595" s="129"/>
      <c r="N595" s="129"/>
      <c r="O595" s="129"/>
      <c r="P595" s="129"/>
      <c r="Q595" s="129"/>
      <c r="R595" s="129"/>
      <c r="S595" s="129"/>
      <c r="T595" s="129"/>
      <c r="U595" s="141"/>
      <c r="V595" s="139"/>
      <c r="W595" s="129"/>
      <c r="X595" s="129"/>
      <c r="Y595" s="129"/>
      <c r="Z595" s="129"/>
      <c r="AA595" s="129"/>
      <c r="AB595" s="115"/>
      <c r="AC595" s="129"/>
      <c r="AD595" s="149"/>
      <c r="AE595" s="129"/>
      <c r="AF595" s="129"/>
      <c r="AG595" s="129"/>
    </row>
    <row r="596" spans="3:33" x14ac:dyDescent="0.35">
      <c r="C596" s="129"/>
      <c r="D596" s="129"/>
      <c r="E596" s="129"/>
      <c r="F596" s="129"/>
      <c r="G596" s="129"/>
      <c r="H596" s="129"/>
      <c r="I596" s="129"/>
      <c r="J596" s="110"/>
      <c r="K596" s="129"/>
      <c r="L596" t="s">
        <v>351</v>
      </c>
      <c r="M596" s="129"/>
      <c r="N596" s="129"/>
      <c r="O596" s="129"/>
      <c r="P596" s="129"/>
      <c r="Q596" s="129"/>
      <c r="R596" s="129"/>
      <c r="S596" s="129"/>
      <c r="T596" s="129"/>
      <c r="U596" s="141"/>
      <c r="V596" s="139"/>
      <c r="W596" s="129"/>
      <c r="X596" s="129"/>
      <c r="Y596" s="129"/>
      <c r="Z596" s="129"/>
      <c r="AA596" s="129"/>
      <c r="AB596" s="115"/>
      <c r="AC596" s="129"/>
      <c r="AD596" s="149"/>
      <c r="AE596" s="129"/>
      <c r="AF596" s="129"/>
      <c r="AG596" s="129"/>
    </row>
    <row r="597" spans="3:33" x14ac:dyDescent="0.35">
      <c r="C597" s="129"/>
      <c r="D597" s="129"/>
      <c r="E597" s="129"/>
      <c r="F597" s="129"/>
      <c r="G597" s="129"/>
      <c r="H597" s="129"/>
      <c r="I597" s="129"/>
      <c r="J597" s="110"/>
      <c r="K597" s="129"/>
      <c r="L597" t="s">
        <v>351</v>
      </c>
      <c r="M597" s="129"/>
      <c r="N597" s="129"/>
      <c r="O597" s="129"/>
      <c r="P597" s="129"/>
      <c r="Q597" s="129"/>
      <c r="R597" s="129"/>
      <c r="S597" s="129"/>
      <c r="T597" s="129"/>
      <c r="U597" s="141"/>
      <c r="V597" s="139"/>
      <c r="W597" s="129"/>
      <c r="X597" s="129"/>
      <c r="Y597" s="129"/>
      <c r="Z597" s="129"/>
      <c r="AA597" s="129"/>
      <c r="AB597" s="115"/>
      <c r="AC597" s="129"/>
      <c r="AD597" s="149"/>
      <c r="AE597" s="129"/>
      <c r="AF597" s="129"/>
      <c r="AG597" s="129"/>
    </row>
    <row r="598" spans="3:33" x14ac:dyDescent="0.35">
      <c r="C598" s="129"/>
      <c r="D598" s="129"/>
      <c r="E598" s="129"/>
      <c r="F598" s="129"/>
      <c r="G598" s="129"/>
      <c r="H598" s="129"/>
      <c r="I598" s="129"/>
      <c r="J598" s="110"/>
      <c r="K598" s="129"/>
      <c r="L598" t="s">
        <v>351</v>
      </c>
      <c r="M598" s="129"/>
      <c r="N598" s="129"/>
      <c r="O598" s="129"/>
      <c r="P598" s="129"/>
      <c r="Q598" s="129"/>
      <c r="R598" s="129"/>
      <c r="S598" s="129"/>
      <c r="T598" s="129"/>
      <c r="U598" s="141"/>
      <c r="V598" s="139"/>
      <c r="W598" s="129"/>
      <c r="X598" s="129"/>
      <c r="Y598" s="129"/>
      <c r="Z598" s="129"/>
      <c r="AA598" s="129"/>
      <c r="AB598" s="115"/>
      <c r="AC598" s="129"/>
      <c r="AD598" s="149"/>
      <c r="AE598" s="129"/>
      <c r="AF598" s="129"/>
      <c r="AG598" s="129"/>
    </row>
    <row r="599" spans="3:33" x14ac:dyDescent="0.35">
      <c r="C599" s="129"/>
      <c r="D599" s="129"/>
      <c r="E599" s="129"/>
      <c r="F599" s="129"/>
      <c r="G599" s="129"/>
      <c r="H599" s="129"/>
      <c r="I599" s="129"/>
      <c r="J599" s="110"/>
      <c r="K599" s="129"/>
      <c r="L599" t="s">
        <v>351</v>
      </c>
      <c r="M599" s="129"/>
      <c r="N599" s="129"/>
      <c r="O599" s="129"/>
      <c r="P599" s="129"/>
      <c r="Q599" s="129"/>
      <c r="R599" s="129"/>
      <c r="S599" s="129"/>
      <c r="T599" s="129"/>
      <c r="U599" s="141"/>
      <c r="V599" s="139"/>
      <c r="W599" s="129"/>
      <c r="X599" s="129"/>
      <c r="Y599" s="129"/>
      <c r="Z599" s="129"/>
      <c r="AA599" s="129"/>
      <c r="AB599" s="115"/>
      <c r="AC599" s="129"/>
      <c r="AD599" s="149"/>
      <c r="AE599" s="129"/>
      <c r="AF599" s="129"/>
      <c r="AG599" s="129"/>
    </row>
    <row r="600" spans="3:33" x14ac:dyDescent="0.35">
      <c r="C600" s="129"/>
      <c r="D600" s="129"/>
      <c r="E600" s="129"/>
      <c r="F600" s="129"/>
      <c r="G600" s="129"/>
      <c r="H600" s="129"/>
      <c r="I600" s="129"/>
      <c r="J600" s="110"/>
      <c r="K600" s="129"/>
      <c r="L600" t="s">
        <v>351</v>
      </c>
      <c r="M600" s="129"/>
      <c r="N600" s="129"/>
      <c r="O600" s="129"/>
      <c r="P600" s="129"/>
      <c r="Q600" s="129"/>
      <c r="R600" s="129"/>
      <c r="S600" s="129"/>
      <c r="T600" s="129"/>
      <c r="U600" s="141"/>
      <c r="V600" s="139"/>
      <c r="W600" s="129"/>
      <c r="X600" s="129"/>
      <c r="Y600" s="129"/>
      <c r="Z600" s="129"/>
      <c r="AA600" s="129"/>
      <c r="AB600" s="115"/>
      <c r="AC600" s="129"/>
      <c r="AD600" s="149"/>
      <c r="AE600" s="129"/>
      <c r="AF600" s="129"/>
      <c r="AG600" s="129"/>
    </row>
    <row r="601" spans="3:33" x14ac:dyDescent="0.35">
      <c r="C601" s="129"/>
      <c r="D601" s="129"/>
      <c r="E601" s="129"/>
      <c r="F601" s="129"/>
      <c r="G601" s="129"/>
      <c r="H601" s="129"/>
      <c r="I601" s="129"/>
      <c r="J601" s="110"/>
      <c r="K601" s="129"/>
      <c r="L601" t="s">
        <v>351</v>
      </c>
      <c r="M601" s="129"/>
      <c r="N601" s="129"/>
      <c r="O601" s="129"/>
      <c r="P601" s="129"/>
      <c r="Q601" s="129"/>
      <c r="R601" s="129"/>
      <c r="S601" s="129"/>
      <c r="T601" s="129"/>
      <c r="U601" s="141"/>
      <c r="V601" s="139"/>
      <c r="W601" s="129"/>
      <c r="X601" s="129"/>
      <c r="Y601" s="129"/>
      <c r="Z601" s="129"/>
      <c r="AA601" s="129"/>
      <c r="AB601" s="115"/>
      <c r="AC601" s="129"/>
      <c r="AD601" s="149"/>
      <c r="AE601" s="129"/>
      <c r="AF601" s="129"/>
      <c r="AG601" s="129"/>
    </row>
    <row r="602" spans="3:33" x14ac:dyDescent="0.35">
      <c r="C602" s="129"/>
      <c r="D602" s="129"/>
      <c r="E602" s="129"/>
      <c r="F602" s="129"/>
      <c r="G602" s="129"/>
      <c r="H602" s="129"/>
      <c r="I602" s="129"/>
      <c r="J602" s="110"/>
      <c r="K602" s="129"/>
      <c r="L602" t="s">
        <v>351</v>
      </c>
      <c r="M602" s="129"/>
      <c r="N602" s="129"/>
      <c r="O602" s="129"/>
      <c r="P602" s="129"/>
      <c r="Q602" s="129"/>
      <c r="R602" s="129"/>
      <c r="S602" s="129"/>
      <c r="T602" s="129"/>
      <c r="U602" s="141"/>
      <c r="V602" s="139"/>
      <c r="W602" s="129"/>
      <c r="X602" s="129"/>
      <c r="Y602" s="129"/>
      <c r="Z602" s="129"/>
      <c r="AA602" s="129"/>
      <c r="AB602" s="115"/>
      <c r="AC602" s="129"/>
      <c r="AD602" s="149"/>
      <c r="AE602" s="129"/>
      <c r="AF602" s="129"/>
      <c r="AG602" s="129"/>
    </row>
    <row r="603" spans="3:33" x14ac:dyDescent="0.35">
      <c r="C603" s="129"/>
      <c r="D603" s="129"/>
      <c r="E603" s="129"/>
      <c r="F603" s="129"/>
      <c r="G603" s="129"/>
      <c r="H603" s="129"/>
      <c r="I603" s="129"/>
      <c r="J603" s="110"/>
      <c r="K603" s="129"/>
      <c r="L603" t="s">
        <v>351</v>
      </c>
      <c r="M603" s="129"/>
      <c r="N603" s="129"/>
      <c r="O603" s="129"/>
      <c r="P603" s="129"/>
      <c r="Q603" s="129"/>
      <c r="R603" s="129"/>
      <c r="S603" s="129"/>
      <c r="T603" s="129"/>
      <c r="U603" s="141"/>
      <c r="V603" s="139"/>
      <c r="W603" s="129"/>
      <c r="X603" s="129"/>
      <c r="Y603" s="129"/>
      <c r="Z603" s="129"/>
      <c r="AA603" s="129"/>
      <c r="AB603" s="115"/>
      <c r="AC603" s="129"/>
      <c r="AD603" s="149"/>
      <c r="AE603" s="129"/>
      <c r="AF603" s="129"/>
      <c r="AG603" s="129"/>
    </row>
    <row r="604" spans="3:33" x14ac:dyDescent="0.35">
      <c r="C604" s="129"/>
      <c r="D604" s="129"/>
      <c r="E604" s="129"/>
      <c r="F604" s="129"/>
      <c r="G604" s="129"/>
      <c r="H604" s="129"/>
      <c r="I604" s="129"/>
      <c r="J604" s="110"/>
      <c r="K604" s="129"/>
      <c r="L604" t="s">
        <v>351</v>
      </c>
      <c r="M604" s="129"/>
      <c r="N604" s="129"/>
      <c r="O604" s="129"/>
      <c r="P604" s="129"/>
      <c r="Q604" s="129"/>
      <c r="R604" s="129"/>
      <c r="S604" s="129"/>
      <c r="T604" s="129"/>
      <c r="U604" s="141"/>
      <c r="V604" s="139"/>
      <c r="W604" s="129"/>
      <c r="X604" s="129"/>
      <c r="Y604" s="129"/>
      <c r="Z604" s="129"/>
      <c r="AA604" s="129"/>
      <c r="AB604" s="115"/>
      <c r="AC604" s="129"/>
      <c r="AD604" s="149"/>
      <c r="AE604" s="129"/>
      <c r="AF604" s="129"/>
      <c r="AG604" s="129"/>
    </row>
    <row r="605" spans="3:33" x14ac:dyDescent="0.35">
      <c r="C605" s="129"/>
      <c r="D605" s="129"/>
      <c r="E605" s="129"/>
      <c r="F605" s="129"/>
      <c r="G605" s="129"/>
      <c r="H605" s="129"/>
      <c r="I605" s="129"/>
      <c r="J605" s="110"/>
      <c r="K605" s="129"/>
      <c r="L605" t="s">
        <v>351</v>
      </c>
      <c r="M605" s="129"/>
      <c r="N605" s="129"/>
      <c r="O605" s="129"/>
      <c r="P605" s="129"/>
      <c r="Q605" s="129"/>
      <c r="R605" s="129"/>
      <c r="S605" s="129"/>
      <c r="T605" s="129"/>
      <c r="U605" s="141"/>
      <c r="V605" s="139"/>
      <c r="W605" s="129"/>
      <c r="X605" s="129"/>
      <c r="Y605" s="129"/>
      <c r="Z605" s="129"/>
      <c r="AA605" s="129"/>
      <c r="AB605" s="115"/>
      <c r="AC605" s="129"/>
      <c r="AD605" s="149"/>
      <c r="AE605" s="129"/>
      <c r="AF605" s="129"/>
      <c r="AG605" s="129"/>
    </row>
    <row r="606" spans="3:33" x14ac:dyDescent="0.35">
      <c r="C606" s="129"/>
      <c r="D606" s="129"/>
      <c r="E606" s="129"/>
      <c r="F606" s="129"/>
      <c r="G606" s="129"/>
      <c r="H606" s="129"/>
      <c r="I606" s="129"/>
      <c r="J606" s="110"/>
      <c r="K606" s="129"/>
      <c r="L606" t="s">
        <v>351</v>
      </c>
      <c r="M606" s="129"/>
      <c r="N606" s="129"/>
      <c r="O606" s="129"/>
      <c r="P606" s="129"/>
      <c r="Q606" s="129"/>
      <c r="R606" s="129"/>
      <c r="S606" s="129"/>
      <c r="T606" s="129"/>
      <c r="U606" s="141"/>
      <c r="V606" s="139"/>
      <c r="W606" s="129"/>
      <c r="X606" s="129"/>
      <c r="Y606" s="129"/>
      <c r="Z606" s="129"/>
      <c r="AA606" s="129"/>
      <c r="AB606" s="115"/>
      <c r="AC606" s="129"/>
      <c r="AD606" s="149"/>
      <c r="AE606" s="129"/>
      <c r="AF606" s="129"/>
      <c r="AG606" s="129"/>
    </row>
    <row r="607" spans="3:33" x14ac:dyDescent="0.35">
      <c r="C607" s="129"/>
      <c r="D607" s="129"/>
      <c r="E607" s="129"/>
      <c r="F607" s="129"/>
      <c r="G607" s="129"/>
      <c r="H607" s="129"/>
      <c r="I607" s="129"/>
      <c r="J607" s="110"/>
      <c r="K607" s="129"/>
      <c r="L607" t="s">
        <v>351</v>
      </c>
      <c r="M607" s="129"/>
      <c r="N607" s="129"/>
      <c r="O607" s="129"/>
      <c r="P607" s="129"/>
      <c r="Q607" s="129"/>
      <c r="R607" s="129"/>
      <c r="S607" s="129"/>
      <c r="T607" s="129"/>
      <c r="U607" s="141"/>
      <c r="V607" s="139"/>
      <c r="W607" s="129"/>
      <c r="X607" s="129"/>
      <c r="Y607" s="129"/>
      <c r="Z607" s="129"/>
      <c r="AA607" s="129"/>
      <c r="AB607" s="115"/>
      <c r="AC607" s="129"/>
      <c r="AD607" s="149"/>
      <c r="AE607" s="129"/>
      <c r="AF607" s="129"/>
      <c r="AG607" s="129"/>
    </row>
    <row r="608" spans="3:33" x14ac:dyDescent="0.35">
      <c r="C608" s="129"/>
      <c r="D608" s="129"/>
      <c r="E608" s="129"/>
      <c r="F608" s="129"/>
      <c r="G608" s="129"/>
      <c r="H608" s="129"/>
      <c r="I608" s="129"/>
      <c r="J608" s="110"/>
      <c r="K608" s="129"/>
      <c r="L608" t="s">
        <v>351</v>
      </c>
      <c r="M608" s="129"/>
      <c r="N608" s="129"/>
      <c r="O608" s="129"/>
      <c r="P608" s="129"/>
      <c r="Q608" s="129"/>
      <c r="R608" s="129"/>
      <c r="S608" s="129"/>
      <c r="T608" s="129"/>
      <c r="U608" s="141"/>
      <c r="V608" s="139"/>
      <c r="W608" s="129"/>
      <c r="X608" s="129"/>
      <c r="Y608" s="129"/>
      <c r="Z608" s="129"/>
      <c r="AA608" s="129"/>
      <c r="AB608" s="115"/>
      <c r="AC608" s="129"/>
      <c r="AD608" s="149"/>
      <c r="AE608" s="129"/>
      <c r="AF608" s="129"/>
      <c r="AG608" s="129"/>
    </row>
    <row r="609" spans="3:33" x14ac:dyDescent="0.35">
      <c r="C609" s="129"/>
      <c r="D609" s="129"/>
      <c r="E609" s="129"/>
      <c r="F609" s="129"/>
      <c r="G609" s="129"/>
      <c r="H609" s="129"/>
      <c r="I609" s="129"/>
      <c r="J609" s="110"/>
      <c r="K609" s="129"/>
      <c r="L609" t="s">
        <v>351</v>
      </c>
      <c r="M609" s="129"/>
      <c r="N609" s="129"/>
      <c r="O609" s="129"/>
      <c r="P609" s="129"/>
      <c r="Q609" s="129"/>
      <c r="R609" s="129"/>
      <c r="S609" s="129"/>
      <c r="T609" s="129"/>
      <c r="U609" s="141"/>
      <c r="V609" s="139"/>
      <c r="W609" s="129"/>
      <c r="X609" s="129"/>
      <c r="Y609" s="129"/>
      <c r="Z609" s="129"/>
      <c r="AA609" s="129"/>
      <c r="AB609" s="115"/>
      <c r="AC609" s="129"/>
      <c r="AD609" s="149"/>
      <c r="AE609" s="129"/>
      <c r="AF609" s="129"/>
      <c r="AG609" s="129"/>
    </row>
    <row r="610" spans="3:33" x14ac:dyDescent="0.35">
      <c r="C610" s="129"/>
      <c r="D610" s="129"/>
      <c r="E610" s="129"/>
      <c r="F610" s="129"/>
      <c r="G610" s="129"/>
      <c r="H610" s="129"/>
      <c r="I610" s="129"/>
      <c r="J610" s="110"/>
      <c r="K610" s="129"/>
      <c r="L610" t="s">
        <v>351</v>
      </c>
      <c r="M610" s="129"/>
      <c r="N610" s="129"/>
      <c r="O610" s="129"/>
      <c r="P610" s="129"/>
      <c r="Q610" s="129"/>
      <c r="R610" s="129"/>
      <c r="S610" s="129"/>
      <c r="T610" s="129"/>
      <c r="U610" s="141"/>
      <c r="V610" s="139"/>
      <c r="W610" s="129"/>
      <c r="X610" s="129"/>
      <c r="Y610" s="129"/>
      <c r="Z610" s="129"/>
      <c r="AA610" s="129"/>
      <c r="AB610" s="115"/>
      <c r="AC610" s="129"/>
      <c r="AD610" s="149"/>
      <c r="AE610" s="129"/>
      <c r="AF610" s="129"/>
      <c r="AG610" s="129"/>
    </row>
    <row r="611" spans="3:33" x14ac:dyDescent="0.35">
      <c r="C611" s="129"/>
      <c r="D611" s="129"/>
      <c r="E611" s="129"/>
      <c r="F611" s="129"/>
      <c r="G611" s="129"/>
      <c r="H611" s="129"/>
      <c r="I611" s="129"/>
      <c r="J611" s="110"/>
      <c r="K611" s="129"/>
      <c r="L611" t="s">
        <v>351</v>
      </c>
      <c r="M611" s="129"/>
      <c r="N611" s="129"/>
      <c r="O611" s="129"/>
      <c r="P611" s="129"/>
      <c r="Q611" s="129"/>
      <c r="R611" s="129"/>
      <c r="S611" s="129"/>
      <c r="T611" s="129"/>
      <c r="U611" s="141"/>
      <c r="V611" s="139"/>
      <c r="W611" s="129"/>
      <c r="X611" s="129"/>
      <c r="Y611" s="129"/>
      <c r="Z611" s="129"/>
      <c r="AA611" s="129"/>
      <c r="AB611" s="115"/>
      <c r="AC611" s="129"/>
      <c r="AD611" s="149"/>
      <c r="AE611" s="129"/>
      <c r="AF611" s="129"/>
      <c r="AG611" s="129"/>
    </row>
    <row r="612" spans="3:33" x14ac:dyDescent="0.35">
      <c r="C612" s="129"/>
      <c r="D612" s="129"/>
      <c r="E612" s="129"/>
      <c r="F612" s="129"/>
      <c r="G612" s="129"/>
      <c r="H612" s="129"/>
      <c r="I612" s="129"/>
      <c r="J612" s="110"/>
      <c r="K612" s="129"/>
      <c r="L612" t="s">
        <v>351</v>
      </c>
      <c r="M612" s="129"/>
      <c r="N612" s="129"/>
      <c r="O612" s="129"/>
      <c r="P612" s="129"/>
      <c r="Q612" s="129"/>
      <c r="R612" s="129"/>
      <c r="S612" s="129"/>
      <c r="T612" s="129"/>
      <c r="U612" s="141"/>
      <c r="V612" s="139"/>
      <c r="W612" s="129"/>
      <c r="X612" s="129"/>
      <c r="Y612" s="129"/>
      <c r="Z612" s="129"/>
      <c r="AA612" s="129"/>
      <c r="AB612" s="115"/>
      <c r="AC612" s="129"/>
      <c r="AD612" s="149"/>
      <c r="AE612" s="129"/>
      <c r="AF612" s="129"/>
      <c r="AG612" s="129"/>
    </row>
    <row r="613" spans="3:33" x14ac:dyDescent="0.35">
      <c r="C613" s="129"/>
      <c r="D613" s="129"/>
      <c r="E613" s="129"/>
      <c r="F613" s="129"/>
      <c r="G613" s="129"/>
      <c r="H613" s="129"/>
      <c r="I613" s="129"/>
      <c r="J613" s="110"/>
      <c r="K613" s="129"/>
      <c r="L613" t="s">
        <v>351</v>
      </c>
      <c r="M613" s="129"/>
      <c r="N613" s="129"/>
      <c r="O613" s="129"/>
      <c r="P613" s="129"/>
      <c r="Q613" s="129"/>
      <c r="R613" s="129"/>
      <c r="S613" s="129"/>
      <c r="T613" s="129"/>
      <c r="U613" s="141"/>
      <c r="V613" s="139"/>
      <c r="W613" s="129"/>
      <c r="X613" s="129"/>
      <c r="Y613" s="129"/>
      <c r="Z613" s="129"/>
      <c r="AA613" s="129"/>
      <c r="AB613" s="115"/>
      <c r="AC613" s="129"/>
      <c r="AD613" s="149"/>
      <c r="AE613" s="129"/>
      <c r="AF613" s="129"/>
      <c r="AG613" s="129"/>
    </row>
    <row r="614" spans="3:33" x14ac:dyDescent="0.35">
      <c r="C614" s="129"/>
      <c r="D614" s="129"/>
      <c r="E614" s="129"/>
      <c r="F614" s="129"/>
      <c r="G614" s="129"/>
      <c r="H614" s="129"/>
      <c r="I614" s="129"/>
      <c r="J614" s="110"/>
      <c r="K614" s="129"/>
      <c r="L614" t="s">
        <v>351</v>
      </c>
      <c r="M614" s="129"/>
      <c r="N614" s="129"/>
      <c r="O614" s="129"/>
      <c r="P614" s="129"/>
      <c r="Q614" s="129"/>
      <c r="R614" s="129"/>
      <c r="S614" s="129"/>
      <c r="T614" s="129"/>
      <c r="U614" s="141"/>
      <c r="V614" s="139"/>
      <c r="W614" s="129"/>
      <c r="X614" s="129"/>
      <c r="Y614" s="129"/>
      <c r="Z614" s="129"/>
      <c r="AA614" s="129"/>
      <c r="AB614" s="115"/>
      <c r="AC614" s="129"/>
      <c r="AD614" s="149"/>
      <c r="AE614" s="129"/>
      <c r="AF614" s="129"/>
      <c r="AG614" s="129"/>
    </row>
    <row r="615" spans="3:33" x14ac:dyDescent="0.35">
      <c r="C615" s="129"/>
      <c r="D615" s="129"/>
      <c r="E615" s="129"/>
      <c r="F615" s="129"/>
      <c r="G615" s="129"/>
      <c r="H615" s="129"/>
      <c r="I615" s="129"/>
      <c r="J615" s="110"/>
      <c r="K615" s="129"/>
      <c r="L615" t="s">
        <v>351</v>
      </c>
      <c r="M615" s="129"/>
      <c r="N615" s="129"/>
      <c r="O615" s="129"/>
      <c r="P615" s="129"/>
      <c r="Q615" s="129"/>
      <c r="R615" s="129"/>
      <c r="S615" s="129"/>
      <c r="T615" s="129"/>
      <c r="U615" s="141"/>
      <c r="V615" s="139"/>
      <c r="W615" s="129"/>
      <c r="X615" s="129"/>
      <c r="Y615" s="129"/>
      <c r="Z615" s="129"/>
      <c r="AA615" s="129"/>
      <c r="AB615" s="115"/>
      <c r="AC615" s="129"/>
      <c r="AD615" s="149"/>
      <c r="AE615" s="129"/>
      <c r="AF615" s="129"/>
      <c r="AG615" s="129"/>
    </row>
    <row r="616" spans="3:33" x14ac:dyDescent="0.35">
      <c r="C616" s="129"/>
      <c r="D616" s="129"/>
      <c r="E616" s="129"/>
      <c r="F616" s="129"/>
      <c r="G616" s="129"/>
      <c r="H616" s="129"/>
      <c r="I616" s="129"/>
      <c r="J616" s="110"/>
      <c r="K616" s="129"/>
      <c r="L616" t="s">
        <v>351</v>
      </c>
      <c r="M616" s="129"/>
      <c r="N616" s="129"/>
      <c r="O616" s="129"/>
      <c r="P616" s="129"/>
      <c r="Q616" s="129"/>
      <c r="R616" s="129"/>
      <c r="S616" s="129"/>
      <c r="T616" s="129"/>
      <c r="U616" s="141"/>
      <c r="V616" s="139"/>
      <c r="W616" s="129"/>
      <c r="X616" s="129"/>
      <c r="Y616" s="129"/>
      <c r="Z616" s="129"/>
      <c r="AA616" s="129"/>
      <c r="AB616" s="115"/>
      <c r="AC616" s="129"/>
      <c r="AD616" s="149"/>
      <c r="AE616" s="129"/>
      <c r="AF616" s="129"/>
      <c r="AG616" s="129"/>
    </row>
    <row r="617" spans="3:33" x14ac:dyDescent="0.35">
      <c r="C617" s="129"/>
      <c r="D617" s="129"/>
      <c r="E617" s="129"/>
      <c r="F617" s="129"/>
      <c r="G617" s="129"/>
      <c r="H617" s="129"/>
      <c r="I617" s="129"/>
      <c r="J617" s="110"/>
      <c r="K617" s="129"/>
      <c r="L617" t="s">
        <v>351</v>
      </c>
      <c r="M617" s="129"/>
      <c r="N617" s="129"/>
      <c r="O617" s="129"/>
      <c r="P617" s="129"/>
      <c r="Q617" s="129"/>
      <c r="R617" s="129"/>
      <c r="S617" s="129"/>
      <c r="T617" s="129"/>
      <c r="U617" s="141"/>
      <c r="V617" s="139"/>
      <c r="W617" s="129"/>
      <c r="X617" s="129"/>
      <c r="Y617" s="129"/>
      <c r="Z617" s="129"/>
      <c r="AA617" s="129"/>
      <c r="AB617" s="115"/>
      <c r="AC617" s="129"/>
      <c r="AD617" s="149"/>
      <c r="AE617" s="129"/>
      <c r="AF617" s="129"/>
      <c r="AG617" s="129"/>
    </row>
    <row r="618" spans="3:33" x14ac:dyDescent="0.35">
      <c r="C618" s="129"/>
      <c r="D618" s="129"/>
      <c r="E618" s="129"/>
      <c r="F618" s="129"/>
      <c r="G618" s="129"/>
      <c r="H618" s="129"/>
      <c r="I618" s="129"/>
      <c r="J618" s="110"/>
      <c r="K618" s="129"/>
      <c r="L618" t="s">
        <v>351</v>
      </c>
      <c r="M618" s="129"/>
      <c r="N618" s="129"/>
      <c r="O618" s="129"/>
      <c r="P618" s="129"/>
      <c r="Q618" s="129"/>
      <c r="R618" s="129"/>
      <c r="S618" s="129"/>
      <c r="T618" s="129"/>
      <c r="U618" s="141"/>
      <c r="V618" s="139"/>
      <c r="W618" s="129"/>
      <c r="X618" s="129"/>
      <c r="Y618" s="129"/>
      <c r="Z618" s="129"/>
      <c r="AA618" s="129"/>
      <c r="AB618" s="115"/>
      <c r="AC618" s="129"/>
      <c r="AD618" s="149"/>
      <c r="AE618" s="129"/>
      <c r="AF618" s="129"/>
      <c r="AG618" s="129"/>
    </row>
    <row r="619" spans="3:33" x14ac:dyDescent="0.35">
      <c r="C619" s="129"/>
      <c r="D619" s="129"/>
      <c r="E619" s="129"/>
      <c r="F619" s="129"/>
      <c r="G619" s="129"/>
      <c r="H619" s="129"/>
      <c r="I619" s="129"/>
      <c r="J619" s="110"/>
      <c r="K619" s="129"/>
      <c r="L619" t="s">
        <v>351</v>
      </c>
      <c r="M619" s="129"/>
      <c r="N619" s="129"/>
      <c r="O619" s="129"/>
      <c r="P619" s="129"/>
      <c r="Q619" s="129"/>
      <c r="R619" s="129"/>
      <c r="S619" s="129"/>
      <c r="T619" s="129"/>
      <c r="U619" s="141"/>
      <c r="V619" s="139"/>
      <c r="W619" s="129"/>
      <c r="X619" s="129"/>
      <c r="Y619" s="129"/>
      <c r="Z619" s="129"/>
      <c r="AA619" s="129"/>
      <c r="AB619" s="115"/>
      <c r="AC619" s="129"/>
      <c r="AD619" s="149"/>
      <c r="AE619" s="129"/>
      <c r="AF619" s="129"/>
      <c r="AG619" s="129"/>
    </row>
    <row r="620" spans="3:33" x14ac:dyDescent="0.35">
      <c r="C620" s="129"/>
      <c r="D620" s="129"/>
      <c r="E620" s="129"/>
      <c r="F620" s="129"/>
      <c r="G620" s="129"/>
      <c r="H620" s="129"/>
      <c r="I620" s="129"/>
      <c r="J620" s="110"/>
      <c r="K620" s="129"/>
      <c r="L620" t="s">
        <v>351</v>
      </c>
      <c r="M620" s="129"/>
      <c r="N620" s="129"/>
      <c r="O620" s="129"/>
      <c r="P620" s="129"/>
      <c r="Q620" s="129"/>
      <c r="R620" s="129"/>
      <c r="S620" s="129"/>
      <c r="T620" s="129"/>
      <c r="U620" s="141"/>
      <c r="V620" s="139"/>
      <c r="W620" s="129"/>
      <c r="X620" s="129"/>
      <c r="Y620" s="129"/>
      <c r="Z620" s="129"/>
      <c r="AA620" s="129"/>
      <c r="AB620" s="115"/>
      <c r="AC620" s="129"/>
      <c r="AD620" s="149"/>
      <c r="AE620" s="129"/>
      <c r="AF620" s="129"/>
      <c r="AG620" s="129"/>
    </row>
    <row r="621" spans="3:33" x14ac:dyDescent="0.35">
      <c r="C621" s="129"/>
      <c r="D621" s="129"/>
      <c r="E621" s="129"/>
      <c r="F621" s="129"/>
      <c r="G621" s="129"/>
      <c r="H621" s="129"/>
      <c r="I621" s="129"/>
      <c r="J621" s="110"/>
      <c r="K621" s="129"/>
      <c r="L621" t="s">
        <v>351</v>
      </c>
      <c r="M621" s="129"/>
      <c r="N621" s="129"/>
      <c r="O621" s="129"/>
      <c r="P621" s="129"/>
      <c r="Q621" s="129"/>
      <c r="R621" s="129"/>
      <c r="S621" s="129"/>
      <c r="T621" s="129"/>
      <c r="U621" s="141"/>
      <c r="V621" s="139"/>
      <c r="W621" s="129"/>
      <c r="X621" s="129"/>
      <c r="Y621" s="129"/>
      <c r="Z621" s="129"/>
      <c r="AA621" s="129"/>
      <c r="AB621" s="115"/>
      <c r="AC621" s="129"/>
      <c r="AD621" s="149"/>
      <c r="AE621" s="129"/>
      <c r="AF621" s="129"/>
      <c r="AG621" s="129"/>
    </row>
    <row r="622" spans="3:33" x14ac:dyDescent="0.35">
      <c r="C622" s="129"/>
      <c r="D622" s="129"/>
      <c r="E622" s="129"/>
      <c r="F622" s="129"/>
      <c r="G622" s="129"/>
      <c r="H622" s="129"/>
      <c r="I622" s="129"/>
      <c r="J622" s="110"/>
      <c r="K622" s="129"/>
      <c r="L622" t="s">
        <v>351</v>
      </c>
      <c r="M622" s="129"/>
      <c r="N622" s="129"/>
      <c r="O622" s="129"/>
      <c r="P622" s="129"/>
      <c r="Q622" s="129"/>
      <c r="R622" s="129"/>
      <c r="S622" s="129"/>
      <c r="T622" s="129"/>
      <c r="U622" s="141"/>
      <c r="V622" s="139"/>
      <c r="W622" s="129"/>
      <c r="X622" s="129"/>
      <c r="Y622" s="129"/>
      <c r="Z622" s="129"/>
      <c r="AA622" s="129"/>
      <c r="AB622" s="115"/>
      <c r="AC622" s="129"/>
      <c r="AD622" s="149"/>
      <c r="AE622" s="129"/>
      <c r="AF622" s="129"/>
      <c r="AG622" s="129"/>
    </row>
    <row r="623" spans="3:33" x14ac:dyDescent="0.35">
      <c r="C623" s="129"/>
      <c r="D623" s="129"/>
      <c r="E623" s="129"/>
      <c r="F623" s="129"/>
      <c r="G623" s="129"/>
      <c r="H623" s="129"/>
      <c r="I623" s="129"/>
      <c r="J623" s="110"/>
      <c r="K623" s="129"/>
      <c r="L623" t="s">
        <v>351</v>
      </c>
      <c r="M623" s="129"/>
      <c r="N623" s="129"/>
      <c r="O623" s="129"/>
      <c r="P623" s="129"/>
      <c r="Q623" s="129"/>
      <c r="R623" s="129"/>
      <c r="S623" s="129"/>
      <c r="T623" s="129"/>
      <c r="U623" s="141"/>
      <c r="V623" s="139"/>
      <c r="W623" s="129"/>
      <c r="X623" s="129"/>
      <c r="Y623" s="129"/>
      <c r="Z623" s="129"/>
      <c r="AA623" s="129"/>
      <c r="AB623" s="115"/>
      <c r="AC623" s="129"/>
      <c r="AD623" s="149"/>
      <c r="AE623" s="129"/>
      <c r="AF623" s="129"/>
      <c r="AG623" s="129"/>
    </row>
    <row r="624" spans="3:33" x14ac:dyDescent="0.35">
      <c r="C624" s="129"/>
      <c r="D624" s="129"/>
      <c r="E624" s="129"/>
      <c r="F624" s="129"/>
      <c r="G624" s="129"/>
      <c r="H624" s="129"/>
      <c r="I624" s="129"/>
      <c r="J624" s="110"/>
      <c r="K624" s="129"/>
      <c r="L624" t="s">
        <v>351</v>
      </c>
      <c r="M624" s="129"/>
      <c r="N624" s="129"/>
      <c r="O624" s="129"/>
      <c r="P624" s="129"/>
      <c r="Q624" s="129"/>
      <c r="R624" s="129"/>
      <c r="S624" s="129"/>
      <c r="T624" s="129"/>
      <c r="U624" s="141"/>
      <c r="V624" s="139"/>
      <c r="W624" s="129"/>
      <c r="X624" s="129"/>
      <c r="Y624" s="129"/>
      <c r="Z624" s="129"/>
      <c r="AA624" s="129"/>
      <c r="AB624" s="115"/>
      <c r="AC624" s="129"/>
      <c r="AD624" s="149"/>
      <c r="AE624" s="129"/>
      <c r="AF624" s="129"/>
      <c r="AG624" s="129"/>
    </row>
    <row r="625" spans="3:33" x14ac:dyDescent="0.35">
      <c r="C625" s="129"/>
      <c r="D625" s="129"/>
      <c r="E625" s="129"/>
      <c r="F625" s="129"/>
      <c r="G625" s="129"/>
      <c r="H625" s="129"/>
      <c r="I625" s="129"/>
      <c r="J625" s="110"/>
      <c r="K625" s="129"/>
      <c r="L625" t="s">
        <v>351</v>
      </c>
      <c r="M625" s="129"/>
      <c r="N625" s="129"/>
      <c r="O625" s="129"/>
      <c r="P625" s="129"/>
      <c r="Q625" s="129"/>
      <c r="R625" s="129"/>
      <c r="S625" s="129"/>
      <c r="T625" s="129"/>
      <c r="U625" s="141"/>
      <c r="V625" s="139"/>
      <c r="W625" s="129"/>
      <c r="X625" s="129"/>
      <c r="Y625" s="129"/>
      <c r="Z625" s="129"/>
      <c r="AA625" s="129"/>
      <c r="AB625" s="115"/>
      <c r="AC625" s="129"/>
      <c r="AD625" s="149"/>
      <c r="AE625" s="129"/>
      <c r="AF625" s="129"/>
      <c r="AG625" s="129"/>
    </row>
    <row r="626" spans="3:33" x14ac:dyDescent="0.35">
      <c r="C626" s="129"/>
      <c r="D626" s="129"/>
      <c r="E626" s="129"/>
      <c r="F626" s="129"/>
      <c r="G626" s="129"/>
      <c r="H626" s="129"/>
      <c r="I626" s="129"/>
      <c r="J626" s="110"/>
      <c r="K626" s="129"/>
      <c r="L626" t="s">
        <v>351</v>
      </c>
      <c r="M626" s="129"/>
      <c r="N626" s="129"/>
      <c r="O626" s="129"/>
      <c r="P626" s="129"/>
      <c r="Q626" s="129"/>
      <c r="R626" s="129"/>
      <c r="S626" s="129"/>
      <c r="T626" s="129"/>
      <c r="U626" s="141"/>
      <c r="V626" s="139"/>
      <c r="W626" s="129"/>
      <c r="X626" s="129"/>
      <c r="Y626" s="129"/>
      <c r="Z626" s="129"/>
      <c r="AA626" s="129"/>
      <c r="AB626" s="115"/>
      <c r="AC626" s="129"/>
      <c r="AD626" s="149"/>
      <c r="AE626" s="129"/>
      <c r="AF626" s="129"/>
      <c r="AG626" s="129"/>
    </row>
    <row r="627" spans="3:33" x14ac:dyDescent="0.35">
      <c r="C627" s="129"/>
      <c r="D627" s="129"/>
      <c r="E627" s="129"/>
      <c r="F627" s="129"/>
      <c r="G627" s="129"/>
      <c r="H627" s="129"/>
      <c r="I627" s="129"/>
      <c r="J627" s="110"/>
      <c r="K627" s="129"/>
      <c r="L627" t="s">
        <v>351</v>
      </c>
      <c r="M627" s="129"/>
      <c r="N627" s="129"/>
      <c r="O627" s="129"/>
      <c r="P627" s="129"/>
      <c r="Q627" s="129"/>
      <c r="R627" s="129"/>
      <c r="S627" s="129"/>
      <c r="T627" s="129"/>
      <c r="U627" s="141"/>
      <c r="V627" s="139"/>
      <c r="W627" s="129"/>
      <c r="X627" s="129"/>
      <c r="Y627" s="129"/>
      <c r="Z627" s="129"/>
      <c r="AA627" s="129"/>
      <c r="AB627" s="115"/>
      <c r="AC627" s="129"/>
      <c r="AD627" s="149"/>
      <c r="AE627" s="129"/>
      <c r="AF627" s="129"/>
      <c r="AG627" s="129"/>
    </row>
    <row r="628" spans="3:33" x14ac:dyDescent="0.35">
      <c r="C628" s="129"/>
      <c r="D628" s="129"/>
      <c r="E628" s="129"/>
      <c r="F628" s="129"/>
      <c r="G628" s="129"/>
      <c r="H628" s="129"/>
      <c r="I628" s="129"/>
      <c r="J628" s="110"/>
      <c r="K628" s="129"/>
      <c r="L628" t="s">
        <v>351</v>
      </c>
      <c r="M628" s="129"/>
      <c r="N628" s="129"/>
      <c r="O628" s="129"/>
      <c r="P628" s="129"/>
      <c r="Q628" s="129"/>
      <c r="R628" s="129"/>
      <c r="S628" s="129"/>
      <c r="T628" s="129"/>
      <c r="U628" s="141"/>
      <c r="V628" s="139"/>
      <c r="W628" s="129"/>
      <c r="X628" s="129"/>
      <c r="Y628" s="129"/>
      <c r="Z628" s="129"/>
      <c r="AA628" s="129"/>
      <c r="AB628" s="115"/>
      <c r="AC628" s="129"/>
      <c r="AD628" s="149"/>
      <c r="AE628" s="129"/>
      <c r="AF628" s="129"/>
      <c r="AG628" s="129"/>
    </row>
    <row r="629" spans="3:33" x14ac:dyDescent="0.35">
      <c r="C629" s="129"/>
      <c r="D629" s="129"/>
      <c r="E629" s="129"/>
      <c r="F629" s="129"/>
      <c r="G629" s="129"/>
      <c r="H629" s="129"/>
      <c r="I629" s="129"/>
      <c r="J629" s="110"/>
      <c r="K629" s="129"/>
      <c r="L629" t="s">
        <v>351</v>
      </c>
      <c r="M629" s="129"/>
      <c r="N629" s="129"/>
      <c r="O629" s="129"/>
      <c r="P629" s="129"/>
      <c r="Q629" s="129"/>
      <c r="R629" s="129"/>
      <c r="S629" s="129"/>
      <c r="T629" s="129"/>
      <c r="U629" s="141"/>
      <c r="V629" s="139"/>
      <c r="W629" s="129"/>
      <c r="X629" s="129"/>
      <c r="Y629" s="129"/>
      <c r="Z629" s="129"/>
      <c r="AA629" s="129"/>
      <c r="AB629" s="115"/>
      <c r="AC629" s="129"/>
      <c r="AD629" s="149"/>
      <c r="AE629" s="129"/>
      <c r="AF629" s="129"/>
      <c r="AG629" s="129"/>
    </row>
    <row r="630" spans="3:33" x14ac:dyDescent="0.35">
      <c r="C630" s="129"/>
      <c r="D630" s="129"/>
      <c r="E630" s="129"/>
      <c r="F630" s="129"/>
      <c r="G630" s="129"/>
      <c r="H630" s="129"/>
      <c r="I630" s="129"/>
      <c r="J630" s="110"/>
      <c r="K630" s="129"/>
      <c r="L630" t="s">
        <v>351</v>
      </c>
      <c r="M630" s="129"/>
      <c r="N630" s="129"/>
      <c r="O630" s="129"/>
      <c r="P630" s="129"/>
      <c r="Q630" s="129"/>
      <c r="R630" s="129"/>
      <c r="S630" s="129"/>
      <c r="T630" s="129"/>
      <c r="U630" s="141"/>
      <c r="V630" s="139"/>
      <c r="W630" s="129"/>
      <c r="X630" s="129"/>
      <c r="Y630" s="129"/>
      <c r="Z630" s="129"/>
      <c r="AA630" s="129"/>
      <c r="AB630" s="115"/>
      <c r="AC630" s="129"/>
      <c r="AD630" s="149"/>
      <c r="AE630" s="129"/>
      <c r="AF630" s="129"/>
      <c r="AG630" s="129"/>
    </row>
    <row r="631" spans="3:33" x14ac:dyDescent="0.35">
      <c r="C631" s="129"/>
      <c r="D631" s="129"/>
      <c r="E631" s="129"/>
      <c r="F631" s="129"/>
      <c r="G631" s="129"/>
      <c r="H631" s="129"/>
      <c r="I631" s="129"/>
      <c r="J631" s="110"/>
      <c r="K631" s="129"/>
      <c r="L631" t="s">
        <v>351</v>
      </c>
      <c r="M631" s="129"/>
      <c r="N631" s="129"/>
      <c r="O631" s="129"/>
      <c r="P631" s="129"/>
      <c r="Q631" s="129"/>
      <c r="R631" s="129"/>
      <c r="S631" s="129"/>
      <c r="T631" s="129"/>
      <c r="U631" s="141"/>
      <c r="V631" s="139"/>
      <c r="W631" s="129"/>
      <c r="X631" s="129"/>
      <c r="Y631" s="129"/>
      <c r="Z631" s="129"/>
      <c r="AA631" s="129"/>
      <c r="AB631" s="115"/>
      <c r="AC631" s="129"/>
      <c r="AD631" s="149"/>
      <c r="AE631" s="129"/>
      <c r="AF631" s="129"/>
      <c r="AG631" s="129"/>
    </row>
    <row r="632" spans="3:33" x14ac:dyDescent="0.35">
      <c r="C632" s="129"/>
      <c r="D632" s="129"/>
      <c r="E632" s="129"/>
      <c r="F632" s="129"/>
      <c r="G632" s="129"/>
      <c r="H632" s="129"/>
      <c r="I632" s="129"/>
      <c r="J632" s="110"/>
      <c r="K632" s="129"/>
      <c r="L632" t="s">
        <v>351</v>
      </c>
      <c r="M632" s="129"/>
      <c r="N632" s="129"/>
      <c r="O632" s="129"/>
      <c r="P632" s="129"/>
      <c r="Q632" s="129"/>
      <c r="R632" s="129"/>
      <c r="S632" s="129"/>
      <c r="T632" s="129"/>
      <c r="U632" s="141"/>
      <c r="V632" s="139"/>
      <c r="W632" s="129"/>
      <c r="X632" s="129"/>
      <c r="Y632" s="129"/>
      <c r="Z632" s="129"/>
      <c r="AA632" s="129"/>
      <c r="AB632" s="115"/>
      <c r="AC632" s="129"/>
      <c r="AD632" s="149"/>
      <c r="AE632" s="129"/>
      <c r="AF632" s="129"/>
      <c r="AG632" s="129"/>
    </row>
    <row r="633" spans="3:33" x14ac:dyDescent="0.35">
      <c r="C633" s="129"/>
      <c r="D633" s="129"/>
      <c r="E633" s="129"/>
      <c r="F633" s="129"/>
      <c r="G633" s="129"/>
      <c r="H633" s="129"/>
      <c r="I633" s="129"/>
      <c r="J633" s="110"/>
      <c r="K633" s="129"/>
      <c r="L633" t="s">
        <v>351</v>
      </c>
      <c r="M633" s="129"/>
      <c r="N633" s="129"/>
      <c r="O633" s="129"/>
      <c r="P633" s="129"/>
      <c r="Q633" s="129"/>
      <c r="R633" s="129"/>
      <c r="S633" s="129"/>
      <c r="T633" s="129"/>
      <c r="U633" s="141"/>
      <c r="V633" s="139"/>
      <c r="W633" s="129"/>
      <c r="X633" s="129"/>
      <c r="Y633" s="129"/>
      <c r="Z633" s="129"/>
      <c r="AA633" s="129"/>
      <c r="AB633" s="115"/>
      <c r="AC633" s="129"/>
      <c r="AD633" s="149"/>
      <c r="AE633" s="129"/>
      <c r="AF633" s="129"/>
      <c r="AG633" s="129"/>
    </row>
    <row r="634" spans="3:33" x14ac:dyDescent="0.35">
      <c r="C634" s="129"/>
      <c r="D634" s="129"/>
      <c r="E634" s="129"/>
      <c r="F634" s="129"/>
      <c r="G634" s="129"/>
      <c r="H634" s="129"/>
      <c r="I634" s="129"/>
      <c r="J634" s="110"/>
      <c r="K634" s="129"/>
      <c r="L634" t="s">
        <v>351</v>
      </c>
      <c r="M634" s="129"/>
      <c r="N634" s="129"/>
      <c r="O634" s="129"/>
      <c r="P634" s="129"/>
      <c r="Q634" s="129"/>
      <c r="R634" s="129"/>
      <c r="S634" s="129"/>
      <c r="T634" s="129"/>
      <c r="U634" s="141"/>
      <c r="V634" s="139"/>
      <c r="W634" s="129"/>
      <c r="X634" s="129"/>
      <c r="Y634" s="129"/>
      <c r="Z634" s="129"/>
      <c r="AA634" s="129"/>
      <c r="AB634" s="115"/>
      <c r="AC634" s="129"/>
      <c r="AD634" s="149"/>
      <c r="AE634" s="129"/>
      <c r="AF634" s="129"/>
      <c r="AG634" s="129"/>
    </row>
    <row r="635" spans="3:33" x14ac:dyDescent="0.35">
      <c r="C635" s="129"/>
      <c r="D635" s="129"/>
      <c r="E635" s="129"/>
      <c r="F635" s="129"/>
      <c r="G635" s="129"/>
      <c r="H635" s="129"/>
      <c r="I635" s="129"/>
      <c r="J635" s="110"/>
      <c r="K635" s="129"/>
      <c r="L635" t="s">
        <v>351</v>
      </c>
      <c r="M635" s="129"/>
      <c r="N635" s="129"/>
      <c r="O635" s="129"/>
      <c r="P635" s="129"/>
      <c r="Q635" s="129"/>
      <c r="R635" s="129"/>
      <c r="S635" s="129"/>
      <c r="T635" s="129"/>
      <c r="U635" s="141"/>
      <c r="V635" s="139"/>
      <c r="W635" s="129"/>
      <c r="X635" s="129"/>
      <c r="Y635" s="129"/>
      <c r="Z635" s="129"/>
      <c r="AA635" s="129"/>
      <c r="AB635" s="115"/>
      <c r="AC635" s="129"/>
      <c r="AD635" s="149"/>
      <c r="AE635" s="129"/>
      <c r="AF635" s="129"/>
      <c r="AG635" s="129"/>
    </row>
    <row r="636" spans="3:33" x14ac:dyDescent="0.35">
      <c r="C636" s="129"/>
      <c r="D636" s="129"/>
      <c r="E636" s="129"/>
      <c r="F636" s="129"/>
      <c r="G636" s="129"/>
      <c r="H636" s="129"/>
      <c r="I636" s="129"/>
      <c r="J636" s="110"/>
      <c r="K636" s="129"/>
      <c r="L636" t="s">
        <v>351</v>
      </c>
      <c r="M636" s="129"/>
      <c r="N636" s="129"/>
      <c r="O636" s="129"/>
      <c r="P636" s="129"/>
      <c r="Q636" s="129"/>
      <c r="R636" s="129"/>
      <c r="S636" s="129"/>
      <c r="T636" s="129"/>
      <c r="U636" s="141"/>
      <c r="V636" s="139"/>
      <c r="W636" s="129"/>
      <c r="X636" s="129"/>
      <c r="Y636" s="129"/>
      <c r="Z636" s="129"/>
      <c r="AA636" s="129"/>
      <c r="AB636" s="115"/>
      <c r="AC636" s="129"/>
      <c r="AD636" s="149"/>
      <c r="AE636" s="129"/>
      <c r="AF636" s="129"/>
      <c r="AG636" s="129"/>
    </row>
    <row r="637" spans="3:33" x14ac:dyDescent="0.35">
      <c r="C637" s="129"/>
      <c r="D637" s="129"/>
      <c r="E637" s="129"/>
      <c r="F637" s="129"/>
      <c r="G637" s="129"/>
      <c r="H637" s="129"/>
      <c r="I637" s="129"/>
      <c r="J637" s="110"/>
      <c r="K637" s="129"/>
      <c r="L637" t="s">
        <v>351</v>
      </c>
      <c r="M637" s="129"/>
      <c r="N637" s="129"/>
      <c r="O637" s="129"/>
      <c r="P637" s="129"/>
      <c r="Q637" s="129"/>
      <c r="R637" s="129"/>
      <c r="S637" s="129"/>
      <c r="T637" s="129"/>
      <c r="U637" s="141"/>
      <c r="V637" s="139"/>
      <c r="W637" s="129"/>
      <c r="X637" s="129"/>
      <c r="Y637" s="129"/>
      <c r="Z637" s="129"/>
      <c r="AA637" s="129"/>
      <c r="AB637" s="115"/>
      <c r="AC637" s="129"/>
      <c r="AD637" s="149"/>
      <c r="AE637" s="129"/>
      <c r="AF637" s="129"/>
      <c r="AG637" s="129"/>
    </row>
    <row r="638" spans="3:33" x14ac:dyDescent="0.35">
      <c r="C638" s="129"/>
      <c r="D638" s="129"/>
      <c r="E638" s="129"/>
      <c r="F638" s="129"/>
      <c r="G638" s="129"/>
      <c r="H638" s="129"/>
      <c r="I638" s="129"/>
      <c r="J638" s="110"/>
      <c r="K638" s="129"/>
      <c r="L638" t="s">
        <v>351</v>
      </c>
      <c r="M638" s="129"/>
      <c r="N638" s="129"/>
      <c r="O638" s="129"/>
      <c r="P638" s="129"/>
      <c r="Q638" s="129"/>
      <c r="R638" s="129"/>
      <c r="S638" s="129"/>
      <c r="T638" s="129"/>
      <c r="U638" s="141"/>
      <c r="V638" s="139"/>
      <c r="W638" s="129"/>
      <c r="X638" s="129"/>
      <c r="Y638" s="129"/>
      <c r="Z638" s="129"/>
      <c r="AA638" s="129"/>
      <c r="AB638" s="115"/>
      <c r="AC638" s="129"/>
      <c r="AD638" s="149"/>
      <c r="AE638" s="129"/>
      <c r="AF638" s="129"/>
      <c r="AG638" s="129"/>
    </row>
    <row r="639" spans="3:33" x14ac:dyDescent="0.35">
      <c r="C639" s="129"/>
      <c r="D639" s="129"/>
      <c r="E639" s="129"/>
      <c r="F639" s="129"/>
      <c r="G639" s="129"/>
      <c r="H639" s="129"/>
      <c r="I639" s="129"/>
      <c r="J639" s="110"/>
      <c r="K639" s="129"/>
      <c r="L639" t="s">
        <v>351</v>
      </c>
      <c r="M639" s="129"/>
      <c r="N639" s="129"/>
      <c r="O639" s="129"/>
      <c r="P639" s="129"/>
      <c r="Q639" s="129"/>
      <c r="R639" s="129"/>
      <c r="S639" s="129"/>
      <c r="T639" s="129"/>
      <c r="U639" s="141"/>
      <c r="V639" s="139"/>
      <c r="W639" s="129"/>
      <c r="X639" s="129"/>
      <c r="Y639" s="129"/>
      <c r="Z639" s="129"/>
      <c r="AA639" s="129"/>
      <c r="AB639" s="115"/>
      <c r="AC639" s="129"/>
      <c r="AD639" s="149"/>
      <c r="AE639" s="129"/>
      <c r="AF639" s="129"/>
      <c r="AG639" s="129"/>
    </row>
    <row r="640" spans="3:33" x14ac:dyDescent="0.35">
      <c r="C640" s="129"/>
      <c r="D640" s="129"/>
      <c r="E640" s="129"/>
      <c r="F640" s="129"/>
      <c r="G640" s="129"/>
      <c r="H640" s="129"/>
      <c r="I640" s="129"/>
      <c r="J640" s="110"/>
      <c r="K640" s="129"/>
      <c r="L640" t="s">
        <v>351</v>
      </c>
      <c r="M640" s="129"/>
      <c r="N640" s="129"/>
      <c r="O640" s="129"/>
      <c r="P640" s="129"/>
      <c r="Q640" s="129"/>
      <c r="R640" s="129"/>
      <c r="S640" s="129"/>
      <c r="T640" s="129"/>
      <c r="U640" s="141"/>
      <c r="V640" s="139"/>
      <c r="W640" s="129"/>
      <c r="X640" s="129"/>
      <c r="Y640" s="129"/>
      <c r="Z640" s="129"/>
      <c r="AA640" s="129"/>
      <c r="AB640" s="115"/>
      <c r="AC640" s="129"/>
      <c r="AD640" s="149"/>
      <c r="AE640" s="129"/>
      <c r="AF640" s="129"/>
      <c r="AG640" s="129"/>
    </row>
    <row r="641" spans="3:33" x14ac:dyDescent="0.35">
      <c r="C641" s="129"/>
      <c r="D641" s="129"/>
      <c r="E641" s="129"/>
      <c r="F641" s="129"/>
      <c r="G641" s="129"/>
      <c r="H641" s="129"/>
      <c r="I641" s="129"/>
      <c r="J641" s="110"/>
      <c r="K641" s="129"/>
      <c r="L641" t="s">
        <v>351</v>
      </c>
      <c r="M641" s="129"/>
      <c r="N641" s="129"/>
      <c r="O641" s="129"/>
      <c r="P641" s="129"/>
      <c r="Q641" s="129"/>
      <c r="R641" s="129"/>
      <c r="S641" s="129"/>
      <c r="T641" s="129"/>
      <c r="U641" s="141"/>
      <c r="V641" s="139"/>
      <c r="W641" s="129"/>
      <c r="X641" s="129"/>
      <c r="Y641" s="129"/>
      <c r="Z641" s="129"/>
      <c r="AA641" s="129"/>
      <c r="AB641" s="115"/>
      <c r="AC641" s="129"/>
      <c r="AD641" s="149"/>
      <c r="AE641" s="129"/>
      <c r="AF641" s="129"/>
      <c r="AG641" s="129"/>
    </row>
    <row r="642" spans="3:33" x14ac:dyDescent="0.35">
      <c r="C642" s="129"/>
      <c r="D642" s="129"/>
      <c r="E642" s="129"/>
      <c r="F642" s="129"/>
      <c r="G642" s="129"/>
      <c r="H642" s="129"/>
      <c r="I642" s="129"/>
      <c r="J642" s="110"/>
      <c r="K642" s="129"/>
      <c r="L642" t="s">
        <v>351</v>
      </c>
      <c r="M642" s="129"/>
      <c r="N642" s="129"/>
      <c r="O642" s="129"/>
      <c r="P642" s="129"/>
      <c r="Q642" s="129"/>
      <c r="R642" s="129"/>
      <c r="S642" s="129"/>
      <c r="T642" s="129"/>
      <c r="U642" s="141"/>
      <c r="V642" s="139"/>
      <c r="W642" s="129"/>
      <c r="X642" s="129"/>
      <c r="Y642" s="129"/>
      <c r="Z642" s="129"/>
      <c r="AA642" s="129"/>
      <c r="AB642" s="115"/>
      <c r="AC642" s="129"/>
      <c r="AD642" s="149"/>
      <c r="AE642" s="129"/>
      <c r="AF642" s="129"/>
      <c r="AG642" s="129"/>
    </row>
    <row r="643" spans="3:33" x14ac:dyDescent="0.35">
      <c r="C643" s="129"/>
      <c r="D643" s="129"/>
      <c r="E643" s="129"/>
      <c r="F643" s="129"/>
      <c r="G643" s="129"/>
      <c r="H643" s="129"/>
      <c r="I643" s="129"/>
      <c r="J643" s="110"/>
      <c r="K643" s="129"/>
      <c r="L643" t="s">
        <v>351</v>
      </c>
      <c r="M643" s="129"/>
      <c r="N643" s="129"/>
      <c r="O643" s="129"/>
      <c r="P643" s="129"/>
      <c r="Q643" s="129"/>
      <c r="R643" s="129"/>
      <c r="S643" s="129"/>
      <c r="T643" s="129"/>
      <c r="U643" s="141"/>
      <c r="V643" s="139"/>
      <c r="W643" s="129"/>
      <c r="X643" s="129"/>
      <c r="Y643" s="129"/>
      <c r="Z643" s="129"/>
      <c r="AA643" s="129"/>
      <c r="AB643" s="115"/>
      <c r="AC643" s="129"/>
      <c r="AD643" s="149"/>
      <c r="AE643" s="129"/>
      <c r="AF643" s="129"/>
      <c r="AG643" s="129"/>
    </row>
    <row r="644" spans="3:33" x14ac:dyDescent="0.35">
      <c r="C644" s="129"/>
      <c r="D644" s="129"/>
      <c r="E644" s="129"/>
      <c r="F644" s="129"/>
      <c r="G644" s="129"/>
      <c r="H644" s="129"/>
      <c r="I644" s="129"/>
      <c r="J644" s="110"/>
      <c r="K644" s="129"/>
      <c r="L644" t="s">
        <v>351</v>
      </c>
      <c r="M644" s="129"/>
      <c r="N644" s="129"/>
      <c r="O644" s="129"/>
      <c r="P644" s="129"/>
      <c r="Q644" s="129"/>
      <c r="R644" s="129"/>
      <c r="S644" s="129"/>
      <c r="T644" s="129"/>
      <c r="U644" s="141"/>
      <c r="V644" s="139"/>
      <c r="W644" s="129"/>
      <c r="X644" s="129"/>
      <c r="Y644" s="129"/>
      <c r="Z644" s="129"/>
      <c r="AA644" s="129"/>
      <c r="AB644" s="115"/>
      <c r="AC644" s="129"/>
      <c r="AD644" s="149"/>
      <c r="AE644" s="129"/>
      <c r="AF644" s="129"/>
      <c r="AG644" s="129"/>
    </row>
    <row r="645" spans="3:33" x14ac:dyDescent="0.35">
      <c r="C645" s="129"/>
      <c r="D645" s="129"/>
      <c r="E645" s="129"/>
      <c r="F645" s="129"/>
      <c r="G645" s="129"/>
      <c r="H645" s="129"/>
      <c r="I645" s="129"/>
      <c r="J645" s="110"/>
      <c r="K645" s="129"/>
      <c r="L645" t="s">
        <v>351</v>
      </c>
      <c r="M645" s="129"/>
      <c r="N645" s="129"/>
      <c r="O645" s="129"/>
      <c r="P645" s="129"/>
      <c r="Q645" s="129"/>
      <c r="R645" s="129"/>
      <c r="S645" s="129"/>
      <c r="T645" s="129"/>
      <c r="U645" s="141"/>
      <c r="V645" s="139"/>
      <c r="W645" s="129"/>
      <c r="X645" s="129"/>
      <c r="Y645" s="129"/>
      <c r="Z645" s="129"/>
      <c r="AA645" s="129"/>
      <c r="AB645" s="115"/>
      <c r="AC645" s="129"/>
      <c r="AD645" s="149"/>
      <c r="AE645" s="129"/>
      <c r="AF645" s="129"/>
      <c r="AG645" s="129"/>
    </row>
    <row r="646" spans="3:33" x14ac:dyDescent="0.35">
      <c r="C646" s="129"/>
      <c r="D646" s="129"/>
      <c r="E646" s="129"/>
      <c r="F646" s="129"/>
      <c r="G646" s="129"/>
      <c r="H646" s="129"/>
      <c r="I646" s="129"/>
      <c r="J646" s="110"/>
      <c r="K646" s="129"/>
      <c r="L646" t="s">
        <v>351</v>
      </c>
      <c r="M646" s="129"/>
      <c r="N646" s="129"/>
      <c r="O646" s="129"/>
      <c r="P646" s="129"/>
      <c r="Q646" s="129"/>
      <c r="R646" s="129"/>
      <c r="S646" s="129"/>
      <c r="T646" s="129"/>
      <c r="U646" s="141"/>
      <c r="V646" s="139"/>
      <c r="W646" s="129"/>
      <c r="X646" s="129"/>
      <c r="Y646" s="129"/>
      <c r="Z646" s="129"/>
      <c r="AA646" s="129"/>
      <c r="AB646" s="115"/>
      <c r="AC646" s="129"/>
      <c r="AD646" s="149"/>
      <c r="AE646" s="129"/>
      <c r="AF646" s="129"/>
      <c r="AG646" s="129"/>
    </row>
    <row r="647" spans="3:33" x14ac:dyDescent="0.35">
      <c r="C647" s="129"/>
      <c r="D647" s="129"/>
      <c r="E647" s="129"/>
      <c r="F647" s="129"/>
      <c r="G647" s="129"/>
      <c r="H647" s="129"/>
      <c r="I647" s="129"/>
      <c r="J647" s="110"/>
      <c r="K647" s="129"/>
      <c r="L647" t="s">
        <v>351</v>
      </c>
      <c r="M647" s="129"/>
      <c r="N647" s="129"/>
      <c r="O647" s="129"/>
      <c r="P647" s="129"/>
      <c r="Q647" s="129"/>
      <c r="R647" s="129"/>
      <c r="S647" s="129"/>
      <c r="T647" s="129"/>
      <c r="U647" s="141"/>
      <c r="V647" s="139"/>
      <c r="W647" s="129"/>
      <c r="X647" s="129"/>
      <c r="Y647" s="129"/>
      <c r="Z647" s="129"/>
      <c r="AA647" s="129"/>
      <c r="AB647" s="115"/>
      <c r="AC647" s="129"/>
      <c r="AD647" s="149"/>
      <c r="AE647" s="129"/>
      <c r="AF647" s="129"/>
      <c r="AG647" s="129"/>
    </row>
    <row r="648" spans="3:33" x14ac:dyDescent="0.35">
      <c r="C648" s="129"/>
      <c r="D648" s="129"/>
      <c r="E648" s="129"/>
      <c r="F648" s="129"/>
      <c r="G648" s="129"/>
      <c r="H648" s="129"/>
      <c r="I648" s="129"/>
      <c r="J648" s="110"/>
      <c r="K648" s="129"/>
      <c r="L648" t="s">
        <v>351</v>
      </c>
      <c r="M648" s="129"/>
      <c r="N648" s="129"/>
      <c r="O648" s="129"/>
      <c r="P648" s="129"/>
      <c r="Q648" s="129"/>
      <c r="R648" s="129"/>
      <c r="S648" s="129"/>
      <c r="T648" s="129"/>
      <c r="U648" s="141"/>
      <c r="V648" s="139"/>
      <c r="W648" s="129"/>
      <c r="X648" s="129"/>
      <c r="Y648" s="129"/>
      <c r="Z648" s="129"/>
      <c r="AA648" s="129"/>
      <c r="AB648" s="115"/>
      <c r="AC648" s="129"/>
      <c r="AD648" s="149"/>
      <c r="AE648" s="129"/>
      <c r="AF648" s="129"/>
      <c r="AG648" s="129"/>
    </row>
    <row r="649" spans="3:33" x14ac:dyDescent="0.35">
      <c r="C649" s="129"/>
      <c r="D649" s="129"/>
      <c r="E649" s="129"/>
      <c r="F649" s="129"/>
      <c r="G649" s="129"/>
      <c r="H649" s="129"/>
      <c r="I649" s="129"/>
      <c r="J649" s="110"/>
      <c r="K649" s="129"/>
      <c r="L649" t="s">
        <v>351</v>
      </c>
      <c r="M649" s="129"/>
      <c r="N649" s="129"/>
      <c r="O649" s="129"/>
      <c r="P649" s="129"/>
      <c r="Q649" s="129"/>
      <c r="R649" s="129"/>
      <c r="S649" s="129"/>
      <c r="T649" s="129"/>
      <c r="U649" s="141"/>
      <c r="V649" s="139"/>
      <c r="W649" s="129"/>
      <c r="X649" s="129"/>
      <c r="Y649" s="129"/>
      <c r="Z649" s="129"/>
      <c r="AA649" s="129"/>
      <c r="AB649" s="115"/>
      <c r="AC649" s="129"/>
      <c r="AD649" s="149"/>
      <c r="AE649" s="129"/>
      <c r="AF649" s="129"/>
      <c r="AG649" s="129"/>
    </row>
    <row r="650" spans="3:33" x14ac:dyDescent="0.35">
      <c r="C650" s="129"/>
      <c r="D650" s="129"/>
      <c r="E650" s="129"/>
      <c r="F650" s="129"/>
      <c r="G650" s="129"/>
      <c r="H650" s="129"/>
      <c r="I650" s="129"/>
      <c r="J650" s="110"/>
      <c r="K650" s="129"/>
      <c r="L650" t="s">
        <v>351</v>
      </c>
      <c r="M650" s="129"/>
      <c r="N650" s="129"/>
      <c r="O650" s="129"/>
      <c r="P650" s="129"/>
      <c r="Q650" s="129"/>
      <c r="R650" s="129"/>
      <c r="S650" s="129"/>
      <c r="T650" s="129"/>
      <c r="U650" s="141"/>
      <c r="V650" s="139"/>
      <c r="W650" s="129"/>
      <c r="X650" s="129"/>
      <c r="Y650" s="129"/>
      <c r="Z650" s="129"/>
      <c r="AA650" s="129"/>
      <c r="AB650" s="115"/>
      <c r="AC650" s="129"/>
      <c r="AD650" s="149"/>
      <c r="AE650" s="129"/>
      <c r="AF650" s="129"/>
      <c r="AG650" s="129"/>
    </row>
    <row r="651" spans="3:33" x14ac:dyDescent="0.35">
      <c r="C651" s="129"/>
      <c r="D651" s="129"/>
      <c r="E651" s="129"/>
      <c r="F651" s="129"/>
      <c r="G651" s="129"/>
      <c r="H651" s="129"/>
      <c r="I651" s="129"/>
      <c r="J651" s="110"/>
      <c r="K651" s="129"/>
      <c r="L651" t="s">
        <v>351</v>
      </c>
      <c r="M651" s="129"/>
      <c r="N651" s="129"/>
      <c r="O651" s="129"/>
      <c r="P651" s="129"/>
      <c r="Q651" s="129"/>
      <c r="R651" s="129"/>
      <c r="S651" s="129"/>
      <c r="T651" s="129"/>
      <c r="U651" s="141"/>
      <c r="V651" s="139"/>
      <c r="W651" s="129"/>
      <c r="X651" s="129"/>
      <c r="Y651" s="129"/>
      <c r="Z651" s="129"/>
      <c r="AA651" s="129"/>
      <c r="AB651" s="115"/>
      <c r="AC651" s="129"/>
      <c r="AD651" s="149"/>
      <c r="AE651" s="129"/>
      <c r="AF651" s="129"/>
      <c r="AG651" s="129"/>
    </row>
    <row r="652" spans="3:33" x14ac:dyDescent="0.35">
      <c r="C652" s="129"/>
      <c r="D652" s="129"/>
      <c r="E652" s="129"/>
      <c r="F652" s="129"/>
      <c r="G652" s="129"/>
      <c r="H652" s="129"/>
      <c r="I652" s="129"/>
      <c r="J652" s="110"/>
      <c r="K652" s="129"/>
      <c r="L652" t="s">
        <v>351</v>
      </c>
      <c r="M652" s="129"/>
      <c r="N652" s="129"/>
      <c r="O652" s="129"/>
      <c r="P652" s="129"/>
      <c r="Q652" s="129"/>
      <c r="R652" s="129"/>
      <c r="S652" s="129"/>
      <c r="T652" s="129"/>
      <c r="U652" s="141"/>
      <c r="V652" s="139"/>
      <c r="W652" s="129"/>
      <c r="X652" s="129"/>
      <c r="Y652" s="129"/>
      <c r="Z652" s="129"/>
      <c r="AA652" s="129"/>
      <c r="AB652" s="115"/>
      <c r="AC652" s="129"/>
      <c r="AD652" s="149"/>
      <c r="AE652" s="129"/>
      <c r="AF652" s="129"/>
      <c r="AG652" s="129"/>
    </row>
    <row r="653" spans="3:33" x14ac:dyDescent="0.35">
      <c r="C653" s="129"/>
      <c r="D653" s="129"/>
      <c r="E653" s="129"/>
      <c r="F653" s="129"/>
      <c r="G653" s="129"/>
      <c r="H653" s="129"/>
      <c r="I653" s="129"/>
      <c r="J653" s="110"/>
      <c r="K653" s="129"/>
      <c r="L653" t="s">
        <v>351</v>
      </c>
      <c r="M653" s="129"/>
      <c r="N653" s="129"/>
      <c r="O653" s="129"/>
      <c r="P653" s="129"/>
      <c r="Q653" s="129"/>
      <c r="R653" s="129"/>
      <c r="S653" s="129"/>
      <c r="T653" s="129"/>
      <c r="U653" s="141"/>
      <c r="V653" s="139"/>
      <c r="W653" s="129"/>
      <c r="X653" s="129"/>
      <c r="Y653" s="129"/>
      <c r="Z653" s="129"/>
      <c r="AA653" s="129"/>
      <c r="AB653" s="115"/>
      <c r="AC653" s="129"/>
      <c r="AD653" s="149"/>
      <c r="AE653" s="129"/>
      <c r="AF653" s="129"/>
      <c r="AG653" s="129"/>
    </row>
    <row r="654" spans="3:33" x14ac:dyDescent="0.35">
      <c r="C654" s="129"/>
      <c r="D654" s="129"/>
      <c r="E654" s="129"/>
      <c r="F654" s="129"/>
      <c r="G654" s="129"/>
      <c r="H654" s="129"/>
      <c r="I654" s="129"/>
      <c r="J654" s="110"/>
      <c r="K654" s="129"/>
      <c r="L654" t="s">
        <v>351</v>
      </c>
      <c r="M654" s="129"/>
      <c r="N654" s="129"/>
      <c r="O654" s="129"/>
      <c r="P654" s="129"/>
      <c r="Q654" s="129"/>
      <c r="R654" s="129"/>
      <c r="S654" s="129"/>
      <c r="T654" s="129"/>
      <c r="U654" s="141"/>
      <c r="V654" s="139"/>
      <c r="W654" s="129"/>
      <c r="X654" s="129"/>
      <c r="Y654" s="129"/>
      <c r="Z654" s="129"/>
      <c r="AA654" s="129"/>
      <c r="AB654" s="115"/>
      <c r="AC654" s="129"/>
      <c r="AD654" s="149"/>
      <c r="AE654" s="129"/>
      <c r="AF654" s="129"/>
      <c r="AG654" s="129"/>
    </row>
    <row r="655" spans="3:33" x14ac:dyDescent="0.35">
      <c r="C655" s="129"/>
      <c r="D655" s="129"/>
      <c r="E655" s="129"/>
      <c r="F655" s="129"/>
      <c r="G655" s="129"/>
      <c r="H655" s="129"/>
      <c r="I655" s="129"/>
      <c r="J655" s="110"/>
      <c r="K655" s="129"/>
      <c r="L655" t="s">
        <v>351</v>
      </c>
      <c r="M655" s="129"/>
      <c r="N655" s="129"/>
      <c r="O655" s="129"/>
      <c r="P655" s="129"/>
      <c r="Q655" s="129"/>
      <c r="R655" s="129"/>
      <c r="S655" s="129"/>
      <c r="T655" s="129"/>
      <c r="U655" s="141"/>
      <c r="V655" s="139"/>
      <c r="W655" s="129"/>
      <c r="X655" s="129"/>
      <c r="Y655" s="129"/>
      <c r="Z655" s="129"/>
      <c r="AA655" s="129"/>
      <c r="AB655" s="115"/>
      <c r="AC655" s="129"/>
      <c r="AD655" s="149"/>
      <c r="AE655" s="129"/>
      <c r="AF655" s="129"/>
      <c r="AG655" s="129"/>
    </row>
    <row r="656" spans="3:33" x14ac:dyDescent="0.35">
      <c r="C656" s="129"/>
      <c r="D656" s="129"/>
      <c r="E656" s="129"/>
      <c r="F656" s="129"/>
      <c r="G656" s="129"/>
      <c r="H656" s="129"/>
      <c r="I656" s="129"/>
      <c r="J656" s="110"/>
      <c r="K656" s="129"/>
      <c r="L656" t="s">
        <v>351</v>
      </c>
      <c r="M656" s="129"/>
      <c r="N656" s="129"/>
      <c r="O656" s="129"/>
      <c r="P656" s="129"/>
      <c r="Q656" s="129"/>
      <c r="R656" s="129"/>
      <c r="S656" s="129"/>
      <c r="T656" s="129"/>
      <c r="U656" s="141"/>
      <c r="V656" s="139"/>
      <c r="W656" s="129"/>
      <c r="X656" s="129"/>
      <c r="Y656" s="129"/>
      <c r="Z656" s="129"/>
      <c r="AA656" s="129"/>
      <c r="AB656" s="115"/>
      <c r="AC656" s="129"/>
      <c r="AD656" s="149"/>
      <c r="AE656" s="129"/>
      <c r="AF656" s="129"/>
      <c r="AG656" s="129"/>
    </row>
    <row r="657" spans="3:33" x14ac:dyDescent="0.35">
      <c r="C657" s="129"/>
      <c r="D657" s="129"/>
      <c r="E657" s="129"/>
      <c r="F657" s="129"/>
      <c r="G657" s="129"/>
      <c r="H657" s="129"/>
      <c r="I657" s="129"/>
      <c r="J657" s="110"/>
      <c r="K657" s="129"/>
      <c r="L657" t="s">
        <v>351</v>
      </c>
      <c r="M657" s="129"/>
      <c r="N657" s="129"/>
      <c r="O657" s="129"/>
      <c r="P657" s="129"/>
      <c r="Q657" s="129"/>
      <c r="R657" s="129"/>
      <c r="S657" s="129"/>
      <c r="T657" s="129"/>
      <c r="U657" s="141"/>
      <c r="V657" s="139"/>
      <c r="W657" s="129"/>
      <c r="X657" s="129"/>
      <c r="Y657" s="129"/>
      <c r="Z657" s="129"/>
      <c r="AA657" s="129"/>
      <c r="AB657" s="115"/>
      <c r="AC657" s="129"/>
      <c r="AD657" s="149"/>
      <c r="AE657" s="129"/>
      <c r="AF657" s="129"/>
      <c r="AG657" s="129"/>
    </row>
    <row r="658" spans="3:33" x14ac:dyDescent="0.35">
      <c r="C658" s="129"/>
      <c r="D658" s="129"/>
      <c r="E658" s="129"/>
      <c r="F658" s="129"/>
      <c r="G658" s="129"/>
      <c r="H658" s="129"/>
      <c r="I658" s="129"/>
      <c r="J658" s="110"/>
      <c r="K658" s="129"/>
      <c r="L658" t="s">
        <v>351</v>
      </c>
      <c r="M658" s="129"/>
      <c r="N658" s="129"/>
      <c r="O658" s="129"/>
      <c r="P658" s="129"/>
      <c r="Q658" s="129"/>
      <c r="R658" s="129"/>
      <c r="S658" s="129"/>
      <c r="T658" s="129"/>
      <c r="U658" s="141"/>
      <c r="V658" s="139"/>
      <c r="W658" s="129"/>
      <c r="X658" s="129"/>
      <c r="Y658" s="129"/>
      <c r="Z658" s="129"/>
      <c r="AA658" s="129"/>
      <c r="AB658" s="115"/>
      <c r="AC658" s="129"/>
      <c r="AD658" s="149"/>
      <c r="AE658" s="129"/>
      <c r="AF658" s="129"/>
      <c r="AG658" s="129"/>
    </row>
    <row r="659" spans="3:33" x14ac:dyDescent="0.35">
      <c r="C659" s="129"/>
      <c r="D659" s="129"/>
      <c r="E659" s="129"/>
      <c r="F659" s="129"/>
      <c r="G659" s="129"/>
      <c r="H659" s="129"/>
      <c r="I659" s="129"/>
      <c r="J659" s="110"/>
      <c r="K659" s="129"/>
      <c r="L659" t="s">
        <v>351</v>
      </c>
      <c r="M659" s="129"/>
      <c r="N659" s="129"/>
      <c r="O659" s="129"/>
      <c r="P659" s="129"/>
      <c r="Q659" s="129"/>
      <c r="R659" s="129"/>
      <c r="S659" s="129"/>
      <c r="T659" s="129"/>
      <c r="U659" s="141"/>
      <c r="V659" s="139"/>
      <c r="W659" s="129"/>
      <c r="X659" s="129"/>
      <c r="Y659" s="129"/>
      <c r="Z659" s="129"/>
      <c r="AA659" s="129"/>
      <c r="AB659" s="115"/>
      <c r="AC659" s="129"/>
      <c r="AD659" s="149"/>
      <c r="AE659" s="129"/>
      <c r="AF659" s="129"/>
      <c r="AG659" s="129"/>
    </row>
    <row r="660" spans="3:33" x14ac:dyDescent="0.35">
      <c r="C660" s="129"/>
      <c r="D660" s="129"/>
      <c r="E660" s="129"/>
      <c r="F660" s="129"/>
      <c r="G660" s="129"/>
      <c r="H660" s="129"/>
      <c r="I660" s="129"/>
      <c r="J660" s="110"/>
      <c r="K660" s="129"/>
      <c r="L660" t="s">
        <v>351</v>
      </c>
      <c r="M660" s="129"/>
      <c r="N660" s="129"/>
      <c r="O660" s="129"/>
      <c r="P660" s="129"/>
      <c r="Q660" s="129"/>
      <c r="R660" s="129"/>
      <c r="S660" s="129"/>
      <c r="T660" s="129"/>
      <c r="U660" s="141"/>
      <c r="V660" s="139"/>
      <c r="W660" s="129"/>
      <c r="X660" s="129"/>
      <c r="Y660" s="129"/>
      <c r="Z660" s="129"/>
      <c r="AA660" s="129"/>
      <c r="AB660" s="115"/>
      <c r="AC660" s="129"/>
      <c r="AD660" s="149"/>
      <c r="AE660" s="129"/>
      <c r="AF660" s="129"/>
      <c r="AG660" s="129"/>
    </row>
    <row r="661" spans="3:33" x14ac:dyDescent="0.35">
      <c r="C661" s="129"/>
      <c r="D661" s="129"/>
      <c r="E661" s="129"/>
      <c r="F661" s="129"/>
      <c r="G661" s="129"/>
      <c r="H661" s="129"/>
      <c r="I661" s="129"/>
      <c r="J661" s="110"/>
      <c r="K661" s="129"/>
      <c r="L661" t="s">
        <v>351</v>
      </c>
      <c r="M661" s="129"/>
      <c r="N661" s="129"/>
      <c r="O661" s="129"/>
      <c r="P661" s="129"/>
      <c r="Q661" s="129"/>
      <c r="R661" s="129"/>
      <c r="S661" s="129"/>
      <c r="T661" s="129"/>
      <c r="U661" s="141"/>
      <c r="V661" s="139"/>
      <c r="W661" s="129"/>
      <c r="X661" s="129"/>
      <c r="Y661" s="129"/>
      <c r="Z661" s="129"/>
      <c r="AA661" s="129"/>
      <c r="AB661" s="115"/>
      <c r="AC661" s="129"/>
      <c r="AD661" s="149"/>
      <c r="AE661" s="129"/>
      <c r="AF661" s="129"/>
      <c r="AG661" s="129"/>
    </row>
    <row r="662" spans="3:33" x14ac:dyDescent="0.35">
      <c r="C662" s="129"/>
      <c r="D662" s="129"/>
      <c r="E662" s="129"/>
      <c r="F662" s="129"/>
      <c r="G662" s="129"/>
      <c r="H662" s="129"/>
      <c r="I662" s="129"/>
      <c r="J662" s="110"/>
      <c r="K662" s="129"/>
      <c r="L662" t="s">
        <v>351</v>
      </c>
      <c r="M662" s="129"/>
      <c r="N662" s="129"/>
      <c r="O662" s="129"/>
      <c r="P662" s="129"/>
      <c r="Q662" s="129"/>
      <c r="R662" s="129"/>
      <c r="S662" s="129"/>
      <c r="T662" s="129"/>
      <c r="U662" s="141"/>
      <c r="V662" s="139"/>
      <c r="W662" s="129"/>
      <c r="X662" s="129"/>
      <c r="Y662" s="129"/>
      <c r="Z662" s="129"/>
      <c r="AA662" s="129"/>
      <c r="AB662" s="115"/>
      <c r="AC662" s="129"/>
      <c r="AD662" s="149"/>
      <c r="AE662" s="129"/>
      <c r="AF662" s="129"/>
      <c r="AG662" s="129"/>
    </row>
    <row r="663" spans="3:33" x14ac:dyDescent="0.35">
      <c r="C663" s="129"/>
      <c r="D663" s="129"/>
      <c r="E663" s="129"/>
      <c r="F663" s="129"/>
      <c r="G663" s="129"/>
      <c r="H663" s="129"/>
      <c r="I663" s="129"/>
      <c r="J663" s="110"/>
      <c r="K663" s="129"/>
      <c r="L663" t="s">
        <v>351</v>
      </c>
      <c r="M663" s="129"/>
      <c r="N663" s="129"/>
      <c r="O663" s="129"/>
      <c r="P663" s="129"/>
      <c r="Q663" s="129"/>
      <c r="R663" s="129"/>
      <c r="S663" s="129"/>
      <c r="T663" s="129"/>
      <c r="U663" s="141"/>
      <c r="V663" s="139"/>
      <c r="W663" s="129"/>
      <c r="X663" s="129"/>
      <c r="Y663" s="129"/>
      <c r="Z663" s="129"/>
      <c r="AA663" s="129"/>
      <c r="AB663" s="115"/>
      <c r="AC663" s="129"/>
      <c r="AD663" s="149"/>
      <c r="AE663" s="129"/>
      <c r="AF663" s="129"/>
      <c r="AG663" s="129"/>
    </row>
    <row r="664" spans="3:33" x14ac:dyDescent="0.35">
      <c r="C664" s="129"/>
      <c r="D664" s="129"/>
      <c r="E664" s="129"/>
      <c r="F664" s="129"/>
      <c r="G664" s="129"/>
      <c r="H664" s="129"/>
      <c r="I664" s="129"/>
      <c r="J664" s="110"/>
      <c r="K664" s="129"/>
      <c r="L664" t="s">
        <v>351</v>
      </c>
      <c r="M664" s="129"/>
      <c r="N664" s="129"/>
      <c r="O664" s="129"/>
      <c r="P664" s="129"/>
      <c r="Q664" s="129"/>
      <c r="R664" s="129"/>
      <c r="S664" s="129"/>
      <c r="T664" s="129"/>
      <c r="U664" s="141"/>
      <c r="V664" s="139"/>
      <c r="W664" s="129"/>
      <c r="X664" s="129"/>
      <c r="Y664" s="129"/>
      <c r="Z664" s="129"/>
      <c r="AA664" s="129"/>
      <c r="AB664" s="115"/>
      <c r="AC664" s="129"/>
      <c r="AD664" s="149"/>
      <c r="AE664" s="129"/>
      <c r="AF664" s="129"/>
      <c r="AG664" s="129"/>
    </row>
    <row r="665" spans="3:33" x14ac:dyDescent="0.35">
      <c r="C665" s="129"/>
      <c r="D665" s="129"/>
      <c r="E665" s="129"/>
      <c r="F665" s="129"/>
      <c r="G665" s="129"/>
      <c r="H665" s="129"/>
      <c r="I665" s="129"/>
      <c r="J665" s="110"/>
      <c r="K665" s="129"/>
      <c r="L665" t="s">
        <v>351</v>
      </c>
      <c r="M665" s="129"/>
      <c r="N665" s="129"/>
      <c r="O665" s="129"/>
      <c r="P665" s="129"/>
      <c r="Q665" s="129"/>
      <c r="R665" s="129"/>
      <c r="S665" s="129"/>
      <c r="T665" s="129"/>
      <c r="U665" s="141"/>
      <c r="V665" s="139"/>
      <c r="W665" s="129"/>
      <c r="X665" s="129"/>
      <c r="Y665" s="129"/>
      <c r="Z665" s="129"/>
      <c r="AA665" s="129"/>
      <c r="AB665" s="115"/>
      <c r="AC665" s="129"/>
      <c r="AD665" s="149"/>
      <c r="AE665" s="129"/>
      <c r="AF665" s="129"/>
      <c r="AG665" s="129"/>
    </row>
    <row r="666" spans="3:33" x14ac:dyDescent="0.35">
      <c r="C666" s="129"/>
      <c r="D666" s="129"/>
      <c r="E666" s="129"/>
      <c r="F666" s="129"/>
      <c r="G666" s="129"/>
      <c r="H666" s="129"/>
      <c r="I666" s="129"/>
      <c r="J666" s="110"/>
      <c r="K666" s="129"/>
      <c r="L666" t="s">
        <v>351</v>
      </c>
      <c r="M666" s="129"/>
      <c r="N666" s="129"/>
      <c r="O666" s="129"/>
      <c r="P666" s="129"/>
      <c r="Q666" s="129"/>
      <c r="R666" s="129"/>
      <c r="S666" s="129"/>
      <c r="T666" s="129"/>
      <c r="U666" s="141"/>
      <c r="V666" s="139"/>
      <c r="W666" s="129"/>
      <c r="X666" s="129"/>
      <c r="Y666" s="129"/>
      <c r="Z666" s="129"/>
      <c r="AA666" s="129"/>
      <c r="AB666" s="115"/>
      <c r="AC666" s="129"/>
      <c r="AD666" s="149"/>
      <c r="AE666" s="129"/>
      <c r="AF666" s="129"/>
      <c r="AG666" s="129"/>
    </row>
    <row r="667" spans="3:33" x14ac:dyDescent="0.35">
      <c r="C667" s="129"/>
      <c r="D667" s="129"/>
      <c r="E667" s="129"/>
      <c r="F667" s="129"/>
      <c r="G667" s="129"/>
      <c r="H667" s="129"/>
      <c r="I667" s="129"/>
      <c r="J667" s="110"/>
      <c r="K667" s="129"/>
      <c r="L667" t="s">
        <v>351</v>
      </c>
      <c r="M667" s="129"/>
      <c r="N667" s="129"/>
      <c r="O667" s="129"/>
      <c r="P667" s="129"/>
      <c r="Q667" s="129"/>
      <c r="R667" s="129"/>
      <c r="S667" s="129"/>
      <c r="T667" s="129"/>
      <c r="U667" s="141"/>
      <c r="V667" s="139"/>
      <c r="W667" s="129"/>
      <c r="X667" s="129"/>
      <c r="Y667" s="129"/>
      <c r="Z667" s="129"/>
      <c r="AA667" s="129"/>
      <c r="AB667" s="115"/>
      <c r="AC667" s="129"/>
      <c r="AD667" s="149"/>
      <c r="AE667" s="129"/>
      <c r="AF667" s="129"/>
      <c r="AG667" s="129"/>
    </row>
    <row r="668" spans="3:33" x14ac:dyDescent="0.35">
      <c r="C668" s="129"/>
      <c r="D668" s="129"/>
      <c r="E668" s="129"/>
      <c r="F668" s="129"/>
      <c r="G668" s="129"/>
      <c r="H668" s="129"/>
      <c r="I668" s="129"/>
      <c r="J668" s="110"/>
      <c r="K668" s="129"/>
      <c r="L668" t="s">
        <v>351</v>
      </c>
      <c r="M668" s="129"/>
      <c r="N668" s="129"/>
      <c r="O668" s="129"/>
      <c r="P668" s="129"/>
      <c r="Q668" s="129"/>
      <c r="R668" s="129"/>
      <c r="S668" s="129"/>
      <c r="T668" s="129"/>
      <c r="U668" s="141"/>
      <c r="V668" s="139"/>
      <c r="W668" s="129"/>
      <c r="X668" s="129"/>
      <c r="Y668" s="129"/>
      <c r="Z668" s="129"/>
      <c r="AA668" s="129"/>
      <c r="AB668" s="115"/>
      <c r="AC668" s="129"/>
      <c r="AD668" s="149"/>
      <c r="AE668" s="129"/>
      <c r="AF668" s="129"/>
      <c r="AG668" s="129"/>
    </row>
    <row r="669" spans="3:33" x14ac:dyDescent="0.35">
      <c r="C669" s="129"/>
      <c r="D669" s="129"/>
      <c r="E669" s="129"/>
      <c r="F669" s="129"/>
      <c r="G669" s="129"/>
      <c r="H669" s="129"/>
      <c r="I669" s="129"/>
      <c r="J669" s="110"/>
      <c r="K669" s="129"/>
      <c r="L669" t="s">
        <v>351</v>
      </c>
      <c r="M669" s="129"/>
      <c r="N669" s="129"/>
      <c r="O669" s="129"/>
      <c r="P669" s="129"/>
      <c r="Q669" s="129"/>
      <c r="R669" s="129"/>
      <c r="S669" s="129"/>
      <c r="T669" s="129"/>
      <c r="U669" s="141"/>
      <c r="V669" s="139"/>
      <c r="W669" s="129"/>
      <c r="X669" s="129"/>
      <c r="Y669" s="129"/>
      <c r="Z669" s="129"/>
      <c r="AA669" s="129"/>
      <c r="AB669" s="115"/>
      <c r="AC669" s="129"/>
      <c r="AD669" s="149"/>
      <c r="AE669" s="129"/>
      <c r="AF669" s="129"/>
      <c r="AG669" s="129"/>
    </row>
    <row r="670" spans="3:33" x14ac:dyDescent="0.35">
      <c r="C670" s="129"/>
      <c r="D670" s="129"/>
      <c r="E670" s="129"/>
      <c r="F670" s="129"/>
      <c r="G670" s="129"/>
      <c r="H670" s="129"/>
      <c r="I670" s="129"/>
      <c r="J670" s="110"/>
      <c r="K670" s="129"/>
      <c r="L670" t="s">
        <v>351</v>
      </c>
      <c r="M670" s="129"/>
      <c r="N670" s="129"/>
      <c r="O670" s="129"/>
      <c r="P670" s="129"/>
      <c r="Q670" s="129"/>
      <c r="R670" s="129"/>
      <c r="S670" s="129"/>
      <c r="T670" s="129"/>
      <c r="U670" s="141"/>
      <c r="V670" s="139"/>
      <c r="W670" s="129"/>
      <c r="X670" s="129"/>
      <c r="Y670" s="129"/>
      <c r="Z670" s="129"/>
      <c r="AA670" s="129"/>
      <c r="AB670" s="115"/>
      <c r="AC670" s="129"/>
      <c r="AD670" s="149"/>
      <c r="AE670" s="129"/>
      <c r="AF670" s="129"/>
      <c r="AG670" s="129"/>
    </row>
    <row r="671" spans="3:33" x14ac:dyDescent="0.35">
      <c r="C671" s="129"/>
      <c r="D671" s="129"/>
      <c r="E671" s="129"/>
      <c r="F671" s="129"/>
      <c r="G671" s="129"/>
      <c r="H671" s="129"/>
      <c r="I671" s="129"/>
      <c r="J671" s="110"/>
      <c r="K671" s="129"/>
      <c r="L671" t="s">
        <v>351</v>
      </c>
      <c r="M671" s="129"/>
      <c r="N671" s="129"/>
      <c r="O671" s="129"/>
      <c r="P671" s="129"/>
      <c r="Q671" s="129"/>
      <c r="R671" s="129"/>
      <c r="S671" s="129"/>
      <c r="T671" s="129"/>
      <c r="U671" s="141"/>
      <c r="V671" s="139"/>
      <c r="W671" s="129"/>
      <c r="X671" s="129"/>
      <c r="Y671" s="129"/>
      <c r="Z671" s="129"/>
      <c r="AA671" s="129"/>
      <c r="AB671" s="115"/>
      <c r="AC671" s="129"/>
      <c r="AD671" s="149"/>
      <c r="AE671" s="129"/>
      <c r="AF671" s="129"/>
      <c r="AG671" s="129"/>
    </row>
    <row r="672" spans="3:33" x14ac:dyDescent="0.35">
      <c r="C672" s="129"/>
      <c r="D672" s="129"/>
      <c r="E672" s="129"/>
      <c r="F672" s="129"/>
      <c r="G672" s="129"/>
      <c r="H672" s="129"/>
      <c r="I672" s="129"/>
      <c r="J672" s="110"/>
      <c r="K672" s="129"/>
      <c r="L672" t="s">
        <v>351</v>
      </c>
      <c r="M672" s="129"/>
      <c r="N672" s="129"/>
      <c r="O672" s="129"/>
      <c r="P672" s="129"/>
      <c r="Q672" s="129"/>
      <c r="R672" s="129"/>
      <c r="S672" s="129"/>
      <c r="T672" s="129"/>
      <c r="U672" s="141"/>
      <c r="V672" s="139"/>
      <c r="W672" s="129"/>
      <c r="X672" s="129"/>
      <c r="Y672" s="129"/>
      <c r="Z672" s="129"/>
      <c r="AA672" s="129"/>
      <c r="AB672" s="115"/>
      <c r="AC672" s="129"/>
      <c r="AD672" s="149"/>
      <c r="AE672" s="129"/>
      <c r="AF672" s="129"/>
      <c r="AG672" s="129"/>
    </row>
    <row r="673" spans="3:33" x14ac:dyDescent="0.35">
      <c r="C673" s="129"/>
      <c r="D673" s="129"/>
      <c r="E673" s="129"/>
      <c r="F673" s="129"/>
      <c r="G673" s="129"/>
      <c r="H673" s="129"/>
      <c r="I673" s="129"/>
      <c r="J673" s="110"/>
      <c r="K673" s="129"/>
      <c r="L673" t="s">
        <v>351</v>
      </c>
      <c r="M673" s="129"/>
      <c r="N673" s="129"/>
      <c r="O673" s="129"/>
      <c r="P673" s="129"/>
      <c r="Q673" s="129"/>
      <c r="R673" s="129"/>
      <c r="S673" s="129"/>
      <c r="T673" s="129"/>
      <c r="U673" s="141"/>
      <c r="V673" s="139"/>
      <c r="W673" s="129"/>
      <c r="X673" s="129"/>
      <c r="Y673" s="129"/>
      <c r="Z673" s="129"/>
      <c r="AA673" s="129"/>
      <c r="AB673" s="115"/>
      <c r="AC673" s="129"/>
      <c r="AD673" s="149"/>
      <c r="AE673" s="129"/>
      <c r="AF673" s="129"/>
      <c r="AG673" s="129"/>
    </row>
    <row r="674" spans="3:33" x14ac:dyDescent="0.35">
      <c r="C674" s="129"/>
      <c r="D674" s="129"/>
      <c r="E674" s="129"/>
      <c r="F674" s="129"/>
      <c r="G674" s="129"/>
      <c r="H674" s="129"/>
      <c r="I674" s="129"/>
      <c r="J674" s="110"/>
      <c r="K674" s="129"/>
      <c r="L674" t="s">
        <v>351</v>
      </c>
      <c r="M674" s="129"/>
      <c r="N674" s="129"/>
      <c r="O674" s="129"/>
      <c r="P674" s="129"/>
      <c r="Q674" s="129"/>
      <c r="R674" s="129"/>
      <c r="S674" s="129"/>
      <c r="T674" s="129"/>
      <c r="U674" s="141"/>
      <c r="V674" s="139"/>
      <c r="W674" s="129"/>
      <c r="X674" s="129"/>
      <c r="Y674" s="129"/>
      <c r="Z674" s="129"/>
      <c r="AA674" s="129"/>
      <c r="AB674" s="115"/>
      <c r="AC674" s="129"/>
      <c r="AD674" s="149"/>
      <c r="AE674" s="129"/>
      <c r="AF674" s="129"/>
      <c r="AG674" s="129"/>
    </row>
    <row r="675" spans="3:33" x14ac:dyDescent="0.35">
      <c r="C675" s="129"/>
      <c r="D675" s="129"/>
      <c r="E675" s="129"/>
      <c r="F675" s="129"/>
      <c r="G675" s="129"/>
      <c r="H675" s="129"/>
      <c r="I675" s="129"/>
      <c r="J675" s="110"/>
      <c r="K675" s="129"/>
      <c r="L675" t="s">
        <v>351</v>
      </c>
      <c r="M675" s="129"/>
      <c r="N675" s="129"/>
      <c r="O675" s="129"/>
      <c r="P675" s="129"/>
      <c r="Q675" s="129"/>
      <c r="R675" s="129"/>
      <c r="S675" s="129"/>
      <c r="T675" s="129"/>
      <c r="U675" s="141"/>
      <c r="V675" s="139"/>
      <c r="W675" s="129"/>
      <c r="X675" s="129"/>
      <c r="Y675" s="129"/>
      <c r="Z675" s="129"/>
      <c r="AA675" s="129"/>
      <c r="AB675" s="115"/>
      <c r="AC675" s="129"/>
      <c r="AD675" s="149"/>
      <c r="AE675" s="129"/>
      <c r="AF675" s="129"/>
      <c r="AG675" s="129"/>
    </row>
    <row r="676" spans="3:33" x14ac:dyDescent="0.35">
      <c r="C676" s="129"/>
      <c r="D676" s="129"/>
      <c r="E676" s="129"/>
      <c r="F676" s="129"/>
      <c r="G676" s="129"/>
      <c r="H676" s="129"/>
      <c r="I676" s="129"/>
      <c r="J676" s="110"/>
      <c r="K676" s="129"/>
      <c r="L676" t="s">
        <v>351</v>
      </c>
      <c r="M676" s="129"/>
      <c r="N676" s="129"/>
      <c r="O676" s="129"/>
      <c r="P676" s="129"/>
      <c r="Q676" s="129"/>
      <c r="R676" s="129"/>
      <c r="S676" s="129"/>
      <c r="T676" s="129"/>
      <c r="U676" s="141"/>
      <c r="V676" s="139"/>
      <c r="W676" s="129"/>
      <c r="X676" s="129"/>
      <c r="Y676" s="129"/>
      <c r="Z676" s="129"/>
      <c r="AA676" s="129"/>
      <c r="AB676" s="115"/>
      <c r="AC676" s="129"/>
      <c r="AD676" s="149"/>
      <c r="AE676" s="129"/>
      <c r="AF676" s="129"/>
      <c r="AG676" s="129"/>
    </row>
    <row r="677" spans="3:33" x14ac:dyDescent="0.35">
      <c r="C677" s="129"/>
      <c r="D677" s="129"/>
      <c r="E677" s="129"/>
      <c r="F677" s="129"/>
      <c r="G677" s="129"/>
      <c r="H677" s="129"/>
      <c r="I677" s="129"/>
      <c r="J677" s="110"/>
      <c r="K677" s="129"/>
      <c r="L677" t="s">
        <v>351</v>
      </c>
      <c r="M677" s="129"/>
      <c r="N677" s="129"/>
      <c r="O677" s="129"/>
      <c r="P677" s="129"/>
      <c r="Q677" s="129"/>
      <c r="R677" s="129"/>
      <c r="S677" s="129"/>
      <c r="T677" s="129"/>
      <c r="U677" s="141"/>
      <c r="V677" s="139"/>
      <c r="W677" s="129"/>
      <c r="X677" s="129"/>
      <c r="Y677" s="129"/>
      <c r="Z677" s="129"/>
      <c r="AA677" s="129"/>
      <c r="AB677" s="115"/>
      <c r="AC677" s="129"/>
      <c r="AD677" s="149"/>
      <c r="AE677" s="129"/>
      <c r="AF677" s="129"/>
      <c r="AG677" s="129"/>
    </row>
    <row r="678" spans="3:33" x14ac:dyDescent="0.35">
      <c r="C678" s="129"/>
      <c r="D678" s="129"/>
      <c r="E678" s="129"/>
      <c r="F678" s="129"/>
      <c r="G678" s="129"/>
      <c r="H678" s="129"/>
      <c r="I678" s="129"/>
      <c r="J678" s="110"/>
      <c r="K678" s="129"/>
      <c r="L678" t="s">
        <v>351</v>
      </c>
      <c r="M678" s="129"/>
      <c r="N678" s="129"/>
      <c r="O678" s="129"/>
      <c r="P678" s="129"/>
      <c r="Q678" s="129"/>
      <c r="R678" s="129"/>
      <c r="S678" s="129"/>
      <c r="T678" s="129"/>
      <c r="U678" s="141"/>
      <c r="V678" s="139"/>
      <c r="W678" s="129"/>
      <c r="X678" s="129"/>
      <c r="Y678" s="129"/>
      <c r="Z678" s="129"/>
      <c r="AA678" s="129"/>
      <c r="AB678" s="115"/>
      <c r="AC678" s="129"/>
      <c r="AD678" s="149"/>
      <c r="AE678" s="129"/>
      <c r="AF678" s="129"/>
      <c r="AG678" s="129"/>
    </row>
    <row r="679" spans="3:33" x14ac:dyDescent="0.35">
      <c r="C679" s="129"/>
      <c r="D679" s="129"/>
      <c r="E679" s="129"/>
      <c r="F679" s="129"/>
      <c r="G679" s="129"/>
      <c r="H679" s="129"/>
      <c r="I679" s="129"/>
      <c r="J679" s="110"/>
      <c r="K679" s="129"/>
      <c r="L679" t="s">
        <v>351</v>
      </c>
      <c r="M679" s="129"/>
      <c r="N679" s="129"/>
      <c r="O679" s="129"/>
      <c r="P679" s="129"/>
      <c r="Q679" s="129"/>
      <c r="R679" s="129"/>
      <c r="S679" s="129"/>
      <c r="T679" s="129"/>
      <c r="U679" s="141"/>
      <c r="V679" s="139"/>
      <c r="W679" s="129"/>
      <c r="X679" s="129"/>
      <c r="Y679" s="129"/>
      <c r="Z679" s="129"/>
      <c r="AA679" s="129"/>
      <c r="AB679" s="115"/>
      <c r="AC679" s="129"/>
      <c r="AD679" s="149"/>
      <c r="AE679" s="129"/>
      <c r="AF679" s="129"/>
      <c r="AG679" s="129"/>
    </row>
    <row r="680" spans="3:33" x14ac:dyDescent="0.35">
      <c r="C680" s="129"/>
      <c r="D680" s="129"/>
      <c r="E680" s="129"/>
      <c r="F680" s="129"/>
      <c r="G680" s="129"/>
      <c r="H680" s="129"/>
      <c r="I680" s="129"/>
      <c r="J680" s="110"/>
      <c r="K680" s="129"/>
      <c r="L680" t="s">
        <v>351</v>
      </c>
      <c r="M680" s="129"/>
      <c r="N680" s="129"/>
      <c r="O680" s="129"/>
      <c r="P680" s="129"/>
      <c r="Q680" s="129"/>
      <c r="R680" s="129"/>
      <c r="S680" s="129"/>
      <c r="T680" s="129"/>
      <c r="U680" s="141"/>
      <c r="V680" s="139"/>
      <c r="W680" s="129"/>
      <c r="X680" s="129"/>
      <c r="Y680" s="129"/>
      <c r="Z680" s="129"/>
      <c r="AA680" s="129"/>
      <c r="AB680" s="115"/>
      <c r="AC680" s="129"/>
      <c r="AD680" s="149"/>
      <c r="AE680" s="129"/>
      <c r="AF680" s="129"/>
      <c r="AG680" s="129"/>
    </row>
    <row r="681" spans="3:33" x14ac:dyDescent="0.35">
      <c r="C681" s="129"/>
      <c r="D681" s="129"/>
      <c r="E681" s="129"/>
      <c r="F681" s="129"/>
      <c r="G681" s="129"/>
      <c r="H681" s="129"/>
      <c r="I681" s="129"/>
      <c r="J681" s="110"/>
      <c r="K681" s="129"/>
      <c r="L681" t="s">
        <v>351</v>
      </c>
      <c r="M681" s="129"/>
      <c r="N681" s="129"/>
      <c r="O681" s="129"/>
      <c r="P681" s="129"/>
      <c r="Q681" s="129"/>
      <c r="R681" s="129"/>
      <c r="S681" s="129"/>
      <c r="T681" s="129"/>
      <c r="U681" s="141"/>
      <c r="V681" s="139"/>
      <c r="W681" s="129"/>
      <c r="X681" s="129"/>
      <c r="Y681" s="129"/>
      <c r="Z681" s="129"/>
      <c r="AA681" s="129"/>
      <c r="AB681" s="115"/>
      <c r="AC681" s="129"/>
      <c r="AD681" s="149"/>
      <c r="AE681" s="129"/>
      <c r="AF681" s="129"/>
      <c r="AG681" s="129"/>
    </row>
    <row r="682" spans="3:33" x14ac:dyDescent="0.35">
      <c r="C682" s="129"/>
      <c r="D682" s="129"/>
      <c r="E682" s="129"/>
      <c r="F682" s="129"/>
      <c r="G682" s="129"/>
      <c r="H682" s="129"/>
      <c r="I682" s="129"/>
      <c r="J682" s="110"/>
      <c r="K682" s="129"/>
      <c r="L682" t="s">
        <v>351</v>
      </c>
      <c r="M682" s="129"/>
      <c r="N682" s="129"/>
      <c r="O682" s="129"/>
      <c r="P682" s="129"/>
      <c r="Q682" s="129"/>
      <c r="R682" s="129"/>
      <c r="S682" s="129"/>
      <c r="T682" s="129"/>
      <c r="U682" s="141"/>
      <c r="V682" s="139"/>
      <c r="W682" s="129"/>
      <c r="X682" s="129"/>
      <c r="Y682" s="129"/>
      <c r="Z682" s="129"/>
      <c r="AA682" s="129"/>
      <c r="AB682" s="115"/>
      <c r="AC682" s="129"/>
      <c r="AD682" s="149"/>
      <c r="AE682" s="129"/>
      <c r="AF682" s="129"/>
      <c r="AG682" s="129"/>
    </row>
    <row r="683" spans="3:33" x14ac:dyDescent="0.35">
      <c r="C683" s="129"/>
      <c r="D683" s="129"/>
      <c r="E683" s="129"/>
      <c r="F683" s="129"/>
      <c r="G683" s="129"/>
      <c r="H683" s="129"/>
      <c r="I683" s="129"/>
      <c r="J683" s="110"/>
      <c r="K683" s="129"/>
      <c r="L683" t="s">
        <v>351</v>
      </c>
      <c r="M683" s="129"/>
      <c r="N683" s="129"/>
      <c r="O683" s="129"/>
      <c r="P683" s="129"/>
      <c r="Q683" s="129"/>
      <c r="R683" s="129"/>
      <c r="S683" s="129"/>
      <c r="T683" s="129"/>
      <c r="U683" s="141"/>
      <c r="V683" s="139"/>
      <c r="W683" s="129"/>
      <c r="X683" s="129"/>
      <c r="Y683" s="129"/>
      <c r="Z683" s="129"/>
      <c r="AA683" s="129"/>
      <c r="AB683" s="115"/>
      <c r="AC683" s="129"/>
      <c r="AD683" s="149"/>
      <c r="AE683" s="129"/>
      <c r="AF683" s="129"/>
      <c r="AG683" s="129"/>
    </row>
    <row r="684" spans="3:33" x14ac:dyDescent="0.35">
      <c r="C684" s="129"/>
      <c r="D684" s="129"/>
      <c r="E684" s="129"/>
      <c r="F684" s="129"/>
      <c r="G684" s="129"/>
      <c r="H684" s="129"/>
      <c r="I684" s="129"/>
      <c r="J684" s="110"/>
      <c r="K684" s="129"/>
      <c r="L684" t="s">
        <v>351</v>
      </c>
      <c r="M684" s="129"/>
      <c r="N684" s="129"/>
      <c r="O684" s="129"/>
      <c r="P684" s="129"/>
      <c r="Q684" s="129"/>
      <c r="R684" s="129"/>
      <c r="S684" s="129"/>
      <c r="T684" s="129"/>
      <c r="U684" s="141"/>
      <c r="V684" s="139"/>
      <c r="W684" s="129"/>
      <c r="X684" s="129"/>
      <c r="Y684" s="129"/>
      <c r="Z684" s="129"/>
      <c r="AA684" s="129"/>
      <c r="AB684" s="115"/>
      <c r="AC684" s="129"/>
      <c r="AD684" s="149"/>
      <c r="AE684" s="129"/>
      <c r="AF684" s="129"/>
      <c r="AG684" s="129"/>
    </row>
    <row r="685" spans="3:33" x14ac:dyDescent="0.35">
      <c r="C685" s="129"/>
      <c r="D685" s="129"/>
      <c r="E685" s="129"/>
      <c r="F685" s="129"/>
      <c r="G685" s="129"/>
      <c r="H685" s="129"/>
      <c r="I685" s="129"/>
      <c r="J685" s="110"/>
      <c r="K685" s="129"/>
      <c r="L685" t="s">
        <v>351</v>
      </c>
      <c r="M685" s="129"/>
      <c r="N685" s="129"/>
      <c r="O685" s="129"/>
      <c r="P685" s="129"/>
      <c r="Q685" s="129"/>
      <c r="R685" s="129"/>
      <c r="S685" s="129"/>
      <c r="T685" s="129"/>
      <c r="U685" s="141"/>
      <c r="V685" s="139"/>
      <c r="W685" s="129"/>
      <c r="X685" s="129"/>
      <c r="Y685" s="129"/>
      <c r="Z685" s="129"/>
      <c r="AA685" s="129"/>
      <c r="AB685" s="115"/>
      <c r="AC685" s="129"/>
      <c r="AD685" s="149"/>
      <c r="AE685" s="129"/>
      <c r="AF685" s="129"/>
      <c r="AG685" s="129"/>
    </row>
    <row r="686" spans="3:33" x14ac:dyDescent="0.35">
      <c r="C686" s="129"/>
      <c r="D686" s="129"/>
      <c r="E686" s="129"/>
      <c r="F686" s="129"/>
      <c r="G686" s="129"/>
      <c r="H686" s="129"/>
      <c r="I686" s="129"/>
      <c r="J686" s="110"/>
      <c r="K686" s="129"/>
      <c r="L686" t="s">
        <v>351</v>
      </c>
      <c r="M686" s="129"/>
      <c r="N686" s="129"/>
      <c r="O686" s="129"/>
      <c r="P686" s="129"/>
      <c r="Q686" s="129"/>
      <c r="R686" s="129"/>
      <c r="S686" s="129"/>
      <c r="T686" s="129"/>
      <c r="U686" s="141"/>
      <c r="V686" s="139"/>
      <c r="W686" s="129"/>
      <c r="X686" s="129"/>
      <c r="Y686" s="129"/>
      <c r="Z686" s="129"/>
      <c r="AA686" s="129"/>
      <c r="AB686" s="115"/>
      <c r="AC686" s="129"/>
      <c r="AD686" s="149"/>
      <c r="AE686" s="129"/>
      <c r="AF686" s="129"/>
      <c r="AG686" s="129"/>
    </row>
    <row r="687" spans="3:33" x14ac:dyDescent="0.35">
      <c r="C687" s="129"/>
      <c r="D687" s="129"/>
      <c r="E687" s="129"/>
      <c r="F687" s="129"/>
      <c r="G687" s="129"/>
      <c r="H687" s="129"/>
      <c r="I687" s="129"/>
      <c r="J687" s="110"/>
      <c r="K687" s="129"/>
      <c r="L687" t="s">
        <v>351</v>
      </c>
      <c r="M687" s="129"/>
      <c r="N687" s="129"/>
      <c r="O687" s="129"/>
      <c r="P687" s="129"/>
      <c r="Q687" s="129"/>
      <c r="R687" s="129"/>
      <c r="S687" s="129"/>
      <c r="T687" s="129"/>
      <c r="U687" s="141"/>
      <c r="V687" s="139"/>
      <c r="W687" s="129"/>
      <c r="X687" s="129"/>
      <c r="Y687" s="129"/>
      <c r="Z687" s="129"/>
      <c r="AA687" s="129"/>
      <c r="AB687" s="115"/>
      <c r="AC687" s="129"/>
      <c r="AD687" s="149"/>
      <c r="AE687" s="129"/>
      <c r="AF687" s="129"/>
      <c r="AG687" s="129"/>
    </row>
    <row r="688" spans="3:33" x14ac:dyDescent="0.35">
      <c r="C688" s="129"/>
      <c r="D688" s="129"/>
      <c r="E688" s="129"/>
      <c r="F688" s="129"/>
      <c r="G688" s="129"/>
      <c r="H688" s="129"/>
      <c r="I688" s="129"/>
      <c r="J688" s="110"/>
      <c r="K688" s="129"/>
      <c r="L688" t="s">
        <v>351</v>
      </c>
      <c r="M688" s="129"/>
      <c r="N688" s="129"/>
      <c r="O688" s="129"/>
      <c r="P688" s="129"/>
      <c r="Q688" s="129"/>
      <c r="R688" s="129"/>
      <c r="S688" s="129"/>
      <c r="T688" s="129"/>
      <c r="U688" s="141"/>
      <c r="V688" s="139"/>
      <c r="W688" s="129"/>
      <c r="X688" s="129"/>
      <c r="Y688" s="129"/>
      <c r="Z688" s="129"/>
      <c r="AA688" s="129"/>
      <c r="AB688" s="115"/>
      <c r="AC688" s="129"/>
      <c r="AD688" s="149"/>
      <c r="AE688" s="129"/>
      <c r="AF688" s="129"/>
      <c r="AG688" s="129"/>
    </row>
    <row r="689" spans="3:33" x14ac:dyDescent="0.35">
      <c r="C689" s="129"/>
      <c r="D689" s="129"/>
      <c r="E689" s="129"/>
      <c r="F689" s="129"/>
      <c r="G689" s="129"/>
      <c r="H689" s="129"/>
      <c r="I689" s="129"/>
      <c r="J689" s="110"/>
      <c r="K689" s="129"/>
      <c r="L689" t="s">
        <v>351</v>
      </c>
      <c r="M689" s="129"/>
      <c r="N689" s="129"/>
      <c r="O689" s="129"/>
      <c r="P689" s="129"/>
      <c r="Q689" s="129"/>
      <c r="R689" s="129"/>
      <c r="S689" s="129"/>
      <c r="T689" s="129"/>
      <c r="U689" s="141"/>
      <c r="V689" s="139"/>
      <c r="W689" s="129"/>
      <c r="X689" s="129"/>
      <c r="Y689" s="129"/>
      <c r="Z689" s="129"/>
      <c r="AA689" s="129"/>
      <c r="AB689" s="115"/>
      <c r="AC689" s="129"/>
      <c r="AD689" s="149"/>
      <c r="AE689" s="129"/>
      <c r="AF689" s="129"/>
      <c r="AG689" s="129"/>
    </row>
    <row r="690" spans="3:33" x14ac:dyDescent="0.35">
      <c r="C690" s="129"/>
      <c r="D690" s="129"/>
      <c r="E690" s="129"/>
      <c r="F690" s="129"/>
      <c r="G690" s="129"/>
      <c r="H690" s="129"/>
      <c r="I690" s="129"/>
      <c r="J690" s="110"/>
      <c r="K690" s="129"/>
      <c r="L690" t="s">
        <v>351</v>
      </c>
      <c r="M690" s="129"/>
      <c r="N690" s="129"/>
      <c r="O690" s="129"/>
      <c r="P690" s="129"/>
      <c r="Q690" s="129"/>
      <c r="R690" s="129"/>
      <c r="S690" s="129"/>
      <c r="T690" s="129"/>
      <c r="U690" s="141"/>
      <c r="V690" s="139"/>
      <c r="W690" s="129"/>
      <c r="X690" s="129"/>
      <c r="Y690" s="129"/>
      <c r="Z690" s="129"/>
      <c r="AA690" s="129"/>
      <c r="AB690" s="115"/>
      <c r="AC690" s="129"/>
      <c r="AD690" s="149"/>
      <c r="AE690" s="129"/>
      <c r="AF690" s="129"/>
      <c r="AG690" s="129"/>
    </row>
    <row r="691" spans="3:33" x14ac:dyDescent="0.35">
      <c r="C691" s="129"/>
      <c r="D691" s="129"/>
      <c r="E691" s="129"/>
      <c r="F691" s="129"/>
      <c r="G691" s="129"/>
      <c r="H691" s="129"/>
      <c r="I691" s="129"/>
      <c r="J691" s="110"/>
      <c r="K691" s="129"/>
      <c r="L691" t="s">
        <v>351</v>
      </c>
      <c r="M691" s="129"/>
      <c r="N691" s="129"/>
      <c r="O691" s="129"/>
      <c r="P691" s="129"/>
      <c r="Q691" s="129"/>
      <c r="R691" s="129"/>
      <c r="S691" s="129"/>
      <c r="T691" s="129"/>
      <c r="U691" s="141"/>
      <c r="V691" s="139"/>
      <c r="W691" s="129"/>
      <c r="X691" s="129"/>
      <c r="Y691" s="129"/>
      <c r="Z691" s="129"/>
      <c r="AA691" s="129"/>
      <c r="AB691" s="115"/>
      <c r="AC691" s="129"/>
      <c r="AD691" s="149"/>
      <c r="AE691" s="129"/>
      <c r="AF691" s="129"/>
      <c r="AG691" s="129"/>
    </row>
    <row r="692" spans="3:33" x14ac:dyDescent="0.35">
      <c r="C692" s="129"/>
      <c r="D692" s="129"/>
      <c r="E692" s="129"/>
      <c r="F692" s="129"/>
      <c r="G692" s="129"/>
      <c r="H692" s="129"/>
      <c r="I692" s="129"/>
      <c r="J692" s="110"/>
      <c r="K692" s="129"/>
      <c r="L692" t="s">
        <v>351</v>
      </c>
      <c r="M692" s="129"/>
      <c r="N692" s="129"/>
      <c r="O692" s="129"/>
      <c r="P692" s="129"/>
      <c r="Q692" s="129"/>
      <c r="R692" s="129"/>
      <c r="S692" s="129"/>
      <c r="T692" s="129"/>
      <c r="U692" s="141"/>
      <c r="V692" s="139"/>
      <c r="W692" s="129"/>
      <c r="X692" s="129"/>
      <c r="Y692" s="129"/>
      <c r="Z692" s="129"/>
      <c r="AA692" s="129"/>
      <c r="AB692" s="115"/>
      <c r="AC692" s="129"/>
      <c r="AD692" s="149"/>
      <c r="AE692" s="129"/>
      <c r="AF692" s="129"/>
      <c r="AG692" s="129"/>
    </row>
    <row r="693" spans="3:33" x14ac:dyDescent="0.35">
      <c r="C693" s="129"/>
      <c r="D693" s="129"/>
      <c r="E693" s="129"/>
      <c r="F693" s="129"/>
      <c r="G693" s="129"/>
      <c r="H693" s="129"/>
      <c r="I693" s="129"/>
      <c r="J693" s="110"/>
      <c r="K693" s="129"/>
      <c r="L693" t="s">
        <v>351</v>
      </c>
      <c r="M693" s="129"/>
      <c r="N693" s="129"/>
      <c r="O693" s="129"/>
      <c r="P693" s="129"/>
      <c r="Q693" s="129"/>
      <c r="R693" s="129"/>
      <c r="S693" s="129"/>
      <c r="T693" s="129"/>
      <c r="U693" s="141"/>
      <c r="V693" s="139"/>
      <c r="W693" s="129"/>
      <c r="X693" s="129"/>
      <c r="Y693" s="129"/>
      <c r="Z693" s="129"/>
      <c r="AA693" s="129"/>
      <c r="AB693" s="115"/>
      <c r="AC693" s="129"/>
      <c r="AD693" s="149"/>
      <c r="AE693" s="129"/>
      <c r="AF693" s="129"/>
      <c r="AG693" s="129"/>
    </row>
    <row r="694" spans="3:33" x14ac:dyDescent="0.35">
      <c r="C694" s="129"/>
      <c r="D694" s="129"/>
      <c r="E694" s="129"/>
      <c r="F694" s="129"/>
      <c r="G694" s="129"/>
      <c r="H694" s="129"/>
      <c r="I694" s="129"/>
      <c r="J694" s="110"/>
      <c r="K694" s="129"/>
      <c r="L694" t="s">
        <v>351</v>
      </c>
      <c r="M694" s="129"/>
      <c r="N694" s="129"/>
      <c r="O694" s="129"/>
      <c r="P694" s="129"/>
      <c r="Q694" s="129"/>
      <c r="R694" s="129"/>
      <c r="S694" s="129"/>
      <c r="T694" s="129"/>
      <c r="U694" s="141"/>
      <c r="V694" s="139"/>
      <c r="W694" s="129"/>
      <c r="X694" s="129"/>
      <c r="Y694" s="129"/>
      <c r="Z694" s="129"/>
      <c r="AA694" s="129"/>
      <c r="AB694" s="115"/>
      <c r="AC694" s="129"/>
      <c r="AD694" s="149"/>
      <c r="AE694" s="129"/>
      <c r="AF694" s="129"/>
      <c r="AG694" s="129"/>
    </row>
    <row r="695" spans="3:33" x14ac:dyDescent="0.35">
      <c r="C695" s="129"/>
      <c r="D695" s="129"/>
      <c r="E695" s="129"/>
      <c r="F695" s="129"/>
      <c r="G695" s="129"/>
      <c r="H695" s="129"/>
      <c r="I695" s="129"/>
      <c r="J695" s="110"/>
      <c r="K695" s="129"/>
      <c r="L695" t="s">
        <v>351</v>
      </c>
      <c r="M695" s="129"/>
      <c r="N695" s="129"/>
      <c r="O695" s="129"/>
      <c r="P695" s="129"/>
      <c r="Q695" s="129"/>
      <c r="R695" s="129"/>
      <c r="S695" s="129"/>
      <c r="T695" s="129"/>
      <c r="U695" s="141"/>
      <c r="V695" s="139"/>
      <c r="W695" s="129"/>
      <c r="X695" s="129"/>
      <c r="Y695" s="129"/>
      <c r="Z695" s="129"/>
      <c r="AA695" s="129"/>
      <c r="AB695" s="115"/>
      <c r="AC695" s="129"/>
      <c r="AD695" s="149"/>
      <c r="AE695" s="129"/>
      <c r="AF695" s="129"/>
      <c r="AG695" s="129"/>
    </row>
    <row r="696" spans="3:33" x14ac:dyDescent="0.35">
      <c r="C696" s="129"/>
      <c r="D696" s="129"/>
      <c r="E696" s="129"/>
      <c r="F696" s="129"/>
      <c r="G696" s="129"/>
      <c r="H696" s="129"/>
      <c r="I696" s="129"/>
      <c r="J696" s="110"/>
      <c r="K696" s="129"/>
      <c r="L696" t="s">
        <v>351</v>
      </c>
      <c r="M696" s="129"/>
      <c r="N696" s="129"/>
      <c r="O696" s="129"/>
      <c r="P696" s="129"/>
      <c r="Q696" s="129"/>
      <c r="R696" s="129"/>
      <c r="S696" s="129"/>
      <c r="T696" s="129"/>
      <c r="U696" s="141"/>
      <c r="V696" s="139"/>
      <c r="W696" s="129"/>
      <c r="X696" s="129"/>
      <c r="Y696" s="129"/>
      <c r="Z696" s="129"/>
      <c r="AA696" s="129"/>
      <c r="AB696" s="115"/>
      <c r="AC696" s="129"/>
      <c r="AD696" s="149"/>
      <c r="AE696" s="129"/>
      <c r="AF696" s="129"/>
      <c r="AG696" s="129"/>
    </row>
    <row r="697" spans="3:33" x14ac:dyDescent="0.35">
      <c r="C697" s="129"/>
      <c r="D697" s="129"/>
      <c r="E697" s="129"/>
      <c r="F697" s="129"/>
      <c r="G697" s="129"/>
      <c r="H697" s="129"/>
      <c r="I697" s="129"/>
      <c r="J697" s="110"/>
      <c r="K697" s="129"/>
      <c r="L697" t="s">
        <v>351</v>
      </c>
      <c r="M697" s="129"/>
      <c r="N697" s="129"/>
      <c r="O697" s="129"/>
      <c r="P697" s="129"/>
      <c r="Q697" s="129"/>
      <c r="R697" s="129"/>
      <c r="S697" s="129"/>
      <c r="T697" s="129"/>
      <c r="U697" s="141"/>
      <c r="V697" s="139"/>
      <c r="W697" s="129"/>
      <c r="X697" s="129"/>
      <c r="Y697" s="129"/>
      <c r="Z697" s="129"/>
      <c r="AA697" s="129"/>
      <c r="AB697" s="115"/>
      <c r="AC697" s="129"/>
      <c r="AD697" s="149"/>
      <c r="AE697" s="129"/>
      <c r="AF697" s="129"/>
      <c r="AG697" s="129"/>
    </row>
    <row r="698" spans="3:33" x14ac:dyDescent="0.35">
      <c r="C698" s="129"/>
      <c r="D698" s="129"/>
      <c r="E698" s="129"/>
      <c r="F698" s="129"/>
      <c r="G698" s="129"/>
      <c r="H698" s="129"/>
      <c r="I698" s="129"/>
      <c r="J698" s="110"/>
      <c r="K698" s="129"/>
      <c r="L698" t="s">
        <v>351</v>
      </c>
      <c r="M698" s="129"/>
      <c r="N698" s="129"/>
      <c r="O698" s="129"/>
      <c r="P698" s="129"/>
      <c r="Q698" s="129"/>
      <c r="R698" s="129"/>
      <c r="S698" s="129"/>
      <c r="T698" s="129"/>
      <c r="U698" s="141"/>
      <c r="V698" s="139"/>
      <c r="W698" s="129"/>
      <c r="X698" s="129"/>
      <c r="Y698" s="129"/>
      <c r="Z698" s="129"/>
      <c r="AA698" s="129"/>
      <c r="AB698" s="115"/>
      <c r="AC698" s="129"/>
      <c r="AD698" s="149"/>
      <c r="AE698" s="129"/>
      <c r="AF698" s="129"/>
      <c r="AG698" s="129"/>
    </row>
    <row r="699" spans="3:33" x14ac:dyDescent="0.35">
      <c r="C699" s="129"/>
      <c r="D699" s="129"/>
      <c r="E699" s="129"/>
      <c r="F699" s="129"/>
      <c r="G699" s="129"/>
      <c r="H699" s="129"/>
      <c r="I699" s="129"/>
      <c r="J699" s="110"/>
      <c r="K699" s="129"/>
      <c r="L699" t="s">
        <v>351</v>
      </c>
      <c r="M699" s="129"/>
      <c r="N699" s="129"/>
      <c r="O699" s="129"/>
      <c r="P699" s="129"/>
      <c r="Q699" s="129"/>
      <c r="R699" s="129"/>
      <c r="S699" s="129"/>
      <c r="T699" s="129"/>
      <c r="U699" s="141"/>
      <c r="V699" s="139"/>
      <c r="W699" s="129"/>
      <c r="X699" s="129"/>
      <c r="Y699" s="129"/>
      <c r="Z699" s="129"/>
      <c r="AA699" s="129"/>
      <c r="AB699" s="115"/>
      <c r="AC699" s="129"/>
      <c r="AD699" s="149"/>
      <c r="AE699" s="129"/>
      <c r="AF699" s="129"/>
      <c r="AG699" s="129"/>
    </row>
    <row r="700" spans="3:33" x14ac:dyDescent="0.35">
      <c r="C700" s="129"/>
      <c r="D700" s="129"/>
      <c r="E700" s="129"/>
      <c r="F700" s="129"/>
      <c r="G700" s="129"/>
      <c r="H700" s="129"/>
      <c r="I700" s="129"/>
      <c r="J700" s="110"/>
      <c r="K700" s="129"/>
      <c r="L700" t="s">
        <v>351</v>
      </c>
      <c r="M700" s="129"/>
      <c r="N700" s="129"/>
      <c r="O700" s="129"/>
      <c r="P700" s="129"/>
      <c r="Q700" s="129"/>
      <c r="R700" s="129"/>
      <c r="S700" s="129"/>
      <c r="T700" s="129"/>
      <c r="U700" s="141"/>
      <c r="V700" s="139"/>
      <c r="W700" s="129"/>
      <c r="X700" s="129"/>
      <c r="Y700" s="129"/>
      <c r="Z700" s="129"/>
      <c r="AA700" s="129"/>
      <c r="AB700" s="115"/>
      <c r="AC700" s="129"/>
      <c r="AD700" s="149"/>
      <c r="AE700" s="129"/>
      <c r="AF700" s="129"/>
      <c r="AG700" s="129"/>
    </row>
    <row r="701" spans="3:33" x14ac:dyDescent="0.35">
      <c r="C701" s="129"/>
      <c r="D701" s="129"/>
      <c r="E701" s="129"/>
      <c r="F701" s="129"/>
      <c r="G701" s="129"/>
      <c r="H701" s="129"/>
      <c r="I701" s="129"/>
      <c r="J701" s="110"/>
      <c r="K701" s="129"/>
      <c r="L701" t="s">
        <v>351</v>
      </c>
      <c r="M701" s="129"/>
      <c r="N701" s="129"/>
      <c r="O701" s="129"/>
      <c r="P701" s="129"/>
      <c r="Q701" s="129"/>
      <c r="R701" s="129"/>
      <c r="S701" s="129"/>
      <c r="T701" s="129"/>
      <c r="U701" s="141"/>
      <c r="V701" s="139"/>
      <c r="W701" s="129"/>
      <c r="X701" s="129"/>
      <c r="Y701" s="129"/>
      <c r="Z701" s="129"/>
      <c r="AA701" s="129"/>
      <c r="AB701" s="115"/>
      <c r="AC701" s="129"/>
      <c r="AD701" s="149"/>
      <c r="AE701" s="129"/>
      <c r="AF701" s="129"/>
      <c r="AG701" s="129"/>
    </row>
    <row r="702" spans="3:33" x14ac:dyDescent="0.35">
      <c r="C702" s="129"/>
      <c r="D702" s="129"/>
      <c r="E702" s="129"/>
      <c r="F702" s="129"/>
      <c r="G702" s="129"/>
      <c r="H702" s="129"/>
      <c r="I702" s="129"/>
      <c r="J702" s="110"/>
      <c r="K702" s="129"/>
      <c r="L702" t="s">
        <v>351</v>
      </c>
      <c r="M702" s="129"/>
      <c r="N702" s="129"/>
      <c r="O702" s="129"/>
      <c r="P702" s="129"/>
      <c r="Q702" s="129"/>
      <c r="R702" s="129"/>
      <c r="S702" s="129"/>
      <c r="T702" s="129"/>
      <c r="U702" s="141"/>
      <c r="V702" s="139"/>
      <c r="W702" s="129"/>
      <c r="X702" s="129"/>
      <c r="Y702" s="129"/>
      <c r="Z702" s="129"/>
      <c r="AA702" s="129"/>
      <c r="AB702" s="115"/>
      <c r="AC702" s="129"/>
      <c r="AD702" s="149"/>
      <c r="AE702" s="129"/>
      <c r="AF702" s="129"/>
      <c r="AG702" s="129"/>
    </row>
    <row r="703" spans="3:33" x14ac:dyDescent="0.35">
      <c r="C703" s="129"/>
      <c r="D703" s="129"/>
      <c r="E703" s="129"/>
      <c r="F703" s="129"/>
      <c r="G703" s="129"/>
      <c r="H703" s="129"/>
      <c r="I703" s="129"/>
      <c r="J703" s="110"/>
      <c r="K703" s="129"/>
      <c r="L703" t="s">
        <v>351</v>
      </c>
      <c r="M703" s="129"/>
      <c r="N703" s="129"/>
      <c r="O703" s="129"/>
      <c r="P703" s="129"/>
      <c r="Q703" s="129"/>
      <c r="R703" s="129"/>
      <c r="S703" s="129"/>
      <c r="T703" s="129"/>
      <c r="U703" s="141"/>
      <c r="V703" s="139"/>
      <c r="W703" s="129"/>
      <c r="X703" s="129"/>
      <c r="Y703" s="129"/>
      <c r="Z703" s="129"/>
      <c r="AA703" s="129"/>
      <c r="AB703" s="115"/>
      <c r="AC703" s="129"/>
      <c r="AD703" s="149"/>
      <c r="AE703" s="129"/>
      <c r="AF703" s="129"/>
      <c r="AG703" s="129"/>
    </row>
    <row r="704" spans="3:33" x14ac:dyDescent="0.35">
      <c r="C704" s="129"/>
      <c r="D704" s="129"/>
      <c r="E704" s="129"/>
      <c r="F704" s="129"/>
      <c r="G704" s="129"/>
      <c r="H704" s="129"/>
      <c r="I704" s="129"/>
      <c r="J704" s="110"/>
      <c r="K704" s="129"/>
      <c r="L704" t="s">
        <v>351</v>
      </c>
      <c r="M704" s="129"/>
      <c r="N704" s="129"/>
      <c r="O704" s="129"/>
      <c r="P704" s="129"/>
      <c r="Q704" s="129"/>
      <c r="R704" s="129"/>
      <c r="S704" s="129"/>
      <c r="T704" s="129"/>
      <c r="U704" s="141"/>
      <c r="V704" s="139"/>
      <c r="W704" s="129"/>
      <c r="X704" s="129"/>
      <c r="Y704" s="129"/>
      <c r="Z704" s="129"/>
      <c r="AA704" s="129"/>
      <c r="AB704" s="115"/>
      <c r="AC704" s="129"/>
      <c r="AD704" s="149"/>
      <c r="AE704" s="129"/>
      <c r="AF704" s="129"/>
      <c r="AG704" s="129"/>
    </row>
    <row r="705" spans="3:33" x14ac:dyDescent="0.35">
      <c r="C705" s="129"/>
      <c r="D705" s="129"/>
      <c r="E705" s="129"/>
      <c r="F705" s="129"/>
      <c r="G705" s="129"/>
      <c r="H705" s="129"/>
      <c r="I705" s="129"/>
      <c r="J705" s="110"/>
      <c r="K705" s="129"/>
      <c r="L705" t="s">
        <v>351</v>
      </c>
      <c r="M705" s="129"/>
      <c r="N705" s="129"/>
      <c r="O705" s="129"/>
      <c r="P705" s="129"/>
      <c r="Q705" s="129"/>
      <c r="R705" s="129"/>
      <c r="S705" s="129"/>
      <c r="T705" s="129"/>
      <c r="U705" s="141"/>
      <c r="V705" s="139"/>
      <c r="W705" s="129"/>
      <c r="X705" s="129"/>
      <c r="Y705" s="129"/>
      <c r="Z705" s="129"/>
      <c r="AA705" s="129"/>
      <c r="AB705" s="115"/>
      <c r="AC705" s="129"/>
      <c r="AD705" s="149"/>
      <c r="AE705" s="129"/>
      <c r="AF705" s="129"/>
      <c r="AG705" s="129"/>
    </row>
    <row r="706" spans="3:33" x14ac:dyDescent="0.35">
      <c r="C706" s="129"/>
      <c r="D706" s="129"/>
      <c r="E706" s="129"/>
      <c r="F706" s="129"/>
      <c r="G706" s="129"/>
      <c r="H706" s="129"/>
      <c r="I706" s="129"/>
      <c r="J706" s="110"/>
      <c r="K706" s="129"/>
      <c r="L706" t="s">
        <v>351</v>
      </c>
      <c r="M706" s="129"/>
      <c r="N706" s="129"/>
      <c r="O706" s="129"/>
      <c r="P706" s="129"/>
      <c r="Q706" s="129"/>
      <c r="R706" s="129"/>
      <c r="S706" s="129"/>
      <c r="T706" s="129"/>
      <c r="U706" s="141"/>
      <c r="V706" s="139"/>
      <c r="W706" s="129"/>
      <c r="X706" s="129"/>
      <c r="Y706" s="129"/>
      <c r="Z706" s="129"/>
      <c r="AA706" s="129"/>
      <c r="AB706" s="115"/>
      <c r="AC706" s="129"/>
      <c r="AD706" s="149"/>
      <c r="AE706" s="129"/>
      <c r="AF706" s="129"/>
      <c r="AG706" s="129"/>
    </row>
    <row r="707" spans="3:33" x14ac:dyDescent="0.35">
      <c r="C707" s="129"/>
      <c r="D707" s="129"/>
      <c r="E707" s="129"/>
      <c r="F707" s="129"/>
      <c r="G707" s="129"/>
      <c r="H707" s="129"/>
      <c r="I707" s="129"/>
      <c r="J707" s="110"/>
      <c r="K707" s="129"/>
      <c r="L707" t="s">
        <v>351</v>
      </c>
      <c r="M707" s="129"/>
      <c r="N707" s="129"/>
      <c r="O707" s="129"/>
      <c r="P707" s="129"/>
      <c r="Q707" s="129"/>
      <c r="R707" s="129"/>
      <c r="S707" s="129"/>
      <c r="T707" s="129"/>
      <c r="U707" s="141"/>
      <c r="V707" s="139"/>
      <c r="W707" s="129"/>
      <c r="X707" s="129"/>
      <c r="Y707" s="129"/>
      <c r="Z707" s="129"/>
      <c r="AA707" s="129"/>
      <c r="AB707" s="115"/>
      <c r="AC707" s="129"/>
      <c r="AD707" s="149"/>
      <c r="AE707" s="129"/>
      <c r="AF707" s="129"/>
      <c r="AG707" s="129"/>
    </row>
    <row r="708" spans="3:33" x14ac:dyDescent="0.35">
      <c r="C708" s="129"/>
      <c r="D708" s="129"/>
      <c r="E708" s="129"/>
      <c r="F708" s="129"/>
      <c r="G708" s="129"/>
      <c r="H708" s="129"/>
      <c r="I708" s="129"/>
      <c r="J708" s="110"/>
      <c r="K708" s="129"/>
      <c r="L708" t="s">
        <v>351</v>
      </c>
      <c r="M708" s="129"/>
      <c r="N708" s="129"/>
      <c r="O708" s="129"/>
      <c r="P708" s="129"/>
      <c r="Q708" s="129"/>
      <c r="R708" s="129"/>
      <c r="S708" s="129"/>
      <c r="T708" s="129"/>
      <c r="U708" s="141"/>
      <c r="V708" s="139"/>
      <c r="W708" s="129"/>
      <c r="X708" s="129"/>
      <c r="Y708" s="129"/>
      <c r="Z708" s="129"/>
      <c r="AA708" s="129"/>
      <c r="AB708" s="115"/>
      <c r="AC708" s="129"/>
      <c r="AD708" s="149"/>
      <c r="AE708" s="129"/>
      <c r="AF708" s="129"/>
      <c r="AG708" s="129"/>
    </row>
    <row r="709" spans="3:33" x14ac:dyDescent="0.35">
      <c r="C709" s="129"/>
      <c r="D709" s="129"/>
      <c r="E709" s="129"/>
      <c r="F709" s="129"/>
      <c r="G709" s="129"/>
      <c r="H709" s="129"/>
      <c r="I709" s="129"/>
      <c r="J709" s="110"/>
      <c r="K709" s="129"/>
      <c r="L709" t="s">
        <v>351</v>
      </c>
      <c r="M709" s="129"/>
      <c r="N709" s="129"/>
      <c r="O709" s="129"/>
      <c r="P709" s="129"/>
      <c r="Q709" s="129"/>
      <c r="R709" s="129"/>
      <c r="S709" s="129"/>
      <c r="T709" s="129"/>
      <c r="U709" s="141"/>
      <c r="V709" s="139"/>
      <c r="W709" s="129"/>
      <c r="X709" s="129"/>
      <c r="Y709" s="129"/>
      <c r="Z709" s="129"/>
      <c r="AA709" s="129"/>
      <c r="AB709" s="115"/>
      <c r="AC709" s="129"/>
      <c r="AD709" s="149"/>
      <c r="AE709" s="129"/>
      <c r="AF709" s="129"/>
      <c r="AG709" s="129"/>
    </row>
    <row r="710" spans="3:33" x14ac:dyDescent="0.35">
      <c r="C710" s="129"/>
      <c r="D710" s="129"/>
      <c r="E710" s="129"/>
      <c r="F710" s="129"/>
      <c r="G710" s="129"/>
      <c r="H710" s="129"/>
      <c r="I710" s="129"/>
      <c r="J710" s="110"/>
      <c r="K710" s="129"/>
      <c r="L710" t="s">
        <v>351</v>
      </c>
      <c r="M710" s="129"/>
      <c r="N710" s="129"/>
      <c r="O710" s="129"/>
      <c r="P710" s="129"/>
      <c r="Q710" s="129"/>
      <c r="R710" s="129"/>
      <c r="S710" s="129"/>
      <c r="T710" s="129"/>
      <c r="U710" s="141"/>
      <c r="V710" s="139"/>
      <c r="W710" s="129"/>
      <c r="X710" s="129"/>
      <c r="Y710" s="129"/>
      <c r="Z710" s="129"/>
      <c r="AA710" s="129"/>
      <c r="AB710" s="115"/>
      <c r="AC710" s="129"/>
      <c r="AD710" s="149"/>
      <c r="AE710" s="129"/>
      <c r="AF710" s="129"/>
      <c r="AG710" s="129"/>
    </row>
    <row r="711" spans="3:33" x14ac:dyDescent="0.35">
      <c r="C711" s="129"/>
      <c r="D711" s="129"/>
      <c r="E711" s="129"/>
      <c r="F711" s="129"/>
      <c r="G711" s="129"/>
      <c r="H711" s="129"/>
      <c r="I711" s="129"/>
      <c r="J711" s="110"/>
      <c r="K711" s="129"/>
      <c r="L711" t="s">
        <v>351</v>
      </c>
      <c r="M711" s="129"/>
      <c r="N711" s="129"/>
      <c r="O711" s="129"/>
      <c r="P711" s="129"/>
      <c r="Q711" s="129"/>
      <c r="R711" s="129"/>
      <c r="S711" s="129"/>
      <c r="T711" s="129"/>
      <c r="U711" s="141"/>
      <c r="V711" s="139"/>
      <c r="W711" s="129"/>
      <c r="X711" s="129"/>
      <c r="Y711" s="129"/>
      <c r="Z711" s="129"/>
      <c r="AA711" s="129"/>
      <c r="AB711" s="115"/>
      <c r="AC711" s="129"/>
      <c r="AD711" s="149"/>
      <c r="AE711" s="129"/>
      <c r="AF711" s="129"/>
      <c r="AG711" s="129"/>
    </row>
    <row r="712" spans="3:33" x14ac:dyDescent="0.35">
      <c r="C712" s="129"/>
      <c r="D712" s="129"/>
      <c r="E712" s="129"/>
      <c r="F712" s="129"/>
      <c r="G712" s="129"/>
      <c r="H712" s="129"/>
      <c r="I712" s="129"/>
      <c r="J712" s="110"/>
      <c r="K712" s="129"/>
      <c r="L712" t="s">
        <v>351</v>
      </c>
      <c r="M712" s="129"/>
      <c r="N712" s="129"/>
      <c r="O712" s="129"/>
      <c r="P712" s="129"/>
      <c r="Q712" s="129"/>
      <c r="R712" s="129"/>
      <c r="S712" s="129"/>
      <c r="T712" s="129"/>
      <c r="U712" s="141"/>
      <c r="V712" s="139"/>
      <c r="W712" s="129"/>
      <c r="X712" s="129"/>
      <c r="Y712" s="129"/>
      <c r="Z712" s="129"/>
      <c r="AA712" s="129"/>
      <c r="AB712" s="115"/>
      <c r="AC712" s="129"/>
      <c r="AD712" s="149"/>
      <c r="AE712" s="129"/>
      <c r="AF712" s="129"/>
      <c r="AG712" s="129"/>
    </row>
    <row r="713" spans="3:33" x14ac:dyDescent="0.35">
      <c r="C713" s="129"/>
      <c r="D713" s="129"/>
      <c r="E713" s="129"/>
      <c r="F713" s="129"/>
      <c r="G713" s="129"/>
      <c r="H713" s="129"/>
      <c r="I713" s="129"/>
      <c r="J713" s="110"/>
      <c r="K713" s="129"/>
      <c r="L713" t="s">
        <v>351</v>
      </c>
      <c r="M713" s="129"/>
      <c r="N713" s="129"/>
      <c r="O713" s="129"/>
      <c r="P713" s="129"/>
      <c r="Q713" s="129"/>
      <c r="R713" s="129"/>
      <c r="S713" s="129"/>
      <c r="T713" s="129"/>
      <c r="U713" s="141"/>
      <c r="V713" s="139"/>
      <c r="W713" s="129"/>
      <c r="X713" s="129"/>
      <c r="Y713" s="129"/>
      <c r="Z713" s="129"/>
      <c r="AA713" s="129"/>
      <c r="AB713" s="115"/>
      <c r="AC713" s="129"/>
      <c r="AD713" s="149"/>
      <c r="AE713" s="129"/>
      <c r="AF713" s="129"/>
      <c r="AG713" s="129"/>
    </row>
    <row r="714" spans="3:33" x14ac:dyDescent="0.35">
      <c r="C714" s="129"/>
      <c r="D714" s="129"/>
      <c r="E714" s="129"/>
      <c r="F714" s="129"/>
      <c r="G714" s="129"/>
      <c r="H714" s="129"/>
      <c r="I714" s="129"/>
      <c r="J714" s="110"/>
      <c r="K714" s="129"/>
      <c r="L714" t="s">
        <v>351</v>
      </c>
      <c r="M714" s="129"/>
      <c r="N714" s="129"/>
      <c r="O714" s="129"/>
      <c r="P714" s="129"/>
      <c r="Q714" s="129"/>
      <c r="R714" s="129"/>
      <c r="S714" s="129"/>
      <c r="T714" s="129"/>
      <c r="U714" s="141"/>
      <c r="V714" s="139"/>
      <c r="W714" s="129"/>
      <c r="X714" s="129"/>
      <c r="Y714" s="129"/>
      <c r="Z714" s="129"/>
      <c r="AA714" s="129"/>
      <c r="AB714" s="115"/>
      <c r="AC714" s="129"/>
      <c r="AD714" s="149"/>
      <c r="AE714" s="129"/>
      <c r="AF714" s="129"/>
      <c r="AG714" s="129"/>
    </row>
    <row r="715" spans="3:33" x14ac:dyDescent="0.35">
      <c r="C715" s="129"/>
      <c r="D715" s="129"/>
      <c r="E715" s="129"/>
      <c r="F715" s="129"/>
      <c r="G715" s="129"/>
      <c r="H715" s="129"/>
      <c r="I715" s="129"/>
      <c r="J715" s="110"/>
      <c r="K715" s="129"/>
      <c r="L715" t="s">
        <v>351</v>
      </c>
      <c r="M715" s="129"/>
      <c r="N715" s="129"/>
      <c r="O715" s="129"/>
      <c r="P715" s="129"/>
      <c r="Q715" s="129"/>
      <c r="R715" s="129"/>
      <c r="S715" s="129"/>
      <c r="T715" s="129"/>
      <c r="U715" s="141"/>
      <c r="V715" s="139"/>
      <c r="W715" s="129"/>
      <c r="X715" s="129"/>
      <c r="Y715" s="129"/>
      <c r="Z715" s="129"/>
      <c r="AA715" s="129"/>
      <c r="AB715" s="115"/>
      <c r="AC715" s="129"/>
      <c r="AD715" s="149"/>
      <c r="AE715" s="129"/>
      <c r="AF715" s="129"/>
      <c r="AG715" s="129"/>
    </row>
    <row r="716" spans="3:33" x14ac:dyDescent="0.35">
      <c r="C716" s="129"/>
      <c r="D716" s="129"/>
      <c r="E716" s="129"/>
      <c r="F716" s="129"/>
      <c r="G716" s="129"/>
      <c r="H716" s="129"/>
      <c r="I716" s="129"/>
      <c r="J716" s="110"/>
      <c r="K716" s="129"/>
      <c r="L716" t="s">
        <v>351</v>
      </c>
      <c r="M716" s="129"/>
      <c r="N716" s="129"/>
      <c r="O716" s="129"/>
      <c r="P716" s="129"/>
      <c r="Q716" s="129"/>
      <c r="R716" s="129"/>
      <c r="S716" s="129"/>
      <c r="T716" s="129"/>
      <c r="U716" s="141"/>
      <c r="V716" s="139"/>
      <c r="W716" s="129"/>
      <c r="X716" s="129"/>
      <c r="Y716" s="129"/>
      <c r="Z716" s="129"/>
      <c r="AA716" s="129"/>
      <c r="AB716" s="115"/>
      <c r="AC716" s="129"/>
      <c r="AD716" s="149"/>
      <c r="AE716" s="129"/>
      <c r="AF716" s="129"/>
      <c r="AG716" s="129"/>
    </row>
    <row r="717" spans="3:33" x14ac:dyDescent="0.35">
      <c r="C717" s="129"/>
      <c r="D717" s="129"/>
      <c r="E717" s="129"/>
      <c r="F717" s="129"/>
      <c r="G717" s="129"/>
      <c r="H717" s="129"/>
      <c r="I717" s="129"/>
      <c r="J717" s="110"/>
      <c r="K717" s="129"/>
      <c r="L717" t="s">
        <v>351</v>
      </c>
      <c r="M717" s="129"/>
      <c r="N717" s="129"/>
      <c r="O717" s="129"/>
      <c r="P717" s="129"/>
      <c r="Q717" s="129"/>
      <c r="R717" s="129"/>
      <c r="S717" s="129"/>
      <c r="T717" s="129"/>
      <c r="U717" s="141"/>
      <c r="V717" s="139"/>
      <c r="W717" s="129"/>
      <c r="X717" s="129"/>
      <c r="Y717" s="129"/>
      <c r="Z717" s="129"/>
      <c r="AA717" s="129"/>
      <c r="AB717" s="115"/>
      <c r="AC717" s="129"/>
      <c r="AD717" s="149"/>
      <c r="AE717" s="129"/>
      <c r="AF717" s="129"/>
      <c r="AG717" s="129"/>
    </row>
    <row r="718" spans="3:33" x14ac:dyDescent="0.35">
      <c r="C718" s="129"/>
      <c r="D718" s="129"/>
      <c r="E718" s="129"/>
      <c r="F718" s="129"/>
      <c r="G718" s="129"/>
      <c r="H718" s="129"/>
      <c r="I718" s="129"/>
      <c r="J718" s="110"/>
      <c r="K718" s="129"/>
      <c r="L718" t="s">
        <v>351</v>
      </c>
      <c r="M718" s="129"/>
      <c r="N718" s="129"/>
      <c r="O718" s="129"/>
      <c r="P718" s="129"/>
      <c r="Q718" s="129"/>
      <c r="R718" s="129"/>
      <c r="S718" s="129"/>
      <c r="T718" s="129"/>
      <c r="U718" s="141"/>
      <c r="V718" s="139"/>
      <c r="W718" s="129"/>
      <c r="X718" s="129"/>
      <c r="Y718" s="129"/>
      <c r="Z718" s="129"/>
      <c r="AA718" s="129"/>
      <c r="AB718" s="115"/>
      <c r="AC718" s="129"/>
      <c r="AD718" s="149"/>
      <c r="AE718" s="129"/>
      <c r="AF718" s="129"/>
      <c r="AG718" s="129"/>
    </row>
    <row r="719" spans="3:33" x14ac:dyDescent="0.35">
      <c r="C719" s="129"/>
      <c r="D719" s="129"/>
      <c r="E719" s="129"/>
      <c r="F719" s="129"/>
      <c r="G719" s="129"/>
      <c r="H719" s="129"/>
      <c r="I719" s="129"/>
      <c r="J719" s="110"/>
      <c r="K719" s="129"/>
      <c r="L719" t="s">
        <v>351</v>
      </c>
      <c r="M719" s="129"/>
      <c r="N719" s="129"/>
      <c r="O719" s="129"/>
      <c r="P719" s="129"/>
      <c r="Q719" s="129"/>
      <c r="R719" s="129"/>
      <c r="S719" s="129"/>
      <c r="T719" s="129"/>
      <c r="U719" s="141"/>
      <c r="V719" s="139"/>
      <c r="W719" s="129"/>
      <c r="X719" s="129"/>
      <c r="Y719" s="129"/>
      <c r="Z719" s="129"/>
      <c r="AA719" s="129"/>
      <c r="AB719" s="115"/>
      <c r="AC719" s="129"/>
      <c r="AD719" s="149"/>
      <c r="AE719" s="129"/>
      <c r="AF719" s="129"/>
      <c r="AG719" s="129"/>
    </row>
    <row r="720" spans="3:33" x14ac:dyDescent="0.35">
      <c r="C720" s="129"/>
      <c r="D720" s="129"/>
      <c r="E720" s="129"/>
      <c r="F720" s="129"/>
      <c r="G720" s="129"/>
      <c r="H720" s="129"/>
      <c r="I720" s="129"/>
      <c r="J720" s="110"/>
      <c r="K720" s="129"/>
      <c r="L720" t="s">
        <v>351</v>
      </c>
      <c r="M720" s="129"/>
      <c r="N720" s="129"/>
      <c r="O720" s="129"/>
      <c r="P720" s="129"/>
      <c r="Q720" s="129"/>
      <c r="R720" s="129"/>
      <c r="S720" s="129"/>
      <c r="T720" s="129"/>
      <c r="U720" s="141"/>
      <c r="V720" s="139"/>
      <c r="W720" s="129"/>
      <c r="X720" s="129"/>
      <c r="Y720" s="129"/>
      <c r="Z720" s="129"/>
      <c r="AA720" s="129"/>
      <c r="AB720" s="115"/>
      <c r="AC720" s="129"/>
      <c r="AD720" s="149"/>
      <c r="AE720" s="129"/>
      <c r="AF720" s="129"/>
      <c r="AG720" s="129"/>
    </row>
    <row r="721" spans="3:33" x14ac:dyDescent="0.35">
      <c r="C721" s="129"/>
      <c r="D721" s="129"/>
      <c r="E721" s="129"/>
      <c r="F721" s="129"/>
      <c r="G721" s="129"/>
      <c r="H721" s="129"/>
      <c r="I721" s="129"/>
      <c r="J721" s="110"/>
      <c r="K721" s="129"/>
      <c r="L721" t="s">
        <v>351</v>
      </c>
      <c r="M721" s="129"/>
      <c r="N721" s="129"/>
      <c r="O721" s="129"/>
      <c r="P721" s="129"/>
      <c r="Q721" s="129"/>
      <c r="R721" s="129"/>
      <c r="S721" s="129"/>
      <c r="T721" s="129"/>
      <c r="U721" s="141"/>
      <c r="V721" s="139"/>
      <c r="W721" s="129"/>
      <c r="X721" s="129"/>
      <c r="Y721" s="129"/>
      <c r="Z721" s="129"/>
      <c r="AA721" s="129"/>
      <c r="AB721" s="115"/>
      <c r="AC721" s="129"/>
      <c r="AD721" s="149"/>
      <c r="AE721" s="129"/>
      <c r="AF721" s="129"/>
      <c r="AG721" s="129"/>
    </row>
    <row r="722" spans="3:33" x14ac:dyDescent="0.35">
      <c r="C722" s="129"/>
      <c r="D722" s="129"/>
      <c r="E722" s="129"/>
      <c r="F722" s="129"/>
      <c r="G722" s="129"/>
      <c r="H722" s="129"/>
      <c r="I722" s="129"/>
      <c r="J722" s="110"/>
      <c r="K722" s="129"/>
      <c r="L722" t="s">
        <v>351</v>
      </c>
      <c r="M722" s="129"/>
      <c r="N722" s="129"/>
      <c r="O722" s="129"/>
      <c r="P722" s="129"/>
      <c r="Q722" s="129"/>
      <c r="R722" s="129"/>
      <c r="S722" s="129"/>
      <c r="T722" s="129"/>
      <c r="U722" s="141"/>
      <c r="V722" s="139"/>
      <c r="W722" s="129"/>
      <c r="X722" s="129"/>
      <c r="Y722" s="129"/>
      <c r="Z722" s="129"/>
      <c r="AA722" s="129"/>
      <c r="AB722" s="115"/>
      <c r="AC722" s="129"/>
      <c r="AD722" s="149"/>
      <c r="AE722" s="129"/>
      <c r="AF722" s="129"/>
      <c r="AG722" s="129"/>
    </row>
    <row r="723" spans="3:33" x14ac:dyDescent="0.35">
      <c r="C723" s="129"/>
      <c r="D723" s="129"/>
      <c r="E723" s="129"/>
      <c r="F723" s="129"/>
      <c r="G723" s="129"/>
      <c r="H723" s="129"/>
      <c r="I723" s="129"/>
      <c r="J723" s="110"/>
      <c r="K723" s="129"/>
      <c r="L723" t="s">
        <v>351</v>
      </c>
      <c r="M723" s="129"/>
      <c r="N723" s="129"/>
      <c r="O723" s="129"/>
      <c r="P723" s="129"/>
      <c r="Q723" s="129"/>
      <c r="R723" s="129"/>
      <c r="S723" s="129"/>
      <c r="T723" s="129"/>
      <c r="U723" s="141"/>
      <c r="V723" s="139"/>
      <c r="W723" s="129"/>
      <c r="X723" s="129"/>
      <c r="Y723" s="129"/>
      <c r="Z723" s="129"/>
      <c r="AA723" s="129"/>
      <c r="AB723" s="115"/>
      <c r="AC723" s="129"/>
      <c r="AD723" s="149"/>
      <c r="AE723" s="129"/>
      <c r="AF723" s="129"/>
      <c r="AG723" s="129"/>
    </row>
    <row r="724" spans="3:33" x14ac:dyDescent="0.35">
      <c r="C724" s="129"/>
      <c r="D724" s="129"/>
      <c r="E724" s="129"/>
      <c r="F724" s="129"/>
      <c r="G724" s="129"/>
      <c r="H724" s="129"/>
      <c r="I724" s="129"/>
      <c r="J724" s="110"/>
      <c r="K724" s="129"/>
      <c r="L724" t="s">
        <v>351</v>
      </c>
      <c r="M724" s="129"/>
      <c r="N724" s="129"/>
      <c r="O724" s="129"/>
      <c r="P724" s="129"/>
      <c r="Q724" s="129"/>
      <c r="R724" s="129"/>
      <c r="S724" s="129"/>
      <c r="T724" s="129"/>
      <c r="U724" s="141"/>
      <c r="V724" s="139"/>
      <c r="W724" s="129"/>
      <c r="X724" s="129"/>
      <c r="Y724" s="129"/>
      <c r="Z724" s="129"/>
      <c r="AA724" s="129"/>
      <c r="AB724" s="115"/>
      <c r="AC724" s="129"/>
      <c r="AD724" s="149"/>
      <c r="AE724" s="129"/>
      <c r="AF724" s="129"/>
      <c r="AG724" s="129"/>
    </row>
    <row r="725" spans="3:33" x14ac:dyDescent="0.35">
      <c r="C725" s="129"/>
      <c r="D725" s="129"/>
      <c r="E725" s="129"/>
      <c r="F725" s="129"/>
      <c r="G725" s="129"/>
      <c r="H725" s="129"/>
      <c r="I725" s="129"/>
      <c r="J725" s="110"/>
      <c r="K725" s="129"/>
      <c r="L725" t="s">
        <v>351</v>
      </c>
      <c r="M725" s="129"/>
      <c r="N725" s="129"/>
      <c r="O725" s="129"/>
      <c r="P725" s="129"/>
      <c r="Q725" s="129"/>
      <c r="R725" s="129"/>
      <c r="S725" s="129"/>
      <c r="T725" s="129"/>
      <c r="U725" s="141"/>
      <c r="V725" s="139"/>
      <c r="W725" s="129"/>
      <c r="X725" s="129"/>
      <c r="Y725" s="129"/>
      <c r="Z725" s="129"/>
      <c r="AA725" s="129"/>
      <c r="AB725" s="115"/>
      <c r="AC725" s="129"/>
      <c r="AD725" s="149"/>
      <c r="AE725" s="129"/>
      <c r="AF725" s="129"/>
      <c r="AG725" s="129"/>
    </row>
    <row r="726" spans="3:33" x14ac:dyDescent="0.35">
      <c r="C726" s="129"/>
      <c r="D726" s="129"/>
      <c r="E726" s="129"/>
      <c r="F726" s="129"/>
      <c r="G726" s="129"/>
      <c r="H726" s="129"/>
      <c r="I726" s="129"/>
      <c r="J726" s="110"/>
      <c r="K726" s="129"/>
      <c r="L726" t="s">
        <v>351</v>
      </c>
      <c r="M726" s="129"/>
      <c r="N726" s="129"/>
      <c r="O726" s="129"/>
      <c r="P726" s="129"/>
      <c r="Q726" s="129"/>
      <c r="R726" s="129"/>
      <c r="S726" s="129"/>
      <c r="T726" s="129"/>
      <c r="U726" s="141"/>
      <c r="V726" s="139"/>
      <c r="W726" s="129"/>
      <c r="X726" s="129"/>
      <c r="Y726" s="129"/>
      <c r="Z726" s="129"/>
      <c r="AA726" s="129"/>
      <c r="AB726" s="115"/>
      <c r="AC726" s="129"/>
      <c r="AD726" s="149"/>
      <c r="AE726" s="129"/>
      <c r="AF726" s="129"/>
      <c r="AG726" s="129"/>
    </row>
    <row r="727" spans="3:33" x14ac:dyDescent="0.35">
      <c r="C727" s="129"/>
      <c r="D727" s="129"/>
      <c r="E727" s="129"/>
      <c r="F727" s="129"/>
      <c r="G727" s="129"/>
      <c r="H727" s="129"/>
      <c r="I727" s="129"/>
      <c r="J727" s="110"/>
      <c r="K727" s="129"/>
      <c r="L727" t="s">
        <v>351</v>
      </c>
      <c r="M727" s="129"/>
      <c r="N727" s="129"/>
      <c r="O727" s="129"/>
      <c r="P727" s="129"/>
      <c r="Q727" s="129"/>
      <c r="R727" s="129"/>
      <c r="S727" s="129"/>
      <c r="T727" s="129"/>
      <c r="U727" s="141"/>
      <c r="V727" s="139"/>
      <c r="W727" s="129"/>
      <c r="X727" s="129"/>
      <c r="Y727" s="129"/>
      <c r="Z727" s="129"/>
      <c r="AA727" s="129"/>
      <c r="AB727" s="115"/>
      <c r="AC727" s="129"/>
      <c r="AD727" s="149"/>
      <c r="AE727" s="129"/>
      <c r="AF727" s="129"/>
      <c r="AG727" s="129"/>
    </row>
    <row r="728" spans="3:33" x14ac:dyDescent="0.35">
      <c r="C728" s="129"/>
      <c r="D728" s="129"/>
      <c r="E728" s="129"/>
      <c r="F728" s="129"/>
      <c r="G728" s="129"/>
      <c r="H728" s="129"/>
      <c r="I728" s="129"/>
      <c r="J728" s="110"/>
      <c r="K728" s="129"/>
      <c r="L728" t="s">
        <v>351</v>
      </c>
      <c r="M728" s="129"/>
      <c r="N728" s="129"/>
      <c r="O728" s="129"/>
      <c r="P728" s="129"/>
      <c r="Q728" s="129"/>
      <c r="R728" s="129"/>
      <c r="S728" s="129"/>
      <c r="T728" s="129"/>
      <c r="U728" s="141"/>
      <c r="V728" s="139"/>
      <c r="W728" s="129"/>
      <c r="X728" s="129"/>
      <c r="Y728" s="129"/>
      <c r="Z728" s="129"/>
      <c r="AA728" s="129"/>
      <c r="AB728" s="115"/>
      <c r="AC728" s="129"/>
      <c r="AD728" s="149"/>
      <c r="AE728" s="129"/>
      <c r="AF728" s="129"/>
      <c r="AG728" s="129"/>
    </row>
    <row r="729" spans="3:33" x14ac:dyDescent="0.35">
      <c r="C729" s="129"/>
      <c r="D729" s="129"/>
      <c r="E729" s="129"/>
      <c r="F729" s="129"/>
      <c r="G729" s="129"/>
      <c r="H729" s="129"/>
      <c r="I729" s="129"/>
      <c r="J729" s="110"/>
      <c r="K729" s="129"/>
      <c r="L729" t="s">
        <v>351</v>
      </c>
      <c r="M729" s="129"/>
      <c r="N729" s="129"/>
      <c r="O729" s="129"/>
      <c r="P729" s="129"/>
      <c r="Q729" s="129"/>
      <c r="R729" s="129"/>
      <c r="S729" s="129"/>
      <c r="T729" s="129"/>
      <c r="U729" s="141"/>
      <c r="V729" s="139"/>
      <c r="W729" s="129"/>
      <c r="X729" s="129"/>
      <c r="Y729" s="129"/>
      <c r="Z729" s="129"/>
      <c r="AA729" s="129"/>
      <c r="AB729" s="115"/>
      <c r="AC729" s="129"/>
      <c r="AD729" s="149"/>
      <c r="AE729" s="129"/>
      <c r="AF729" s="129"/>
      <c r="AG729" s="129"/>
    </row>
    <row r="730" spans="3:33" x14ac:dyDescent="0.35">
      <c r="C730" s="129"/>
      <c r="D730" s="129"/>
      <c r="E730" s="129"/>
      <c r="F730" s="129"/>
      <c r="G730" s="129"/>
      <c r="H730" s="129"/>
      <c r="I730" s="129"/>
      <c r="J730" s="110"/>
      <c r="K730" s="129"/>
      <c r="L730" t="s">
        <v>351</v>
      </c>
      <c r="M730" s="129"/>
      <c r="N730" s="129"/>
      <c r="O730" s="129"/>
      <c r="P730" s="129"/>
      <c r="Q730" s="129"/>
      <c r="R730" s="129"/>
      <c r="S730" s="129"/>
      <c r="T730" s="129"/>
      <c r="U730" s="141"/>
      <c r="V730" s="139"/>
      <c r="W730" s="129"/>
      <c r="X730" s="129"/>
      <c r="Y730" s="129"/>
      <c r="Z730" s="129"/>
      <c r="AA730" s="129"/>
      <c r="AB730" s="115"/>
      <c r="AC730" s="129"/>
      <c r="AD730" s="149"/>
      <c r="AE730" s="129"/>
      <c r="AF730" s="129"/>
      <c r="AG730" s="129"/>
    </row>
    <row r="731" spans="3:33" x14ac:dyDescent="0.35">
      <c r="C731" s="129"/>
      <c r="D731" s="129"/>
      <c r="E731" s="129"/>
      <c r="F731" s="129"/>
      <c r="G731" s="129"/>
      <c r="H731" s="129"/>
      <c r="I731" s="129"/>
      <c r="J731" s="110"/>
      <c r="K731" s="129"/>
      <c r="L731" t="s">
        <v>351</v>
      </c>
      <c r="M731" s="129"/>
      <c r="N731" s="129"/>
      <c r="O731" s="129"/>
      <c r="P731" s="129"/>
      <c r="Q731" s="129"/>
      <c r="R731" s="129"/>
      <c r="S731" s="129"/>
      <c r="T731" s="129"/>
      <c r="U731" s="141"/>
      <c r="V731" s="139"/>
      <c r="W731" s="129"/>
      <c r="X731" s="129"/>
      <c r="Y731" s="129"/>
      <c r="Z731" s="129"/>
      <c r="AA731" s="129"/>
      <c r="AB731" s="115"/>
      <c r="AC731" s="129"/>
      <c r="AD731" s="149"/>
      <c r="AE731" s="129"/>
      <c r="AF731" s="129"/>
      <c r="AG731" s="129"/>
    </row>
    <row r="732" spans="3:33" x14ac:dyDescent="0.35">
      <c r="C732" s="129"/>
      <c r="D732" s="129"/>
      <c r="E732" s="129"/>
      <c r="F732" s="129"/>
      <c r="G732" s="129"/>
      <c r="H732" s="129"/>
      <c r="I732" s="129"/>
      <c r="J732" s="110"/>
      <c r="K732" s="129"/>
      <c r="L732" t="s">
        <v>351</v>
      </c>
      <c r="M732" s="129"/>
      <c r="N732" s="129"/>
      <c r="O732" s="129"/>
      <c r="P732" s="129"/>
      <c r="Q732" s="129"/>
      <c r="R732" s="129"/>
      <c r="S732" s="129"/>
      <c r="T732" s="129"/>
      <c r="U732" s="141"/>
      <c r="V732" s="139"/>
      <c r="W732" s="129"/>
      <c r="X732" s="129"/>
      <c r="Y732" s="129"/>
      <c r="Z732" s="129"/>
      <c r="AA732" s="129"/>
      <c r="AB732" s="115"/>
      <c r="AC732" s="129"/>
      <c r="AD732" s="149"/>
      <c r="AE732" s="129"/>
      <c r="AF732" s="129"/>
      <c r="AG732" s="129"/>
    </row>
    <row r="733" spans="3:33" x14ac:dyDescent="0.35">
      <c r="C733" s="129"/>
      <c r="D733" s="129"/>
      <c r="E733" s="129"/>
      <c r="F733" s="129"/>
      <c r="G733" s="129"/>
      <c r="H733" s="129"/>
      <c r="I733" s="129"/>
      <c r="J733" s="110"/>
      <c r="K733" s="129"/>
      <c r="L733" t="s">
        <v>351</v>
      </c>
      <c r="M733" s="129"/>
      <c r="N733" s="129"/>
      <c r="O733" s="129"/>
      <c r="P733" s="129"/>
      <c r="Q733" s="129"/>
      <c r="R733" s="129"/>
      <c r="S733" s="129"/>
      <c r="T733" s="129"/>
      <c r="U733" s="141"/>
      <c r="V733" s="139"/>
      <c r="W733" s="129"/>
      <c r="X733" s="129"/>
      <c r="Y733" s="129"/>
      <c r="Z733" s="129"/>
      <c r="AA733" s="129"/>
      <c r="AB733" s="115"/>
      <c r="AC733" s="129"/>
      <c r="AD733" s="149"/>
      <c r="AE733" s="129"/>
      <c r="AF733" s="129"/>
      <c r="AG733" s="129"/>
    </row>
    <row r="734" spans="3:33" x14ac:dyDescent="0.35">
      <c r="C734" s="129"/>
      <c r="D734" s="129"/>
      <c r="E734" s="129"/>
      <c r="F734" s="129"/>
      <c r="G734" s="129"/>
      <c r="H734" s="129"/>
      <c r="I734" s="129"/>
      <c r="J734" s="110"/>
      <c r="K734" s="129"/>
      <c r="L734" t="s">
        <v>351</v>
      </c>
      <c r="M734" s="129"/>
      <c r="N734" s="129"/>
      <c r="O734" s="129"/>
      <c r="P734" s="129"/>
      <c r="Q734" s="129"/>
      <c r="R734" s="129"/>
      <c r="S734" s="129"/>
      <c r="T734" s="129"/>
      <c r="U734" s="141"/>
      <c r="V734" s="139"/>
      <c r="W734" s="129"/>
      <c r="X734" s="129"/>
      <c r="Y734" s="129"/>
      <c r="Z734" s="129"/>
      <c r="AA734" s="129"/>
      <c r="AB734" s="115"/>
      <c r="AC734" s="129"/>
      <c r="AD734" s="149"/>
      <c r="AE734" s="129"/>
      <c r="AF734" s="129"/>
      <c r="AG734" s="129"/>
    </row>
    <row r="735" spans="3:33" x14ac:dyDescent="0.35">
      <c r="C735" s="129"/>
      <c r="D735" s="129"/>
      <c r="E735" s="129"/>
      <c r="F735" s="129"/>
      <c r="G735" s="129"/>
      <c r="H735" s="129"/>
      <c r="I735" s="129"/>
      <c r="J735" s="110"/>
      <c r="K735" s="129"/>
      <c r="L735" t="s">
        <v>351</v>
      </c>
      <c r="M735" s="129"/>
      <c r="N735" s="129"/>
      <c r="O735" s="129"/>
      <c r="P735" s="129"/>
      <c r="Q735" s="129"/>
      <c r="R735" s="129"/>
      <c r="S735" s="129"/>
      <c r="T735" s="129"/>
      <c r="U735" s="141"/>
      <c r="V735" s="139"/>
      <c r="W735" s="129"/>
      <c r="X735" s="129"/>
      <c r="Y735" s="129"/>
      <c r="Z735" s="129"/>
      <c r="AA735" s="129"/>
      <c r="AB735" s="115"/>
      <c r="AC735" s="129"/>
      <c r="AD735" s="149"/>
      <c r="AE735" s="129"/>
      <c r="AF735" s="129"/>
      <c r="AG735" s="129"/>
    </row>
    <row r="736" spans="3:33" x14ac:dyDescent="0.35">
      <c r="C736" s="129"/>
      <c r="D736" s="129"/>
      <c r="E736" s="129"/>
      <c r="F736" s="129"/>
      <c r="G736" s="129"/>
      <c r="H736" s="129"/>
      <c r="I736" s="129"/>
      <c r="J736" s="110"/>
      <c r="K736" s="129"/>
      <c r="L736" t="s">
        <v>351</v>
      </c>
      <c r="M736" s="129"/>
      <c r="N736" s="129"/>
      <c r="O736" s="129"/>
      <c r="P736" s="129"/>
      <c r="Q736" s="129"/>
      <c r="R736" s="129"/>
      <c r="S736" s="129"/>
      <c r="T736" s="129"/>
      <c r="U736" s="141"/>
      <c r="V736" s="139"/>
      <c r="W736" s="129"/>
      <c r="X736" s="129"/>
      <c r="Y736" s="129"/>
      <c r="Z736" s="129"/>
      <c r="AA736" s="129"/>
      <c r="AB736" s="115"/>
      <c r="AC736" s="129"/>
      <c r="AD736" s="149"/>
      <c r="AE736" s="129"/>
      <c r="AF736" s="129"/>
      <c r="AG736" s="129"/>
    </row>
    <row r="737" spans="3:33" x14ac:dyDescent="0.35">
      <c r="C737" s="129"/>
      <c r="D737" s="129"/>
      <c r="E737" s="129"/>
      <c r="F737" s="129"/>
      <c r="G737" s="129"/>
      <c r="H737" s="129"/>
      <c r="I737" s="129"/>
      <c r="J737" s="110"/>
      <c r="K737" s="129"/>
      <c r="L737" t="s">
        <v>351</v>
      </c>
      <c r="M737" s="129"/>
      <c r="N737" s="129"/>
      <c r="O737" s="129"/>
      <c r="P737" s="129"/>
      <c r="Q737" s="129"/>
      <c r="R737" s="129"/>
      <c r="S737" s="129"/>
      <c r="T737" s="129"/>
      <c r="U737" s="141"/>
      <c r="V737" s="139"/>
      <c r="W737" s="129"/>
      <c r="X737" s="129"/>
      <c r="Y737" s="129"/>
      <c r="Z737" s="129"/>
      <c r="AA737" s="129"/>
      <c r="AB737" s="115"/>
      <c r="AC737" s="129"/>
      <c r="AD737" s="149"/>
      <c r="AE737" s="129"/>
      <c r="AF737" s="129"/>
      <c r="AG737" s="129"/>
    </row>
    <row r="738" spans="3:33" x14ac:dyDescent="0.35">
      <c r="C738" s="129"/>
      <c r="D738" s="129"/>
      <c r="E738" s="129"/>
      <c r="F738" s="129"/>
      <c r="G738" s="129"/>
      <c r="H738" s="129"/>
      <c r="I738" s="129"/>
      <c r="J738" s="110"/>
      <c r="K738" s="129"/>
      <c r="L738" t="s">
        <v>351</v>
      </c>
      <c r="M738" s="129"/>
      <c r="N738" s="129"/>
      <c r="O738" s="129"/>
      <c r="P738" s="129"/>
      <c r="Q738" s="129"/>
      <c r="R738" s="129"/>
      <c r="S738" s="129"/>
      <c r="T738" s="129"/>
      <c r="U738" s="141"/>
      <c r="V738" s="139"/>
      <c r="W738" s="129"/>
      <c r="X738" s="129"/>
      <c r="Y738" s="129"/>
      <c r="Z738" s="129"/>
      <c r="AA738" s="129"/>
      <c r="AB738" s="115"/>
      <c r="AC738" s="129"/>
      <c r="AD738" s="149"/>
      <c r="AE738" s="129"/>
      <c r="AF738" s="129"/>
      <c r="AG738" s="129"/>
    </row>
    <row r="739" spans="3:33" x14ac:dyDescent="0.35">
      <c r="C739" s="129"/>
      <c r="D739" s="129"/>
      <c r="E739" s="129"/>
      <c r="F739" s="129"/>
      <c r="G739" s="129"/>
      <c r="H739" s="129"/>
      <c r="I739" s="129"/>
      <c r="J739" s="110"/>
      <c r="K739" s="129"/>
      <c r="L739" t="s">
        <v>351</v>
      </c>
      <c r="M739" s="129"/>
      <c r="N739" s="129"/>
      <c r="O739" s="129"/>
      <c r="P739" s="129"/>
      <c r="Q739" s="129"/>
      <c r="R739" s="129"/>
      <c r="S739" s="129"/>
      <c r="T739" s="129"/>
      <c r="U739" s="141"/>
      <c r="V739" s="139"/>
      <c r="W739" s="129"/>
      <c r="X739" s="129"/>
      <c r="Y739" s="129"/>
      <c r="Z739" s="129"/>
      <c r="AA739" s="129"/>
      <c r="AB739" s="115"/>
      <c r="AC739" s="129"/>
      <c r="AD739" s="149"/>
      <c r="AE739" s="129"/>
      <c r="AF739" s="129"/>
      <c r="AG739" s="129"/>
    </row>
    <row r="740" spans="3:33" x14ac:dyDescent="0.35">
      <c r="C740" s="129"/>
      <c r="D740" s="129"/>
      <c r="E740" s="129"/>
      <c r="F740" s="129"/>
      <c r="G740" s="129"/>
      <c r="H740" s="129"/>
      <c r="I740" s="129"/>
      <c r="J740" s="110"/>
      <c r="K740" s="129"/>
      <c r="L740" t="s">
        <v>351</v>
      </c>
      <c r="M740" s="129"/>
      <c r="N740" s="129"/>
      <c r="O740" s="129"/>
      <c r="P740" s="129"/>
      <c r="Q740" s="129"/>
      <c r="R740" s="129"/>
      <c r="S740" s="129"/>
      <c r="T740" s="129"/>
      <c r="U740" s="141"/>
      <c r="V740" s="139"/>
      <c r="W740" s="129"/>
      <c r="X740" s="129"/>
      <c r="Y740" s="129"/>
      <c r="Z740" s="129"/>
      <c r="AA740" s="129"/>
      <c r="AB740" s="115"/>
      <c r="AC740" s="129"/>
      <c r="AD740" s="149"/>
      <c r="AE740" s="129"/>
      <c r="AF740" s="129"/>
      <c r="AG740" s="129"/>
    </row>
    <row r="741" spans="3:33" x14ac:dyDescent="0.35">
      <c r="C741" s="129"/>
      <c r="D741" s="129"/>
      <c r="E741" s="129"/>
      <c r="F741" s="129"/>
      <c r="G741" s="129"/>
      <c r="H741" s="129"/>
      <c r="I741" s="129"/>
      <c r="J741" s="110"/>
      <c r="K741" s="129"/>
      <c r="L741" t="s">
        <v>351</v>
      </c>
      <c r="M741" s="129"/>
      <c r="N741" s="129"/>
      <c r="O741" s="129"/>
      <c r="P741" s="129"/>
      <c r="Q741" s="129"/>
      <c r="R741" s="129"/>
      <c r="S741" s="129"/>
      <c r="T741" s="129"/>
      <c r="U741" s="141"/>
      <c r="V741" s="139"/>
      <c r="W741" s="129"/>
      <c r="X741" s="129"/>
      <c r="Y741" s="129"/>
      <c r="Z741" s="129"/>
      <c r="AA741" s="129"/>
      <c r="AB741" s="115"/>
      <c r="AC741" s="129"/>
      <c r="AD741" s="149"/>
      <c r="AE741" s="129"/>
      <c r="AF741" s="129"/>
      <c r="AG741" s="129"/>
    </row>
    <row r="742" spans="3:33" x14ac:dyDescent="0.35">
      <c r="C742" s="129"/>
      <c r="D742" s="129"/>
      <c r="E742" s="129"/>
      <c r="F742" s="129"/>
      <c r="G742" s="129"/>
      <c r="H742" s="129"/>
      <c r="I742" s="129"/>
      <c r="J742" s="110"/>
      <c r="K742" s="129"/>
      <c r="L742" t="s">
        <v>351</v>
      </c>
      <c r="M742" s="129"/>
      <c r="N742" s="129"/>
      <c r="O742" s="129"/>
      <c r="P742" s="129"/>
      <c r="Q742" s="129"/>
      <c r="R742" s="129"/>
      <c r="S742" s="129"/>
      <c r="T742" s="129"/>
      <c r="U742" s="141"/>
      <c r="V742" s="139"/>
      <c r="W742" s="129"/>
      <c r="X742" s="129"/>
      <c r="Y742" s="129"/>
      <c r="Z742" s="129"/>
      <c r="AA742" s="129"/>
      <c r="AB742" s="115"/>
      <c r="AC742" s="129"/>
      <c r="AD742" s="149"/>
      <c r="AE742" s="129"/>
      <c r="AF742" s="129"/>
      <c r="AG742" s="129"/>
    </row>
    <row r="743" spans="3:33" x14ac:dyDescent="0.35">
      <c r="C743" s="129"/>
      <c r="D743" s="129"/>
      <c r="E743" s="129"/>
      <c r="F743" s="129"/>
      <c r="G743" s="129"/>
      <c r="H743" s="129"/>
      <c r="I743" s="129"/>
      <c r="J743" s="110"/>
      <c r="K743" s="129"/>
      <c r="L743" t="s">
        <v>351</v>
      </c>
      <c r="M743" s="129"/>
      <c r="N743" s="129"/>
      <c r="O743" s="129"/>
      <c r="P743" s="129"/>
      <c r="Q743" s="129"/>
      <c r="R743" s="129"/>
      <c r="S743" s="129"/>
      <c r="T743" s="129"/>
      <c r="U743" s="141"/>
      <c r="V743" s="139"/>
      <c r="W743" s="129"/>
      <c r="X743" s="129"/>
      <c r="Y743" s="129"/>
      <c r="Z743" s="129"/>
      <c r="AA743" s="129"/>
      <c r="AB743" s="115"/>
      <c r="AC743" s="129"/>
      <c r="AD743" s="149"/>
      <c r="AE743" s="129"/>
      <c r="AF743" s="129"/>
      <c r="AG743" s="129"/>
    </row>
    <row r="744" spans="3:33" x14ac:dyDescent="0.35">
      <c r="C744" s="129"/>
      <c r="D744" s="129"/>
      <c r="E744" s="129"/>
      <c r="F744" s="129"/>
      <c r="G744" s="129"/>
      <c r="H744" s="129"/>
      <c r="I744" s="129"/>
      <c r="J744" s="110"/>
      <c r="K744" s="129"/>
      <c r="L744" t="s">
        <v>351</v>
      </c>
      <c r="M744" s="129"/>
      <c r="N744" s="129"/>
      <c r="O744" s="129"/>
      <c r="P744" s="129"/>
      <c r="Q744" s="129"/>
      <c r="R744" s="129"/>
      <c r="S744" s="129"/>
      <c r="T744" s="129"/>
      <c r="U744" s="141"/>
      <c r="V744" s="139"/>
      <c r="W744" s="129"/>
      <c r="X744" s="129"/>
      <c r="Y744" s="129"/>
      <c r="Z744" s="129"/>
      <c r="AA744" s="129"/>
      <c r="AB744" s="115"/>
      <c r="AC744" s="129"/>
      <c r="AD744" s="149"/>
      <c r="AE744" s="129"/>
      <c r="AF744" s="129"/>
      <c r="AG744" s="129"/>
    </row>
    <row r="745" spans="3:33" x14ac:dyDescent="0.35">
      <c r="C745" s="129"/>
      <c r="D745" s="129"/>
      <c r="E745" s="129"/>
      <c r="F745" s="129"/>
      <c r="G745" s="129"/>
      <c r="H745" s="129"/>
      <c r="I745" s="129"/>
      <c r="J745" s="110"/>
      <c r="K745" s="129"/>
      <c r="L745" t="s">
        <v>351</v>
      </c>
      <c r="M745" s="129"/>
      <c r="N745" s="129"/>
      <c r="O745" s="129"/>
      <c r="P745" s="129"/>
      <c r="Q745" s="129"/>
      <c r="R745" s="129"/>
      <c r="S745" s="129"/>
      <c r="T745" s="129"/>
      <c r="U745" s="141"/>
      <c r="V745" s="139"/>
      <c r="W745" s="129"/>
      <c r="X745" s="129"/>
      <c r="Y745" s="129"/>
      <c r="Z745" s="129"/>
      <c r="AA745" s="129"/>
      <c r="AB745" s="115"/>
      <c r="AC745" s="129"/>
      <c r="AD745" s="149"/>
      <c r="AE745" s="129"/>
      <c r="AF745" s="129"/>
      <c r="AG745" s="129"/>
    </row>
    <row r="746" spans="3:33" x14ac:dyDescent="0.35">
      <c r="C746" s="129"/>
      <c r="D746" s="129"/>
      <c r="E746" s="129"/>
      <c r="F746" s="129"/>
      <c r="G746" s="129"/>
      <c r="H746" s="129"/>
      <c r="I746" s="129"/>
      <c r="J746" s="110"/>
      <c r="K746" s="129"/>
      <c r="L746" t="s">
        <v>351</v>
      </c>
      <c r="M746" s="129"/>
      <c r="N746" s="129"/>
      <c r="O746" s="129"/>
      <c r="P746" s="129"/>
      <c r="Q746" s="129"/>
      <c r="R746" s="129"/>
      <c r="S746" s="129"/>
      <c r="T746" s="129"/>
      <c r="U746" s="141"/>
      <c r="V746" s="139"/>
      <c r="W746" s="129"/>
      <c r="X746" s="129"/>
      <c r="Y746" s="129"/>
      <c r="Z746" s="129"/>
      <c r="AA746" s="129"/>
      <c r="AB746" s="115"/>
      <c r="AC746" s="129"/>
      <c r="AD746" s="149"/>
      <c r="AE746" s="129"/>
      <c r="AF746" s="129"/>
      <c r="AG746" s="129"/>
    </row>
    <row r="747" spans="3:33" x14ac:dyDescent="0.35">
      <c r="C747" s="129"/>
      <c r="D747" s="129"/>
      <c r="E747" s="129"/>
      <c r="F747" s="129"/>
      <c r="G747" s="129"/>
      <c r="H747" s="129"/>
      <c r="I747" s="129"/>
      <c r="J747" s="110"/>
      <c r="K747" s="129"/>
      <c r="L747" t="s">
        <v>351</v>
      </c>
      <c r="M747" s="129"/>
      <c r="N747" s="129"/>
      <c r="O747" s="129"/>
      <c r="P747" s="129"/>
      <c r="Q747" s="129"/>
      <c r="R747" s="129"/>
      <c r="S747" s="129"/>
      <c r="T747" s="129"/>
      <c r="U747" s="141"/>
      <c r="V747" s="139"/>
      <c r="W747" s="129"/>
      <c r="X747" s="129"/>
      <c r="Y747" s="129"/>
      <c r="Z747" s="129"/>
      <c r="AA747" s="129"/>
      <c r="AB747" s="115"/>
      <c r="AC747" s="129"/>
      <c r="AD747" s="149"/>
      <c r="AE747" s="129"/>
      <c r="AF747" s="129"/>
      <c r="AG747" s="129"/>
    </row>
    <row r="748" spans="3:33" x14ac:dyDescent="0.35">
      <c r="C748" s="129"/>
      <c r="D748" s="129"/>
      <c r="E748" s="129"/>
      <c r="F748" s="129"/>
      <c r="G748" s="129"/>
      <c r="H748" s="129"/>
      <c r="I748" s="129"/>
      <c r="J748" s="110"/>
      <c r="K748" s="129"/>
      <c r="L748" t="s">
        <v>351</v>
      </c>
      <c r="M748" s="129"/>
      <c r="N748" s="129"/>
      <c r="O748" s="129"/>
      <c r="P748" s="129"/>
      <c r="Q748" s="129"/>
      <c r="R748" s="129"/>
      <c r="S748" s="129"/>
      <c r="T748" s="129"/>
      <c r="U748" s="141"/>
      <c r="V748" s="139"/>
      <c r="W748" s="129"/>
      <c r="X748" s="129"/>
      <c r="Y748" s="129"/>
      <c r="Z748" s="129"/>
      <c r="AA748" s="129"/>
      <c r="AB748" s="115"/>
      <c r="AC748" s="129"/>
      <c r="AD748" s="149"/>
      <c r="AE748" s="129"/>
      <c r="AF748" s="129"/>
      <c r="AG748" s="129"/>
    </row>
    <row r="749" spans="3:33" x14ac:dyDescent="0.35">
      <c r="C749" s="129"/>
      <c r="D749" s="129"/>
      <c r="E749" s="129"/>
      <c r="F749" s="129"/>
      <c r="G749" s="129"/>
      <c r="H749" s="129"/>
      <c r="I749" s="129"/>
      <c r="J749" s="110"/>
      <c r="K749" s="129"/>
      <c r="L749" t="s">
        <v>351</v>
      </c>
      <c r="M749" s="129"/>
      <c r="N749" s="129"/>
      <c r="O749" s="129"/>
      <c r="P749" s="129"/>
      <c r="Q749" s="129"/>
      <c r="R749" s="129"/>
      <c r="S749" s="129"/>
      <c r="T749" s="129"/>
      <c r="U749" s="141"/>
      <c r="V749" s="139"/>
      <c r="W749" s="129"/>
      <c r="X749" s="129"/>
      <c r="Y749" s="129"/>
      <c r="Z749" s="129"/>
      <c r="AA749" s="129"/>
      <c r="AB749" s="115"/>
      <c r="AC749" s="129"/>
      <c r="AD749" s="149"/>
      <c r="AE749" s="129"/>
      <c r="AF749" s="129"/>
      <c r="AG749" s="129"/>
    </row>
    <row r="750" spans="3:33" x14ac:dyDescent="0.35">
      <c r="C750" s="129"/>
      <c r="D750" s="129"/>
      <c r="E750" s="129"/>
      <c r="F750" s="129"/>
      <c r="G750" s="129"/>
      <c r="H750" s="129"/>
      <c r="I750" s="129"/>
      <c r="J750" s="110"/>
      <c r="K750" s="129"/>
      <c r="L750" t="s">
        <v>351</v>
      </c>
      <c r="M750" s="129"/>
      <c r="N750" s="129"/>
      <c r="O750" s="129"/>
      <c r="P750" s="129"/>
      <c r="Q750" s="129"/>
      <c r="R750" s="129"/>
      <c r="S750" s="129"/>
      <c r="T750" s="129"/>
      <c r="U750" s="141"/>
      <c r="V750" s="139"/>
      <c r="W750" s="129"/>
      <c r="X750" s="129"/>
      <c r="Y750" s="129"/>
      <c r="Z750" s="129"/>
      <c r="AA750" s="129"/>
      <c r="AB750" s="115"/>
      <c r="AC750" s="129"/>
      <c r="AD750" s="149"/>
      <c r="AE750" s="129"/>
      <c r="AF750" s="129"/>
      <c r="AG750" s="129"/>
    </row>
    <row r="751" spans="3:33" x14ac:dyDescent="0.35">
      <c r="C751" s="129"/>
      <c r="D751" s="129"/>
      <c r="E751" s="129"/>
      <c r="F751" s="129"/>
      <c r="G751" s="129"/>
      <c r="H751" s="129"/>
      <c r="I751" s="129"/>
      <c r="J751" s="110"/>
      <c r="K751" s="129"/>
      <c r="L751" t="s">
        <v>351</v>
      </c>
      <c r="M751" s="129"/>
      <c r="N751" s="129"/>
      <c r="O751" s="129"/>
      <c r="P751" s="129"/>
      <c r="Q751" s="129"/>
      <c r="R751" s="129"/>
      <c r="S751" s="129"/>
      <c r="T751" s="129"/>
      <c r="U751" s="141"/>
      <c r="V751" s="139"/>
      <c r="W751" s="129"/>
      <c r="X751" s="129"/>
      <c r="Y751" s="129"/>
      <c r="Z751" s="129"/>
      <c r="AA751" s="129"/>
      <c r="AB751" s="115"/>
      <c r="AC751" s="129"/>
      <c r="AD751" s="149"/>
      <c r="AE751" s="129"/>
      <c r="AF751" s="129"/>
      <c r="AG751" s="129"/>
    </row>
    <row r="752" spans="3:33" x14ac:dyDescent="0.35">
      <c r="C752" s="129"/>
      <c r="D752" s="129"/>
      <c r="E752" s="129"/>
      <c r="F752" s="129"/>
      <c r="G752" s="129"/>
      <c r="H752" s="129"/>
      <c r="I752" s="129"/>
      <c r="J752" s="110"/>
      <c r="K752" s="129"/>
      <c r="L752" t="s">
        <v>351</v>
      </c>
      <c r="M752" s="129"/>
      <c r="N752" s="129"/>
      <c r="O752" s="129"/>
      <c r="P752" s="129"/>
      <c r="Q752" s="129"/>
      <c r="R752" s="129"/>
      <c r="S752" s="129"/>
      <c r="T752" s="129"/>
      <c r="U752" s="141"/>
      <c r="V752" s="139"/>
      <c r="W752" s="129"/>
      <c r="X752" s="129"/>
      <c r="Y752" s="129"/>
      <c r="Z752" s="129"/>
      <c r="AA752" s="129"/>
      <c r="AB752" s="115"/>
      <c r="AC752" s="129"/>
      <c r="AD752" s="149"/>
      <c r="AE752" s="129"/>
      <c r="AF752" s="129"/>
      <c r="AG752" s="129"/>
    </row>
    <row r="753" spans="3:33" x14ac:dyDescent="0.35">
      <c r="C753" s="129"/>
      <c r="D753" s="129"/>
      <c r="E753" s="129"/>
      <c r="F753" s="129"/>
      <c r="G753" s="129"/>
      <c r="H753" s="129"/>
      <c r="I753" s="129"/>
      <c r="J753" s="110"/>
      <c r="K753" s="129"/>
      <c r="L753" t="s">
        <v>351</v>
      </c>
      <c r="M753" s="129"/>
      <c r="N753" s="129"/>
      <c r="O753" s="129"/>
      <c r="P753" s="129"/>
      <c r="Q753" s="129"/>
      <c r="R753" s="129"/>
      <c r="S753" s="129"/>
      <c r="T753" s="129"/>
      <c r="U753" s="141"/>
      <c r="V753" s="139"/>
      <c r="W753" s="129"/>
      <c r="X753" s="129"/>
      <c r="Y753" s="129"/>
      <c r="Z753" s="129"/>
      <c r="AA753" s="129"/>
      <c r="AB753" s="115"/>
      <c r="AC753" s="129"/>
      <c r="AD753" s="149"/>
      <c r="AE753" s="129"/>
      <c r="AF753" s="129"/>
      <c r="AG753" s="129"/>
    </row>
    <row r="754" spans="3:33" x14ac:dyDescent="0.35">
      <c r="C754" s="129"/>
      <c r="D754" s="129"/>
      <c r="E754" s="129"/>
      <c r="F754" s="129"/>
      <c r="G754" s="129"/>
      <c r="H754" s="129"/>
      <c r="I754" s="129"/>
      <c r="J754" s="110"/>
      <c r="K754" s="129"/>
      <c r="L754" t="s">
        <v>351</v>
      </c>
      <c r="M754" s="129"/>
      <c r="N754" s="129"/>
      <c r="O754" s="129"/>
      <c r="P754" s="129"/>
      <c r="Q754" s="129"/>
      <c r="R754" s="129"/>
      <c r="S754" s="129"/>
      <c r="T754" s="129"/>
      <c r="U754" s="141"/>
      <c r="V754" s="139"/>
      <c r="W754" s="129"/>
      <c r="X754" s="129"/>
      <c r="Y754" s="129"/>
      <c r="Z754" s="129"/>
      <c r="AA754" s="129"/>
      <c r="AB754" s="115"/>
      <c r="AC754" s="129"/>
      <c r="AD754" s="149"/>
      <c r="AE754" s="129"/>
      <c r="AF754" s="129"/>
      <c r="AG754" s="129"/>
    </row>
    <row r="755" spans="3:33" x14ac:dyDescent="0.35">
      <c r="C755" s="129"/>
      <c r="D755" s="129"/>
      <c r="E755" s="129"/>
      <c r="F755" s="129"/>
      <c r="G755" s="129"/>
      <c r="H755" s="129"/>
      <c r="I755" s="129"/>
      <c r="J755" s="110"/>
      <c r="K755" s="129"/>
      <c r="L755" t="s">
        <v>351</v>
      </c>
      <c r="M755" s="129"/>
      <c r="N755" s="129"/>
      <c r="O755" s="129"/>
      <c r="P755" s="129"/>
      <c r="Q755" s="129"/>
      <c r="R755" s="129"/>
      <c r="S755" s="129"/>
      <c r="T755" s="129"/>
      <c r="U755" s="141"/>
      <c r="V755" s="139"/>
      <c r="W755" s="129"/>
      <c r="X755" s="129"/>
      <c r="Y755" s="129"/>
      <c r="Z755" s="129"/>
      <c r="AA755" s="129"/>
      <c r="AB755" s="115"/>
      <c r="AC755" s="129"/>
      <c r="AD755" s="149"/>
      <c r="AE755" s="129"/>
      <c r="AF755" s="129"/>
      <c r="AG755" s="129"/>
    </row>
    <row r="756" spans="3:33" x14ac:dyDescent="0.35">
      <c r="C756" s="129"/>
      <c r="D756" s="129"/>
      <c r="E756" s="129"/>
      <c r="F756" s="129"/>
      <c r="G756" s="129"/>
      <c r="H756" s="129"/>
      <c r="I756" s="129"/>
      <c r="J756" s="110"/>
      <c r="K756" s="129"/>
      <c r="L756" t="s">
        <v>351</v>
      </c>
      <c r="M756" s="129"/>
      <c r="N756" s="129"/>
      <c r="O756" s="129"/>
      <c r="P756" s="129"/>
      <c r="Q756" s="129"/>
      <c r="R756" s="129"/>
      <c r="S756" s="129"/>
      <c r="T756" s="129"/>
      <c r="U756" s="141"/>
      <c r="V756" s="139"/>
      <c r="W756" s="129"/>
      <c r="X756" s="129"/>
      <c r="Y756" s="129"/>
      <c r="Z756" s="129"/>
      <c r="AA756" s="129"/>
      <c r="AB756" s="115"/>
      <c r="AC756" s="129"/>
      <c r="AD756" s="149"/>
      <c r="AE756" s="129"/>
      <c r="AF756" s="129"/>
      <c r="AG756" s="129"/>
    </row>
    <row r="757" spans="3:33" x14ac:dyDescent="0.35">
      <c r="C757" s="129"/>
      <c r="D757" s="129"/>
      <c r="E757" s="129"/>
      <c r="F757" s="129"/>
      <c r="G757" s="129"/>
      <c r="H757" s="129"/>
      <c r="I757" s="129"/>
      <c r="J757" s="110"/>
      <c r="K757" s="129"/>
      <c r="L757" t="s">
        <v>351</v>
      </c>
      <c r="M757" s="129"/>
      <c r="N757" s="129"/>
      <c r="O757" s="129"/>
      <c r="P757" s="129"/>
      <c r="Q757" s="129"/>
      <c r="R757" s="129"/>
      <c r="S757" s="129"/>
      <c r="T757" s="129"/>
      <c r="U757" s="141"/>
      <c r="V757" s="139"/>
      <c r="W757" s="129"/>
      <c r="X757" s="129"/>
      <c r="Y757" s="129"/>
      <c r="Z757" s="129"/>
      <c r="AA757" s="129"/>
      <c r="AB757" s="115"/>
      <c r="AC757" s="129"/>
      <c r="AD757" s="149"/>
      <c r="AE757" s="129"/>
      <c r="AF757" s="129"/>
      <c r="AG757" s="129"/>
    </row>
    <row r="758" spans="3:33" x14ac:dyDescent="0.35">
      <c r="C758" s="129"/>
      <c r="D758" s="129"/>
      <c r="E758" s="129"/>
      <c r="F758" s="129"/>
      <c r="G758" s="129"/>
      <c r="H758" s="129"/>
      <c r="I758" s="129"/>
      <c r="J758" s="110"/>
      <c r="K758" s="129"/>
      <c r="L758" t="s">
        <v>351</v>
      </c>
      <c r="M758" s="129"/>
      <c r="N758" s="129"/>
      <c r="O758" s="129"/>
      <c r="P758" s="129"/>
      <c r="Q758" s="129"/>
      <c r="R758" s="129"/>
      <c r="S758" s="129"/>
      <c r="T758" s="129"/>
      <c r="U758" s="141"/>
      <c r="V758" s="139"/>
      <c r="W758" s="129"/>
      <c r="X758" s="129"/>
      <c r="Y758" s="129"/>
      <c r="Z758" s="129"/>
      <c r="AA758" s="129"/>
      <c r="AB758" s="115"/>
      <c r="AC758" s="129"/>
      <c r="AD758" s="149"/>
      <c r="AE758" s="129"/>
      <c r="AF758" s="129"/>
      <c r="AG758" s="129"/>
    </row>
    <row r="759" spans="3:33" x14ac:dyDescent="0.35">
      <c r="C759" s="129"/>
      <c r="D759" s="129"/>
      <c r="E759" s="129"/>
      <c r="F759" s="129"/>
      <c r="G759" s="129"/>
      <c r="H759" s="129"/>
      <c r="I759" s="129"/>
      <c r="J759" s="110"/>
      <c r="K759" s="129"/>
      <c r="L759" t="s">
        <v>351</v>
      </c>
      <c r="M759" s="129"/>
      <c r="N759" s="129"/>
      <c r="O759" s="129"/>
      <c r="P759" s="129"/>
      <c r="Q759" s="129"/>
      <c r="R759" s="129"/>
      <c r="S759" s="129"/>
      <c r="T759" s="129"/>
      <c r="U759" s="141"/>
      <c r="V759" s="139"/>
      <c r="W759" s="129"/>
      <c r="X759" s="129"/>
      <c r="Y759" s="129"/>
      <c r="Z759" s="129"/>
      <c r="AA759" s="129"/>
      <c r="AB759" s="115"/>
      <c r="AC759" s="129"/>
      <c r="AD759" s="149"/>
      <c r="AE759" s="129"/>
      <c r="AF759" s="129"/>
      <c r="AG759" s="129"/>
    </row>
    <row r="760" spans="3:33" x14ac:dyDescent="0.35">
      <c r="C760" s="129"/>
      <c r="D760" s="129"/>
      <c r="E760" s="129"/>
      <c r="F760" s="129"/>
      <c r="G760" s="129"/>
      <c r="H760" s="129"/>
      <c r="I760" s="129"/>
      <c r="J760" s="110"/>
      <c r="K760" s="129"/>
      <c r="L760" t="s">
        <v>351</v>
      </c>
      <c r="M760" s="129"/>
      <c r="N760" s="129"/>
      <c r="O760" s="129"/>
      <c r="P760" s="129"/>
      <c r="Q760" s="129"/>
      <c r="R760" s="129"/>
      <c r="S760" s="129"/>
      <c r="T760" s="129"/>
      <c r="U760" s="141"/>
      <c r="V760" s="139"/>
      <c r="W760" s="129"/>
      <c r="X760" s="129"/>
      <c r="Y760" s="129"/>
      <c r="Z760" s="129"/>
      <c r="AA760" s="129"/>
      <c r="AB760" s="115"/>
      <c r="AC760" s="129"/>
      <c r="AD760" s="149"/>
      <c r="AE760" s="129"/>
      <c r="AF760" s="129"/>
      <c r="AG760" s="129"/>
    </row>
    <row r="761" spans="3:33" x14ac:dyDescent="0.35">
      <c r="C761" s="129"/>
      <c r="D761" s="129"/>
      <c r="E761" s="129"/>
      <c r="F761" s="129"/>
      <c r="G761" s="129"/>
      <c r="H761" s="129"/>
      <c r="I761" s="129"/>
      <c r="J761" s="110"/>
      <c r="K761" s="129"/>
      <c r="L761" t="s">
        <v>351</v>
      </c>
      <c r="M761" s="129"/>
      <c r="N761" s="129"/>
      <c r="O761" s="129"/>
      <c r="P761" s="129"/>
      <c r="Q761" s="129"/>
      <c r="R761" s="129"/>
      <c r="S761" s="129"/>
      <c r="T761" s="129"/>
      <c r="U761" s="141"/>
      <c r="V761" s="139"/>
      <c r="W761" s="129"/>
      <c r="X761" s="129"/>
      <c r="Y761" s="129"/>
      <c r="Z761" s="129"/>
      <c r="AA761" s="129"/>
      <c r="AB761" s="115"/>
      <c r="AC761" s="129"/>
      <c r="AD761" s="149"/>
      <c r="AE761" s="129"/>
      <c r="AF761" s="129"/>
      <c r="AG761" s="129"/>
    </row>
    <row r="762" spans="3:33" x14ac:dyDescent="0.35">
      <c r="C762" s="129"/>
      <c r="D762" s="129"/>
      <c r="E762" s="129"/>
      <c r="F762" s="129"/>
      <c r="G762" s="129"/>
      <c r="H762" s="129"/>
      <c r="I762" s="129"/>
      <c r="J762" s="110"/>
      <c r="K762" s="129"/>
      <c r="L762" t="s">
        <v>351</v>
      </c>
      <c r="M762" s="129"/>
      <c r="N762" s="129"/>
      <c r="O762" s="129"/>
      <c r="P762" s="129"/>
      <c r="Q762" s="129"/>
      <c r="R762" s="129"/>
      <c r="S762" s="129"/>
      <c r="T762" s="129"/>
      <c r="U762" s="141"/>
      <c r="V762" s="139"/>
      <c r="W762" s="129"/>
      <c r="X762" s="129"/>
      <c r="Y762" s="129"/>
      <c r="Z762" s="129"/>
      <c r="AA762" s="129"/>
      <c r="AB762" s="115"/>
      <c r="AC762" s="129"/>
      <c r="AD762" s="149"/>
      <c r="AE762" s="129"/>
      <c r="AF762" s="129"/>
      <c r="AG762" s="129"/>
    </row>
    <row r="763" spans="3:33" x14ac:dyDescent="0.35">
      <c r="C763" s="129"/>
      <c r="D763" s="129"/>
      <c r="E763" s="129"/>
      <c r="F763" s="129"/>
      <c r="G763" s="129"/>
      <c r="H763" s="129"/>
      <c r="I763" s="129"/>
      <c r="J763" s="110"/>
      <c r="K763" s="129"/>
      <c r="L763" t="s">
        <v>351</v>
      </c>
      <c r="M763" s="129"/>
      <c r="N763" s="129"/>
      <c r="O763" s="129"/>
      <c r="P763" s="129"/>
      <c r="Q763" s="129"/>
      <c r="R763" s="129"/>
      <c r="S763" s="129"/>
      <c r="T763" s="129"/>
      <c r="U763" s="141"/>
      <c r="V763" s="139"/>
      <c r="W763" s="129"/>
      <c r="X763" s="129"/>
      <c r="Y763" s="129"/>
      <c r="Z763" s="129"/>
      <c r="AA763" s="129"/>
      <c r="AB763" s="115"/>
      <c r="AC763" s="129"/>
      <c r="AD763" s="149"/>
      <c r="AE763" s="129"/>
      <c r="AF763" s="129"/>
      <c r="AG763" s="129"/>
    </row>
    <row r="764" spans="3:33" x14ac:dyDescent="0.35">
      <c r="C764" s="129"/>
      <c r="D764" s="129"/>
      <c r="E764" s="129"/>
      <c r="F764" s="129"/>
      <c r="G764" s="129"/>
      <c r="H764" s="129"/>
      <c r="I764" s="129"/>
      <c r="J764" s="110"/>
      <c r="K764" s="129"/>
      <c r="L764" t="s">
        <v>351</v>
      </c>
      <c r="M764" s="129"/>
      <c r="N764" s="129"/>
      <c r="O764" s="129"/>
      <c r="P764" s="129"/>
      <c r="Q764" s="129"/>
      <c r="R764" s="129"/>
      <c r="S764" s="129"/>
      <c r="T764" s="129"/>
      <c r="U764" s="141"/>
      <c r="V764" s="139"/>
      <c r="W764" s="129"/>
      <c r="X764" s="129"/>
      <c r="Y764" s="129"/>
      <c r="Z764" s="129"/>
      <c r="AA764" s="129"/>
      <c r="AB764" s="115"/>
      <c r="AC764" s="129"/>
      <c r="AD764" s="149"/>
      <c r="AE764" s="129"/>
      <c r="AF764" s="129"/>
      <c r="AG764" s="129"/>
    </row>
    <row r="765" spans="3:33" x14ac:dyDescent="0.35">
      <c r="C765" s="129"/>
      <c r="D765" s="129"/>
      <c r="E765" s="129"/>
      <c r="F765" s="129"/>
      <c r="G765" s="129"/>
      <c r="H765" s="129"/>
      <c r="I765" s="129"/>
      <c r="J765" s="110"/>
      <c r="K765" s="129"/>
      <c r="L765" t="s">
        <v>351</v>
      </c>
      <c r="M765" s="129"/>
      <c r="N765" s="129"/>
      <c r="O765" s="129"/>
      <c r="P765" s="129"/>
      <c r="Q765" s="129"/>
      <c r="R765" s="129"/>
      <c r="S765" s="129"/>
      <c r="T765" s="129"/>
      <c r="U765" s="141"/>
      <c r="V765" s="139"/>
      <c r="W765" s="129"/>
      <c r="X765" s="129"/>
      <c r="Y765" s="129"/>
      <c r="Z765" s="129"/>
      <c r="AA765" s="129"/>
      <c r="AB765" s="115"/>
      <c r="AC765" s="129"/>
      <c r="AD765" s="149"/>
      <c r="AE765" s="129"/>
      <c r="AF765" s="129"/>
      <c r="AG765" s="129"/>
    </row>
    <row r="766" spans="3:33" x14ac:dyDescent="0.35">
      <c r="C766" s="129"/>
      <c r="D766" s="129"/>
      <c r="E766" s="129"/>
      <c r="F766" s="129"/>
      <c r="G766" s="129"/>
      <c r="H766" s="129"/>
      <c r="I766" s="129"/>
      <c r="J766" s="110"/>
      <c r="K766" s="129"/>
      <c r="L766" t="s">
        <v>351</v>
      </c>
      <c r="M766" s="129"/>
      <c r="N766" s="129"/>
      <c r="O766" s="129"/>
      <c r="P766" s="129"/>
      <c r="Q766" s="129"/>
      <c r="R766" s="129"/>
      <c r="S766" s="129"/>
      <c r="T766" s="129"/>
      <c r="U766" s="141"/>
      <c r="V766" s="139"/>
      <c r="W766" s="129"/>
      <c r="X766" s="129"/>
      <c r="Y766" s="129"/>
      <c r="Z766" s="129"/>
      <c r="AA766" s="129"/>
      <c r="AB766" s="115"/>
      <c r="AC766" s="129"/>
      <c r="AD766" s="149"/>
      <c r="AE766" s="129"/>
      <c r="AF766" s="129"/>
      <c r="AG766" s="129"/>
    </row>
    <row r="767" spans="3:33" x14ac:dyDescent="0.35">
      <c r="C767" s="129"/>
      <c r="D767" s="129"/>
      <c r="E767" s="129"/>
      <c r="F767" s="129"/>
      <c r="G767" s="129"/>
      <c r="H767" s="129"/>
      <c r="I767" s="129"/>
      <c r="J767" s="110"/>
      <c r="K767" s="129"/>
      <c r="L767" t="s">
        <v>351</v>
      </c>
      <c r="M767" s="129"/>
      <c r="N767" s="129"/>
      <c r="O767" s="129"/>
      <c r="P767" s="129"/>
      <c r="Q767" s="129"/>
      <c r="R767" s="129"/>
      <c r="S767" s="129"/>
      <c r="T767" s="129"/>
      <c r="U767" s="141"/>
      <c r="V767" s="139"/>
      <c r="W767" s="129"/>
      <c r="X767" s="129"/>
      <c r="Y767" s="129"/>
      <c r="Z767" s="129"/>
      <c r="AA767" s="129"/>
      <c r="AB767" s="115"/>
      <c r="AC767" s="129"/>
      <c r="AD767" s="149"/>
      <c r="AE767" s="129"/>
      <c r="AF767" s="129"/>
      <c r="AG767" s="129"/>
    </row>
    <row r="768" spans="3:33" x14ac:dyDescent="0.35">
      <c r="C768" s="129"/>
      <c r="D768" s="129"/>
      <c r="E768" s="129"/>
      <c r="F768" s="129"/>
      <c r="G768" s="129"/>
      <c r="H768" s="129"/>
      <c r="I768" s="129"/>
      <c r="J768" s="110"/>
      <c r="K768" s="129"/>
      <c r="L768" t="s">
        <v>351</v>
      </c>
      <c r="M768" s="129"/>
      <c r="N768" s="129"/>
      <c r="O768" s="129"/>
      <c r="P768" s="129"/>
      <c r="Q768" s="129"/>
      <c r="R768" s="129"/>
      <c r="S768" s="129"/>
      <c r="T768" s="129"/>
      <c r="U768" s="141"/>
      <c r="V768" s="139"/>
      <c r="W768" s="129"/>
      <c r="X768" s="129"/>
      <c r="Y768" s="129"/>
      <c r="Z768" s="129"/>
      <c r="AA768" s="129"/>
      <c r="AB768" s="115"/>
      <c r="AC768" s="129"/>
      <c r="AD768" s="149"/>
      <c r="AE768" s="129"/>
      <c r="AF768" s="129"/>
      <c r="AG768" s="129"/>
    </row>
    <row r="769" spans="3:33" x14ac:dyDescent="0.35">
      <c r="C769" s="129"/>
      <c r="D769" s="129"/>
      <c r="E769" s="129"/>
      <c r="F769" s="129"/>
      <c r="G769" s="129"/>
      <c r="H769" s="129"/>
      <c r="I769" s="129"/>
      <c r="J769" s="110"/>
      <c r="K769" s="129"/>
      <c r="L769" t="s">
        <v>351</v>
      </c>
      <c r="M769" s="129"/>
      <c r="N769" s="129"/>
      <c r="O769" s="129"/>
      <c r="P769" s="129"/>
      <c r="Q769" s="129"/>
      <c r="R769" s="129"/>
      <c r="S769" s="129"/>
      <c r="T769" s="129"/>
      <c r="U769" s="141"/>
      <c r="V769" s="139"/>
      <c r="W769" s="129"/>
      <c r="X769" s="129"/>
      <c r="Y769" s="129"/>
      <c r="Z769" s="129"/>
      <c r="AA769" s="129"/>
      <c r="AB769" s="115"/>
      <c r="AC769" s="129"/>
      <c r="AD769" s="149"/>
      <c r="AE769" s="129"/>
      <c r="AF769" s="129"/>
      <c r="AG769" s="129"/>
    </row>
    <row r="770" spans="3:33" x14ac:dyDescent="0.35">
      <c r="C770" s="129"/>
      <c r="D770" s="129"/>
      <c r="E770" s="129"/>
      <c r="F770" s="129"/>
      <c r="G770" s="129"/>
      <c r="H770" s="129"/>
      <c r="I770" s="129"/>
      <c r="J770" s="110"/>
      <c r="K770" s="129"/>
      <c r="L770" t="s">
        <v>351</v>
      </c>
      <c r="M770" s="129"/>
      <c r="N770" s="129"/>
      <c r="O770" s="129"/>
      <c r="P770" s="129"/>
      <c r="Q770" s="129"/>
      <c r="R770" s="129"/>
      <c r="S770" s="129"/>
      <c r="T770" s="129"/>
      <c r="U770" s="141"/>
      <c r="V770" s="139"/>
      <c r="W770" s="129"/>
      <c r="X770" s="129"/>
      <c r="Y770" s="129"/>
      <c r="Z770" s="129"/>
      <c r="AA770" s="129"/>
      <c r="AB770" s="115"/>
      <c r="AC770" s="129"/>
      <c r="AD770" s="149"/>
      <c r="AE770" s="129"/>
      <c r="AF770" s="129"/>
      <c r="AG770" s="129"/>
    </row>
    <row r="771" spans="3:33" x14ac:dyDescent="0.35">
      <c r="C771" s="129"/>
      <c r="D771" s="129"/>
      <c r="E771" s="129"/>
      <c r="F771" s="129"/>
      <c r="G771" s="129"/>
      <c r="H771" s="129"/>
      <c r="I771" s="129"/>
      <c r="J771" s="110"/>
      <c r="K771" s="129"/>
      <c r="L771" t="s">
        <v>351</v>
      </c>
      <c r="M771" s="129"/>
      <c r="N771" s="129"/>
      <c r="O771" s="129"/>
      <c r="P771" s="129"/>
      <c r="Q771" s="129"/>
      <c r="R771" s="129"/>
      <c r="S771" s="129"/>
      <c r="T771" s="129"/>
      <c r="U771" s="141"/>
      <c r="V771" s="139"/>
      <c r="W771" s="129"/>
      <c r="X771" s="129"/>
      <c r="Y771" s="129"/>
      <c r="Z771" s="129"/>
      <c r="AA771" s="129"/>
      <c r="AB771" s="115"/>
      <c r="AC771" s="129"/>
      <c r="AD771" s="149"/>
      <c r="AE771" s="129"/>
      <c r="AF771" s="129"/>
      <c r="AG771" s="129"/>
    </row>
    <row r="772" spans="3:33" x14ac:dyDescent="0.35">
      <c r="C772" s="129"/>
      <c r="D772" s="129"/>
      <c r="E772" s="129"/>
      <c r="F772" s="129"/>
      <c r="G772" s="129"/>
      <c r="H772" s="129"/>
      <c r="I772" s="129"/>
      <c r="J772" s="110"/>
      <c r="K772" s="129"/>
      <c r="L772" t="s">
        <v>351</v>
      </c>
      <c r="M772" s="129"/>
      <c r="N772" s="129"/>
      <c r="O772" s="129"/>
      <c r="P772" s="129"/>
      <c r="Q772" s="129"/>
      <c r="R772" s="129"/>
      <c r="S772" s="129"/>
      <c r="T772" s="129"/>
      <c r="U772" s="141"/>
      <c r="V772" s="139"/>
      <c r="W772" s="129"/>
      <c r="X772" s="129"/>
      <c r="Y772" s="129"/>
      <c r="Z772" s="129"/>
      <c r="AA772" s="129"/>
      <c r="AB772" s="115"/>
      <c r="AC772" s="129"/>
      <c r="AD772" s="149"/>
      <c r="AE772" s="129"/>
      <c r="AF772" s="129"/>
      <c r="AG772" s="129"/>
    </row>
    <row r="773" spans="3:33" x14ac:dyDescent="0.35">
      <c r="C773" s="129"/>
      <c r="D773" s="129"/>
      <c r="E773" s="129"/>
      <c r="F773" s="129"/>
      <c r="G773" s="129"/>
      <c r="H773" s="129"/>
      <c r="I773" s="129"/>
      <c r="J773" s="110"/>
      <c r="K773" s="129"/>
      <c r="L773" t="s">
        <v>351</v>
      </c>
      <c r="M773" s="129"/>
      <c r="N773" s="129"/>
      <c r="O773" s="129"/>
      <c r="P773" s="129"/>
      <c r="Q773" s="129"/>
      <c r="R773" s="129"/>
      <c r="S773" s="129"/>
      <c r="T773" s="129"/>
      <c r="U773" s="141"/>
      <c r="V773" s="139"/>
      <c r="W773" s="129"/>
      <c r="X773" s="129"/>
      <c r="Y773" s="129"/>
      <c r="Z773" s="129"/>
      <c r="AA773" s="129"/>
      <c r="AB773" s="115"/>
      <c r="AC773" s="129"/>
      <c r="AD773" s="149"/>
      <c r="AE773" s="129"/>
      <c r="AF773" s="129"/>
      <c r="AG773" s="129"/>
    </row>
    <row r="774" spans="3:33" x14ac:dyDescent="0.35">
      <c r="C774" s="129"/>
      <c r="D774" s="129"/>
      <c r="E774" s="129"/>
      <c r="F774" s="129"/>
      <c r="G774" s="129"/>
      <c r="H774" s="129"/>
      <c r="I774" s="129"/>
      <c r="J774" s="110"/>
      <c r="K774" s="129"/>
      <c r="L774" t="s">
        <v>351</v>
      </c>
      <c r="M774" s="129"/>
      <c r="N774" s="129"/>
      <c r="O774" s="129"/>
      <c r="P774" s="129"/>
      <c r="Q774" s="129"/>
      <c r="R774" s="129"/>
      <c r="S774" s="129"/>
      <c r="T774" s="129"/>
      <c r="U774" s="141"/>
      <c r="V774" s="139"/>
      <c r="W774" s="129"/>
      <c r="X774" s="129"/>
      <c r="Y774" s="129"/>
      <c r="Z774" s="129"/>
      <c r="AA774" s="129"/>
      <c r="AB774" s="115"/>
      <c r="AC774" s="129"/>
      <c r="AD774" s="149"/>
      <c r="AE774" s="129"/>
      <c r="AF774" s="129"/>
      <c r="AG774" s="129"/>
    </row>
    <row r="775" spans="3:33" x14ac:dyDescent="0.35">
      <c r="C775" s="129"/>
      <c r="D775" s="129"/>
      <c r="E775" s="129"/>
      <c r="F775" s="129"/>
      <c r="G775" s="129"/>
      <c r="H775" s="129"/>
      <c r="I775" s="129"/>
      <c r="J775" s="110"/>
      <c r="K775" s="129"/>
      <c r="L775" t="s">
        <v>351</v>
      </c>
      <c r="M775" s="129"/>
      <c r="N775" s="129"/>
      <c r="O775" s="129"/>
      <c r="P775" s="129"/>
      <c r="Q775" s="129"/>
      <c r="R775" s="129"/>
      <c r="S775" s="129"/>
      <c r="T775" s="129"/>
      <c r="U775" s="141"/>
      <c r="V775" s="139"/>
      <c r="W775" s="129"/>
      <c r="X775" s="129"/>
      <c r="Y775" s="129"/>
      <c r="Z775" s="129"/>
      <c r="AA775" s="129"/>
      <c r="AB775" s="115"/>
      <c r="AC775" s="129"/>
      <c r="AD775" s="149"/>
      <c r="AE775" s="129"/>
      <c r="AF775" s="129"/>
      <c r="AG775" s="129"/>
    </row>
    <row r="776" spans="3:33" x14ac:dyDescent="0.35">
      <c r="C776" s="129"/>
      <c r="D776" s="129"/>
      <c r="E776" s="129"/>
      <c r="F776" s="129"/>
      <c r="G776" s="129"/>
      <c r="H776" s="129"/>
      <c r="I776" s="129"/>
      <c r="J776" s="110"/>
      <c r="K776" s="129"/>
      <c r="L776" t="s">
        <v>351</v>
      </c>
      <c r="M776" s="129"/>
      <c r="N776" s="129"/>
      <c r="O776" s="129"/>
      <c r="P776" s="129"/>
      <c r="Q776" s="129"/>
      <c r="R776" s="129"/>
      <c r="S776" s="129"/>
      <c r="T776" s="129"/>
      <c r="U776" s="141"/>
      <c r="V776" s="139"/>
      <c r="W776" s="129"/>
      <c r="X776" s="129"/>
      <c r="Y776" s="129"/>
      <c r="Z776" s="129"/>
      <c r="AA776" s="129"/>
      <c r="AB776" s="115"/>
      <c r="AC776" s="129"/>
      <c r="AD776" s="149"/>
      <c r="AE776" s="129"/>
      <c r="AF776" s="129"/>
      <c r="AG776" s="129"/>
    </row>
    <row r="777" spans="3:33" x14ac:dyDescent="0.35">
      <c r="C777" s="129"/>
      <c r="D777" s="129"/>
      <c r="E777" s="129"/>
      <c r="F777" s="129"/>
      <c r="G777" s="129"/>
      <c r="H777" s="129"/>
      <c r="I777" s="129"/>
      <c r="J777" s="110"/>
      <c r="K777" s="129"/>
      <c r="L777" t="s">
        <v>351</v>
      </c>
      <c r="M777" s="129"/>
      <c r="N777" s="129"/>
      <c r="O777" s="129"/>
      <c r="P777" s="129"/>
      <c r="Q777" s="129"/>
      <c r="R777" s="129"/>
      <c r="S777" s="129"/>
      <c r="T777" s="129"/>
      <c r="U777" s="141"/>
      <c r="V777" s="139"/>
      <c r="W777" s="129"/>
      <c r="X777" s="129"/>
      <c r="Y777" s="129"/>
      <c r="Z777" s="129"/>
      <c r="AA777" s="129"/>
      <c r="AB777" s="115"/>
      <c r="AC777" s="129"/>
      <c r="AD777" s="149"/>
      <c r="AE777" s="129"/>
      <c r="AF777" s="129"/>
      <c r="AG777" s="129"/>
    </row>
    <row r="778" spans="3:33" x14ac:dyDescent="0.35">
      <c r="C778" s="129"/>
      <c r="D778" s="129"/>
      <c r="E778" s="129"/>
      <c r="F778" s="129"/>
      <c r="G778" s="129"/>
      <c r="H778" s="129"/>
      <c r="I778" s="129"/>
      <c r="J778" s="110"/>
      <c r="K778" s="129"/>
      <c r="L778" t="s">
        <v>351</v>
      </c>
      <c r="M778" s="129"/>
      <c r="N778" s="129"/>
      <c r="O778" s="129"/>
      <c r="P778" s="129"/>
      <c r="Q778" s="129"/>
      <c r="R778" s="129"/>
      <c r="S778" s="129"/>
      <c r="T778" s="129"/>
      <c r="U778" s="141"/>
      <c r="V778" s="139"/>
      <c r="W778" s="129"/>
      <c r="X778" s="129"/>
      <c r="Y778" s="129"/>
      <c r="Z778" s="129"/>
      <c r="AA778" s="129"/>
      <c r="AB778" s="115"/>
      <c r="AC778" s="129"/>
      <c r="AD778" s="149"/>
      <c r="AE778" s="129"/>
      <c r="AF778" s="129"/>
      <c r="AG778" s="129"/>
    </row>
    <row r="779" spans="3:33" x14ac:dyDescent="0.35">
      <c r="C779" s="129"/>
      <c r="D779" s="129"/>
      <c r="E779" s="129"/>
      <c r="F779" s="129"/>
      <c r="G779" s="129"/>
      <c r="H779" s="129"/>
      <c r="I779" s="129"/>
      <c r="J779" s="110"/>
      <c r="K779" s="129"/>
      <c r="L779" t="s">
        <v>351</v>
      </c>
      <c r="M779" s="129"/>
      <c r="N779" s="129"/>
      <c r="O779" s="129"/>
      <c r="P779" s="129"/>
      <c r="Q779" s="129"/>
      <c r="R779" s="129"/>
      <c r="S779" s="129"/>
      <c r="T779" s="129"/>
      <c r="U779" s="141"/>
      <c r="V779" s="139"/>
      <c r="W779" s="129"/>
      <c r="X779" s="129"/>
      <c r="Y779" s="129"/>
      <c r="Z779" s="129"/>
      <c r="AA779" s="129"/>
      <c r="AB779" s="115"/>
      <c r="AC779" s="129"/>
      <c r="AD779" s="149"/>
      <c r="AE779" s="129"/>
      <c r="AF779" s="129"/>
      <c r="AG779" s="129"/>
    </row>
    <row r="780" spans="3:33" x14ac:dyDescent="0.35">
      <c r="C780" s="129"/>
      <c r="D780" s="129"/>
      <c r="E780" s="129"/>
      <c r="F780" s="129"/>
      <c r="G780" s="129"/>
      <c r="H780" s="129"/>
      <c r="I780" s="129"/>
      <c r="J780" s="110"/>
      <c r="K780" s="129"/>
      <c r="L780" t="s">
        <v>351</v>
      </c>
      <c r="M780" s="129"/>
      <c r="N780" s="129"/>
      <c r="O780" s="129"/>
      <c r="P780" s="129"/>
      <c r="Q780" s="129"/>
      <c r="R780" s="129"/>
      <c r="S780" s="129"/>
      <c r="T780" s="129"/>
      <c r="U780" s="141"/>
      <c r="V780" s="139"/>
      <c r="W780" s="129"/>
      <c r="X780" s="129"/>
      <c r="Y780" s="129"/>
      <c r="Z780" s="129"/>
      <c r="AA780" s="129"/>
      <c r="AB780" s="115"/>
      <c r="AC780" s="129"/>
      <c r="AD780" s="149"/>
      <c r="AE780" s="129"/>
      <c r="AF780" s="129"/>
      <c r="AG780" s="129"/>
    </row>
    <row r="781" spans="3:33" x14ac:dyDescent="0.35">
      <c r="C781" s="129"/>
      <c r="D781" s="129"/>
      <c r="E781" s="129"/>
      <c r="F781" s="129"/>
      <c r="G781" s="129"/>
      <c r="H781" s="129"/>
      <c r="I781" s="129"/>
      <c r="J781" s="110"/>
      <c r="K781" s="129"/>
      <c r="L781" t="s">
        <v>351</v>
      </c>
      <c r="M781" s="129"/>
      <c r="N781" s="129"/>
      <c r="O781" s="129"/>
      <c r="P781" s="129"/>
      <c r="Q781" s="129"/>
      <c r="R781" s="129"/>
      <c r="S781" s="129"/>
      <c r="T781" s="129"/>
      <c r="U781" s="141"/>
      <c r="V781" s="139"/>
      <c r="W781" s="129"/>
      <c r="X781" s="129"/>
      <c r="Y781" s="129"/>
      <c r="Z781" s="129"/>
      <c r="AA781" s="129"/>
      <c r="AB781" s="115"/>
      <c r="AC781" s="129"/>
      <c r="AD781" s="149"/>
      <c r="AE781" s="129"/>
      <c r="AF781" s="129"/>
      <c r="AG781" s="129"/>
    </row>
    <row r="782" spans="3:33" x14ac:dyDescent="0.35">
      <c r="C782" s="129"/>
      <c r="D782" s="129"/>
      <c r="E782" s="129"/>
      <c r="F782" s="129"/>
      <c r="G782" s="129"/>
      <c r="H782" s="129"/>
      <c r="I782" s="129"/>
      <c r="J782" s="110"/>
      <c r="K782" s="129"/>
      <c r="L782" t="s">
        <v>351</v>
      </c>
      <c r="M782" s="129"/>
      <c r="N782" s="129"/>
      <c r="O782" s="129"/>
      <c r="P782" s="129"/>
      <c r="Q782" s="129"/>
      <c r="R782" s="129"/>
      <c r="S782" s="129"/>
      <c r="T782" s="129"/>
      <c r="U782" s="141"/>
      <c r="V782" s="139"/>
      <c r="W782" s="129"/>
      <c r="X782" s="129"/>
      <c r="Y782" s="129"/>
      <c r="Z782" s="129"/>
      <c r="AA782" s="129"/>
      <c r="AB782" s="115"/>
      <c r="AC782" s="129"/>
      <c r="AD782" s="149"/>
      <c r="AE782" s="129"/>
      <c r="AF782" s="129"/>
      <c r="AG782" s="129"/>
    </row>
    <row r="783" spans="3:33" x14ac:dyDescent="0.35">
      <c r="C783" s="129"/>
      <c r="D783" s="129"/>
      <c r="E783" s="129"/>
      <c r="F783" s="129"/>
      <c r="G783" s="129"/>
      <c r="H783" s="129"/>
      <c r="I783" s="129"/>
      <c r="J783" s="110"/>
      <c r="K783" s="129"/>
      <c r="L783" t="s">
        <v>351</v>
      </c>
      <c r="M783" s="129"/>
      <c r="N783" s="129"/>
      <c r="O783" s="129"/>
      <c r="P783" s="129"/>
      <c r="Q783" s="129"/>
      <c r="R783" s="129"/>
      <c r="S783" s="129"/>
      <c r="T783" s="129"/>
      <c r="U783" s="141"/>
      <c r="V783" s="139"/>
      <c r="W783" s="129"/>
      <c r="X783" s="129"/>
      <c r="Y783" s="129"/>
      <c r="Z783" s="129"/>
      <c r="AA783" s="129"/>
      <c r="AB783" s="115"/>
      <c r="AC783" s="129"/>
      <c r="AD783" s="149"/>
      <c r="AE783" s="129"/>
      <c r="AF783" s="129"/>
      <c r="AG783" s="129"/>
    </row>
    <row r="784" spans="3:33" x14ac:dyDescent="0.35">
      <c r="C784" s="129"/>
      <c r="D784" s="129"/>
      <c r="E784" s="129"/>
      <c r="F784" s="129"/>
      <c r="G784" s="129"/>
      <c r="H784" s="129"/>
      <c r="I784" s="129"/>
      <c r="J784" s="110"/>
      <c r="K784" s="129"/>
      <c r="L784" t="s">
        <v>351</v>
      </c>
      <c r="M784" s="129"/>
      <c r="N784" s="129"/>
      <c r="O784" s="129"/>
      <c r="P784" s="129"/>
      <c r="Q784" s="129"/>
      <c r="R784" s="129"/>
      <c r="S784" s="129"/>
      <c r="T784" s="129"/>
      <c r="U784" s="141"/>
      <c r="V784" s="139"/>
      <c r="W784" s="129"/>
      <c r="X784" s="129"/>
      <c r="Y784" s="129"/>
      <c r="Z784" s="129"/>
      <c r="AA784" s="129"/>
      <c r="AB784" s="115"/>
      <c r="AC784" s="129"/>
      <c r="AD784" s="149"/>
      <c r="AE784" s="129"/>
      <c r="AF784" s="129"/>
      <c r="AG784" s="129"/>
    </row>
    <row r="785" spans="3:33" x14ac:dyDescent="0.35">
      <c r="C785" s="129"/>
      <c r="D785" s="129"/>
      <c r="E785" s="129"/>
      <c r="F785" s="129"/>
      <c r="G785" s="129"/>
      <c r="H785" s="129"/>
      <c r="I785" s="129"/>
      <c r="J785" s="110"/>
      <c r="K785" s="129"/>
      <c r="L785" t="s">
        <v>351</v>
      </c>
      <c r="M785" s="129"/>
      <c r="N785" s="129"/>
      <c r="O785" s="129"/>
      <c r="P785" s="129"/>
      <c r="Q785" s="129"/>
      <c r="R785" s="129"/>
      <c r="S785" s="129"/>
      <c r="T785" s="129"/>
      <c r="U785" s="141"/>
      <c r="V785" s="139"/>
      <c r="W785" s="129"/>
      <c r="X785" s="129"/>
      <c r="Y785" s="129"/>
      <c r="Z785" s="129"/>
      <c r="AA785" s="129"/>
      <c r="AB785" s="115"/>
      <c r="AC785" s="129"/>
      <c r="AD785" s="149"/>
      <c r="AE785" s="129"/>
      <c r="AF785" s="129"/>
      <c r="AG785" s="129"/>
    </row>
    <row r="786" spans="3:33" x14ac:dyDescent="0.35">
      <c r="C786" s="129"/>
      <c r="D786" s="129"/>
      <c r="E786" s="129"/>
      <c r="F786" s="129"/>
      <c r="G786" s="129"/>
      <c r="H786" s="129"/>
      <c r="I786" s="129"/>
      <c r="J786" s="110"/>
      <c r="K786" s="129"/>
      <c r="L786" t="s">
        <v>351</v>
      </c>
      <c r="M786" s="129"/>
      <c r="N786" s="129"/>
      <c r="O786" s="129"/>
      <c r="P786" s="129"/>
      <c r="Q786" s="129"/>
      <c r="R786" s="129"/>
      <c r="S786" s="129"/>
      <c r="T786" s="129"/>
      <c r="U786" s="141"/>
      <c r="V786" s="139"/>
      <c r="W786" s="129"/>
      <c r="X786" s="129"/>
      <c r="Y786" s="129"/>
      <c r="Z786" s="129"/>
      <c r="AA786" s="129"/>
      <c r="AB786" s="115"/>
      <c r="AC786" s="129"/>
      <c r="AD786" s="149"/>
      <c r="AE786" s="129"/>
      <c r="AF786" s="129"/>
      <c r="AG786" s="129"/>
    </row>
    <row r="787" spans="3:33" x14ac:dyDescent="0.35">
      <c r="C787" s="129"/>
      <c r="D787" s="129"/>
      <c r="E787" s="129"/>
      <c r="F787" s="129"/>
      <c r="G787" s="129"/>
      <c r="H787" s="129"/>
      <c r="I787" s="129"/>
      <c r="J787" s="110"/>
      <c r="K787" s="129"/>
      <c r="L787" t="s">
        <v>351</v>
      </c>
      <c r="M787" s="129"/>
      <c r="N787" s="129"/>
      <c r="O787" s="129"/>
      <c r="P787" s="129"/>
      <c r="Q787" s="129"/>
      <c r="R787" s="129"/>
      <c r="S787" s="129"/>
      <c r="T787" s="129"/>
      <c r="U787" s="141"/>
      <c r="V787" s="139"/>
      <c r="W787" s="129"/>
      <c r="X787" s="129"/>
      <c r="Y787" s="129"/>
      <c r="Z787" s="129"/>
      <c r="AA787" s="129"/>
      <c r="AB787" s="115"/>
      <c r="AC787" s="129"/>
      <c r="AD787" s="149"/>
      <c r="AE787" s="129"/>
      <c r="AF787" s="129"/>
      <c r="AG787" s="129"/>
    </row>
    <row r="788" spans="3:33" x14ac:dyDescent="0.35">
      <c r="C788" s="129"/>
      <c r="D788" s="129"/>
      <c r="E788" s="129"/>
      <c r="F788" s="129"/>
      <c r="G788" s="129"/>
      <c r="H788" s="129"/>
      <c r="I788" s="129"/>
      <c r="J788" s="110"/>
      <c r="K788" s="129"/>
      <c r="L788" t="s">
        <v>351</v>
      </c>
      <c r="M788" s="129"/>
      <c r="N788" s="129"/>
      <c r="O788" s="129"/>
      <c r="P788" s="129"/>
      <c r="Q788" s="129"/>
      <c r="R788" s="129"/>
      <c r="S788" s="129"/>
      <c r="T788" s="129"/>
      <c r="U788" s="141"/>
      <c r="V788" s="139"/>
      <c r="W788" s="129"/>
      <c r="X788" s="129"/>
      <c r="Y788" s="129"/>
      <c r="Z788" s="129"/>
      <c r="AA788" s="129"/>
      <c r="AB788" s="115"/>
      <c r="AC788" s="129"/>
      <c r="AD788" s="149"/>
      <c r="AE788" s="129"/>
      <c r="AF788" s="129"/>
      <c r="AG788" s="129"/>
    </row>
    <row r="789" spans="3:33" x14ac:dyDescent="0.35">
      <c r="C789" s="129"/>
      <c r="D789" s="129"/>
      <c r="E789" s="129"/>
      <c r="F789" s="129"/>
      <c r="G789" s="129"/>
      <c r="H789" s="129"/>
      <c r="I789" s="129"/>
      <c r="J789" s="110"/>
      <c r="K789" s="129"/>
      <c r="L789" t="s">
        <v>351</v>
      </c>
      <c r="M789" s="129"/>
      <c r="N789" s="129"/>
      <c r="O789" s="129"/>
      <c r="P789" s="129"/>
      <c r="Q789" s="129"/>
      <c r="R789" s="129"/>
      <c r="S789" s="129"/>
      <c r="T789" s="129"/>
      <c r="U789" s="141"/>
      <c r="V789" s="139"/>
      <c r="W789" s="129"/>
      <c r="X789" s="129"/>
      <c r="Y789" s="129"/>
      <c r="Z789" s="129"/>
      <c r="AA789" s="129"/>
      <c r="AB789" s="115"/>
      <c r="AC789" s="129"/>
      <c r="AD789" s="149"/>
      <c r="AE789" s="129"/>
      <c r="AF789" s="129"/>
      <c r="AG789" s="129"/>
    </row>
    <row r="790" spans="3:33" x14ac:dyDescent="0.35">
      <c r="C790" s="129"/>
      <c r="D790" s="129"/>
      <c r="E790" s="129"/>
      <c r="F790" s="129"/>
      <c r="G790" s="129"/>
      <c r="H790" s="129"/>
      <c r="I790" s="129"/>
      <c r="J790" s="110"/>
      <c r="K790" s="129"/>
      <c r="L790" t="s">
        <v>351</v>
      </c>
      <c r="M790" s="129"/>
      <c r="N790" s="129"/>
      <c r="O790" s="129"/>
      <c r="P790" s="129"/>
      <c r="Q790" s="129"/>
      <c r="R790" s="129"/>
      <c r="S790" s="129"/>
      <c r="T790" s="129"/>
      <c r="U790" s="141"/>
      <c r="V790" s="139"/>
      <c r="W790" s="129"/>
      <c r="X790" s="129"/>
      <c r="Y790" s="129"/>
      <c r="Z790" s="129"/>
      <c r="AA790" s="129"/>
      <c r="AB790" s="115"/>
      <c r="AC790" s="129"/>
      <c r="AD790" s="149"/>
      <c r="AE790" s="129"/>
      <c r="AF790" s="129"/>
      <c r="AG790" s="129"/>
    </row>
    <row r="791" spans="3:33" x14ac:dyDescent="0.35">
      <c r="C791" s="129"/>
      <c r="D791" s="129"/>
      <c r="E791" s="129"/>
      <c r="F791" s="129"/>
      <c r="G791" s="129"/>
      <c r="H791" s="129"/>
      <c r="I791" s="129"/>
      <c r="J791" s="110"/>
      <c r="K791" s="129"/>
      <c r="L791" t="s">
        <v>351</v>
      </c>
      <c r="M791" s="129"/>
      <c r="N791" s="129"/>
      <c r="O791" s="129"/>
      <c r="P791" s="129"/>
      <c r="Q791" s="129"/>
      <c r="R791" s="129"/>
      <c r="S791" s="129"/>
      <c r="T791" s="129"/>
      <c r="U791" s="141"/>
      <c r="V791" s="139"/>
      <c r="W791" s="129"/>
      <c r="X791" s="129"/>
      <c r="Y791" s="129"/>
      <c r="Z791" s="129"/>
      <c r="AA791" s="129"/>
      <c r="AB791" s="115"/>
      <c r="AC791" s="129"/>
      <c r="AD791" s="149"/>
      <c r="AE791" s="129"/>
      <c r="AF791" s="129"/>
      <c r="AG791" s="129"/>
    </row>
    <row r="792" spans="3:33" x14ac:dyDescent="0.35">
      <c r="C792" s="129"/>
      <c r="D792" s="129"/>
      <c r="E792" s="129"/>
      <c r="F792" s="129"/>
      <c r="G792" s="129"/>
      <c r="H792" s="129"/>
      <c r="I792" s="129"/>
      <c r="J792" s="110"/>
      <c r="K792" s="129"/>
      <c r="L792" t="s">
        <v>351</v>
      </c>
      <c r="M792" s="129"/>
      <c r="N792" s="129"/>
      <c r="O792" s="129"/>
      <c r="P792" s="129"/>
      <c r="Q792" s="129"/>
      <c r="R792" s="129"/>
      <c r="S792" s="129"/>
      <c r="T792" s="129"/>
      <c r="U792" s="141"/>
      <c r="V792" s="139"/>
      <c r="W792" s="129"/>
      <c r="X792" s="129"/>
      <c r="Y792" s="129"/>
      <c r="Z792" s="129"/>
      <c r="AA792" s="129"/>
      <c r="AB792" s="115"/>
      <c r="AC792" s="129"/>
      <c r="AD792" s="149"/>
      <c r="AE792" s="129"/>
      <c r="AF792" s="129"/>
      <c r="AG792" s="129"/>
    </row>
    <row r="793" spans="3:33" x14ac:dyDescent="0.35">
      <c r="C793" s="129"/>
      <c r="D793" s="129"/>
      <c r="E793" s="129"/>
      <c r="F793" s="129"/>
      <c r="G793" s="129"/>
      <c r="H793" s="129"/>
      <c r="I793" s="129"/>
      <c r="J793" s="110"/>
      <c r="K793" s="129"/>
      <c r="L793" t="s">
        <v>351</v>
      </c>
      <c r="M793" s="129"/>
      <c r="N793" s="129"/>
      <c r="O793" s="129"/>
      <c r="P793" s="129"/>
      <c r="Q793" s="129"/>
      <c r="R793" s="129"/>
      <c r="S793" s="129"/>
      <c r="T793" s="129"/>
      <c r="U793" s="141"/>
      <c r="V793" s="139"/>
      <c r="W793" s="129"/>
      <c r="X793" s="129"/>
      <c r="Y793" s="129"/>
      <c r="Z793" s="129"/>
      <c r="AA793" s="129"/>
      <c r="AB793" s="115"/>
      <c r="AC793" s="129"/>
      <c r="AD793" s="149"/>
      <c r="AE793" s="129"/>
      <c r="AF793" s="129"/>
      <c r="AG793" s="129"/>
    </row>
    <row r="794" spans="3:33" x14ac:dyDescent="0.35">
      <c r="C794" s="129"/>
      <c r="D794" s="129"/>
      <c r="E794" s="129"/>
      <c r="F794" s="129"/>
      <c r="G794" s="129"/>
      <c r="H794" s="129"/>
      <c r="I794" s="129"/>
      <c r="J794" s="110"/>
      <c r="K794" s="129"/>
      <c r="L794" t="s">
        <v>351</v>
      </c>
      <c r="M794" s="129"/>
      <c r="N794" s="129"/>
      <c r="O794" s="129"/>
      <c r="P794" s="129"/>
      <c r="Q794" s="129"/>
      <c r="R794" s="129"/>
      <c r="S794" s="129"/>
      <c r="T794" s="129"/>
      <c r="U794" s="141"/>
      <c r="V794" s="139"/>
      <c r="W794" s="129"/>
      <c r="X794" s="129"/>
      <c r="Y794" s="129"/>
      <c r="Z794" s="129"/>
      <c r="AA794" s="129"/>
      <c r="AB794" s="115"/>
      <c r="AC794" s="129"/>
      <c r="AD794" s="149"/>
      <c r="AE794" s="129"/>
      <c r="AF794" s="129"/>
      <c r="AG794" s="129"/>
    </row>
    <row r="795" spans="3:33" x14ac:dyDescent="0.35">
      <c r="C795" s="129"/>
      <c r="D795" s="129"/>
      <c r="E795" s="129"/>
      <c r="F795" s="129"/>
      <c r="G795" s="129"/>
      <c r="H795" s="129"/>
      <c r="I795" s="129"/>
      <c r="J795" s="110"/>
      <c r="K795" s="129"/>
      <c r="L795" t="s">
        <v>351</v>
      </c>
      <c r="M795" s="129"/>
      <c r="N795" s="129"/>
      <c r="O795" s="129"/>
      <c r="P795" s="129"/>
      <c r="Q795" s="129"/>
      <c r="R795" s="129"/>
      <c r="S795" s="129"/>
      <c r="T795" s="129"/>
      <c r="U795" s="141"/>
      <c r="V795" s="139"/>
      <c r="W795" s="129"/>
      <c r="X795" s="129"/>
      <c r="Y795" s="129"/>
      <c r="Z795" s="129"/>
      <c r="AA795" s="129"/>
      <c r="AB795" s="115"/>
      <c r="AC795" s="129"/>
      <c r="AD795" s="149"/>
      <c r="AE795" s="129"/>
      <c r="AF795" s="129"/>
      <c r="AG795" s="129"/>
    </row>
    <row r="796" spans="3:33" x14ac:dyDescent="0.35">
      <c r="C796" s="129"/>
      <c r="D796" s="129"/>
      <c r="E796" s="129"/>
      <c r="F796" s="129"/>
      <c r="G796" s="129"/>
      <c r="H796" s="129"/>
      <c r="I796" s="129"/>
      <c r="J796" s="110"/>
      <c r="K796" s="129"/>
      <c r="L796" t="s">
        <v>351</v>
      </c>
      <c r="M796" s="129"/>
      <c r="N796" s="129"/>
      <c r="O796" s="129"/>
      <c r="P796" s="129"/>
      <c r="Q796" s="129"/>
      <c r="R796" s="129"/>
      <c r="S796" s="129"/>
      <c r="T796" s="129"/>
      <c r="U796" s="141"/>
      <c r="V796" s="139"/>
      <c r="W796" s="129"/>
      <c r="X796" s="129"/>
      <c r="Y796" s="129"/>
      <c r="Z796" s="129"/>
      <c r="AA796" s="129"/>
      <c r="AB796" s="115"/>
      <c r="AC796" s="129"/>
      <c r="AD796" s="149"/>
      <c r="AE796" s="129"/>
      <c r="AF796" s="129"/>
      <c r="AG796" s="129"/>
    </row>
    <row r="797" spans="3:33" x14ac:dyDescent="0.35">
      <c r="C797" s="129"/>
      <c r="D797" s="129"/>
      <c r="E797" s="129"/>
      <c r="F797" s="129"/>
      <c r="G797" s="129"/>
      <c r="H797" s="129"/>
      <c r="I797" s="129"/>
      <c r="J797" s="110"/>
      <c r="K797" s="129"/>
      <c r="L797" t="s">
        <v>351</v>
      </c>
      <c r="M797" s="129"/>
      <c r="N797" s="129"/>
      <c r="O797" s="129"/>
      <c r="P797" s="129"/>
      <c r="Q797" s="129"/>
      <c r="R797" s="129"/>
      <c r="S797" s="129"/>
      <c r="T797" s="129"/>
      <c r="U797" s="141"/>
      <c r="V797" s="139"/>
      <c r="W797" s="129"/>
      <c r="X797" s="129"/>
      <c r="Y797" s="129"/>
      <c r="Z797" s="129"/>
      <c r="AA797" s="129"/>
      <c r="AB797" s="115"/>
      <c r="AC797" s="129"/>
      <c r="AD797" s="149"/>
      <c r="AE797" s="129"/>
      <c r="AF797" s="129"/>
      <c r="AG797" s="129"/>
    </row>
    <row r="798" spans="3:33" x14ac:dyDescent="0.35">
      <c r="C798" s="129"/>
      <c r="D798" s="129"/>
      <c r="E798" s="129"/>
      <c r="F798" s="129"/>
      <c r="G798" s="129"/>
      <c r="H798" s="129"/>
      <c r="I798" s="129"/>
      <c r="J798" s="110"/>
      <c r="K798" s="129"/>
      <c r="L798" t="s">
        <v>351</v>
      </c>
      <c r="M798" s="129"/>
      <c r="N798" s="129"/>
      <c r="O798" s="129"/>
      <c r="P798" s="129"/>
      <c r="Q798" s="129"/>
      <c r="R798" s="129"/>
      <c r="S798" s="129"/>
      <c r="T798" s="129"/>
      <c r="U798" s="141"/>
      <c r="V798" s="139"/>
      <c r="W798" s="129"/>
      <c r="X798" s="129"/>
      <c r="Y798" s="129"/>
      <c r="Z798" s="129"/>
      <c r="AA798" s="129"/>
      <c r="AB798" s="115"/>
      <c r="AC798" s="129"/>
      <c r="AD798" s="149"/>
      <c r="AE798" s="129"/>
      <c r="AF798" s="129"/>
      <c r="AG798" s="129"/>
    </row>
    <row r="799" spans="3:33" x14ac:dyDescent="0.35">
      <c r="C799" s="129"/>
      <c r="D799" s="129"/>
      <c r="E799" s="129"/>
      <c r="F799" s="129"/>
      <c r="G799" s="129"/>
      <c r="H799" s="129"/>
      <c r="I799" s="129"/>
      <c r="J799" s="110"/>
      <c r="K799" s="129"/>
      <c r="L799" t="s">
        <v>351</v>
      </c>
      <c r="M799" s="129"/>
      <c r="N799" s="129"/>
      <c r="O799" s="129"/>
      <c r="P799" s="129"/>
      <c r="Q799" s="129"/>
      <c r="R799" s="129"/>
      <c r="S799" s="129"/>
      <c r="T799" s="129"/>
      <c r="U799" s="141"/>
      <c r="V799" s="139"/>
      <c r="W799" s="129"/>
      <c r="X799" s="129"/>
      <c r="Y799" s="129"/>
      <c r="Z799" s="129"/>
      <c r="AA799" s="129"/>
      <c r="AB799" s="115"/>
      <c r="AC799" s="129"/>
      <c r="AD799" s="149"/>
      <c r="AE799" s="129"/>
      <c r="AF799" s="129"/>
      <c r="AG799" s="129"/>
    </row>
    <row r="800" spans="3:33" x14ac:dyDescent="0.35">
      <c r="C800" s="129"/>
      <c r="D800" s="129"/>
      <c r="E800" s="129"/>
      <c r="F800" s="129"/>
      <c r="G800" s="129"/>
      <c r="H800" s="129"/>
      <c r="I800" s="129"/>
      <c r="J800" s="110"/>
      <c r="K800" s="129"/>
      <c r="L800" t="s">
        <v>351</v>
      </c>
      <c r="M800" s="129"/>
      <c r="N800" s="129"/>
      <c r="O800" s="129"/>
      <c r="P800" s="129"/>
      <c r="Q800" s="129"/>
      <c r="R800" s="129"/>
      <c r="S800" s="129"/>
      <c r="T800" s="129"/>
      <c r="U800" s="141"/>
      <c r="V800" s="139"/>
      <c r="W800" s="129"/>
      <c r="X800" s="129"/>
      <c r="Y800" s="129"/>
      <c r="Z800" s="129"/>
      <c r="AA800" s="129"/>
      <c r="AB800" s="115"/>
      <c r="AC800" s="129"/>
      <c r="AD800" s="149"/>
      <c r="AE800" s="129"/>
      <c r="AF800" s="129"/>
      <c r="AG800" s="129"/>
    </row>
    <row r="801" spans="3:33" x14ac:dyDescent="0.35">
      <c r="C801" s="129"/>
      <c r="D801" s="129"/>
      <c r="E801" s="129"/>
      <c r="F801" s="129"/>
      <c r="G801" s="129"/>
      <c r="H801" s="129"/>
      <c r="I801" s="129"/>
      <c r="J801" s="110"/>
      <c r="K801" s="129"/>
      <c r="L801" t="s">
        <v>351</v>
      </c>
      <c r="M801" s="129"/>
      <c r="N801" s="129"/>
      <c r="O801" s="129"/>
      <c r="P801" s="129"/>
      <c r="Q801" s="129"/>
      <c r="R801" s="129"/>
      <c r="S801" s="129"/>
      <c r="T801" s="129"/>
      <c r="U801" s="141"/>
      <c r="V801" s="139"/>
      <c r="W801" s="129"/>
      <c r="X801" s="129"/>
      <c r="Y801" s="129"/>
      <c r="Z801" s="129"/>
      <c r="AA801" s="129"/>
      <c r="AB801" s="115"/>
      <c r="AC801" s="129"/>
      <c r="AD801" s="149"/>
      <c r="AE801" s="129"/>
      <c r="AF801" s="129"/>
      <c r="AG801" s="129"/>
    </row>
    <row r="802" spans="3:33" x14ac:dyDescent="0.35">
      <c r="C802" s="129"/>
      <c r="D802" s="129"/>
      <c r="E802" s="129"/>
      <c r="F802" s="129"/>
      <c r="G802" s="129"/>
      <c r="H802" s="129"/>
      <c r="I802" s="129"/>
      <c r="J802" s="110"/>
      <c r="K802" s="129"/>
      <c r="L802" t="s">
        <v>351</v>
      </c>
      <c r="M802" s="129"/>
      <c r="N802" s="129"/>
      <c r="O802" s="129"/>
      <c r="P802" s="129"/>
      <c r="Q802" s="129"/>
      <c r="R802" s="129"/>
      <c r="S802" s="129"/>
      <c r="T802" s="129"/>
      <c r="U802" s="141"/>
      <c r="V802" s="139"/>
      <c r="W802" s="129"/>
      <c r="X802" s="129"/>
      <c r="Y802" s="129"/>
      <c r="Z802" s="129"/>
      <c r="AA802" s="129"/>
      <c r="AB802" s="115"/>
      <c r="AC802" s="129"/>
      <c r="AD802" s="149"/>
      <c r="AE802" s="129"/>
      <c r="AF802" s="129"/>
      <c r="AG802" s="129"/>
    </row>
    <row r="803" spans="3:33" x14ac:dyDescent="0.35">
      <c r="C803" s="129"/>
      <c r="D803" s="129"/>
      <c r="E803" s="129"/>
      <c r="F803" s="129"/>
      <c r="G803" s="129"/>
      <c r="H803" s="129"/>
      <c r="I803" s="129"/>
      <c r="J803" s="110"/>
      <c r="K803" s="129"/>
      <c r="L803" t="s">
        <v>351</v>
      </c>
      <c r="M803" s="129"/>
      <c r="N803" s="129"/>
      <c r="O803" s="129"/>
      <c r="P803" s="129"/>
      <c r="Q803" s="129"/>
      <c r="R803" s="129"/>
      <c r="S803" s="129"/>
      <c r="T803" s="129"/>
      <c r="U803" s="141"/>
      <c r="V803" s="139"/>
      <c r="W803" s="129"/>
      <c r="X803" s="129"/>
      <c r="Y803" s="129"/>
      <c r="Z803" s="129"/>
      <c r="AA803" s="129"/>
      <c r="AB803" s="115"/>
      <c r="AC803" s="129"/>
      <c r="AD803" s="149"/>
      <c r="AE803" s="129"/>
      <c r="AF803" s="129"/>
      <c r="AG803" s="129"/>
    </row>
    <row r="804" spans="3:33" x14ac:dyDescent="0.35">
      <c r="C804" s="129"/>
      <c r="D804" s="129"/>
      <c r="E804" s="129"/>
      <c r="F804" s="129"/>
      <c r="G804" s="129"/>
      <c r="H804" s="129"/>
      <c r="I804" s="129"/>
      <c r="J804" s="110"/>
      <c r="K804" s="129"/>
      <c r="L804" t="s">
        <v>351</v>
      </c>
      <c r="M804" s="129"/>
      <c r="N804" s="129"/>
      <c r="O804" s="129"/>
      <c r="P804" s="129"/>
      <c r="Q804" s="129"/>
      <c r="R804" s="129"/>
      <c r="S804" s="129"/>
      <c r="T804" s="129"/>
      <c r="U804" s="141"/>
      <c r="V804" s="139"/>
      <c r="W804" s="129"/>
      <c r="X804" s="129"/>
      <c r="Y804" s="129"/>
      <c r="Z804" s="129"/>
      <c r="AA804" s="129"/>
      <c r="AB804" s="115"/>
      <c r="AC804" s="129"/>
      <c r="AD804" s="149"/>
      <c r="AE804" s="129"/>
      <c r="AF804" s="129"/>
      <c r="AG804" s="129"/>
    </row>
    <row r="805" spans="3:33" x14ac:dyDescent="0.35">
      <c r="C805" s="129"/>
      <c r="D805" s="129"/>
      <c r="E805" s="129"/>
      <c r="F805" s="129"/>
      <c r="G805" s="129"/>
      <c r="H805" s="129"/>
      <c r="I805" s="129"/>
      <c r="J805" s="110"/>
      <c r="K805" s="129"/>
      <c r="L805" t="s">
        <v>351</v>
      </c>
      <c r="M805" s="129"/>
      <c r="N805" s="129"/>
      <c r="O805" s="129"/>
      <c r="P805" s="129"/>
      <c r="Q805" s="129"/>
      <c r="R805" s="129"/>
      <c r="S805" s="129"/>
      <c r="T805" s="129"/>
      <c r="U805" s="141"/>
      <c r="V805" s="139"/>
      <c r="W805" s="129"/>
      <c r="X805" s="129"/>
      <c r="Y805" s="129"/>
      <c r="Z805" s="129"/>
      <c r="AA805" s="129"/>
      <c r="AB805" s="115"/>
      <c r="AC805" s="129"/>
      <c r="AD805" s="149"/>
      <c r="AE805" s="129"/>
      <c r="AF805" s="129"/>
      <c r="AG805" s="129"/>
    </row>
    <row r="806" spans="3:33" x14ac:dyDescent="0.35">
      <c r="C806" s="129"/>
      <c r="D806" s="129"/>
      <c r="E806" s="129"/>
      <c r="F806" s="129"/>
      <c r="G806" s="129"/>
      <c r="H806" s="129"/>
      <c r="I806" s="129"/>
      <c r="J806" s="110"/>
      <c r="K806" s="129"/>
      <c r="L806" t="s">
        <v>351</v>
      </c>
      <c r="M806" s="129"/>
      <c r="N806" s="129"/>
      <c r="O806" s="129"/>
      <c r="P806" s="129"/>
      <c r="Q806" s="129"/>
      <c r="R806" s="129"/>
      <c r="S806" s="129"/>
      <c r="T806" s="129"/>
      <c r="U806" s="141"/>
      <c r="V806" s="139"/>
      <c r="W806" s="129"/>
      <c r="X806" s="129"/>
      <c r="Y806" s="129"/>
      <c r="Z806" s="129"/>
      <c r="AA806" s="129"/>
      <c r="AB806" s="115"/>
      <c r="AC806" s="129"/>
      <c r="AD806" s="149"/>
      <c r="AE806" s="129"/>
      <c r="AF806" s="129"/>
      <c r="AG806" s="129"/>
    </row>
    <row r="807" spans="3:33" x14ac:dyDescent="0.35">
      <c r="C807" s="129"/>
      <c r="D807" s="129"/>
      <c r="E807" s="129"/>
      <c r="F807" s="129"/>
      <c r="G807" s="129"/>
      <c r="H807" s="129"/>
      <c r="I807" s="129"/>
      <c r="J807" s="110"/>
      <c r="K807" s="129"/>
      <c r="L807" t="s">
        <v>351</v>
      </c>
      <c r="M807" s="129"/>
      <c r="N807" s="129"/>
      <c r="O807" s="129"/>
      <c r="P807" s="129"/>
      <c r="Q807" s="129"/>
      <c r="R807" s="129"/>
      <c r="S807" s="129"/>
      <c r="T807" s="129"/>
      <c r="U807" s="141"/>
      <c r="V807" s="139"/>
      <c r="W807" s="129"/>
      <c r="X807" s="129"/>
      <c r="Y807" s="129"/>
      <c r="Z807" s="129"/>
      <c r="AA807" s="129"/>
      <c r="AB807" s="115"/>
      <c r="AC807" s="129"/>
      <c r="AD807" s="149"/>
      <c r="AE807" s="129"/>
      <c r="AF807" s="129"/>
      <c r="AG807" s="129"/>
    </row>
    <row r="808" spans="3:33" x14ac:dyDescent="0.35">
      <c r="C808" s="129"/>
      <c r="D808" s="129"/>
      <c r="E808" s="129"/>
      <c r="F808" s="129"/>
      <c r="G808" s="129"/>
      <c r="H808" s="129"/>
      <c r="I808" s="129"/>
      <c r="J808" s="110"/>
      <c r="K808" s="129"/>
      <c r="L808" t="s">
        <v>351</v>
      </c>
      <c r="M808" s="129"/>
      <c r="N808" s="129"/>
      <c r="O808" s="129"/>
      <c r="P808" s="129"/>
      <c r="Q808" s="129"/>
      <c r="R808" s="129"/>
      <c r="S808" s="129"/>
      <c r="T808" s="129"/>
      <c r="U808" s="141"/>
      <c r="V808" s="139"/>
      <c r="W808" s="129"/>
      <c r="X808" s="129"/>
      <c r="Y808" s="129"/>
      <c r="Z808" s="129"/>
      <c r="AA808" s="129"/>
      <c r="AB808" s="115"/>
      <c r="AC808" s="129"/>
      <c r="AD808" s="149"/>
      <c r="AE808" s="129"/>
      <c r="AF808" s="129"/>
      <c r="AG808" s="129"/>
    </row>
    <row r="809" spans="3:33" x14ac:dyDescent="0.35">
      <c r="C809" s="129"/>
      <c r="D809" s="129"/>
      <c r="E809" s="129"/>
      <c r="F809" s="129"/>
      <c r="G809" s="129"/>
      <c r="H809" s="129"/>
      <c r="I809" s="129"/>
      <c r="J809" s="110"/>
      <c r="K809" s="129"/>
      <c r="L809" t="s">
        <v>351</v>
      </c>
      <c r="M809" s="129"/>
      <c r="N809" s="129"/>
      <c r="O809" s="129"/>
      <c r="P809" s="129"/>
      <c r="Q809" s="129"/>
      <c r="R809" s="129"/>
      <c r="S809" s="129"/>
      <c r="T809" s="129"/>
      <c r="U809" s="141"/>
      <c r="V809" s="139"/>
      <c r="W809" s="129"/>
      <c r="X809" s="129"/>
      <c r="Y809" s="129"/>
      <c r="Z809" s="129"/>
      <c r="AA809" s="129"/>
      <c r="AB809" s="115"/>
      <c r="AC809" s="129"/>
      <c r="AD809" s="149"/>
      <c r="AE809" s="129"/>
      <c r="AF809" s="129"/>
      <c r="AG809" s="129"/>
    </row>
    <row r="810" spans="3:33" x14ac:dyDescent="0.35">
      <c r="C810" s="129"/>
      <c r="D810" s="129"/>
      <c r="E810" s="129"/>
      <c r="F810" s="129"/>
      <c r="G810" s="129"/>
      <c r="H810" s="129"/>
      <c r="I810" s="129"/>
      <c r="J810" s="110"/>
      <c r="K810" s="129"/>
      <c r="L810" t="s">
        <v>351</v>
      </c>
      <c r="M810" s="129"/>
      <c r="N810" s="129"/>
      <c r="O810" s="129"/>
      <c r="P810" s="129"/>
      <c r="Q810" s="129"/>
      <c r="R810" s="129"/>
      <c r="S810" s="129"/>
      <c r="T810" s="129"/>
      <c r="U810" s="141"/>
      <c r="V810" s="139"/>
      <c r="W810" s="129"/>
      <c r="X810" s="129"/>
      <c r="Y810" s="129"/>
      <c r="Z810" s="129"/>
      <c r="AA810" s="129"/>
      <c r="AB810" s="115"/>
      <c r="AC810" s="129"/>
      <c r="AD810" s="149"/>
      <c r="AE810" s="129"/>
      <c r="AF810" s="129"/>
      <c r="AG810" s="129"/>
    </row>
    <row r="811" spans="3:33" x14ac:dyDescent="0.35">
      <c r="C811" s="129"/>
      <c r="D811" s="129"/>
      <c r="E811" s="129"/>
      <c r="F811" s="129"/>
      <c r="G811" s="129"/>
      <c r="H811" s="129"/>
      <c r="I811" s="129"/>
      <c r="J811" s="110"/>
      <c r="K811" s="129"/>
      <c r="L811" t="s">
        <v>351</v>
      </c>
      <c r="M811" s="129"/>
      <c r="N811" s="129"/>
      <c r="O811" s="129"/>
      <c r="P811" s="129"/>
      <c r="Q811" s="129"/>
      <c r="R811" s="129"/>
      <c r="S811" s="129"/>
      <c r="T811" s="129"/>
      <c r="U811" s="141"/>
      <c r="V811" s="139"/>
      <c r="W811" s="129"/>
      <c r="X811" s="129"/>
      <c r="Y811" s="129"/>
      <c r="Z811" s="129"/>
      <c r="AA811" s="129"/>
      <c r="AB811" s="115"/>
      <c r="AC811" s="129"/>
      <c r="AD811" s="149"/>
      <c r="AE811" s="129"/>
      <c r="AF811" s="129"/>
      <c r="AG811" s="129"/>
    </row>
    <row r="812" spans="3:33" x14ac:dyDescent="0.35">
      <c r="C812" s="129"/>
      <c r="D812" s="129"/>
      <c r="E812" s="129"/>
      <c r="F812" s="129"/>
      <c r="G812" s="129"/>
      <c r="H812" s="129"/>
      <c r="I812" s="129"/>
      <c r="J812" s="110"/>
      <c r="K812" s="129"/>
      <c r="L812" t="s">
        <v>351</v>
      </c>
      <c r="M812" s="129"/>
      <c r="N812" s="129"/>
      <c r="O812" s="129"/>
      <c r="P812" s="129"/>
      <c r="Q812" s="129"/>
      <c r="R812" s="129"/>
      <c r="S812" s="129"/>
      <c r="T812" s="129"/>
      <c r="U812" s="141"/>
      <c r="V812" s="139"/>
      <c r="W812" s="129"/>
      <c r="X812" s="129"/>
      <c r="Y812" s="129"/>
      <c r="Z812" s="129"/>
      <c r="AA812" s="129"/>
      <c r="AB812" s="115"/>
      <c r="AC812" s="129"/>
      <c r="AD812" s="149"/>
      <c r="AE812" s="129"/>
      <c r="AF812" s="129"/>
      <c r="AG812" s="129"/>
    </row>
    <row r="813" spans="3:33" x14ac:dyDescent="0.35">
      <c r="C813" s="129"/>
      <c r="D813" s="129"/>
      <c r="E813" s="129"/>
      <c r="F813" s="129"/>
      <c r="G813" s="129"/>
      <c r="H813" s="129"/>
      <c r="I813" s="129"/>
      <c r="J813" s="110"/>
      <c r="K813" s="129"/>
      <c r="L813" t="s">
        <v>351</v>
      </c>
      <c r="M813" s="129"/>
      <c r="N813" s="129"/>
      <c r="O813" s="129"/>
      <c r="P813" s="129"/>
      <c r="Q813" s="129"/>
      <c r="R813" s="129"/>
      <c r="S813" s="129"/>
      <c r="T813" s="129"/>
      <c r="U813" s="141"/>
      <c r="V813" s="139"/>
      <c r="W813" s="129"/>
      <c r="X813" s="129"/>
      <c r="Y813" s="129"/>
      <c r="Z813" s="129"/>
      <c r="AA813" s="129"/>
      <c r="AB813" s="115"/>
      <c r="AC813" s="129"/>
      <c r="AD813" s="149"/>
      <c r="AE813" s="129"/>
      <c r="AF813" s="129"/>
      <c r="AG813" s="129"/>
    </row>
    <row r="814" spans="3:33" x14ac:dyDescent="0.35">
      <c r="C814" s="129"/>
      <c r="D814" s="129"/>
      <c r="E814" s="129"/>
      <c r="F814" s="129"/>
      <c r="G814" s="129"/>
      <c r="H814" s="129"/>
      <c r="I814" s="129"/>
      <c r="J814" s="110"/>
      <c r="K814" s="129"/>
      <c r="L814" t="s">
        <v>351</v>
      </c>
      <c r="M814" s="129"/>
      <c r="N814" s="129"/>
      <c r="O814" s="129"/>
      <c r="P814" s="129"/>
      <c r="Q814" s="129"/>
      <c r="R814" s="129"/>
      <c r="S814" s="129"/>
      <c r="T814" s="129"/>
      <c r="U814" s="141"/>
      <c r="V814" s="139"/>
      <c r="W814" s="129"/>
      <c r="X814" s="129"/>
      <c r="Y814" s="129"/>
      <c r="Z814" s="129"/>
      <c r="AA814" s="129"/>
      <c r="AB814" s="115"/>
      <c r="AC814" s="129"/>
      <c r="AD814" s="149"/>
      <c r="AE814" s="129"/>
      <c r="AF814" s="129"/>
      <c r="AG814" s="129"/>
    </row>
    <row r="815" spans="3:33" x14ac:dyDescent="0.35">
      <c r="C815" s="129"/>
      <c r="D815" s="129"/>
      <c r="E815" s="129"/>
      <c r="F815" s="129"/>
      <c r="G815" s="129"/>
      <c r="H815" s="129"/>
      <c r="I815" s="129"/>
      <c r="J815" s="110"/>
      <c r="K815" s="129"/>
      <c r="L815" t="s">
        <v>351</v>
      </c>
      <c r="M815" s="129"/>
      <c r="N815" s="129"/>
      <c r="O815" s="129"/>
      <c r="P815" s="129"/>
      <c r="Q815" s="129"/>
      <c r="R815" s="129"/>
      <c r="S815" s="129"/>
      <c r="T815" s="129"/>
      <c r="U815" s="141"/>
      <c r="V815" s="139"/>
      <c r="W815" s="129"/>
      <c r="X815" s="129"/>
      <c r="Y815" s="129"/>
      <c r="Z815" s="129"/>
      <c r="AA815" s="129"/>
      <c r="AB815" s="115"/>
      <c r="AC815" s="129"/>
      <c r="AD815" s="149"/>
      <c r="AE815" s="129"/>
      <c r="AF815" s="129"/>
      <c r="AG815" s="129"/>
    </row>
    <row r="816" spans="3:33" x14ac:dyDescent="0.35">
      <c r="C816" s="129"/>
      <c r="D816" s="129"/>
      <c r="E816" s="129"/>
      <c r="F816" s="129"/>
      <c r="G816" s="129"/>
      <c r="H816" s="129"/>
      <c r="I816" s="129"/>
      <c r="J816" s="110"/>
      <c r="K816" s="129"/>
      <c r="L816" t="s">
        <v>351</v>
      </c>
      <c r="M816" s="129"/>
      <c r="N816" s="129"/>
      <c r="O816" s="129"/>
      <c r="P816" s="129"/>
      <c r="Q816" s="129"/>
      <c r="R816" s="129"/>
      <c r="S816" s="129"/>
      <c r="T816" s="129"/>
      <c r="U816" s="141"/>
      <c r="V816" s="139"/>
      <c r="W816" s="129"/>
      <c r="X816" s="129"/>
      <c r="Y816" s="129"/>
      <c r="Z816" s="129"/>
      <c r="AA816" s="129"/>
      <c r="AB816" s="115"/>
      <c r="AC816" s="129"/>
      <c r="AD816" s="149"/>
      <c r="AE816" s="129"/>
      <c r="AF816" s="129"/>
      <c r="AG816" s="129"/>
    </row>
    <row r="817" spans="3:33" x14ac:dyDescent="0.35">
      <c r="C817" s="129"/>
      <c r="D817" s="129"/>
      <c r="E817" s="129"/>
      <c r="F817" s="129"/>
      <c r="G817" s="129"/>
      <c r="H817" s="129"/>
      <c r="I817" s="129"/>
      <c r="J817" s="110"/>
      <c r="K817" s="129"/>
      <c r="L817" t="s">
        <v>351</v>
      </c>
      <c r="M817" s="129"/>
      <c r="N817" s="129"/>
      <c r="O817" s="129"/>
      <c r="P817" s="129"/>
      <c r="Q817" s="129"/>
      <c r="R817" s="129"/>
      <c r="S817" s="129"/>
      <c r="T817" s="129"/>
      <c r="U817" s="141"/>
      <c r="V817" s="139"/>
      <c r="W817" s="129"/>
      <c r="X817" s="129"/>
      <c r="Y817" s="129"/>
      <c r="Z817" s="129"/>
      <c r="AA817" s="129"/>
      <c r="AB817" s="115"/>
      <c r="AC817" s="129"/>
      <c r="AD817" s="149"/>
      <c r="AE817" s="129"/>
      <c r="AF817" s="129"/>
      <c r="AG817" s="129"/>
    </row>
    <row r="818" spans="3:33" x14ac:dyDescent="0.35">
      <c r="C818" s="129"/>
      <c r="D818" s="129"/>
      <c r="E818" s="129"/>
      <c r="F818" s="129"/>
      <c r="G818" s="129"/>
      <c r="H818" s="129"/>
      <c r="I818" s="129"/>
      <c r="J818" s="110"/>
      <c r="K818" s="129"/>
      <c r="L818" t="s">
        <v>351</v>
      </c>
      <c r="M818" s="129"/>
      <c r="N818" s="129"/>
      <c r="O818" s="129"/>
      <c r="P818" s="129"/>
      <c r="Q818" s="129"/>
      <c r="R818" s="129"/>
      <c r="S818" s="129"/>
      <c r="T818" s="129"/>
      <c r="U818" s="141"/>
      <c r="V818" s="139"/>
      <c r="W818" s="129"/>
      <c r="X818" s="129"/>
      <c r="Y818" s="129"/>
      <c r="Z818" s="129"/>
      <c r="AA818" s="129"/>
      <c r="AB818" s="115"/>
      <c r="AC818" s="129"/>
      <c r="AD818" s="149"/>
      <c r="AE818" s="129"/>
      <c r="AF818" s="129"/>
      <c r="AG818" s="129"/>
    </row>
    <row r="819" spans="3:33" x14ac:dyDescent="0.35">
      <c r="C819" s="129"/>
      <c r="D819" s="129"/>
      <c r="E819" s="129"/>
      <c r="F819" s="129"/>
      <c r="G819" s="129"/>
      <c r="H819" s="129"/>
      <c r="I819" s="129"/>
      <c r="J819" s="110"/>
      <c r="K819" s="129"/>
      <c r="L819" t="s">
        <v>351</v>
      </c>
      <c r="M819" s="129"/>
      <c r="N819" s="129"/>
      <c r="O819" s="129"/>
      <c r="P819" s="129"/>
      <c r="Q819" s="129"/>
      <c r="R819" s="129"/>
      <c r="S819" s="129"/>
      <c r="T819" s="129"/>
      <c r="U819" s="141"/>
      <c r="V819" s="139"/>
      <c r="W819" s="129"/>
      <c r="X819" s="129"/>
      <c r="Y819" s="129"/>
      <c r="Z819" s="129"/>
      <c r="AA819" s="129"/>
      <c r="AB819" s="115"/>
      <c r="AC819" s="129"/>
      <c r="AD819" s="149"/>
      <c r="AE819" s="129"/>
      <c r="AF819" s="129"/>
      <c r="AG819" s="129"/>
    </row>
    <row r="820" spans="3:33" x14ac:dyDescent="0.35">
      <c r="C820" s="129"/>
      <c r="D820" s="129"/>
      <c r="E820" s="129"/>
      <c r="F820" s="129"/>
      <c r="G820" s="129"/>
      <c r="H820" s="129"/>
      <c r="I820" s="129"/>
      <c r="J820" s="110"/>
      <c r="K820" s="129"/>
      <c r="L820" t="s">
        <v>351</v>
      </c>
      <c r="M820" s="129"/>
      <c r="N820" s="129"/>
      <c r="O820" s="129"/>
      <c r="P820" s="129"/>
      <c r="Q820" s="129"/>
      <c r="R820" s="129"/>
      <c r="S820" s="129"/>
      <c r="T820" s="129"/>
      <c r="U820" s="141"/>
      <c r="V820" s="139"/>
      <c r="W820" s="129"/>
      <c r="X820" s="129"/>
      <c r="Y820" s="129"/>
      <c r="Z820" s="129"/>
      <c r="AA820" s="129"/>
      <c r="AB820" s="115"/>
      <c r="AC820" s="129"/>
      <c r="AD820" s="149"/>
      <c r="AE820" s="129"/>
      <c r="AF820" s="129"/>
      <c r="AG820" s="129"/>
    </row>
    <row r="821" spans="3:33" x14ac:dyDescent="0.35">
      <c r="C821" s="129"/>
      <c r="D821" s="129"/>
      <c r="E821" s="129"/>
      <c r="F821" s="129"/>
      <c r="G821" s="129"/>
      <c r="H821" s="129"/>
      <c r="I821" s="129"/>
      <c r="J821" s="110"/>
      <c r="K821" s="129"/>
      <c r="L821" t="s">
        <v>351</v>
      </c>
      <c r="M821" s="129"/>
      <c r="N821" s="129"/>
      <c r="O821" s="129"/>
      <c r="P821" s="129"/>
      <c r="Q821" s="129"/>
      <c r="R821" s="129"/>
      <c r="S821" s="129"/>
      <c r="T821" s="129"/>
      <c r="U821" s="141"/>
      <c r="V821" s="139"/>
      <c r="W821" s="129"/>
      <c r="X821" s="129"/>
      <c r="Y821" s="129"/>
      <c r="Z821" s="129"/>
      <c r="AA821" s="129"/>
      <c r="AB821" s="115"/>
      <c r="AC821" s="129"/>
      <c r="AD821" s="149"/>
      <c r="AE821" s="129"/>
      <c r="AF821" s="129"/>
      <c r="AG821" s="129"/>
    </row>
    <row r="822" spans="3:33" x14ac:dyDescent="0.35">
      <c r="C822" s="129"/>
      <c r="D822" s="129"/>
      <c r="E822" s="129"/>
      <c r="F822" s="129"/>
      <c r="G822" s="129"/>
      <c r="H822" s="129"/>
      <c r="I822" s="129"/>
      <c r="J822" s="110"/>
      <c r="K822" s="129"/>
      <c r="L822" t="s">
        <v>351</v>
      </c>
      <c r="M822" s="129"/>
      <c r="N822" s="129"/>
      <c r="O822" s="129"/>
      <c r="P822" s="129"/>
      <c r="Q822" s="129"/>
      <c r="R822" s="129"/>
      <c r="S822" s="129"/>
      <c r="T822" s="129"/>
      <c r="U822" s="141"/>
      <c r="V822" s="139"/>
      <c r="W822" s="129"/>
      <c r="X822" s="129"/>
      <c r="Y822" s="129"/>
      <c r="Z822" s="129"/>
      <c r="AA822" s="129"/>
      <c r="AB822" s="115"/>
      <c r="AC822" s="129"/>
      <c r="AD822" s="149"/>
      <c r="AE822" s="129"/>
      <c r="AF822" s="129"/>
      <c r="AG822" s="129"/>
    </row>
    <row r="823" spans="3:33" x14ac:dyDescent="0.35">
      <c r="C823" s="129"/>
      <c r="D823" s="129"/>
      <c r="E823" s="129"/>
      <c r="F823" s="129"/>
      <c r="G823" s="129"/>
      <c r="H823" s="129"/>
      <c r="I823" s="129"/>
      <c r="J823" s="110"/>
      <c r="K823" s="129"/>
      <c r="L823" t="s">
        <v>351</v>
      </c>
      <c r="M823" s="129"/>
      <c r="N823" s="129"/>
      <c r="O823" s="129"/>
      <c r="P823" s="129"/>
      <c r="Q823" s="129"/>
      <c r="R823" s="129"/>
      <c r="S823" s="129"/>
      <c r="T823" s="129"/>
      <c r="U823" s="141"/>
      <c r="V823" s="139"/>
      <c r="W823" s="129"/>
      <c r="X823" s="129"/>
      <c r="Y823" s="129"/>
      <c r="Z823" s="129"/>
      <c r="AA823" s="129"/>
      <c r="AB823" s="115"/>
      <c r="AC823" s="129"/>
      <c r="AD823" s="149"/>
      <c r="AE823" s="129"/>
      <c r="AF823" s="129"/>
      <c r="AG823" s="129"/>
    </row>
    <row r="824" spans="3:33" x14ac:dyDescent="0.35">
      <c r="C824" s="129"/>
      <c r="D824" s="129"/>
      <c r="E824" s="129"/>
      <c r="F824" s="129"/>
      <c r="G824" s="129"/>
      <c r="H824" s="129"/>
      <c r="I824" s="129"/>
      <c r="J824" s="110"/>
      <c r="K824" s="129"/>
      <c r="L824" t="s">
        <v>351</v>
      </c>
      <c r="M824" s="129"/>
      <c r="N824" s="129"/>
      <c r="O824" s="129"/>
      <c r="P824" s="129"/>
      <c r="Q824" s="129"/>
      <c r="R824" s="129"/>
      <c r="S824" s="129"/>
      <c r="T824" s="129"/>
      <c r="U824" s="141"/>
      <c r="V824" s="139"/>
      <c r="W824" s="129"/>
      <c r="X824" s="129"/>
      <c r="Y824" s="129"/>
      <c r="Z824" s="129"/>
      <c r="AA824" s="129"/>
      <c r="AB824" s="115"/>
      <c r="AC824" s="129"/>
      <c r="AD824" s="149"/>
      <c r="AE824" s="129"/>
      <c r="AF824" s="129"/>
      <c r="AG824" s="129"/>
    </row>
    <row r="825" spans="3:33" x14ac:dyDescent="0.35">
      <c r="C825" s="129"/>
      <c r="D825" s="129"/>
      <c r="E825" s="129"/>
      <c r="F825" s="129"/>
      <c r="G825" s="129"/>
      <c r="H825" s="129"/>
      <c r="I825" s="129"/>
      <c r="J825" s="110"/>
      <c r="K825" s="129"/>
      <c r="L825" t="s">
        <v>351</v>
      </c>
      <c r="M825" s="129"/>
      <c r="N825" s="129"/>
      <c r="O825" s="129"/>
      <c r="P825" s="129"/>
      <c r="Q825" s="129"/>
      <c r="R825" s="129"/>
      <c r="S825" s="129"/>
      <c r="T825" s="129"/>
      <c r="U825" s="141"/>
      <c r="V825" s="139"/>
      <c r="W825" s="129"/>
      <c r="X825" s="129"/>
      <c r="Y825" s="129"/>
      <c r="Z825" s="129"/>
      <c r="AA825" s="129"/>
      <c r="AB825" s="115"/>
      <c r="AC825" s="129"/>
      <c r="AD825" s="149"/>
      <c r="AE825" s="129"/>
      <c r="AF825" s="129"/>
      <c r="AG825" s="129"/>
    </row>
    <row r="826" spans="3:33" x14ac:dyDescent="0.35">
      <c r="C826" s="129"/>
      <c r="D826" s="129"/>
      <c r="E826" s="129"/>
      <c r="F826" s="129"/>
      <c r="G826" s="129"/>
      <c r="H826" s="129"/>
      <c r="I826" s="129"/>
      <c r="J826" s="110"/>
      <c r="K826" s="129"/>
      <c r="L826" t="s">
        <v>351</v>
      </c>
      <c r="M826" s="129"/>
      <c r="N826" s="129"/>
      <c r="O826" s="129"/>
      <c r="P826" s="129"/>
      <c r="Q826" s="129"/>
      <c r="R826" s="129"/>
      <c r="S826" s="129"/>
      <c r="T826" s="129"/>
      <c r="U826" s="141"/>
      <c r="V826" s="139"/>
      <c r="W826" s="129"/>
      <c r="X826" s="129"/>
      <c r="Y826" s="129"/>
      <c r="Z826" s="129"/>
      <c r="AA826" s="129"/>
      <c r="AB826" s="115"/>
      <c r="AC826" s="129"/>
      <c r="AD826" s="149"/>
      <c r="AE826" s="129"/>
      <c r="AF826" s="129"/>
      <c r="AG826" s="129"/>
    </row>
    <row r="827" spans="3:33" x14ac:dyDescent="0.35">
      <c r="C827" s="129"/>
      <c r="D827" s="129"/>
      <c r="E827" s="129"/>
      <c r="F827" s="129"/>
      <c r="G827" s="129"/>
      <c r="H827" s="129"/>
      <c r="I827" s="129"/>
      <c r="J827" s="110"/>
      <c r="K827" s="129"/>
      <c r="L827" t="s">
        <v>351</v>
      </c>
      <c r="M827" s="129"/>
      <c r="N827" s="129"/>
      <c r="O827" s="129"/>
      <c r="P827" s="129"/>
      <c r="Q827" s="129"/>
      <c r="R827" s="129"/>
      <c r="S827" s="129"/>
      <c r="T827" s="129"/>
      <c r="U827" s="141"/>
      <c r="V827" s="139"/>
      <c r="W827" s="129"/>
      <c r="X827" s="129"/>
      <c r="Y827" s="129"/>
      <c r="Z827" s="129"/>
      <c r="AA827" s="129"/>
      <c r="AB827" s="115"/>
      <c r="AC827" s="129"/>
      <c r="AD827" s="149"/>
      <c r="AE827" s="129"/>
      <c r="AF827" s="129"/>
      <c r="AG827" s="129"/>
    </row>
    <row r="828" spans="3:33" x14ac:dyDescent="0.35">
      <c r="C828" s="129"/>
      <c r="D828" s="129"/>
      <c r="E828" s="129"/>
      <c r="F828" s="129"/>
      <c r="G828" s="129"/>
      <c r="H828" s="129"/>
      <c r="I828" s="129"/>
      <c r="J828" s="110"/>
      <c r="K828" s="129"/>
      <c r="L828" t="s">
        <v>351</v>
      </c>
      <c r="M828" s="129"/>
      <c r="N828" s="129"/>
      <c r="O828" s="129"/>
      <c r="P828" s="129"/>
      <c r="Q828" s="129"/>
      <c r="R828" s="129"/>
      <c r="S828" s="129"/>
      <c r="T828" s="129"/>
      <c r="U828" s="141"/>
      <c r="V828" s="139"/>
      <c r="W828" s="129"/>
      <c r="X828" s="129"/>
      <c r="Y828" s="129"/>
      <c r="Z828" s="129"/>
      <c r="AA828" s="129"/>
      <c r="AB828" s="115"/>
      <c r="AC828" s="129"/>
      <c r="AD828" s="149"/>
      <c r="AE828" s="129"/>
      <c r="AF828" s="129"/>
      <c r="AG828" s="129"/>
    </row>
    <row r="829" spans="3:33" x14ac:dyDescent="0.35">
      <c r="C829" s="129"/>
      <c r="D829" s="129"/>
      <c r="E829" s="129"/>
      <c r="F829" s="129"/>
      <c r="G829" s="129"/>
      <c r="H829" s="129"/>
      <c r="I829" s="129"/>
      <c r="J829" s="110"/>
      <c r="K829" s="129"/>
      <c r="L829" t="s">
        <v>351</v>
      </c>
      <c r="M829" s="129"/>
      <c r="N829" s="129"/>
      <c r="O829" s="129"/>
      <c r="P829" s="129"/>
      <c r="Q829" s="129"/>
      <c r="R829" s="129"/>
      <c r="S829" s="129"/>
      <c r="T829" s="129"/>
      <c r="U829" s="141"/>
      <c r="V829" s="139"/>
      <c r="W829" s="129"/>
      <c r="X829" s="129"/>
      <c r="Y829" s="129"/>
      <c r="Z829" s="129"/>
      <c r="AA829" s="129"/>
      <c r="AB829" s="115"/>
      <c r="AC829" s="129"/>
      <c r="AD829" s="149"/>
      <c r="AE829" s="129"/>
      <c r="AF829" s="129"/>
      <c r="AG829" s="129"/>
    </row>
    <row r="830" spans="3:33" x14ac:dyDescent="0.35">
      <c r="C830" s="129"/>
      <c r="D830" s="129"/>
      <c r="E830" s="129"/>
      <c r="F830" s="129"/>
      <c r="G830" s="129"/>
      <c r="H830" s="129"/>
      <c r="I830" s="129"/>
      <c r="J830" s="110"/>
      <c r="K830" s="129"/>
      <c r="L830" t="s">
        <v>351</v>
      </c>
      <c r="M830" s="129"/>
      <c r="N830" s="129"/>
      <c r="O830" s="129"/>
      <c r="P830" s="129"/>
      <c r="Q830" s="129"/>
      <c r="R830" s="129"/>
      <c r="S830" s="129"/>
      <c r="T830" s="129"/>
      <c r="U830" s="141"/>
      <c r="V830" s="139"/>
      <c r="W830" s="129"/>
      <c r="X830" s="129"/>
      <c r="Y830" s="129"/>
      <c r="Z830" s="129"/>
      <c r="AA830" s="129"/>
      <c r="AB830" s="115"/>
      <c r="AC830" s="129"/>
      <c r="AD830" s="149"/>
      <c r="AE830" s="129"/>
      <c r="AF830" s="129"/>
      <c r="AG830" s="129"/>
    </row>
    <row r="831" spans="3:33" x14ac:dyDescent="0.35">
      <c r="C831" s="129"/>
      <c r="D831" s="129"/>
      <c r="E831" s="129"/>
      <c r="F831" s="129"/>
      <c r="G831" s="129"/>
      <c r="H831" s="129"/>
      <c r="I831" s="129"/>
      <c r="J831" s="110"/>
      <c r="K831" s="129"/>
      <c r="L831" t="s">
        <v>351</v>
      </c>
      <c r="M831" s="129"/>
      <c r="N831" s="129"/>
      <c r="O831" s="129"/>
      <c r="P831" s="129"/>
      <c r="Q831" s="129"/>
      <c r="R831" s="129"/>
      <c r="S831" s="129"/>
      <c r="T831" s="129"/>
      <c r="U831" s="141"/>
      <c r="V831" s="139"/>
      <c r="W831" s="129"/>
      <c r="X831" s="129"/>
      <c r="Y831" s="129"/>
      <c r="Z831" s="129"/>
      <c r="AA831" s="129"/>
      <c r="AB831" s="115"/>
      <c r="AC831" s="129"/>
      <c r="AD831" s="149"/>
      <c r="AE831" s="129"/>
      <c r="AF831" s="129"/>
      <c r="AG831" s="129"/>
    </row>
    <row r="832" spans="3:33" x14ac:dyDescent="0.35">
      <c r="C832" s="129"/>
      <c r="D832" s="129"/>
      <c r="E832" s="129"/>
      <c r="F832" s="129"/>
      <c r="G832" s="129"/>
      <c r="H832" s="129"/>
      <c r="I832" s="129"/>
      <c r="J832" s="110"/>
      <c r="K832" s="129"/>
      <c r="L832" t="s">
        <v>351</v>
      </c>
      <c r="M832" s="129"/>
      <c r="N832" s="129"/>
      <c r="O832" s="129"/>
      <c r="P832" s="129"/>
      <c r="Q832" s="129"/>
      <c r="R832" s="129"/>
      <c r="S832" s="129"/>
      <c r="T832" s="129"/>
      <c r="U832" s="141"/>
      <c r="V832" s="139"/>
      <c r="W832" s="129"/>
      <c r="X832" s="129"/>
      <c r="Y832" s="129"/>
      <c r="Z832" s="129"/>
      <c r="AA832" s="129"/>
      <c r="AB832" s="115"/>
      <c r="AC832" s="129"/>
      <c r="AD832" s="149"/>
      <c r="AE832" s="129"/>
      <c r="AF832" s="129"/>
      <c r="AG832" s="129"/>
    </row>
    <row r="833" spans="3:33" x14ac:dyDescent="0.35">
      <c r="C833" s="129"/>
      <c r="D833" s="129"/>
      <c r="E833" s="129"/>
      <c r="F833" s="129"/>
      <c r="G833" s="129"/>
      <c r="H833" s="129"/>
      <c r="I833" s="129"/>
      <c r="J833" s="110"/>
      <c r="K833" s="129"/>
      <c r="L833" t="s">
        <v>351</v>
      </c>
      <c r="M833" s="129"/>
      <c r="N833" s="129"/>
      <c r="O833" s="129"/>
      <c r="P833" s="129"/>
      <c r="Q833" s="129"/>
      <c r="R833" s="129"/>
      <c r="S833" s="129"/>
      <c r="T833" s="129"/>
      <c r="U833" s="141"/>
      <c r="V833" s="139"/>
      <c r="W833" s="129"/>
      <c r="X833" s="129"/>
      <c r="Y833" s="129"/>
      <c r="Z833" s="129"/>
      <c r="AA833" s="129"/>
      <c r="AB833" s="115"/>
      <c r="AC833" s="129"/>
      <c r="AD833" s="149"/>
      <c r="AE833" s="129"/>
      <c r="AF833" s="129"/>
      <c r="AG833" s="129"/>
    </row>
    <row r="834" spans="3:33" x14ac:dyDescent="0.35">
      <c r="C834" s="129"/>
      <c r="D834" s="129"/>
      <c r="E834" s="129"/>
      <c r="F834" s="129"/>
      <c r="G834" s="129"/>
      <c r="H834" s="129"/>
      <c r="I834" s="129"/>
      <c r="J834" s="110"/>
      <c r="K834" s="129"/>
      <c r="L834" t="s">
        <v>351</v>
      </c>
      <c r="M834" s="129"/>
      <c r="N834" s="129"/>
      <c r="O834" s="129"/>
      <c r="P834" s="129"/>
      <c r="Q834" s="129"/>
      <c r="R834" s="129"/>
      <c r="S834" s="129"/>
      <c r="T834" s="129"/>
      <c r="U834" s="141"/>
      <c r="V834" s="139"/>
      <c r="W834" s="129"/>
      <c r="X834" s="129"/>
      <c r="Y834" s="129"/>
      <c r="Z834" s="129"/>
      <c r="AA834" s="129"/>
      <c r="AB834" s="115"/>
      <c r="AC834" s="129"/>
      <c r="AD834" s="149"/>
      <c r="AE834" s="129"/>
      <c r="AF834" s="129"/>
      <c r="AG834" s="129"/>
    </row>
    <row r="835" spans="3:33" x14ac:dyDescent="0.35">
      <c r="C835" s="129"/>
      <c r="D835" s="129"/>
      <c r="E835" s="129"/>
      <c r="F835" s="129"/>
      <c r="G835" s="129"/>
      <c r="H835" s="129"/>
      <c r="I835" s="129"/>
      <c r="J835" s="110"/>
      <c r="K835" s="129"/>
      <c r="L835" t="s">
        <v>351</v>
      </c>
      <c r="M835" s="129"/>
      <c r="N835" s="129"/>
      <c r="O835" s="129"/>
      <c r="P835" s="129"/>
      <c r="Q835" s="129"/>
      <c r="R835" s="129"/>
      <c r="S835" s="129"/>
      <c r="T835" s="129"/>
      <c r="U835" s="141"/>
      <c r="V835" s="139"/>
      <c r="W835" s="129"/>
      <c r="X835" s="129"/>
      <c r="Y835" s="129"/>
      <c r="Z835" s="129"/>
      <c r="AA835" s="129"/>
      <c r="AB835" s="115"/>
      <c r="AC835" s="129"/>
      <c r="AD835" s="149"/>
      <c r="AE835" s="129"/>
      <c r="AF835" s="129"/>
      <c r="AG835" s="129"/>
    </row>
    <row r="836" spans="3:33" x14ac:dyDescent="0.35">
      <c r="C836" s="129"/>
      <c r="D836" s="129"/>
      <c r="E836" s="129"/>
      <c r="F836" s="129"/>
      <c r="G836" s="129"/>
      <c r="H836" s="129"/>
      <c r="I836" s="129"/>
      <c r="J836" s="110"/>
      <c r="K836" s="129"/>
      <c r="L836" t="s">
        <v>351</v>
      </c>
      <c r="M836" s="129"/>
      <c r="N836" s="129"/>
      <c r="O836" s="129"/>
      <c r="P836" s="129"/>
      <c r="Q836" s="129"/>
      <c r="R836" s="129"/>
      <c r="S836" s="129"/>
      <c r="T836" s="129"/>
      <c r="U836" s="141"/>
      <c r="V836" s="139"/>
      <c r="W836" s="129"/>
      <c r="X836" s="129"/>
      <c r="Y836" s="129"/>
      <c r="Z836" s="129"/>
      <c r="AA836" s="129"/>
      <c r="AB836" s="115"/>
      <c r="AC836" s="129"/>
      <c r="AD836" s="149"/>
      <c r="AE836" s="129"/>
      <c r="AF836" s="129"/>
      <c r="AG836" s="129"/>
    </row>
    <row r="837" spans="3:33" x14ac:dyDescent="0.35">
      <c r="C837" s="129"/>
      <c r="D837" s="129"/>
      <c r="E837" s="129"/>
      <c r="F837" s="129"/>
      <c r="G837" s="129"/>
      <c r="H837" s="129"/>
      <c r="I837" s="129"/>
      <c r="J837" s="110"/>
      <c r="K837" s="129"/>
      <c r="L837" t="s">
        <v>351</v>
      </c>
      <c r="M837" s="129"/>
      <c r="N837" s="129"/>
      <c r="O837" s="129"/>
      <c r="P837" s="129"/>
      <c r="Q837" s="129"/>
      <c r="R837" s="129"/>
      <c r="S837" s="129"/>
      <c r="T837" s="129"/>
      <c r="U837" s="141"/>
      <c r="V837" s="139"/>
      <c r="W837" s="129"/>
      <c r="X837" s="129"/>
      <c r="Y837" s="129"/>
      <c r="Z837" s="129"/>
      <c r="AA837" s="129"/>
      <c r="AB837" s="115"/>
      <c r="AC837" s="129"/>
      <c r="AD837" s="149"/>
      <c r="AE837" s="129"/>
      <c r="AF837" s="129"/>
      <c r="AG837" s="129"/>
    </row>
    <row r="838" spans="3:33" x14ac:dyDescent="0.35">
      <c r="C838" s="129"/>
      <c r="D838" s="129"/>
      <c r="E838" s="129"/>
      <c r="F838" s="129"/>
      <c r="G838" s="129"/>
      <c r="H838" s="129"/>
      <c r="I838" s="129"/>
      <c r="J838" s="110"/>
      <c r="K838" s="129"/>
      <c r="L838" t="s">
        <v>351</v>
      </c>
      <c r="M838" s="129"/>
      <c r="N838" s="129"/>
      <c r="O838" s="129"/>
      <c r="P838" s="129"/>
      <c r="Q838" s="129"/>
      <c r="R838" s="129"/>
      <c r="S838" s="129"/>
      <c r="T838" s="129"/>
      <c r="U838" s="141"/>
      <c r="V838" s="139"/>
      <c r="W838" s="129"/>
      <c r="X838" s="129"/>
      <c r="Y838" s="129"/>
      <c r="Z838" s="129"/>
      <c r="AA838" s="129"/>
      <c r="AB838" s="115"/>
      <c r="AC838" s="129"/>
      <c r="AD838" s="149"/>
      <c r="AE838" s="129"/>
      <c r="AF838" s="129"/>
      <c r="AG838" s="129"/>
    </row>
    <row r="839" spans="3:33" x14ac:dyDescent="0.35">
      <c r="C839" s="129"/>
      <c r="D839" s="129"/>
      <c r="E839" s="129"/>
      <c r="F839" s="129"/>
      <c r="G839" s="129"/>
      <c r="H839" s="129"/>
      <c r="I839" s="129"/>
      <c r="J839" s="110"/>
      <c r="K839" s="129"/>
      <c r="L839" t="s">
        <v>351</v>
      </c>
      <c r="M839" s="129"/>
      <c r="N839" s="129"/>
      <c r="O839" s="129"/>
      <c r="P839" s="129"/>
      <c r="Q839" s="129"/>
      <c r="R839" s="129"/>
      <c r="S839" s="129"/>
      <c r="T839" s="129"/>
      <c r="U839" s="141"/>
      <c r="V839" s="139"/>
      <c r="W839" s="129"/>
      <c r="X839" s="129"/>
      <c r="Y839" s="129"/>
      <c r="Z839" s="129"/>
      <c r="AA839" s="129"/>
      <c r="AB839" s="115"/>
      <c r="AC839" s="129"/>
      <c r="AD839" s="149"/>
      <c r="AE839" s="129"/>
      <c r="AF839" s="129"/>
      <c r="AG839" s="129"/>
    </row>
    <row r="840" spans="3:33" x14ac:dyDescent="0.35">
      <c r="C840" s="129"/>
      <c r="D840" s="129"/>
      <c r="E840" s="129"/>
      <c r="F840" s="129"/>
      <c r="G840" s="129"/>
      <c r="H840" s="129"/>
      <c r="I840" s="129"/>
      <c r="J840" s="110"/>
      <c r="K840" s="129"/>
      <c r="L840" t="s">
        <v>351</v>
      </c>
      <c r="M840" s="129"/>
      <c r="N840" s="129"/>
      <c r="O840" s="129"/>
      <c r="P840" s="129"/>
      <c r="Q840" s="129"/>
      <c r="R840" s="129"/>
      <c r="S840" s="129"/>
      <c r="T840" s="129"/>
      <c r="U840" s="141"/>
      <c r="V840" s="139"/>
      <c r="W840" s="129"/>
      <c r="X840" s="129"/>
      <c r="Y840" s="129"/>
      <c r="Z840" s="129"/>
      <c r="AA840" s="129"/>
      <c r="AB840" s="115"/>
      <c r="AC840" s="129"/>
      <c r="AD840" s="149"/>
      <c r="AE840" s="129"/>
      <c r="AF840" s="129"/>
      <c r="AG840" s="129"/>
    </row>
  </sheetData>
  <phoneticPr fontId="7" type="noConversion"/>
  <conditionalFormatting sqref="J4:J840">
    <cfRule type="containsText" dxfId="39" priority="3" operator="containsText" text="Final">
      <formula>NOT(ISERROR(SEARCH("Final",J4)))</formula>
    </cfRule>
    <cfRule type="cellIs" dxfId="38" priority="4" operator="equal">
      <formula>"Issue"</formula>
    </cfRule>
    <cfRule type="containsText" dxfId="37" priority="5" operator="containsText" text="Unchecked">
      <formula>NOT(ISERROR(SEARCH("Unchecked",J4)))</formula>
    </cfRule>
    <cfRule type="containsText" dxfId="36" priority="6" operator="containsText" text="Placeholder">
      <formula>NOT(ISERROR(SEARCH("Placeholder",J4)))</formula>
    </cfRule>
    <cfRule type="containsText" dxfId="35" priority="7" operator="containsText" text="Incomplete">
      <formula>NOT(ISERROR(SEARCH("Incomplete",J4)))</formula>
    </cfRule>
  </conditionalFormatting>
  <conditionalFormatting sqref="L4:L840 P4:P840">
    <cfRule type="containsText" dxfId="34" priority="1" operator="containsText" text="Yes">
      <formula>NOT(ISERROR(SEARCH("Yes",L4)))</formula>
    </cfRule>
    <cfRule type="containsText" dxfId="33" priority="2" operator="containsText" text="No">
      <formula>NOT(ISERROR(SEARCH("No",L4)))</formula>
    </cfRule>
  </conditionalFormatting>
  <conditionalFormatting sqref="S841:T955 S4:S840">
    <cfRule type="containsText" dxfId="32" priority="8" operator="containsText" text="Yes">
      <formula>NOT(ISERROR(SEARCH("Yes",S4)))</formula>
    </cfRule>
    <cfRule type="containsText" dxfId="31" priority="9" operator="containsText" text="Partial">
      <formula>NOT(ISERROR(SEARCH("Partial",S4)))</formula>
    </cfRule>
    <cfRule type="containsText" dxfId="30" priority="10" operator="containsText" text="No">
      <formula>NOT(ISERROR(SEARCH("No",S4)))</formula>
    </cfRule>
  </conditionalFormatting>
  <dataValidations count="3">
    <dataValidation type="list" allowBlank="1" showInputMessage="1" showErrorMessage="1" sqref="J4:J840" xr:uid="{D9AB4B45-B6C9-4A38-99F8-EC4309BBAB6C}">
      <formula1>"Final, Unchecked, Placeholder, Incomplete, Issue"</formula1>
    </dataValidation>
    <dataValidation type="list" allowBlank="1" showInputMessage="1" showErrorMessage="1" sqref="P4:P840 L4:L840" xr:uid="{D4340D05-ED55-4FC5-96D6-8627F0DF89E1}">
      <formula1>"Yes, No"</formula1>
    </dataValidation>
    <dataValidation type="list" allowBlank="1" showInputMessage="1" showErrorMessage="1" sqref="S4:S840" xr:uid="{59A9A017-731B-4DCC-B251-EEFCA0528BB1}">
      <formula1>"Yes, Partial, No"</formula1>
    </dataValidation>
  </dataValidations>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8">
        <x14:dataValidation type="list" allowBlank="1" showInputMessage="1" showErrorMessage="1" xr:uid="{FA1DAE52-32B7-4512-8C7E-AD213E523062}">
          <x14:formula1>
            <xm:f>'RAW GWP FOSSIL'!$A$2:$A$1048576</xm:f>
          </x14:formula1>
          <xm:sqref>M26 M14 M30 M36:M37 M40 M46 M48 M50 M52 M58:M59 M54:M55 M62:M63 M67:M70 M85 M43:M44 M73:M74 M77:M78 M81:M82</xm:sqref>
        </x14:dataValidation>
        <x14:dataValidation type="list" allowBlank="1" showInputMessage="1" showErrorMessage="1" xr:uid="{14C2FAB6-E8EC-42C6-A703-F18068F7B9A8}">
          <x14:formula1>
            <xm:f>MATERIALS!$A$2:$A$500</xm:f>
          </x14:formula1>
          <xm:sqref>M8:M9 M83 M11:M13 M31:M35 M38:M39 M41 M15:M17 M45 M47 M49 M51 M56:M57 M60:M61 M64:M65 M71 M75 M79 M53</xm:sqref>
        </x14:dataValidation>
        <x14:dataValidation type="list" allowBlank="1" showInputMessage="1" showErrorMessage="1" xr:uid="{7AD34F1C-FAAD-4B95-8777-3C50903B9291}">
          <x14:formula1>
            <xm:f>'SCENARIO ASSUMPTIONS'!$V$6:$V$21</xm:f>
          </x14:formula1>
          <xm:sqref>I4:I840</xm:sqref>
        </x14:dataValidation>
        <x14:dataValidation type="list" allowBlank="1" showInputMessage="1" showErrorMessage="1" xr:uid="{3834FA62-5058-4F7A-9BCB-021FA55F4E11}">
          <x14:formula1>
            <xm:f>'SCENARIO ASSUMPTIONS'!$N$6:$N$21</xm:f>
          </x14:formula1>
          <xm:sqref>N4:N840</xm:sqref>
        </x14:dataValidation>
        <x14:dataValidation type="list" allowBlank="1" showInputMessage="1" showErrorMessage="1" xr:uid="{114B9E17-C517-433B-8CB9-105E30654625}">
          <x14:formula1>
            <xm:f>'SCENARIO ASSUMPTIONS'!$F$6:$F$21</xm:f>
          </x14:formula1>
          <xm:sqref>O4:O840</xm:sqref>
        </x14:dataValidation>
        <x14:dataValidation type="list" allowBlank="1" showInputMessage="1" showErrorMessage="1" xr:uid="{E79B30E8-ED05-4C99-89CC-D4301E32D599}">
          <x14:formula1>
            <xm:f>'SCENARIO ASSUMPTIONS'!$L$6:$L$21</xm:f>
          </x14:formula1>
          <xm:sqref>E4:E840</xm:sqref>
        </x14:dataValidation>
        <x14:dataValidation type="list" allowBlank="1" showInputMessage="1" showErrorMessage="1" xr:uid="{8DAD9EDE-75AC-49FD-8E74-F69F555B71F6}">
          <x14:formula1>
            <xm:f>'SCENARIO ASSUMPTIONS'!$J$6:$J$21</xm:f>
          </x14:formula1>
          <xm:sqref>D4:D840</xm:sqref>
        </x14:dataValidation>
        <x14:dataValidation type="list" allowBlank="1" showInputMessage="1" showErrorMessage="1" xr:uid="{E1DE59E2-55DA-4C87-BC71-356210BD8C4A}">
          <x14:formula1>
            <xm:f>'SCENARIO ASSUMPTIONS'!$H$6:$H$21</xm:f>
          </x14:formula1>
          <xm:sqref>C4:C840</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8AC73A-7429-4191-81FD-A89991D06735}">
  <sheetPr codeName="Sheet14">
    <tabColor rgb="FFFFFF00"/>
  </sheetPr>
  <dimension ref="A1:AH1024"/>
  <sheetViews>
    <sheetView topLeftCell="A95" workbookViewId="0">
      <selection activeCell="B103" sqref="B103:B114"/>
    </sheetView>
  </sheetViews>
  <sheetFormatPr defaultRowHeight="14.5" x14ac:dyDescent="0.35"/>
  <cols>
    <col min="1" max="1" width="10.81640625" bestFit="1" customWidth="1"/>
    <col min="2" max="2" width="25.54296875" bestFit="1" customWidth="1"/>
    <col min="3" max="3" width="14.26953125" customWidth="1"/>
    <col min="4" max="4" width="13.1796875" customWidth="1"/>
    <col min="5" max="6" width="15.90625" customWidth="1"/>
    <col min="7" max="7" width="15.453125" bestFit="1" customWidth="1"/>
    <col min="8" max="8" width="14" customWidth="1"/>
    <col min="9" max="13" width="37.6328125" customWidth="1"/>
    <col min="14" max="14" width="27.7265625" bestFit="1" customWidth="1"/>
    <col min="15" max="15" width="27.7265625" customWidth="1"/>
    <col min="16" max="16" width="15.26953125" bestFit="1" customWidth="1"/>
    <col min="17" max="17" width="20.08984375" bestFit="1" customWidth="1"/>
    <col min="18" max="18" width="22.26953125" bestFit="1" customWidth="1"/>
    <col min="19" max="19" width="42" customWidth="1"/>
    <col min="20" max="21" width="21.90625" customWidth="1"/>
    <col min="22" max="22" width="18.90625" style="106" customWidth="1"/>
    <col min="23" max="23" width="32.453125" style="12" customWidth="1"/>
    <col min="24" max="24" width="27.36328125" customWidth="1"/>
    <col min="25" max="25" width="22.6328125" customWidth="1"/>
    <col min="26" max="26" width="11.7265625" customWidth="1"/>
    <col min="27" max="27" width="11.54296875" customWidth="1"/>
    <col min="28" max="28" width="14.1796875" customWidth="1"/>
    <col min="29" max="29" width="21.81640625" customWidth="1"/>
    <col min="30" max="30" width="24.54296875" customWidth="1"/>
    <col min="31" max="31" width="19.26953125" customWidth="1"/>
    <col min="32" max="32" width="24.453125" customWidth="1"/>
    <col min="34" max="34" width="12.08984375" customWidth="1"/>
  </cols>
  <sheetData>
    <row r="1" spans="1:34" s="11" customFormat="1" x14ac:dyDescent="0.35">
      <c r="I1"/>
      <c r="J1"/>
      <c r="K1"/>
      <c r="L1"/>
      <c r="M1"/>
    </row>
    <row r="2" spans="1:34" s="11" customFormat="1" ht="116" x14ac:dyDescent="0.35">
      <c r="A2" s="11" t="s">
        <v>518</v>
      </c>
      <c r="G2" s="11" t="s">
        <v>535</v>
      </c>
      <c r="I2"/>
      <c r="J2"/>
      <c r="K2" s="11" t="s">
        <v>669</v>
      </c>
      <c r="M2"/>
      <c r="Q2" s="11" t="s">
        <v>525</v>
      </c>
      <c r="V2" s="11" t="s">
        <v>555</v>
      </c>
      <c r="Z2" s="11" t="s">
        <v>587</v>
      </c>
      <c r="AE2" s="11" t="s">
        <v>586</v>
      </c>
    </row>
    <row r="3" spans="1:34" s="63" customFormat="1" ht="68.5" customHeight="1" x14ac:dyDescent="0.35">
      <c r="B3" s="63" t="s">
        <v>451</v>
      </c>
      <c r="C3" s="63" t="s">
        <v>519</v>
      </c>
      <c r="D3" s="63" t="s">
        <v>69</v>
      </c>
      <c r="E3" s="63" t="s">
        <v>520</v>
      </c>
      <c r="F3" s="63" t="s">
        <v>557</v>
      </c>
      <c r="G3" s="63" t="s">
        <v>534</v>
      </c>
      <c r="H3" s="63" t="s">
        <v>595</v>
      </c>
      <c r="I3" s="110" t="s">
        <v>598</v>
      </c>
      <c r="J3" s="110" t="s">
        <v>823</v>
      </c>
      <c r="K3" s="110" t="s">
        <v>661</v>
      </c>
      <c r="L3" s="110" t="s">
        <v>658</v>
      </c>
      <c r="M3" s="110" t="s">
        <v>662</v>
      </c>
      <c r="N3" s="63" t="s">
        <v>521</v>
      </c>
      <c r="O3" s="63" t="s">
        <v>818</v>
      </c>
      <c r="P3" s="63" t="s">
        <v>531</v>
      </c>
      <c r="Q3" s="63" t="s">
        <v>524</v>
      </c>
      <c r="R3" s="63" t="s">
        <v>526</v>
      </c>
      <c r="S3" s="63" t="s">
        <v>540</v>
      </c>
      <c r="T3" s="63" t="s">
        <v>522</v>
      </c>
      <c r="U3" s="63" t="s">
        <v>570</v>
      </c>
      <c r="V3" s="63" t="s">
        <v>523</v>
      </c>
      <c r="W3" s="63" t="s">
        <v>541</v>
      </c>
      <c r="X3" s="63" t="s">
        <v>527</v>
      </c>
      <c r="Y3" s="63" t="s">
        <v>528</v>
      </c>
      <c r="Z3" s="63" t="s">
        <v>547</v>
      </c>
      <c r="AA3" s="63" t="s">
        <v>7</v>
      </c>
      <c r="AB3" s="63" t="s">
        <v>8</v>
      </c>
      <c r="AC3" s="63" t="s">
        <v>537</v>
      </c>
      <c r="AD3" s="63" t="s">
        <v>538</v>
      </c>
      <c r="AE3" s="63" t="s">
        <v>544</v>
      </c>
      <c r="AF3" s="63" t="s">
        <v>546</v>
      </c>
      <c r="AG3" s="63" t="s">
        <v>565</v>
      </c>
      <c r="AH3" s="63" t="s">
        <v>567</v>
      </c>
    </row>
    <row r="4" spans="1:34" x14ac:dyDescent="0.35">
      <c r="B4" s="115" t="str">
        <f>_xlfn.CONCAT(Master_Table[[#This Row],[Unique ID]],"_",Master_Table[[#This Row],[Model Source]],"_",Master_Table[[#This Row],[System Type]],Master_Table[[#This Row],[System Subtype]],"_",Master_Table[[#This Row],[External Finish Type]])</f>
        <v>A_LCA_LGSOpen_Brick</v>
      </c>
      <c r="C4" s="129" t="s">
        <v>512</v>
      </c>
      <c r="D4" s="129" t="s">
        <v>40</v>
      </c>
      <c r="E4" s="129" t="s">
        <v>558</v>
      </c>
      <c r="F4" s="129" t="s">
        <v>285</v>
      </c>
      <c r="G4" s="129" t="s">
        <v>550</v>
      </c>
      <c r="H4" s="129" t="s">
        <v>600</v>
      </c>
      <c r="I4" s="129" t="s">
        <v>599</v>
      </c>
      <c r="J4" s="129" t="s">
        <v>822</v>
      </c>
      <c r="K4" s="110" t="s">
        <v>659</v>
      </c>
      <c r="L4" s="129" t="s">
        <v>664</v>
      </c>
      <c r="M4" t="s">
        <v>351</v>
      </c>
      <c r="N4" s="130" t="s">
        <v>13</v>
      </c>
      <c r="O4" s="129" t="s">
        <v>816</v>
      </c>
      <c r="P4" s="129" t="s">
        <v>4</v>
      </c>
      <c r="Q4" t="s">
        <v>351</v>
      </c>
      <c r="R4" s="129" t="s">
        <v>543</v>
      </c>
      <c r="S4" s="129" t="s">
        <v>542</v>
      </c>
      <c r="T4" t="s">
        <v>352</v>
      </c>
      <c r="U4" s="129" t="s">
        <v>334</v>
      </c>
      <c r="V4" s="138">
        <v>8.9499999999999973E-6</v>
      </c>
      <c r="W4" s="139">
        <v>9.4600000000000009</v>
      </c>
      <c r="X4" s="129">
        <v>2.71</v>
      </c>
      <c r="Y4" s="129" t="s">
        <v>545</v>
      </c>
      <c r="Z4" s="143">
        <v>0.17899999999999999</v>
      </c>
      <c r="AA4" s="143">
        <v>2.4</v>
      </c>
      <c r="AB4" s="144">
        <v>1.1999999999999999E-3</v>
      </c>
      <c r="AC4" s="115">
        <f>Master_Table[[#This Row],[Length (m) (on wall)]]*Master_Table[[#This Row],[Height (m)]]*Master_Table[[#This Row],[Thickness (m)]]</f>
        <v>5.1551999999999989E-4</v>
      </c>
      <c r="AD4" s="129">
        <v>5</v>
      </c>
      <c r="AE4" s="149">
        <f>Master_Table[[#This Row],[Length (m) (on wall)]]*Master_Table[[#This Row],[Height (m)]]*Master_Table[[#This Row],[No. of elements in 1 panel]]/(2.4*2.4)</f>
        <v>0.37291666666666662</v>
      </c>
      <c r="AF4" s="150">
        <v>7800</v>
      </c>
      <c r="AG4" s="150">
        <f>Master_Table[[#This Row],[Element Volume (m^3)]]*Master_Table[[#This Row],[No. of elements in 1 panel]]*Master_Table[[#This Row],[Material Density (kg/m^3)]]/(2.4^2)</f>
        <v>3.490499999999999</v>
      </c>
      <c r="AH4" s="147">
        <v>50</v>
      </c>
    </row>
    <row r="5" spans="1:34" x14ac:dyDescent="0.35">
      <c r="B5" s="115" t="str">
        <f>_xlfn.CONCAT(Master_Table[[#This Row],[Unique ID]],"_",Master_Table[[#This Row],[Model Source]],"_",Master_Table[[#This Row],[System Type]],Master_Table[[#This Row],[System Subtype]],"_",Master_Table[[#This Row],[External Finish Type]])</f>
        <v>A_LCA_LGSOpen_Brick</v>
      </c>
      <c r="C5" s="129" t="s">
        <v>512</v>
      </c>
      <c r="D5" s="129" t="s">
        <v>40</v>
      </c>
      <c r="E5" s="129" t="s">
        <v>558</v>
      </c>
      <c r="F5" s="129" t="s">
        <v>285</v>
      </c>
      <c r="G5" s="129" t="s">
        <v>550</v>
      </c>
      <c r="H5" s="129" t="s">
        <v>600</v>
      </c>
      <c r="I5" s="129" t="s">
        <v>599</v>
      </c>
      <c r="J5" s="129" t="s">
        <v>822</v>
      </c>
      <c r="K5" s="110" t="s">
        <v>659</v>
      </c>
      <c r="L5" s="129" t="s">
        <v>664</v>
      </c>
      <c r="M5" t="s">
        <v>351</v>
      </c>
      <c r="N5" s="131" t="s">
        <v>14</v>
      </c>
      <c r="O5" s="129" t="s">
        <v>816</v>
      </c>
      <c r="P5" s="129" t="s">
        <v>4</v>
      </c>
      <c r="Q5" t="s">
        <v>351</v>
      </c>
      <c r="R5" s="129"/>
      <c r="S5" s="129" t="s">
        <v>548</v>
      </c>
      <c r="T5" t="s">
        <v>352</v>
      </c>
      <c r="U5" s="129" t="s">
        <v>334</v>
      </c>
      <c r="V5" s="138">
        <v>3.5799999999999996E-6</v>
      </c>
      <c r="W5" s="139">
        <v>3.7837019999999999</v>
      </c>
      <c r="X5" s="129">
        <v>2.71</v>
      </c>
      <c r="Y5" s="129" t="s">
        <v>545</v>
      </c>
      <c r="Z5" s="145">
        <v>0.17899999999999999</v>
      </c>
      <c r="AA5" s="145">
        <v>2.4</v>
      </c>
      <c r="AB5" s="146">
        <v>1.1999999999999999E-3</v>
      </c>
      <c r="AC5" s="115">
        <f>Master_Table[[#This Row],[Length (m) (on wall)]]*Master_Table[[#This Row],[Height (m)]]*Master_Table[[#This Row],[Thickness (m)]]</f>
        <v>5.1551999999999989E-4</v>
      </c>
      <c r="AD5" s="129">
        <v>2</v>
      </c>
      <c r="AE5" s="149">
        <f>Master_Table[[#This Row],[Length (m) (on wall)]]*Master_Table[[#This Row],[Height (m)]]*Master_Table[[#This Row],[No. of elements in 1 panel]]/(2.4*2.4)</f>
        <v>0.14916666666666667</v>
      </c>
      <c r="AF5" s="150">
        <v>7800</v>
      </c>
      <c r="AG5" s="150">
        <f>Master_Table[[#This Row],[Element Volume (m^3)]]*Master_Table[[#This Row],[No. of elements in 1 panel]]*Master_Table[[#This Row],[Material Density (kg/m^3)]]/(2.4^2)</f>
        <v>1.3961999999999997</v>
      </c>
      <c r="AH5" s="147">
        <v>50</v>
      </c>
    </row>
    <row r="6" spans="1:34" x14ac:dyDescent="0.35">
      <c r="B6" s="115" t="str">
        <f>_xlfn.CONCAT(Master_Table[[#This Row],[Unique ID]],"_",Master_Table[[#This Row],[Model Source]],"_",Master_Table[[#This Row],[System Type]],Master_Table[[#This Row],[System Subtype]],"_",Master_Table[[#This Row],[External Finish Type]])</f>
        <v>A_LCA_LGSOpen_Brick</v>
      </c>
      <c r="C6" s="129" t="s">
        <v>512</v>
      </c>
      <c r="D6" s="129" t="s">
        <v>40</v>
      </c>
      <c r="E6" s="129" t="s">
        <v>558</v>
      </c>
      <c r="F6" s="129" t="s">
        <v>285</v>
      </c>
      <c r="G6" s="129" t="s">
        <v>550</v>
      </c>
      <c r="H6" s="129" t="s">
        <v>600</v>
      </c>
      <c r="I6" s="129" t="s">
        <v>599</v>
      </c>
      <c r="J6" s="129" t="s">
        <v>822</v>
      </c>
      <c r="K6" s="110" t="s">
        <v>659</v>
      </c>
      <c r="L6" s="129" t="s">
        <v>664</v>
      </c>
      <c r="M6" t="s">
        <v>351</v>
      </c>
      <c r="N6" s="132" t="s">
        <v>15</v>
      </c>
      <c r="O6" s="129" t="s">
        <v>816</v>
      </c>
      <c r="P6" s="129" t="s">
        <v>4</v>
      </c>
      <c r="Q6" t="s">
        <v>351</v>
      </c>
      <c r="R6" s="129"/>
      <c r="S6" s="129" t="s">
        <v>549</v>
      </c>
      <c r="T6" t="s">
        <v>352</v>
      </c>
      <c r="U6" s="129" t="s">
        <v>334</v>
      </c>
      <c r="V6" s="138">
        <v>1.7899999999999998E-6</v>
      </c>
      <c r="W6" s="139">
        <v>1.8918509999999995</v>
      </c>
      <c r="X6" s="129">
        <v>2.71</v>
      </c>
      <c r="Y6" s="129" t="s">
        <v>545</v>
      </c>
      <c r="Z6" s="145">
        <v>0.17899999999999999</v>
      </c>
      <c r="AA6" s="145">
        <v>2.4</v>
      </c>
      <c r="AB6" s="146">
        <v>1.1999999999999999E-3</v>
      </c>
      <c r="AC6" s="115">
        <f>Master_Table[[#This Row],[Length (m) (on wall)]]*Master_Table[[#This Row],[Height (m)]]*Master_Table[[#This Row],[Thickness (m)]]</f>
        <v>5.1551999999999989E-4</v>
      </c>
      <c r="AD6" s="129">
        <v>1</v>
      </c>
      <c r="AE6" s="149">
        <f>Master_Table[[#This Row],[Length (m) (on wall)]]*Master_Table[[#This Row],[Height (m)]]*Master_Table[[#This Row],[No. of elements in 1 panel]]/(2.4*2.4)</f>
        <v>7.4583333333333335E-2</v>
      </c>
      <c r="AF6" s="150">
        <v>7800</v>
      </c>
      <c r="AG6" s="150">
        <f>Master_Table[[#This Row],[Element Volume (m^3)]]*Master_Table[[#This Row],[No. of elements in 1 panel]]*Master_Table[[#This Row],[Material Density (kg/m^3)]]/(2.4^2)</f>
        <v>0.69809999999999983</v>
      </c>
      <c r="AH6" s="147">
        <v>50</v>
      </c>
    </row>
    <row r="7" spans="1:34" x14ac:dyDescent="0.35">
      <c r="B7" s="115" t="str">
        <f>_xlfn.CONCAT(Master_Table[[#This Row],[Unique ID]],"_",Master_Table[[#This Row],[Model Source]],"_",Master_Table[[#This Row],[System Type]],Master_Table[[#This Row],[System Subtype]],"_",Master_Table[[#This Row],[External Finish Type]])</f>
        <v>A_LCA_LGSOpen_Brick</v>
      </c>
      <c r="C7" s="129" t="s">
        <v>512</v>
      </c>
      <c r="D7" s="129" t="s">
        <v>40</v>
      </c>
      <c r="E7" s="129" t="s">
        <v>558</v>
      </c>
      <c r="F7" s="129" t="s">
        <v>285</v>
      </c>
      <c r="G7" s="129" t="s">
        <v>550</v>
      </c>
      <c r="H7" s="129" t="s">
        <v>600</v>
      </c>
      <c r="I7" s="129" t="s">
        <v>599</v>
      </c>
      <c r="J7" s="129" t="s">
        <v>822</v>
      </c>
      <c r="K7" s="110" t="s">
        <v>659</v>
      </c>
      <c r="L7" s="129" t="s">
        <v>665</v>
      </c>
      <c r="M7" t="s">
        <v>351</v>
      </c>
      <c r="N7" s="133" t="s">
        <v>33</v>
      </c>
      <c r="O7" s="129" t="s">
        <v>816</v>
      </c>
      <c r="P7" s="129" t="s">
        <v>344</v>
      </c>
      <c r="Q7" t="s">
        <v>352</v>
      </c>
      <c r="R7" s="129" t="s">
        <v>552</v>
      </c>
      <c r="S7" s="129"/>
      <c r="T7" t="s">
        <v>352</v>
      </c>
      <c r="U7" s="129" t="s">
        <v>334</v>
      </c>
      <c r="V7" s="139">
        <v>1.0371428571428574</v>
      </c>
      <c r="W7" s="139">
        <v>8.9999999999999982</v>
      </c>
      <c r="X7" s="129">
        <v>1.25</v>
      </c>
      <c r="Y7" s="129" t="s">
        <v>545</v>
      </c>
      <c r="Z7" s="103">
        <v>0.6</v>
      </c>
      <c r="AA7" s="145">
        <v>2.4</v>
      </c>
      <c r="AB7" s="145">
        <v>0.09</v>
      </c>
      <c r="AC7" s="115">
        <f>Master_Table[[#This Row],[Length (m) (on wall)]]*Master_Table[[#This Row],[Height (m)]]*Master_Table[[#This Row],[Thickness (m)]]</f>
        <v>0.12959999999999999</v>
      </c>
      <c r="AD7" s="129">
        <v>4</v>
      </c>
      <c r="AE7" s="149">
        <v>1</v>
      </c>
      <c r="AF7" s="150">
        <v>80</v>
      </c>
      <c r="AG7" s="150">
        <f>Master_Table[[#This Row],[Thickness (m)]]*Master_Table[[#This Row],[Material Density (kg/m^3)]]</f>
        <v>7.1999999999999993</v>
      </c>
      <c r="AH7" s="147">
        <v>2.1999999999999999E-2</v>
      </c>
    </row>
    <row r="8" spans="1:34" x14ac:dyDescent="0.35">
      <c r="B8" s="115" t="str">
        <f>_xlfn.CONCAT(Master_Table[[#This Row],[Unique ID]],"_",Master_Table[[#This Row],[Model Source]],"_",Master_Table[[#This Row],[System Type]],Master_Table[[#This Row],[System Subtype]],"_",Master_Table[[#This Row],[External Finish Type]])</f>
        <v>A_LCA_LGSOpen_Brick</v>
      </c>
      <c r="C8" s="129" t="s">
        <v>512</v>
      </c>
      <c r="D8" s="129" t="s">
        <v>40</v>
      </c>
      <c r="E8" s="129" t="s">
        <v>558</v>
      </c>
      <c r="F8" s="129" t="s">
        <v>285</v>
      </c>
      <c r="G8" s="129" t="s">
        <v>550</v>
      </c>
      <c r="H8" s="129" t="s">
        <v>600</v>
      </c>
      <c r="I8" s="129" t="s">
        <v>599</v>
      </c>
      <c r="J8" s="129" t="s">
        <v>822</v>
      </c>
      <c r="K8" s="110" t="s">
        <v>660</v>
      </c>
      <c r="L8" s="129"/>
      <c r="M8" t="s">
        <v>351</v>
      </c>
      <c r="N8" s="133" t="s">
        <v>28</v>
      </c>
      <c r="O8" s="129" t="s">
        <v>816</v>
      </c>
      <c r="P8" s="129" t="s">
        <v>344</v>
      </c>
      <c r="Q8" t="s">
        <v>352</v>
      </c>
      <c r="R8" s="129" t="s">
        <v>553</v>
      </c>
      <c r="S8" s="129" t="s">
        <v>334</v>
      </c>
      <c r="T8" t="s">
        <v>352</v>
      </c>
      <c r="U8" s="129" t="s">
        <v>334</v>
      </c>
      <c r="V8" s="139">
        <v>3.6363636363636367</v>
      </c>
      <c r="W8" s="139">
        <v>7.9078399999999993</v>
      </c>
      <c r="X8" s="129">
        <v>3.089</v>
      </c>
      <c r="Y8" s="129" t="s">
        <v>545</v>
      </c>
      <c r="Z8" s="145">
        <v>2.4</v>
      </c>
      <c r="AA8" s="145">
        <v>1.2</v>
      </c>
      <c r="AB8" s="145">
        <v>0.08</v>
      </c>
      <c r="AC8" s="115">
        <f>Master_Table[[#This Row],[Length (m) (on wall)]]*Master_Table[[#This Row],[Height (m)]]*Master_Table[[#This Row],[Thickness (m)]]</f>
        <v>0.23039999999999999</v>
      </c>
      <c r="AD8" s="129">
        <v>2</v>
      </c>
      <c r="AE8" s="149">
        <v>1</v>
      </c>
      <c r="AF8" s="150">
        <v>32</v>
      </c>
      <c r="AG8" s="150">
        <f>Master_Table[[#This Row],[Thickness (m)]]*Master_Table[[#This Row],[Material Density (kg/m^3)]]</f>
        <v>2.56</v>
      </c>
      <c r="AH8" s="147">
        <v>0.3</v>
      </c>
    </row>
    <row r="9" spans="1:34" x14ac:dyDescent="0.35">
      <c r="B9" s="115" t="str">
        <f>_xlfn.CONCAT(Master_Table[[#This Row],[Unique ID]],"_",Master_Table[[#This Row],[Model Source]],"_",Master_Table[[#This Row],[System Type]],Master_Table[[#This Row],[System Subtype]],"_",Master_Table[[#This Row],[External Finish Type]])</f>
        <v>A_LCA_LGSOpen_Brick</v>
      </c>
      <c r="C9" s="129" t="s">
        <v>512</v>
      </c>
      <c r="D9" s="129" t="s">
        <v>40</v>
      </c>
      <c r="E9" s="129" t="s">
        <v>558</v>
      </c>
      <c r="F9" s="129" t="s">
        <v>285</v>
      </c>
      <c r="G9" s="129" t="s">
        <v>550</v>
      </c>
      <c r="H9" s="129" t="s">
        <v>600</v>
      </c>
      <c r="I9" s="129" t="s">
        <v>599</v>
      </c>
      <c r="J9" s="129" t="s">
        <v>822</v>
      </c>
      <c r="K9" s="110" t="s">
        <v>660</v>
      </c>
      <c r="L9" s="129"/>
      <c r="M9" t="s">
        <v>351</v>
      </c>
      <c r="N9" s="133" t="s">
        <v>29</v>
      </c>
      <c r="O9" s="129" t="s">
        <v>816</v>
      </c>
      <c r="P9" s="129" t="s">
        <v>470</v>
      </c>
      <c r="Q9" t="s">
        <v>352</v>
      </c>
      <c r="R9" s="129" t="s">
        <v>554</v>
      </c>
      <c r="S9" s="129" t="s">
        <v>334</v>
      </c>
      <c r="T9" t="s">
        <v>352</v>
      </c>
      <c r="U9" s="129" t="s">
        <v>334</v>
      </c>
      <c r="V9" s="138">
        <v>1.5E-3</v>
      </c>
      <c r="W9" s="139">
        <v>0.25229166666666669</v>
      </c>
      <c r="X9" s="129">
        <v>4.2</v>
      </c>
      <c r="Y9" s="129" t="s">
        <v>545</v>
      </c>
      <c r="Z9" s="130">
        <v>2.4</v>
      </c>
      <c r="AA9" s="130">
        <v>2.4</v>
      </c>
      <c r="AB9" s="130">
        <v>4.4999999999999999E-4</v>
      </c>
      <c r="AC9" s="115">
        <f>Master_Table[[#This Row],[Length (m) (on wall)]]*Master_Table[[#This Row],[Height (m)]]*Master_Table[[#This Row],[Thickness (m)]]</f>
        <v>2.5919999999999997E-3</v>
      </c>
      <c r="AD9" s="129">
        <v>1</v>
      </c>
      <c r="AE9" s="149">
        <v>1</v>
      </c>
      <c r="AF9" s="151">
        <v>0</v>
      </c>
      <c r="AG9" s="151">
        <v>0.34599999999999997</v>
      </c>
      <c r="AH9" s="147">
        <v>0.3</v>
      </c>
    </row>
    <row r="10" spans="1:34" x14ac:dyDescent="0.35">
      <c r="B10" s="115" t="str">
        <f>_xlfn.CONCAT(Master_Table[[#This Row],[Unique ID]],"_",Master_Table[[#This Row],[Model Source]],"_",Master_Table[[#This Row],[System Type]],Master_Table[[#This Row],[System Subtype]],"_",Master_Table[[#This Row],[External Finish Type]])</f>
        <v>A_LCA_LGSOpen_Brick</v>
      </c>
      <c r="C10" s="129" t="s">
        <v>512</v>
      </c>
      <c r="D10" s="129" t="s">
        <v>40</v>
      </c>
      <c r="E10" s="129" t="s">
        <v>558</v>
      </c>
      <c r="F10" s="129" t="s">
        <v>285</v>
      </c>
      <c r="G10" s="129" t="s">
        <v>550</v>
      </c>
      <c r="H10" s="129" t="s">
        <v>600</v>
      </c>
      <c r="I10" s="129" t="s">
        <v>599</v>
      </c>
      <c r="J10" s="129" t="s">
        <v>822</v>
      </c>
      <c r="K10" s="110" t="s">
        <v>663</v>
      </c>
      <c r="L10" s="129"/>
      <c r="M10" t="s">
        <v>351</v>
      </c>
      <c r="N10" s="130" t="s">
        <v>285</v>
      </c>
      <c r="O10" s="129" t="s">
        <v>663</v>
      </c>
      <c r="P10" s="129" t="s">
        <v>346</v>
      </c>
      <c r="Q10" t="s">
        <v>351</v>
      </c>
      <c r="R10" s="129" t="s">
        <v>564</v>
      </c>
      <c r="S10" s="129" t="s">
        <v>563</v>
      </c>
      <c r="T10" t="s">
        <v>352</v>
      </c>
      <c r="U10" s="129" t="s">
        <v>334</v>
      </c>
      <c r="V10" s="140">
        <v>0.12987012987012989</v>
      </c>
      <c r="W10" s="138">
        <f>Master_Table[[#This Row],[Raw A1-A3/Conversion factor]]*Master_Table[[#This Row],[Total Mass per m^2 (kg)]]</f>
        <v>42.199999999999996</v>
      </c>
      <c r="X10" s="134">
        <v>0.21099999999999999</v>
      </c>
      <c r="Y10" s="134" t="s">
        <v>545</v>
      </c>
      <c r="Z10" s="134">
        <v>1</v>
      </c>
      <c r="AA10" s="134">
        <v>1</v>
      </c>
      <c r="AB10" s="134">
        <v>0.1</v>
      </c>
      <c r="AC10" s="115">
        <f>Master_Table[[#This Row],[Length (m) (on wall)]]*Master_Table[[#This Row],[Height (m)]]*Master_Table[[#This Row],[Thickness (m)]]</f>
        <v>0.1</v>
      </c>
      <c r="AD10" s="134">
        <v>1</v>
      </c>
      <c r="AE10" s="152">
        <v>1</v>
      </c>
      <c r="AF10" s="153">
        <v>2000</v>
      </c>
      <c r="AG10" s="150">
        <f>Master_Table[[#This Row],[Element Volume (m^3)]]*Master_Table[[#This Row],[No. of elements in 1 panel]]*Master_Table[[#This Row],[Material Density (kg/m^3)]]</f>
        <v>200</v>
      </c>
      <c r="AH10" s="129">
        <v>0.77</v>
      </c>
    </row>
    <row r="11" spans="1:34" x14ac:dyDescent="0.35">
      <c r="B11" s="115" t="str">
        <f>_xlfn.CONCAT(Master_Table[[#This Row],[Unique ID]],"_",Master_Table[[#This Row],[Model Source]],"_",Master_Table[[#This Row],[System Type]],Master_Table[[#This Row],[System Subtype]],"_",Master_Table[[#This Row],[External Finish Type]])</f>
        <v>A_LCA_LGSOpen_Brick</v>
      </c>
      <c r="C11" s="129" t="s">
        <v>512</v>
      </c>
      <c r="D11" s="129" t="s">
        <v>40</v>
      </c>
      <c r="E11" s="129" t="s">
        <v>558</v>
      </c>
      <c r="F11" s="129" t="s">
        <v>285</v>
      </c>
      <c r="G11" s="129" t="s">
        <v>550</v>
      </c>
      <c r="H11" s="129" t="s">
        <v>600</v>
      </c>
      <c r="I11" s="129" t="s">
        <v>599</v>
      </c>
      <c r="J11" s="129" t="s">
        <v>822</v>
      </c>
      <c r="K11" s="110" t="s">
        <v>659</v>
      </c>
      <c r="L11" s="129" t="s">
        <v>807</v>
      </c>
      <c r="M11" t="s">
        <v>351</v>
      </c>
      <c r="N11" s="79" t="s">
        <v>796</v>
      </c>
      <c r="O11" s="134" t="s">
        <v>815</v>
      </c>
      <c r="P11" s="134" t="s">
        <v>346</v>
      </c>
      <c r="Q11" t="s">
        <v>351</v>
      </c>
      <c r="R11" s="134" t="s">
        <v>584</v>
      </c>
      <c r="S11" s="129" t="s">
        <v>576</v>
      </c>
      <c r="T11" t="s">
        <v>351</v>
      </c>
      <c r="U11" s="129" t="s">
        <v>808</v>
      </c>
      <c r="V11" s="140">
        <v>0</v>
      </c>
      <c r="W11" s="124">
        <f>_xlfn.XLOOKUP(Master_Table[[#This Row],[Component Name]],'GWP NORMALISED'!$A$2:$A$500,'GWP NORMALISED'!$H$2:$H$500,FALSE)</f>
        <v>4.1849999999999996</v>
      </c>
      <c r="X11" s="125">
        <f>_xlfn.XLOOKUP(Master_Table[[#This Row],[Component Name]],'RAW GWP FOSSIL'!$A$2:$A$500,'RAW GWP FOSSIL'!$H$2:$H$500,FALSE)</f>
        <v>135</v>
      </c>
      <c r="Y11" s="129" t="s">
        <v>545</v>
      </c>
      <c r="Z11" s="129">
        <v>1</v>
      </c>
      <c r="AA11" s="129">
        <v>1.2E-2</v>
      </c>
      <c r="AB11" s="129">
        <v>0.1</v>
      </c>
      <c r="AC11" s="115">
        <f>Master_Table[[#This Row],[Length (m) (on wall)]]*Master_Table[[#This Row],[Height (m)]]*Master_Table[[#This Row],[Thickness (m)]]</f>
        <v>1.2000000000000001E-3</v>
      </c>
      <c r="AD11" s="129">
        <v>5</v>
      </c>
      <c r="AE11" s="149">
        <f>Master_Table[[#This Row],[Length (m) (on wall)]]*Master_Table[[#This Row],[Height (m)]]/1</f>
        <v>1.2E-2</v>
      </c>
      <c r="AF11" s="147">
        <v>2000</v>
      </c>
      <c r="AG11" s="129">
        <f>0.031*1000</f>
        <v>31</v>
      </c>
      <c r="AH11" s="147">
        <v>2</v>
      </c>
    </row>
    <row r="12" spans="1:34" x14ac:dyDescent="0.35">
      <c r="B12" s="115" t="str">
        <f>_xlfn.CONCAT(Master_Table[[#This Row],[Unique ID]],"_",Master_Table[[#This Row],[Model Source]],"_",Master_Table[[#This Row],[System Type]],Master_Table[[#This Row],[System Subtype]],"_",Master_Table[[#This Row],[External Finish Type]])</f>
        <v>A_LCA_LGSOpen_Brick</v>
      </c>
      <c r="C12" s="129" t="s">
        <v>512</v>
      </c>
      <c r="D12" s="129" t="s">
        <v>40</v>
      </c>
      <c r="E12" s="129" t="s">
        <v>558</v>
      </c>
      <c r="F12" s="129" t="s">
        <v>285</v>
      </c>
      <c r="G12" s="129" t="s">
        <v>550</v>
      </c>
      <c r="H12" s="129" t="s">
        <v>600</v>
      </c>
      <c r="I12" s="129" t="s">
        <v>599</v>
      </c>
      <c r="J12" s="129" t="s">
        <v>822</v>
      </c>
      <c r="K12" s="110" t="s">
        <v>663</v>
      </c>
      <c r="L12" s="129"/>
      <c r="M12" t="s">
        <v>351</v>
      </c>
      <c r="N12" s="129" t="s">
        <v>355</v>
      </c>
      <c r="O12" s="129" t="s">
        <v>817</v>
      </c>
      <c r="P12" s="129" t="s">
        <v>346</v>
      </c>
      <c r="Q12" t="s">
        <v>351</v>
      </c>
      <c r="R12" s="129" t="s">
        <v>583</v>
      </c>
      <c r="S12" s="129" t="s">
        <v>577</v>
      </c>
      <c r="T12" t="s">
        <v>352</v>
      </c>
      <c r="U12" s="129" t="s">
        <v>334</v>
      </c>
      <c r="V12" s="140">
        <v>2</v>
      </c>
      <c r="W12" s="138">
        <v>0</v>
      </c>
      <c r="X12" s="147">
        <v>0</v>
      </c>
      <c r="Y12" s="129" t="s">
        <v>545</v>
      </c>
      <c r="Z12" s="129">
        <v>1</v>
      </c>
      <c r="AA12" s="129">
        <v>1</v>
      </c>
      <c r="AB12" s="129">
        <v>0.1</v>
      </c>
      <c r="AC12" s="115">
        <f>Master_Table[[#This Row],[Length (m) (on wall)]]*Master_Table[[#This Row],[Height (m)]]*Master_Table[[#This Row],[Thickness (m)]]</f>
        <v>0.1</v>
      </c>
      <c r="AD12" s="129">
        <v>1</v>
      </c>
      <c r="AE12" s="149">
        <v>1</v>
      </c>
      <c r="AF12" s="129">
        <v>1.2</v>
      </c>
      <c r="AG12" s="129">
        <f>Master_Table[[#This Row],[Material Density (kg/m^3)]]*Master_Table[[#This Row],[Thickness (m)]]</f>
        <v>0.12</v>
      </c>
      <c r="AH12" s="129">
        <v>2.5000000000000001E-2</v>
      </c>
    </row>
    <row r="13" spans="1:34" x14ac:dyDescent="0.35">
      <c r="B13" s="115" t="str">
        <f>_xlfn.CONCAT(Master_Table[[#This Row],[Unique ID]],"_",Master_Table[[#This Row],[Model Source]],"_",Master_Table[[#This Row],[System Type]],Master_Table[[#This Row],[System Subtype]],"_",Master_Table[[#This Row],[External Finish Type]])</f>
        <v>A_LCA_LGSOpen_Brick</v>
      </c>
      <c r="C13" s="129" t="s">
        <v>512</v>
      </c>
      <c r="D13" s="129" t="s">
        <v>40</v>
      </c>
      <c r="E13" s="129" t="s">
        <v>558</v>
      </c>
      <c r="F13" s="129" t="s">
        <v>285</v>
      </c>
      <c r="G13" s="129" t="s">
        <v>550</v>
      </c>
      <c r="H13" s="129" t="s">
        <v>600</v>
      </c>
      <c r="I13" s="129" t="s">
        <v>599</v>
      </c>
      <c r="J13" s="129" t="s">
        <v>822</v>
      </c>
      <c r="K13" s="110" t="s">
        <v>663</v>
      </c>
      <c r="L13" s="129"/>
      <c r="M13" t="s">
        <v>351</v>
      </c>
      <c r="N13" s="134" t="s">
        <v>349</v>
      </c>
      <c r="O13" s="134" t="s">
        <v>663</v>
      </c>
      <c r="P13" s="134" t="s">
        <v>347</v>
      </c>
      <c r="Q13" t="s">
        <v>351</v>
      </c>
      <c r="R13" s="134" t="s">
        <v>582</v>
      </c>
      <c r="S13" s="134" t="s">
        <v>578</v>
      </c>
      <c r="T13" t="s">
        <v>352</v>
      </c>
      <c r="U13" s="129" t="s">
        <v>334</v>
      </c>
      <c r="V13" s="140">
        <v>6.5789473684210523E-2</v>
      </c>
      <c r="W13" s="138">
        <v>1.839</v>
      </c>
      <c r="X13" s="147">
        <v>0</v>
      </c>
      <c r="Y13" s="129" t="s">
        <v>545</v>
      </c>
      <c r="Z13" s="129">
        <v>1</v>
      </c>
      <c r="AA13" s="129">
        <v>1</v>
      </c>
      <c r="AB13" s="129">
        <v>1.4999999999999999E-2</v>
      </c>
      <c r="AC13" s="115">
        <f>Master_Table[[#This Row],[Length (m) (on wall)]]*Master_Table[[#This Row],[Height (m)]]*Master_Table[[#This Row],[Thickness (m)]]</f>
        <v>1.4999999999999999E-2</v>
      </c>
      <c r="AD13" s="129">
        <v>1</v>
      </c>
      <c r="AE13" s="149">
        <v>1</v>
      </c>
      <c r="AF13" s="147">
        <v>615</v>
      </c>
      <c r="AG13" s="147">
        <f>Master_Table[[#This Row],[Material Density (kg/m^3)]]*Master_Table[[#This Row],[Thickness (m)]]</f>
        <v>9.2249999999999996</v>
      </c>
      <c r="AH13" s="147">
        <v>0.19</v>
      </c>
    </row>
    <row r="14" spans="1:34" x14ac:dyDescent="0.35">
      <c r="B14" s="115" t="str">
        <f>_xlfn.CONCAT(Master_Table[[#This Row],[Unique ID]],"_",Master_Table[[#This Row],[Model Source]],"_",Master_Table[[#This Row],[System Type]],Master_Table[[#This Row],[System Subtype]],"_",Master_Table[[#This Row],[External Finish Type]])</f>
        <v>A_LCA_LGSOpen_Brick</v>
      </c>
      <c r="C14" s="129" t="s">
        <v>512</v>
      </c>
      <c r="D14" s="129" t="s">
        <v>40</v>
      </c>
      <c r="E14" s="129" t="s">
        <v>558</v>
      </c>
      <c r="F14" s="129" t="s">
        <v>285</v>
      </c>
      <c r="G14" s="129" t="s">
        <v>550</v>
      </c>
      <c r="H14" s="129" t="s">
        <v>600</v>
      </c>
      <c r="I14" s="129" t="s">
        <v>599</v>
      </c>
      <c r="J14" s="129" t="s">
        <v>822</v>
      </c>
      <c r="K14" s="110" t="s">
        <v>663</v>
      </c>
      <c r="L14" s="129"/>
      <c r="M14" t="s">
        <v>351</v>
      </c>
      <c r="N14" s="134" t="s">
        <v>566</v>
      </c>
      <c r="O14" s="134" t="s">
        <v>663</v>
      </c>
      <c r="P14" s="134" t="s">
        <v>347</v>
      </c>
      <c r="Q14" t="s">
        <v>351</v>
      </c>
      <c r="R14" s="134" t="s">
        <v>566</v>
      </c>
      <c r="S14" s="134" t="s">
        <v>580</v>
      </c>
      <c r="T14" t="s">
        <v>352</v>
      </c>
      <c r="U14" s="129" t="s">
        <v>334</v>
      </c>
      <c r="V14" s="140">
        <v>0</v>
      </c>
      <c r="W14" s="138">
        <v>1</v>
      </c>
      <c r="X14" s="147">
        <v>0</v>
      </c>
      <c r="Y14" s="129" t="s">
        <v>545</v>
      </c>
      <c r="Z14" s="134">
        <v>1</v>
      </c>
      <c r="AA14" s="134">
        <v>1</v>
      </c>
      <c r="AB14" s="134">
        <v>1</v>
      </c>
      <c r="AC14" s="115">
        <f>Master_Table[[#This Row],[Length (m) (on wall)]]*Master_Table[[#This Row],[Height (m)]]*Master_Table[[#This Row],[Thickness (m)]]</f>
        <v>1</v>
      </c>
      <c r="AD14" s="134">
        <v>1</v>
      </c>
      <c r="AE14" s="152">
        <v>1</v>
      </c>
      <c r="AF14" s="134">
        <v>0</v>
      </c>
      <c r="AG14" s="134">
        <v>0.05</v>
      </c>
      <c r="AH14" s="134">
        <v>0</v>
      </c>
    </row>
    <row r="15" spans="1:34" x14ac:dyDescent="0.35">
      <c r="B15" s="115" t="str">
        <f>_xlfn.CONCAT(Master_Table[[#This Row],[Unique ID]],"_",Master_Table[[#This Row],[Model Source]],"_",Master_Table[[#This Row],[System Type]],Master_Table[[#This Row],[System Subtype]],"_",Master_Table[[#This Row],[External Finish Type]])</f>
        <v>A_LCA_LGSOpen_Brick</v>
      </c>
      <c r="C15" s="129" t="s">
        <v>512</v>
      </c>
      <c r="D15" s="129" t="s">
        <v>40</v>
      </c>
      <c r="E15" s="129" t="s">
        <v>558</v>
      </c>
      <c r="F15" s="129" t="s">
        <v>285</v>
      </c>
      <c r="G15" s="129" t="s">
        <v>550</v>
      </c>
      <c r="H15" s="129" t="s">
        <v>600</v>
      </c>
      <c r="I15" s="129" t="s">
        <v>599</v>
      </c>
      <c r="J15" s="129" t="s">
        <v>822</v>
      </c>
      <c r="K15" s="110" t="s">
        <v>663</v>
      </c>
      <c r="L15" s="129"/>
      <c r="M15" t="s">
        <v>351</v>
      </c>
      <c r="N15" s="129" t="s">
        <v>355</v>
      </c>
      <c r="O15" s="134" t="s">
        <v>663</v>
      </c>
      <c r="P15" s="129" t="s">
        <v>347</v>
      </c>
      <c r="Q15" t="s">
        <v>351</v>
      </c>
      <c r="R15" s="129" t="s">
        <v>581</v>
      </c>
      <c r="S15" s="129" t="s">
        <v>579</v>
      </c>
      <c r="T15" t="s">
        <v>352</v>
      </c>
      <c r="U15" s="129" t="s">
        <v>334</v>
      </c>
      <c r="V15" s="140">
        <v>0.5</v>
      </c>
      <c r="W15" s="148">
        <v>0</v>
      </c>
      <c r="X15" s="129">
        <v>0</v>
      </c>
      <c r="Y15" s="129" t="s">
        <v>545</v>
      </c>
      <c r="Z15" s="129">
        <v>1</v>
      </c>
      <c r="AA15" s="129">
        <v>1</v>
      </c>
      <c r="AB15" s="134">
        <v>0.05</v>
      </c>
      <c r="AC15" s="115">
        <f>Master_Table[[#This Row],[Length (m) (on wall)]]*Master_Table[[#This Row],[Height (m)]]*Master_Table[[#This Row],[Thickness (m)]]</f>
        <v>0.05</v>
      </c>
      <c r="AD15" s="129">
        <v>1</v>
      </c>
      <c r="AE15" s="149">
        <v>1</v>
      </c>
      <c r="AF15" s="129">
        <v>1.2</v>
      </c>
      <c r="AG15" s="129">
        <f>Master_Table[[#This Row],[Material Density (kg/m^3)]]*Master_Table[[#This Row],[Thickness (m)]]</f>
        <v>0.06</v>
      </c>
      <c r="AH15" s="129">
        <v>2.5000000000000001E-2</v>
      </c>
    </row>
    <row r="16" spans="1:34" x14ac:dyDescent="0.35">
      <c r="B16" s="115" t="str">
        <f>_xlfn.CONCAT(Master_Table[[#This Row],[Unique ID]],"_",Master_Table[[#This Row],[Model Source]],"_",Master_Table[[#This Row],[System Type]],Master_Table[[#This Row],[System Subtype]],"_",Master_Table[[#This Row],[External Finish Type]])</f>
        <v>A_LCA_LGSOpen_Brick</v>
      </c>
      <c r="C16" s="129" t="s">
        <v>512</v>
      </c>
      <c r="D16" s="129" t="s">
        <v>40</v>
      </c>
      <c r="E16" s="129" t="s">
        <v>558</v>
      </c>
      <c r="F16" s="129" t="s">
        <v>285</v>
      </c>
      <c r="G16" s="129" t="s">
        <v>550</v>
      </c>
      <c r="H16" s="129" t="s">
        <v>600</v>
      </c>
      <c r="I16" s="129" t="s">
        <v>599</v>
      </c>
      <c r="J16" s="129" t="s">
        <v>822</v>
      </c>
      <c r="K16" s="110" t="s">
        <v>663</v>
      </c>
      <c r="L16" s="129" t="s">
        <v>809</v>
      </c>
      <c r="M16" s="179" t="s">
        <v>351</v>
      </c>
      <c r="N16" s="178" t="s">
        <v>810</v>
      </c>
      <c r="O16" s="134" t="s">
        <v>663</v>
      </c>
      <c r="P16" s="129" t="s">
        <v>811</v>
      </c>
      <c r="Q16" t="s">
        <v>352</v>
      </c>
      <c r="R16" s="178" t="s">
        <v>812</v>
      </c>
      <c r="S16" s="129"/>
      <c r="T16" t="s">
        <v>351</v>
      </c>
      <c r="U16" s="129" t="s">
        <v>813</v>
      </c>
      <c r="V16" s="140">
        <v>0</v>
      </c>
      <c r="W16" s="138">
        <v>1</v>
      </c>
      <c r="X16" s="147">
        <v>0</v>
      </c>
      <c r="Y16" s="129"/>
      <c r="Z16" s="134">
        <v>1</v>
      </c>
      <c r="AA16" s="134">
        <v>1</v>
      </c>
      <c r="AB16" s="134">
        <v>1</v>
      </c>
      <c r="AC16" s="115">
        <f>Master_Table[[#This Row],[Length (m) (on wall)]]*Master_Table[[#This Row],[Height (m)]]*Master_Table[[#This Row],[Thickness (m)]]</f>
        <v>1</v>
      </c>
      <c r="AD16" s="134">
        <v>1</v>
      </c>
      <c r="AE16" s="152">
        <v>1</v>
      </c>
      <c r="AF16" s="134">
        <v>0</v>
      </c>
      <c r="AG16" s="134">
        <v>0.05</v>
      </c>
      <c r="AH16" s="134">
        <v>0</v>
      </c>
    </row>
    <row r="17" spans="2:34" x14ac:dyDescent="0.35">
      <c r="B17" s="115" t="str">
        <f>_xlfn.CONCAT(Master_Table[[#This Row],[Unique ID]],"_",Master_Table[[#This Row],[Model Source]],"_",Master_Table[[#This Row],[System Type]],Master_Table[[#This Row],[System Subtype]],"_",Master_Table[[#This Row],[External Finish Type]])</f>
        <v>Horizon_EPD_LGSOpen_Brick</v>
      </c>
      <c r="C17" s="129" t="s">
        <v>513</v>
      </c>
      <c r="D17" s="129" t="s">
        <v>40</v>
      </c>
      <c r="E17" s="129" t="s">
        <v>558</v>
      </c>
      <c r="F17" s="129" t="s">
        <v>285</v>
      </c>
      <c r="G17" s="129" t="s">
        <v>536</v>
      </c>
      <c r="H17" s="129" t="s">
        <v>601</v>
      </c>
      <c r="I17" s="129" t="s">
        <v>597</v>
      </c>
      <c r="J17" s="129" t="s">
        <v>822</v>
      </c>
      <c r="K17" s="110" t="s">
        <v>660</v>
      </c>
      <c r="L17" s="129"/>
      <c r="M17" t="s">
        <v>351</v>
      </c>
      <c r="N17" s="135" t="s">
        <v>166</v>
      </c>
      <c r="O17" s="135" t="s">
        <v>814</v>
      </c>
      <c r="P17" s="129" t="s">
        <v>4</v>
      </c>
      <c r="Q17" t="s">
        <v>352</v>
      </c>
      <c r="R17" s="129" t="s">
        <v>539</v>
      </c>
      <c r="S17" s="129" t="s">
        <v>334</v>
      </c>
      <c r="T17" t="s">
        <v>352</v>
      </c>
      <c r="U17" s="129" t="s">
        <v>334</v>
      </c>
      <c r="V17" s="138">
        <f>SUM(V18:V20)</f>
        <v>2.1626984126984126</v>
      </c>
      <c r="W17" s="124">
        <f>_xlfn.XLOOKUP(Master_Table[[#This Row],[Component Name]],'GWP NORMALISED'!$A$2:$A$500,'GWP NORMALISED'!$H$2:$H$500,FALSE)</f>
        <v>9.9992200000000011</v>
      </c>
      <c r="X17" s="125">
        <f>_xlfn.XLOOKUP(Master_Table[[#This Row],[Component Name]],'RAW GWP FOSSIL'!$A$2:$A$500,'RAW GWP FOSSIL'!$H$2:$H$500,FALSE)</f>
        <v>2.1139999999999999</v>
      </c>
      <c r="Y17" s="129" t="s">
        <v>545</v>
      </c>
      <c r="Z17" s="129" t="b">
        <v>0</v>
      </c>
      <c r="AA17" s="129" t="b">
        <v>0</v>
      </c>
      <c r="AB17" s="129" t="b">
        <v>0</v>
      </c>
      <c r="AC17" s="115">
        <f>Master_Table[[#This Row],[Length (m) (on wall)]]*Master_Table[[#This Row],[Height (m)]]*Master_Table[[#This Row],[Thickness (m)]]</f>
        <v>0</v>
      </c>
      <c r="AD17" s="129" t="b">
        <v>0</v>
      </c>
      <c r="AE17" s="129" t="b">
        <v>0</v>
      </c>
      <c r="AF17" s="151">
        <v>7800</v>
      </c>
      <c r="AG17" s="154">
        <v>4.7300000000000004</v>
      </c>
      <c r="AH17" s="147">
        <v>50</v>
      </c>
    </row>
    <row r="18" spans="2:34" x14ac:dyDescent="0.35">
      <c r="B18" s="115" t="str">
        <f>_xlfn.CONCAT(Master_Table[[#This Row],[Unique ID]],"_",Master_Table[[#This Row],[Model Source]],"_",Master_Table[[#This Row],[System Type]],Master_Table[[#This Row],[System Subtype]],"_",Master_Table[[#This Row],[External Finish Type]])</f>
        <v>Horizon_EPD_LGSOpen_Brick</v>
      </c>
      <c r="C18" s="129" t="s">
        <v>513</v>
      </c>
      <c r="D18" s="129" t="s">
        <v>40</v>
      </c>
      <c r="E18" s="129" t="s">
        <v>558</v>
      </c>
      <c r="F18" s="129" t="s">
        <v>285</v>
      </c>
      <c r="G18" s="129" t="s">
        <v>536</v>
      </c>
      <c r="H18" s="129" t="s">
        <v>601</v>
      </c>
      <c r="I18" s="129" t="s">
        <v>597</v>
      </c>
      <c r="J18" s="129" t="s">
        <v>822</v>
      </c>
      <c r="K18" s="110" t="s">
        <v>659</v>
      </c>
      <c r="L18" s="129" t="s">
        <v>666</v>
      </c>
      <c r="M18" t="s">
        <v>351</v>
      </c>
      <c r="N18" s="136" t="s">
        <v>571</v>
      </c>
      <c r="O18" s="129" t="s">
        <v>815</v>
      </c>
      <c r="P18" s="129" t="s">
        <v>346</v>
      </c>
      <c r="Q18" t="s">
        <v>351</v>
      </c>
      <c r="R18" s="129" t="s">
        <v>585</v>
      </c>
      <c r="S18" s="129" t="s">
        <v>563</v>
      </c>
      <c r="T18" t="s">
        <v>352</v>
      </c>
      <c r="U18" s="129" t="s">
        <v>334</v>
      </c>
      <c r="V18" s="141">
        <f>Master_Table[[#This Row],[Thickness (m)]]/Master_Table[[#This Row],[Thermal Conductivity W/m-K]]</f>
        <v>0.16269841269841268</v>
      </c>
      <c r="W18" s="139">
        <f>_xlfn.XLOOKUP(Master_Table[[#This Row],[Component Name]],'GWP NORMALISED'!$A$2:$A$500,'GWP NORMALISED'!$H$2:$H$500,FALSE)</f>
        <v>42.616724999999995</v>
      </c>
      <c r="X18" s="129">
        <f>_xlfn.XLOOKUP(Master_Table[[#This Row],[Component Name]],'RAW GWP FOSSIL'!$A$2:$A$500,'RAW GWP FOSSIL'!$H$2:$H$500,FALSE)</f>
        <v>211</v>
      </c>
      <c r="Y18" s="129" t="s">
        <v>575</v>
      </c>
      <c r="Z18" s="129">
        <v>1</v>
      </c>
      <c r="AA18" s="129">
        <v>1</v>
      </c>
      <c r="AB18" s="129">
        <v>0.10249999999999999</v>
      </c>
      <c r="AC18" s="115">
        <f>Master_Table[[#This Row],[Length (m) (on wall)]]*Master_Table[[#This Row],[Height (m)]]*Master_Table[[#This Row],[Thickness (m)]]</f>
        <v>0.10249999999999999</v>
      </c>
      <c r="AD18" s="129">
        <v>1</v>
      </c>
      <c r="AE18" s="149">
        <v>1</v>
      </c>
      <c r="AF18" s="129">
        <v>1970</v>
      </c>
      <c r="AG18" s="129">
        <f>Master_Table[[#This Row],[Material Density (kg/m^3)]]*Master_Table[[#This Row],[Thickness (m)]]</f>
        <v>201.92499999999998</v>
      </c>
      <c r="AH18" s="129">
        <v>0.63</v>
      </c>
    </row>
    <row r="19" spans="2:34" x14ac:dyDescent="0.35">
      <c r="B19" s="115" t="str">
        <f>_xlfn.CONCAT(Master_Table[[#This Row],[Unique ID]],"_",Master_Table[[#This Row],[Model Source]],"_",Master_Table[[#This Row],[System Type]],Master_Table[[#This Row],[System Subtype]],"_",Master_Table[[#This Row],[External Finish Type]])</f>
        <v>Horizon_EPD_LGSOpen_Brick</v>
      </c>
      <c r="C19" s="129" t="s">
        <v>513</v>
      </c>
      <c r="D19" s="129" t="s">
        <v>40</v>
      </c>
      <c r="E19" s="129" t="s">
        <v>558</v>
      </c>
      <c r="F19" s="129" t="s">
        <v>285</v>
      </c>
      <c r="G19" s="129" t="s">
        <v>536</v>
      </c>
      <c r="H19" s="129" t="s">
        <v>601</v>
      </c>
      <c r="I19" s="129" t="s">
        <v>597</v>
      </c>
      <c r="J19" s="129" t="s">
        <v>822</v>
      </c>
      <c r="K19" s="110" t="s">
        <v>659</v>
      </c>
      <c r="L19" s="129" t="s">
        <v>807</v>
      </c>
      <c r="M19" t="s">
        <v>351</v>
      </c>
      <c r="N19" s="79" t="s">
        <v>796</v>
      </c>
      <c r="O19" s="134" t="s">
        <v>815</v>
      </c>
      <c r="P19" s="134" t="s">
        <v>346</v>
      </c>
      <c r="Q19" t="s">
        <v>351</v>
      </c>
      <c r="R19" s="134" t="s">
        <v>584</v>
      </c>
      <c r="S19" s="129" t="s">
        <v>576</v>
      </c>
      <c r="T19" t="s">
        <v>351</v>
      </c>
      <c r="U19" s="129" t="s">
        <v>808</v>
      </c>
      <c r="V19" s="140">
        <v>0</v>
      </c>
      <c r="W19" s="124">
        <f>_xlfn.XLOOKUP(Master_Table[[#This Row],[Component Name]],'GWP NORMALISED'!$A$2:$A$500,'GWP NORMALISED'!$H$2:$H$500,FALSE)</f>
        <v>4.1849999999999996</v>
      </c>
      <c r="X19" s="125">
        <f>_xlfn.XLOOKUP(Master_Table[[#This Row],[Component Name]],'RAW GWP FOSSIL'!$A$2:$A$500,'RAW GWP FOSSIL'!$H$2:$H$500,FALSE)</f>
        <v>135</v>
      </c>
      <c r="Y19" s="129" t="s">
        <v>545</v>
      </c>
      <c r="Z19" s="129">
        <v>1</v>
      </c>
      <c r="AA19" s="129">
        <v>1.2E-2</v>
      </c>
      <c r="AB19" s="129">
        <v>0.1</v>
      </c>
      <c r="AC19" s="115">
        <f>Master_Table[[#This Row],[Length (m) (on wall)]]*Master_Table[[#This Row],[Height (m)]]*Master_Table[[#This Row],[Thickness (m)]]</f>
        <v>1.2000000000000001E-3</v>
      </c>
      <c r="AD19" s="129">
        <v>5</v>
      </c>
      <c r="AE19" s="149">
        <f>Master_Table[[#This Row],[Length (m) (on wall)]]*Master_Table[[#This Row],[Height (m)]]/1</f>
        <v>1.2E-2</v>
      </c>
      <c r="AF19" s="147">
        <v>2000</v>
      </c>
      <c r="AG19" s="129">
        <f>0.031*1000</f>
        <v>31</v>
      </c>
      <c r="AH19" s="147">
        <v>2</v>
      </c>
    </row>
    <row r="20" spans="2:34" x14ac:dyDescent="0.35">
      <c r="B20" s="115" t="str">
        <f>_xlfn.CONCAT(Master_Table[[#This Row],[Unique ID]],"_",Master_Table[[#This Row],[Model Source]],"_",Master_Table[[#This Row],[System Type]],Master_Table[[#This Row],[System Subtype]],"_",Master_Table[[#This Row],[External Finish Type]])</f>
        <v>Horizon_EPD_LGSOpen_Brick</v>
      </c>
      <c r="C20" s="129" t="s">
        <v>513</v>
      </c>
      <c r="D20" s="129" t="s">
        <v>40</v>
      </c>
      <c r="E20" s="129" t="s">
        <v>558</v>
      </c>
      <c r="F20" s="129" t="s">
        <v>285</v>
      </c>
      <c r="G20" s="129" t="s">
        <v>536</v>
      </c>
      <c r="H20" s="129" t="s">
        <v>601</v>
      </c>
      <c r="I20" s="129" t="s">
        <v>597</v>
      </c>
      <c r="J20" s="129" t="s">
        <v>822</v>
      </c>
      <c r="K20" s="110" t="s">
        <v>663</v>
      </c>
      <c r="L20" s="129"/>
      <c r="M20" t="s">
        <v>351</v>
      </c>
      <c r="N20" s="129" t="s">
        <v>355</v>
      </c>
      <c r="O20" s="129" t="s">
        <v>663</v>
      </c>
      <c r="P20" s="129" t="s">
        <v>346</v>
      </c>
      <c r="Q20" t="s">
        <v>351</v>
      </c>
      <c r="R20" s="129" t="s">
        <v>583</v>
      </c>
      <c r="S20" s="129" t="s">
        <v>577</v>
      </c>
      <c r="T20" t="s">
        <v>352</v>
      </c>
      <c r="U20" s="129" t="s">
        <v>334</v>
      </c>
      <c r="V20" s="140">
        <v>2</v>
      </c>
      <c r="W20" s="138">
        <v>0</v>
      </c>
      <c r="X20" s="147">
        <v>0</v>
      </c>
      <c r="Y20" s="129" t="s">
        <v>545</v>
      </c>
      <c r="Z20" s="129">
        <v>1</v>
      </c>
      <c r="AA20" s="129">
        <v>1</v>
      </c>
      <c r="AB20" s="129">
        <v>0.1</v>
      </c>
      <c r="AC20" s="115">
        <f>Master_Table[[#This Row],[Length (m) (on wall)]]*Master_Table[[#This Row],[Height (m)]]*Master_Table[[#This Row],[Thickness (m)]]</f>
        <v>0.1</v>
      </c>
      <c r="AD20" s="129">
        <v>1</v>
      </c>
      <c r="AE20" s="149">
        <v>1</v>
      </c>
      <c r="AF20" s="129">
        <v>1.2</v>
      </c>
      <c r="AG20" s="129">
        <f>Master_Table[[#This Row],[Material Density (kg/m^3)]]*Master_Table[[#This Row],[Thickness (m)]]</f>
        <v>0.12</v>
      </c>
      <c r="AH20" s="129">
        <v>2.5000000000000001E-2</v>
      </c>
    </row>
    <row r="21" spans="2:34" x14ac:dyDescent="0.35">
      <c r="B21" s="115" t="str">
        <f>_xlfn.CONCAT(Master_Table[[#This Row],[Unique ID]],"_",Master_Table[[#This Row],[Model Source]],"_",Master_Table[[#This Row],[System Type]],Master_Table[[#This Row],[System Subtype]],"_",Master_Table[[#This Row],[External Finish Type]])</f>
        <v>Horizon_EPD_LGSOpen_Brick</v>
      </c>
      <c r="C21" s="129" t="s">
        <v>513</v>
      </c>
      <c r="D21" s="129" t="s">
        <v>40</v>
      </c>
      <c r="E21" s="129" t="s">
        <v>558</v>
      </c>
      <c r="F21" s="129" t="s">
        <v>285</v>
      </c>
      <c r="G21" s="129" t="s">
        <v>536</v>
      </c>
      <c r="H21" s="129" t="s">
        <v>601</v>
      </c>
      <c r="I21" s="129" t="s">
        <v>597</v>
      </c>
      <c r="J21" s="129" t="s">
        <v>822</v>
      </c>
      <c r="K21" s="110" t="s">
        <v>663</v>
      </c>
      <c r="L21" s="129"/>
      <c r="M21" t="s">
        <v>351</v>
      </c>
      <c r="N21" s="134" t="s">
        <v>349</v>
      </c>
      <c r="O21" s="129" t="s">
        <v>663</v>
      </c>
      <c r="P21" s="134" t="s">
        <v>347</v>
      </c>
      <c r="Q21" t="s">
        <v>351</v>
      </c>
      <c r="R21" s="134" t="s">
        <v>582</v>
      </c>
      <c r="S21" s="134" t="s">
        <v>578</v>
      </c>
      <c r="T21" t="s">
        <v>352</v>
      </c>
      <c r="U21" s="129" t="s">
        <v>334</v>
      </c>
      <c r="V21" s="140">
        <v>6.5789473684210523E-2</v>
      </c>
      <c r="W21" s="138">
        <v>1.839</v>
      </c>
      <c r="X21" s="147">
        <v>0</v>
      </c>
      <c r="Y21" s="129" t="s">
        <v>545</v>
      </c>
      <c r="Z21" s="129">
        <v>1</v>
      </c>
      <c r="AA21" s="129">
        <v>1</v>
      </c>
      <c r="AB21" s="129">
        <v>1.4999999999999999E-2</v>
      </c>
      <c r="AC21" s="115">
        <f>Master_Table[[#This Row],[Length (m) (on wall)]]*Master_Table[[#This Row],[Height (m)]]*Master_Table[[#This Row],[Thickness (m)]]</f>
        <v>1.4999999999999999E-2</v>
      </c>
      <c r="AD21" s="129">
        <v>1</v>
      </c>
      <c r="AE21" s="149">
        <v>1</v>
      </c>
      <c r="AF21" s="147">
        <v>615</v>
      </c>
      <c r="AG21" s="147">
        <f>Master_Table[[#This Row],[Material Density (kg/m^3)]]*Master_Table[[#This Row],[Thickness (m)]]</f>
        <v>9.2249999999999996</v>
      </c>
      <c r="AH21" s="147">
        <v>0.19</v>
      </c>
    </row>
    <row r="22" spans="2:34" x14ac:dyDescent="0.35">
      <c r="B22" s="115" t="str">
        <f>_xlfn.CONCAT(Master_Table[[#This Row],[Unique ID]],"_",Master_Table[[#This Row],[Model Source]],"_",Master_Table[[#This Row],[System Type]],Master_Table[[#This Row],[System Subtype]],"_",Master_Table[[#This Row],[External Finish Type]])</f>
        <v>Horizon_EPD_LGSOpen_Brick</v>
      </c>
      <c r="C22" s="129" t="s">
        <v>513</v>
      </c>
      <c r="D22" s="129" t="s">
        <v>40</v>
      </c>
      <c r="E22" s="129" t="s">
        <v>558</v>
      </c>
      <c r="F22" s="129" t="s">
        <v>285</v>
      </c>
      <c r="G22" s="129" t="s">
        <v>536</v>
      </c>
      <c r="H22" s="129" t="s">
        <v>601</v>
      </c>
      <c r="I22" s="129" t="s">
        <v>597</v>
      </c>
      <c r="J22" s="129" t="s">
        <v>822</v>
      </c>
      <c r="K22" s="110" t="s">
        <v>663</v>
      </c>
      <c r="L22" s="129"/>
      <c r="M22" t="s">
        <v>351</v>
      </c>
      <c r="N22" s="134" t="s">
        <v>566</v>
      </c>
      <c r="O22" s="129" t="s">
        <v>663</v>
      </c>
      <c r="P22" s="134" t="s">
        <v>347</v>
      </c>
      <c r="Q22" t="s">
        <v>351</v>
      </c>
      <c r="R22" s="134" t="s">
        <v>566</v>
      </c>
      <c r="S22" s="134" t="s">
        <v>580</v>
      </c>
      <c r="T22" t="s">
        <v>352</v>
      </c>
      <c r="U22" s="129" t="s">
        <v>334</v>
      </c>
      <c r="V22" s="140">
        <v>0</v>
      </c>
      <c r="W22" s="138">
        <v>1</v>
      </c>
      <c r="X22" s="147">
        <v>0</v>
      </c>
      <c r="Y22" s="129" t="s">
        <v>545</v>
      </c>
      <c r="Z22" s="134">
        <v>1</v>
      </c>
      <c r="AA22" s="134">
        <v>1</v>
      </c>
      <c r="AB22" s="134">
        <v>1</v>
      </c>
      <c r="AC22" s="115">
        <f>Master_Table[[#This Row],[Length (m) (on wall)]]*Master_Table[[#This Row],[Height (m)]]*Master_Table[[#This Row],[Thickness (m)]]</f>
        <v>1</v>
      </c>
      <c r="AD22" s="134">
        <v>1</v>
      </c>
      <c r="AE22" s="152">
        <v>1</v>
      </c>
      <c r="AF22" s="134">
        <v>0</v>
      </c>
      <c r="AG22" s="134">
        <f>Master_Table[[#This Row],[Material Density (kg/m^3)]]*Master_Table[[#This Row],[Thickness (m)]]</f>
        <v>0</v>
      </c>
      <c r="AH22" s="134">
        <v>0</v>
      </c>
    </row>
    <row r="23" spans="2:34" x14ac:dyDescent="0.35">
      <c r="B23" s="115" t="str">
        <f>_xlfn.CONCAT(Master_Table[[#This Row],[Unique ID]],"_",Master_Table[[#This Row],[Model Source]],"_",Master_Table[[#This Row],[System Type]],Master_Table[[#This Row],[System Subtype]],"_",Master_Table[[#This Row],[External Finish Type]])</f>
        <v>Horizon_EPD_LGSOpen_Brick</v>
      </c>
      <c r="C23" s="129" t="s">
        <v>513</v>
      </c>
      <c r="D23" s="129" t="s">
        <v>40</v>
      </c>
      <c r="E23" s="129" t="s">
        <v>558</v>
      </c>
      <c r="F23" s="129" t="s">
        <v>285</v>
      </c>
      <c r="G23" s="129" t="s">
        <v>536</v>
      </c>
      <c r="H23" s="129" t="s">
        <v>601</v>
      </c>
      <c r="I23" s="129" t="s">
        <v>597</v>
      </c>
      <c r="J23" s="129" t="s">
        <v>822</v>
      </c>
      <c r="K23" s="110" t="s">
        <v>663</v>
      </c>
      <c r="L23" s="129"/>
      <c r="M23" t="s">
        <v>351</v>
      </c>
      <c r="N23" s="129" t="s">
        <v>355</v>
      </c>
      <c r="O23" s="129" t="s">
        <v>663</v>
      </c>
      <c r="P23" s="129" t="s">
        <v>347</v>
      </c>
      <c r="Q23" t="s">
        <v>351</v>
      </c>
      <c r="R23" s="129" t="s">
        <v>581</v>
      </c>
      <c r="S23" s="129" t="s">
        <v>579</v>
      </c>
      <c r="T23" t="s">
        <v>352</v>
      </c>
      <c r="U23" s="129" t="s">
        <v>334</v>
      </c>
      <c r="V23" s="140">
        <v>0.5</v>
      </c>
      <c r="W23" s="148">
        <v>0</v>
      </c>
      <c r="X23" s="129">
        <v>0</v>
      </c>
      <c r="Y23" s="129" t="s">
        <v>545</v>
      </c>
      <c r="Z23" s="129">
        <v>1</v>
      </c>
      <c r="AA23" s="129">
        <v>1</v>
      </c>
      <c r="AB23" s="134">
        <v>0.05</v>
      </c>
      <c r="AC23" s="115">
        <f>Master_Table[[#This Row],[Length (m) (on wall)]]*Master_Table[[#This Row],[Height (m)]]*Master_Table[[#This Row],[Thickness (m)]]</f>
        <v>0.05</v>
      </c>
      <c r="AD23" s="129">
        <v>1</v>
      </c>
      <c r="AE23" s="149">
        <v>1</v>
      </c>
      <c r="AF23" s="129">
        <v>1.2</v>
      </c>
      <c r="AG23" s="129">
        <f>Master_Table[[#This Row],[Material Density (kg/m^3)]]*Master_Table[[#This Row],[Thickness (m)]]</f>
        <v>0.06</v>
      </c>
      <c r="AH23" s="129">
        <v>2.5000000000000001E-2</v>
      </c>
    </row>
    <row r="24" spans="2:34" x14ac:dyDescent="0.35">
      <c r="B24" s="115" t="str">
        <f>_xlfn.CONCAT(Master_Table[[#This Row],[Unique ID]],"_",Master_Table[[#This Row],[Model Source]],"_",Master_Table[[#This Row],[System Type]],Master_Table[[#This Row],[System Subtype]],"_",Master_Table[[#This Row],[External Finish Type]])</f>
        <v>Horizon_EPD_LGSOpen_Brick</v>
      </c>
      <c r="C24" s="129" t="s">
        <v>513</v>
      </c>
      <c r="D24" s="129" t="s">
        <v>40</v>
      </c>
      <c r="E24" s="129" t="s">
        <v>558</v>
      </c>
      <c r="F24" s="129" t="s">
        <v>285</v>
      </c>
      <c r="G24" s="129" t="s">
        <v>536</v>
      </c>
      <c r="H24" s="129" t="s">
        <v>601</v>
      </c>
      <c r="I24" s="129" t="s">
        <v>597</v>
      </c>
      <c r="J24" s="129" t="s">
        <v>822</v>
      </c>
      <c r="K24" s="110" t="s">
        <v>663</v>
      </c>
      <c r="L24" s="129" t="s">
        <v>667</v>
      </c>
      <c r="M24" t="s">
        <v>351</v>
      </c>
      <c r="N24" s="133" t="s">
        <v>33</v>
      </c>
      <c r="O24" s="129" t="s">
        <v>816</v>
      </c>
      <c r="P24" s="129" t="s">
        <v>344</v>
      </c>
      <c r="Q24" t="s">
        <v>352</v>
      </c>
      <c r="R24" s="129" t="s">
        <v>552</v>
      </c>
      <c r="S24" s="129"/>
      <c r="T24" t="s">
        <v>352</v>
      </c>
      <c r="U24" s="129" t="s">
        <v>334</v>
      </c>
      <c r="V24" s="139">
        <v>1.0371428571428574</v>
      </c>
      <c r="W24" s="139">
        <v>8.9999999999999982</v>
      </c>
      <c r="X24" s="129">
        <v>1.25</v>
      </c>
      <c r="Y24" s="129" t="s">
        <v>545</v>
      </c>
      <c r="Z24" s="103">
        <v>0.6</v>
      </c>
      <c r="AA24" s="145">
        <v>2.4</v>
      </c>
      <c r="AB24" s="145">
        <v>0.09</v>
      </c>
      <c r="AC24" s="115">
        <f>Master_Table[[#This Row],[Length (m) (on wall)]]*Master_Table[[#This Row],[Height (m)]]*Master_Table[[#This Row],[Thickness (m)]]</f>
        <v>0.12959999999999999</v>
      </c>
      <c r="AD24" s="129">
        <v>4</v>
      </c>
      <c r="AE24" s="149">
        <v>1</v>
      </c>
      <c r="AF24" s="150">
        <v>80</v>
      </c>
      <c r="AG24" s="150">
        <f>Master_Table[[#This Row],[Thickness (m)]]*Master_Table[[#This Row],[Material Density (kg/m^3)]]</f>
        <v>7.1999999999999993</v>
      </c>
      <c r="AH24" s="147">
        <v>2.1999999999999999E-2</v>
      </c>
    </row>
    <row r="25" spans="2:34" x14ac:dyDescent="0.35">
      <c r="B25" s="115" t="str">
        <f>_xlfn.CONCAT(Master_Table[[#This Row],[Unique ID]],"_",Master_Table[[#This Row],[Model Source]],"_",Master_Table[[#This Row],[System Type]],Master_Table[[#This Row],[System Subtype]],"_",Master_Table[[#This Row],[External Finish Type]])</f>
        <v>Horizon_EPD_LGSOpen_Brick</v>
      </c>
      <c r="C25" s="129" t="s">
        <v>513</v>
      </c>
      <c r="D25" s="129" t="s">
        <v>40</v>
      </c>
      <c r="E25" s="129" t="s">
        <v>558</v>
      </c>
      <c r="F25" s="129" t="s">
        <v>285</v>
      </c>
      <c r="G25" s="129" t="s">
        <v>536</v>
      </c>
      <c r="H25" s="129" t="s">
        <v>601</v>
      </c>
      <c r="I25" s="129" t="s">
        <v>597</v>
      </c>
      <c r="J25" s="129" t="s">
        <v>822</v>
      </c>
      <c r="K25" s="110" t="s">
        <v>663</v>
      </c>
      <c r="L25" s="129" t="s">
        <v>667</v>
      </c>
      <c r="M25" t="s">
        <v>351</v>
      </c>
      <c r="N25" s="133" t="s">
        <v>28</v>
      </c>
      <c r="O25" s="129" t="s">
        <v>816</v>
      </c>
      <c r="P25" s="129" t="s">
        <v>344</v>
      </c>
      <c r="Q25" t="s">
        <v>352</v>
      </c>
      <c r="R25" s="129" t="s">
        <v>553</v>
      </c>
      <c r="S25" s="129" t="s">
        <v>334</v>
      </c>
      <c r="T25" t="s">
        <v>352</v>
      </c>
      <c r="U25" s="129" t="s">
        <v>334</v>
      </c>
      <c r="V25" s="139">
        <v>3.6363636363636367</v>
      </c>
      <c r="W25" s="139">
        <v>7.9078399999999993</v>
      </c>
      <c r="X25" s="129">
        <v>3.089</v>
      </c>
      <c r="Y25" s="129" t="s">
        <v>545</v>
      </c>
      <c r="Z25" s="145">
        <v>2.4</v>
      </c>
      <c r="AA25" s="145">
        <v>1.2</v>
      </c>
      <c r="AB25" s="145">
        <v>0.08</v>
      </c>
      <c r="AC25" s="115">
        <f>Master_Table[[#This Row],[Length (m) (on wall)]]*Master_Table[[#This Row],[Height (m)]]*Master_Table[[#This Row],[Thickness (m)]]</f>
        <v>0.23039999999999999</v>
      </c>
      <c r="AD25" s="129">
        <v>2</v>
      </c>
      <c r="AE25" s="149">
        <v>1</v>
      </c>
      <c r="AF25" s="150">
        <v>32</v>
      </c>
      <c r="AG25" s="150">
        <f>Master_Table[[#This Row],[Thickness (m)]]*Master_Table[[#This Row],[Material Density (kg/m^3)]]</f>
        <v>2.56</v>
      </c>
      <c r="AH25" s="147">
        <v>0.3</v>
      </c>
    </row>
    <row r="26" spans="2:34" x14ac:dyDescent="0.35">
      <c r="B26" s="115" t="str">
        <f>_xlfn.CONCAT(Master_Table[[#This Row],[Unique ID]],"_",Master_Table[[#This Row],[Model Source]],"_",Master_Table[[#This Row],[System Type]],Master_Table[[#This Row],[System Subtype]],"_",Master_Table[[#This Row],[External Finish Type]])</f>
        <v>Horizon_EPD_LGSOpen_Brick</v>
      </c>
      <c r="C26" s="129" t="s">
        <v>513</v>
      </c>
      <c r="D26" s="129" t="s">
        <v>40</v>
      </c>
      <c r="E26" s="129" t="s">
        <v>558</v>
      </c>
      <c r="F26" s="129" t="s">
        <v>285</v>
      </c>
      <c r="G26" s="129" t="s">
        <v>536</v>
      </c>
      <c r="H26" s="129" t="s">
        <v>601</v>
      </c>
      <c r="I26" s="129" t="s">
        <v>597</v>
      </c>
      <c r="J26" s="129" t="s">
        <v>822</v>
      </c>
      <c r="K26" s="110" t="s">
        <v>663</v>
      </c>
      <c r="L26" s="129" t="s">
        <v>668</v>
      </c>
      <c r="M26" t="s">
        <v>351</v>
      </c>
      <c r="N26" s="133" t="s">
        <v>29</v>
      </c>
      <c r="O26" s="129" t="s">
        <v>816</v>
      </c>
      <c r="P26" s="129" t="s">
        <v>470</v>
      </c>
      <c r="Q26" t="s">
        <v>352</v>
      </c>
      <c r="R26" s="129" t="s">
        <v>554</v>
      </c>
      <c r="S26" s="129" t="s">
        <v>334</v>
      </c>
      <c r="T26" t="s">
        <v>352</v>
      </c>
      <c r="U26" s="129" t="s">
        <v>334</v>
      </c>
      <c r="V26" s="138">
        <v>1.5E-3</v>
      </c>
      <c r="W26" s="139">
        <v>0.25229166666666669</v>
      </c>
      <c r="X26" s="129">
        <v>4.2</v>
      </c>
      <c r="Y26" s="129" t="s">
        <v>545</v>
      </c>
      <c r="Z26" s="129">
        <v>2.4</v>
      </c>
      <c r="AA26" s="129">
        <v>2.4</v>
      </c>
      <c r="AB26" s="129">
        <v>4.4999999999999999E-4</v>
      </c>
      <c r="AC26" s="115">
        <f>Master_Table[[#This Row],[Length (m) (on wall)]]*Master_Table[[#This Row],[Height (m)]]*Master_Table[[#This Row],[Thickness (m)]]</f>
        <v>2.5919999999999997E-3</v>
      </c>
      <c r="AD26" s="129">
        <v>1</v>
      </c>
      <c r="AE26" s="149">
        <v>1</v>
      </c>
      <c r="AF26" s="151">
        <v>0</v>
      </c>
      <c r="AG26" s="151">
        <v>0.34599999999999997</v>
      </c>
      <c r="AH26" s="147">
        <v>0.3</v>
      </c>
    </row>
    <row r="27" spans="2:34" x14ac:dyDescent="0.35">
      <c r="B27" s="115" t="str">
        <f>_xlfn.CONCAT(Master_Table[[#This Row],[Unique ID]],"_",Master_Table[[#This Row],[Model Source]],"_",Master_Table[[#This Row],[System Type]],Master_Table[[#This Row],[System Subtype]],"_",Master_Table[[#This Row],[External Finish Type]])</f>
        <v>Horizon_EPD_LGSOpen_Brick</v>
      </c>
      <c r="C27" s="129" t="s">
        <v>513</v>
      </c>
      <c r="D27" s="129" t="s">
        <v>40</v>
      </c>
      <c r="E27" s="129" t="s">
        <v>558</v>
      </c>
      <c r="F27" s="129" t="s">
        <v>285</v>
      </c>
      <c r="G27" s="129" t="s">
        <v>536</v>
      </c>
      <c r="H27" s="129" t="s">
        <v>601</v>
      </c>
      <c r="I27" s="129" t="s">
        <v>597</v>
      </c>
      <c r="J27" s="129" t="s">
        <v>822</v>
      </c>
      <c r="K27" s="110" t="s">
        <v>663</v>
      </c>
      <c r="L27" s="129" t="s">
        <v>809</v>
      </c>
      <c r="M27" s="179" t="s">
        <v>351</v>
      </c>
      <c r="N27" s="178" t="s">
        <v>810</v>
      </c>
      <c r="O27" s="129" t="s">
        <v>663</v>
      </c>
      <c r="P27" s="129" t="s">
        <v>811</v>
      </c>
      <c r="Q27" t="s">
        <v>352</v>
      </c>
      <c r="R27" s="178" t="s">
        <v>812</v>
      </c>
      <c r="S27" s="129"/>
      <c r="T27" t="s">
        <v>351</v>
      </c>
      <c r="U27" s="129" t="s">
        <v>813</v>
      </c>
      <c r="V27" s="140">
        <v>0</v>
      </c>
      <c r="W27" s="138">
        <v>1</v>
      </c>
      <c r="X27" s="147">
        <v>0</v>
      </c>
      <c r="Y27" s="129"/>
      <c r="Z27" s="134">
        <v>1</v>
      </c>
      <c r="AA27" s="134">
        <v>1</v>
      </c>
      <c r="AB27" s="134">
        <v>1</v>
      </c>
      <c r="AC27" s="115">
        <f>Master_Table[[#This Row],[Length (m) (on wall)]]*Master_Table[[#This Row],[Height (m)]]*Master_Table[[#This Row],[Thickness (m)]]</f>
        <v>1</v>
      </c>
      <c r="AD27" s="134">
        <v>1</v>
      </c>
      <c r="AE27" s="152">
        <v>1</v>
      </c>
      <c r="AF27" s="134">
        <v>0</v>
      </c>
      <c r="AG27" s="134">
        <v>0.05</v>
      </c>
      <c r="AH27" s="134">
        <v>0</v>
      </c>
    </row>
    <row r="28" spans="2:34" x14ac:dyDescent="0.35">
      <c r="B28" s="115" t="str">
        <f>_xlfn.CONCAT(Master_Table[[#This Row],[Unique ID]],"_",Master_Table[[#This Row],[Model Source]],"_",Master_Table[[#This Row],[System Type]],Master_Table[[#This Row],[System Subtype]],"_",Master_Table[[#This Row],[External Finish Type]])</f>
        <v>SIGMAT_EPD_LGSOpen_Brick</v>
      </c>
      <c r="C28" s="129" t="s">
        <v>513</v>
      </c>
      <c r="D28" s="129" t="s">
        <v>40</v>
      </c>
      <c r="E28" s="129" t="s">
        <v>558</v>
      </c>
      <c r="F28" s="129" t="s">
        <v>285</v>
      </c>
      <c r="G28" s="129" t="s">
        <v>603</v>
      </c>
      <c r="H28" s="129" t="s">
        <v>604</v>
      </c>
      <c r="I28" s="129" t="s">
        <v>597</v>
      </c>
      <c r="J28" s="129" t="s">
        <v>822</v>
      </c>
      <c r="K28" s="110" t="s">
        <v>660</v>
      </c>
      <c r="L28" s="129"/>
      <c r="M28" t="s">
        <v>351</v>
      </c>
      <c r="N28" s="137" t="s">
        <v>325</v>
      </c>
      <c r="O28" s="135" t="s">
        <v>814</v>
      </c>
      <c r="P28" s="129" t="s">
        <v>4</v>
      </c>
      <c r="Q28" t="s">
        <v>352</v>
      </c>
      <c r="R28" s="129" t="s">
        <v>539</v>
      </c>
      <c r="S28" s="129" t="s">
        <v>334</v>
      </c>
      <c r="T28" t="s">
        <v>352</v>
      </c>
      <c r="U28" s="129" t="s">
        <v>334</v>
      </c>
      <c r="V28" s="138">
        <f>SUM(V29:V31)</f>
        <v>2.1626984126984126</v>
      </c>
      <c r="W28" s="139">
        <f>_xlfn.XLOOKUP(Master_Table[[#This Row],[Component Name]],'GWP NORMALISED'!$A$2:$A$500,'GWP NORMALISED'!$H$2:$H$500,FALSE)</f>
        <v>15.372500000000002</v>
      </c>
      <c r="X28" s="129">
        <f>_xlfn.XLOOKUP(Master_Table[[#This Row],[Component Name]],'RAW GWP FOSSIL'!$A$2:$A$500,'RAW GWP FOSSIL'!$H$2:$H$500,FALSE)</f>
        <v>3.25</v>
      </c>
      <c r="Y28" s="129" t="s">
        <v>545</v>
      </c>
      <c r="Z28" s="129" t="b">
        <v>0</v>
      </c>
      <c r="AA28" s="129" t="b">
        <v>0</v>
      </c>
      <c r="AB28" s="129" t="b">
        <v>0</v>
      </c>
      <c r="AC28" s="115">
        <f>Master_Table[[#This Row],[Length (m) (on wall)]]*Master_Table[[#This Row],[Height (m)]]*Master_Table[[#This Row],[Thickness (m)]]</f>
        <v>0</v>
      </c>
      <c r="AD28" s="129" t="b">
        <v>0</v>
      </c>
      <c r="AE28" s="129" t="b">
        <v>0</v>
      </c>
      <c r="AF28" s="151">
        <v>7800</v>
      </c>
      <c r="AG28" s="154">
        <v>4.7300000000000004</v>
      </c>
      <c r="AH28" s="147">
        <v>50</v>
      </c>
    </row>
    <row r="29" spans="2:34" x14ac:dyDescent="0.35">
      <c r="B29" s="115" t="str">
        <f>_xlfn.CONCAT(Master_Table[[#This Row],[Unique ID]],"_",Master_Table[[#This Row],[Model Source]],"_",Master_Table[[#This Row],[System Type]],Master_Table[[#This Row],[System Subtype]],"_",Master_Table[[#This Row],[External Finish Type]])</f>
        <v>SIGMAT_EPD_LGSOpen_Brick</v>
      </c>
      <c r="C29" s="129" t="s">
        <v>513</v>
      </c>
      <c r="D29" s="129" t="s">
        <v>40</v>
      </c>
      <c r="E29" s="129" t="s">
        <v>558</v>
      </c>
      <c r="F29" s="129" t="s">
        <v>285</v>
      </c>
      <c r="G29" s="129" t="s">
        <v>603</v>
      </c>
      <c r="H29" s="129" t="s">
        <v>604</v>
      </c>
      <c r="I29" s="129" t="s">
        <v>597</v>
      </c>
      <c r="J29" s="129" t="s">
        <v>822</v>
      </c>
      <c r="K29" s="110" t="s">
        <v>659</v>
      </c>
      <c r="L29" s="129" t="s">
        <v>666</v>
      </c>
      <c r="M29" t="s">
        <v>351</v>
      </c>
      <c r="N29" s="136" t="s">
        <v>571</v>
      </c>
      <c r="O29" s="129" t="s">
        <v>815</v>
      </c>
      <c r="P29" s="129" t="s">
        <v>346</v>
      </c>
      <c r="Q29" t="s">
        <v>351</v>
      </c>
      <c r="R29" s="129" t="s">
        <v>585</v>
      </c>
      <c r="S29" s="129" t="s">
        <v>563</v>
      </c>
      <c r="T29" t="s">
        <v>352</v>
      </c>
      <c r="U29" s="129" t="s">
        <v>334</v>
      </c>
      <c r="V29" s="141">
        <f>Master_Table[[#This Row],[Thickness (m)]]/Master_Table[[#This Row],[Thermal Conductivity W/m-K]]</f>
        <v>0.16269841269841268</v>
      </c>
      <c r="W29" s="139">
        <f>_xlfn.XLOOKUP(Master_Table[[#This Row],[Component Name]],'GWP NORMALISED'!$A$2:$A$500,'GWP NORMALISED'!$H$2:$H$500,FALSE)</f>
        <v>42.616724999999995</v>
      </c>
      <c r="X29" s="129">
        <f>_xlfn.XLOOKUP(Master_Table[[#This Row],[Component Name]],'RAW GWP FOSSIL'!$A$2:$A$500,'RAW GWP FOSSIL'!$H$2:$H$500,FALSE)</f>
        <v>211</v>
      </c>
      <c r="Y29" s="129" t="s">
        <v>575</v>
      </c>
      <c r="Z29" s="129">
        <v>1</v>
      </c>
      <c r="AA29" s="129">
        <v>1</v>
      </c>
      <c r="AB29" s="129">
        <v>0.10249999999999999</v>
      </c>
      <c r="AC29" s="115">
        <f>Master_Table[[#This Row],[Length (m) (on wall)]]*Master_Table[[#This Row],[Height (m)]]*Master_Table[[#This Row],[Thickness (m)]]</f>
        <v>0.10249999999999999</v>
      </c>
      <c r="AD29" s="129">
        <v>1</v>
      </c>
      <c r="AE29" s="149">
        <v>1</v>
      </c>
      <c r="AF29" s="129">
        <v>1970</v>
      </c>
      <c r="AG29" s="129">
        <f>Master_Table[[#This Row],[Material Density (kg/m^3)]]*Master_Table[[#This Row],[Thickness (m)]]</f>
        <v>201.92499999999998</v>
      </c>
      <c r="AH29" s="129">
        <v>0.63</v>
      </c>
    </row>
    <row r="30" spans="2:34" x14ac:dyDescent="0.35">
      <c r="B30" s="115" t="str">
        <f>_xlfn.CONCAT(Master_Table[[#This Row],[Unique ID]],"_",Master_Table[[#This Row],[Model Source]],"_",Master_Table[[#This Row],[System Type]],Master_Table[[#This Row],[System Subtype]],"_",Master_Table[[#This Row],[External Finish Type]])</f>
        <v>SIGMAT_EPD_LGSOpen_Brick</v>
      </c>
      <c r="C30" s="129" t="s">
        <v>513</v>
      </c>
      <c r="D30" s="129" t="s">
        <v>40</v>
      </c>
      <c r="E30" s="129" t="s">
        <v>558</v>
      </c>
      <c r="F30" s="129" t="s">
        <v>285</v>
      </c>
      <c r="G30" s="129" t="s">
        <v>603</v>
      </c>
      <c r="H30" s="129" t="s">
        <v>604</v>
      </c>
      <c r="I30" s="129" t="s">
        <v>597</v>
      </c>
      <c r="J30" s="129" t="s">
        <v>822</v>
      </c>
      <c r="K30" s="110" t="s">
        <v>659</v>
      </c>
      <c r="L30" s="129" t="s">
        <v>807</v>
      </c>
      <c r="M30" t="s">
        <v>351</v>
      </c>
      <c r="N30" s="79" t="s">
        <v>796</v>
      </c>
      <c r="O30" s="134" t="s">
        <v>815</v>
      </c>
      <c r="P30" s="134" t="s">
        <v>346</v>
      </c>
      <c r="Q30" t="s">
        <v>351</v>
      </c>
      <c r="R30" s="134" t="s">
        <v>584</v>
      </c>
      <c r="S30" s="129" t="s">
        <v>576</v>
      </c>
      <c r="T30" t="s">
        <v>351</v>
      </c>
      <c r="U30" s="129" t="s">
        <v>808</v>
      </c>
      <c r="V30" s="140">
        <v>0</v>
      </c>
      <c r="W30" s="124">
        <f>_xlfn.XLOOKUP(Master_Table[[#This Row],[Component Name]],'GWP NORMALISED'!$A$2:$A$500,'GWP NORMALISED'!$H$2:$H$500,FALSE)</f>
        <v>4.1849999999999996</v>
      </c>
      <c r="X30" s="125">
        <f>_xlfn.XLOOKUP(Master_Table[[#This Row],[Component Name]],'RAW GWP FOSSIL'!$A$2:$A$500,'RAW GWP FOSSIL'!$H$2:$H$500,FALSE)</f>
        <v>135</v>
      </c>
      <c r="Y30" s="129" t="s">
        <v>545</v>
      </c>
      <c r="Z30" s="129">
        <v>1</v>
      </c>
      <c r="AA30" s="129">
        <v>1.2E-2</v>
      </c>
      <c r="AB30" s="129">
        <v>0.1</v>
      </c>
      <c r="AC30" s="115">
        <f>Master_Table[[#This Row],[Length (m) (on wall)]]*Master_Table[[#This Row],[Height (m)]]*Master_Table[[#This Row],[Thickness (m)]]</f>
        <v>1.2000000000000001E-3</v>
      </c>
      <c r="AD30" s="129">
        <v>5</v>
      </c>
      <c r="AE30" s="149">
        <f>Master_Table[[#This Row],[Length (m) (on wall)]]*Master_Table[[#This Row],[Height (m)]]/1</f>
        <v>1.2E-2</v>
      </c>
      <c r="AF30" s="147">
        <v>2000</v>
      </c>
      <c r="AG30" s="129">
        <f>0.031*1000</f>
        <v>31</v>
      </c>
      <c r="AH30" s="147">
        <v>2</v>
      </c>
    </row>
    <row r="31" spans="2:34" x14ac:dyDescent="0.35">
      <c r="B31" s="115" t="str">
        <f>_xlfn.CONCAT(Master_Table[[#This Row],[Unique ID]],"_",Master_Table[[#This Row],[Model Source]],"_",Master_Table[[#This Row],[System Type]],Master_Table[[#This Row],[System Subtype]],"_",Master_Table[[#This Row],[External Finish Type]])</f>
        <v>SIGMAT_EPD_LGSOpen_Brick</v>
      </c>
      <c r="C31" s="129" t="s">
        <v>513</v>
      </c>
      <c r="D31" s="129" t="s">
        <v>40</v>
      </c>
      <c r="E31" s="129" t="s">
        <v>558</v>
      </c>
      <c r="F31" s="129" t="s">
        <v>285</v>
      </c>
      <c r="G31" s="129" t="s">
        <v>603</v>
      </c>
      <c r="H31" s="129" t="s">
        <v>604</v>
      </c>
      <c r="I31" s="129" t="s">
        <v>597</v>
      </c>
      <c r="J31" s="129" t="s">
        <v>822</v>
      </c>
      <c r="K31" s="110" t="s">
        <v>663</v>
      </c>
      <c r="L31" s="129"/>
      <c r="M31" t="s">
        <v>351</v>
      </c>
      <c r="N31" s="129" t="s">
        <v>355</v>
      </c>
      <c r="O31" s="129" t="s">
        <v>817</v>
      </c>
      <c r="P31" s="129" t="s">
        <v>346</v>
      </c>
      <c r="Q31" t="s">
        <v>351</v>
      </c>
      <c r="R31" s="129" t="s">
        <v>583</v>
      </c>
      <c r="S31" s="129" t="s">
        <v>577</v>
      </c>
      <c r="T31" t="s">
        <v>352</v>
      </c>
      <c r="U31" s="129" t="s">
        <v>334</v>
      </c>
      <c r="V31" s="140">
        <v>2</v>
      </c>
      <c r="W31" s="138">
        <v>0</v>
      </c>
      <c r="X31" s="147">
        <v>0</v>
      </c>
      <c r="Y31" s="129" t="s">
        <v>545</v>
      </c>
      <c r="Z31" s="129">
        <v>1</v>
      </c>
      <c r="AA31" s="129">
        <v>1</v>
      </c>
      <c r="AB31" s="129">
        <v>0.1</v>
      </c>
      <c r="AC31" s="115">
        <f>Master_Table[[#This Row],[Length (m) (on wall)]]*Master_Table[[#This Row],[Height (m)]]*Master_Table[[#This Row],[Thickness (m)]]</f>
        <v>0.1</v>
      </c>
      <c r="AD31" s="129">
        <v>1</v>
      </c>
      <c r="AE31" s="149">
        <v>1</v>
      </c>
      <c r="AF31" s="129">
        <v>1.2</v>
      </c>
      <c r="AG31" s="129">
        <f>Master_Table[[#This Row],[Material Density (kg/m^3)]]*Master_Table[[#This Row],[Thickness (m)]]</f>
        <v>0.12</v>
      </c>
      <c r="AH31" s="129">
        <v>2.5000000000000001E-2</v>
      </c>
    </row>
    <row r="32" spans="2:34" x14ac:dyDescent="0.35">
      <c r="B32" s="115" t="str">
        <f>_xlfn.CONCAT(Master_Table[[#This Row],[Unique ID]],"_",Master_Table[[#This Row],[Model Source]],"_",Master_Table[[#This Row],[System Type]],Master_Table[[#This Row],[System Subtype]],"_",Master_Table[[#This Row],[External Finish Type]])</f>
        <v>SIGMAT_EPD_LGSOpen_Brick</v>
      </c>
      <c r="C32" s="129" t="s">
        <v>513</v>
      </c>
      <c r="D32" s="129" t="s">
        <v>40</v>
      </c>
      <c r="E32" s="129" t="s">
        <v>558</v>
      </c>
      <c r="F32" s="129" t="s">
        <v>285</v>
      </c>
      <c r="G32" s="129" t="s">
        <v>603</v>
      </c>
      <c r="H32" s="129" t="s">
        <v>604</v>
      </c>
      <c r="I32" s="129" t="s">
        <v>597</v>
      </c>
      <c r="J32" s="129" t="s">
        <v>822</v>
      </c>
      <c r="K32" s="110" t="s">
        <v>663</v>
      </c>
      <c r="L32" s="129"/>
      <c r="M32" t="s">
        <v>351</v>
      </c>
      <c r="N32" s="134" t="s">
        <v>349</v>
      </c>
      <c r="O32" s="129" t="s">
        <v>663</v>
      </c>
      <c r="P32" s="134" t="s">
        <v>347</v>
      </c>
      <c r="Q32" t="s">
        <v>351</v>
      </c>
      <c r="R32" s="134" t="s">
        <v>582</v>
      </c>
      <c r="S32" s="134" t="s">
        <v>578</v>
      </c>
      <c r="T32" t="s">
        <v>352</v>
      </c>
      <c r="U32" s="129" t="s">
        <v>334</v>
      </c>
      <c r="V32" s="140">
        <v>6.5789473684210523E-2</v>
      </c>
      <c r="W32" s="138">
        <v>1.839</v>
      </c>
      <c r="X32" s="147">
        <v>0</v>
      </c>
      <c r="Y32" s="129" t="s">
        <v>545</v>
      </c>
      <c r="Z32" s="129">
        <v>1</v>
      </c>
      <c r="AA32" s="129">
        <v>1</v>
      </c>
      <c r="AB32" s="129">
        <v>1.4999999999999999E-2</v>
      </c>
      <c r="AC32" s="115">
        <f>Master_Table[[#This Row],[Length (m) (on wall)]]*Master_Table[[#This Row],[Height (m)]]*Master_Table[[#This Row],[Thickness (m)]]</f>
        <v>1.4999999999999999E-2</v>
      </c>
      <c r="AD32" s="129">
        <v>1</v>
      </c>
      <c r="AE32" s="149">
        <v>1</v>
      </c>
      <c r="AF32" s="147">
        <v>615</v>
      </c>
      <c r="AG32" s="147">
        <f>Master_Table[[#This Row],[Material Density (kg/m^3)]]*Master_Table[[#This Row],[Thickness (m)]]</f>
        <v>9.2249999999999996</v>
      </c>
      <c r="AH32" s="147">
        <v>0.19</v>
      </c>
    </row>
    <row r="33" spans="2:34" x14ac:dyDescent="0.35">
      <c r="B33" s="115" t="str">
        <f>_xlfn.CONCAT(Master_Table[[#This Row],[Unique ID]],"_",Master_Table[[#This Row],[Model Source]],"_",Master_Table[[#This Row],[System Type]],Master_Table[[#This Row],[System Subtype]],"_",Master_Table[[#This Row],[External Finish Type]])</f>
        <v>SIGMAT_EPD_LGSOpen_Brick</v>
      </c>
      <c r="C33" s="129" t="s">
        <v>513</v>
      </c>
      <c r="D33" s="129" t="s">
        <v>40</v>
      </c>
      <c r="E33" s="129" t="s">
        <v>558</v>
      </c>
      <c r="F33" s="129" t="s">
        <v>285</v>
      </c>
      <c r="G33" s="129" t="s">
        <v>603</v>
      </c>
      <c r="H33" s="129" t="s">
        <v>604</v>
      </c>
      <c r="I33" s="129" t="s">
        <v>597</v>
      </c>
      <c r="J33" s="129" t="s">
        <v>822</v>
      </c>
      <c r="K33" s="110" t="s">
        <v>663</v>
      </c>
      <c r="L33" s="129"/>
      <c r="M33" t="s">
        <v>351</v>
      </c>
      <c r="N33" s="134" t="s">
        <v>566</v>
      </c>
      <c r="O33" s="129" t="s">
        <v>663</v>
      </c>
      <c r="P33" s="134" t="s">
        <v>347</v>
      </c>
      <c r="Q33" t="s">
        <v>351</v>
      </c>
      <c r="R33" s="134" t="s">
        <v>566</v>
      </c>
      <c r="S33" s="134" t="s">
        <v>580</v>
      </c>
      <c r="T33" t="s">
        <v>352</v>
      </c>
      <c r="U33" s="129" t="s">
        <v>334</v>
      </c>
      <c r="V33" s="140">
        <v>0</v>
      </c>
      <c r="W33" s="138">
        <v>1</v>
      </c>
      <c r="X33" s="147">
        <v>0</v>
      </c>
      <c r="Y33" s="129" t="s">
        <v>545</v>
      </c>
      <c r="Z33" s="134">
        <v>1</v>
      </c>
      <c r="AA33" s="134">
        <v>1</v>
      </c>
      <c r="AB33" s="134">
        <v>1</v>
      </c>
      <c r="AC33" s="115">
        <f>Master_Table[[#This Row],[Length (m) (on wall)]]*Master_Table[[#This Row],[Height (m)]]*Master_Table[[#This Row],[Thickness (m)]]</f>
        <v>1</v>
      </c>
      <c r="AD33" s="134">
        <v>1</v>
      </c>
      <c r="AE33" s="152">
        <v>1</v>
      </c>
      <c r="AF33" s="134">
        <v>0</v>
      </c>
      <c r="AG33" s="134">
        <f>Master_Table[[#This Row],[Material Density (kg/m^3)]]*Master_Table[[#This Row],[Thickness (m)]]</f>
        <v>0</v>
      </c>
      <c r="AH33" s="134">
        <v>0</v>
      </c>
    </row>
    <row r="34" spans="2:34" x14ac:dyDescent="0.35">
      <c r="B34" s="115" t="str">
        <f>_xlfn.CONCAT(Master_Table[[#This Row],[Unique ID]],"_",Master_Table[[#This Row],[Model Source]],"_",Master_Table[[#This Row],[System Type]],Master_Table[[#This Row],[System Subtype]],"_",Master_Table[[#This Row],[External Finish Type]])</f>
        <v>SIGMAT_EPD_LGSOpen_Brick</v>
      </c>
      <c r="C34" s="129" t="s">
        <v>513</v>
      </c>
      <c r="D34" s="129" t="s">
        <v>40</v>
      </c>
      <c r="E34" s="129" t="s">
        <v>558</v>
      </c>
      <c r="F34" s="129" t="s">
        <v>285</v>
      </c>
      <c r="G34" s="129" t="s">
        <v>603</v>
      </c>
      <c r="H34" s="129" t="s">
        <v>604</v>
      </c>
      <c r="I34" s="129" t="s">
        <v>597</v>
      </c>
      <c r="J34" s="129" t="s">
        <v>822</v>
      </c>
      <c r="K34" s="110" t="s">
        <v>663</v>
      </c>
      <c r="L34" s="129"/>
      <c r="M34" t="s">
        <v>351</v>
      </c>
      <c r="N34" s="129" t="s">
        <v>355</v>
      </c>
      <c r="O34" s="129" t="s">
        <v>817</v>
      </c>
      <c r="P34" s="129" t="s">
        <v>347</v>
      </c>
      <c r="Q34" t="s">
        <v>351</v>
      </c>
      <c r="R34" s="129" t="s">
        <v>581</v>
      </c>
      <c r="S34" s="129" t="s">
        <v>579</v>
      </c>
      <c r="T34" t="s">
        <v>352</v>
      </c>
      <c r="U34" s="129" t="s">
        <v>334</v>
      </c>
      <c r="V34" s="140">
        <v>0.5</v>
      </c>
      <c r="W34" s="148">
        <v>0</v>
      </c>
      <c r="X34" s="129">
        <v>0</v>
      </c>
      <c r="Y34" s="129" t="s">
        <v>545</v>
      </c>
      <c r="Z34" s="129">
        <v>1</v>
      </c>
      <c r="AA34" s="129">
        <v>1</v>
      </c>
      <c r="AB34" s="134">
        <v>0.05</v>
      </c>
      <c r="AC34" s="115">
        <f>Master_Table[[#This Row],[Length (m) (on wall)]]*Master_Table[[#This Row],[Height (m)]]*Master_Table[[#This Row],[Thickness (m)]]</f>
        <v>0.05</v>
      </c>
      <c r="AD34" s="129">
        <v>1</v>
      </c>
      <c r="AE34" s="149">
        <v>1</v>
      </c>
      <c r="AF34" s="129">
        <v>1.2</v>
      </c>
      <c r="AG34" s="129">
        <f>Master_Table[[#This Row],[Material Density (kg/m^3)]]*Master_Table[[#This Row],[Thickness (m)]]</f>
        <v>0.06</v>
      </c>
      <c r="AH34" s="129">
        <v>2.5000000000000001E-2</v>
      </c>
    </row>
    <row r="35" spans="2:34" x14ac:dyDescent="0.35">
      <c r="B35" s="115" t="str">
        <f>_xlfn.CONCAT(Master_Table[[#This Row],[Unique ID]],"_",Master_Table[[#This Row],[Model Source]],"_",Master_Table[[#This Row],[System Type]],Master_Table[[#This Row],[System Subtype]],"_",Master_Table[[#This Row],[External Finish Type]])</f>
        <v>SIGMAT_EPD_LGSOpen_Brick</v>
      </c>
      <c r="C35" s="129" t="s">
        <v>513</v>
      </c>
      <c r="D35" s="129" t="s">
        <v>40</v>
      </c>
      <c r="E35" s="129" t="s">
        <v>558</v>
      </c>
      <c r="F35" s="129" t="s">
        <v>285</v>
      </c>
      <c r="G35" s="129" t="s">
        <v>603</v>
      </c>
      <c r="H35" s="129" t="s">
        <v>604</v>
      </c>
      <c r="I35" s="129" t="s">
        <v>597</v>
      </c>
      <c r="J35" s="129" t="s">
        <v>822</v>
      </c>
      <c r="K35" s="110" t="s">
        <v>663</v>
      </c>
      <c r="L35" s="129" t="s">
        <v>667</v>
      </c>
      <c r="M35" t="s">
        <v>351</v>
      </c>
      <c r="N35" s="133" t="s">
        <v>33</v>
      </c>
      <c r="O35" s="129" t="s">
        <v>816</v>
      </c>
      <c r="P35" s="129" t="s">
        <v>344</v>
      </c>
      <c r="Q35" t="s">
        <v>352</v>
      </c>
      <c r="R35" s="129" t="s">
        <v>552</v>
      </c>
      <c r="S35" s="129"/>
      <c r="T35" t="s">
        <v>352</v>
      </c>
      <c r="U35" s="129" t="s">
        <v>334</v>
      </c>
      <c r="V35" s="139">
        <v>1.0371428571428574</v>
      </c>
      <c r="W35" s="139">
        <v>8.9999999999999982</v>
      </c>
      <c r="X35" s="129">
        <v>1.25</v>
      </c>
      <c r="Y35" s="129" t="s">
        <v>545</v>
      </c>
      <c r="Z35" s="103">
        <v>0.6</v>
      </c>
      <c r="AA35" s="145">
        <v>2.4</v>
      </c>
      <c r="AB35" s="145">
        <v>0.09</v>
      </c>
      <c r="AC35" s="115">
        <f>Master_Table[[#This Row],[Length (m) (on wall)]]*Master_Table[[#This Row],[Height (m)]]*Master_Table[[#This Row],[Thickness (m)]]</f>
        <v>0.12959999999999999</v>
      </c>
      <c r="AD35" s="129">
        <v>4</v>
      </c>
      <c r="AE35" s="149">
        <v>1</v>
      </c>
      <c r="AF35" s="150">
        <v>80</v>
      </c>
      <c r="AG35" s="150">
        <f>Master_Table[[#This Row],[Thickness (m)]]*Master_Table[[#This Row],[Material Density (kg/m^3)]]</f>
        <v>7.1999999999999993</v>
      </c>
      <c r="AH35" s="147">
        <v>2.1999999999999999E-2</v>
      </c>
    </row>
    <row r="36" spans="2:34" x14ac:dyDescent="0.35">
      <c r="B36" s="115" t="str">
        <f>_xlfn.CONCAT(Master_Table[[#This Row],[Unique ID]],"_",Master_Table[[#This Row],[Model Source]],"_",Master_Table[[#This Row],[System Type]],Master_Table[[#This Row],[System Subtype]],"_",Master_Table[[#This Row],[External Finish Type]])</f>
        <v>SIGMAT_EPD_LGSOpen_Brick</v>
      </c>
      <c r="C36" s="129" t="s">
        <v>513</v>
      </c>
      <c r="D36" s="129" t="s">
        <v>40</v>
      </c>
      <c r="E36" s="129" t="s">
        <v>558</v>
      </c>
      <c r="F36" s="129" t="s">
        <v>285</v>
      </c>
      <c r="G36" s="129" t="s">
        <v>603</v>
      </c>
      <c r="H36" s="129" t="s">
        <v>604</v>
      </c>
      <c r="I36" s="129" t="s">
        <v>597</v>
      </c>
      <c r="J36" s="129" t="s">
        <v>822</v>
      </c>
      <c r="K36" s="110" t="s">
        <v>663</v>
      </c>
      <c r="L36" s="129" t="s">
        <v>667</v>
      </c>
      <c r="M36" t="s">
        <v>351</v>
      </c>
      <c r="N36" s="133" t="s">
        <v>28</v>
      </c>
      <c r="O36" s="129" t="s">
        <v>816</v>
      </c>
      <c r="P36" s="129" t="s">
        <v>344</v>
      </c>
      <c r="Q36" t="s">
        <v>352</v>
      </c>
      <c r="R36" s="129" t="s">
        <v>553</v>
      </c>
      <c r="S36" s="129" t="s">
        <v>334</v>
      </c>
      <c r="T36" t="s">
        <v>352</v>
      </c>
      <c r="U36" s="129" t="s">
        <v>334</v>
      </c>
      <c r="V36" s="139">
        <v>3.6363636363636367</v>
      </c>
      <c r="W36" s="139">
        <v>7.9078399999999993</v>
      </c>
      <c r="X36" s="129">
        <v>3.089</v>
      </c>
      <c r="Y36" s="129" t="s">
        <v>545</v>
      </c>
      <c r="Z36" s="145">
        <v>2.4</v>
      </c>
      <c r="AA36" s="145">
        <v>1.2</v>
      </c>
      <c r="AB36" s="145">
        <v>0.08</v>
      </c>
      <c r="AC36" s="115">
        <f>Master_Table[[#This Row],[Length (m) (on wall)]]*Master_Table[[#This Row],[Height (m)]]*Master_Table[[#This Row],[Thickness (m)]]</f>
        <v>0.23039999999999999</v>
      </c>
      <c r="AD36" s="129">
        <v>2</v>
      </c>
      <c r="AE36" s="149">
        <v>1</v>
      </c>
      <c r="AF36" s="150">
        <v>32</v>
      </c>
      <c r="AG36" s="150">
        <f>Master_Table[[#This Row],[Thickness (m)]]*Master_Table[[#This Row],[Material Density (kg/m^3)]]</f>
        <v>2.56</v>
      </c>
      <c r="AH36" s="147">
        <v>0.3</v>
      </c>
    </row>
    <row r="37" spans="2:34" x14ac:dyDescent="0.35">
      <c r="B37" s="115" t="str">
        <f>_xlfn.CONCAT(Master_Table[[#This Row],[Unique ID]],"_",Master_Table[[#This Row],[Model Source]],"_",Master_Table[[#This Row],[System Type]],Master_Table[[#This Row],[System Subtype]],"_",Master_Table[[#This Row],[External Finish Type]])</f>
        <v>SIGMAT_EPD_LGSOpen_Brick</v>
      </c>
      <c r="C37" s="129" t="s">
        <v>513</v>
      </c>
      <c r="D37" s="129" t="s">
        <v>40</v>
      </c>
      <c r="E37" s="129" t="s">
        <v>558</v>
      </c>
      <c r="F37" s="129" t="s">
        <v>285</v>
      </c>
      <c r="G37" s="129" t="s">
        <v>603</v>
      </c>
      <c r="H37" s="129" t="s">
        <v>604</v>
      </c>
      <c r="I37" s="129" t="s">
        <v>597</v>
      </c>
      <c r="J37" s="129" t="s">
        <v>822</v>
      </c>
      <c r="K37" s="110" t="s">
        <v>663</v>
      </c>
      <c r="L37" s="129" t="s">
        <v>668</v>
      </c>
      <c r="M37" t="s">
        <v>351</v>
      </c>
      <c r="N37" s="133" t="s">
        <v>29</v>
      </c>
      <c r="O37" s="129" t="s">
        <v>816</v>
      </c>
      <c r="P37" s="129" t="s">
        <v>470</v>
      </c>
      <c r="Q37" t="s">
        <v>352</v>
      </c>
      <c r="R37" s="129" t="s">
        <v>554</v>
      </c>
      <c r="S37" s="129" t="s">
        <v>334</v>
      </c>
      <c r="T37" t="s">
        <v>352</v>
      </c>
      <c r="U37" s="129" t="s">
        <v>334</v>
      </c>
      <c r="V37" s="138">
        <v>1.5E-3</v>
      </c>
      <c r="W37" s="139">
        <v>0.25229166666666669</v>
      </c>
      <c r="X37" s="129">
        <v>4.2</v>
      </c>
      <c r="Y37" s="129" t="s">
        <v>545</v>
      </c>
      <c r="Z37" s="129">
        <v>2.4</v>
      </c>
      <c r="AA37" s="129">
        <v>2.4</v>
      </c>
      <c r="AB37" s="129">
        <v>4.4999999999999999E-4</v>
      </c>
      <c r="AC37" s="115">
        <f>Master_Table[[#This Row],[Length (m) (on wall)]]*Master_Table[[#This Row],[Height (m)]]*Master_Table[[#This Row],[Thickness (m)]]</f>
        <v>2.5919999999999997E-3</v>
      </c>
      <c r="AD37" s="129">
        <v>1</v>
      </c>
      <c r="AE37" s="149">
        <v>1</v>
      </c>
      <c r="AF37" s="151">
        <v>0</v>
      </c>
      <c r="AG37" s="151">
        <v>0.34599999999999997</v>
      </c>
      <c r="AH37" s="147">
        <v>0.3</v>
      </c>
    </row>
    <row r="38" spans="2:34" x14ac:dyDescent="0.35">
      <c r="B38" s="115" t="str">
        <f>_xlfn.CONCAT(Master_Table[[#This Row],[Unique ID]],"_",Master_Table[[#This Row],[Model Source]],"_",Master_Table[[#This Row],[System Type]],Master_Table[[#This Row],[System Subtype]],"_",Master_Table[[#This Row],[External Finish Type]])</f>
        <v>SIGMAT_EPD_LGSOpen_Brick</v>
      </c>
      <c r="C38" s="129" t="s">
        <v>513</v>
      </c>
      <c r="D38" s="129" t="s">
        <v>40</v>
      </c>
      <c r="E38" s="129" t="s">
        <v>558</v>
      </c>
      <c r="F38" s="129" t="s">
        <v>285</v>
      </c>
      <c r="G38" s="129" t="s">
        <v>603</v>
      </c>
      <c r="H38" s="129" t="s">
        <v>604</v>
      </c>
      <c r="I38" s="129" t="s">
        <v>597</v>
      </c>
      <c r="J38" s="129" t="s">
        <v>822</v>
      </c>
      <c r="K38" s="110" t="s">
        <v>663</v>
      </c>
      <c r="L38" s="129" t="s">
        <v>809</v>
      </c>
      <c r="M38" s="179" t="s">
        <v>351</v>
      </c>
      <c r="N38" s="178" t="s">
        <v>810</v>
      </c>
      <c r="O38" s="129" t="s">
        <v>663</v>
      </c>
      <c r="P38" s="129" t="s">
        <v>811</v>
      </c>
      <c r="Q38" t="s">
        <v>352</v>
      </c>
      <c r="R38" s="178" t="s">
        <v>812</v>
      </c>
      <c r="S38" s="129"/>
      <c r="T38" t="s">
        <v>351</v>
      </c>
      <c r="U38" s="129" t="s">
        <v>813</v>
      </c>
      <c r="V38" s="140">
        <v>0</v>
      </c>
      <c r="W38" s="138">
        <v>1</v>
      </c>
      <c r="X38" s="147">
        <v>0</v>
      </c>
      <c r="Y38" s="129"/>
      <c r="Z38" s="134">
        <v>1</v>
      </c>
      <c r="AA38" s="134">
        <v>1</v>
      </c>
      <c r="AB38" s="134">
        <v>1</v>
      </c>
      <c r="AC38" s="115">
        <f>Master_Table[[#This Row],[Length (m) (on wall)]]*Master_Table[[#This Row],[Height (m)]]*Master_Table[[#This Row],[Thickness (m)]]</f>
        <v>1</v>
      </c>
      <c r="AD38" s="134">
        <v>1</v>
      </c>
      <c r="AE38" s="152">
        <v>1</v>
      </c>
      <c r="AF38" s="134">
        <v>0</v>
      </c>
      <c r="AG38" s="134">
        <v>0.05</v>
      </c>
      <c r="AH38" s="134">
        <v>0</v>
      </c>
    </row>
    <row r="39" spans="2:34" x14ac:dyDescent="0.35">
      <c r="B39" s="115" t="str">
        <f>_xlfn.CONCAT(Master_Table[[#This Row],[Unique ID]],"_",Master_Table[[#This Row],[Model Source]],"_",Master_Table[[#This Row],[System Type]],Master_Table[[#This Row],[System Subtype]],"_",Master_Table[[#This Row],[External Finish Type]])</f>
        <v>A_LCA_TimberOpen_Brick</v>
      </c>
      <c r="C39" s="129" t="s">
        <v>512</v>
      </c>
      <c r="D39" s="129" t="s">
        <v>3</v>
      </c>
      <c r="E39" s="129" t="s">
        <v>558</v>
      </c>
      <c r="F39" s="129" t="s">
        <v>285</v>
      </c>
      <c r="G39" s="129" t="s">
        <v>550</v>
      </c>
      <c r="H39" s="129" t="s">
        <v>606</v>
      </c>
      <c r="I39" s="129" t="s">
        <v>607</v>
      </c>
      <c r="J39" s="129" t="s">
        <v>822</v>
      </c>
      <c r="K39" s="110" t="s">
        <v>659</v>
      </c>
      <c r="L39" s="129" t="s">
        <v>664</v>
      </c>
      <c r="M39" t="s">
        <v>351</v>
      </c>
      <c r="N39" s="132" t="s">
        <v>13</v>
      </c>
      <c r="O39" s="129" t="s">
        <v>816</v>
      </c>
      <c r="P39" s="129" t="s">
        <v>4</v>
      </c>
      <c r="Q39" t="s">
        <v>351</v>
      </c>
      <c r="R39" s="129"/>
      <c r="S39" s="129"/>
      <c r="T39" t="s">
        <v>352</v>
      </c>
      <c r="U39" s="129" t="s">
        <v>334</v>
      </c>
      <c r="V39" s="138">
        <v>8.5256410256410273E-2</v>
      </c>
      <c r="W39" s="139">
        <v>1.4866075000000001</v>
      </c>
      <c r="X39" s="129">
        <v>0.26300000000000001</v>
      </c>
      <c r="Y39" s="129" t="s">
        <v>545</v>
      </c>
      <c r="Z39" s="129">
        <v>3.7999999999999999E-2</v>
      </c>
      <c r="AA39" s="129">
        <v>2.4</v>
      </c>
      <c r="AB39" s="129">
        <v>0.14000000000000001</v>
      </c>
      <c r="AC39" s="115">
        <f>Master_Table[[#This Row],[Length (m) (on wall)]]*Master_Table[[#This Row],[Height (m)]]*Master_Table[[#This Row],[Thickness (m)]]</f>
        <v>1.2768E-2</v>
      </c>
      <c r="AD39" s="155">
        <v>5</v>
      </c>
      <c r="AE39" s="149">
        <v>7.9166666666666663E-2</v>
      </c>
      <c r="AF39" s="156">
        <v>510</v>
      </c>
      <c r="AG39" s="139">
        <f>Master_Table[[#This Row],[Element Volume (m^3)]]*Master_Table[[#This Row],[No. of elements in 1 panel]]*Master_Table[[#This Row],[Material Density (kg/m^3)]]/(2.4*2.4)</f>
        <v>5.6524999999999999</v>
      </c>
      <c r="AH39" s="157">
        <v>0.13</v>
      </c>
    </row>
    <row r="40" spans="2:34" x14ac:dyDescent="0.35">
      <c r="B40" s="115" t="str">
        <f>_xlfn.CONCAT(Master_Table[[#This Row],[Unique ID]],"_",Master_Table[[#This Row],[Model Source]],"_",Master_Table[[#This Row],[System Type]],Master_Table[[#This Row],[System Subtype]],"_",Master_Table[[#This Row],[External Finish Type]])</f>
        <v>A_LCA_TimberOpen_Brick</v>
      </c>
      <c r="C40" s="129" t="s">
        <v>512</v>
      </c>
      <c r="D40" s="129" t="s">
        <v>3</v>
      </c>
      <c r="E40" s="129" t="s">
        <v>558</v>
      </c>
      <c r="F40" s="129" t="s">
        <v>285</v>
      </c>
      <c r="G40" s="129" t="s">
        <v>550</v>
      </c>
      <c r="H40" s="129" t="s">
        <v>606</v>
      </c>
      <c r="I40" s="129" t="s">
        <v>607</v>
      </c>
      <c r="J40" s="129" t="s">
        <v>822</v>
      </c>
      <c r="K40" s="110" t="s">
        <v>659</v>
      </c>
      <c r="L40" s="129" t="s">
        <v>664</v>
      </c>
      <c r="M40" t="s">
        <v>351</v>
      </c>
      <c r="N40" s="132" t="s">
        <v>20</v>
      </c>
      <c r="O40" s="129" t="s">
        <v>816</v>
      </c>
      <c r="P40" s="129" t="s">
        <v>4</v>
      </c>
      <c r="Q40" t="s">
        <v>351</v>
      </c>
      <c r="R40" s="129"/>
      <c r="S40" s="129"/>
      <c r="T40" t="s">
        <v>352</v>
      </c>
      <c r="U40" s="129" t="s">
        <v>334</v>
      </c>
      <c r="V40" s="138">
        <v>3.4102564102564105E-2</v>
      </c>
      <c r="W40" s="139">
        <v>0.59464300000000003</v>
      </c>
      <c r="X40" s="129">
        <v>0.26300000000000001</v>
      </c>
      <c r="Y40" s="129" t="s">
        <v>545</v>
      </c>
      <c r="Z40" s="129">
        <v>3.7999999999999999E-2</v>
      </c>
      <c r="AA40" s="129">
        <v>2.4</v>
      </c>
      <c r="AB40" s="129">
        <v>0.14000000000000001</v>
      </c>
      <c r="AC40" s="115">
        <f>Master_Table[[#This Row],[Length (m) (on wall)]]*Master_Table[[#This Row],[Height (m)]]*Master_Table[[#This Row],[Thickness (m)]]</f>
        <v>1.2768E-2</v>
      </c>
      <c r="AD40" s="155">
        <v>2</v>
      </c>
      <c r="AE40" s="149">
        <v>3.1666666666666662E-2</v>
      </c>
      <c r="AF40" s="156">
        <v>510</v>
      </c>
      <c r="AG40" s="139">
        <f>Master_Table[[#This Row],[Element Volume (m^3)]]*Master_Table[[#This Row],[No. of elements in 1 panel]]*Master_Table[[#This Row],[Material Density (kg/m^3)]]/(2.4*2.4)</f>
        <v>2.2610000000000001</v>
      </c>
      <c r="AH40" s="157">
        <v>0.13</v>
      </c>
    </row>
    <row r="41" spans="2:34" x14ac:dyDescent="0.35">
      <c r="B41" s="115" t="str">
        <f>_xlfn.CONCAT(Master_Table[[#This Row],[Unique ID]],"_",Master_Table[[#This Row],[Model Source]],"_",Master_Table[[#This Row],[System Type]],Master_Table[[#This Row],[System Subtype]],"_",Master_Table[[#This Row],[External Finish Type]])</f>
        <v>A_LCA_TimberOpen_Brick</v>
      </c>
      <c r="C41" s="129" t="s">
        <v>512</v>
      </c>
      <c r="D41" s="129" t="s">
        <v>3</v>
      </c>
      <c r="E41" s="129" t="s">
        <v>558</v>
      </c>
      <c r="F41" s="129" t="s">
        <v>285</v>
      </c>
      <c r="G41" s="129" t="s">
        <v>550</v>
      </c>
      <c r="H41" s="129" t="s">
        <v>606</v>
      </c>
      <c r="I41" s="129" t="s">
        <v>607</v>
      </c>
      <c r="J41" s="129" t="s">
        <v>822</v>
      </c>
      <c r="K41" s="110" t="s">
        <v>659</v>
      </c>
      <c r="L41" s="129" t="s">
        <v>664</v>
      </c>
      <c r="M41" t="s">
        <v>351</v>
      </c>
      <c r="N41" s="132" t="s">
        <v>15</v>
      </c>
      <c r="O41" s="129" t="s">
        <v>816</v>
      </c>
      <c r="P41" s="129" t="s">
        <v>4</v>
      </c>
      <c r="Q41" t="s">
        <v>351</v>
      </c>
      <c r="R41" s="129"/>
      <c r="S41" s="129"/>
      <c r="T41" t="s">
        <v>352</v>
      </c>
      <c r="U41" s="129" t="s">
        <v>334</v>
      </c>
      <c r="V41" s="138">
        <v>1.5630341880341885E-2</v>
      </c>
      <c r="W41" s="139">
        <v>0.27254470833333344</v>
      </c>
      <c r="X41" s="129">
        <v>0.26300000000000001</v>
      </c>
      <c r="Y41" s="129" t="s">
        <v>545</v>
      </c>
      <c r="Z41" s="129">
        <v>3.7999999999999999E-2</v>
      </c>
      <c r="AA41" s="129">
        <v>2.2000000000000002</v>
      </c>
      <c r="AB41" s="129">
        <v>0.14000000000000001</v>
      </c>
      <c r="AC41" s="115">
        <f>Master_Table[[#This Row],[Length (m) (on wall)]]*Master_Table[[#This Row],[Height (m)]]*Master_Table[[#This Row],[Thickness (m)]]</f>
        <v>1.1704000000000003E-2</v>
      </c>
      <c r="AD41" s="155">
        <v>1</v>
      </c>
      <c r="AE41" s="149">
        <v>1.451388888888889E-2</v>
      </c>
      <c r="AF41" s="156">
        <v>510</v>
      </c>
      <c r="AG41" s="139">
        <f>Master_Table[[#This Row],[Element Volume (m^3)]]*Master_Table[[#This Row],[No. of elements in 1 panel]]*Master_Table[[#This Row],[Material Density (kg/m^3)]]/(2.4*2.4)</f>
        <v>1.0362916666666671</v>
      </c>
      <c r="AH41" s="157">
        <v>0.13</v>
      </c>
    </row>
    <row r="42" spans="2:34" x14ac:dyDescent="0.35">
      <c r="B42" s="115" t="str">
        <f>_xlfn.CONCAT(Master_Table[[#This Row],[Unique ID]],"_",Master_Table[[#This Row],[Model Source]],"_",Master_Table[[#This Row],[System Type]],Master_Table[[#This Row],[System Subtype]],"_",Master_Table[[#This Row],[External Finish Type]])</f>
        <v>A_LCA_TimberOpen_Brick</v>
      </c>
      <c r="C42" s="129" t="s">
        <v>512</v>
      </c>
      <c r="D42" s="129" t="s">
        <v>3</v>
      </c>
      <c r="E42" s="129" t="s">
        <v>558</v>
      </c>
      <c r="F42" s="129" t="s">
        <v>285</v>
      </c>
      <c r="G42" s="129" t="s">
        <v>550</v>
      </c>
      <c r="H42" s="129" t="s">
        <v>606</v>
      </c>
      <c r="I42" s="129" t="s">
        <v>607</v>
      </c>
      <c r="J42" s="129" t="s">
        <v>822</v>
      </c>
      <c r="K42" s="110" t="s">
        <v>660</v>
      </c>
      <c r="L42" s="129"/>
      <c r="M42" t="s">
        <v>351</v>
      </c>
      <c r="N42" s="132" t="s">
        <v>21</v>
      </c>
      <c r="O42" s="129" t="s">
        <v>816</v>
      </c>
      <c r="P42" s="129" t="s">
        <v>608</v>
      </c>
      <c r="Q42" t="s">
        <v>352</v>
      </c>
      <c r="R42" s="129"/>
      <c r="S42" s="129"/>
      <c r="T42" t="s">
        <v>352</v>
      </c>
      <c r="U42" s="129" t="s">
        <v>334</v>
      </c>
      <c r="V42" s="138">
        <v>6.9230769230769221E-2</v>
      </c>
      <c r="W42" s="139">
        <v>2.4569999999999999</v>
      </c>
      <c r="X42" s="129">
        <v>0.45500000000000002</v>
      </c>
      <c r="Y42" s="129" t="s">
        <v>545</v>
      </c>
      <c r="Z42" s="129">
        <v>2.4</v>
      </c>
      <c r="AA42" s="129">
        <v>2.4</v>
      </c>
      <c r="AB42" s="129">
        <v>8.9999999999999993E-3</v>
      </c>
      <c r="AC42" s="115">
        <f>Master_Table[[#This Row],[Length (m) (on wall)]]*Master_Table[[#This Row],[Height (m)]]*Master_Table[[#This Row],[Thickness (m)]]</f>
        <v>5.1839999999999997E-2</v>
      </c>
      <c r="AD42" s="155">
        <v>1</v>
      </c>
      <c r="AE42" s="149">
        <v>1</v>
      </c>
      <c r="AF42" s="156">
        <v>600</v>
      </c>
      <c r="AG42" s="139">
        <f>Master_Table[[#This Row],[Element Volume (m^3)]]*Master_Table[[#This Row],[No. of elements in 1 panel]]*Master_Table[[#This Row],[Material Density (kg/m^3)]]/(2.4*2.4)</f>
        <v>5.4</v>
      </c>
      <c r="AH42" s="157">
        <v>0.13</v>
      </c>
    </row>
    <row r="43" spans="2:34" x14ac:dyDescent="0.35">
      <c r="B43" s="115" t="str">
        <f>_xlfn.CONCAT(Master_Table[[#This Row],[Unique ID]],"_",Master_Table[[#This Row],[Model Source]],"_",Master_Table[[#This Row],[System Type]],Master_Table[[#This Row],[System Subtype]],"_",Master_Table[[#This Row],[External Finish Type]])</f>
        <v>A_LCA_TimberOpen_Brick</v>
      </c>
      <c r="C43" s="129" t="s">
        <v>512</v>
      </c>
      <c r="D43" s="129" t="s">
        <v>3</v>
      </c>
      <c r="E43" s="129" t="s">
        <v>558</v>
      </c>
      <c r="F43" s="129" t="s">
        <v>285</v>
      </c>
      <c r="G43" s="129" t="s">
        <v>550</v>
      </c>
      <c r="H43" s="129" t="s">
        <v>606</v>
      </c>
      <c r="I43" s="129" t="s">
        <v>607</v>
      </c>
      <c r="J43" s="129" t="s">
        <v>822</v>
      </c>
      <c r="K43" s="110" t="s">
        <v>659</v>
      </c>
      <c r="L43" s="129" t="s">
        <v>665</v>
      </c>
      <c r="M43" t="s">
        <v>351</v>
      </c>
      <c r="N43" s="132" t="s">
        <v>16</v>
      </c>
      <c r="O43" s="129" t="s">
        <v>816</v>
      </c>
      <c r="P43" s="129" t="s">
        <v>344</v>
      </c>
      <c r="Q43" t="s">
        <v>352</v>
      </c>
      <c r="R43" s="129"/>
      <c r="S43" s="129"/>
      <c r="T43" t="s">
        <v>352</v>
      </c>
      <c r="U43" s="129" t="s">
        <v>334</v>
      </c>
      <c r="V43" s="138">
        <v>3.4986111111111109</v>
      </c>
      <c r="W43" s="139">
        <v>14</v>
      </c>
      <c r="X43" s="129">
        <v>1.25</v>
      </c>
      <c r="Y43" s="129" t="s">
        <v>545</v>
      </c>
      <c r="Z43" s="129">
        <v>0.6</v>
      </c>
      <c r="AA43" s="129">
        <v>2.4</v>
      </c>
      <c r="AB43" s="129">
        <v>0.14000000000000001</v>
      </c>
      <c r="AC43" s="115">
        <f>Master_Table[[#This Row],[Length (m) (on wall)]]*Master_Table[[#This Row],[Height (m)]]*Master_Table[[#This Row],[Thickness (m)]]</f>
        <v>0.2016</v>
      </c>
      <c r="AD43" s="155">
        <v>4</v>
      </c>
      <c r="AE43" s="149">
        <v>0.87465277777777772</v>
      </c>
      <c r="AF43" s="129">
        <v>80</v>
      </c>
      <c r="AG43" s="139">
        <f>Master_Table[[#This Row],[Element Volume (m^3)]]*Master_Table[[#This Row],[No. of elements in 1 panel]]*Master_Table[[#This Row],[Material Density (kg/m^3)]]/(2.4*2.4)</f>
        <v>11.200000000000001</v>
      </c>
      <c r="AH43" s="157">
        <v>3.5000000000000003E-2</v>
      </c>
    </row>
    <row r="44" spans="2:34" x14ac:dyDescent="0.35">
      <c r="B44" s="115" t="str">
        <f>_xlfn.CONCAT(Master_Table[[#This Row],[Unique ID]],"_",Master_Table[[#This Row],[Model Source]],"_",Master_Table[[#This Row],[System Type]],Master_Table[[#This Row],[System Subtype]],"_",Master_Table[[#This Row],[External Finish Type]])</f>
        <v>A_LCA_TimberOpen_Brick</v>
      </c>
      <c r="C44" s="129" t="s">
        <v>512</v>
      </c>
      <c r="D44" s="129" t="s">
        <v>3</v>
      </c>
      <c r="E44" s="129" t="s">
        <v>558</v>
      </c>
      <c r="F44" s="129" t="s">
        <v>285</v>
      </c>
      <c r="G44" s="129" t="s">
        <v>550</v>
      </c>
      <c r="H44" s="129" t="s">
        <v>606</v>
      </c>
      <c r="I44" s="129" t="s">
        <v>607</v>
      </c>
      <c r="J44" s="129" t="s">
        <v>822</v>
      </c>
      <c r="K44" s="110" t="s">
        <v>660</v>
      </c>
      <c r="L44" s="129"/>
      <c r="M44" t="s">
        <v>351</v>
      </c>
      <c r="N44" s="132" t="s">
        <v>17</v>
      </c>
      <c r="O44" s="129" t="s">
        <v>816</v>
      </c>
      <c r="P44" s="129" t="s">
        <v>344</v>
      </c>
      <c r="Q44" t="s">
        <v>352</v>
      </c>
      <c r="R44" s="129"/>
      <c r="S44" s="129"/>
      <c r="T44" t="s">
        <v>352</v>
      </c>
      <c r="U44" s="129" t="s">
        <v>334</v>
      </c>
      <c r="V44" s="138">
        <v>1.3636363636363638</v>
      </c>
      <c r="W44" s="139">
        <v>2.9654399999999996</v>
      </c>
      <c r="X44" s="129">
        <v>3.089</v>
      </c>
      <c r="Y44" s="129" t="s">
        <v>545</v>
      </c>
      <c r="Z44" s="129">
        <v>2.4</v>
      </c>
      <c r="AA44" s="129">
        <v>2.4</v>
      </c>
      <c r="AB44" s="129">
        <v>0.03</v>
      </c>
      <c r="AC44" s="115">
        <f>Master_Table[[#This Row],[Length (m) (on wall)]]*Master_Table[[#This Row],[Height (m)]]*Master_Table[[#This Row],[Thickness (m)]]</f>
        <v>0.17279999999999998</v>
      </c>
      <c r="AD44" s="155">
        <v>1</v>
      </c>
      <c r="AE44" s="149">
        <v>1</v>
      </c>
      <c r="AF44" s="129">
        <v>32</v>
      </c>
      <c r="AG44" s="139">
        <f>Master_Table[[#This Row],[Element Volume (m^3)]]*Master_Table[[#This Row],[No. of elements in 1 panel]]*Master_Table[[#This Row],[Material Density (kg/m^3)]]/(2.4*2.4)</f>
        <v>0.96</v>
      </c>
      <c r="AH44" s="157">
        <v>2.1999999999999999E-2</v>
      </c>
    </row>
    <row r="45" spans="2:34" x14ac:dyDescent="0.35">
      <c r="B45" s="115" t="str">
        <f>_xlfn.CONCAT(Master_Table[[#This Row],[Unique ID]],"_",Master_Table[[#This Row],[Model Source]],"_",Master_Table[[#This Row],[System Type]],Master_Table[[#This Row],[System Subtype]],"_",Master_Table[[#This Row],[External Finish Type]])</f>
        <v>A_LCA_TimberOpen_Brick</v>
      </c>
      <c r="C45" s="129" t="s">
        <v>512</v>
      </c>
      <c r="D45" s="129" t="s">
        <v>3</v>
      </c>
      <c r="E45" s="129" t="s">
        <v>558</v>
      </c>
      <c r="F45" s="129" t="s">
        <v>285</v>
      </c>
      <c r="G45" s="129" t="s">
        <v>550</v>
      </c>
      <c r="H45" s="129" t="s">
        <v>606</v>
      </c>
      <c r="I45" s="129" t="s">
        <v>607</v>
      </c>
      <c r="J45" s="129" t="s">
        <v>822</v>
      </c>
      <c r="K45" s="110" t="s">
        <v>660</v>
      </c>
      <c r="L45" s="129"/>
      <c r="M45" t="s">
        <v>351</v>
      </c>
      <c r="N45" s="132" t="s">
        <v>22</v>
      </c>
      <c r="O45" s="129" t="s">
        <v>816</v>
      </c>
      <c r="P45" s="129" t="s">
        <v>470</v>
      </c>
      <c r="Q45" t="s">
        <v>352</v>
      </c>
      <c r="R45" s="129"/>
      <c r="S45" s="129"/>
      <c r="T45" t="s">
        <v>352</v>
      </c>
      <c r="U45" s="129" t="s">
        <v>334</v>
      </c>
      <c r="V45" s="138">
        <v>1.5E-3</v>
      </c>
      <c r="W45" s="139">
        <v>0.25229166666666669</v>
      </c>
      <c r="X45" s="129">
        <v>4.2</v>
      </c>
      <c r="Y45" s="129" t="s">
        <v>545</v>
      </c>
      <c r="Z45" s="129">
        <v>2.4</v>
      </c>
      <c r="AA45" s="129">
        <v>2.4</v>
      </c>
      <c r="AB45" s="129">
        <v>4.4999999999999999E-4</v>
      </c>
      <c r="AC45" s="115">
        <f>Master_Table[[#This Row],[Length (m) (on wall)]]*Master_Table[[#This Row],[Height (m)]]*Master_Table[[#This Row],[Thickness (m)]]</f>
        <v>2.5919999999999997E-3</v>
      </c>
      <c r="AD45" s="129">
        <v>1</v>
      </c>
      <c r="AE45" s="149">
        <v>1</v>
      </c>
      <c r="AF45" s="129">
        <v>0</v>
      </c>
      <c r="AG45" s="139">
        <f>0.35/(2.4*2.4)</f>
        <v>6.0763888888888888E-2</v>
      </c>
      <c r="AH45" s="157">
        <v>0.3</v>
      </c>
    </row>
    <row r="46" spans="2:34" x14ac:dyDescent="0.35">
      <c r="B46" s="115" t="str">
        <f>_xlfn.CONCAT(Master_Table[[#This Row],[Unique ID]],"_",Master_Table[[#This Row],[Model Source]],"_",Master_Table[[#This Row],[System Type]],Master_Table[[#This Row],[System Subtype]],"_",Master_Table[[#This Row],[External Finish Type]])</f>
        <v>A_LCA_TimberOpen_Brick</v>
      </c>
      <c r="C46" s="129" t="s">
        <v>512</v>
      </c>
      <c r="D46" s="129" t="s">
        <v>3</v>
      </c>
      <c r="E46" s="129" t="s">
        <v>558</v>
      </c>
      <c r="F46" s="129" t="s">
        <v>285</v>
      </c>
      <c r="G46" s="129" t="s">
        <v>550</v>
      </c>
      <c r="H46" s="129" t="s">
        <v>606</v>
      </c>
      <c r="I46" s="129" t="s">
        <v>607</v>
      </c>
      <c r="J46" s="129" t="s">
        <v>822</v>
      </c>
      <c r="K46" s="110" t="s">
        <v>663</v>
      </c>
      <c r="L46" s="129"/>
      <c r="M46" t="s">
        <v>351</v>
      </c>
      <c r="N46" s="130" t="s">
        <v>285</v>
      </c>
      <c r="O46" s="134" t="s">
        <v>663</v>
      </c>
      <c r="P46" s="129" t="s">
        <v>346</v>
      </c>
      <c r="Q46" t="s">
        <v>351</v>
      </c>
      <c r="R46" s="129" t="s">
        <v>564</v>
      </c>
      <c r="S46" s="129" t="s">
        <v>563</v>
      </c>
      <c r="T46" t="s">
        <v>352</v>
      </c>
      <c r="U46" s="129" t="s">
        <v>334</v>
      </c>
      <c r="V46" s="140">
        <v>0.12987012987012989</v>
      </c>
      <c r="W46" s="138">
        <f>Master_Table[[#This Row],[Raw A1-A3/Conversion factor]]*Master_Table[[#This Row],[Total Mass per m^2 (kg)]]</f>
        <v>42.199999999999996</v>
      </c>
      <c r="X46" s="134">
        <v>0.21099999999999999</v>
      </c>
      <c r="Y46" s="134" t="s">
        <v>545</v>
      </c>
      <c r="Z46" s="134">
        <v>1</v>
      </c>
      <c r="AA46" s="134">
        <v>1</v>
      </c>
      <c r="AB46" s="134">
        <v>0.1</v>
      </c>
      <c r="AC46" s="115">
        <f>Master_Table[[#This Row],[Length (m) (on wall)]]*Master_Table[[#This Row],[Height (m)]]*Master_Table[[#This Row],[Thickness (m)]]</f>
        <v>0.1</v>
      </c>
      <c r="AD46" s="134">
        <v>1</v>
      </c>
      <c r="AE46" s="152">
        <v>1</v>
      </c>
      <c r="AF46" s="153">
        <v>2000</v>
      </c>
      <c r="AG46" s="150">
        <f>Master_Table[[#This Row],[Element Volume (m^3)]]*Master_Table[[#This Row],[No. of elements in 1 panel]]*Master_Table[[#This Row],[Material Density (kg/m^3)]]</f>
        <v>200</v>
      </c>
      <c r="AH46" s="129">
        <v>0.77</v>
      </c>
    </row>
    <row r="47" spans="2:34" x14ac:dyDescent="0.35">
      <c r="B47" s="115" t="str">
        <f>_xlfn.CONCAT(Master_Table[[#This Row],[Unique ID]],"_",Master_Table[[#This Row],[Model Source]],"_",Master_Table[[#This Row],[System Type]],Master_Table[[#This Row],[System Subtype]],"_",Master_Table[[#This Row],[External Finish Type]])</f>
        <v>A_LCA_TimberOpen_Brick</v>
      </c>
      <c r="C47" s="129" t="s">
        <v>512</v>
      </c>
      <c r="D47" s="129" t="s">
        <v>3</v>
      </c>
      <c r="E47" s="129" t="s">
        <v>558</v>
      </c>
      <c r="F47" s="129" t="s">
        <v>285</v>
      </c>
      <c r="G47" s="129" t="s">
        <v>550</v>
      </c>
      <c r="H47" s="129" t="s">
        <v>606</v>
      </c>
      <c r="I47" s="129" t="s">
        <v>607</v>
      </c>
      <c r="J47" s="129" t="s">
        <v>822</v>
      </c>
      <c r="K47" s="110" t="s">
        <v>659</v>
      </c>
      <c r="L47" s="129" t="s">
        <v>807</v>
      </c>
      <c r="M47" t="s">
        <v>351</v>
      </c>
      <c r="N47" s="79" t="s">
        <v>796</v>
      </c>
      <c r="O47" s="134" t="s">
        <v>815</v>
      </c>
      <c r="P47" s="134" t="s">
        <v>346</v>
      </c>
      <c r="Q47" t="s">
        <v>351</v>
      </c>
      <c r="R47" s="134" t="s">
        <v>584</v>
      </c>
      <c r="S47" s="129" t="s">
        <v>576</v>
      </c>
      <c r="T47" t="s">
        <v>351</v>
      </c>
      <c r="U47" s="129" t="s">
        <v>808</v>
      </c>
      <c r="V47" s="140">
        <v>0</v>
      </c>
      <c r="W47" s="124">
        <f>_xlfn.XLOOKUP(Master_Table[[#This Row],[Component Name]],'GWP NORMALISED'!$A$2:$A$500,'GWP NORMALISED'!$H$2:$H$500,FALSE)</f>
        <v>4.1849999999999996</v>
      </c>
      <c r="X47" s="125">
        <f>_xlfn.XLOOKUP(Master_Table[[#This Row],[Component Name]],'RAW GWP FOSSIL'!$A$2:$A$500,'RAW GWP FOSSIL'!$H$2:$H$500,FALSE)</f>
        <v>135</v>
      </c>
      <c r="Y47" s="129" t="s">
        <v>545</v>
      </c>
      <c r="Z47" s="129">
        <v>1</v>
      </c>
      <c r="AA47" s="129">
        <v>1.2E-2</v>
      </c>
      <c r="AB47" s="129">
        <v>0.1</v>
      </c>
      <c r="AC47" s="115">
        <f>Master_Table[[#This Row],[Length (m) (on wall)]]*Master_Table[[#This Row],[Height (m)]]*Master_Table[[#This Row],[Thickness (m)]]</f>
        <v>1.2000000000000001E-3</v>
      </c>
      <c r="AD47" s="129">
        <v>5</v>
      </c>
      <c r="AE47" s="149">
        <f>Master_Table[[#This Row],[Length (m) (on wall)]]*Master_Table[[#This Row],[Height (m)]]/1</f>
        <v>1.2E-2</v>
      </c>
      <c r="AF47" s="147">
        <v>2000</v>
      </c>
      <c r="AG47" s="129">
        <f>0.031*1000</f>
        <v>31</v>
      </c>
      <c r="AH47" s="147">
        <v>2</v>
      </c>
    </row>
    <row r="48" spans="2:34" x14ac:dyDescent="0.35">
      <c r="B48" s="115" t="str">
        <f>_xlfn.CONCAT(Master_Table[[#This Row],[Unique ID]],"_",Master_Table[[#This Row],[Model Source]],"_",Master_Table[[#This Row],[System Type]],Master_Table[[#This Row],[System Subtype]],"_",Master_Table[[#This Row],[External Finish Type]])</f>
        <v>A_LCA_TimberOpen_Brick</v>
      </c>
      <c r="C48" s="129" t="s">
        <v>512</v>
      </c>
      <c r="D48" s="129" t="s">
        <v>3</v>
      </c>
      <c r="E48" s="129" t="s">
        <v>558</v>
      </c>
      <c r="F48" s="129" t="s">
        <v>285</v>
      </c>
      <c r="G48" s="129" t="s">
        <v>550</v>
      </c>
      <c r="H48" s="129" t="s">
        <v>606</v>
      </c>
      <c r="I48" s="129" t="s">
        <v>607</v>
      </c>
      <c r="J48" s="129" t="s">
        <v>822</v>
      </c>
      <c r="K48" s="110" t="s">
        <v>663</v>
      </c>
      <c r="L48" s="129"/>
      <c r="M48" t="s">
        <v>351</v>
      </c>
      <c r="N48" s="129" t="s">
        <v>355</v>
      </c>
      <c r="O48" s="129" t="s">
        <v>817</v>
      </c>
      <c r="P48" s="129" t="s">
        <v>346</v>
      </c>
      <c r="Q48" t="s">
        <v>351</v>
      </c>
      <c r="R48" s="129" t="s">
        <v>583</v>
      </c>
      <c r="S48" s="129" t="s">
        <v>577</v>
      </c>
      <c r="T48" t="s">
        <v>352</v>
      </c>
      <c r="U48" s="129" t="s">
        <v>334</v>
      </c>
      <c r="V48" s="140">
        <v>2</v>
      </c>
      <c r="W48" s="138">
        <v>0</v>
      </c>
      <c r="X48" s="147">
        <v>0</v>
      </c>
      <c r="Y48" s="129" t="s">
        <v>545</v>
      </c>
      <c r="Z48" s="129">
        <v>1</v>
      </c>
      <c r="AA48" s="129">
        <v>1</v>
      </c>
      <c r="AB48" s="129">
        <v>0.1</v>
      </c>
      <c r="AC48" s="115">
        <f>Master_Table[[#This Row],[Length (m) (on wall)]]*Master_Table[[#This Row],[Height (m)]]*Master_Table[[#This Row],[Thickness (m)]]</f>
        <v>0.1</v>
      </c>
      <c r="AD48" s="129">
        <v>1</v>
      </c>
      <c r="AE48" s="149">
        <v>1</v>
      </c>
      <c r="AF48" s="129">
        <v>1.2</v>
      </c>
      <c r="AG48" s="129">
        <f>Master_Table[[#This Row],[Material Density (kg/m^3)]]*Master_Table[[#This Row],[Thickness (m)]]</f>
        <v>0.12</v>
      </c>
      <c r="AH48" s="129">
        <v>2.5000000000000001E-2</v>
      </c>
    </row>
    <row r="49" spans="2:34" x14ac:dyDescent="0.35">
      <c r="B49" s="115" t="str">
        <f>_xlfn.CONCAT(Master_Table[[#This Row],[Unique ID]],"_",Master_Table[[#This Row],[Model Source]],"_",Master_Table[[#This Row],[System Type]],Master_Table[[#This Row],[System Subtype]],"_",Master_Table[[#This Row],[External Finish Type]])</f>
        <v>A_LCA_TimberOpen_Brick</v>
      </c>
      <c r="C49" s="129" t="s">
        <v>512</v>
      </c>
      <c r="D49" s="129" t="s">
        <v>3</v>
      </c>
      <c r="E49" s="129" t="s">
        <v>558</v>
      </c>
      <c r="F49" s="129" t="s">
        <v>285</v>
      </c>
      <c r="G49" s="129" t="s">
        <v>550</v>
      </c>
      <c r="H49" s="129" t="s">
        <v>606</v>
      </c>
      <c r="I49" s="129" t="s">
        <v>607</v>
      </c>
      <c r="J49" s="129" t="s">
        <v>822</v>
      </c>
      <c r="K49" s="110" t="s">
        <v>663</v>
      </c>
      <c r="L49" s="129"/>
      <c r="M49" t="s">
        <v>351</v>
      </c>
      <c r="N49" s="134" t="s">
        <v>349</v>
      </c>
      <c r="O49" s="129" t="s">
        <v>663</v>
      </c>
      <c r="P49" s="134" t="s">
        <v>347</v>
      </c>
      <c r="Q49" t="s">
        <v>351</v>
      </c>
      <c r="R49" s="134" t="s">
        <v>582</v>
      </c>
      <c r="S49" s="134" t="s">
        <v>578</v>
      </c>
      <c r="T49" t="s">
        <v>352</v>
      </c>
      <c r="U49" s="129" t="s">
        <v>334</v>
      </c>
      <c r="V49" s="140">
        <v>6.5789473684210523E-2</v>
      </c>
      <c r="W49" s="138">
        <v>1.839</v>
      </c>
      <c r="X49" s="147">
        <v>0</v>
      </c>
      <c r="Y49" s="129" t="s">
        <v>545</v>
      </c>
      <c r="Z49" s="129">
        <v>1</v>
      </c>
      <c r="AA49" s="129">
        <v>1</v>
      </c>
      <c r="AB49" s="129">
        <v>1.4999999999999999E-2</v>
      </c>
      <c r="AC49" s="115">
        <f>Master_Table[[#This Row],[Length (m) (on wall)]]*Master_Table[[#This Row],[Height (m)]]*Master_Table[[#This Row],[Thickness (m)]]</f>
        <v>1.4999999999999999E-2</v>
      </c>
      <c r="AD49" s="129">
        <v>1</v>
      </c>
      <c r="AE49" s="149">
        <v>1</v>
      </c>
      <c r="AF49" s="147">
        <v>615</v>
      </c>
      <c r="AG49" s="147">
        <f>Master_Table[[#This Row],[Material Density (kg/m^3)]]*Master_Table[[#This Row],[Thickness (m)]]</f>
        <v>9.2249999999999996</v>
      </c>
      <c r="AH49" s="147">
        <v>0.19</v>
      </c>
    </row>
    <row r="50" spans="2:34" x14ac:dyDescent="0.35">
      <c r="B50" s="115" t="str">
        <f>_xlfn.CONCAT(Master_Table[[#This Row],[Unique ID]],"_",Master_Table[[#This Row],[Model Source]],"_",Master_Table[[#This Row],[System Type]],Master_Table[[#This Row],[System Subtype]],"_",Master_Table[[#This Row],[External Finish Type]])</f>
        <v>A_LCA_TimberOpen_Brick</v>
      </c>
      <c r="C50" s="129" t="s">
        <v>512</v>
      </c>
      <c r="D50" s="129" t="s">
        <v>3</v>
      </c>
      <c r="E50" s="129" t="s">
        <v>558</v>
      </c>
      <c r="F50" s="129" t="s">
        <v>285</v>
      </c>
      <c r="G50" s="129" t="s">
        <v>550</v>
      </c>
      <c r="H50" s="129" t="s">
        <v>606</v>
      </c>
      <c r="I50" s="129" t="s">
        <v>607</v>
      </c>
      <c r="J50" s="129" t="s">
        <v>822</v>
      </c>
      <c r="K50" s="110" t="s">
        <v>663</v>
      </c>
      <c r="L50" s="129"/>
      <c r="M50" t="s">
        <v>351</v>
      </c>
      <c r="N50" s="134" t="s">
        <v>566</v>
      </c>
      <c r="O50" s="129" t="s">
        <v>663</v>
      </c>
      <c r="P50" s="134" t="s">
        <v>347</v>
      </c>
      <c r="Q50" t="s">
        <v>351</v>
      </c>
      <c r="R50" s="134" t="s">
        <v>566</v>
      </c>
      <c r="S50" s="134" t="s">
        <v>580</v>
      </c>
      <c r="T50" t="s">
        <v>352</v>
      </c>
      <c r="U50" s="129" t="s">
        <v>334</v>
      </c>
      <c r="V50" s="140">
        <v>0</v>
      </c>
      <c r="W50" s="138">
        <v>1</v>
      </c>
      <c r="X50" s="147">
        <v>0</v>
      </c>
      <c r="Y50" s="129" t="s">
        <v>545</v>
      </c>
      <c r="Z50" s="134">
        <v>1</v>
      </c>
      <c r="AA50" s="134">
        <v>1</v>
      </c>
      <c r="AB50" s="134">
        <v>1</v>
      </c>
      <c r="AC50" s="115">
        <f>Master_Table[[#This Row],[Length (m) (on wall)]]*Master_Table[[#This Row],[Height (m)]]*Master_Table[[#This Row],[Thickness (m)]]</f>
        <v>1</v>
      </c>
      <c r="AD50" s="134">
        <v>1</v>
      </c>
      <c r="AE50" s="152">
        <v>1</v>
      </c>
      <c r="AF50" s="134">
        <v>0</v>
      </c>
      <c r="AG50" s="134">
        <f>Master_Table[[#This Row],[Material Density (kg/m^3)]]*Master_Table[[#This Row],[Thickness (m)]]</f>
        <v>0</v>
      </c>
      <c r="AH50" s="134">
        <v>0</v>
      </c>
    </row>
    <row r="51" spans="2:34" x14ac:dyDescent="0.35">
      <c r="B51" s="115" t="str">
        <f>_xlfn.CONCAT(Master_Table[[#This Row],[Unique ID]],"_",Master_Table[[#This Row],[Model Source]],"_",Master_Table[[#This Row],[System Type]],Master_Table[[#This Row],[System Subtype]],"_",Master_Table[[#This Row],[External Finish Type]])</f>
        <v>A_LCA_TimberOpen_Brick</v>
      </c>
      <c r="C51" s="129" t="s">
        <v>512</v>
      </c>
      <c r="D51" s="129" t="s">
        <v>3</v>
      </c>
      <c r="E51" s="129" t="s">
        <v>558</v>
      </c>
      <c r="F51" s="129" t="s">
        <v>285</v>
      </c>
      <c r="G51" s="129" t="s">
        <v>550</v>
      </c>
      <c r="H51" s="129" t="s">
        <v>606</v>
      </c>
      <c r="I51" s="129" t="s">
        <v>607</v>
      </c>
      <c r="J51" s="129" t="s">
        <v>822</v>
      </c>
      <c r="K51" s="110" t="s">
        <v>663</v>
      </c>
      <c r="L51" s="129"/>
      <c r="M51" t="s">
        <v>351</v>
      </c>
      <c r="N51" s="129" t="s">
        <v>355</v>
      </c>
      <c r="O51" s="129" t="s">
        <v>817</v>
      </c>
      <c r="P51" s="129" t="s">
        <v>347</v>
      </c>
      <c r="Q51" t="s">
        <v>351</v>
      </c>
      <c r="R51" s="129" t="s">
        <v>581</v>
      </c>
      <c r="S51" s="129" t="s">
        <v>579</v>
      </c>
      <c r="T51" t="s">
        <v>352</v>
      </c>
      <c r="U51" s="129" t="s">
        <v>334</v>
      </c>
      <c r="V51" s="140">
        <v>0.5</v>
      </c>
      <c r="W51" s="148">
        <v>0</v>
      </c>
      <c r="X51" s="129">
        <v>0</v>
      </c>
      <c r="Y51" s="129" t="s">
        <v>545</v>
      </c>
      <c r="Z51" s="129">
        <v>1</v>
      </c>
      <c r="AA51" s="129">
        <v>1</v>
      </c>
      <c r="AB51" s="134">
        <v>0.05</v>
      </c>
      <c r="AC51" s="115">
        <f>Master_Table[[#This Row],[Length (m) (on wall)]]*Master_Table[[#This Row],[Height (m)]]*Master_Table[[#This Row],[Thickness (m)]]</f>
        <v>0.05</v>
      </c>
      <c r="AD51" s="129">
        <v>1</v>
      </c>
      <c r="AE51" s="149">
        <v>1</v>
      </c>
      <c r="AF51" s="129">
        <v>1.2</v>
      </c>
      <c r="AG51" s="129">
        <f>Master_Table[[#This Row],[Material Density (kg/m^3)]]*Master_Table[[#This Row],[Thickness (m)]]</f>
        <v>0.06</v>
      </c>
      <c r="AH51" s="129">
        <v>2.5000000000000001E-2</v>
      </c>
    </row>
    <row r="52" spans="2:34" x14ac:dyDescent="0.35">
      <c r="B52" s="115" t="str">
        <f>_xlfn.CONCAT(Master_Table[[#This Row],[Unique ID]],"_",Master_Table[[#This Row],[Model Source]],"_",Master_Table[[#This Row],[System Type]],Master_Table[[#This Row],[System Subtype]],"_",Master_Table[[#This Row],[External Finish Type]])</f>
        <v>A_LCA_TimberOpen_Brick</v>
      </c>
      <c r="C52" s="129" t="s">
        <v>512</v>
      </c>
      <c r="D52" s="129" t="s">
        <v>3</v>
      </c>
      <c r="E52" s="129" t="s">
        <v>558</v>
      </c>
      <c r="F52" s="129" t="s">
        <v>285</v>
      </c>
      <c r="G52" s="129" t="s">
        <v>550</v>
      </c>
      <c r="H52" s="129" t="s">
        <v>606</v>
      </c>
      <c r="I52" s="129" t="s">
        <v>607</v>
      </c>
      <c r="J52" s="129" t="s">
        <v>822</v>
      </c>
      <c r="K52" s="110" t="s">
        <v>663</v>
      </c>
      <c r="L52" s="129" t="s">
        <v>809</v>
      </c>
      <c r="M52" s="179" t="s">
        <v>351</v>
      </c>
      <c r="N52" s="178" t="s">
        <v>810</v>
      </c>
      <c r="O52" s="129" t="s">
        <v>663</v>
      </c>
      <c r="P52" s="129" t="s">
        <v>811</v>
      </c>
      <c r="Q52" t="s">
        <v>352</v>
      </c>
      <c r="R52" s="178" t="s">
        <v>812</v>
      </c>
      <c r="S52" s="129"/>
      <c r="T52" t="s">
        <v>351</v>
      </c>
      <c r="U52" s="129" t="s">
        <v>813</v>
      </c>
      <c r="V52" s="140">
        <v>0</v>
      </c>
      <c r="W52" s="138">
        <v>1</v>
      </c>
      <c r="X52" s="147">
        <v>0</v>
      </c>
      <c r="Y52" s="129"/>
      <c r="Z52" s="134">
        <v>1</v>
      </c>
      <c r="AA52" s="134">
        <v>1</v>
      </c>
      <c r="AB52" s="134">
        <v>1</v>
      </c>
      <c r="AC52" s="115">
        <f>Master_Table[[#This Row],[Length (m) (on wall)]]*Master_Table[[#This Row],[Height (m)]]*Master_Table[[#This Row],[Thickness (m)]]</f>
        <v>1</v>
      </c>
      <c r="AD52" s="134">
        <v>1</v>
      </c>
      <c r="AE52" s="152">
        <v>1</v>
      </c>
      <c r="AF52" s="134">
        <v>0</v>
      </c>
      <c r="AG52" s="134">
        <v>0.05</v>
      </c>
      <c r="AH52" s="134">
        <v>0</v>
      </c>
    </row>
    <row r="53" spans="2:34" x14ac:dyDescent="0.35">
      <c r="B53" s="115" t="str">
        <f>_xlfn.CONCAT(Master_Table[[#This Row],[Unique ID]],"_",Master_Table[[#This Row],[Model Source]],"_",Master_Table[[#This Row],[System Type]],Master_Table[[#This Row],[System Subtype]],"_",Master_Table[[#This Row],[External Finish Type]])</f>
        <v>A_LCA_TimberPre-Insulated_Brick</v>
      </c>
      <c r="C53" s="129" t="s">
        <v>512</v>
      </c>
      <c r="D53" s="129" t="s">
        <v>3</v>
      </c>
      <c r="E53" s="129" t="s">
        <v>559</v>
      </c>
      <c r="F53" s="129" t="s">
        <v>285</v>
      </c>
      <c r="G53" s="129" t="s">
        <v>550</v>
      </c>
      <c r="H53" s="129" t="s">
        <v>606</v>
      </c>
      <c r="I53" s="129" t="s">
        <v>610</v>
      </c>
      <c r="J53" s="129" t="s">
        <v>822</v>
      </c>
      <c r="K53" s="110" t="s">
        <v>660</v>
      </c>
      <c r="L53" s="129"/>
      <c r="M53" t="s">
        <v>351</v>
      </c>
      <c r="N53" s="129" t="s">
        <v>611</v>
      </c>
      <c r="O53" s="129" t="s">
        <v>816</v>
      </c>
      <c r="P53" s="129" t="s">
        <v>533</v>
      </c>
      <c r="Q53" t="s">
        <v>352</v>
      </c>
      <c r="R53" s="129" t="s">
        <v>612</v>
      </c>
      <c r="S53" s="129"/>
      <c r="T53" t="s">
        <v>352</v>
      </c>
      <c r="U53" s="129" t="s">
        <v>334</v>
      </c>
      <c r="V53" s="141">
        <f>SUM(V39:V45)</f>
        <v>5.0679675602175607</v>
      </c>
      <c r="W53" s="141">
        <f>SUM(W39:W45)</f>
        <v>22.028526875000001</v>
      </c>
      <c r="X53" s="141"/>
      <c r="Y53" s="129"/>
      <c r="Z53" s="129" t="b">
        <v>0</v>
      </c>
      <c r="AA53" s="129" t="b">
        <v>0</v>
      </c>
      <c r="AB53" s="129" t="b">
        <v>0</v>
      </c>
      <c r="AC53" s="115" t="b">
        <v>0</v>
      </c>
      <c r="AD53" s="129" t="b">
        <v>0</v>
      </c>
      <c r="AE53" s="129" t="b">
        <v>0</v>
      </c>
      <c r="AF53" s="129" t="b">
        <v>0</v>
      </c>
      <c r="AG53" s="141">
        <f>SUM(AG39:AG45)</f>
        <v>26.570555555555558</v>
      </c>
      <c r="AH53" s="129" t="b">
        <v>0</v>
      </c>
    </row>
    <row r="54" spans="2:34" x14ac:dyDescent="0.35">
      <c r="B54" s="115" t="str">
        <f>_xlfn.CONCAT(Master_Table[[#This Row],[Unique ID]],"_",Master_Table[[#This Row],[Model Source]],"_",Master_Table[[#This Row],[System Type]],Master_Table[[#This Row],[System Subtype]],"_",Master_Table[[#This Row],[External Finish Type]])</f>
        <v>A_LCA_TimberPre-Insulated_Brick</v>
      </c>
      <c r="C54" s="129" t="s">
        <v>512</v>
      </c>
      <c r="D54" s="129" t="s">
        <v>3</v>
      </c>
      <c r="E54" s="129" t="s">
        <v>559</v>
      </c>
      <c r="F54" s="129" t="s">
        <v>285</v>
      </c>
      <c r="G54" s="129" t="s">
        <v>550</v>
      </c>
      <c r="H54" s="129" t="s">
        <v>606</v>
      </c>
      <c r="I54" s="129" t="s">
        <v>610</v>
      </c>
      <c r="J54" s="129" t="s">
        <v>822</v>
      </c>
      <c r="K54" s="110" t="s">
        <v>663</v>
      </c>
      <c r="L54" s="129"/>
      <c r="M54" t="s">
        <v>351</v>
      </c>
      <c r="N54" s="130" t="s">
        <v>285</v>
      </c>
      <c r="O54" s="129" t="s">
        <v>663</v>
      </c>
      <c r="P54" s="129" t="s">
        <v>346</v>
      </c>
      <c r="Q54" t="s">
        <v>351</v>
      </c>
      <c r="R54" s="129" t="s">
        <v>564</v>
      </c>
      <c r="S54" s="129" t="s">
        <v>563</v>
      </c>
      <c r="T54" t="s">
        <v>352</v>
      </c>
      <c r="U54" s="129" t="s">
        <v>334</v>
      </c>
      <c r="V54" s="140">
        <v>0.12987012987012989</v>
      </c>
      <c r="W54" s="138">
        <f>Master_Table[[#This Row],[Raw A1-A3/Conversion factor]]*Master_Table[[#This Row],[Total Mass per m^2 (kg)]]</f>
        <v>42.199999999999996</v>
      </c>
      <c r="X54" s="134">
        <v>0.21099999999999999</v>
      </c>
      <c r="Y54" s="134" t="s">
        <v>545</v>
      </c>
      <c r="Z54" s="134">
        <v>1</v>
      </c>
      <c r="AA54" s="134">
        <v>1</v>
      </c>
      <c r="AB54" s="134">
        <v>0.1</v>
      </c>
      <c r="AC54" s="115">
        <f>Master_Table[[#This Row],[Length (m) (on wall)]]*Master_Table[[#This Row],[Height (m)]]*Master_Table[[#This Row],[Thickness (m)]]</f>
        <v>0.1</v>
      </c>
      <c r="AD54" s="134">
        <v>1</v>
      </c>
      <c r="AE54" s="152">
        <v>1</v>
      </c>
      <c r="AF54" s="153">
        <v>2000</v>
      </c>
      <c r="AG54" s="150">
        <f>Master_Table[[#This Row],[Element Volume (m^3)]]*Master_Table[[#This Row],[No. of elements in 1 panel]]*Master_Table[[#This Row],[Material Density (kg/m^3)]]</f>
        <v>200</v>
      </c>
      <c r="AH54" s="129">
        <v>0.77</v>
      </c>
    </row>
    <row r="55" spans="2:34" x14ac:dyDescent="0.35">
      <c r="B55" s="115" t="str">
        <f>_xlfn.CONCAT(Master_Table[[#This Row],[Unique ID]],"_",Master_Table[[#This Row],[Model Source]],"_",Master_Table[[#This Row],[System Type]],Master_Table[[#This Row],[System Subtype]],"_",Master_Table[[#This Row],[External Finish Type]])</f>
        <v>A_LCA_TimberPre-Insulated_Brick</v>
      </c>
      <c r="C55" s="129" t="s">
        <v>512</v>
      </c>
      <c r="D55" s="129" t="s">
        <v>3</v>
      </c>
      <c r="E55" s="129" t="s">
        <v>559</v>
      </c>
      <c r="F55" s="129" t="s">
        <v>285</v>
      </c>
      <c r="G55" s="129" t="s">
        <v>550</v>
      </c>
      <c r="H55" s="129" t="s">
        <v>606</v>
      </c>
      <c r="I55" s="129" t="s">
        <v>607</v>
      </c>
      <c r="J55" s="129" t="s">
        <v>822</v>
      </c>
      <c r="K55" s="110" t="s">
        <v>659</v>
      </c>
      <c r="L55" s="129" t="s">
        <v>807</v>
      </c>
      <c r="M55" t="s">
        <v>351</v>
      </c>
      <c r="N55" s="79" t="s">
        <v>796</v>
      </c>
      <c r="O55" s="134" t="s">
        <v>815</v>
      </c>
      <c r="P55" s="134" t="s">
        <v>346</v>
      </c>
      <c r="Q55" t="s">
        <v>351</v>
      </c>
      <c r="R55" s="134" t="s">
        <v>584</v>
      </c>
      <c r="S55" s="129" t="s">
        <v>576</v>
      </c>
      <c r="T55" t="s">
        <v>351</v>
      </c>
      <c r="U55" s="129" t="s">
        <v>808</v>
      </c>
      <c r="V55" s="140">
        <v>0</v>
      </c>
      <c r="W55" s="124">
        <f>_xlfn.XLOOKUP(Master_Table[[#This Row],[Component Name]],'GWP NORMALISED'!$A$2:$A$500,'GWP NORMALISED'!$H$2:$H$500,FALSE)</f>
        <v>4.1849999999999996</v>
      </c>
      <c r="X55" s="125">
        <f>_xlfn.XLOOKUP(Master_Table[[#This Row],[Component Name]],'RAW GWP FOSSIL'!$A$2:$A$500,'RAW GWP FOSSIL'!$H$2:$H$500,FALSE)</f>
        <v>135</v>
      </c>
      <c r="Y55" s="129" t="s">
        <v>545</v>
      </c>
      <c r="Z55" s="129">
        <v>1</v>
      </c>
      <c r="AA55" s="129">
        <v>1.2E-2</v>
      </c>
      <c r="AB55" s="129">
        <v>0.1</v>
      </c>
      <c r="AC55" s="115">
        <f>Master_Table[[#This Row],[Length (m) (on wall)]]*Master_Table[[#This Row],[Height (m)]]*Master_Table[[#This Row],[Thickness (m)]]</f>
        <v>1.2000000000000001E-3</v>
      </c>
      <c r="AD55" s="129">
        <v>5</v>
      </c>
      <c r="AE55" s="149">
        <f>Master_Table[[#This Row],[Length (m) (on wall)]]*Master_Table[[#This Row],[Height (m)]]/1</f>
        <v>1.2E-2</v>
      </c>
      <c r="AF55" s="147">
        <v>2000</v>
      </c>
      <c r="AG55" s="129">
        <f>0.031*1000</f>
        <v>31</v>
      </c>
      <c r="AH55" s="147">
        <v>2</v>
      </c>
    </row>
    <row r="56" spans="2:34" x14ac:dyDescent="0.35">
      <c r="B56" s="115" t="str">
        <f>_xlfn.CONCAT(Master_Table[[#This Row],[Unique ID]],"_",Master_Table[[#This Row],[Model Source]],"_",Master_Table[[#This Row],[System Type]],Master_Table[[#This Row],[System Subtype]],"_",Master_Table[[#This Row],[External Finish Type]])</f>
        <v>A_LCA_TimberPre-Insulated_Brick</v>
      </c>
      <c r="C56" s="129" t="s">
        <v>512</v>
      </c>
      <c r="D56" s="129" t="s">
        <v>3</v>
      </c>
      <c r="E56" s="129" t="s">
        <v>559</v>
      </c>
      <c r="F56" s="129" t="s">
        <v>285</v>
      </c>
      <c r="G56" s="129" t="s">
        <v>550</v>
      </c>
      <c r="H56" s="129" t="s">
        <v>606</v>
      </c>
      <c r="I56" s="129" t="s">
        <v>607</v>
      </c>
      <c r="J56" s="129" t="s">
        <v>822</v>
      </c>
      <c r="K56" s="110" t="s">
        <v>663</v>
      </c>
      <c r="L56" s="129"/>
      <c r="M56" t="s">
        <v>351</v>
      </c>
      <c r="N56" s="129" t="s">
        <v>355</v>
      </c>
      <c r="O56" s="129" t="s">
        <v>817</v>
      </c>
      <c r="P56" s="129" t="s">
        <v>346</v>
      </c>
      <c r="Q56" t="s">
        <v>351</v>
      </c>
      <c r="R56" s="129" t="s">
        <v>583</v>
      </c>
      <c r="S56" s="129" t="s">
        <v>577</v>
      </c>
      <c r="T56" t="s">
        <v>352</v>
      </c>
      <c r="U56" s="129" t="s">
        <v>334</v>
      </c>
      <c r="V56" s="140">
        <v>2</v>
      </c>
      <c r="W56" s="138">
        <v>0</v>
      </c>
      <c r="X56" s="147">
        <v>0</v>
      </c>
      <c r="Y56" s="129" t="s">
        <v>545</v>
      </c>
      <c r="Z56" s="129">
        <v>1</v>
      </c>
      <c r="AA56" s="129">
        <v>1</v>
      </c>
      <c r="AB56" s="129">
        <v>0.1</v>
      </c>
      <c r="AC56" s="115">
        <f>Master_Table[[#This Row],[Length (m) (on wall)]]*Master_Table[[#This Row],[Height (m)]]*Master_Table[[#This Row],[Thickness (m)]]</f>
        <v>0.1</v>
      </c>
      <c r="AD56" s="129">
        <v>1</v>
      </c>
      <c r="AE56" s="149">
        <v>1</v>
      </c>
      <c r="AF56" s="129">
        <v>1.2</v>
      </c>
      <c r="AG56" s="129">
        <f>Master_Table[[#This Row],[Material Density (kg/m^3)]]*Master_Table[[#This Row],[Thickness (m)]]</f>
        <v>0.12</v>
      </c>
      <c r="AH56" s="129">
        <v>2.5000000000000001E-2</v>
      </c>
    </row>
    <row r="57" spans="2:34" x14ac:dyDescent="0.35">
      <c r="B57" s="115" t="str">
        <f>_xlfn.CONCAT(Master_Table[[#This Row],[Unique ID]],"_",Master_Table[[#This Row],[Model Source]],"_",Master_Table[[#This Row],[System Type]],Master_Table[[#This Row],[System Subtype]],"_",Master_Table[[#This Row],[External Finish Type]])</f>
        <v>A_LCA_TimberPre-Insulated_Brick</v>
      </c>
      <c r="C57" s="129" t="s">
        <v>512</v>
      </c>
      <c r="D57" s="129" t="s">
        <v>3</v>
      </c>
      <c r="E57" s="129" t="s">
        <v>559</v>
      </c>
      <c r="F57" s="129" t="s">
        <v>285</v>
      </c>
      <c r="G57" s="129" t="s">
        <v>550</v>
      </c>
      <c r="H57" s="129" t="s">
        <v>606</v>
      </c>
      <c r="I57" s="129" t="s">
        <v>607</v>
      </c>
      <c r="J57" s="129" t="s">
        <v>822</v>
      </c>
      <c r="K57" s="110" t="s">
        <v>663</v>
      </c>
      <c r="L57" s="129"/>
      <c r="M57" t="s">
        <v>351</v>
      </c>
      <c r="N57" s="134" t="s">
        <v>349</v>
      </c>
      <c r="O57" s="129" t="s">
        <v>663</v>
      </c>
      <c r="P57" s="134" t="s">
        <v>347</v>
      </c>
      <c r="Q57" t="s">
        <v>351</v>
      </c>
      <c r="R57" s="134" t="s">
        <v>582</v>
      </c>
      <c r="S57" s="134" t="s">
        <v>578</v>
      </c>
      <c r="T57" t="s">
        <v>352</v>
      </c>
      <c r="U57" s="129" t="s">
        <v>334</v>
      </c>
      <c r="V57" s="140">
        <v>6.5789473684210523E-2</v>
      </c>
      <c r="W57" s="138">
        <v>1.839</v>
      </c>
      <c r="X57" s="147">
        <v>0</v>
      </c>
      <c r="Y57" s="129" t="s">
        <v>545</v>
      </c>
      <c r="Z57" s="129">
        <v>1</v>
      </c>
      <c r="AA57" s="129">
        <v>1</v>
      </c>
      <c r="AB57" s="129">
        <v>1.4999999999999999E-2</v>
      </c>
      <c r="AC57" s="115">
        <f>Master_Table[[#This Row],[Length (m) (on wall)]]*Master_Table[[#This Row],[Height (m)]]*Master_Table[[#This Row],[Thickness (m)]]</f>
        <v>1.4999999999999999E-2</v>
      </c>
      <c r="AD57" s="129">
        <v>1</v>
      </c>
      <c r="AE57" s="149">
        <v>1</v>
      </c>
      <c r="AF57" s="147">
        <v>615</v>
      </c>
      <c r="AG57" s="147">
        <f>Master_Table[[#This Row],[Material Density (kg/m^3)]]*Master_Table[[#This Row],[Thickness (m)]]</f>
        <v>9.2249999999999996</v>
      </c>
      <c r="AH57" s="147">
        <v>0.19</v>
      </c>
    </row>
    <row r="58" spans="2:34" x14ac:dyDescent="0.35">
      <c r="B58" s="115" t="str">
        <f>_xlfn.CONCAT(Master_Table[[#This Row],[Unique ID]],"_",Master_Table[[#This Row],[Model Source]],"_",Master_Table[[#This Row],[System Type]],Master_Table[[#This Row],[System Subtype]],"_",Master_Table[[#This Row],[External Finish Type]])</f>
        <v>A_LCA_TimberPre-Insulated_Brick</v>
      </c>
      <c r="C58" s="129" t="s">
        <v>512</v>
      </c>
      <c r="D58" s="129" t="s">
        <v>3</v>
      </c>
      <c r="E58" s="129" t="s">
        <v>559</v>
      </c>
      <c r="F58" s="129" t="s">
        <v>285</v>
      </c>
      <c r="G58" s="129" t="s">
        <v>550</v>
      </c>
      <c r="H58" s="129" t="s">
        <v>606</v>
      </c>
      <c r="I58" s="129" t="s">
        <v>607</v>
      </c>
      <c r="J58" s="129" t="s">
        <v>822</v>
      </c>
      <c r="K58" s="110" t="s">
        <v>663</v>
      </c>
      <c r="L58" s="129"/>
      <c r="M58" t="s">
        <v>351</v>
      </c>
      <c r="N58" s="134" t="s">
        <v>566</v>
      </c>
      <c r="O58" s="129" t="s">
        <v>663</v>
      </c>
      <c r="P58" s="134" t="s">
        <v>347</v>
      </c>
      <c r="Q58" t="s">
        <v>351</v>
      </c>
      <c r="R58" s="134" t="s">
        <v>566</v>
      </c>
      <c r="S58" s="134" t="s">
        <v>580</v>
      </c>
      <c r="T58" t="s">
        <v>352</v>
      </c>
      <c r="U58" s="129" t="s">
        <v>334</v>
      </c>
      <c r="V58" s="140">
        <v>0</v>
      </c>
      <c r="W58" s="138">
        <v>1</v>
      </c>
      <c r="X58" s="147">
        <v>0</v>
      </c>
      <c r="Y58" s="129" t="s">
        <v>545</v>
      </c>
      <c r="Z58" s="134">
        <v>1</v>
      </c>
      <c r="AA58" s="134">
        <v>1</v>
      </c>
      <c r="AB58" s="134">
        <v>1</v>
      </c>
      <c r="AC58" s="115">
        <f>Master_Table[[#This Row],[Length (m) (on wall)]]*Master_Table[[#This Row],[Height (m)]]*Master_Table[[#This Row],[Thickness (m)]]</f>
        <v>1</v>
      </c>
      <c r="AD58" s="134">
        <v>1</v>
      </c>
      <c r="AE58" s="152">
        <v>1</v>
      </c>
      <c r="AF58" s="134">
        <v>0</v>
      </c>
      <c r="AG58" s="134">
        <f>Master_Table[[#This Row],[Material Density (kg/m^3)]]*Master_Table[[#This Row],[Thickness (m)]]</f>
        <v>0</v>
      </c>
      <c r="AH58" s="134">
        <v>0</v>
      </c>
    </row>
    <row r="59" spans="2:34" x14ac:dyDescent="0.35">
      <c r="B59" s="115" t="str">
        <f>_xlfn.CONCAT(Master_Table[[#This Row],[Unique ID]],"_",Master_Table[[#This Row],[Model Source]],"_",Master_Table[[#This Row],[System Type]],Master_Table[[#This Row],[System Subtype]],"_",Master_Table[[#This Row],[External Finish Type]])</f>
        <v>A_LCA_TimberPre-Insulated_Brick</v>
      </c>
      <c r="C59" s="129" t="s">
        <v>512</v>
      </c>
      <c r="D59" s="129" t="s">
        <v>3</v>
      </c>
      <c r="E59" s="129" t="s">
        <v>559</v>
      </c>
      <c r="F59" s="129" t="s">
        <v>285</v>
      </c>
      <c r="G59" s="129" t="s">
        <v>550</v>
      </c>
      <c r="H59" s="129" t="s">
        <v>606</v>
      </c>
      <c r="I59" s="129" t="s">
        <v>607</v>
      </c>
      <c r="J59" s="129" t="s">
        <v>822</v>
      </c>
      <c r="K59" s="110" t="s">
        <v>663</v>
      </c>
      <c r="L59" s="129"/>
      <c r="M59" t="s">
        <v>351</v>
      </c>
      <c r="N59" s="129" t="s">
        <v>355</v>
      </c>
      <c r="O59" s="129" t="s">
        <v>817</v>
      </c>
      <c r="P59" s="129" t="s">
        <v>347</v>
      </c>
      <c r="Q59" t="s">
        <v>351</v>
      </c>
      <c r="R59" s="129" t="s">
        <v>581</v>
      </c>
      <c r="S59" s="129" t="s">
        <v>579</v>
      </c>
      <c r="T59" t="s">
        <v>352</v>
      </c>
      <c r="U59" s="129" t="s">
        <v>334</v>
      </c>
      <c r="V59" s="140">
        <v>0.5</v>
      </c>
      <c r="W59" s="148">
        <v>0</v>
      </c>
      <c r="X59" s="129">
        <v>0</v>
      </c>
      <c r="Y59" s="129" t="s">
        <v>545</v>
      </c>
      <c r="Z59" s="129">
        <v>1</v>
      </c>
      <c r="AA59" s="129">
        <v>1</v>
      </c>
      <c r="AB59" s="134">
        <v>0.05</v>
      </c>
      <c r="AC59" s="115">
        <f>Master_Table[[#This Row],[Length (m) (on wall)]]*Master_Table[[#This Row],[Height (m)]]*Master_Table[[#This Row],[Thickness (m)]]</f>
        <v>0.05</v>
      </c>
      <c r="AD59" s="129">
        <v>1</v>
      </c>
      <c r="AE59" s="149">
        <v>1</v>
      </c>
      <c r="AF59" s="129">
        <v>1.2</v>
      </c>
      <c r="AG59" s="129">
        <f>Master_Table[[#This Row],[Material Density (kg/m^3)]]*Master_Table[[#This Row],[Thickness (m)]]</f>
        <v>0.06</v>
      </c>
      <c r="AH59" s="129">
        <v>2.5000000000000001E-2</v>
      </c>
    </row>
    <row r="60" spans="2:34" x14ac:dyDescent="0.35">
      <c r="B60" s="115" t="str">
        <f>_xlfn.CONCAT(Master_Table[[#This Row],[Unique ID]],"_",Master_Table[[#This Row],[Model Source]],"_",Master_Table[[#This Row],[System Type]],Master_Table[[#This Row],[System Subtype]],"_",Master_Table[[#This Row],[External Finish Type]])</f>
        <v>A_LCA_TimberPre-Insulated_Brick</v>
      </c>
      <c r="C60" s="129" t="s">
        <v>512</v>
      </c>
      <c r="D60" s="129" t="s">
        <v>3</v>
      </c>
      <c r="E60" s="129" t="s">
        <v>559</v>
      </c>
      <c r="F60" s="129" t="s">
        <v>285</v>
      </c>
      <c r="G60" s="129" t="s">
        <v>550</v>
      </c>
      <c r="H60" s="129" t="s">
        <v>606</v>
      </c>
      <c r="I60" s="129" t="s">
        <v>607</v>
      </c>
      <c r="J60" s="129" t="s">
        <v>822</v>
      </c>
      <c r="K60" s="110" t="s">
        <v>663</v>
      </c>
      <c r="L60" s="129" t="s">
        <v>809</v>
      </c>
      <c r="M60" s="179" t="s">
        <v>351</v>
      </c>
      <c r="N60" s="178" t="s">
        <v>810</v>
      </c>
      <c r="O60" s="129" t="s">
        <v>663</v>
      </c>
      <c r="P60" s="129" t="s">
        <v>811</v>
      </c>
      <c r="Q60" t="s">
        <v>352</v>
      </c>
      <c r="R60" s="178" t="s">
        <v>812</v>
      </c>
      <c r="S60" s="129"/>
      <c r="T60" t="s">
        <v>351</v>
      </c>
      <c r="U60" s="129" t="s">
        <v>813</v>
      </c>
      <c r="V60" s="140">
        <v>0</v>
      </c>
      <c r="W60" s="138">
        <v>1</v>
      </c>
      <c r="X60" s="147">
        <v>0</v>
      </c>
      <c r="Y60" s="129"/>
      <c r="Z60" s="134">
        <v>1</v>
      </c>
      <c r="AA60" s="134">
        <v>1</v>
      </c>
      <c r="AB60" s="134">
        <v>1</v>
      </c>
      <c r="AC60" s="115">
        <f>Master_Table[[#This Row],[Length (m) (on wall)]]*Master_Table[[#This Row],[Height (m)]]*Master_Table[[#This Row],[Thickness (m)]]</f>
        <v>1</v>
      </c>
      <c r="AD60" s="134">
        <v>1</v>
      </c>
      <c r="AE60" s="152">
        <v>1</v>
      </c>
      <c r="AF60" s="134">
        <v>0</v>
      </c>
      <c r="AG60" s="134">
        <v>0.05</v>
      </c>
      <c r="AH60" s="134">
        <v>0</v>
      </c>
    </row>
    <row r="61" spans="2:34" x14ac:dyDescent="0.35">
      <c r="B61" s="115" t="str">
        <f>_xlfn.CONCAT(Master_Table[[#This Row],[Unique ID]],"_",Master_Table[[#This Row],[Model Source]],"_",Master_Table[[#This Row],[System Type]],Master_Table[[#This Row],[System Subtype]],"_",Master_Table[[#This Row],[External Finish Type]])</f>
        <v>Donaldson_EPD_TimberOpen_Brick</v>
      </c>
      <c r="C61" s="129" t="s">
        <v>513</v>
      </c>
      <c r="D61" s="129" t="s">
        <v>3</v>
      </c>
      <c r="E61" s="129" t="s">
        <v>558</v>
      </c>
      <c r="F61" s="129" t="s">
        <v>285</v>
      </c>
      <c r="G61" s="129" t="s">
        <v>613</v>
      </c>
      <c r="H61" s="129" t="s">
        <v>614</v>
      </c>
      <c r="I61" s="129" t="s">
        <v>615</v>
      </c>
      <c r="J61" s="129" t="s">
        <v>822</v>
      </c>
      <c r="K61" s="110" t="s">
        <v>670</v>
      </c>
      <c r="L61" s="129" t="s">
        <v>671</v>
      </c>
      <c r="M61" t="s">
        <v>351</v>
      </c>
      <c r="N61" s="130" t="s">
        <v>319</v>
      </c>
      <c r="O61" s="129" t="s">
        <v>814</v>
      </c>
      <c r="P61" s="129" t="s">
        <v>4</v>
      </c>
      <c r="Q61" t="s">
        <v>352</v>
      </c>
      <c r="R61" s="129" t="s">
        <v>616</v>
      </c>
      <c r="S61" s="129"/>
      <c r="T61" t="s">
        <v>351</v>
      </c>
      <c r="U61" s="129" t="s">
        <v>624</v>
      </c>
      <c r="V61" s="142">
        <f>SUM(V39:V42)</f>
        <v>0.20422008547008547</v>
      </c>
      <c r="W61" s="124">
        <f>_xlfn.XLOOKUP(Master_Table[[#This Row],[Component Name]],'GWP NORMALISED'!$A$2:$A$500,'GWP NORMALISED'!$H$2:$H$500,FALSE)</f>
        <v>14.681000000000001</v>
      </c>
      <c r="X61" s="125">
        <f>_xlfn.XLOOKUP(Master_Table[[#This Row],[Component Name]],'RAW GWP FOSSIL'!$A$2:$A$500,'RAW GWP FOSSIL'!$H$2:$H$500,FALSE)</f>
        <v>14.681000000000001</v>
      </c>
      <c r="Y61" s="129" t="s">
        <v>618</v>
      </c>
      <c r="Z61" s="129" t="b">
        <v>0</v>
      </c>
      <c r="AA61" s="129" t="b">
        <v>0</v>
      </c>
      <c r="AB61" s="129" t="b">
        <v>0</v>
      </c>
      <c r="AC61" s="115" t="b">
        <v>0</v>
      </c>
      <c r="AD61" s="129" t="b">
        <v>0</v>
      </c>
      <c r="AE61" s="129" t="b">
        <v>0</v>
      </c>
      <c r="AF61" s="129" t="b">
        <v>0</v>
      </c>
      <c r="AG61" s="129">
        <v>21.04</v>
      </c>
      <c r="AH61" s="129" t="b">
        <v>0</v>
      </c>
    </row>
    <row r="62" spans="2:34" x14ac:dyDescent="0.35">
      <c r="B62" s="115" t="str">
        <f>_xlfn.CONCAT(Master_Table[[#This Row],[Unique ID]],"_",Master_Table[[#This Row],[Model Source]],"_",Master_Table[[#This Row],[System Type]],Master_Table[[#This Row],[System Subtype]],"_",Master_Table[[#This Row],[External Finish Type]])</f>
        <v>Donaldson_EPD_TimberOpen_Brick</v>
      </c>
      <c r="C62" s="129" t="s">
        <v>513</v>
      </c>
      <c r="D62" s="129" t="s">
        <v>3</v>
      </c>
      <c r="E62" s="129" t="s">
        <v>558</v>
      </c>
      <c r="F62" s="129" t="s">
        <v>285</v>
      </c>
      <c r="G62" s="129" t="s">
        <v>613</v>
      </c>
      <c r="H62" s="129" t="s">
        <v>614</v>
      </c>
      <c r="I62" s="129" t="s">
        <v>615</v>
      </c>
      <c r="J62" s="129" t="s">
        <v>822</v>
      </c>
      <c r="K62" s="110" t="s">
        <v>663</v>
      </c>
      <c r="L62" s="129" t="s">
        <v>667</v>
      </c>
      <c r="M62" t="s">
        <v>351</v>
      </c>
      <c r="N62" s="132" t="s">
        <v>16</v>
      </c>
      <c r="O62" s="129" t="s">
        <v>816</v>
      </c>
      <c r="P62" s="129" t="s">
        <v>344</v>
      </c>
      <c r="Q62" t="s">
        <v>352</v>
      </c>
      <c r="R62" s="129"/>
      <c r="S62" s="129"/>
      <c r="T62" t="s">
        <v>352</v>
      </c>
      <c r="U62" s="129" t="s">
        <v>334</v>
      </c>
      <c r="V62" s="138">
        <v>3.4986111111111109</v>
      </c>
      <c r="W62" s="139">
        <v>14</v>
      </c>
      <c r="X62" s="129">
        <v>1.25</v>
      </c>
      <c r="Y62" s="129" t="s">
        <v>545</v>
      </c>
      <c r="Z62" s="129">
        <v>0.6</v>
      </c>
      <c r="AA62" s="129">
        <v>2.4</v>
      </c>
      <c r="AB62" s="129">
        <v>0.14000000000000001</v>
      </c>
      <c r="AC62" s="115">
        <f>Master_Table[[#This Row],[Length (m) (on wall)]]*Master_Table[[#This Row],[Height (m)]]*Master_Table[[#This Row],[Thickness (m)]]</f>
        <v>0.2016</v>
      </c>
      <c r="AD62" s="155">
        <v>4</v>
      </c>
      <c r="AE62" s="149">
        <v>0.87465277777777772</v>
      </c>
      <c r="AF62" s="129">
        <v>80</v>
      </c>
      <c r="AG62" s="139">
        <f>Master_Table[[#This Row],[Element Volume (m^3)]]*Master_Table[[#This Row],[No. of elements in 1 panel]]*Master_Table[[#This Row],[Material Density (kg/m^3)]]/(2.4*2.4)</f>
        <v>11.200000000000001</v>
      </c>
      <c r="AH62" s="157">
        <v>3.5000000000000003E-2</v>
      </c>
    </row>
    <row r="63" spans="2:34" x14ac:dyDescent="0.35">
      <c r="B63" s="115" t="str">
        <f>_xlfn.CONCAT(Master_Table[[#This Row],[Unique ID]],"_",Master_Table[[#This Row],[Model Source]],"_",Master_Table[[#This Row],[System Type]],Master_Table[[#This Row],[System Subtype]],"_",Master_Table[[#This Row],[External Finish Type]])</f>
        <v>Donaldson_EPD_TimberOpen_Brick</v>
      </c>
      <c r="C63" s="129" t="s">
        <v>513</v>
      </c>
      <c r="D63" s="129" t="s">
        <v>3</v>
      </c>
      <c r="E63" s="129" t="s">
        <v>558</v>
      </c>
      <c r="F63" s="129" t="s">
        <v>285</v>
      </c>
      <c r="G63" s="129" t="s">
        <v>613</v>
      </c>
      <c r="H63" s="129" t="s">
        <v>614</v>
      </c>
      <c r="I63" s="129" t="s">
        <v>615</v>
      </c>
      <c r="J63" s="129" t="s">
        <v>822</v>
      </c>
      <c r="K63" s="110" t="s">
        <v>663</v>
      </c>
      <c r="L63" s="129" t="s">
        <v>667</v>
      </c>
      <c r="M63" t="s">
        <v>351</v>
      </c>
      <c r="N63" s="132" t="s">
        <v>17</v>
      </c>
      <c r="O63" s="129" t="s">
        <v>816</v>
      </c>
      <c r="P63" s="129" t="s">
        <v>344</v>
      </c>
      <c r="Q63" t="s">
        <v>352</v>
      </c>
      <c r="R63" s="129"/>
      <c r="S63" s="129"/>
      <c r="T63" t="s">
        <v>352</v>
      </c>
      <c r="U63" s="129" t="s">
        <v>334</v>
      </c>
      <c r="V63" s="138">
        <v>1.3636363636363638</v>
      </c>
      <c r="W63" s="139">
        <v>2.9654399999999996</v>
      </c>
      <c r="X63" s="129">
        <v>3.089</v>
      </c>
      <c r="Y63" s="129" t="s">
        <v>545</v>
      </c>
      <c r="Z63" s="129">
        <v>2.4</v>
      </c>
      <c r="AA63" s="129">
        <v>2.4</v>
      </c>
      <c r="AB63" s="129">
        <v>0.03</v>
      </c>
      <c r="AC63" s="115">
        <f>Master_Table[[#This Row],[Length (m) (on wall)]]*Master_Table[[#This Row],[Height (m)]]*Master_Table[[#This Row],[Thickness (m)]]</f>
        <v>0.17279999999999998</v>
      </c>
      <c r="AD63" s="155">
        <v>1</v>
      </c>
      <c r="AE63" s="149">
        <v>1</v>
      </c>
      <c r="AF63" s="129">
        <v>32</v>
      </c>
      <c r="AG63" s="139">
        <f>Master_Table[[#This Row],[Element Volume (m^3)]]*Master_Table[[#This Row],[No. of elements in 1 panel]]*Master_Table[[#This Row],[Material Density (kg/m^3)]]/(2.4*2.4)</f>
        <v>0.96</v>
      </c>
      <c r="AH63" s="157">
        <v>2.1999999999999999E-2</v>
      </c>
    </row>
    <row r="64" spans="2:34" x14ac:dyDescent="0.35">
      <c r="B64" s="115" t="str">
        <f>_xlfn.CONCAT(Master_Table[[#This Row],[Unique ID]],"_",Master_Table[[#This Row],[Model Source]],"_",Master_Table[[#This Row],[System Type]],Master_Table[[#This Row],[System Subtype]],"_",Master_Table[[#This Row],[External Finish Type]])</f>
        <v>Donaldson_EPD_TimberOpen_Brick</v>
      </c>
      <c r="C64" s="129" t="s">
        <v>513</v>
      </c>
      <c r="D64" s="129" t="s">
        <v>3</v>
      </c>
      <c r="E64" s="129" t="s">
        <v>558</v>
      </c>
      <c r="F64" s="129" t="s">
        <v>285</v>
      </c>
      <c r="G64" s="129" t="s">
        <v>613</v>
      </c>
      <c r="H64" s="129" t="s">
        <v>614</v>
      </c>
      <c r="I64" s="129" t="s">
        <v>615</v>
      </c>
      <c r="J64" s="129" t="s">
        <v>822</v>
      </c>
      <c r="K64" s="110" t="s">
        <v>663</v>
      </c>
      <c r="L64" s="129" t="s">
        <v>668</v>
      </c>
      <c r="M64" t="s">
        <v>351</v>
      </c>
      <c r="N64" s="132" t="s">
        <v>22</v>
      </c>
      <c r="O64" s="129" t="s">
        <v>816</v>
      </c>
      <c r="P64" s="129" t="s">
        <v>470</v>
      </c>
      <c r="Q64" t="s">
        <v>352</v>
      </c>
      <c r="R64" s="129"/>
      <c r="S64" s="129"/>
      <c r="T64" t="s">
        <v>352</v>
      </c>
      <c r="U64" s="129" t="s">
        <v>334</v>
      </c>
      <c r="V64" s="138">
        <v>1.5E-3</v>
      </c>
      <c r="W64" s="139">
        <v>0.25229166666666669</v>
      </c>
      <c r="X64" s="129">
        <v>4.2</v>
      </c>
      <c r="Y64" s="129" t="s">
        <v>545</v>
      </c>
      <c r="Z64" s="129">
        <v>2.4</v>
      </c>
      <c r="AA64" s="129">
        <v>2.4</v>
      </c>
      <c r="AB64" s="129">
        <v>4.4999999999999999E-4</v>
      </c>
      <c r="AC64" s="115">
        <f>Master_Table[[#This Row],[Length (m) (on wall)]]*Master_Table[[#This Row],[Height (m)]]*Master_Table[[#This Row],[Thickness (m)]]</f>
        <v>2.5919999999999997E-3</v>
      </c>
      <c r="AD64" s="129">
        <v>1</v>
      </c>
      <c r="AE64" s="149">
        <v>1</v>
      </c>
      <c r="AF64" s="129">
        <v>0</v>
      </c>
      <c r="AG64" s="139">
        <f>0.35/(2.4*2.4)</f>
        <v>6.0763888888888888E-2</v>
      </c>
      <c r="AH64" s="157">
        <v>0.3</v>
      </c>
    </row>
    <row r="65" spans="2:34" x14ac:dyDescent="0.35">
      <c r="B65" s="115" t="str">
        <f>_xlfn.CONCAT(Master_Table[[#This Row],[Unique ID]],"_",Master_Table[[#This Row],[Model Source]],"_",Master_Table[[#This Row],[System Type]],Master_Table[[#This Row],[System Subtype]],"_",Master_Table[[#This Row],[External Finish Type]])</f>
        <v>Donaldson_EPD_TimberOpen_Brick</v>
      </c>
      <c r="C65" s="129" t="s">
        <v>513</v>
      </c>
      <c r="D65" s="129" t="s">
        <v>3</v>
      </c>
      <c r="E65" s="129" t="s">
        <v>558</v>
      </c>
      <c r="F65" s="129" t="s">
        <v>285</v>
      </c>
      <c r="G65" s="129" t="s">
        <v>613</v>
      </c>
      <c r="H65" s="129" t="s">
        <v>614</v>
      </c>
      <c r="I65" s="129" t="s">
        <v>615</v>
      </c>
      <c r="J65" s="129" t="s">
        <v>822</v>
      </c>
      <c r="K65" s="110" t="s">
        <v>659</v>
      </c>
      <c r="L65" s="129" t="s">
        <v>666</v>
      </c>
      <c r="M65" t="s">
        <v>351</v>
      </c>
      <c r="N65" s="136" t="s">
        <v>571</v>
      </c>
      <c r="O65" s="129" t="s">
        <v>815</v>
      </c>
      <c r="P65" s="129" t="s">
        <v>346</v>
      </c>
      <c r="Q65" t="s">
        <v>351</v>
      </c>
      <c r="R65" s="129" t="s">
        <v>585</v>
      </c>
      <c r="S65" s="129" t="s">
        <v>563</v>
      </c>
      <c r="T65" t="s">
        <v>352</v>
      </c>
      <c r="U65" s="129" t="s">
        <v>334</v>
      </c>
      <c r="V65" s="141">
        <f>Master_Table[[#This Row],[Thickness (m)]]/Master_Table[[#This Row],[Thermal Conductivity W/m-K]]</f>
        <v>0.16269841269841268</v>
      </c>
      <c r="W65" s="139">
        <f>_xlfn.XLOOKUP(Master_Table[[#This Row],[Component Name]],'GWP NORMALISED'!$A$2:$A$500,'GWP NORMALISED'!$H$2:$H$500,FALSE)</f>
        <v>42.616724999999995</v>
      </c>
      <c r="X65" s="129">
        <f>_xlfn.XLOOKUP(Master_Table[[#This Row],[Component Name]],'RAW GWP FOSSIL'!$A$2:$A$500,'RAW GWP FOSSIL'!$H$2:$H$500,FALSE)</f>
        <v>211</v>
      </c>
      <c r="Y65" s="129" t="s">
        <v>654</v>
      </c>
      <c r="Z65" s="129">
        <v>1</v>
      </c>
      <c r="AA65" s="129">
        <v>1</v>
      </c>
      <c r="AB65" s="129">
        <v>0.10249999999999999</v>
      </c>
      <c r="AC65" s="115">
        <f>Master_Table[[#This Row],[Length (m) (on wall)]]*Master_Table[[#This Row],[Height (m)]]*Master_Table[[#This Row],[Thickness (m)]]</f>
        <v>0.10249999999999999</v>
      </c>
      <c r="AD65" s="129">
        <v>1</v>
      </c>
      <c r="AE65" s="149">
        <v>1</v>
      </c>
      <c r="AF65" s="129">
        <v>1970</v>
      </c>
      <c r="AG65" s="129">
        <f>Master_Table[[#This Row],[Material Density (kg/m^3)]]*Master_Table[[#This Row],[Thickness (m)]]</f>
        <v>201.92499999999998</v>
      </c>
      <c r="AH65" s="129">
        <v>0.63</v>
      </c>
    </row>
    <row r="66" spans="2:34" x14ac:dyDescent="0.35">
      <c r="B66" s="115" t="str">
        <f>_xlfn.CONCAT(Master_Table[[#This Row],[Unique ID]],"_",Master_Table[[#This Row],[Model Source]],"_",Master_Table[[#This Row],[System Type]],Master_Table[[#This Row],[System Subtype]],"_",Master_Table[[#This Row],[External Finish Type]])</f>
        <v>Donaldson_EPD_TimberOpen_Brick</v>
      </c>
      <c r="C66" s="129" t="s">
        <v>513</v>
      </c>
      <c r="D66" s="129" t="s">
        <v>3</v>
      </c>
      <c r="E66" s="129" t="s">
        <v>558</v>
      </c>
      <c r="F66" s="129" t="s">
        <v>285</v>
      </c>
      <c r="G66" s="129" t="s">
        <v>613</v>
      </c>
      <c r="H66" s="129" t="s">
        <v>614</v>
      </c>
      <c r="I66" s="129" t="s">
        <v>615</v>
      </c>
      <c r="J66" s="129" t="s">
        <v>822</v>
      </c>
      <c r="K66" s="110" t="s">
        <v>659</v>
      </c>
      <c r="L66" s="129" t="s">
        <v>807</v>
      </c>
      <c r="M66" t="s">
        <v>351</v>
      </c>
      <c r="N66" s="79" t="s">
        <v>796</v>
      </c>
      <c r="O66" s="134" t="s">
        <v>815</v>
      </c>
      <c r="P66" s="134" t="s">
        <v>346</v>
      </c>
      <c r="Q66" t="s">
        <v>351</v>
      </c>
      <c r="R66" s="134" t="s">
        <v>584</v>
      </c>
      <c r="S66" s="129" t="s">
        <v>576</v>
      </c>
      <c r="T66" t="s">
        <v>351</v>
      </c>
      <c r="U66" s="129" t="s">
        <v>808</v>
      </c>
      <c r="V66" s="140">
        <v>0</v>
      </c>
      <c r="W66" s="124">
        <f>_xlfn.XLOOKUP(Master_Table[[#This Row],[Component Name]],'GWP NORMALISED'!$A$2:$A$500,'GWP NORMALISED'!$H$2:$H$500,FALSE)</f>
        <v>4.1849999999999996</v>
      </c>
      <c r="X66" s="125">
        <f>_xlfn.XLOOKUP(Master_Table[[#This Row],[Component Name]],'RAW GWP FOSSIL'!$A$2:$A$500,'RAW GWP FOSSIL'!$H$2:$H$500,FALSE)</f>
        <v>135</v>
      </c>
      <c r="Y66" s="129" t="s">
        <v>545</v>
      </c>
      <c r="Z66" s="129">
        <v>1</v>
      </c>
      <c r="AA66" s="129">
        <v>1.2E-2</v>
      </c>
      <c r="AB66" s="129">
        <v>0.1</v>
      </c>
      <c r="AC66" s="115">
        <f>Master_Table[[#This Row],[Length (m) (on wall)]]*Master_Table[[#This Row],[Height (m)]]*Master_Table[[#This Row],[Thickness (m)]]</f>
        <v>1.2000000000000001E-3</v>
      </c>
      <c r="AD66" s="129">
        <v>5</v>
      </c>
      <c r="AE66" s="149">
        <f>Master_Table[[#This Row],[Length (m) (on wall)]]*Master_Table[[#This Row],[Height (m)]]/1</f>
        <v>1.2E-2</v>
      </c>
      <c r="AF66" s="147">
        <v>2000</v>
      </c>
      <c r="AG66" s="129">
        <f>0.031*1000</f>
        <v>31</v>
      </c>
      <c r="AH66" s="147">
        <v>2</v>
      </c>
    </row>
    <row r="67" spans="2:34" x14ac:dyDescent="0.35">
      <c r="B67" s="115" t="str">
        <f>_xlfn.CONCAT(Master_Table[[#This Row],[Unique ID]],"_",Master_Table[[#This Row],[Model Source]],"_",Master_Table[[#This Row],[System Type]],Master_Table[[#This Row],[System Subtype]],"_",Master_Table[[#This Row],[External Finish Type]])</f>
        <v>Donaldson_EPD_TimberOpen_Brick</v>
      </c>
      <c r="C67" s="129" t="s">
        <v>513</v>
      </c>
      <c r="D67" s="129" t="s">
        <v>3</v>
      </c>
      <c r="E67" s="129" t="s">
        <v>558</v>
      </c>
      <c r="F67" s="129" t="s">
        <v>285</v>
      </c>
      <c r="G67" s="129" t="s">
        <v>613</v>
      </c>
      <c r="H67" s="129" t="s">
        <v>614</v>
      </c>
      <c r="I67" s="129" t="s">
        <v>615</v>
      </c>
      <c r="J67" s="129" t="s">
        <v>822</v>
      </c>
      <c r="K67" s="110" t="s">
        <v>663</v>
      </c>
      <c r="L67" s="129"/>
      <c r="M67" t="s">
        <v>351</v>
      </c>
      <c r="N67" s="129" t="s">
        <v>355</v>
      </c>
      <c r="O67" s="129" t="s">
        <v>817</v>
      </c>
      <c r="P67" s="129" t="s">
        <v>346</v>
      </c>
      <c r="Q67" t="s">
        <v>351</v>
      </c>
      <c r="R67" s="129" t="s">
        <v>583</v>
      </c>
      <c r="S67" s="129" t="s">
        <v>577</v>
      </c>
      <c r="T67" t="s">
        <v>352</v>
      </c>
      <c r="U67" s="129" t="s">
        <v>334</v>
      </c>
      <c r="V67" s="140">
        <v>2</v>
      </c>
      <c r="W67" s="138">
        <v>0</v>
      </c>
      <c r="X67" s="147">
        <v>0</v>
      </c>
      <c r="Y67" s="129" t="s">
        <v>545</v>
      </c>
      <c r="Z67" s="129">
        <v>1</v>
      </c>
      <c r="AA67" s="129">
        <v>1</v>
      </c>
      <c r="AB67" s="129">
        <v>0.1</v>
      </c>
      <c r="AC67" s="115">
        <f>Master_Table[[#This Row],[Length (m) (on wall)]]*Master_Table[[#This Row],[Height (m)]]*Master_Table[[#This Row],[Thickness (m)]]</f>
        <v>0.1</v>
      </c>
      <c r="AD67" s="129">
        <v>1</v>
      </c>
      <c r="AE67" s="149">
        <v>1</v>
      </c>
      <c r="AF67" s="129">
        <v>1.2</v>
      </c>
      <c r="AG67" s="129">
        <f>Master_Table[[#This Row],[Material Density (kg/m^3)]]*Master_Table[[#This Row],[Thickness (m)]]</f>
        <v>0.12</v>
      </c>
      <c r="AH67" s="129">
        <v>2.5000000000000001E-2</v>
      </c>
    </row>
    <row r="68" spans="2:34" x14ac:dyDescent="0.35">
      <c r="B68" s="115" t="str">
        <f>_xlfn.CONCAT(Master_Table[[#This Row],[Unique ID]],"_",Master_Table[[#This Row],[Model Source]],"_",Master_Table[[#This Row],[System Type]],Master_Table[[#This Row],[System Subtype]],"_",Master_Table[[#This Row],[External Finish Type]])</f>
        <v>Donaldson_EPD_TimberOpen_Brick</v>
      </c>
      <c r="C68" s="129" t="s">
        <v>513</v>
      </c>
      <c r="D68" s="129" t="s">
        <v>3</v>
      </c>
      <c r="E68" s="129" t="s">
        <v>558</v>
      </c>
      <c r="F68" s="129" t="s">
        <v>285</v>
      </c>
      <c r="G68" s="129" t="s">
        <v>613</v>
      </c>
      <c r="H68" s="129" t="s">
        <v>614</v>
      </c>
      <c r="I68" s="129" t="s">
        <v>615</v>
      </c>
      <c r="J68" s="129" t="s">
        <v>822</v>
      </c>
      <c r="K68" s="110" t="s">
        <v>663</v>
      </c>
      <c r="L68" s="129"/>
      <c r="M68" t="s">
        <v>351</v>
      </c>
      <c r="N68" s="134" t="s">
        <v>349</v>
      </c>
      <c r="O68" s="129" t="s">
        <v>663</v>
      </c>
      <c r="P68" s="134" t="s">
        <v>347</v>
      </c>
      <c r="Q68" t="s">
        <v>351</v>
      </c>
      <c r="R68" s="134" t="s">
        <v>582</v>
      </c>
      <c r="S68" s="134" t="s">
        <v>578</v>
      </c>
      <c r="T68" t="s">
        <v>352</v>
      </c>
      <c r="U68" s="129" t="s">
        <v>334</v>
      </c>
      <c r="V68" s="140">
        <v>6.5789473684210523E-2</v>
      </c>
      <c r="W68" s="138">
        <v>1.839</v>
      </c>
      <c r="X68" s="147">
        <v>0</v>
      </c>
      <c r="Y68" s="129" t="s">
        <v>545</v>
      </c>
      <c r="Z68" s="129">
        <v>1</v>
      </c>
      <c r="AA68" s="129">
        <v>1</v>
      </c>
      <c r="AB68" s="129">
        <v>1.4999999999999999E-2</v>
      </c>
      <c r="AC68" s="115">
        <f>Master_Table[[#This Row],[Length (m) (on wall)]]*Master_Table[[#This Row],[Height (m)]]*Master_Table[[#This Row],[Thickness (m)]]</f>
        <v>1.4999999999999999E-2</v>
      </c>
      <c r="AD68" s="129">
        <v>1</v>
      </c>
      <c r="AE68" s="149">
        <v>1</v>
      </c>
      <c r="AF68" s="147">
        <v>615</v>
      </c>
      <c r="AG68" s="147">
        <f>Master_Table[[#This Row],[Material Density (kg/m^3)]]*Master_Table[[#This Row],[Thickness (m)]]</f>
        <v>9.2249999999999996</v>
      </c>
      <c r="AH68" s="147">
        <v>0.19</v>
      </c>
    </row>
    <row r="69" spans="2:34" x14ac:dyDescent="0.35">
      <c r="B69" s="115" t="str">
        <f>_xlfn.CONCAT(Master_Table[[#This Row],[Unique ID]],"_",Master_Table[[#This Row],[Model Source]],"_",Master_Table[[#This Row],[System Type]],Master_Table[[#This Row],[System Subtype]],"_",Master_Table[[#This Row],[External Finish Type]])</f>
        <v>Donaldson_EPD_TimberOpen_Brick</v>
      </c>
      <c r="C69" s="129" t="s">
        <v>513</v>
      </c>
      <c r="D69" s="129" t="s">
        <v>3</v>
      </c>
      <c r="E69" s="129" t="s">
        <v>558</v>
      </c>
      <c r="F69" s="129" t="s">
        <v>285</v>
      </c>
      <c r="G69" s="129" t="s">
        <v>613</v>
      </c>
      <c r="H69" s="129" t="s">
        <v>614</v>
      </c>
      <c r="I69" s="129" t="s">
        <v>615</v>
      </c>
      <c r="J69" s="129" t="s">
        <v>822</v>
      </c>
      <c r="K69" s="110" t="s">
        <v>663</v>
      </c>
      <c r="L69" s="129"/>
      <c r="M69" t="s">
        <v>351</v>
      </c>
      <c r="N69" s="134" t="s">
        <v>566</v>
      </c>
      <c r="O69" s="129" t="s">
        <v>663</v>
      </c>
      <c r="P69" s="134" t="s">
        <v>347</v>
      </c>
      <c r="Q69" t="s">
        <v>351</v>
      </c>
      <c r="R69" s="134" t="s">
        <v>566</v>
      </c>
      <c r="S69" s="134" t="s">
        <v>580</v>
      </c>
      <c r="T69" t="s">
        <v>352</v>
      </c>
      <c r="U69" s="129" t="s">
        <v>334</v>
      </c>
      <c r="V69" s="140">
        <v>0</v>
      </c>
      <c r="W69" s="138">
        <v>1</v>
      </c>
      <c r="X69" s="147">
        <v>0</v>
      </c>
      <c r="Y69" s="129" t="s">
        <v>545</v>
      </c>
      <c r="Z69" s="134">
        <v>1</v>
      </c>
      <c r="AA69" s="134">
        <v>1</v>
      </c>
      <c r="AB69" s="134">
        <v>1</v>
      </c>
      <c r="AC69" s="115">
        <f>Master_Table[[#This Row],[Length (m) (on wall)]]*Master_Table[[#This Row],[Height (m)]]*Master_Table[[#This Row],[Thickness (m)]]</f>
        <v>1</v>
      </c>
      <c r="AD69" s="134">
        <v>1</v>
      </c>
      <c r="AE69" s="152">
        <v>1</v>
      </c>
      <c r="AF69" s="134">
        <v>0</v>
      </c>
      <c r="AG69" s="134">
        <f>Master_Table[[#This Row],[Material Density (kg/m^3)]]*Master_Table[[#This Row],[Thickness (m)]]</f>
        <v>0</v>
      </c>
      <c r="AH69" s="134">
        <v>0</v>
      </c>
    </row>
    <row r="70" spans="2:34" x14ac:dyDescent="0.35">
      <c r="B70" s="115" t="str">
        <f>_xlfn.CONCAT(Master_Table[[#This Row],[Unique ID]],"_",Master_Table[[#This Row],[Model Source]],"_",Master_Table[[#This Row],[System Type]],Master_Table[[#This Row],[System Subtype]],"_",Master_Table[[#This Row],[External Finish Type]])</f>
        <v>Donaldson_EPD_TimberOpen_Brick</v>
      </c>
      <c r="C70" s="129" t="s">
        <v>513</v>
      </c>
      <c r="D70" s="129" t="s">
        <v>3</v>
      </c>
      <c r="E70" s="129" t="s">
        <v>558</v>
      </c>
      <c r="F70" s="129" t="s">
        <v>285</v>
      </c>
      <c r="G70" s="129" t="s">
        <v>613</v>
      </c>
      <c r="H70" s="129" t="s">
        <v>614</v>
      </c>
      <c r="I70" s="129" t="s">
        <v>615</v>
      </c>
      <c r="J70" s="129" t="s">
        <v>822</v>
      </c>
      <c r="K70" s="110" t="s">
        <v>663</v>
      </c>
      <c r="L70" s="129"/>
      <c r="M70" t="s">
        <v>351</v>
      </c>
      <c r="N70" s="129" t="s">
        <v>355</v>
      </c>
      <c r="O70" s="129" t="s">
        <v>817</v>
      </c>
      <c r="P70" s="129" t="s">
        <v>347</v>
      </c>
      <c r="Q70" t="s">
        <v>351</v>
      </c>
      <c r="R70" s="129" t="s">
        <v>581</v>
      </c>
      <c r="S70" s="129" t="s">
        <v>579</v>
      </c>
      <c r="T70" t="s">
        <v>352</v>
      </c>
      <c r="U70" s="129" t="s">
        <v>334</v>
      </c>
      <c r="V70" s="140">
        <v>0.5</v>
      </c>
      <c r="W70" s="148">
        <v>0</v>
      </c>
      <c r="X70" s="129">
        <v>0</v>
      </c>
      <c r="Y70" s="129" t="s">
        <v>545</v>
      </c>
      <c r="Z70" s="129">
        <v>1</v>
      </c>
      <c r="AA70" s="129">
        <v>1</v>
      </c>
      <c r="AB70" s="134">
        <v>0.05</v>
      </c>
      <c r="AC70" s="115">
        <f>Master_Table[[#This Row],[Length (m) (on wall)]]*Master_Table[[#This Row],[Height (m)]]*Master_Table[[#This Row],[Thickness (m)]]</f>
        <v>0.05</v>
      </c>
      <c r="AD70" s="129">
        <v>1</v>
      </c>
      <c r="AE70" s="149">
        <v>1</v>
      </c>
      <c r="AF70" s="129">
        <v>1.2</v>
      </c>
      <c r="AG70" s="129">
        <f>Master_Table[[#This Row],[Material Density (kg/m^3)]]*Master_Table[[#This Row],[Thickness (m)]]</f>
        <v>0.06</v>
      </c>
      <c r="AH70" s="129">
        <v>2.5000000000000001E-2</v>
      </c>
    </row>
    <row r="71" spans="2:34" x14ac:dyDescent="0.35">
      <c r="B71" s="115" t="str">
        <f>_xlfn.CONCAT(Master_Table[[#This Row],[Unique ID]],"_",Master_Table[[#This Row],[Model Source]],"_",Master_Table[[#This Row],[System Type]],Master_Table[[#This Row],[System Subtype]],"_",Master_Table[[#This Row],[External Finish Type]])</f>
        <v>Donaldson_EPD_TimberOpen_Brick</v>
      </c>
      <c r="C71" s="129" t="s">
        <v>513</v>
      </c>
      <c r="D71" s="129" t="s">
        <v>3</v>
      </c>
      <c r="E71" s="129" t="s">
        <v>558</v>
      </c>
      <c r="F71" s="129" t="s">
        <v>285</v>
      </c>
      <c r="G71" s="129" t="s">
        <v>613</v>
      </c>
      <c r="H71" s="129" t="s">
        <v>614</v>
      </c>
      <c r="I71" s="129" t="s">
        <v>615</v>
      </c>
      <c r="J71" s="129" t="s">
        <v>822</v>
      </c>
      <c r="K71" s="110" t="s">
        <v>663</v>
      </c>
      <c r="L71" s="129" t="s">
        <v>809</v>
      </c>
      <c r="M71" s="179" t="s">
        <v>351</v>
      </c>
      <c r="N71" s="178" t="s">
        <v>810</v>
      </c>
      <c r="O71" s="129" t="s">
        <v>663</v>
      </c>
      <c r="P71" s="129" t="s">
        <v>811</v>
      </c>
      <c r="Q71" t="s">
        <v>352</v>
      </c>
      <c r="R71" s="178" t="s">
        <v>812</v>
      </c>
      <c r="S71" s="129"/>
      <c r="T71" t="s">
        <v>351</v>
      </c>
      <c r="U71" s="129" t="s">
        <v>813</v>
      </c>
      <c r="V71" s="140">
        <v>0</v>
      </c>
      <c r="W71" s="138">
        <v>1</v>
      </c>
      <c r="X71" s="147">
        <v>0</v>
      </c>
      <c r="Y71" s="129"/>
      <c r="Z71" s="134">
        <v>1</v>
      </c>
      <c r="AA71" s="134">
        <v>1</v>
      </c>
      <c r="AB71" s="134">
        <v>1</v>
      </c>
      <c r="AC71" s="115">
        <f>Master_Table[[#This Row],[Length (m) (on wall)]]*Master_Table[[#This Row],[Height (m)]]*Master_Table[[#This Row],[Thickness (m)]]</f>
        <v>1</v>
      </c>
      <c r="AD71" s="134">
        <v>1</v>
      </c>
      <c r="AE71" s="152">
        <v>1</v>
      </c>
      <c r="AF71" s="134">
        <v>0</v>
      </c>
      <c r="AG71" s="134">
        <v>0.05</v>
      </c>
      <c r="AH71" s="134">
        <v>0</v>
      </c>
    </row>
    <row r="72" spans="2:34" x14ac:dyDescent="0.35">
      <c r="B72" s="115" t="str">
        <f>_xlfn.CONCAT(Master_Table[[#This Row],[Unique ID]],"_",Master_Table[[#This Row],[Model Source]],"_",Master_Table[[#This Row],[System Type]],Master_Table[[#This Row],[System Subtype]],"_",Master_Table[[#This Row],[External Finish Type]])</f>
        <v>Donaldson_EPD_TimberPre-Insulated_Brick</v>
      </c>
      <c r="C72" s="129" t="s">
        <v>513</v>
      </c>
      <c r="D72" s="129" t="s">
        <v>3</v>
      </c>
      <c r="E72" s="129" t="s">
        <v>559</v>
      </c>
      <c r="F72" s="129" t="s">
        <v>285</v>
      </c>
      <c r="G72" s="129" t="s">
        <v>613</v>
      </c>
      <c r="H72" s="129" t="s">
        <v>753</v>
      </c>
      <c r="I72" s="129" t="s">
        <v>622</v>
      </c>
      <c r="J72" s="129" t="s">
        <v>822</v>
      </c>
      <c r="K72" s="110" t="s">
        <v>670</v>
      </c>
      <c r="L72" s="129" t="s">
        <v>672</v>
      </c>
      <c r="M72" t="s">
        <v>351</v>
      </c>
      <c r="N72" s="137" t="s">
        <v>249</v>
      </c>
      <c r="O72" s="129" t="s">
        <v>814</v>
      </c>
      <c r="P72" s="129" t="s">
        <v>533</v>
      </c>
      <c r="Q72" t="s">
        <v>352</v>
      </c>
      <c r="R72" s="129" t="s">
        <v>625</v>
      </c>
      <c r="S72" s="129"/>
      <c r="T72" t="s">
        <v>351</v>
      </c>
      <c r="U72" s="129" t="s">
        <v>617</v>
      </c>
      <c r="V72" s="142">
        <f>SUM(V37:V45)</f>
        <v>5.0694675602175607</v>
      </c>
      <c r="W72" s="124">
        <f>_xlfn.XLOOKUP(Master_Table[[#This Row],[Component Name]],'GWP NORMALISED'!$A$2:$A$500,'GWP NORMALISED'!$H$2:$H$500,FALSE)</f>
        <v>18.8</v>
      </c>
      <c r="X72" s="125">
        <f>_xlfn.XLOOKUP(Master_Table[[#This Row],[Component Name]],'RAW GWP FOSSIL'!$A$2:$A$500,'RAW GWP FOSSIL'!$H$2:$H$500,FALSE)</f>
        <v>18.8</v>
      </c>
      <c r="Y72" s="129" t="s">
        <v>618</v>
      </c>
      <c r="Z72" s="129" t="b">
        <v>0</v>
      </c>
      <c r="AA72" s="129" t="b">
        <v>0</v>
      </c>
      <c r="AB72" s="129" t="b">
        <v>0</v>
      </c>
      <c r="AC72" s="115" t="b">
        <v>0</v>
      </c>
      <c r="AD72" s="129" t="b">
        <v>0</v>
      </c>
      <c r="AE72" s="129" t="b">
        <v>0</v>
      </c>
      <c r="AF72" s="129" t="b">
        <v>0</v>
      </c>
      <c r="AG72" s="129">
        <v>23.57</v>
      </c>
      <c r="AH72" s="129" t="b">
        <v>0</v>
      </c>
    </row>
    <row r="73" spans="2:34" x14ac:dyDescent="0.35">
      <c r="B73" s="115" t="str">
        <f>_xlfn.CONCAT(Master_Table[[#This Row],[Unique ID]],"_",Master_Table[[#This Row],[Model Source]],"_",Master_Table[[#This Row],[System Type]],Master_Table[[#This Row],[System Subtype]],"_",Master_Table[[#This Row],[External Finish Type]])</f>
        <v>Donaldson_EPD_TimberPre-Insulated_Brick</v>
      </c>
      <c r="C73" s="129" t="s">
        <v>513</v>
      </c>
      <c r="D73" s="129" t="s">
        <v>3</v>
      </c>
      <c r="E73" s="129" t="s">
        <v>559</v>
      </c>
      <c r="F73" s="129" t="s">
        <v>285</v>
      </c>
      <c r="G73" s="129" t="s">
        <v>613</v>
      </c>
      <c r="H73" s="129" t="s">
        <v>753</v>
      </c>
      <c r="I73" s="129" t="s">
        <v>622</v>
      </c>
      <c r="J73" s="129" t="s">
        <v>822</v>
      </c>
      <c r="K73" s="110" t="s">
        <v>659</v>
      </c>
      <c r="L73" s="129" t="s">
        <v>666</v>
      </c>
      <c r="M73" t="s">
        <v>351</v>
      </c>
      <c r="N73" s="136" t="s">
        <v>571</v>
      </c>
      <c r="O73" s="129" t="s">
        <v>815</v>
      </c>
      <c r="P73" s="129" t="s">
        <v>346</v>
      </c>
      <c r="Q73" t="s">
        <v>351</v>
      </c>
      <c r="R73" s="129" t="s">
        <v>585</v>
      </c>
      <c r="S73" s="129" t="s">
        <v>563</v>
      </c>
      <c r="T73" t="s">
        <v>352</v>
      </c>
      <c r="U73" s="129" t="s">
        <v>334</v>
      </c>
      <c r="V73" s="141">
        <f>Master_Table[[#This Row],[Thickness (m)]]/Master_Table[[#This Row],[Thermal Conductivity W/m-K]]</f>
        <v>0.16269841269841268</v>
      </c>
      <c r="W73" s="139">
        <f>_xlfn.XLOOKUP(Master_Table[[#This Row],[Component Name]],'GWP NORMALISED'!$A$2:$A$500,'GWP NORMALISED'!$H$2:$H$500,FALSE)</f>
        <v>42.616724999999995</v>
      </c>
      <c r="X73" s="129">
        <f>_xlfn.XLOOKUP(Master_Table[[#This Row],[Component Name]],'RAW GWP FOSSIL'!$A$2:$A$500,'RAW GWP FOSSIL'!$H$2:$H$500,FALSE)</f>
        <v>211</v>
      </c>
      <c r="Y73" s="129" t="s">
        <v>575</v>
      </c>
      <c r="Z73" s="129">
        <v>1</v>
      </c>
      <c r="AA73" s="129">
        <v>1</v>
      </c>
      <c r="AB73" s="129">
        <v>0.10249999999999999</v>
      </c>
      <c r="AC73" s="115">
        <f>Master_Table[[#This Row],[Length (m) (on wall)]]*Master_Table[[#This Row],[Height (m)]]*Master_Table[[#This Row],[Thickness (m)]]</f>
        <v>0.10249999999999999</v>
      </c>
      <c r="AD73" s="129">
        <v>1</v>
      </c>
      <c r="AE73" s="149">
        <v>1</v>
      </c>
      <c r="AF73" s="129">
        <v>1970</v>
      </c>
      <c r="AG73" s="129">
        <f>Master_Table[[#This Row],[Material Density (kg/m^3)]]*Master_Table[[#This Row],[Thickness (m)]]</f>
        <v>201.92499999999998</v>
      </c>
      <c r="AH73" s="129">
        <v>0.63</v>
      </c>
    </row>
    <row r="74" spans="2:34" x14ac:dyDescent="0.35">
      <c r="B74" s="115" t="str">
        <f>_xlfn.CONCAT(Master_Table[[#This Row],[Unique ID]],"_",Master_Table[[#This Row],[Model Source]],"_",Master_Table[[#This Row],[System Type]],Master_Table[[#This Row],[System Subtype]],"_",Master_Table[[#This Row],[External Finish Type]])</f>
        <v>Donaldson_EPD_TimberPre-Insulated_Brick</v>
      </c>
      <c r="C74" s="129" t="s">
        <v>513</v>
      </c>
      <c r="D74" s="129" t="s">
        <v>3</v>
      </c>
      <c r="E74" s="129" t="s">
        <v>559</v>
      </c>
      <c r="F74" s="129" t="s">
        <v>285</v>
      </c>
      <c r="G74" s="129" t="s">
        <v>613</v>
      </c>
      <c r="H74" s="129" t="s">
        <v>753</v>
      </c>
      <c r="I74" s="129" t="s">
        <v>622</v>
      </c>
      <c r="J74" s="129" t="s">
        <v>822</v>
      </c>
      <c r="K74" s="110" t="s">
        <v>659</v>
      </c>
      <c r="L74" s="129" t="s">
        <v>807</v>
      </c>
      <c r="M74" t="s">
        <v>351</v>
      </c>
      <c r="N74" s="79" t="s">
        <v>796</v>
      </c>
      <c r="O74" s="134" t="s">
        <v>815</v>
      </c>
      <c r="P74" s="134" t="s">
        <v>346</v>
      </c>
      <c r="Q74" t="s">
        <v>351</v>
      </c>
      <c r="R74" s="134" t="s">
        <v>584</v>
      </c>
      <c r="S74" s="129" t="s">
        <v>576</v>
      </c>
      <c r="T74" t="s">
        <v>351</v>
      </c>
      <c r="U74" s="129" t="s">
        <v>808</v>
      </c>
      <c r="V74" s="140">
        <v>0</v>
      </c>
      <c r="W74" s="124">
        <f>_xlfn.XLOOKUP(Master_Table[[#This Row],[Component Name]],'GWP NORMALISED'!$A$2:$A$500,'GWP NORMALISED'!$H$2:$H$500,FALSE)</f>
        <v>4.1849999999999996</v>
      </c>
      <c r="X74" s="125">
        <f>_xlfn.XLOOKUP(Master_Table[[#This Row],[Component Name]],'RAW GWP FOSSIL'!$A$2:$A$500,'RAW GWP FOSSIL'!$H$2:$H$500,FALSE)</f>
        <v>135</v>
      </c>
      <c r="Y74" s="129" t="s">
        <v>545</v>
      </c>
      <c r="Z74" s="129">
        <v>1</v>
      </c>
      <c r="AA74" s="129">
        <v>1.2E-2</v>
      </c>
      <c r="AB74" s="129">
        <v>0.1</v>
      </c>
      <c r="AC74" s="115">
        <f>Master_Table[[#This Row],[Length (m) (on wall)]]*Master_Table[[#This Row],[Height (m)]]*Master_Table[[#This Row],[Thickness (m)]]</f>
        <v>1.2000000000000001E-3</v>
      </c>
      <c r="AD74" s="129">
        <v>5</v>
      </c>
      <c r="AE74" s="149">
        <f>Master_Table[[#This Row],[Length (m) (on wall)]]*Master_Table[[#This Row],[Height (m)]]/1</f>
        <v>1.2E-2</v>
      </c>
      <c r="AF74" s="147">
        <v>2000</v>
      </c>
      <c r="AG74" s="129">
        <f>0.031*1000</f>
        <v>31</v>
      </c>
      <c r="AH74" s="147">
        <v>2</v>
      </c>
    </row>
    <row r="75" spans="2:34" x14ac:dyDescent="0.35">
      <c r="B75" s="115" t="str">
        <f>_xlfn.CONCAT(Master_Table[[#This Row],[Unique ID]],"_",Master_Table[[#This Row],[Model Source]],"_",Master_Table[[#This Row],[System Type]],Master_Table[[#This Row],[System Subtype]],"_",Master_Table[[#This Row],[External Finish Type]])</f>
        <v>Donaldson_EPD_TimberPre-Insulated_Brick</v>
      </c>
      <c r="C75" s="129" t="s">
        <v>513</v>
      </c>
      <c r="D75" s="129" t="s">
        <v>3</v>
      </c>
      <c r="E75" s="129" t="s">
        <v>559</v>
      </c>
      <c r="F75" s="129" t="s">
        <v>285</v>
      </c>
      <c r="G75" s="129" t="s">
        <v>613</v>
      </c>
      <c r="H75" s="129" t="s">
        <v>753</v>
      </c>
      <c r="I75" s="129" t="s">
        <v>622</v>
      </c>
      <c r="J75" s="129" t="s">
        <v>822</v>
      </c>
      <c r="K75" s="110" t="s">
        <v>663</v>
      </c>
      <c r="L75" s="129"/>
      <c r="M75" t="s">
        <v>351</v>
      </c>
      <c r="N75" s="129" t="s">
        <v>355</v>
      </c>
      <c r="O75" s="129" t="s">
        <v>817</v>
      </c>
      <c r="P75" s="129" t="s">
        <v>346</v>
      </c>
      <c r="Q75" t="s">
        <v>351</v>
      </c>
      <c r="R75" s="129" t="s">
        <v>583</v>
      </c>
      <c r="S75" s="129" t="s">
        <v>577</v>
      </c>
      <c r="T75" t="s">
        <v>352</v>
      </c>
      <c r="U75" s="129" t="s">
        <v>334</v>
      </c>
      <c r="V75" s="140">
        <v>2</v>
      </c>
      <c r="W75" s="138">
        <v>0</v>
      </c>
      <c r="X75" s="147">
        <v>0</v>
      </c>
      <c r="Y75" s="129" t="s">
        <v>545</v>
      </c>
      <c r="Z75" s="129">
        <v>1</v>
      </c>
      <c r="AA75" s="129">
        <v>1</v>
      </c>
      <c r="AB75" s="129">
        <v>0.1</v>
      </c>
      <c r="AC75" s="115">
        <f>Master_Table[[#This Row],[Length (m) (on wall)]]*Master_Table[[#This Row],[Height (m)]]*Master_Table[[#This Row],[Thickness (m)]]</f>
        <v>0.1</v>
      </c>
      <c r="AD75" s="129">
        <v>1</v>
      </c>
      <c r="AE75" s="149">
        <v>1</v>
      </c>
      <c r="AF75" s="129">
        <v>1.2</v>
      </c>
      <c r="AG75" s="129">
        <f>Master_Table[[#This Row],[Material Density (kg/m^3)]]*Master_Table[[#This Row],[Thickness (m)]]</f>
        <v>0.12</v>
      </c>
      <c r="AH75" s="129">
        <v>2.5000000000000001E-2</v>
      </c>
    </row>
    <row r="76" spans="2:34" x14ac:dyDescent="0.35">
      <c r="B76" s="115" t="str">
        <f>_xlfn.CONCAT(Master_Table[[#This Row],[Unique ID]],"_",Master_Table[[#This Row],[Model Source]],"_",Master_Table[[#This Row],[System Type]],Master_Table[[#This Row],[System Subtype]],"_",Master_Table[[#This Row],[External Finish Type]])</f>
        <v>Donaldson_EPD_TimberPre-Insulated_Brick</v>
      </c>
      <c r="C76" s="129" t="s">
        <v>513</v>
      </c>
      <c r="D76" s="129" t="s">
        <v>3</v>
      </c>
      <c r="E76" s="129" t="s">
        <v>559</v>
      </c>
      <c r="F76" s="129" t="s">
        <v>285</v>
      </c>
      <c r="G76" s="129" t="s">
        <v>613</v>
      </c>
      <c r="H76" s="129" t="s">
        <v>753</v>
      </c>
      <c r="I76" s="129" t="s">
        <v>622</v>
      </c>
      <c r="J76" s="129" t="s">
        <v>822</v>
      </c>
      <c r="K76" s="110" t="s">
        <v>663</v>
      </c>
      <c r="L76" s="129"/>
      <c r="M76" t="s">
        <v>351</v>
      </c>
      <c r="N76" s="134" t="s">
        <v>349</v>
      </c>
      <c r="O76" s="129" t="s">
        <v>663</v>
      </c>
      <c r="P76" s="134" t="s">
        <v>347</v>
      </c>
      <c r="Q76" t="s">
        <v>351</v>
      </c>
      <c r="R76" s="134" t="s">
        <v>582</v>
      </c>
      <c r="S76" s="134" t="s">
        <v>578</v>
      </c>
      <c r="T76" t="s">
        <v>352</v>
      </c>
      <c r="U76" s="129" t="s">
        <v>334</v>
      </c>
      <c r="V76" s="140">
        <v>6.5789473684210523E-2</v>
      </c>
      <c r="W76" s="138">
        <v>1.839</v>
      </c>
      <c r="X76" s="147">
        <v>0</v>
      </c>
      <c r="Y76" s="129" t="s">
        <v>545</v>
      </c>
      <c r="Z76" s="129">
        <v>1</v>
      </c>
      <c r="AA76" s="129">
        <v>1</v>
      </c>
      <c r="AB76" s="129">
        <v>1.4999999999999999E-2</v>
      </c>
      <c r="AC76" s="115">
        <f>Master_Table[[#This Row],[Length (m) (on wall)]]*Master_Table[[#This Row],[Height (m)]]*Master_Table[[#This Row],[Thickness (m)]]</f>
        <v>1.4999999999999999E-2</v>
      </c>
      <c r="AD76" s="129">
        <v>1</v>
      </c>
      <c r="AE76" s="149">
        <v>1</v>
      </c>
      <c r="AF76" s="147">
        <v>615</v>
      </c>
      <c r="AG76" s="147">
        <f>Master_Table[[#This Row],[Material Density (kg/m^3)]]*Master_Table[[#This Row],[Thickness (m)]]</f>
        <v>9.2249999999999996</v>
      </c>
      <c r="AH76" s="147">
        <v>0.19</v>
      </c>
    </row>
    <row r="77" spans="2:34" x14ac:dyDescent="0.35">
      <c r="B77" s="115" t="str">
        <f>_xlfn.CONCAT(Master_Table[[#This Row],[Unique ID]],"_",Master_Table[[#This Row],[Model Source]],"_",Master_Table[[#This Row],[System Type]],Master_Table[[#This Row],[System Subtype]],"_",Master_Table[[#This Row],[External Finish Type]])</f>
        <v>Donaldson_EPD_TimberPre-Insulated_Brick</v>
      </c>
      <c r="C77" s="129" t="s">
        <v>513</v>
      </c>
      <c r="D77" s="129" t="s">
        <v>3</v>
      </c>
      <c r="E77" s="129" t="s">
        <v>559</v>
      </c>
      <c r="F77" s="129" t="s">
        <v>285</v>
      </c>
      <c r="G77" s="129" t="s">
        <v>613</v>
      </c>
      <c r="H77" s="129" t="s">
        <v>753</v>
      </c>
      <c r="I77" s="129" t="s">
        <v>622</v>
      </c>
      <c r="J77" s="129" t="s">
        <v>822</v>
      </c>
      <c r="K77" s="110" t="s">
        <v>663</v>
      </c>
      <c r="L77" s="129"/>
      <c r="M77" t="s">
        <v>351</v>
      </c>
      <c r="N77" s="134" t="s">
        <v>566</v>
      </c>
      <c r="O77" s="129" t="s">
        <v>663</v>
      </c>
      <c r="P77" s="134" t="s">
        <v>347</v>
      </c>
      <c r="Q77" t="s">
        <v>351</v>
      </c>
      <c r="R77" s="134" t="s">
        <v>566</v>
      </c>
      <c r="S77" s="134" t="s">
        <v>580</v>
      </c>
      <c r="T77" t="s">
        <v>352</v>
      </c>
      <c r="U77" s="129" t="s">
        <v>334</v>
      </c>
      <c r="V77" s="140">
        <v>0</v>
      </c>
      <c r="W77" s="138">
        <v>1</v>
      </c>
      <c r="X77" s="147">
        <v>0</v>
      </c>
      <c r="Y77" s="129" t="s">
        <v>545</v>
      </c>
      <c r="Z77" s="134">
        <v>1</v>
      </c>
      <c r="AA77" s="134">
        <v>1</v>
      </c>
      <c r="AB77" s="134">
        <v>1</v>
      </c>
      <c r="AC77" s="115">
        <f>Master_Table[[#This Row],[Length (m) (on wall)]]*Master_Table[[#This Row],[Height (m)]]*Master_Table[[#This Row],[Thickness (m)]]</f>
        <v>1</v>
      </c>
      <c r="AD77" s="134">
        <v>1</v>
      </c>
      <c r="AE77" s="152">
        <v>1</v>
      </c>
      <c r="AF77" s="134">
        <v>0</v>
      </c>
      <c r="AG77" s="134">
        <f>Master_Table[[#This Row],[Material Density (kg/m^3)]]*Master_Table[[#This Row],[Thickness (m)]]</f>
        <v>0</v>
      </c>
      <c r="AH77" s="134">
        <v>0</v>
      </c>
    </row>
    <row r="78" spans="2:34" x14ac:dyDescent="0.35">
      <c r="B78" s="115" t="str">
        <f>_xlfn.CONCAT(Master_Table[[#This Row],[Unique ID]],"_",Master_Table[[#This Row],[Model Source]],"_",Master_Table[[#This Row],[System Type]],Master_Table[[#This Row],[System Subtype]],"_",Master_Table[[#This Row],[External Finish Type]])</f>
        <v>Donaldson_EPD_TimberPre-Insulated_Brick</v>
      </c>
      <c r="C78" s="129" t="s">
        <v>513</v>
      </c>
      <c r="D78" s="129" t="s">
        <v>3</v>
      </c>
      <c r="E78" s="129" t="s">
        <v>559</v>
      </c>
      <c r="F78" s="129" t="s">
        <v>285</v>
      </c>
      <c r="G78" s="129" t="s">
        <v>613</v>
      </c>
      <c r="H78" s="129" t="s">
        <v>753</v>
      </c>
      <c r="I78" s="129" t="s">
        <v>622</v>
      </c>
      <c r="J78" s="129" t="s">
        <v>822</v>
      </c>
      <c r="K78" s="110" t="s">
        <v>663</v>
      </c>
      <c r="L78" s="129"/>
      <c r="M78" t="s">
        <v>351</v>
      </c>
      <c r="N78" s="129" t="s">
        <v>355</v>
      </c>
      <c r="O78" s="129" t="s">
        <v>817</v>
      </c>
      <c r="P78" s="129" t="s">
        <v>347</v>
      </c>
      <c r="Q78" t="s">
        <v>351</v>
      </c>
      <c r="R78" s="129" t="s">
        <v>581</v>
      </c>
      <c r="S78" s="129" t="s">
        <v>579</v>
      </c>
      <c r="T78" t="s">
        <v>352</v>
      </c>
      <c r="U78" s="129" t="s">
        <v>334</v>
      </c>
      <c r="V78" s="140">
        <v>0.5</v>
      </c>
      <c r="W78" s="148">
        <v>0</v>
      </c>
      <c r="X78" s="129">
        <v>0</v>
      </c>
      <c r="Y78" s="129" t="s">
        <v>545</v>
      </c>
      <c r="Z78" s="129">
        <v>1</v>
      </c>
      <c r="AA78" s="129">
        <v>1</v>
      </c>
      <c r="AB78" s="134">
        <v>0.05</v>
      </c>
      <c r="AC78" s="115">
        <f>Master_Table[[#This Row],[Length (m) (on wall)]]*Master_Table[[#This Row],[Height (m)]]*Master_Table[[#This Row],[Thickness (m)]]</f>
        <v>0.05</v>
      </c>
      <c r="AD78" s="129">
        <v>1</v>
      </c>
      <c r="AE78" s="149">
        <v>1</v>
      </c>
      <c r="AF78" s="129">
        <v>1.2</v>
      </c>
      <c r="AG78" s="129">
        <f>Master_Table[[#This Row],[Material Density (kg/m^3)]]*Master_Table[[#This Row],[Thickness (m)]]</f>
        <v>0.06</v>
      </c>
      <c r="AH78" s="129">
        <v>2.5000000000000001E-2</v>
      </c>
    </row>
    <row r="79" spans="2:34" x14ac:dyDescent="0.35">
      <c r="B79" s="115" t="str">
        <f>_xlfn.CONCAT(Master_Table[[#This Row],[Unique ID]],"_",Master_Table[[#This Row],[Model Source]],"_",Master_Table[[#This Row],[System Type]],Master_Table[[#This Row],[System Subtype]],"_",Master_Table[[#This Row],[External Finish Type]])</f>
        <v>Donaldson_EPD_TimberPre-Insulated_Brick</v>
      </c>
      <c r="C79" s="129" t="s">
        <v>513</v>
      </c>
      <c r="D79" s="129" t="s">
        <v>3</v>
      </c>
      <c r="E79" s="129" t="s">
        <v>559</v>
      </c>
      <c r="F79" s="129" t="s">
        <v>285</v>
      </c>
      <c r="G79" s="129" t="s">
        <v>613</v>
      </c>
      <c r="H79" s="129" t="s">
        <v>753</v>
      </c>
      <c r="I79" s="129" t="s">
        <v>622</v>
      </c>
      <c r="J79" s="129" t="s">
        <v>822</v>
      </c>
      <c r="K79" s="110" t="s">
        <v>663</v>
      </c>
      <c r="L79" s="129" t="s">
        <v>809</v>
      </c>
      <c r="M79" s="179" t="s">
        <v>351</v>
      </c>
      <c r="N79" s="178" t="s">
        <v>810</v>
      </c>
      <c r="O79" s="129" t="s">
        <v>663</v>
      </c>
      <c r="P79" s="129" t="s">
        <v>811</v>
      </c>
      <c r="Q79" t="s">
        <v>352</v>
      </c>
      <c r="R79" s="178" t="s">
        <v>812</v>
      </c>
      <c r="S79" s="129"/>
      <c r="T79" t="s">
        <v>351</v>
      </c>
      <c r="U79" s="129" t="s">
        <v>813</v>
      </c>
      <c r="V79" s="140">
        <v>0</v>
      </c>
      <c r="W79" s="138">
        <v>1</v>
      </c>
      <c r="X79" s="147">
        <v>0</v>
      </c>
      <c r="Y79" s="129"/>
      <c r="Z79" s="134">
        <v>1</v>
      </c>
      <c r="AA79" s="134">
        <v>1</v>
      </c>
      <c r="AB79" s="134">
        <v>1</v>
      </c>
      <c r="AC79" s="115">
        <f>Master_Table[[#This Row],[Length (m) (on wall)]]*Master_Table[[#This Row],[Height (m)]]*Master_Table[[#This Row],[Thickness (m)]]</f>
        <v>1</v>
      </c>
      <c r="AD79" s="134">
        <v>1</v>
      </c>
      <c r="AE79" s="152">
        <v>1</v>
      </c>
      <c r="AF79" s="134">
        <v>0</v>
      </c>
      <c r="AG79" s="134">
        <v>0.05</v>
      </c>
      <c r="AH79" s="134">
        <v>0</v>
      </c>
    </row>
    <row r="80" spans="2:34" x14ac:dyDescent="0.35">
      <c r="B80" s="115" t="str">
        <f>_xlfn.CONCAT(Master_Table[[#This Row],[Unique ID]],"_",Master_Table[[#This Row],[Model Source]],"_",Master_Table[[#This Row],[System Type]],Master_Table[[#This Row],[System Subtype]],"_",Master_Table[[#This Row],[External Finish Type]])</f>
        <v>A_LCA_ICFFormed Concrete_Brick</v>
      </c>
      <c r="C80" s="129" t="s">
        <v>512</v>
      </c>
      <c r="D80" s="129" t="s">
        <v>24</v>
      </c>
      <c r="E80" s="129" t="s">
        <v>481</v>
      </c>
      <c r="F80" s="129" t="s">
        <v>285</v>
      </c>
      <c r="G80" s="129" t="s">
        <v>550</v>
      </c>
      <c r="H80" s="129" t="s">
        <v>635</v>
      </c>
      <c r="I80" s="129" t="s">
        <v>636</v>
      </c>
      <c r="J80" s="129" t="s">
        <v>821</v>
      </c>
      <c r="K80" s="110" t="s">
        <v>660</v>
      </c>
      <c r="L80" s="129"/>
      <c r="M80" t="s">
        <v>351</v>
      </c>
      <c r="N80" s="133" t="s">
        <v>442</v>
      </c>
      <c r="O80" s="129" t="s">
        <v>816</v>
      </c>
      <c r="P80" s="129" t="s">
        <v>344</v>
      </c>
      <c r="Q80" t="s">
        <v>351</v>
      </c>
      <c r="R80" s="129" t="s">
        <v>628</v>
      </c>
      <c r="S80" s="129" t="s">
        <v>629</v>
      </c>
      <c r="T80" t="s">
        <v>352</v>
      </c>
      <c r="U80" s="129" t="s">
        <v>334</v>
      </c>
      <c r="V80" s="141">
        <v>4.2857142857142856</v>
      </c>
      <c r="W80" s="139">
        <v>13.837500000000002</v>
      </c>
      <c r="X80" s="129">
        <v>3.69</v>
      </c>
      <c r="Y80" s="129" t="s">
        <v>545</v>
      </c>
      <c r="Z80" s="129"/>
      <c r="AA80" s="129"/>
      <c r="AB80" s="129"/>
      <c r="AC80" s="115"/>
      <c r="AD80" s="129"/>
      <c r="AE80" s="149"/>
      <c r="AF80" s="129"/>
      <c r="AG80" s="139">
        <f>'LCA SYSTEMS'!J25/2.4^2</f>
        <v>3.7500000000000004</v>
      </c>
      <c r="AH80" s="129"/>
    </row>
    <row r="81" spans="2:34" x14ac:dyDescent="0.35">
      <c r="B81" s="115" t="str">
        <f>_xlfn.CONCAT(Master_Table[[#This Row],[Unique ID]],"_",Master_Table[[#This Row],[Model Source]],"_",Master_Table[[#This Row],[System Type]],Master_Table[[#This Row],[System Subtype]],"_",Master_Table[[#This Row],[External Finish Type]])</f>
        <v>A_LCA_ICFFormed Concrete_Brick</v>
      </c>
      <c r="C81" s="129" t="s">
        <v>512</v>
      </c>
      <c r="D81" s="129" t="s">
        <v>24</v>
      </c>
      <c r="E81" s="129" t="s">
        <v>481</v>
      </c>
      <c r="F81" s="129" t="s">
        <v>285</v>
      </c>
      <c r="G81" s="129" t="s">
        <v>550</v>
      </c>
      <c r="H81" s="129" t="s">
        <v>635</v>
      </c>
      <c r="I81" s="129" t="s">
        <v>636</v>
      </c>
      <c r="J81" s="129" t="s">
        <v>821</v>
      </c>
      <c r="K81" s="110" t="s">
        <v>660</v>
      </c>
      <c r="L81" s="129"/>
      <c r="M81" t="s">
        <v>351</v>
      </c>
      <c r="N81" s="133" t="s">
        <v>449</v>
      </c>
      <c r="O81" s="129" t="s">
        <v>816</v>
      </c>
      <c r="P81" s="129" t="s">
        <v>4</v>
      </c>
      <c r="Q81" t="s">
        <v>351</v>
      </c>
      <c r="R81" s="129" t="s">
        <v>634</v>
      </c>
      <c r="S81" s="129" t="s">
        <v>631</v>
      </c>
      <c r="T81" t="s">
        <v>352</v>
      </c>
      <c r="U81" s="129" t="s">
        <v>334</v>
      </c>
      <c r="V81" s="141">
        <v>3.7499999999999999E-2</v>
      </c>
      <c r="W81" s="139">
        <v>37.08</v>
      </c>
      <c r="X81" s="129">
        <v>0.10299999999999999</v>
      </c>
      <c r="Y81" s="129" t="s">
        <v>545</v>
      </c>
      <c r="Z81" s="129"/>
      <c r="AA81" s="129"/>
      <c r="AB81" s="129"/>
      <c r="AC81" s="115"/>
      <c r="AD81" s="129"/>
      <c r="AE81" s="149"/>
      <c r="AF81" s="129"/>
      <c r="AG81" s="139">
        <f>'LCA SYSTEMS'!J26/2.4^2</f>
        <v>360</v>
      </c>
      <c r="AH81" s="129"/>
    </row>
    <row r="82" spans="2:34" x14ac:dyDescent="0.35">
      <c r="B82" s="115" t="str">
        <f>_xlfn.CONCAT(Master_Table[[#This Row],[Unique ID]],"_",Master_Table[[#This Row],[Model Source]],"_",Master_Table[[#This Row],[System Type]],Master_Table[[#This Row],[System Subtype]],"_",Master_Table[[#This Row],[External Finish Type]])</f>
        <v>A_LCA_ICFFormed Concrete_Brick</v>
      </c>
      <c r="C82" s="129" t="s">
        <v>512</v>
      </c>
      <c r="D82" s="129" t="s">
        <v>24</v>
      </c>
      <c r="E82" s="129" t="s">
        <v>481</v>
      </c>
      <c r="F82" s="129" t="s">
        <v>285</v>
      </c>
      <c r="G82" s="129" t="s">
        <v>550</v>
      </c>
      <c r="H82" s="129" t="s">
        <v>635</v>
      </c>
      <c r="I82" s="129" t="s">
        <v>636</v>
      </c>
      <c r="J82" s="129" t="s">
        <v>821</v>
      </c>
      <c r="K82" s="110" t="s">
        <v>660</v>
      </c>
      <c r="L82" s="129"/>
      <c r="M82" t="s">
        <v>351</v>
      </c>
      <c r="N82" s="133" t="s">
        <v>446</v>
      </c>
      <c r="O82" s="129" t="s">
        <v>816</v>
      </c>
      <c r="P82" s="129" t="s">
        <v>4</v>
      </c>
      <c r="Q82" t="s">
        <v>351</v>
      </c>
      <c r="R82" s="129" t="s">
        <v>632</v>
      </c>
      <c r="S82" s="129" t="s">
        <v>633</v>
      </c>
      <c r="T82" t="s">
        <v>352</v>
      </c>
      <c r="U82" s="129" t="s">
        <v>334</v>
      </c>
      <c r="V82" s="141">
        <v>0</v>
      </c>
      <c r="W82" s="139">
        <v>12.383402777777778</v>
      </c>
      <c r="X82" s="129">
        <v>1.72</v>
      </c>
      <c r="Y82" s="129" t="s">
        <v>545</v>
      </c>
      <c r="Z82" s="129"/>
      <c r="AA82" s="129"/>
      <c r="AB82" s="129"/>
      <c r="AC82" s="115"/>
      <c r="AD82" s="129"/>
      <c r="AE82" s="149"/>
      <c r="AF82" s="129"/>
      <c r="AG82" s="139">
        <f>'LCA SYSTEMS'!J27/2.4^2</f>
        <v>7.1996527777777777</v>
      </c>
      <c r="AH82" s="129"/>
    </row>
    <row r="83" spans="2:34" x14ac:dyDescent="0.35">
      <c r="B83" s="115" t="str">
        <f>_xlfn.CONCAT(Master_Table[[#This Row],[Unique ID]],"_",Master_Table[[#This Row],[Model Source]],"_",Master_Table[[#This Row],[System Type]],Master_Table[[#This Row],[System Subtype]],"_",Master_Table[[#This Row],[External Finish Type]])</f>
        <v>A_LCA_ICFFormed Concrete_Brick</v>
      </c>
      <c r="C83" s="129" t="s">
        <v>512</v>
      </c>
      <c r="D83" s="129" t="s">
        <v>24</v>
      </c>
      <c r="E83" s="129" t="s">
        <v>481</v>
      </c>
      <c r="F83" s="129" t="s">
        <v>285</v>
      </c>
      <c r="G83" s="129" t="s">
        <v>550</v>
      </c>
      <c r="H83" s="129" t="s">
        <v>635</v>
      </c>
      <c r="I83" s="129" t="s">
        <v>636</v>
      </c>
      <c r="J83" s="129" t="s">
        <v>821</v>
      </c>
      <c r="K83" s="110" t="s">
        <v>660</v>
      </c>
      <c r="L83" s="129"/>
      <c r="M83" t="s">
        <v>351</v>
      </c>
      <c r="N83" s="133" t="s">
        <v>447</v>
      </c>
      <c r="O83" s="129" t="s">
        <v>816</v>
      </c>
      <c r="P83" s="129" t="s">
        <v>344</v>
      </c>
      <c r="Q83" t="s">
        <v>351</v>
      </c>
      <c r="R83" s="129" t="s">
        <v>626</v>
      </c>
      <c r="S83" s="129" t="s">
        <v>627</v>
      </c>
      <c r="T83" t="s">
        <v>352</v>
      </c>
      <c r="U83" s="129" t="s">
        <v>334</v>
      </c>
      <c r="V83" s="141">
        <v>0</v>
      </c>
      <c r="W83" s="139">
        <v>1.6059027777777779</v>
      </c>
      <c r="X83" s="129">
        <v>1.85</v>
      </c>
      <c r="Y83" s="129" t="s">
        <v>545</v>
      </c>
      <c r="Z83" s="129"/>
      <c r="AA83" s="129"/>
      <c r="AB83" s="129"/>
      <c r="AC83" s="115"/>
      <c r="AD83" s="129"/>
      <c r="AE83" s="149"/>
      <c r="AF83" s="129"/>
      <c r="AG83" s="139">
        <f>'LCA SYSTEMS'!J28/2.4^2</f>
        <v>0.86805555555555558</v>
      </c>
      <c r="AH83" s="129"/>
    </row>
    <row r="84" spans="2:34" x14ac:dyDescent="0.35">
      <c r="B84" s="115" t="str">
        <f>_xlfn.CONCAT(Master_Table[[#This Row],[Unique ID]],"_",Master_Table[[#This Row],[Model Source]],"_",Master_Table[[#This Row],[System Type]],Master_Table[[#This Row],[System Subtype]],"_",Master_Table[[#This Row],[External Finish Type]])</f>
        <v>A_LCA_ICFFormed Concrete_Brick</v>
      </c>
      <c r="C84" s="129" t="s">
        <v>512</v>
      </c>
      <c r="D84" s="129" t="s">
        <v>24</v>
      </c>
      <c r="E84" s="129" t="s">
        <v>481</v>
      </c>
      <c r="F84" s="129" t="s">
        <v>285</v>
      </c>
      <c r="G84" s="129" t="s">
        <v>550</v>
      </c>
      <c r="H84" s="129" t="s">
        <v>635</v>
      </c>
      <c r="I84" s="129" t="s">
        <v>636</v>
      </c>
      <c r="J84" s="129" t="s">
        <v>821</v>
      </c>
      <c r="K84" s="110" t="s">
        <v>660</v>
      </c>
      <c r="L84" s="129"/>
      <c r="M84" t="s">
        <v>351</v>
      </c>
      <c r="N84" s="133" t="s">
        <v>29</v>
      </c>
      <c r="O84" s="129" t="s">
        <v>816</v>
      </c>
      <c r="P84" s="129" t="s">
        <v>470</v>
      </c>
      <c r="Q84" t="s">
        <v>352</v>
      </c>
      <c r="R84" s="129" t="s">
        <v>554</v>
      </c>
      <c r="S84" s="129" t="s">
        <v>630</v>
      </c>
      <c r="T84" t="s">
        <v>352</v>
      </c>
      <c r="U84" s="129" t="s">
        <v>334</v>
      </c>
      <c r="V84" s="141">
        <v>1.5E-3</v>
      </c>
      <c r="W84" s="139">
        <v>0.25229166666666669</v>
      </c>
      <c r="X84" s="129">
        <v>4.2</v>
      </c>
      <c r="Y84" s="129" t="s">
        <v>545</v>
      </c>
      <c r="Z84" s="129"/>
      <c r="AA84" s="129"/>
      <c r="AB84" s="129"/>
      <c r="AC84" s="115"/>
      <c r="AD84" s="129"/>
      <c r="AE84" s="149"/>
      <c r="AF84" s="129"/>
      <c r="AG84" s="139">
        <f>'LCA SYSTEMS'!J29/2.4^2</f>
        <v>6.0069444444444439E-2</v>
      </c>
      <c r="AH84" s="129"/>
    </row>
    <row r="85" spans="2:34" x14ac:dyDescent="0.35">
      <c r="B85" s="115" t="str">
        <f>_xlfn.CONCAT(Master_Table[[#This Row],[Unique ID]],"_",Master_Table[[#This Row],[Model Source]],"_",Master_Table[[#This Row],[System Type]],Master_Table[[#This Row],[System Subtype]],"_",Master_Table[[#This Row],[External Finish Type]])</f>
        <v>A_LCA_ICFFormed Concrete_Brick</v>
      </c>
      <c r="C85" s="129" t="s">
        <v>512</v>
      </c>
      <c r="D85" s="129" t="s">
        <v>24</v>
      </c>
      <c r="E85" s="129" t="s">
        <v>481</v>
      </c>
      <c r="F85" s="129" t="s">
        <v>285</v>
      </c>
      <c r="G85" s="129" t="s">
        <v>550</v>
      </c>
      <c r="H85" s="129" t="s">
        <v>635</v>
      </c>
      <c r="I85" s="129" t="s">
        <v>636</v>
      </c>
      <c r="J85" s="129" t="s">
        <v>821</v>
      </c>
      <c r="K85" s="110" t="s">
        <v>663</v>
      </c>
      <c r="L85" s="129"/>
      <c r="M85" t="s">
        <v>351</v>
      </c>
      <c r="N85" s="130" t="s">
        <v>285</v>
      </c>
      <c r="O85" s="129" t="s">
        <v>663</v>
      </c>
      <c r="P85" s="129" t="s">
        <v>346</v>
      </c>
      <c r="Q85" t="s">
        <v>351</v>
      </c>
      <c r="R85" s="129" t="s">
        <v>564</v>
      </c>
      <c r="S85" s="129" t="s">
        <v>563</v>
      </c>
      <c r="T85" t="s">
        <v>352</v>
      </c>
      <c r="U85" s="129" t="s">
        <v>334</v>
      </c>
      <c r="V85" s="140">
        <v>0.12987012987012989</v>
      </c>
      <c r="W85" s="138">
        <f>Master_Table[[#This Row],[Raw A1-A3/Conversion factor]]*Master_Table[[#This Row],[Total Mass per m^2 (kg)]]</f>
        <v>42.199999999999996</v>
      </c>
      <c r="X85" s="134">
        <v>0.21099999999999999</v>
      </c>
      <c r="Y85" s="134" t="s">
        <v>545</v>
      </c>
      <c r="Z85" s="134">
        <v>1</v>
      </c>
      <c r="AA85" s="134">
        <v>1</v>
      </c>
      <c r="AB85" s="134">
        <v>0.1</v>
      </c>
      <c r="AC85" s="115">
        <f>Master_Table[[#This Row],[Length (m) (on wall)]]*Master_Table[[#This Row],[Height (m)]]*Master_Table[[#This Row],[Thickness (m)]]</f>
        <v>0.1</v>
      </c>
      <c r="AD85" s="134">
        <v>1</v>
      </c>
      <c r="AE85" s="152">
        <v>1</v>
      </c>
      <c r="AF85" s="153">
        <v>2000</v>
      </c>
      <c r="AG85" s="150">
        <f>Master_Table[[#This Row],[Element Volume (m^3)]]*Master_Table[[#This Row],[No. of elements in 1 panel]]*Master_Table[[#This Row],[Material Density (kg/m^3)]]</f>
        <v>200</v>
      </c>
      <c r="AH85" s="129">
        <v>0.77</v>
      </c>
    </row>
    <row r="86" spans="2:34" x14ac:dyDescent="0.35">
      <c r="B86" s="115" t="str">
        <f>_xlfn.CONCAT(Master_Table[[#This Row],[Unique ID]],"_",Master_Table[[#This Row],[Model Source]],"_",Master_Table[[#This Row],[System Type]],Master_Table[[#This Row],[System Subtype]],"_",Master_Table[[#This Row],[External Finish Type]])</f>
        <v>A_LCA_ICFFormed Concrete_Brick</v>
      </c>
      <c r="C86" s="129" t="s">
        <v>512</v>
      </c>
      <c r="D86" s="129" t="s">
        <v>24</v>
      </c>
      <c r="E86" s="129" t="s">
        <v>481</v>
      </c>
      <c r="F86" s="129" t="s">
        <v>285</v>
      </c>
      <c r="G86" s="129" t="s">
        <v>550</v>
      </c>
      <c r="H86" s="129" t="s">
        <v>635</v>
      </c>
      <c r="I86" s="129" t="s">
        <v>636</v>
      </c>
      <c r="J86" s="129" t="s">
        <v>821</v>
      </c>
      <c r="K86" s="110" t="s">
        <v>659</v>
      </c>
      <c r="L86" s="129" t="s">
        <v>807</v>
      </c>
      <c r="M86" t="s">
        <v>351</v>
      </c>
      <c r="N86" s="79" t="s">
        <v>796</v>
      </c>
      <c r="O86" s="134" t="s">
        <v>815</v>
      </c>
      <c r="P86" s="134" t="s">
        <v>346</v>
      </c>
      <c r="Q86" t="s">
        <v>351</v>
      </c>
      <c r="R86" s="134" t="s">
        <v>584</v>
      </c>
      <c r="S86" s="129" t="s">
        <v>576</v>
      </c>
      <c r="T86" t="s">
        <v>351</v>
      </c>
      <c r="U86" s="129" t="s">
        <v>808</v>
      </c>
      <c r="V86" s="140">
        <v>0</v>
      </c>
      <c r="W86" s="124">
        <f>_xlfn.XLOOKUP(Master_Table[[#This Row],[Component Name]],'GWP NORMALISED'!$A$2:$A$500,'GWP NORMALISED'!$H$2:$H$500,FALSE)</f>
        <v>4.1849999999999996</v>
      </c>
      <c r="X86" s="125">
        <f>_xlfn.XLOOKUP(Master_Table[[#This Row],[Component Name]],'RAW GWP FOSSIL'!$A$2:$A$500,'RAW GWP FOSSIL'!$H$2:$H$500,FALSE)</f>
        <v>135</v>
      </c>
      <c r="Y86" s="129" t="s">
        <v>545</v>
      </c>
      <c r="Z86" s="129">
        <v>1</v>
      </c>
      <c r="AA86" s="129">
        <v>1.2E-2</v>
      </c>
      <c r="AB86" s="129">
        <v>0.1</v>
      </c>
      <c r="AC86" s="115">
        <f>Master_Table[[#This Row],[Length (m) (on wall)]]*Master_Table[[#This Row],[Height (m)]]*Master_Table[[#This Row],[Thickness (m)]]</f>
        <v>1.2000000000000001E-3</v>
      </c>
      <c r="AD86" s="129">
        <v>5</v>
      </c>
      <c r="AE86" s="149">
        <f>Master_Table[[#This Row],[Length (m) (on wall)]]*Master_Table[[#This Row],[Height (m)]]/1</f>
        <v>1.2E-2</v>
      </c>
      <c r="AF86" s="147">
        <v>2000</v>
      </c>
      <c r="AG86" s="129">
        <f>0.031*1000</f>
        <v>31</v>
      </c>
      <c r="AH86" s="147">
        <v>2</v>
      </c>
    </row>
    <row r="87" spans="2:34" x14ac:dyDescent="0.35">
      <c r="B87" s="115" t="str">
        <f>_xlfn.CONCAT(Master_Table[[#This Row],[Unique ID]],"_",Master_Table[[#This Row],[Model Source]],"_",Master_Table[[#This Row],[System Type]],Master_Table[[#This Row],[System Subtype]],"_",Master_Table[[#This Row],[External Finish Type]])</f>
        <v>A_LCA_ICFFormed Concrete_Brick</v>
      </c>
      <c r="C87" s="129" t="s">
        <v>512</v>
      </c>
      <c r="D87" s="129" t="s">
        <v>24</v>
      </c>
      <c r="E87" s="129" t="s">
        <v>481</v>
      </c>
      <c r="F87" s="129" t="s">
        <v>285</v>
      </c>
      <c r="G87" s="129" t="s">
        <v>550</v>
      </c>
      <c r="H87" s="129" t="s">
        <v>635</v>
      </c>
      <c r="I87" s="129" t="s">
        <v>636</v>
      </c>
      <c r="J87" s="129" t="s">
        <v>821</v>
      </c>
      <c r="K87" s="110" t="s">
        <v>663</v>
      </c>
      <c r="L87" s="129"/>
      <c r="M87" t="s">
        <v>351</v>
      </c>
      <c r="N87" s="129" t="s">
        <v>355</v>
      </c>
      <c r="O87" s="129" t="s">
        <v>817</v>
      </c>
      <c r="P87" s="129" t="s">
        <v>346</v>
      </c>
      <c r="Q87" t="s">
        <v>351</v>
      </c>
      <c r="R87" s="129" t="s">
        <v>583</v>
      </c>
      <c r="S87" s="129" t="s">
        <v>577</v>
      </c>
      <c r="T87" t="s">
        <v>352</v>
      </c>
      <c r="U87" s="129" t="s">
        <v>334</v>
      </c>
      <c r="V87" s="140">
        <v>2</v>
      </c>
      <c r="W87" s="138">
        <v>0</v>
      </c>
      <c r="X87" s="147">
        <v>0</v>
      </c>
      <c r="Y87" s="129" t="s">
        <v>545</v>
      </c>
      <c r="Z87" s="129">
        <v>1</v>
      </c>
      <c r="AA87" s="129">
        <v>1</v>
      </c>
      <c r="AB87" s="129">
        <v>0.1</v>
      </c>
      <c r="AC87" s="115">
        <f>Master_Table[[#This Row],[Length (m) (on wall)]]*Master_Table[[#This Row],[Height (m)]]*Master_Table[[#This Row],[Thickness (m)]]</f>
        <v>0.1</v>
      </c>
      <c r="AD87" s="129">
        <v>1</v>
      </c>
      <c r="AE87" s="149">
        <v>1</v>
      </c>
      <c r="AF87" s="129">
        <v>1.2</v>
      </c>
      <c r="AG87" s="129">
        <f>Master_Table[[#This Row],[Material Density (kg/m^3)]]*Master_Table[[#This Row],[Thickness (m)]]</f>
        <v>0.12</v>
      </c>
      <c r="AH87" s="129">
        <v>2.5000000000000001E-2</v>
      </c>
    </row>
    <row r="88" spans="2:34" x14ac:dyDescent="0.35">
      <c r="B88" s="115" t="str">
        <f>_xlfn.CONCAT(Master_Table[[#This Row],[Unique ID]],"_",Master_Table[[#This Row],[Model Source]],"_",Master_Table[[#This Row],[System Type]],Master_Table[[#This Row],[System Subtype]],"_",Master_Table[[#This Row],[External Finish Type]])</f>
        <v>A_LCA_ICFFormed Concrete_Brick</v>
      </c>
      <c r="C88" s="129" t="s">
        <v>512</v>
      </c>
      <c r="D88" s="129" t="s">
        <v>24</v>
      </c>
      <c r="E88" s="129" t="s">
        <v>481</v>
      </c>
      <c r="F88" s="129" t="s">
        <v>285</v>
      </c>
      <c r="G88" s="129" t="s">
        <v>550</v>
      </c>
      <c r="H88" s="129" t="s">
        <v>635</v>
      </c>
      <c r="I88" s="129" t="s">
        <v>636</v>
      </c>
      <c r="J88" s="129" t="s">
        <v>821</v>
      </c>
      <c r="K88" s="110" t="s">
        <v>663</v>
      </c>
      <c r="L88" s="129"/>
      <c r="M88" t="s">
        <v>351</v>
      </c>
      <c r="N88" s="134" t="s">
        <v>349</v>
      </c>
      <c r="O88" s="129" t="s">
        <v>663</v>
      </c>
      <c r="P88" s="134" t="s">
        <v>347</v>
      </c>
      <c r="Q88" t="s">
        <v>351</v>
      </c>
      <c r="R88" s="134" t="s">
        <v>582</v>
      </c>
      <c r="S88" s="134" t="s">
        <v>578</v>
      </c>
      <c r="T88" t="s">
        <v>352</v>
      </c>
      <c r="U88" s="129" t="s">
        <v>334</v>
      </c>
      <c r="V88" s="140">
        <v>6.5789473684210523E-2</v>
      </c>
      <c r="W88" s="138">
        <v>1.839</v>
      </c>
      <c r="X88" s="147">
        <v>0</v>
      </c>
      <c r="Y88" s="129" t="s">
        <v>545</v>
      </c>
      <c r="Z88" s="129">
        <v>1</v>
      </c>
      <c r="AA88" s="129">
        <v>1</v>
      </c>
      <c r="AB88" s="129">
        <v>1.4999999999999999E-2</v>
      </c>
      <c r="AC88" s="115">
        <f>Master_Table[[#This Row],[Length (m) (on wall)]]*Master_Table[[#This Row],[Height (m)]]*Master_Table[[#This Row],[Thickness (m)]]</f>
        <v>1.4999999999999999E-2</v>
      </c>
      <c r="AD88" s="129">
        <v>1</v>
      </c>
      <c r="AE88" s="149">
        <v>1</v>
      </c>
      <c r="AF88" s="147">
        <v>615</v>
      </c>
      <c r="AG88" s="147">
        <f>Master_Table[[#This Row],[Material Density (kg/m^3)]]*Master_Table[[#This Row],[Thickness (m)]]</f>
        <v>9.2249999999999996</v>
      </c>
      <c r="AH88" s="147">
        <v>0.19</v>
      </c>
    </row>
    <row r="89" spans="2:34" x14ac:dyDescent="0.35">
      <c r="B89" s="115" t="str">
        <f>_xlfn.CONCAT(Master_Table[[#This Row],[Unique ID]],"_",Master_Table[[#This Row],[Model Source]],"_",Master_Table[[#This Row],[System Type]],Master_Table[[#This Row],[System Subtype]],"_",Master_Table[[#This Row],[External Finish Type]])</f>
        <v>A_LCA_ICFFormed Concrete_Brick</v>
      </c>
      <c r="C89" s="129" t="s">
        <v>512</v>
      </c>
      <c r="D89" s="129" t="s">
        <v>24</v>
      </c>
      <c r="E89" s="129" t="s">
        <v>481</v>
      </c>
      <c r="F89" s="129" t="s">
        <v>285</v>
      </c>
      <c r="G89" s="129" t="s">
        <v>550</v>
      </c>
      <c r="H89" s="129" t="s">
        <v>635</v>
      </c>
      <c r="I89" s="129" t="s">
        <v>636</v>
      </c>
      <c r="J89" s="129" t="s">
        <v>821</v>
      </c>
      <c r="K89" s="110" t="s">
        <v>663</v>
      </c>
      <c r="L89" s="129"/>
      <c r="M89" t="s">
        <v>351</v>
      </c>
      <c r="N89" s="134" t="s">
        <v>566</v>
      </c>
      <c r="O89" s="129" t="s">
        <v>663</v>
      </c>
      <c r="P89" s="134" t="s">
        <v>347</v>
      </c>
      <c r="Q89" t="s">
        <v>351</v>
      </c>
      <c r="R89" s="134" t="s">
        <v>566</v>
      </c>
      <c r="S89" s="134" t="s">
        <v>580</v>
      </c>
      <c r="T89" t="s">
        <v>352</v>
      </c>
      <c r="U89" s="129" t="s">
        <v>334</v>
      </c>
      <c r="V89" s="140">
        <v>0</v>
      </c>
      <c r="W89" s="138">
        <v>1</v>
      </c>
      <c r="X89" s="147">
        <v>0</v>
      </c>
      <c r="Y89" s="129" t="s">
        <v>545</v>
      </c>
      <c r="Z89" s="134">
        <v>1</v>
      </c>
      <c r="AA89" s="134">
        <v>1</v>
      </c>
      <c r="AB89" s="134">
        <v>1</v>
      </c>
      <c r="AC89" s="115">
        <f>Master_Table[[#This Row],[Length (m) (on wall)]]*Master_Table[[#This Row],[Height (m)]]*Master_Table[[#This Row],[Thickness (m)]]</f>
        <v>1</v>
      </c>
      <c r="AD89" s="134">
        <v>1</v>
      </c>
      <c r="AE89" s="152">
        <v>1</v>
      </c>
      <c r="AF89" s="134">
        <v>0</v>
      </c>
      <c r="AG89" s="134">
        <f>Master_Table[[#This Row],[Material Density (kg/m^3)]]*Master_Table[[#This Row],[Thickness (m)]]</f>
        <v>0</v>
      </c>
      <c r="AH89" s="134">
        <v>0</v>
      </c>
    </row>
    <row r="90" spans="2:34" x14ac:dyDescent="0.35">
      <c r="B90" s="115" t="str">
        <f>_xlfn.CONCAT(Master_Table[[#This Row],[Unique ID]],"_",Master_Table[[#This Row],[Model Source]],"_",Master_Table[[#This Row],[System Type]],Master_Table[[#This Row],[System Subtype]],"_",Master_Table[[#This Row],[External Finish Type]])</f>
        <v>A_LCA_ICFFormed Concrete_Brick</v>
      </c>
      <c r="C90" s="129" t="s">
        <v>512</v>
      </c>
      <c r="D90" s="129" t="s">
        <v>24</v>
      </c>
      <c r="E90" s="129" t="s">
        <v>481</v>
      </c>
      <c r="F90" s="129" t="s">
        <v>285</v>
      </c>
      <c r="G90" s="129" t="s">
        <v>550</v>
      </c>
      <c r="H90" s="129" t="s">
        <v>635</v>
      </c>
      <c r="I90" s="129" t="s">
        <v>636</v>
      </c>
      <c r="J90" s="129" t="s">
        <v>821</v>
      </c>
      <c r="K90" s="110" t="s">
        <v>663</v>
      </c>
      <c r="L90" s="129"/>
      <c r="M90" t="s">
        <v>351</v>
      </c>
      <c r="N90" s="129" t="s">
        <v>355</v>
      </c>
      <c r="O90" s="129" t="s">
        <v>817</v>
      </c>
      <c r="P90" s="129" t="s">
        <v>347</v>
      </c>
      <c r="Q90" t="s">
        <v>351</v>
      </c>
      <c r="R90" s="129" t="s">
        <v>581</v>
      </c>
      <c r="S90" s="129" t="s">
        <v>579</v>
      </c>
      <c r="T90" t="s">
        <v>352</v>
      </c>
      <c r="U90" s="129" t="s">
        <v>334</v>
      </c>
      <c r="V90" s="140">
        <v>0.5</v>
      </c>
      <c r="W90" s="148">
        <v>0</v>
      </c>
      <c r="X90" s="129">
        <v>0</v>
      </c>
      <c r="Y90" s="129" t="s">
        <v>545</v>
      </c>
      <c r="Z90" s="129">
        <v>1</v>
      </c>
      <c r="AA90" s="129">
        <v>1</v>
      </c>
      <c r="AB90" s="134">
        <v>0.05</v>
      </c>
      <c r="AC90" s="115">
        <f>Master_Table[[#This Row],[Length (m) (on wall)]]*Master_Table[[#This Row],[Height (m)]]*Master_Table[[#This Row],[Thickness (m)]]</f>
        <v>0.05</v>
      </c>
      <c r="AD90" s="129">
        <v>1</v>
      </c>
      <c r="AE90" s="149">
        <v>1</v>
      </c>
      <c r="AF90" s="129">
        <v>1.2</v>
      </c>
      <c r="AG90" s="129">
        <f>Master_Table[[#This Row],[Material Density (kg/m^3)]]*Master_Table[[#This Row],[Thickness (m)]]</f>
        <v>0.06</v>
      </c>
      <c r="AH90" s="129">
        <v>2.5000000000000001E-2</v>
      </c>
    </row>
    <row r="91" spans="2:34" x14ac:dyDescent="0.35">
      <c r="B91" s="115" t="str">
        <f>_xlfn.CONCAT(Master_Table[[#This Row],[Unique ID]],"_",Master_Table[[#This Row],[Model Source]],"_",Master_Table[[#This Row],[System Type]],Master_Table[[#This Row],[System Subtype]],"_",Master_Table[[#This Row],[External Finish Type]])</f>
        <v>A_LCA_ICFFormed Concrete_Brick</v>
      </c>
      <c r="C91" s="129" t="s">
        <v>512</v>
      </c>
      <c r="D91" s="129" t="s">
        <v>24</v>
      </c>
      <c r="E91" s="129" t="s">
        <v>481</v>
      </c>
      <c r="F91" s="129" t="s">
        <v>285</v>
      </c>
      <c r="G91" s="129" t="s">
        <v>550</v>
      </c>
      <c r="H91" s="129" t="s">
        <v>635</v>
      </c>
      <c r="I91" s="129" t="s">
        <v>636</v>
      </c>
      <c r="J91" s="129" t="s">
        <v>821</v>
      </c>
      <c r="K91" s="110" t="s">
        <v>663</v>
      </c>
      <c r="L91" s="129" t="s">
        <v>809</v>
      </c>
      <c r="M91" s="179" t="s">
        <v>351</v>
      </c>
      <c r="N91" s="178" t="s">
        <v>810</v>
      </c>
      <c r="O91" s="129" t="s">
        <v>663</v>
      </c>
      <c r="P91" s="129" t="s">
        <v>811</v>
      </c>
      <c r="Q91" t="s">
        <v>352</v>
      </c>
      <c r="R91" s="178" t="s">
        <v>812</v>
      </c>
      <c r="S91" s="129"/>
      <c r="T91" t="s">
        <v>351</v>
      </c>
      <c r="U91" s="129" t="s">
        <v>813</v>
      </c>
      <c r="V91" s="140">
        <v>0</v>
      </c>
      <c r="W91" s="138">
        <v>1</v>
      </c>
      <c r="X91" s="147">
        <v>0</v>
      </c>
      <c r="Y91" s="129"/>
      <c r="Z91" s="134">
        <v>1</v>
      </c>
      <c r="AA91" s="134">
        <v>1</v>
      </c>
      <c r="AB91" s="134">
        <v>1</v>
      </c>
      <c r="AC91" s="115">
        <f>Master_Table[[#This Row],[Length (m) (on wall)]]*Master_Table[[#This Row],[Height (m)]]*Master_Table[[#This Row],[Thickness (m)]]</f>
        <v>1</v>
      </c>
      <c r="AD91" s="134">
        <v>1</v>
      </c>
      <c r="AE91" s="152">
        <v>1</v>
      </c>
      <c r="AF91" s="134">
        <v>0</v>
      </c>
      <c r="AG91" s="134">
        <v>0.05</v>
      </c>
      <c r="AH91" s="134">
        <v>0</v>
      </c>
    </row>
    <row r="92" spans="2:34" x14ac:dyDescent="0.35">
      <c r="B92" s="115" t="str">
        <f>_xlfn.CONCAT(Master_Table[[#This Row],[Unique ID]],"_",Master_Table[[#This Row],[Model Source]],"_",Master_Table[[#This Row],[System Type]],Master_Table[[#This Row],[System Subtype]],"_",Master_Table[[#This Row],[External Finish Type]])</f>
        <v>Nudura_EPD_ICFFormed Concrete_Brick</v>
      </c>
      <c r="C92" s="129" t="s">
        <v>513</v>
      </c>
      <c r="D92" s="129" t="s">
        <v>24</v>
      </c>
      <c r="E92" s="129" t="s">
        <v>481</v>
      </c>
      <c r="F92" s="129" t="s">
        <v>285</v>
      </c>
      <c r="G92" s="129" t="s">
        <v>637</v>
      </c>
      <c r="H92" s="129" t="s">
        <v>638</v>
      </c>
      <c r="I92" s="129"/>
      <c r="J92" s="129" t="s">
        <v>821</v>
      </c>
      <c r="K92" s="110" t="s">
        <v>660</v>
      </c>
      <c r="L92" s="129"/>
      <c r="M92" t="s">
        <v>351</v>
      </c>
      <c r="N92" s="137" t="s">
        <v>110</v>
      </c>
      <c r="O92" s="129" t="s">
        <v>814</v>
      </c>
      <c r="P92" s="129" t="s">
        <v>344</v>
      </c>
      <c r="Q92" t="s">
        <v>352</v>
      </c>
      <c r="R92" s="129" t="s">
        <v>639</v>
      </c>
      <c r="S92" s="129"/>
      <c r="T92" t="s">
        <v>352</v>
      </c>
      <c r="U92" s="129" t="s">
        <v>334</v>
      </c>
      <c r="V92" s="141">
        <v>4.2</v>
      </c>
      <c r="W92" s="124">
        <f>_xlfn.XLOOKUP(Master_Table[[#This Row],[Component Name]],'GWP NORMALISED'!$A$2:$A$500,'GWP NORMALISED'!$H$2:$H$500,FALSE)</f>
        <v>15.390090090090087</v>
      </c>
      <c r="X92" s="125">
        <f>_xlfn.XLOOKUP(Master_Table[[#This Row],[Component Name]],'RAW GWP FOSSIL'!$A$2:$A$500,'RAW GWP FOSSIL'!$H$2:$H$500,FALSE)</f>
        <v>17.082999999999998</v>
      </c>
      <c r="Y92" s="129" t="s">
        <v>641</v>
      </c>
      <c r="Z92" s="129"/>
      <c r="AA92" s="129"/>
      <c r="AB92" s="129"/>
      <c r="AC92" s="115">
        <f>Master_Table[[#This Row],[Length (m) (on wall)]]*Master_Table[[#This Row],[Height (m)]]*Master_Table[[#This Row],[Thickness (m)]]</f>
        <v>0</v>
      </c>
      <c r="AD92" s="129"/>
      <c r="AE92" s="149"/>
      <c r="AF92" s="129"/>
      <c r="AG92" s="129">
        <f>6.91*0.9</f>
        <v>6.2190000000000003</v>
      </c>
      <c r="AH92" s="129"/>
    </row>
    <row r="93" spans="2:34" x14ac:dyDescent="0.35">
      <c r="B93" s="115" t="str">
        <f>_xlfn.CONCAT(Master_Table[[#This Row],[Unique ID]],"_",Master_Table[[#This Row],[Model Source]],"_",Master_Table[[#This Row],[System Type]],Master_Table[[#This Row],[System Subtype]],"_",Master_Table[[#This Row],[External Finish Type]])</f>
        <v>Nudura_EPD_ICFFormed Concrete_Brick</v>
      </c>
      <c r="C93" s="129" t="s">
        <v>513</v>
      </c>
      <c r="D93" s="129" t="s">
        <v>24</v>
      </c>
      <c r="E93" s="129" t="s">
        <v>481</v>
      </c>
      <c r="F93" s="129" t="s">
        <v>285</v>
      </c>
      <c r="G93" s="129" t="s">
        <v>637</v>
      </c>
      <c r="H93" s="129" t="s">
        <v>638</v>
      </c>
      <c r="I93" s="129"/>
      <c r="J93" s="129" t="s">
        <v>821</v>
      </c>
      <c r="K93" s="110" t="s">
        <v>660</v>
      </c>
      <c r="L93" s="129"/>
      <c r="M93" t="s">
        <v>351</v>
      </c>
      <c r="N93" s="137" t="s">
        <v>292</v>
      </c>
      <c r="O93" s="129" t="s">
        <v>815</v>
      </c>
      <c r="P93" s="129" t="s">
        <v>4</v>
      </c>
      <c r="Q93" t="s">
        <v>351</v>
      </c>
      <c r="R93" s="129"/>
      <c r="S93" s="129" t="s">
        <v>640</v>
      </c>
      <c r="T93" t="s">
        <v>352</v>
      </c>
      <c r="U93" s="129" t="s">
        <v>334</v>
      </c>
      <c r="V93" s="141">
        <f>0.15/0.85</f>
        <v>0.17647058823529413</v>
      </c>
      <c r="W93" s="124">
        <f>_xlfn.XLOOKUP(Master_Table[[#This Row],[Component Name]],'GWP NORMALISED'!$A$2:$A$500,'GWP NORMALISED'!$H$2:$H$500,FALSE)</f>
        <v>34.429499999999997</v>
      </c>
      <c r="X93" s="125">
        <f>_xlfn.XLOOKUP(Master_Table[[#This Row],[Component Name]],'RAW GWP FOSSIL'!$A$2:$A$500,'RAW GWP FOSSIL'!$H$2:$H$500,FALSE)</f>
        <v>229.53</v>
      </c>
      <c r="Y93" s="129" t="s">
        <v>642</v>
      </c>
      <c r="Z93" s="129">
        <v>1</v>
      </c>
      <c r="AA93" s="129">
        <v>1</v>
      </c>
      <c r="AB93" s="129">
        <v>0.15</v>
      </c>
      <c r="AC93" s="115">
        <f>Master_Table[[#This Row],[Length (m) (on wall)]]*Master_Table[[#This Row],[Height (m)]]*Master_Table[[#This Row],[Thickness (m)]]</f>
        <v>0.15</v>
      </c>
      <c r="AD93" s="129"/>
      <c r="AE93" s="149"/>
      <c r="AF93" s="129">
        <v>2412</v>
      </c>
      <c r="AG93" s="129">
        <f>Master_Table[[#This Row],[Material Density (kg/m^3)]]*Master_Table[[#This Row],[Element Volume (m^3)]]</f>
        <v>361.8</v>
      </c>
      <c r="AH93" s="129"/>
    </row>
    <row r="94" spans="2:34" x14ac:dyDescent="0.35">
      <c r="B94" s="115" t="str">
        <f>_xlfn.CONCAT(Master_Table[[#This Row],[Unique ID]],"_",Master_Table[[#This Row],[Model Source]],"_",Master_Table[[#This Row],[System Type]],Master_Table[[#This Row],[System Subtype]],"_",Master_Table[[#This Row],[External Finish Type]])</f>
        <v>Nudura_EPD_ICFFormed Concrete_Brick</v>
      </c>
      <c r="C94" s="129" t="s">
        <v>513</v>
      </c>
      <c r="D94" s="129" t="s">
        <v>24</v>
      </c>
      <c r="E94" s="129" t="s">
        <v>481</v>
      </c>
      <c r="F94" s="129" t="s">
        <v>285</v>
      </c>
      <c r="G94" s="129" t="s">
        <v>637</v>
      </c>
      <c r="H94" s="129" t="s">
        <v>638</v>
      </c>
      <c r="I94" s="129"/>
      <c r="J94" s="129" t="s">
        <v>821</v>
      </c>
      <c r="K94" s="110" t="s">
        <v>663</v>
      </c>
      <c r="L94" s="129" t="s">
        <v>673</v>
      </c>
      <c r="M94" t="s">
        <v>351</v>
      </c>
      <c r="N94" s="133" t="s">
        <v>446</v>
      </c>
      <c r="O94" s="129" t="s">
        <v>816</v>
      </c>
      <c r="P94" s="129" t="s">
        <v>4</v>
      </c>
      <c r="Q94" t="s">
        <v>351</v>
      </c>
      <c r="R94" s="129" t="s">
        <v>632</v>
      </c>
      <c r="S94" s="129" t="s">
        <v>633</v>
      </c>
      <c r="T94" t="s">
        <v>352</v>
      </c>
      <c r="U94" s="129" t="s">
        <v>334</v>
      </c>
      <c r="V94" s="141">
        <v>0</v>
      </c>
      <c r="W94" s="139">
        <v>12.383402777777778</v>
      </c>
      <c r="X94" s="129">
        <v>1.72</v>
      </c>
      <c r="Y94" s="129" t="s">
        <v>545</v>
      </c>
      <c r="Z94" s="129"/>
      <c r="AA94" s="129"/>
      <c r="AB94" s="129"/>
      <c r="AC94" s="115">
        <f>Master_Table[[#This Row],[Length (m) (on wall)]]*Master_Table[[#This Row],[Height (m)]]*Master_Table[[#This Row],[Thickness (m)]]</f>
        <v>0</v>
      </c>
      <c r="AD94" s="129"/>
      <c r="AE94" s="149"/>
      <c r="AF94" s="129"/>
      <c r="AG94" s="139">
        <f>'LCA SYSTEMS'!J38/2.4^2</f>
        <v>0</v>
      </c>
      <c r="AH94" s="129"/>
    </row>
    <row r="95" spans="2:34" x14ac:dyDescent="0.35">
      <c r="B95" s="115" t="str">
        <f>_xlfn.CONCAT(Master_Table[[#This Row],[Unique ID]],"_",Master_Table[[#This Row],[Model Source]],"_",Master_Table[[#This Row],[System Type]],Master_Table[[#This Row],[System Subtype]],"_",Master_Table[[#This Row],[External Finish Type]])</f>
        <v>Nudura_EPD_ICFFormed Concrete_Brick</v>
      </c>
      <c r="C95" s="129" t="s">
        <v>513</v>
      </c>
      <c r="D95" s="129" t="s">
        <v>24</v>
      </c>
      <c r="E95" s="129" t="s">
        <v>481</v>
      </c>
      <c r="F95" s="129" t="s">
        <v>285</v>
      </c>
      <c r="G95" s="129" t="s">
        <v>637</v>
      </c>
      <c r="H95" s="129" t="s">
        <v>638</v>
      </c>
      <c r="I95" s="129"/>
      <c r="J95" s="129" t="s">
        <v>821</v>
      </c>
      <c r="K95" s="110" t="s">
        <v>663</v>
      </c>
      <c r="L95" s="129" t="s">
        <v>668</v>
      </c>
      <c r="M95" t="s">
        <v>351</v>
      </c>
      <c r="N95" s="133" t="s">
        <v>29</v>
      </c>
      <c r="O95" s="129" t="s">
        <v>816</v>
      </c>
      <c r="P95" s="129" t="s">
        <v>470</v>
      </c>
      <c r="Q95" t="s">
        <v>352</v>
      </c>
      <c r="R95" s="129" t="s">
        <v>554</v>
      </c>
      <c r="S95" s="129" t="s">
        <v>630</v>
      </c>
      <c r="T95" t="s">
        <v>352</v>
      </c>
      <c r="U95" s="129" t="s">
        <v>334</v>
      </c>
      <c r="V95" s="141">
        <v>1.5E-3</v>
      </c>
      <c r="W95" s="139">
        <v>0.25229166666666669</v>
      </c>
      <c r="X95" s="129">
        <v>4.2</v>
      </c>
      <c r="Y95" s="129" t="s">
        <v>545</v>
      </c>
      <c r="Z95" s="129"/>
      <c r="AA95" s="129"/>
      <c r="AB95" s="129"/>
      <c r="AC95" s="115">
        <f>Master_Table[[#This Row],[Length (m) (on wall)]]*Master_Table[[#This Row],[Height (m)]]*Master_Table[[#This Row],[Thickness (m)]]</f>
        <v>0</v>
      </c>
      <c r="AD95" s="129"/>
      <c r="AE95" s="149"/>
      <c r="AF95" s="129"/>
      <c r="AG95" s="139">
        <f>'LCA SYSTEMS'!J39/2.4^2</f>
        <v>0</v>
      </c>
      <c r="AH95" s="129"/>
    </row>
    <row r="96" spans="2:34" x14ac:dyDescent="0.35">
      <c r="B96" s="115" t="str">
        <f>_xlfn.CONCAT(Master_Table[[#This Row],[Unique ID]],"_",Master_Table[[#This Row],[Model Source]],"_",Master_Table[[#This Row],[System Type]],Master_Table[[#This Row],[System Subtype]],"_",Master_Table[[#This Row],[External Finish Type]])</f>
        <v>Nudura_EPD_ICFFormed Concrete_Brick</v>
      </c>
      <c r="C96" s="129" t="s">
        <v>513</v>
      </c>
      <c r="D96" s="129" t="s">
        <v>24</v>
      </c>
      <c r="E96" s="129" t="s">
        <v>481</v>
      </c>
      <c r="F96" s="129" t="s">
        <v>285</v>
      </c>
      <c r="G96" s="129" t="s">
        <v>637</v>
      </c>
      <c r="H96" s="129" t="s">
        <v>638</v>
      </c>
      <c r="I96" s="129"/>
      <c r="J96" s="129" t="s">
        <v>821</v>
      </c>
      <c r="K96" s="110" t="s">
        <v>663</v>
      </c>
      <c r="L96" s="129"/>
      <c r="M96" t="s">
        <v>351</v>
      </c>
      <c r="N96" s="130" t="s">
        <v>285</v>
      </c>
      <c r="O96" s="129" t="s">
        <v>663</v>
      </c>
      <c r="P96" s="129" t="s">
        <v>346</v>
      </c>
      <c r="Q96" t="s">
        <v>351</v>
      </c>
      <c r="R96" s="129" t="s">
        <v>564</v>
      </c>
      <c r="S96" s="129" t="s">
        <v>563</v>
      </c>
      <c r="T96" t="s">
        <v>352</v>
      </c>
      <c r="U96" s="129" t="s">
        <v>334</v>
      </c>
      <c r="V96" s="140">
        <v>0.12987012987012989</v>
      </c>
      <c r="W96" s="138">
        <f>Master_Table[[#This Row],[Raw A1-A3/Conversion factor]]*Master_Table[[#This Row],[Total Mass per m^2 (kg)]]</f>
        <v>42.199999999999996</v>
      </c>
      <c r="X96" s="134">
        <v>0.21099999999999999</v>
      </c>
      <c r="Y96" s="134" t="s">
        <v>545</v>
      </c>
      <c r="Z96" s="134">
        <v>1</v>
      </c>
      <c r="AA96" s="134">
        <v>1</v>
      </c>
      <c r="AB96" s="134">
        <v>0.1</v>
      </c>
      <c r="AC96" s="115">
        <f>Master_Table[[#This Row],[Length (m) (on wall)]]*Master_Table[[#This Row],[Height (m)]]*Master_Table[[#This Row],[Thickness (m)]]</f>
        <v>0.1</v>
      </c>
      <c r="AD96" s="134">
        <v>1</v>
      </c>
      <c r="AE96" s="152">
        <v>1</v>
      </c>
      <c r="AF96" s="153">
        <v>2000</v>
      </c>
      <c r="AG96" s="150">
        <f>Master_Table[[#This Row],[Element Volume (m^3)]]*Master_Table[[#This Row],[No. of elements in 1 panel]]*Master_Table[[#This Row],[Material Density (kg/m^3)]]</f>
        <v>200</v>
      </c>
      <c r="AH96" s="129">
        <v>0.77</v>
      </c>
    </row>
    <row r="97" spans="2:34" x14ac:dyDescent="0.35">
      <c r="B97" s="115" t="str">
        <f>_xlfn.CONCAT(Master_Table[[#This Row],[Unique ID]],"_",Master_Table[[#This Row],[Model Source]],"_",Master_Table[[#This Row],[System Type]],Master_Table[[#This Row],[System Subtype]],"_",Master_Table[[#This Row],[External Finish Type]])</f>
        <v>Nudura_EPD_ICFFormed Concrete_Brick</v>
      </c>
      <c r="C97" s="129" t="s">
        <v>513</v>
      </c>
      <c r="D97" s="129" t="s">
        <v>24</v>
      </c>
      <c r="E97" s="129" t="s">
        <v>481</v>
      </c>
      <c r="F97" s="129" t="s">
        <v>285</v>
      </c>
      <c r="G97" s="129" t="s">
        <v>637</v>
      </c>
      <c r="H97" s="129" t="s">
        <v>638</v>
      </c>
      <c r="I97" s="129"/>
      <c r="J97" s="129" t="s">
        <v>821</v>
      </c>
      <c r="K97" s="110" t="s">
        <v>659</v>
      </c>
      <c r="L97" s="129" t="s">
        <v>807</v>
      </c>
      <c r="M97" t="s">
        <v>351</v>
      </c>
      <c r="N97" s="79" t="s">
        <v>796</v>
      </c>
      <c r="O97" s="134" t="s">
        <v>815</v>
      </c>
      <c r="P97" s="134" t="s">
        <v>346</v>
      </c>
      <c r="Q97" t="s">
        <v>351</v>
      </c>
      <c r="R97" s="134" t="s">
        <v>584</v>
      </c>
      <c r="S97" s="129" t="s">
        <v>576</v>
      </c>
      <c r="T97" t="s">
        <v>351</v>
      </c>
      <c r="U97" s="129" t="s">
        <v>808</v>
      </c>
      <c r="V97" s="140">
        <v>0</v>
      </c>
      <c r="W97" s="124">
        <f>_xlfn.XLOOKUP(Master_Table[[#This Row],[Component Name]],'GWP NORMALISED'!$A$2:$A$500,'GWP NORMALISED'!$H$2:$H$500,FALSE)</f>
        <v>4.1849999999999996</v>
      </c>
      <c r="X97" s="125">
        <f>_xlfn.XLOOKUP(Master_Table[[#This Row],[Component Name]],'RAW GWP FOSSIL'!$A$2:$A$500,'RAW GWP FOSSIL'!$H$2:$H$500,FALSE)</f>
        <v>135</v>
      </c>
      <c r="Y97" s="129" t="s">
        <v>545</v>
      </c>
      <c r="Z97" s="129">
        <v>1</v>
      </c>
      <c r="AA97" s="129">
        <v>1.2E-2</v>
      </c>
      <c r="AB97" s="129">
        <v>0.1</v>
      </c>
      <c r="AC97" s="115">
        <f>Master_Table[[#This Row],[Length (m) (on wall)]]*Master_Table[[#This Row],[Height (m)]]*Master_Table[[#This Row],[Thickness (m)]]</f>
        <v>1.2000000000000001E-3</v>
      </c>
      <c r="AD97" s="129">
        <v>5</v>
      </c>
      <c r="AE97" s="149">
        <f>Master_Table[[#This Row],[Length (m) (on wall)]]*Master_Table[[#This Row],[Height (m)]]/1</f>
        <v>1.2E-2</v>
      </c>
      <c r="AF97" s="147">
        <v>2000</v>
      </c>
      <c r="AG97" s="129">
        <f>0.031*1000</f>
        <v>31</v>
      </c>
      <c r="AH97" s="147">
        <v>2</v>
      </c>
    </row>
    <row r="98" spans="2:34" x14ac:dyDescent="0.35">
      <c r="B98" s="115" t="str">
        <f>_xlfn.CONCAT(Master_Table[[#This Row],[Unique ID]],"_",Master_Table[[#This Row],[Model Source]],"_",Master_Table[[#This Row],[System Type]],Master_Table[[#This Row],[System Subtype]],"_",Master_Table[[#This Row],[External Finish Type]])</f>
        <v>Nudura_EPD_ICFFormed Concrete_Brick</v>
      </c>
      <c r="C98" s="129" t="s">
        <v>513</v>
      </c>
      <c r="D98" s="129" t="s">
        <v>24</v>
      </c>
      <c r="E98" s="129" t="s">
        <v>481</v>
      </c>
      <c r="F98" s="129" t="s">
        <v>285</v>
      </c>
      <c r="G98" s="129" t="s">
        <v>637</v>
      </c>
      <c r="H98" s="129" t="s">
        <v>638</v>
      </c>
      <c r="I98" s="129"/>
      <c r="J98" s="129" t="s">
        <v>821</v>
      </c>
      <c r="K98" s="110" t="s">
        <v>663</v>
      </c>
      <c r="L98" s="129"/>
      <c r="M98" t="s">
        <v>351</v>
      </c>
      <c r="N98" s="129" t="s">
        <v>355</v>
      </c>
      <c r="O98" s="129" t="s">
        <v>817</v>
      </c>
      <c r="P98" s="129" t="s">
        <v>346</v>
      </c>
      <c r="Q98" t="s">
        <v>351</v>
      </c>
      <c r="R98" s="129" t="s">
        <v>583</v>
      </c>
      <c r="S98" s="129" t="s">
        <v>577</v>
      </c>
      <c r="T98" t="s">
        <v>352</v>
      </c>
      <c r="U98" s="129" t="s">
        <v>334</v>
      </c>
      <c r="V98" s="140">
        <v>2</v>
      </c>
      <c r="W98" s="138">
        <v>0</v>
      </c>
      <c r="X98" s="147">
        <v>0</v>
      </c>
      <c r="Y98" s="129" t="s">
        <v>545</v>
      </c>
      <c r="Z98" s="129">
        <v>1</v>
      </c>
      <c r="AA98" s="129">
        <v>1</v>
      </c>
      <c r="AB98" s="129">
        <v>0.1</v>
      </c>
      <c r="AC98" s="115">
        <f>Master_Table[[#This Row],[Length (m) (on wall)]]*Master_Table[[#This Row],[Height (m)]]*Master_Table[[#This Row],[Thickness (m)]]</f>
        <v>0.1</v>
      </c>
      <c r="AD98" s="129">
        <v>1</v>
      </c>
      <c r="AE98" s="149">
        <v>1</v>
      </c>
      <c r="AF98" s="129">
        <v>1.2</v>
      </c>
      <c r="AG98" s="129">
        <f>Master_Table[[#This Row],[Material Density (kg/m^3)]]*Master_Table[[#This Row],[Thickness (m)]]</f>
        <v>0.12</v>
      </c>
      <c r="AH98" s="129">
        <v>2.5000000000000001E-2</v>
      </c>
    </row>
    <row r="99" spans="2:34" x14ac:dyDescent="0.35">
      <c r="B99" s="115" t="str">
        <f>_xlfn.CONCAT(Master_Table[[#This Row],[Unique ID]],"_",Master_Table[[#This Row],[Model Source]],"_",Master_Table[[#This Row],[System Type]],Master_Table[[#This Row],[System Subtype]],"_",Master_Table[[#This Row],[External Finish Type]])</f>
        <v>Nudura_EPD_ICFFormed Concrete_Brick</v>
      </c>
      <c r="C99" s="129" t="s">
        <v>513</v>
      </c>
      <c r="D99" s="129" t="s">
        <v>24</v>
      </c>
      <c r="E99" s="129" t="s">
        <v>481</v>
      </c>
      <c r="F99" s="129" t="s">
        <v>285</v>
      </c>
      <c r="G99" s="129" t="s">
        <v>637</v>
      </c>
      <c r="H99" s="129" t="s">
        <v>638</v>
      </c>
      <c r="I99" s="129"/>
      <c r="J99" s="129" t="s">
        <v>821</v>
      </c>
      <c r="K99" s="110" t="s">
        <v>663</v>
      </c>
      <c r="L99" s="129"/>
      <c r="M99" t="s">
        <v>351</v>
      </c>
      <c r="N99" s="134" t="s">
        <v>349</v>
      </c>
      <c r="O99" s="129" t="s">
        <v>663</v>
      </c>
      <c r="P99" s="134" t="s">
        <v>347</v>
      </c>
      <c r="Q99" t="s">
        <v>351</v>
      </c>
      <c r="R99" s="134" t="s">
        <v>582</v>
      </c>
      <c r="S99" s="134" t="s">
        <v>578</v>
      </c>
      <c r="T99" t="s">
        <v>352</v>
      </c>
      <c r="U99" s="129" t="s">
        <v>334</v>
      </c>
      <c r="V99" s="140">
        <v>6.5789473684210523E-2</v>
      </c>
      <c r="W99" s="138">
        <v>1.839</v>
      </c>
      <c r="X99" s="147">
        <v>0</v>
      </c>
      <c r="Y99" s="129" t="s">
        <v>545</v>
      </c>
      <c r="Z99" s="129">
        <v>1</v>
      </c>
      <c r="AA99" s="129">
        <v>1</v>
      </c>
      <c r="AB99" s="129">
        <v>1.4999999999999999E-2</v>
      </c>
      <c r="AC99" s="115">
        <f>Master_Table[[#This Row],[Length (m) (on wall)]]*Master_Table[[#This Row],[Height (m)]]*Master_Table[[#This Row],[Thickness (m)]]</f>
        <v>1.4999999999999999E-2</v>
      </c>
      <c r="AD99" s="129">
        <v>1</v>
      </c>
      <c r="AE99" s="149">
        <v>1</v>
      </c>
      <c r="AF99" s="147">
        <v>615</v>
      </c>
      <c r="AG99" s="147">
        <f>Master_Table[[#This Row],[Material Density (kg/m^3)]]*Master_Table[[#This Row],[Thickness (m)]]</f>
        <v>9.2249999999999996</v>
      </c>
      <c r="AH99" s="147">
        <v>0.19</v>
      </c>
    </row>
    <row r="100" spans="2:34" x14ac:dyDescent="0.35">
      <c r="B100" s="115" t="str">
        <f>_xlfn.CONCAT(Master_Table[[#This Row],[Unique ID]],"_",Master_Table[[#This Row],[Model Source]],"_",Master_Table[[#This Row],[System Type]],Master_Table[[#This Row],[System Subtype]],"_",Master_Table[[#This Row],[External Finish Type]])</f>
        <v>Nudura_EPD_ICFFormed Concrete_Brick</v>
      </c>
      <c r="C100" s="129" t="s">
        <v>513</v>
      </c>
      <c r="D100" s="129" t="s">
        <v>24</v>
      </c>
      <c r="E100" s="129" t="s">
        <v>481</v>
      </c>
      <c r="F100" s="129" t="s">
        <v>285</v>
      </c>
      <c r="G100" s="129" t="s">
        <v>637</v>
      </c>
      <c r="H100" s="129" t="s">
        <v>638</v>
      </c>
      <c r="I100" s="129"/>
      <c r="J100" s="129" t="s">
        <v>821</v>
      </c>
      <c r="K100" s="110" t="s">
        <v>663</v>
      </c>
      <c r="L100" s="129"/>
      <c r="M100" t="s">
        <v>351</v>
      </c>
      <c r="N100" s="134" t="s">
        <v>566</v>
      </c>
      <c r="O100" s="129" t="s">
        <v>663</v>
      </c>
      <c r="P100" s="134" t="s">
        <v>347</v>
      </c>
      <c r="Q100" t="s">
        <v>351</v>
      </c>
      <c r="R100" s="134" t="s">
        <v>566</v>
      </c>
      <c r="S100" s="134" t="s">
        <v>580</v>
      </c>
      <c r="T100" t="s">
        <v>352</v>
      </c>
      <c r="U100" s="129" t="s">
        <v>334</v>
      </c>
      <c r="V100" s="140">
        <v>0</v>
      </c>
      <c r="W100" s="138">
        <v>1</v>
      </c>
      <c r="X100" s="147">
        <v>0</v>
      </c>
      <c r="Y100" s="129" t="s">
        <v>545</v>
      </c>
      <c r="Z100" s="134">
        <v>1</v>
      </c>
      <c r="AA100" s="134">
        <v>1</v>
      </c>
      <c r="AB100" s="134">
        <v>1</v>
      </c>
      <c r="AC100" s="115">
        <f>Master_Table[[#This Row],[Length (m) (on wall)]]*Master_Table[[#This Row],[Height (m)]]*Master_Table[[#This Row],[Thickness (m)]]</f>
        <v>1</v>
      </c>
      <c r="AD100" s="134">
        <v>1</v>
      </c>
      <c r="AE100" s="152">
        <v>1</v>
      </c>
      <c r="AF100" s="134">
        <v>0</v>
      </c>
      <c r="AG100" s="134">
        <f>Master_Table[[#This Row],[Material Density (kg/m^3)]]*Master_Table[[#This Row],[Thickness (m)]]</f>
        <v>0</v>
      </c>
      <c r="AH100" s="134">
        <v>0</v>
      </c>
    </row>
    <row r="101" spans="2:34" x14ac:dyDescent="0.35">
      <c r="B101" s="115" t="str">
        <f>_xlfn.CONCAT(Master_Table[[#This Row],[Unique ID]],"_",Master_Table[[#This Row],[Model Source]],"_",Master_Table[[#This Row],[System Type]],Master_Table[[#This Row],[System Subtype]],"_",Master_Table[[#This Row],[External Finish Type]])</f>
        <v>Nudura_EPD_ICFFormed Concrete_Brick</v>
      </c>
      <c r="C101" s="129" t="s">
        <v>513</v>
      </c>
      <c r="D101" s="129" t="s">
        <v>24</v>
      </c>
      <c r="E101" s="129" t="s">
        <v>481</v>
      </c>
      <c r="F101" s="129" t="s">
        <v>285</v>
      </c>
      <c r="G101" s="129" t="s">
        <v>637</v>
      </c>
      <c r="H101" s="129" t="s">
        <v>638</v>
      </c>
      <c r="I101" s="129"/>
      <c r="J101" s="129" t="s">
        <v>821</v>
      </c>
      <c r="K101" s="110" t="s">
        <v>663</v>
      </c>
      <c r="L101" s="129"/>
      <c r="M101" t="s">
        <v>351</v>
      </c>
      <c r="N101" s="129" t="s">
        <v>355</v>
      </c>
      <c r="O101" s="129" t="s">
        <v>817</v>
      </c>
      <c r="P101" s="129" t="s">
        <v>347</v>
      </c>
      <c r="Q101" t="s">
        <v>351</v>
      </c>
      <c r="R101" s="129" t="s">
        <v>581</v>
      </c>
      <c r="S101" s="129" t="s">
        <v>579</v>
      </c>
      <c r="T101" t="s">
        <v>352</v>
      </c>
      <c r="U101" s="129" t="s">
        <v>334</v>
      </c>
      <c r="V101" s="140">
        <v>0.5</v>
      </c>
      <c r="W101" s="148">
        <v>0</v>
      </c>
      <c r="X101" s="129">
        <v>0</v>
      </c>
      <c r="Y101" s="129" t="s">
        <v>545</v>
      </c>
      <c r="Z101" s="129">
        <v>1</v>
      </c>
      <c r="AA101" s="129">
        <v>1</v>
      </c>
      <c r="AB101" s="134">
        <v>0.05</v>
      </c>
      <c r="AC101" s="115">
        <f>Master_Table[[#This Row],[Length (m) (on wall)]]*Master_Table[[#This Row],[Height (m)]]*Master_Table[[#This Row],[Thickness (m)]]</f>
        <v>0.05</v>
      </c>
      <c r="AD101" s="129">
        <v>1</v>
      </c>
      <c r="AE101" s="149">
        <v>1</v>
      </c>
      <c r="AF101" s="129">
        <v>1.2</v>
      </c>
      <c r="AG101" s="129">
        <f>Master_Table[[#This Row],[Material Density (kg/m^3)]]*Master_Table[[#This Row],[Thickness (m)]]</f>
        <v>0.06</v>
      </c>
      <c r="AH101" s="129">
        <v>2.5000000000000001E-2</v>
      </c>
    </row>
    <row r="102" spans="2:34" x14ac:dyDescent="0.35">
      <c r="B102" s="115" t="str">
        <f>_xlfn.CONCAT(Master_Table[[#This Row],[Unique ID]],"_",Master_Table[[#This Row],[Model Source]],"_",Master_Table[[#This Row],[System Type]],Master_Table[[#This Row],[System Subtype]],"_",Master_Table[[#This Row],[External Finish Type]])</f>
        <v>Nudura_EPD_ICFFormed Concrete_Brick</v>
      </c>
      <c r="C102" s="129" t="s">
        <v>513</v>
      </c>
      <c r="D102" s="129" t="s">
        <v>24</v>
      </c>
      <c r="E102" s="129" t="s">
        <v>481</v>
      </c>
      <c r="F102" s="129" t="s">
        <v>285</v>
      </c>
      <c r="G102" s="129" t="s">
        <v>637</v>
      </c>
      <c r="H102" s="129" t="s">
        <v>638</v>
      </c>
      <c r="I102" s="129"/>
      <c r="J102" s="129" t="s">
        <v>821</v>
      </c>
      <c r="K102" s="110" t="s">
        <v>663</v>
      </c>
      <c r="L102" s="129" t="s">
        <v>809</v>
      </c>
      <c r="M102" s="179" t="s">
        <v>351</v>
      </c>
      <c r="N102" s="178" t="s">
        <v>810</v>
      </c>
      <c r="O102" s="129" t="s">
        <v>663</v>
      </c>
      <c r="P102" s="129" t="s">
        <v>811</v>
      </c>
      <c r="Q102" t="s">
        <v>352</v>
      </c>
      <c r="R102" s="178" t="s">
        <v>812</v>
      </c>
      <c r="S102" s="129"/>
      <c r="T102" t="s">
        <v>351</v>
      </c>
      <c r="U102" s="129" t="s">
        <v>813</v>
      </c>
      <c r="V102" s="140">
        <v>0</v>
      </c>
      <c r="W102" s="138">
        <v>1</v>
      </c>
      <c r="X102" s="147">
        <v>0</v>
      </c>
      <c r="Y102" s="129"/>
      <c r="Z102" s="134">
        <v>1</v>
      </c>
      <c r="AA102" s="134">
        <v>1</v>
      </c>
      <c r="AB102" s="134">
        <v>1</v>
      </c>
      <c r="AC102" s="115">
        <f>Master_Table[[#This Row],[Length (m) (on wall)]]*Master_Table[[#This Row],[Height (m)]]*Master_Table[[#This Row],[Thickness (m)]]</f>
        <v>1</v>
      </c>
      <c r="AD102" s="134">
        <v>1</v>
      </c>
      <c r="AE102" s="152">
        <v>1</v>
      </c>
      <c r="AF102" s="134">
        <v>0</v>
      </c>
      <c r="AG102" s="134">
        <v>0.05</v>
      </c>
      <c r="AH102" s="134">
        <v>0</v>
      </c>
    </row>
    <row r="103" spans="2:34" x14ac:dyDescent="0.35">
      <c r="B103" s="115" t="str">
        <f>_xlfn.CONCAT(Master_Table[[#This Row],[Unique ID]],"_",Master_Table[[#This Row],[Model Source]],"_",Master_Table[[#This Row],[System Type]],Master_Table[[#This Row],[System Subtype]],"_",Master_Table[[#This Row],[External Finish Type]])</f>
        <v>A_LCA_LGSOpen_Composite Fiber</v>
      </c>
      <c r="C103" s="129" t="s">
        <v>512</v>
      </c>
      <c r="D103" s="129" t="s">
        <v>40</v>
      </c>
      <c r="E103" s="129" t="s">
        <v>558</v>
      </c>
      <c r="F103" s="129" t="s">
        <v>464</v>
      </c>
      <c r="G103" s="129" t="s">
        <v>550</v>
      </c>
      <c r="H103" s="129" t="s">
        <v>650</v>
      </c>
      <c r="I103" s="129" t="s">
        <v>599</v>
      </c>
      <c r="J103" s="129" t="s">
        <v>822</v>
      </c>
      <c r="K103" s="110" t="s">
        <v>659</v>
      </c>
      <c r="L103" s="129" t="s">
        <v>664</v>
      </c>
      <c r="M103" t="s">
        <v>351</v>
      </c>
      <c r="N103" s="130" t="s">
        <v>13</v>
      </c>
      <c r="O103" s="129" t="s">
        <v>816</v>
      </c>
      <c r="P103" s="129" t="s">
        <v>4</v>
      </c>
      <c r="Q103" t="s">
        <v>351</v>
      </c>
      <c r="R103" s="129" t="s">
        <v>543</v>
      </c>
      <c r="S103" s="129" t="s">
        <v>542</v>
      </c>
      <c r="T103" t="s">
        <v>352</v>
      </c>
      <c r="U103" s="129" t="s">
        <v>334</v>
      </c>
      <c r="V103" s="138">
        <v>8.9499999999999973E-6</v>
      </c>
      <c r="W103" s="139">
        <v>9.4600000000000009</v>
      </c>
      <c r="X103" s="129">
        <v>2.71</v>
      </c>
      <c r="Y103" s="129" t="s">
        <v>545</v>
      </c>
      <c r="Z103" s="121">
        <v>0.17899999999999999</v>
      </c>
      <c r="AA103" s="121">
        <v>2.4</v>
      </c>
      <c r="AB103" s="122">
        <v>1.1999999999999999E-3</v>
      </c>
      <c r="AC103" s="115">
        <f>Master_Table[[#This Row],[Length (m) (on wall)]]*Master_Table[[#This Row],[Height (m)]]*Master_Table[[#This Row],[Thickness (m)]]</f>
        <v>5.1551999999999989E-4</v>
      </c>
      <c r="AD103" s="129">
        <v>5</v>
      </c>
      <c r="AE103" s="149">
        <f>Master_Table[[#This Row],[Length (m) (on wall)]]*Master_Table[[#This Row],[Height (m)]]*Master_Table[[#This Row],[No. of elements in 1 panel]]/(2.4*2.4)</f>
        <v>0.37291666666666662</v>
      </c>
      <c r="AF103" s="150">
        <v>7800</v>
      </c>
      <c r="AG103" s="150">
        <f>Master_Table[[#This Row],[Element Volume (m^3)]]*Master_Table[[#This Row],[No. of elements in 1 panel]]*Master_Table[[#This Row],[Material Density (kg/m^3)]]/(2.4^2)</f>
        <v>3.490499999999999</v>
      </c>
      <c r="AH103" s="147">
        <v>50</v>
      </c>
    </row>
    <row r="104" spans="2:34" x14ac:dyDescent="0.35">
      <c r="B104" s="115" t="str">
        <f>_xlfn.CONCAT(Master_Table[[#This Row],[Unique ID]],"_",Master_Table[[#This Row],[Model Source]],"_",Master_Table[[#This Row],[System Type]],Master_Table[[#This Row],[System Subtype]],"_",Master_Table[[#This Row],[External Finish Type]])</f>
        <v>A_LCA_LGSOpen_Composite Fiber</v>
      </c>
      <c r="C104" s="129" t="s">
        <v>512</v>
      </c>
      <c r="D104" s="129" t="s">
        <v>40</v>
      </c>
      <c r="E104" s="129" t="s">
        <v>558</v>
      </c>
      <c r="F104" s="129" t="s">
        <v>464</v>
      </c>
      <c r="G104" s="129" t="s">
        <v>550</v>
      </c>
      <c r="H104" s="129" t="s">
        <v>650</v>
      </c>
      <c r="I104" s="129" t="s">
        <v>599</v>
      </c>
      <c r="J104" s="129" t="s">
        <v>822</v>
      </c>
      <c r="K104" s="110" t="s">
        <v>659</v>
      </c>
      <c r="L104" s="129" t="s">
        <v>664</v>
      </c>
      <c r="M104" t="s">
        <v>351</v>
      </c>
      <c r="N104" s="131" t="s">
        <v>14</v>
      </c>
      <c r="O104" s="129" t="s">
        <v>816</v>
      </c>
      <c r="P104" s="129" t="s">
        <v>4</v>
      </c>
      <c r="Q104" t="s">
        <v>351</v>
      </c>
      <c r="R104" s="129"/>
      <c r="S104" s="129" t="s">
        <v>548</v>
      </c>
      <c r="T104" t="s">
        <v>352</v>
      </c>
      <c r="U104" s="129" t="s">
        <v>334</v>
      </c>
      <c r="V104" s="138">
        <v>3.5799999999999996E-6</v>
      </c>
      <c r="W104" s="139">
        <v>3.7837019999999999</v>
      </c>
      <c r="X104" s="129">
        <v>2.71</v>
      </c>
      <c r="Y104" s="129" t="s">
        <v>545</v>
      </c>
      <c r="Z104" s="103">
        <v>0.17899999999999999</v>
      </c>
      <c r="AA104" s="103">
        <v>2.4</v>
      </c>
      <c r="AB104" s="117">
        <v>1.1999999999999999E-3</v>
      </c>
      <c r="AC104" s="115">
        <f>Master_Table[[#This Row],[Length (m) (on wall)]]*Master_Table[[#This Row],[Height (m)]]*Master_Table[[#This Row],[Thickness (m)]]</f>
        <v>5.1551999999999989E-4</v>
      </c>
      <c r="AD104" s="129">
        <v>2</v>
      </c>
      <c r="AE104" s="149">
        <f>Master_Table[[#This Row],[Length (m) (on wall)]]*Master_Table[[#This Row],[Height (m)]]*Master_Table[[#This Row],[No. of elements in 1 panel]]/(2.4*2.4)</f>
        <v>0.14916666666666667</v>
      </c>
      <c r="AF104" s="150">
        <v>7800</v>
      </c>
      <c r="AG104" s="150">
        <f>Master_Table[[#This Row],[Element Volume (m^3)]]*Master_Table[[#This Row],[No. of elements in 1 panel]]*Master_Table[[#This Row],[Material Density (kg/m^3)]]/(2.4^2)</f>
        <v>1.3961999999999997</v>
      </c>
      <c r="AH104" s="147">
        <v>50</v>
      </c>
    </row>
    <row r="105" spans="2:34" x14ac:dyDescent="0.35">
      <c r="B105" s="115" t="str">
        <f>_xlfn.CONCAT(Master_Table[[#This Row],[Unique ID]],"_",Master_Table[[#This Row],[Model Source]],"_",Master_Table[[#This Row],[System Type]],Master_Table[[#This Row],[System Subtype]],"_",Master_Table[[#This Row],[External Finish Type]])</f>
        <v>A_LCA_LGSOpen_Composite Fiber</v>
      </c>
      <c r="C105" s="129" t="s">
        <v>512</v>
      </c>
      <c r="D105" s="129" t="s">
        <v>40</v>
      </c>
      <c r="E105" s="129" t="s">
        <v>558</v>
      </c>
      <c r="F105" s="129" t="s">
        <v>464</v>
      </c>
      <c r="G105" s="129" t="s">
        <v>550</v>
      </c>
      <c r="H105" s="129" t="s">
        <v>650</v>
      </c>
      <c r="I105" s="129" t="s">
        <v>599</v>
      </c>
      <c r="J105" s="129" t="s">
        <v>822</v>
      </c>
      <c r="K105" s="110" t="s">
        <v>659</v>
      </c>
      <c r="L105" s="129" t="s">
        <v>664</v>
      </c>
      <c r="M105" t="s">
        <v>351</v>
      </c>
      <c r="N105" s="132" t="s">
        <v>15</v>
      </c>
      <c r="O105" s="129" t="s">
        <v>816</v>
      </c>
      <c r="P105" s="129" t="s">
        <v>4</v>
      </c>
      <c r="Q105" t="s">
        <v>351</v>
      </c>
      <c r="R105" s="129"/>
      <c r="S105" s="129" t="s">
        <v>549</v>
      </c>
      <c r="T105" t="s">
        <v>352</v>
      </c>
      <c r="U105" s="129" t="s">
        <v>334</v>
      </c>
      <c r="V105" s="138">
        <v>1.7899999999999998E-6</v>
      </c>
      <c r="W105" s="139">
        <v>1.8918509999999995</v>
      </c>
      <c r="X105" s="129">
        <v>2.71</v>
      </c>
      <c r="Y105" s="129" t="s">
        <v>545</v>
      </c>
      <c r="Z105" s="103">
        <v>0.17899999999999999</v>
      </c>
      <c r="AA105" s="103">
        <v>2.4</v>
      </c>
      <c r="AB105" s="117">
        <v>1.1999999999999999E-3</v>
      </c>
      <c r="AC105" s="115">
        <f>Master_Table[[#This Row],[Length (m) (on wall)]]*Master_Table[[#This Row],[Height (m)]]*Master_Table[[#This Row],[Thickness (m)]]</f>
        <v>5.1551999999999989E-4</v>
      </c>
      <c r="AD105" s="129">
        <v>1</v>
      </c>
      <c r="AE105" s="149">
        <f>Master_Table[[#This Row],[Length (m) (on wall)]]*Master_Table[[#This Row],[Height (m)]]*Master_Table[[#This Row],[No. of elements in 1 panel]]/(2.4*2.4)</f>
        <v>7.4583333333333335E-2</v>
      </c>
      <c r="AF105" s="150">
        <v>7800</v>
      </c>
      <c r="AG105" s="150">
        <f>Master_Table[[#This Row],[Element Volume (m^3)]]*Master_Table[[#This Row],[No. of elements in 1 panel]]*Master_Table[[#This Row],[Material Density (kg/m^3)]]/(2.4^2)</f>
        <v>0.69809999999999983</v>
      </c>
      <c r="AH105" s="147">
        <v>50</v>
      </c>
    </row>
    <row r="106" spans="2:34" x14ac:dyDescent="0.35">
      <c r="B106" s="115" t="str">
        <f>_xlfn.CONCAT(Master_Table[[#This Row],[Unique ID]],"_",Master_Table[[#This Row],[Model Source]],"_",Master_Table[[#This Row],[System Type]],Master_Table[[#This Row],[System Subtype]],"_",Master_Table[[#This Row],[External Finish Type]])</f>
        <v>A_LCA_LGSOpen_Composite Fiber</v>
      </c>
      <c r="C106" s="129" t="s">
        <v>512</v>
      </c>
      <c r="D106" s="129" t="s">
        <v>40</v>
      </c>
      <c r="E106" s="129" t="s">
        <v>558</v>
      </c>
      <c r="F106" s="129" t="s">
        <v>464</v>
      </c>
      <c r="G106" s="129" t="s">
        <v>550</v>
      </c>
      <c r="H106" s="129" t="s">
        <v>650</v>
      </c>
      <c r="I106" s="129" t="s">
        <v>599</v>
      </c>
      <c r="J106" s="129" t="s">
        <v>822</v>
      </c>
      <c r="K106" s="110" t="s">
        <v>659</v>
      </c>
      <c r="L106" s="129" t="s">
        <v>665</v>
      </c>
      <c r="M106" t="s">
        <v>351</v>
      </c>
      <c r="N106" s="133" t="s">
        <v>33</v>
      </c>
      <c r="O106" s="129" t="s">
        <v>816</v>
      </c>
      <c r="P106" s="129" t="s">
        <v>344</v>
      </c>
      <c r="Q106" t="s">
        <v>352</v>
      </c>
      <c r="R106" s="129" t="s">
        <v>552</v>
      </c>
      <c r="S106" s="129"/>
      <c r="T106" t="s">
        <v>352</v>
      </c>
      <c r="U106" s="129" t="s">
        <v>334</v>
      </c>
      <c r="V106" s="139">
        <v>1.0371428571428574</v>
      </c>
      <c r="W106" s="139">
        <v>8.9999999999999982</v>
      </c>
      <c r="X106" s="129">
        <v>1.25</v>
      </c>
      <c r="Y106" s="129" t="s">
        <v>545</v>
      </c>
      <c r="Z106" s="103">
        <v>0.6</v>
      </c>
      <c r="AA106" s="91">
        <v>2.4</v>
      </c>
      <c r="AB106" s="91">
        <v>0.09</v>
      </c>
      <c r="AC106" s="115">
        <f>Master_Table[[#This Row],[Length (m) (on wall)]]*Master_Table[[#This Row],[Height (m)]]*Master_Table[[#This Row],[Thickness (m)]]</f>
        <v>0.12959999999999999</v>
      </c>
      <c r="AD106" s="129">
        <v>4</v>
      </c>
      <c r="AE106" s="116">
        <v>1</v>
      </c>
      <c r="AF106" s="150">
        <v>80</v>
      </c>
      <c r="AG106" s="150">
        <f>Master_Table[[#This Row],[Thickness (m)]]*Master_Table[[#This Row],[Material Density (kg/m^3)]]</f>
        <v>7.1999999999999993</v>
      </c>
      <c r="AH106" s="147">
        <v>2.1999999999999999E-2</v>
      </c>
    </row>
    <row r="107" spans="2:34" x14ac:dyDescent="0.35">
      <c r="B107" s="115" t="str">
        <f>_xlfn.CONCAT(Master_Table[[#This Row],[Unique ID]],"_",Master_Table[[#This Row],[Model Source]],"_",Master_Table[[#This Row],[System Type]],Master_Table[[#This Row],[System Subtype]],"_",Master_Table[[#This Row],[External Finish Type]])</f>
        <v>A_LCA_LGSOpen_Composite Fiber</v>
      </c>
      <c r="C107" s="129" t="s">
        <v>512</v>
      </c>
      <c r="D107" s="129" t="s">
        <v>40</v>
      </c>
      <c r="E107" s="129" t="s">
        <v>558</v>
      </c>
      <c r="F107" s="129" t="s">
        <v>464</v>
      </c>
      <c r="G107" s="129" t="s">
        <v>550</v>
      </c>
      <c r="H107" s="129" t="s">
        <v>650</v>
      </c>
      <c r="I107" s="129" t="s">
        <v>599</v>
      </c>
      <c r="J107" s="129" t="s">
        <v>822</v>
      </c>
      <c r="K107" s="110" t="s">
        <v>660</v>
      </c>
      <c r="L107" s="129"/>
      <c r="M107" t="s">
        <v>351</v>
      </c>
      <c r="N107" s="133" t="s">
        <v>28</v>
      </c>
      <c r="O107" s="129" t="s">
        <v>816</v>
      </c>
      <c r="P107" s="129" t="s">
        <v>344</v>
      </c>
      <c r="Q107" t="s">
        <v>352</v>
      </c>
      <c r="R107" s="129" t="s">
        <v>553</v>
      </c>
      <c r="S107" s="129" t="s">
        <v>334</v>
      </c>
      <c r="T107" t="s">
        <v>352</v>
      </c>
      <c r="U107" s="129" t="s">
        <v>334</v>
      </c>
      <c r="V107" s="139">
        <v>3.6363636363636367</v>
      </c>
      <c r="W107" s="139">
        <v>7.9078399999999993</v>
      </c>
      <c r="X107" s="129">
        <v>3.089</v>
      </c>
      <c r="Y107" s="129" t="s">
        <v>545</v>
      </c>
      <c r="Z107" s="91">
        <v>2.4</v>
      </c>
      <c r="AA107" s="91">
        <v>1.2</v>
      </c>
      <c r="AB107" s="91">
        <v>0.08</v>
      </c>
      <c r="AC107" s="115">
        <f>Master_Table[[#This Row],[Length (m) (on wall)]]*Master_Table[[#This Row],[Height (m)]]*Master_Table[[#This Row],[Thickness (m)]]</f>
        <v>0.23039999999999999</v>
      </c>
      <c r="AD107" s="129">
        <v>2</v>
      </c>
      <c r="AE107" s="149">
        <v>1</v>
      </c>
      <c r="AF107" s="150">
        <v>32</v>
      </c>
      <c r="AG107" s="150">
        <f>Master_Table[[#This Row],[Thickness (m)]]*Master_Table[[#This Row],[Material Density (kg/m^3)]]</f>
        <v>2.56</v>
      </c>
      <c r="AH107" s="147">
        <v>0.3</v>
      </c>
    </row>
    <row r="108" spans="2:34" x14ac:dyDescent="0.35">
      <c r="B108" s="115" t="str">
        <f>_xlfn.CONCAT(Master_Table[[#This Row],[Unique ID]],"_",Master_Table[[#This Row],[Model Source]],"_",Master_Table[[#This Row],[System Type]],Master_Table[[#This Row],[System Subtype]],"_",Master_Table[[#This Row],[External Finish Type]])</f>
        <v>A_LCA_LGSOpen_Composite Fiber</v>
      </c>
      <c r="C108" s="129" t="s">
        <v>512</v>
      </c>
      <c r="D108" s="129" t="s">
        <v>40</v>
      </c>
      <c r="E108" s="129" t="s">
        <v>558</v>
      </c>
      <c r="F108" s="129" t="s">
        <v>464</v>
      </c>
      <c r="G108" s="129" t="s">
        <v>550</v>
      </c>
      <c r="H108" s="129" t="s">
        <v>650</v>
      </c>
      <c r="I108" s="129" t="s">
        <v>599</v>
      </c>
      <c r="J108" s="129" t="s">
        <v>822</v>
      </c>
      <c r="K108" s="110" t="s">
        <v>660</v>
      </c>
      <c r="L108" s="129"/>
      <c r="M108" t="s">
        <v>351</v>
      </c>
      <c r="N108" s="133" t="s">
        <v>29</v>
      </c>
      <c r="O108" s="129" t="s">
        <v>816</v>
      </c>
      <c r="P108" s="129" t="s">
        <v>470</v>
      </c>
      <c r="Q108" t="s">
        <v>352</v>
      </c>
      <c r="R108" s="129" t="s">
        <v>554</v>
      </c>
      <c r="S108" s="129" t="s">
        <v>334</v>
      </c>
      <c r="T108" t="s">
        <v>352</v>
      </c>
      <c r="U108" s="129" t="s">
        <v>334</v>
      </c>
      <c r="V108" s="138">
        <v>1.5E-3</v>
      </c>
      <c r="W108" s="139">
        <v>0.25229166666666669</v>
      </c>
      <c r="X108" s="129">
        <v>4.2</v>
      </c>
      <c r="Y108" s="129" t="s">
        <v>545</v>
      </c>
      <c r="Z108" s="130">
        <v>2.4</v>
      </c>
      <c r="AA108" s="130">
        <v>2.4</v>
      </c>
      <c r="AB108" s="130">
        <v>4.4999999999999999E-4</v>
      </c>
      <c r="AC108" s="115">
        <f>Master_Table[[#This Row],[Length (m) (on wall)]]*Master_Table[[#This Row],[Height (m)]]*Master_Table[[#This Row],[Thickness (m)]]</f>
        <v>2.5919999999999997E-3</v>
      </c>
      <c r="AD108" s="129">
        <v>1</v>
      </c>
      <c r="AE108" s="149">
        <v>1</v>
      </c>
      <c r="AF108" s="151">
        <v>0</v>
      </c>
      <c r="AG108" s="151">
        <v>0.34599999999999997</v>
      </c>
      <c r="AH108" s="147">
        <v>0.3</v>
      </c>
    </row>
    <row r="109" spans="2:34" x14ac:dyDescent="0.35">
      <c r="B109" s="115" t="str">
        <f>_xlfn.CONCAT(Master_Table[[#This Row],[Unique ID]],"_",Master_Table[[#This Row],[Model Source]],"_",Master_Table[[#This Row],[System Type]],Master_Table[[#This Row],[System Subtype]],"_",Master_Table[[#This Row],[External Finish Type]])</f>
        <v>A_LCA_LGSOpen_Composite Fiber</v>
      </c>
      <c r="C109" s="129" t="s">
        <v>512</v>
      </c>
      <c r="D109" s="129" t="s">
        <v>40</v>
      </c>
      <c r="E109" s="129" t="s">
        <v>558</v>
      </c>
      <c r="F109" s="129" t="s">
        <v>464</v>
      </c>
      <c r="G109" s="129" t="s">
        <v>550</v>
      </c>
      <c r="H109" s="129" t="s">
        <v>650</v>
      </c>
      <c r="I109" s="129" t="s">
        <v>599</v>
      </c>
      <c r="J109" s="129" t="s">
        <v>822</v>
      </c>
      <c r="K109" s="110" t="s">
        <v>670</v>
      </c>
      <c r="L109" s="129" t="s">
        <v>674</v>
      </c>
      <c r="M109" t="s">
        <v>351</v>
      </c>
      <c r="N109" s="137" t="s">
        <v>274</v>
      </c>
      <c r="O109" s="129" t="s">
        <v>814</v>
      </c>
      <c r="P109" s="129" t="s">
        <v>346</v>
      </c>
      <c r="Q109" t="s">
        <v>351</v>
      </c>
      <c r="R109" s="129" t="s">
        <v>644</v>
      </c>
      <c r="S109" s="129" t="s">
        <v>645</v>
      </c>
      <c r="T109" t="s">
        <v>529</v>
      </c>
      <c r="U109" s="129" t="s">
        <v>646</v>
      </c>
      <c r="V109" s="140">
        <v>0.47</v>
      </c>
      <c r="W109" s="124">
        <f>_xlfn.XLOOKUP(Master_Table[[#This Row],[Component Name]],'GWP NORMALISED'!$A$2:$A$500,'GWP NORMALISED'!$H$2:$H$500,FALSE)</f>
        <v>21</v>
      </c>
      <c r="X109" s="125">
        <f>_xlfn.XLOOKUP(Master_Table[[#This Row],[Component Name]],'RAW GWP FOSSIL'!$A$2:$A$500,'RAW GWP FOSSIL'!$H$2:$H$500,FALSE)</f>
        <v>21</v>
      </c>
      <c r="Y109" s="129" t="s">
        <v>618</v>
      </c>
      <c r="Z109" s="134"/>
      <c r="AA109" s="134"/>
      <c r="AB109" s="134"/>
      <c r="AC109" s="115"/>
      <c r="AD109" s="134"/>
      <c r="AE109" s="152"/>
      <c r="AF109" s="153"/>
      <c r="AG109" s="150"/>
      <c r="AH109" s="129"/>
    </row>
    <row r="110" spans="2:34" x14ac:dyDescent="0.35">
      <c r="B110" s="115" t="str">
        <f>_xlfn.CONCAT(Master_Table[[#This Row],[Unique ID]],"_",Master_Table[[#This Row],[Model Source]],"_",Master_Table[[#This Row],[System Type]],Master_Table[[#This Row],[System Subtype]],"_",Master_Table[[#This Row],[External Finish Type]])</f>
        <v>A_LCA_LGSOpen_Composite Fiber</v>
      </c>
      <c r="C110" s="129" t="s">
        <v>512</v>
      </c>
      <c r="D110" s="129" t="s">
        <v>40</v>
      </c>
      <c r="E110" s="129" t="s">
        <v>558</v>
      </c>
      <c r="F110" s="129" t="s">
        <v>464</v>
      </c>
      <c r="G110" s="129" t="s">
        <v>550</v>
      </c>
      <c r="H110" s="129" t="s">
        <v>650</v>
      </c>
      <c r="I110" s="129" t="s">
        <v>599</v>
      </c>
      <c r="J110" s="129" t="s">
        <v>822</v>
      </c>
      <c r="K110" s="110" t="s">
        <v>663</v>
      </c>
      <c r="L110" s="129"/>
      <c r="M110" t="s">
        <v>351</v>
      </c>
      <c r="N110" s="129" t="s">
        <v>355</v>
      </c>
      <c r="O110" s="129" t="s">
        <v>817</v>
      </c>
      <c r="P110" s="129" t="s">
        <v>346</v>
      </c>
      <c r="Q110" t="s">
        <v>351</v>
      </c>
      <c r="R110" s="129" t="s">
        <v>583</v>
      </c>
      <c r="S110" s="129" t="s">
        <v>577</v>
      </c>
      <c r="T110" t="s">
        <v>352</v>
      </c>
      <c r="U110" s="129" t="s">
        <v>334</v>
      </c>
      <c r="V110" s="140">
        <v>2</v>
      </c>
      <c r="W110" s="138">
        <v>0</v>
      </c>
      <c r="X110" s="147">
        <v>0</v>
      </c>
      <c r="Y110" s="129" t="s">
        <v>545</v>
      </c>
      <c r="Z110" s="129">
        <v>1</v>
      </c>
      <c r="AA110" s="129">
        <v>1</v>
      </c>
      <c r="AB110" s="129">
        <v>0.1</v>
      </c>
      <c r="AC110" s="115">
        <f>Master_Table[[#This Row],[Length (m) (on wall)]]*Master_Table[[#This Row],[Height (m)]]*Master_Table[[#This Row],[Thickness (m)]]</f>
        <v>0.1</v>
      </c>
      <c r="AD110" s="129">
        <v>1</v>
      </c>
      <c r="AE110" s="149">
        <v>1</v>
      </c>
      <c r="AF110" s="129">
        <v>1.2</v>
      </c>
      <c r="AG110" s="129">
        <f>Master_Table[[#This Row],[Material Density (kg/m^3)]]*Master_Table[[#This Row],[Thickness (m)]]</f>
        <v>0.12</v>
      </c>
      <c r="AH110" s="129">
        <v>2.5000000000000001E-2</v>
      </c>
    </row>
    <row r="111" spans="2:34" x14ac:dyDescent="0.35">
      <c r="B111" s="115" t="str">
        <f>_xlfn.CONCAT(Master_Table[[#This Row],[Unique ID]],"_",Master_Table[[#This Row],[Model Source]],"_",Master_Table[[#This Row],[System Type]],Master_Table[[#This Row],[System Subtype]],"_",Master_Table[[#This Row],[External Finish Type]])</f>
        <v>A_LCA_LGSOpen_Composite Fiber</v>
      </c>
      <c r="C111" s="129" t="s">
        <v>512</v>
      </c>
      <c r="D111" s="129" t="s">
        <v>40</v>
      </c>
      <c r="E111" s="129" t="s">
        <v>558</v>
      </c>
      <c r="F111" s="129" t="s">
        <v>464</v>
      </c>
      <c r="G111" s="129" t="s">
        <v>550</v>
      </c>
      <c r="H111" s="129" t="s">
        <v>650</v>
      </c>
      <c r="I111" s="129" t="s">
        <v>599</v>
      </c>
      <c r="J111" s="129" t="s">
        <v>822</v>
      </c>
      <c r="K111" s="110" t="s">
        <v>663</v>
      </c>
      <c r="L111" s="129"/>
      <c r="M111" t="s">
        <v>351</v>
      </c>
      <c r="N111" s="134" t="s">
        <v>349</v>
      </c>
      <c r="O111" s="129" t="s">
        <v>663</v>
      </c>
      <c r="P111" s="134" t="s">
        <v>347</v>
      </c>
      <c r="Q111" t="s">
        <v>351</v>
      </c>
      <c r="R111" s="134" t="s">
        <v>582</v>
      </c>
      <c r="S111" s="134" t="s">
        <v>578</v>
      </c>
      <c r="T111" t="s">
        <v>352</v>
      </c>
      <c r="U111" s="129" t="s">
        <v>334</v>
      </c>
      <c r="V111" s="140">
        <v>6.5789473684210523E-2</v>
      </c>
      <c r="W111" s="138">
        <v>1.839</v>
      </c>
      <c r="X111" s="147">
        <v>0</v>
      </c>
      <c r="Y111" s="129" t="s">
        <v>545</v>
      </c>
      <c r="Z111" s="129">
        <v>1</v>
      </c>
      <c r="AA111" s="129">
        <v>1</v>
      </c>
      <c r="AB111" s="129">
        <v>1.4999999999999999E-2</v>
      </c>
      <c r="AC111" s="115">
        <f>Master_Table[[#This Row],[Length (m) (on wall)]]*Master_Table[[#This Row],[Height (m)]]*Master_Table[[#This Row],[Thickness (m)]]</f>
        <v>1.4999999999999999E-2</v>
      </c>
      <c r="AD111" s="129">
        <v>1</v>
      </c>
      <c r="AE111" s="149">
        <v>1</v>
      </c>
      <c r="AF111" s="147">
        <v>615</v>
      </c>
      <c r="AG111" s="147">
        <f>Master_Table[[#This Row],[Material Density (kg/m^3)]]*Master_Table[[#This Row],[Thickness (m)]]</f>
        <v>9.2249999999999996</v>
      </c>
      <c r="AH111" s="147">
        <v>0.19</v>
      </c>
    </row>
    <row r="112" spans="2:34" x14ac:dyDescent="0.35">
      <c r="B112" s="115" t="str">
        <f>_xlfn.CONCAT(Master_Table[[#This Row],[Unique ID]],"_",Master_Table[[#This Row],[Model Source]],"_",Master_Table[[#This Row],[System Type]],Master_Table[[#This Row],[System Subtype]],"_",Master_Table[[#This Row],[External Finish Type]])</f>
        <v>A_LCA_LGSOpen_Composite Fiber</v>
      </c>
      <c r="C112" s="129" t="s">
        <v>512</v>
      </c>
      <c r="D112" s="129" t="s">
        <v>40</v>
      </c>
      <c r="E112" s="129" t="s">
        <v>558</v>
      </c>
      <c r="F112" s="129" t="s">
        <v>464</v>
      </c>
      <c r="G112" s="129" t="s">
        <v>550</v>
      </c>
      <c r="H112" s="129" t="s">
        <v>650</v>
      </c>
      <c r="I112" s="129" t="s">
        <v>599</v>
      </c>
      <c r="J112" s="129" t="s">
        <v>822</v>
      </c>
      <c r="K112" s="110" t="s">
        <v>663</v>
      </c>
      <c r="L112" s="129"/>
      <c r="M112" t="s">
        <v>351</v>
      </c>
      <c r="N112" s="134" t="s">
        <v>566</v>
      </c>
      <c r="O112" s="129" t="s">
        <v>663</v>
      </c>
      <c r="P112" s="134" t="s">
        <v>347</v>
      </c>
      <c r="Q112" t="s">
        <v>351</v>
      </c>
      <c r="R112" s="134" t="s">
        <v>566</v>
      </c>
      <c r="S112" s="134" t="s">
        <v>580</v>
      </c>
      <c r="T112" t="s">
        <v>352</v>
      </c>
      <c r="U112" s="129" t="s">
        <v>334</v>
      </c>
      <c r="V112" s="140">
        <v>0</v>
      </c>
      <c r="W112" s="138">
        <v>1</v>
      </c>
      <c r="X112" s="147">
        <v>0</v>
      </c>
      <c r="Y112" s="129" t="s">
        <v>545</v>
      </c>
      <c r="Z112" s="134">
        <v>1</v>
      </c>
      <c r="AA112" s="134">
        <v>1</v>
      </c>
      <c r="AB112" s="134">
        <v>1</v>
      </c>
      <c r="AC112" s="115">
        <f>Master_Table[[#This Row],[Length (m) (on wall)]]*Master_Table[[#This Row],[Height (m)]]*Master_Table[[#This Row],[Thickness (m)]]</f>
        <v>1</v>
      </c>
      <c r="AD112" s="134">
        <v>1</v>
      </c>
      <c r="AE112" s="152">
        <v>1</v>
      </c>
      <c r="AF112" s="134">
        <v>0</v>
      </c>
      <c r="AG112" s="134">
        <f>Master_Table[[#This Row],[Material Density (kg/m^3)]]*Master_Table[[#This Row],[Thickness (m)]]</f>
        <v>0</v>
      </c>
      <c r="AH112" s="134">
        <v>0</v>
      </c>
    </row>
    <row r="113" spans="2:34" x14ac:dyDescent="0.35">
      <c r="B113" s="115" t="str">
        <f>_xlfn.CONCAT(Master_Table[[#This Row],[Unique ID]],"_",Master_Table[[#This Row],[Model Source]],"_",Master_Table[[#This Row],[System Type]],Master_Table[[#This Row],[System Subtype]],"_",Master_Table[[#This Row],[External Finish Type]])</f>
        <v>A_LCA_LGSOpen_Composite Fiber</v>
      </c>
      <c r="C113" s="129" t="s">
        <v>512</v>
      </c>
      <c r="D113" s="129" t="s">
        <v>40</v>
      </c>
      <c r="E113" s="129" t="s">
        <v>558</v>
      </c>
      <c r="F113" s="129" t="s">
        <v>464</v>
      </c>
      <c r="G113" s="129" t="s">
        <v>550</v>
      </c>
      <c r="H113" s="129" t="s">
        <v>650</v>
      </c>
      <c r="I113" s="129" t="s">
        <v>599</v>
      </c>
      <c r="J113" s="129" t="s">
        <v>822</v>
      </c>
      <c r="K113" s="110" t="s">
        <v>663</v>
      </c>
      <c r="L113" s="129"/>
      <c r="M113" t="s">
        <v>351</v>
      </c>
      <c r="N113" s="129" t="s">
        <v>355</v>
      </c>
      <c r="O113" s="129" t="s">
        <v>817</v>
      </c>
      <c r="P113" s="129" t="s">
        <v>347</v>
      </c>
      <c r="Q113" t="s">
        <v>351</v>
      </c>
      <c r="R113" s="129" t="s">
        <v>581</v>
      </c>
      <c r="S113" s="129" t="s">
        <v>579</v>
      </c>
      <c r="T113" t="s">
        <v>352</v>
      </c>
      <c r="U113" s="129" t="s">
        <v>334</v>
      </c>
      <c r="V113" s="140">
        <v>0.5</v>
      </c>
      <c r="W113" s="148">
        <v>0</v>
      </c>
      <c r="X113" s="129">
        <v>0</v>
      </c>
      <c r="Y113" s="129" t="s">
        <v>545</v>
      </c>
      <c r="Z113" s="129">
        <v>1</v>
      </c>
      <c r="AA113" s="129">
        <v>1</v>
      </c>
      <c r="AB113" s="134">
        <v>0.05</v>
      </c>
      <c r="AC113" s="115">
        <f>Master_Table[[#This Row],[Length (m) (on wall)]]*Master_Table[[#This Row],[Height (m)]]*Master_Table[[#This Row],[Thickness (m)]]</f>
        <v>0.05</v>
      </c>
      <c r="AD113" s="129">
        <v>1</v>
      </c>
      <c r="AE113" s="149">
        <v>1</v>
      </c>
      <c r="AF113" s="129">
        <v>1.2</v>
      </c>
      <c r="AG113" s="129">
        <f>Master_Table[[#This Row],[Material Density (kg/m^3)]]*Master_Table[[#This Row],[Thickness (m)]]</f>
        <v>0.06</v>
      </c>
      <c r="AH113" s="129">
        <v>2.5000000000000001E-2</v>
      </c>
    </row>
    <row r="114" spans="2:34" x14ac:dyDescent="0.35">
      <c r="B114" s="115" t="str">
        <f>_xlfn.CONCAT(Master_Table[[#This Row],[Unique ID]],"_",Master_Table[[#This Row],[Model Source]],"_",Master_Table[[#This Row],[System Type]],Master_Table[[#This Row],[System Subtype]],"_",Master_Table[[#This Row],[External Finish Type]])</f>
        <v>A_LCA_LGSOpen_Composite Fiber</v>
      </c>
      <c r="C114" s="129" t="s">
        <v>512</v>
      </c>
      <c r="D114" s="129" t="s">
        <v>40</v>
      </c>
      <c r="E114" s="129" t="s">
        <v>558</v>
      </c>
      <c r="F114" s="129" t="s">
        <v>464</v>
      </c>
      <c r="G114" s="129" t="s">
        <v>550</v>
      </c>
      <c r="H114" s="129" t="s">
        <v>650</v>
      </c>
      <c r="I114" s="129" t="s">
        <v>599</v>
      </c>
      <c r="J114" s="129" t="s">
        <v>822</v>
      </c>
      <c r="K114" s="110" t="s">
        <v>663</v>
      </c>
      <c r="L114" s="129" t="s">
        <v>809</v>
      </c>
      <c r="M114" s="179" t="s">
        <v>351</v>
      </c>
      <c r="N114" s="178" t="s">
        <v>810</v>
      </c>
      <c r="O114" s="129" t="s">
        <v>663</v>
      </c>
      <c r="P114" s="129" t="s">
        <v>811</v>
      </c>
      <c r="Q114" t="s">
        <v>352</v>
      </c>
      <c r="R114" s="178" t="s">
        <v>812</v>
      </c>
      <c r="S114" s="129"/>
      <c r="T114" t="s">
        <v>351</v>
      </c>
      <c r="U114" s="129" t="s">
        <v>813</v>
      </c>
      <c r="V114" s="140">
        <v>0</v>
      </c>
      <c r="W114" s="138">
        <v>1</v>
      </c>
      <c r="X114" s="147">
        <v>0</v>
      </c>
      <c r="Y114" s="129"/>
      <c r="Z114" s="134">
        <v>1</v>
      </c>
      <c r="AA114" s="134">
        <v>1</v>
      </c>
      <c r="AB114" s="134">
        <v>1</v>
      </c>
      <c r="AC114" s="115">
        <f>Master_Table[[#This Row],[Length (m) (on wall)]]*Master_Table[[#This Row],[Height (m)]]*Master_Table[[#This Row],[Thickness (m)]]</f>
        <v>1</v>
      </c>
      <c r="AD114" s="134">
        <v>1</v>
      </c>
      <c r="AE114" s="152">
        <v>1</v>
      </c>
      <c r="AF114" s="134">
        <v>0</v>
      </c>
      <c r="AG114" s="134">
        <v>0.05</v>
      </c>
      <c r="AH114" s="134">
        <v>0</v>
      </c>
    </row>
    <row r="115" spans="2:34" x14ac:dyDescent="0.35">
      <c r="B115" s="115" t="str">
        <f>_xlfn.CONCAT(Master_Table[[#This Row],[Unique ID]],"_",Master_Table[[#This Row],[Model Source]],"_",Master_Table[[#This Row],[System Type]],Master_Table[[#This Row],[System Subtype]],"_",Master_Table[[#This Row],[External Finish Type]])</f>
        <v>Aircrete Standard_EPD_Concrete BlockTraditional_Brick</v>
      </c>
      <c r="C115" s="129" t="s">
        <v>513</v>
      </c>
      <c r="D115" s="129" t="s">
        <v>80</v>
      </c>
      <c r="E115" s="129" t="s">
        <v>462</v>
      </c>
      <c r="F115" s="129" t="s">
        <v>285</v>
      </c>
      <c r="G115" s="129" t="s">
        <v>643</v>
      </c>
      <c r="H115" s="129" t="s">
        <v>651</v>
      </c>
      <c r="I115" s="129" t="s">
        <v>652</v>
      </c>
      <c r="J115" s="129" t="s">
        <v>821</v>
      </c>
      <c r="K115" s="110" t="s">
        <v>660</v>
      </c>
      <c r="L115" s="129" t="s">
        <v>675</v>
      </c>
      <c r="M115" t="s">
        <v>351</v>
      </c>
      <c r="N115" s="137" t="s">
        <v>104</v>
      </c>
      <c r="O115" s="129" t="s">
        <v>814</v>
      </c>
      <c r="P115" s="129" t="s">
        <v>4</v>
      </c>
      <c r="Q115" t="s">
        <v>351</v>
      </c>
      <c r="R115" s="129" t="s">
        <v>653</v>
      </c>
      <c r="S115" s="129" t="s">
        <v>657</v>
      </c>
      <c r="T115" t="s">
        <v>352</v>
      </c>
      <c r="U115" s="129" t="s">
        <v>334</v>
      </c>
      <c r="V115" s="141">
        <v>1.26</v>
      </c>
      <c r="W115" s="124">
        <f>_xlfn.XLOOKUP(Master_Table[[#This Row],[Component Name]],'GWP NORMALISED'!$A$2:$A$500,'GWP NORMALISED'!$H$2:$H$500,FALSE)</f>
        <v>45.864552500000002</v>
      </c>
      <c r="X115" s="125">
        <f>_xlfn.XLOOKUP(Master_Table[[#This Row],[Component Name]],'RAW GWP FOSSIL'!$A$2:$A$500,'RAW GWP FOSSIL'!$H$2:$H$500,FALSE)</f>
        <v>328.19</v>
      </c>
      <c r="Y115" s="129" t="s">
        <v>654</v>
      </c>
      <c r="Z115" s="129">
        <v>1</v>
      </c>
      <c r="AA115" s="129">
        <v>1</v>
      </c>
      <c r="AB115" s="129">
        <v>0.215</v>
      </c>
      <c r="AC115" s="115">
        <f>Master_Table[[#This Row],[Length (m) (on wall)]]*Master_Table[[#This Row],[Height (m)]]*Master_Table[[#This Row],[Thickness (m)]]</f>
        <v>0.215</v>
      </c>
      <c r="AD115" s="129"/>
      <c r="AE115" s="149"/>
      <c r="AF115" s="129">
        <v>650</v>
      </c>
      <c r="AG115" s="129">
        <f>Master_Table[[#This Row],[Material Density (kg/m^3)]]*Master_Table[[#This Row],[Element Volume (m^3)]]</f>
        <v>139.75</v>
      </c>
      <c r="AH115" s="129"/>
    </row>
    <row r="116" spans="2:34" x14ac:dyDescent="0.35">
      <c r="B116" s="115" t="str">
        <f>_xlfn.CONCAT(Master_Table[[#This Row],[Unique ID]],"_",Master_Table[[#This Row],[Model Source]],"_",Master_Table[[#This Row],[System Type]],Master_Table[[#This Row],[System Subtype]],"_",Master_Table[[#This Row],[External Finish Type]])</f>
        <v>Aircrete Standard_EPD_Concrete BlockTraditional_Brick</v>
      </c>
      <c r="C116" s="129" t="s">
        <v>513</v>
      </c>
      <c r="D116" s="129" t="s">
        <v>80</v>
      </c>
      <c r="E116" s="129" t="s">
        <v>462</v>
      </c>
      <c r="F116" s="129" t="s">
        <v>285</v>
      </c>
      <c r="G116" s="129" t="s">
        <v>643</v>
      </c>
      <c r="H116" s="129" t="s">
        <v>651</v>
      </c>
      <c r="I116" s="129" t="s">
        <v>652</v>
      </c>
      <c r="J116" s="129" t="s">
        <v>821</v>
      </c>
      <c r="K116" s="110" t="s">
        <v>663</v>
      </c>
      <c r="L116" s="129" t="s">
        <v>676</v>
      </c>
      <c r="M116" t="s">
        <v>351</v>
      </c>
      <c r="N116" s="134" t="s">
        <v>349</v>
      </c>
      <c r="O116" s="134" t="s">
        <v>663</v>
      </c>
      <c r="P116" s="134" t="s">
        <v>347</v>
      </c>
      <c r="Q116" t="s">
        <v>351</v>
      </c>
      <c r="R116" s="134" t="s">
        <v>582</v>
      </c>
      <c r="S116" s="134" t="s">
        <v>578</v>
      </c>
      <c r="T116" t="s">
        <v>352</v>
      </c>
      <c r="U116" s="129" t="s">
        <v>334</v>
      </c>
      <c r="V116" s="140">
        <v>6.5789473684210523E-2</v>
      </c>
      <c r="W116" s="138">
        <v>1.839</v>
      </c>
      <c r="X116" s="147">
        <v>0</v>
      </c>
      <c r="Y116" s="129" t="s">
        <v>545</v>
      </c>
      <c r="Z116" s="129">
        <v>1</v>
      </c>
      <c r="AA116" s="129">
        <v>1</v>
      </c>
      <c r="AB116" s="129">
        <v>1.4999999999999999E-2</v>
      </c>
      <c r="AC116" s="115">
        <f>Master_Table[[#This Row],[Length (m) (on wall)]]*Master_Table[[#This Row],[Height (m)]]*Master_Table[[#This Row],[Thickness (m)]]</f>
        <v>1.4999999999999999E-2</v>
      </c>
      <c r="AD116" s="129">
        <v>1</v>
      </c>
      <c r="AE116" s="149">
        <v>1</v>
      </c>
      <c r="AF116" s="147">
        <v>615</v>
      </c>
      <c r="AG116" s="147">
        <f>Master_Table[[#This Row],[Material Density (kg/m^3)]]*Master_Table[[#This Row],[Thickness (m)]]</f>
        <v>9.2249999999999996</v>
      </c>
      <c r="AH116" s="147">
        <v>0.19</v>
      </c>
    </row>
    <row r="117" spans="2:34" x14ac:dyDescent="0.35">
      <c r="B117" s="115" t="str">
        <f>_xlfn.CONCAT(Master_Table[[#This Row],[Unique ID]],"_",Master_Table[[#This Row],[Model Source]],"_",Master_Table[[#This Row],[System Type]],Master_Table[[#This Row],[System Subtype]],"_",Master_Table[[#This Row],[External Finish Type]])</f>
        <v>Aircrete Standard_EPD_Concrete BlockTraditional_Brick</v>
      </c>
      <c r="C117" s="129" t="s">
        <v>513</v>
      </c>
      <c r="D117" s="129" t="s">
        <v>80</v>
      </c>
      <c r="E117" s="129" t="s">
        <v>462</v>
      </c>
      <c r="F117" s="129" t="s">
        <v>285</v>
      </c>
      <c r="G117" s="129" t="s">
        <v>643</v>
      </c>
      <c r="H117" s="129" t="s">
        <v>651</v>
      </c>
      <c r="I117" s="129" t="s">
        <v>652</v>
      </c>
      <c r="J117" s="129" t="s">
        <v>821</v>
      </c>
      <c r="K117" s="110" t="s">
        <v>663</v>
      </c>
      <c r="L117" s="129"/>
      <c r="M117" t="s">
        <v>351</v>
      </c>
      <c r="N117" s="134" t="s">
        <v>566</v>
      </c>
      <c r="O117" s="134" t="s">
        <v>663</v>
      </c>
      <c r="P117" s="134" t="s">
        <v>347</v>
      </c>
      <c r="Q117" t="s">
        <v>351</v>
      </c>
      <c r="R117" s="134" t="s">
        <v>566</v>
      </c>
      <c r="S117" s="134" t="s">
        <v>580</v>
      </c>
      <c r="T117" t="s">
        <v>352</v>
      </c>
      <c r="U117" s="129" t="s">
        <v>334</v>
      </c>
      <c r="V117" s="140">
        <v>0</v>
      </c>
      <c r="W117" s="138">
        <v>1</v>
      </c>
      <c r="X117" s="147">
        <v>0</v>
      </c>
      <c r="Y117" s="129" t="s">
        <v>545</v>
      </c>
      <c r="Z117" s="134">
        <v>1</v>
      </c>
      <c r="AA117" s="134">
        <v>1</v>
      </c>
      <c r="AB117" s="134">
        <v>1</v>
      </c>
      <c r="AC117" s="115">
        <f>Master_Table[[#This Row],[Length (m) (on wall)]]*Master_Table[[#This Row],[Height (m)]]*Master_Table[[#This Row],[Thickness (m)]]</f>
        <v>1</v>
      </c>
      <c r="AD117" s="134">
        <v>1</v>
      </c>
      <c r="AE117" s="152">
        <v>1</v>
      </c>
      <c r="AF117" s="134">
        <v>0</v>
      </c>
      <c r="AG117" s="134">
        <f>Master_Table[[#This Row],[Material Density (kg/m^3)]]*Master_Table[[#This Row],[Thickness (m)]]</f>
        <v>0</v>
      </c>
      <c r="AH117" s="134">
        <v>0</v>
      </c>
    </row>
    <row r="118" spans="2:34" x14ac:dyDescent="0.35">
      <c r="B118" s="115" t="str">
        <f>_xlfn.CONCAT(Master_Table[[#This Row],[Unique ID]],"_",Master_Table[[#This Row],[Model Source]],"_",Master_Table[[#This Row],[System Type]],Master_Table[[#This Row],[System Subtype]],"_",Master_Table[[#This Row],[External Finish Type]])</f>
        <v>Aircrete Standard_EPD_Concrete BlockTraditional_Brick</v>
      </c>
      <c r="C118" s="129" t="s">
        <v>513</v>
      </c>
      <c r="D118" s="129" t="s">
        <v>80</v>
      </c>
      <c r="E118" s="129" t="s">
        <v>462</v>
      </c>
      <c r="F118" s="129" t="s">
        <v>285</v>
      </c>
      <c r="G118" s="129" t="s">
        <v>643</v>
      </c>
      <c r="H118" s="129" t="s">
        <v>651</v>
      </c>
      <c r="I118" s="129" t="s">
        <v>652</v>
      </c>
      <c r="J118" s="129" t="s">
        <v>821</v>
      </c>
      <c r="K118" s="110" t="s">
        <v>663</v>
      </c>
      <c r="L118" s="129"/>
      <c r="M118" t="s">
        <v>351</v>
      </c>
      <c r="N118" s="129" t="s">
        <v>355</v>
      </c>
      <c r="O118" s="134" t="s">
        <v>817</v>
      </c>
      <c r="P118" s="129" t="s">
        <v>347</v>
      </c>
      <c r="Q118" t="s">
        <v>351</v>
      </c>
      <c r="R118" s="129" t="s">
        <v>581</v>
      </c>
      <c r="S118" s="129" t="s">
        <v>579</v>
      </c>
      <c r="T118" t="s">
        <v>352</v>
      </c>
      <c r="U118" s="129" t="s">
        <v>334</v>
      </c>
      <c r="V118" s="140">
        <v>0.5</v>
      </c>
      <c r="W118" s="148">
        <v>0</v>
      </c>
      <c r="X118" s="129">
        <v>0</v>
      </c>
      <c r="Y118" s="129" t="s">
        <v>545</v>
      </c>
      <c r="Z118" s="129">
        <v>1</v>
      </c>
      <c r="AA118" s="129">
        <v>1</v>
      </c>
      <c r="AB118" s="134">
        <v>0.05</v>
      </c>
      <c r="AC118" s="115">
        <f>Master_Table[[#This Row],[Length (m) (on wall)]]*Master_Table[[#This Row],[Height (m)]]*Master_Table[[#This Row],[Thickness (m)]]</f>
        <v>0.05</v>
      </c>
      <c r="AD118" s="129">
        <v>1</v>
      </c>
      <c r="AE118" s="149">
        <v>1</v>
      </c>
      <c r="AF118" s="129">
        <v>1.2</v>
      </c>
      <c r="AG118" s="129">
        <f>Master_Table[[#This Row],[Material Density (kg/m^3)]]*Master_Table[[#This Row],[Thickness (m)]]</f>
        <v>0.06</v>
      </c>
      <c r="AH118" s="129">
        <v>2.5000000000000001E-2</v>
      </c>
    </row>
    <row r="119" spans="2:34" x14ac:dyDescent="0.35">
      <c r="B119" s="115" t="str">
        <f>_xlfn.CONCAT(Master_Table[[#This Row],[Unique ID]],"_",Master_Table[[#This Row],[Model Source]],"_",Master_Table[[#This Row],[System Type]],Master_Table[[#This Row],[System Subtype]],"_",Master_Table[[#This Row],[External Finish Type]])</f>
        <v>Aircrete Standard_EPD_Concrete BlockTraditional_Brick</v>
      </c>
      <c r="C119" s="129" t="s">
        <v>513</v>
      </c>
      <c r="D119" s="129" t="s">
        <v>80</v>
      </c>
      <c r="E119" s="129" t="s">
        <v>462</v>
      </c>
      <c r="F119" s="129" t="s">
        <v>285</v>
      </c>
      <c r="G119" s="129" t="s">
        <v>643</v>
      </c>
      <c r="H119" s="129" t="s">
        <v>651</v>
      </c>
      <c r="I119" s="129" t="s">
        <v>652</v>
      </c>
      <c r="J119" s="129" t="s">
        <v>821</v>
      </c>
      <c r="K119" s="110" t="s">
        <v>663</v>
      </c>
      <c r="L119" s="129" t="s">
        <v>677</v>
      </c>
      <c r="M119" t="s">
        <v>351</v>
      </c>
      <c r="N119" s="130" t="s">
        <v>285</v>
      </c>
      <c r="O119" s="134" t="s">
        <v>663</v>
      </c>
      <c r="P119" s="129" t="s">
        <v>346</v>
      </c>
      <c r="Q119" t="s">
        <v>351</v>
      </c>
      <c r="R119" s="129" t="s">
        <v>564</v>
      </c>
      <c r="S119" s="129" t="s">
        <v>563</v>
      </c>
      <c r="T119" t="s">
        <v>352</v>
      </c>
      <c r="U119" s="129" t="s">
        <v>334</v>
      </c>
      <c r="V119" s="140">
        <v>0.12987012987012989</v>
      </c>
      <c r="W119" s="138">
        <f>Master_Table[[#This Row],[Raw A1-A3/Conversion factor]]*Master_Table[[#This Row],[Total Mass per m^2 (kg)]]</f>
        <v>42.199999999999996</v>
      </c>
      <c r="X119" s="134">
        <v>0.21099999999999999</v>
      </c>
      <c r="Y119" s="134" t="s">
        <v>545</v>
      </c>
      <c r="Z119" s="134">
        <v>1</v>
      </c>
      <c r="AA119" s="134">
        <v>1</v>
      </c>
      <c r="AB119" s="134">
        <v>0.1</v>
      </c>
      <c r="AC119" s="115">
        <f>Master_Table[[#This Row],[Length (m) (on wall)]]*Master_Table[[#This Row],[Height (m)]]*Master_Table[[#This Row],[Thickness (m)]]</f>
        <v>0.1</v>
      </c>
      <c r="AD119" s="134">
        <v>1</v>
      </c>
      <c r="AE119" s="152">
        <v>1</v>
      </c>
      <c r="AF119" s="153">
        <v>2000</v>
      </c>
      <c r="AG119" s="150">
        <f>Master_Table[[#This Row],[Element Volume (m^3)]]*Master_Table[[#This Row],[No. of elements in 1 panel]]*Master_Table[[#This Row],[Material Density (kg/m^3)]]</f>
        <v>200</v>
      </c>
      <c r="AH119" s="129">
        <v>0.77</v>
      </c>
    </row>
    <row r="120" spans="2:34" x14ac:dyDescent="0.35">
      <c r="B120" s="115" t="str">
        <f>_xlfn.CONCAT(Master_Table[[#This Row],[Unique ID]],"_",Master_Table[[#This Row],[Model Source]],"_",Master_Table[[#This Row],[System Type]],Master_Table[[#This Row],[System Subtype]],"_",Master_Table[[#This Row],[External Finish Type]])</f>
        <v>Aircrete Standard_EPD_Concrete BlockTraditional_Brick</v>
      </c>
      <c r="C120" s="129" t="s">
        <v>513</v>
      </c>
      <c r="D120" s="129" t="s">
        <v>80</v>
      </c>
      <c r="E120" s="129" t="s">
        <v>462</v>
      </c>
      <c r="F120" s="129" t="s">
        <v>285</v>
      </c>
      <c r="G120" s="129" t="s">
        <v>643</v>
      </c>
      <c r="H120" s="129" t="s">
        <v>651</v>
      </c>
      <c r="I120" s="129" t="s">
        <v>652</v>
      </c>
      <c r="J120" s="129" t="s">
        <v>821</v>
      </c>
      <c r="K120" s="110" t="s">
        <v>659</v>
      </c>
      <c r="L120" s="129" t="s">
        <v>807</v>
      </c>
      <c r="M120" t="s">
        <v>351</v>
      </c>
      <c r="N120" s="79" t="s">
        <v>796</v>
      </c>
      <c r="O120" s="134" t="s">
        <v>815</v>
      </c>
      <c r="P120" s="134" t="s">
        <v>346</v>
      </c>
      <c r="Q120" t="s">
        <v>351</v>
      </c>
      <c r="R120" s="134" t="s">
        <v>584</v>
      </c>
      <c r="S120" s="129" t="s">
        <v>576</v>
      </c>
      <c r="T120" t="s">
        <v>351</v>
      </c>
      <c r="U120" s="129" t="s">
        <v>808</v>
      </c>
      <c r="V120" s="140">
        <v>0</v>
      </c>
      <c r="W120" s="124">
        <f>_xlfn.XLOOKUP(Master_Table[[#This Row],[Component Name]],'GWP NORMALISED'!$A$2:$A$500,'GWP NORMALISED'!$H$2:$H$500,FALSE)</f>
        <v>4.1849999999999996</v>
      </c>
      <c r="X120" s="125">
        <f>_xlfn.XLOOKUP(Master_Table[[#This Row],[Component Name]],'RAW GWP FOSSIL'!$A$2:$A$500,'RAW GWP FOSSIL'!$H$2:$H$500,FALSE)</f>
        <v>135</v>
      </c>
      <c r="Y120" s="129" t="s">
        <v>545</v>
      </c>
      <c r="Z120" s="129">
        <v>1</v>
      </c>
      <c r="AA120" s="129">
        <v>1.2E-2</v>
      </c>
      <c r="AB120" s="129">
        <v>0.1</v>
      </c>
      <c r="AC120" s="115">
        <f>Master_Table[[#This Row],[Length (m) (on wall)]]*Master_Table[[#This Row],[Height (m)]]*Master_Table[[#This Row],[Thickness (m)]]</f>
        <v>1.2000000000000001E-3</v>
      </c>
      <c r="AD120" s="129">
        <v>5</v>
      </c>
      <c r="AE120" s="149">
        <f>Master_Table[[#This Row],[Length (m) (on wall)]]*Master_Table[[#This Row],[Height (m)]]/1</f>
        <v>1.2E-2</v>
      </c>
      <c r="AF120" s="147">
        <v>2000</v>
      </c>
      <c r="AG120" s="129">
        <f>0.031*1000</f>
        <v>31</v>
      </c>
      <c r="AH120" s="147">
        <v>2</v>
      </c>
    </row>
    <row r="121" spans="2:34" x14ac:dyDescent="0.35">
      <c r="B121" s="115" t="str">
        <f>_xlfn.CONCAT(Master_Table[[#This Row],[Unique ID]],"_",Master_Table[[#This Row],[Model Source]],"_",Master_Table[[#This Row],[System Type]],Master_Table[[#This Row],[System Subtype]],"_",Master_Table[[#This Row],[External Finish Type]])</f>
        <v>Aircrete Standard_EPD_Concrete BlockTraditional_Brick</v>
      </c>
      <c r="C121" s="129" t="s">
        <v>513</v>
      </c>
      <c r="D121" s="129" t="s">
        <v>80</v>
      </c>
      <c r="E121" s="129" t="s">
        <v>462</v>
      </c>
      <c r="F121" s="129" t="s">
        <v>285</v>
      </c>
      <c r="G121" s="129" t="s">
        <v>643</v>
      </c>
      <c r="H121" s="129" t="s">
        <v>651</v>
      </c>
      <c r="I121" s="129" t="s">
        <v>652</v>
      </c>
      <c r="J121" s="129" t="s">
        <v>821</v>
      </c>
      <c r="K121" s="110" t="s">
        <v>663</v>
      </c>
      <c r="L121" s="129"/>
      <c r="M121" t="s">
        <v>351</v>
      </c>
      <c r="N121" s="129" t="s">
        <v>355</v>
      </c>
      <c r="O121" s="129" t="s">
        <v>817</v>
      </c>
      <c r="P121" s="129" t="s">
        <v>346</v>
      </c>
      <c r="Q121" t="s">
        <v>351</v>
      </c>
      <c r="R121" s="129" t="s">
        <v>583</v>
      </c>
      <c r="S121" s="129" t="s">
        <v>577</v>
      </c>
      <c r="T121" t="s">
        <v>352</v>
      </c>
      <c r="U121" s="129" t="s">
        <v>334</v>
      </c>
      <c r="V121" s="140">
        <v>2</v>
      </c>
      <c r="W121" s="138">
        <v>0</v>
      </c>
      <c r="X121" s="147">
        <v>0</v>
      </c>
      <c r="Y121" s="129" t="s">
        <v>545</v>
      </c>
      <c r="Z121" s="129">
        <v>1</v>
      </c>
      <c r="AA121" s="129">
        <v>1</v>
      </c>
      <c r="AB121" s="129">
        <v>0.1</v>
      </c>
      <c r="AC121" s="115">
        <f>Master_Table[[#This Row],[Length (m) (on wall)]]*Master_Table[[#This Row],[Height (m)]]*Master_Table[[#This Row],[Thickness (m)]]</f>
        <v>0.1</v>
      </c>
      <c r="AD121" s="129">
        <v>1</v>
      </c>
      <c r="AE121" s="149">
        <v>1</v>
      </c>
      <c r="AF121" s="129">
        <v>1.2</v>
      </c>
      <c r="AG121" s="129">
        <f>Master_Table[[#This Row],[Material Density (kg/m^3)]]*Master_Table[[#This Row],[Thickness (m)]]</f>
        <v>0.12</v>
      </c>
      <c r="AH121" s="129">
        <v>2.5000000000000001E-2</v>
      </c>
    </row>
    <row r="122" spans="2:34" x14ac:dyDescent="0.35">
      <c r="B122" s="115" t="str">
        <f>_xlfn.CONCAT(Master_Table[[#This Row],[Unique ID]],"_",Master_Table[[#This Row],[Model Source]],"_",Master_Table[[#This Row],[System Type]],Master_Table[[#This Row],[System Subtype]],"_",Master_Table[[#This Row],[External Finish Type]])</f>
        <v>Aircrete Standard_EPD_Concrete BlockTraditional_Brick</v>
      </c>
      <c r="C122" s="129" t="s">
        <v>513</v>
      </c>
      <c r="D122" s="129" t="s">
        <v>80</v>
      </c>
      <c r="E122" s="129" t="s">
        <v>462</v>
      </c>
      <c r="F122" s="129" t="s">
        <v>285</v>
      </c>
      <c r="G122" s="129" t="s">
        <v>643</v>
      </c>
      <c r="H122" s="129" t="s">
        <v>651</v>
      </c>
      <c r="I122" s="129" t="s">
        <v>652</v>
      </c>
      <c r="J122" s="129" t="s">
        <v>821</v>
      </c>
      <c r="K122" s="110" t="s">
        <v>663</v>
      </c>
      <c r="L122" s="129" t="s">
        <v>668</v>
      </c>
      <c r="M122" t="s">
        <v>351</v>
      </c>
      <c r="N122" s="133" t="s">
        <v>29</v>
      </c>
      <c r="O122" s="129" t="s">
        <v>816</v>
      </c>
      <c r="P122" s="129" t="s">
        <v>470</v>
      </c>
      <c r="Q122" t="s">
        <v>352</v>
      </c>
      <c r="R122" s="129" t="s">
        <v>554</v>
      </c>
      <c r="S122" s="129" t="s">
        <v>334</v>
      </c>
      <c r="T122" t="s">
        <v>352</v>
      </c>
      <c r="U122" s="129" t="s">
        <v>334</v>
      </c>
      <c r="V122" s="138">
        <v>1.5E-3</v>
      </c>
      <c r="W122" s="139">
        <v>0.25229166666666669</v>
      </c>
      <c r="X122" s="129">
        <v>4.2</v>
      </c>
      <c r="Y122" s="129" t="s">
        <v>545</v>
      </c>
      <c r="Z122" s="130">
        <v>2.4</v>
      </c>
      <c r="AA122" s="130">
        <v>2.4</v>
      </c>
      <c r="AB122" s="130">
        <v>4.4999999999999999E-4</v>
      </c>
      <c r="AC122" s="115">
        <f>Master_Table[[#This Row],[Length (m) (on wall)]]*Master_Table[[#This Row],[Height (m)]]*Master_Table[[#This Row],[Thickness (m)]]</f>
        <v>2.5919999999999997E-3</v>
      </c>
      <c r="AD122" s="129">
        <v>1</v>
      </c>
      <c r="AE122" s="149">
        <v>1</v>
      </c>
      <c r="AF122" s="151">
        <v>0</v>
      </c>
      <c r="AG122" s="151">
        <v>0.34599999999999997</v>
      </c>
      <c r="AH122" s="147">
        <v>0.3</v>
      </c>
    </row>
    <row r="123" spans="2:34" x14ac:dyDescent="0.35">
      <c r="B123" s="115" t="str">
        <f>_xlfn.CONCAT(Master_Table[[#This Row],[Unique ID]],"_",Master_Table[[#This Row],[Model Source]],"_",Master_Table[[#This Row],[System Type]],Master_Table[[#This Row],[System Subtype]],"_",Master_Table[[#This Row],[External Finish Type]])</f>
        <v>Aircrete Standard_EPD_Concrete BlockTraditional_Brick</v>
      </c>
      <c r="C123" s="129" t="s">
        <v>513</v>
      </c>
      <c r="D123" s="129" t="s">
        <v>80</v>
      </c>
      <c r="E123" s="129" t="s">
        <v>462</v>
      </c>
      <c r="F123" s="129" t="s">
        <v>285</v>
      </c>
      <c r="G123" s="129" t="s">
        <v>643</v>
      </c>
      <c r="H123" s="129" t="s">
        <v>651</v>
      </c>
      <c r="I123" s="129" t="s">
        <v>652</v>
      </c>
      <c r="J123" s="129" t="s">
        <v>821</v>
      </c>
      <c r="K123" s="110" t="s">
        <v>663</v>
      </c>
      <c r="L123" s="129" t="s">
        <v>795</v>
      </c>
      <c r="M123" t="s">
        <v>351</v>
      </c>
      <c r="N123" s="129" t="s">
        <v>627</v>
      </c>
      <c r="O123" s="129" t="s">
        <v>816</v>
      </c>
      <c r="P123" s="129" t="s">
        <v>344</v>
      </c>
      <c r="Q123" t="s">
        <v>352</v>
      </c>
      <c r="R123" s="129" t="s">
        <v>656</v>
      </c>
      <c r="S123" s="129"/>
      <c r="T123" t="s">
        <v>352</v>
      </c>
      <c r="U123" s="129" t="s">
        <v>334</v>
      </c>
      <c r="V123" s="141">
        <f>Master_Table[[#This Row],[Thickness (m)]]/Master_Table[[#This Row],[Thermal Conductivity W/m-K]]</f>
        <v>2.1428571428571428</v>
      </c>
      <c r="W123" s="139">
        <f>Master_Table[[#This Row],[Raw A1-A3/Conversion factor]]*Master_Table[[#This Row],[Total Mass per m^2 (kg)]]</f>
        <v>6.9187500000000002</v>
      </c>
      <c r="X123" s="129">
        <v>3.69</v>
      </c>
      <c r="Y123" s="129" t="s">
        <v>545</v>
      </c>
      <c r="Z123" s="129">
        <v>1</v>
      </c>
      <c r="AA123" s="129">
        <v>1</v>
      </c>
      <c r="AB123" s="129">
        <v>7.4999999999999997E-2</v>
      </c>
      <c r="AC123" s="115">
        <f>Master_Table[[#This Row],[Length (m) (on wall)]]*Master_Table[[#This Row],[Height (m)]]*Master_Table[[#This Row],[Thickness (m)]]</f>
        <v>7.4999999999999997E-2</v>
      </c>
      <c r="AD123" s="129">
        <v>1</v>
      </c>
      <c r="AE123" s="149">
        <v>1</v>
      </c>
      <c r="AF123" s="156">
        <v>25</v>
      </c>
      <c r="AG123" s="139">
        <f>Master_Table[[#This Row],[Material Density (kg/m^3)]]*Master_Table[[#This Row],[Element Volume (m^3)]]</f>
        <v>1.875</v>
      </c>
      <c r="AH123" s="157">
        <v>3.5000000000000003E-2</v>
      </c>
    </row>
    <row r="124" spans="2:34" x14ac:dyDescent="0.35">
      <c r="B124" s="115" t="str">
        <f>_xlfn.CONCAT(Master_Table[[#This Row],[Unique ID]],"_",Master_Table[[#This Row],[Model Source]],"_",Master_Table[[#This Row],[System Type]],Master_Table[[#This Row],[System Subtype]],"_",Master_Table[[#This Row],[External Finish Type]])</f>
        <v>Aircrete Standard_EPD_Concrete BlockTraditional_Brick</v>
      </c>
      <c r="C124" s="129" t="s">
        <v>513</v>
      </c>
      <c r="D124" s="129" t="s">
        <v>80</v>
      </c>
      <c r="E124" s="129" t="s">
        <v>462</v>
      </c>
      <c r="F124" s="129" t="s">
        <v>285</v>
      </c>
      <c r="G124" s="129" t="s">
        <v>643</v>
      </c>
      <c r="H124" s="129" t="s">
        <v>651</v>
      </c>
      <c r="I124" s="129" t="s">
        <v>652</v>
      </c>
      <c r="J124" s="129" t="s">
        <v>821</v>
      </c>
      <c r="K124" s="110" t="s">
        <v>659</v>
      </c>
      <c r="L124" s="129" t="s">
        <v>807</v>
      </c>
      <c r="M124" t="s">
        <v>351</v>
      </c>
      <c r="N124" s="79" t="s">
        <v>796</v>
      </c>
      <c r="O124" s="134" t="s">
        <v>815</v>
      </c>
      <c r="P124" s="134" t="s">
        <v>346</v>
      </c>
      <c r="Q124" t="s">
        <v>351</v>
      </c>
      <c r="R124" s="134" t="s">
        <v>584</v>
      </c>
      <c r="S124" s="129" t="s">
        <v>576</v>
      </c>
      <c r="T124" t="s">
        <v>351</v>
      </c>
      <c r="U124" s="129" t="s">
        <v>808</v>
      </c>
      <c r="V124" s="140">
        <v>0</v>
      </c>
      <c r="W124" s="124">
        <f>_xlfn.XLOOKUP(Master_Table[[#This Row],[Component Name]],'GWP NORMALISED'!$A$2:$A$500,'GWP NORMALISED'!$H$2:$H$500,FALSE)</f>
        <v>4.1849999999999996</v>
      </c>
      <c r="X124" s="125">
        <f>_xlfn.XLOOKUP(Master_Table[[#This Row],[Component Name]],'RAW GWP FOSSIL'!$A$2:$A$500,'RAW GWP FOSSIL'!$H$2:$H$500,FALSE)</f>
        <v>135</v>
      </c>
      <c r="Y124" s="129" t="s">
        <v>545</v>
      </c>
      <c r="Z124" s="129">
        <v>1</v>
      </c>
      <c r="AA124" s="129">
        <v>1.2E-2</v>
      </c>
      <c r="AB124" s="129">
        <v>0.1</v>
      </c>
      <c r="AC124" s="115">
        <f>Master_Table[[#This Row],[Length (m) (on wall)]]*Master_Table[[#This Row],[Height (m)]]*Master_Table[[#This Row],[Thickness (m)]]</f>
        <v>1.2000000000000001E-3</v>
      </c>
      <c r="AD124" s="129">
        <v>5</v>
      </c>
      <c r="AE124" s="149">
        <f>Master_Table[[#This Row],[Length (m) (on wall)]]*Master_Table[[#This Row],[Height (m)]]/1</f>
        <v>1.2E-2</v>
      </c>
      <c r="AF124" s="147">
        <v>2000</v>
      </c>
      <c r="AG124" s="129">
        <f>0.031*1000</f>
        <v>31</v>
      </c>
      <c r="AH124" s="147">
        <v>2</v>
      </c>
    </row>
    <row r="125" spans="2:34" x14ac:dyDescent="0.35">
      <c r="B125" s="115" t="str">
        <f>_xlfn.CONCAT(Master_Table[[#This Row],[Unique ID]],"_",Master_Table[[#This Row],[Model Source]],"_",Master_Table[[#This Row],[System Type]],Master_Table[[#This Row],[System Subtype]],"_",Master_Table[[#This Row],[External Finish Type]])</f>
        <v>Aircrete Standard_EPD_Concrete BlockTraditional_Brick</v>
      </c>
      <c r="C125" s="129" t="s">
        <v>513</v>
      </c>
      <c r="D125" s="129" t="s">
        <v>80</v>
      </c>
      <c r="E125" s="129" t="s">
        <v>462</v>
      </c>
      <c r="F125" s="129" t="s">
        <v>285</v>
      </c>
      <c r="G125" s="129" t="s">
        <v>643</v>
      </c>
      <c r="H125" s="129" t="s">
        <v>651</v>
      </c>
      <c r="I125" s="129" t="s">
        <v>652</v>
      </c>
      <c r="J125" s="129" t="s">
        <v>821</v>
      </c>
      <c r="K125" s="110" t="s">
        <v>663</v>
      </c>
      <c r="L125" s="129" t="s">
        <v>809</v>
      </c>
      <c r="M125" s="179" t="s">
        <v>351</v>
      </c>
      <c r="N125" s="178" t="s">
        <v>810</v>
      </c>
      <c r="O125" s="129" t="s">
        <v>663</v>
      </c>
      <c r="P125" s="129" t="s">
        <v>811</v>
      </c>
      <c r="Q125" t="s">
        <v>352</v>
      </c>
      <c r="R125" s="178" t="s">
        <v>812</v>
      </c>
      <c r="S125" s="129"/>
      <c r="T125" t="s">
        <v>351</v>
      </c>
      <c r="U125" s="129" t="s">
        <v>813</v>
      </c>
      <c r="V125" s="140">
        <v>0</v>
      </c>
      <c r="W125" s="138">
        <v>1</v>
      </c>
      <c r="X125" s="147">
        <v>0</v>
      </c>
      <c r="Y125" s="129"/>
      <c r="Z125" s="134">
        <v>1</v>
      </c>
      <c r="AA125" s="134">
        <v>1</v>
      </c>
      <c r="AB125" s="134">
        <v>1</v>
      </c>
      <c r="AC125" s="115">
        <f>Master_Table[[#This Row],[Length (m) (on wall)]]*Master_Table[[#This Row],[Height (m)]]*Master_Table[[#This Row],[Thickness (m)]]</f>
        <v>1</v>
      </c>
      <c r="AD125" s="134">
        <v>1</v>
      </c>
      <c r="AE125" s="152">
        <v>1</v>
      </c>
      <c r="AF125" s="134">
        <v>0</v>
      </c>
      <c r="AG125" s="134">
        <v>0.05</v>
      </c>
      <c r="AH125" s="134">
        <v>0</v>
      </c>
    </row>
    <row r="126" spans="2:34" x14ac:dyDescent="0.35">
      <c r="B126" s="115" t="str">
        <f>_xlfn.CONCAT(Master_Table[[#This Row],[Unique ID]],"_",Master_Table[[#This Row],[Model Source]],"_",Master_Table[[#This Row],[System Type]],Master_Table[[#This Row],[System Subtype]],"_",Master_Table[[#This Row],[External Finish Type]])</f>
        <v>SP-170_EPD_SIPClosed _Brick</v>
      </c>
      <c r="C126" s="129" t="s">
        <v>513</v>
      </c>
      <c r="D126" s="129" t="s">
        <v>41</v>
      </c>
      <c r="E126" s="129" t="s">
        <v>560</v>
      </c>
      <c r="F126" s="129" t="s">
        <v>285</v>
      </c>
      <c r="G126" s="129" t="s">
        <v>730</v>
      </c>
      <c r="H126" s="129" t="s">
        <v>731</v>
      </c>
      <c r="I126" s="129" t="s">
        <v>732</v>
      </c>
      <c r="J126" s="129" t="s">
        <v>821</v>
      </c>
      <c r="K126" s="110" t="s">
        <v>660</v>
      </c>
      <c r="L126" s="129"/>
      <c r="M126" t="s">
        <v>351</v>
      </c>
      <c r="N126" s="79" t="s">
        <v>182</v>
      </c>
      <c r="O126" s="129" t="s">
        <v>814</v>
      </c>
      <c r="P126" s="129" t="s">
        <v>532</v>
      </c>
      <c r="Q126" s="129" t="s">
        <v>352</v>
      </c>
      <c r="R126" s="129" t="s">
        <v>728</v>
      </c>
      <c r="S126" s="129"/>
      <c r="T126" s="129" t="s">
        <v>352</v>
      </c>
      <c r="U126" s="129" t="s">
        <v>334</v>
      </c>
      <c r="V126" s="141">
        <v>4.9800000000000004</v>
      </c>
      <c r="W126" s="124">
        <f>_xlfn.XLOOKUP(Master_Table[[#This Row],[Component Name]],'GWP NORMALISED'!$A$2:$A$500,'GWP NORMALISED'!$H$2:$H$500,FALSE)</f>
        <v>19.5</v>
      </c>
      <c r="X126" s="125">
        <f>_xlfn.XLOOKUP(Master_Table[[#This Row],[Component Name]],'RAW GWP FOSSIL'!$A$2:$A$500,'RAW GWP FOSSIL'!$H$2:$H$500,FALSE)</f>
        <v>19.5</v>
      </c>
      <c r="Y126" s="129" t="s">
        <v>618</v>
      </c>
      <c r="Z126" s="129"/>
      <c r="AA126" s="129"/>
      <c r="AB126" s="129"/>
      <c r="AC126" s="115"/>
      <c r="AD126" s="129"/>
      <c r="AE126" s="149"/>
      <c r="AF126" s="129"/>
      <c r="AG126" s="129">
        <v>21.31</v>
      </c>
      <c r="AH126" s="129"/>
    </row>
    <row r="127" spans="2:34" x14ac:dyDescent="0.35">
      <c r="B127" s="115" t="str">
        <f>_xlfn.CONCAT(Master_Table[[#This Row],[Unique ID]],"_",Master_Table[[#This Row],[Model Source]],"_",Master_Table[[#This Row],[System Type]],Master_Table[[#This Row],[System Subtype]],"_",Master_Table[[#This Row],[External Finish Type]])</f>
        <v>SP-170_EPD_SIPClosed _Brick</v>
      </c>
      <c r="C127" s="129" t="s">
        <v>513</v>
      </c>
      <c r="D127" s="129" t="s">
        <v>41</v>
      </c>
      <c r="E127" s="129" t="s">
        <v>560</v>
      </c>
      <c r="F127" s="129" t="s">
        <v>285</v>
      </c>
      <c r="G127" s="129" t="s">
        <v>730</v>
      </c>
      <c r="H127" s="129" t="s">
        <v>731</v>
      </c>
      <c r="I127" s="129" t="s">
        <v>732</v>
      </c>
      <c r="J127" s="129" t="s">
        <v>821</v>
      </c>
      <c r="K127" s="110" t="s">
        <v>663</v>
      </c>
      <c r="L127" s="129"/>
      <c r="M127" t="s">
        <v>351</v>
      </c>
      <c r="N127" s="134" t="s">
        <v>349</v>
      </c>
      <c r="O127" s="134" t="s">
        <v>663</v>
      </c>
      <c r="P127" s="134" t="s">
        <v>347</v>
      </c>
      <c r="Q127" t="s">
        <v>351</v>
      </c>
      <c r="R127" s="134" t="s">
        <v>582</v>
      </c>
      <c r="S127" s="134" t="s">
        <v>578</v>
      </c>
      <c r="T127" t="s">
        <v>352</v>
      </c>
      <c r="U127" s="129" t="s">
        <v>334</v>
      </c>
      <c r="V127" s="140">
        <v>6.5789473684210523E-2</v>
      </c>
      <c r="W127" s="138">
        <v>1.839</v>
      </c>
      <c r="X127" s="147">
        <v>0</v>
      </c>
      <c r="Y127" s="129" t="s">
        <v>545</v>
      </c>
      <c r="Z127" s="129">
        <v>1</v>
      </c>
      <c r="AA127" s="129">
        <v>1</v>
      </c>
      <c r="AB127" s="129">
        <v>1.4999999999999999E-2</v>
      </c>
      <c r="AC127" s="115">
        <f>Master_Table[[#This Row],[Length (m) (on wall)]]*Master_Table[[#This Row],[Height (m)]]*Master_Table[[#This Row],[Thickness (m)]]</f>
        <v>1.4999999999999999E-2</v>
      </c>
      <c r="AD127" s="129">
        <v>1</v>
      </c>
      <c r="AE127" s="149">
        <v>1</v>
      </c>
      <c r="AF127" s="147">
        <v>615</v>
      </c>
      <c r="AG127" s="147">
        <f>Master_Table[[#This Row],[Material Density (kg/m^3)]]*Master_Table[[#This Row],[Thickness (m)]]</f>
        <v>9.2249999999999996</v>
      </c>
      <c r="AH127" s="147">
        <v>0.19</v>
      </c>
    </row>
    <row r="128" spans="2:34" x14ac:dyDescent="0.35">
      <c r="B128" s="115" t="str">
        <f>_xlfn.CONCAT(Master_Table[[#This Row],[Unique ID]],"_",Master_Table[[#This Row],[Model Source]],"_",Master_Table[[#This Row],[System Type]],Master_Table[[#This Row],[System Subtype]],"_",Master_Table[[#This Row],[External Finish Type]])</f>
        <v>SP-170_EPD_SIPClosed _Brick</v>
      </c>
      <c r="C128" s="129" t="s">
        <v>513</v>
      </c>
      <c r="D128" s="129" t="s">
        <v>41</v>
      </c>
      <c r="E128" s="129" t="s">
        <v>560</v>
      </c>
      <c r="F128" s="129" t="s">
        <v>285</v>
      </c>
      <c r="G128" s="129" t="s">
        <v>730</v>
      </c>
      <c r="H128" s="129" t="s">
        <v>731</v>
      </c>
      <c r="I128" s="129" t="s">
        <v>732</v>
      </c>
      <c r="J128" s="129" t="s">
        <v>821</v>
      </c>
      <c r="K128" s="110" t="s">
        <v>663</v>
      </c>
      <c r="L128" s="129"/>
      <c r="M128" t="s">
        <v>351</v>
      </c>
      <c r="N128" s="134" t="s">
        <v>566</v>
      </c>
      <c r="O128" s="134" t="s">
        <v>663</v>
      </c>
      <c r="P128" s="134" t="s">
        <v>347</v>
      </c>
      <c r="Q128" t="s">
        <v>351</v>
      </c>
      <c r="R128" s="134" t="s">
        <v>566</v>
      </c>
      <c r="S128" s="134" t="s">
        <v>580</v>
      </c>
      <c r="T128" t="s">
        <v>352</v>
      </c>
      <c r="U128" s="129" t="s">
        <v>334</v>
      </c>
      <c r="V128" s="140">
        <v>0</v>
      </c>
      <c r="W128" s="138">
        <v>1</v>
      </c>
      <c r="X128" s="147">
        <v>0</v>
      </c>
      <c r="Y128" s="129" t="s">
        <v>545</v>
      </c>
      <c r="Z128" s="134">
        <v>1</v>
      </c>
      <c r="AA128" s="134">
        <v>1</v>
      </c>
      <c r="AB128" s="134">
        <v>1</v>
      </c>
      <c r="AC128" s="115">
        <f>Master_Table[[#This Row],[Length (m) (on wall)]]*Master_Table[[#This Row],[Height (m)]]*Master_Table[[#This Row],[Thickness (m)]]</f>
        <v>1</v>
      </c>
      <c r="AD128" s="134">
        <v>1</v>
      </c>
      <c r="AE128" s="152">
        <v>1</v>
      </c>
      <c r="AF128" s="134">
        <v>0</v>
      </c>
      <c r="AG128" s="134">
        <f>Master_Table[[#This Row],[Material Density (kg/m^3)]]*Master_Table[[#This Row],[Thickness (m)]]</f>
        <v>0</v>
      </c>
      <c r="AH128" s="134">
        <v>0</v>
      </c>
    </row>
    <row r="129" spans="2:34" x14ac:dyDescent="0.35">
      <c r="B129" s="115" t="str">
        <f>_xlfn.CONCAT(Master_Table[[#This Row],[Unique ID]],"_",Master_Table[[#This Row],[Model Source]],"_",Master_Table[[#This Row],[System Type]],Master_Table[[#This Row],[System Subtype]],"_",Master_Table[[#This Row],[External Finish Type]])</f>
        <v>SP-170_EPD_SIPClosed _Brick</v>
      </c>
      <c r="C129" s="129" t="s">
        <v>513</v>
      </c>
      <c r="D129" s="129" t="s">
        <v>41</v>
      </c>
      <c r="E129" s="129" t="s">
        <v>560</v>
      </c>
      <c r="F129" s="129" t="s">
        <v>285</v>
      </c>
      <c r="G129" s="129" t="s">
        <v>730</v>
      </c>
      <c r="H129" s="129" t="s">
        <v>731</v>
      </c>
      <c r="I129" s="129" t="s">
        <v>732</v>
      </c>
      <c r="J129" s="129" t="s">
        <v>821</v>
      </c>
      <c r="K129" s="110" t="s">
        <v>663</v>
      </c>
      <c r="L129" s="129"/>
      <c r="M129" t="s">
        <v>351</v>
      </c>
      <c r="N129" s="129" t="s">
        <v>355</v>
      </c>
      <c r="O129" s="134" t="s">
        <v>817</v>
      </c>
      <c r="P129" s="129" t="s">
        <v>347</v>
      </c>
      <c r="Q129" t="s">
        <v>351</v>
      </c>
      <c r="R129" s="129" t="s">
        <v>581</v>
      </c>
      <c r="S129" s="129" t="s">
        <v>579</v>
      </c>
      <c r="T129" t="s">
        <v>352</v>
      </c>
      <c r="U129" s="129" t="s">
        <v>334</v>
      </c>
      <c r="V129" s="140">
        <v>0.5</v>
      </c>
      <c r="W129" s="148">
        <v>0</v>
      </c>
      <c r="X129" s="129">
        <v>0</v>
      </c>
      <c r="Y129" s="129" t="s">
        <v>545</v>
      </c>
      <c r="Z129" s="129">
        <v>1</v>
      </c>
      <c r="AA129" s="129">
        <v>1</v>
      </c>
      <c r="AB129" s="134">
        <v>0.05</v>
      </c>
      <c r="AC129" s="115">
        <f>Master_Table[[#This Row],[Length (m) (on wall)]]*Master_Table[[#This Row],[Height (m)]]*Master_Table[[#This Row],[Thickness (m)]]</f>
        <v>0.05</v>
      </c>
      <c r="AD129" s="129">
        <v>1</v>
      </c>
      <c r="AE129" s="149">
        <v>1</v>
      </c>
      <c r="AF129" s="129">
        <v>1.2</v>
      </c>
      <c r="AG129" s="129">
        <f>Master_Table[[#This Row],[Material Density (kg/m^3)]]*Master_Table[[#This Row],[Thickness (m)]]</f>
        <v>0.06</v>
      </c>
      <c r="AH129" s="129">
        <v>2.5000000000000001E-2</v>
      </c>
    </row>
    <row r="130" spans="2:34" x14ac:dyDescent="0.35">
      <c r="B130" s="115" t="str">
        <f>_xlfn.CONCAT(Master_Table[[#This Row],[Unique ID]],"_",Master_Table[[#This Row],[Model Source]],"_",Master_Table[[#This Row],[System Type]],Master_Table[[#This Row],[System Subtype]],"_",Master_Table[[#This Row],[External Finish Type]])</f>
        <v>SP-170_EPD_SIPClosed _Brick</v>
      </c>
      <c r="C130" s="129" t="s">
        <v>513</v>
      </c>
      <c r="D130" s="129" t="s">
        <v>41</v>
      </c>
      <c r="E130" s="129" t="s">
        <v>560</v>
      </c>
      <c r="F130" s="129" t="s">
        <v>285</v>
      </c>
      <c r="G130" s="129" t="s">
        <v>730</v>
      </c>
      <c r="H130" s="129" t="s">
        <v>731</v>
      </c>
      <c r="I130" s="129" t="s">
        <v>732</v>
      </c>
      <c r="J130" s="129" t="s">
        <v>821</v>
      </c>
      <c r="K130" s="110" t="s">
        <v>663</v>
      </c>
      <c r="L130" s="129"/>
      <c r="M130" t="s">
        <v>351</v>
      </c>
      <c r="N130" s="130" t="s">
        <v>285</v>
      </c>
      <c r="O130" s="134" t="s">
        <v>663</v>
      </c>
      <c r="P130" s="129" t="s">
        <v>346</v>
      </c>
      <c r="Q130" t="s">
        <v>351</v>
      </c>
      <c r="R130" s="129" t="s">
        <v>564</v>
      </c>
      <c r="S130" s="129" t="s">
        <v>563</v>
      </c>
      <c r="T130" t="s">
        <v>352</v>
      </c>
      <c r="U130" s="129" t="s">
        <v>334</v>
      </c>
      <c r="V130" s="140">
        <v>0.12987012987012989</v>
      </c>
      <c r="W130" s="138">
        <f>Master_Table[[#This Row],[Raw A1-A3/Conversion factor]]*Master_Table[[#This Row],[Total Mass per m^2 (kg)]]</f>
        <v>42.199999999999996</v>
      </c>
      <c r="X130" s="134">
        <v>0.21099999999999999</v>
      </c>
      <c r="Y130" s="134" t="s">
        <v>545</v>
      </c>
      <c r="Z130" s="134">
        <v>1</v>
      </c>
      <c r="AA130" s="134">
        <v>1</v>
      </c>
      <c r="AB130" s="134">
        <v>0.1</v>
      </c>
      <c r="AC130" s="115">
        <f>Master_Table[[#This Row],[Length (m) (on wall)]]*Master_Table[[#This Row],[Height (m)]]*Master_Table[[#This Row],[Thickness (m)]]</f>
        <v>0.1</v>
      </c>
      <c r="AD130" s="134">
        <v>1</v>
      </c>
      <c r="AE130" s="152">
        <v>1</v>
      </c>
      <c r="AF130" s="153">
        <v>2000</v>
      </c>
      <c r="AG130" s="150">
        <f>Master_Table[[#This Row],[Element Volume (m^3)]]*Master_Table[[#This Row],[No. of elements in 1 panel]]*Master_Table[[#This Row],[Material Density (kg/m^3)]]</f>
        <v>200</v>
      </c>
      <c r="AH130" s="129">
        <v>0.77</v>
      </c>
    </row>
    <row r="131" spans="2:34" x14ac:dyDescent="0.35">
      <c r="B131" s="115" t="str">
        <f>_xlfn.CONCAT(Master_Table[[#This Row],[Unique ID]],"_",Master_Table[[#This Row],[Model Source]],"_",Master_Table[[#This Row],[System Type]],Master_Table[[#This Row],[System Subtype]],"_",Master_Table[[#This Row],[External Finish Type]])</f>
        <v>SP-170_EPD_SIPClosed _Brick</v>
      </c>
      <c r="C131" s="129" t="s">
        <v>513</v>
      </c>
      <c r="D131" s="129" t="s">
        <v>41</v>
      </c>
      <c r="E131" s="129" t="s">
        <v>560</v>
      </c>
      <c r="F131" s="129" t="s">
        <v>285</v>
      </c>
      <c r="G131" s="129" t="s">
        <v>730</v>
      </c>
      <c r="H131" s="129" t="s">
        <v>731</v>
      </c>
      <c r="I131" s="129" t="s">
        <v>732</v>
      </c>
      <c r="J131" s="129" t="s">
        <v>821</v>
      </c>
      <c r="K131" s="110" t="s">
        <v>659</v>
      </c>
      <c r="L131" s="129" t="s">
        <v>807</v>
      </c>
      <c r="M131" t="s">
        <v>351</v>
      </c>
      <c r="N131" s="79" t="s">
        <v>796</v>
      </c>
      <c r="O131" s="134" t="s">
        <v>815</v>
      </c>
      <c r="P131" s="134" t="s">
        <v>346</v>
      </c>
      <c r="Q131" t="s">
        <v>351</v>
      </c>
      <c r="R131" s="134" t="s">
        <v>584</v>
      </c>
      <c r="S131" s="129" t="s">
        <v>576</v>
      </c>
      <c r="T131" t="s">
        <v>351</v>
      </c>
      <c r="U131" s="129" t="s">
        <v>808</v>
      </c>
      <c r="V131" s="140">
        <v>0</v>
      </c>
      <c r="W131" s="124">
        <f>_xlfn.XLOOKUP(Master_Table[[#This Row],[Component Name]],'GWP NORMALISED'!$A$2:$A$500,'GWP NORMALISED'!$H$2:$H$500,FALSE)</f>
        <v>4.1849999999999996</v>
      </c>
      <c r="X131" s="125">
        <f>_xlfn.XLOOKUP(Master_Table[[#This Row],[Component Name]],'RAW GWP FOSSIL'!$A$2:$A$500,'RAW GWP FOSSIL'!$H$2:$H$500,FALSE)</f>
        <v>135</v>
      </c>
      <c r="Y131" s="129" t="s">
        <v>545</v>
      </c>
      <c r="Z131" s="129">
        <v>1</v>
      </c>
      <c r="AA131" s="129">
        <v>1.2E-2</v>
      </c>
      <c r="AB131" s="129">
        <v>0.1</v>
      </c>
      <c r="AC131" s="115">
        <f>Master_Table[[#This Row],[Length (m) (on wall)]]*Master_Table[[#This Row],[Height (m)]]*Master_Table[[#This Row],[Thickness (m)]]</f>
        <v>1.2000000000000001E-3</v>
      </c>
      <c r="AD131" s="129">
        <v>5</v>
      </c>
      <c r="AE131" s="149">
        <f>Master_Table[[#This Row],[Length (m) (on wall)]]*Master_Table[[#This Row],[Height (m)]]/1</f>
        <v>1.2E-2</v>
      </c>
      <c r="AF131" s="147">
        <v>2000</v>
      </c>
      <c r="AG131" s="129">
        <f>0.031*1000</f>
        <v>31</v>
      </c>
      <c r="AH131" s="147">
        <v>2</v>
      </c>
    </row>
    <row r="132" spans="2:34" x14ac:dyDescent="0.35">
      <c r="B132" s="115" t="str">
        <f>_xlfn.CONCAT(Master_Table[[#This Row],[Unique ID]],"_",Master_Table[[#This Row],[Model Source]],"_",Master_Table[[#This Row],[System Type]],Master_Table[[#This Row],[System Subtype]],"_",Master_Table[[#This Row],[External Finish Type]])</f>
        <v>SP-170_EPD_SIPClosed _Brick</v>
      </c>
      <c r="C132" s="129" t="s">
        <v>513</v>
      </c>
      <c r="D132" s="129" t="s">
        <v>41</v>
      </c>
      <c r="E132" s="129" t="s">
        <v>560</v>
      </c>
      <c r="F132" s="129" t="s">
        <v>285</v>
      </c>
      <c r="G132" s="129" t="s">
        <v>730</v>
      </c>
      <c r="H132" s="129" t="s">
        <v>731</v>
      </c>
      <c r="I132" s="129" t="s">
        <v>732</v>
      </c>
      <c r="J132" s="129" t="s">
        <v>821</v>
      </c>
      <c r="K132" s="110" t="s">
        <v>663</v>
      </c>
      <c r="L132" s="129"/>
      <c r="M132" t="s">
        <v>351</v>
      </c>
      <c r="N132" s="129" t="s">
        <v>355</v>
      </c>
      <c r="O132" s="129" t="s">
        <v>817</v>
      </c>
      <c r="P132" s="129" t="s">
        <v>346</v>
      </c>
      <c r="Q132" t="s">
        <v>351</v>
      </c>
      <c r="R132" s="129" t="s">
        <v>583</v>
      </c>
      <c r="S132" s="129" t="s">
        <v>577</v>
      </c>
      <c r="T132" t="s">
        <v>352</v>
      </c>
      <c r="U132" s="129" t="s">
        <v>334</v>
      </c>
      <c r="V132" s="140">
        <v>2</v>
      </c>
      <c r="W132" s="138">
        <v>0</v>
      </c>
      <c r="X132" s="147">
        <v>0</v>
      </c>
      <c r="Y132" s="129" t="s">
        <v>545</v>
      </c>
      <c r="Z132" s="129">
        <v>1</v>
      </c>
      <c r="AA132" s="129">
        <v>1</v>
      </c>
      <c r="AB132" s="129">
        <v>0.1</v>
      </c>
      <c r="AC132" s="115">
        <f>Master_Table[[#This Row],[Length (m) (on wall)]]*Master_Table[[#This Row],[Height (m)]]*Master_Table[[#This Row],[Thickness (m)]]</f>
        <v>0.1</v>
      </c>
      <c r="AD132" s="129">
        <v>1</v>
      </c>
      <c r="AE132" s="149">
        <v>1</v>
      </c>
      <c r="AF132" s="129">
        <v>1.2</v>
      </c>
      <c r="AG132" s="129">
        <f>Master_Table[[#This Row],[Material Density (kg/m^3)]]*Master_Table[[#This Row],[Thickness (m)]]</f>
        <v>0.12</v>
      </c>
      <c r="AH132" s="129">
        <v>2.5000000000000001E-2</v>
      </c>
    </row>
    <row r="133" spans="2:34" x14ac:dyDescent="0.35">
      <c r="B133" s="115" t="str">
        <f>_xlfn.CONCAT(Master_Table[[#This Row],[Unique ID]],"_",Master_Table[[#This Row],[Model Source]],"_",Master_Table[[#This Row],[System Type]],Master_Table[[#This Row],[System Subtype]],"_",Master_Table[[#This Row],[External Finish Type]])</f>
        <v>SP-170_EPD_SIPClosed _Brick</v>
      </c>
      <c r="C133" s="129" t="s">
        <v>513</v>
      </c>
      <c r="D133" s="129" t="s">
        <v>41</v>
      </c>
      <c r="E133" s="129" t="s">
        <v>560</v>
      </c>
      <c r="F133" s="129" t="s">
        <v>285</v>
      </c>
      <c r="G133" s="129" t="s">
        <v>730</v>
      </c>
      <c r="H133" s="129" t="s">
        <v>731</v>
      </c>
      <c r="I133" s="129" t="s">
        <v>732</v>
      </c>
      <c r="J133" s="129" t="s">
        <v>821</v>
      </c>
      <c r="K133" s="110" t="s">
        <v>663</v>
      </c>
      <c r="L133" s="129" t="s">
        <v>729</v>
      </c>
      <c r="M133" t="s">
        <v>351</v>
      </c>
      <c r="N133" s="133" t="s">
        <v>29</v>
      </c>
      <c r="O133" s="129" t="s">
        <v>816</v>
      </c>
      <c r="P133" s="129" t="s">
        <v>470</v>
      </c>
      <c r="Q133" t="s">
        <v>352</v>
      </c>
      <c r="R133" s="129" t="s">
        <v>554</v>
      </c>
      <c r="S133" s="129" t="s">
        <v>334</v>
      </c>
      <c r="T133" t="s">
        <v>352</v>
      </c>
      <c r="U133" s="129" t="s">
        <v>334</v>
      </c>
      <c r="V133" s="138">
        <v>1.5E-3</v>
      </c>
      <c r="W133" s="139">
        <v>0.25229166666666669</v>
      </c>
      <c r="X133" s="129">
        <v>4.2</v>
      </c>
      <c r="Y133" s="129" t="s">
        <v>545</v>
      </c>
      <c r="Z133" s="130">
        <v>2.4</v>
      </c>
      <c r="AA133" s="130">
        <v>2.4</v>
      </c>
      <c r="AB133" s="130">
        <v>4.4999999999999999E-4</v>
      </c>
      <c r="AC133" s="115">
        <f>Master_Table[[#This Row],[Length (m) (on wall)]]*Master_Table[[#This Row],[Height (m)]]*Master_Table[[#This Row],[Thickness (m)]]</f>
        <v>2.5919999999999997E-3</v>
      </c>
      <c r="AD133" s="129">
        <v>1</v>
      </c>
      <c r="AE133" s="149">
        <v>1</v>
      </c>
      <c r="AF133" s="151">
        <v>0</v>
      </c>
      <c r="AG133" s="151">
        <v>0.34599999999999997</v>
      </c>
      <c r="AH133" s="147">
        <v>0.3</v>
      </c>
    </row>
    <row r="134" spans="2:34" x14ac:dyDescent="0.35">
      <c r="B134" s="115" t="str">
        <f>_xlfn.CONCAT(Master_Table[[#This Row],[Unique ID]],"_",Master_Table[[#This Row],[Model Source]],"_",Master_Table[[#This Row],[System Type]],Master_Table[[#This Row],[System Subtype]],"_",Master_Table[[#This Row],[External Finish Type]])</f>
        <v>SP-170_EPD_SIPClosed _Brick</v>
      </c>
      <c r="C134" s="129" t="s">
        <v>513</v>
      </c>
      <c r="D134" s="129" t="s">
        <v>41</v>
      </c>
      <c r="E134" s="129" t="s">
        <v>560</v>
      </c>
      <c r="F134" s="129" t="s">
        <v>285</v>
      </c>
      <c r="G134" s="129" t="s">
        <v>730</v>
      </c>
      <c r="H134" s="129" t="s">
        <v>731</v>
      </c>
      <c r="I134" s="129" t="s">
        <v>732</v>
      </c>
      <c r="J134" s="129" t="s">
        <v>821</v>
      </c>
      <c r="K134" s="110" t="s">
        <v>663</v>
      </c>
      <c r="L134" s="129" t="s">
        <v>809</v>
      </c>
      <c r="M134" s="179" t="s">
        <v>351</v>
      </c>
      <c r="N134" s="178" t="s">
        <v>810</v>
      </c>
      <c r="O134" s="129" t="s">
        <v>663</v>
      </c>
      <c r="P134" s="129" t="s">
        <v>811</v>
      </c>
      <c r="Q134" t="s">
        <v>352</v>
      </c>
      <c r="R134" s="178" t="s">
        <v>812</v>
      </c>
      <c r="S134" s="129"/>
      <c r="T134" t="s">
        <v>351</v>
      </c>
      <c r="U134" s="129" t="s">
        <v>813</v>
      </c>
      <c r="V134" s="140">
        <v>0</v>
      </c>
      <c r="W134" s="138">
        <v>1</v>
      </c>
      <c r="X134" s="147">
        <v>0</v>
      </c>
      <c r="Y134" s="129"/>
      <c r="Z134" s="134">
        <v>1</v>
      </c>
      <c r="AA134" s="134">
        <v>1</v>
      </c>
      <c r="AB134" s="134">
        <v>1</v>
      </c>
      <c r="AC134" s="115">
        <f>Master_Table[[#This Row],[Length (m) (on wall)]]*Master_Table[[#This Row],[Height (m)]]*Master_Table[[#This Row],[Thickness (m)]]</f>
        <v>1</v>
      </c>
      <c r="AD134" s="134">
        <v>1</v>
      </c>
      <c r="AE134" s="152">
        <v>1</v>
      </c>
      <c r="AF134" s="134">
        <v>0</v>
      </c>
      <c r="AG134" s="134">
        <v>0.05</v>
      </c>
      <c r="AH134" s="134">
        <v>0</v>
      </c>
    </row>
    <row r="135" spans="2:34" x14ac:dyDescent="0.35">
      <c r="B135" s="115" t="str">
        <f>_xlfn.CONCAT(Master_Table[[#This Row],[Unique ID]],"_",Master_Table[[#This Row],[Model Source]],"_",Master_Table[[#This Row],[System Type]],Master_Table[[#This Row],[System Subtype]],"_",Master_Table[[#This Row],[External Finish Type]])</f>
        <v>SP-270_EPD_SIPClosed _Brick</v>
      </c>
      <c r="C135" s="129" t="s">
        <v>513</v>
      </c>
      <c r="D135" s="129" t="s">
        <v>41</v>
      </c>
      <c r="E135" s="129" t="s">
        <v>560</v>
      </c>
      <c r="F135" s="129" t="s">
        <v>285</v>
      </c>
      <c r="G135" s="129" t="s">
        <v>733</v>
      </c>
      <c r="H135" s="129" t="s">
        <v>731</v>
      </c>
      <c r="I135" s="129" t="s">
        <v>734</v>
      </c>
      <c r="J135" s="129" t="s">
        <v>821</v>
      </c>
      <c r="K135" s="110" t="s">
        <v>660</v>
      </c>
      <c r="L135" s="129"/>
      <c r="M135" t="s">
        <v>351</v>
      </c>
      <c r="N135" s="79" t="s">
        <v>191</v>
      </c>
      <c r="O135" s="129" t="s">
        <v>814</v>
      </c>
      <c r="P135" s="129" t="s">
        <v>532</v>
      </c>
      <c r="Q135" s="129" t="s">
        <v>352</v>
      </c>
      <c r="R135" s="129" t="s">
        <v>728</v>
      </c>
      <c r="S135" s="129"/>
      <c r="T135" s="129" t="s">
        <v>352</v>
      </c>
      <c r="U135" s="129" t="s">
        <v>334</v>
      </c>
      <c r="V135" s="141">
        <v>6.97</v>
      </c>
      <c r="W135" s="124">
        <f>_xlfn.XLOOKUP(Master_Table[[#This Row],[Component Name]],'GWP NORMALISED'!$A$2:$A$500,'GWP NORMALISED'!$H$2:$H$500,FALSE)</f>
        <v>24.6</v>
      </c>
      <c r="X135" s="125">
        <f>_xlfn.XLOOKUP(Master_Table[[#This Row],[Component Name]],'RAW GWP FOSSIL'!$A$2:$A$500,'RAW GWP FOSSIL'!$H$2:$H$500,FALSE)</f>
        <v>24.6</v>
      </c>
      <c r="Y135" s="129" t="s">
        <v>618</v>
      </c>
      <c r="Z135" s="129"/>
      <c r="AA135" s="129"/>
      <c r="AB135" s="129"/>
      <c r="AC135" s="115"/>
      <c r="AD135" s="129"/>
      <c r="AE135" s="149"/>
      <c r="AF135" s="129"/>
      <c r="AG135" s="129">
        <v>22.09</v>
      </c>
      <c r="AH135" s="129"/>
    </row>
    <row r="136" spans="2:34" x14ac:dyDescent="0.35">
      <c r="B136" s="115" t="str">
        <f>_xlfn.CONCAT(Master_Table[[#This Row],[Unique ID]],"_",Master_Table[[#This Row],[Model Source]],"_",Master_Table[[#This Row],[System Type]],Master_Table[[#This Row],[System Subtype]],"_",Master_Table[[#This Row],[External Finish Type]])</f>
        <v>SP-270_EPD_SIPClosed _Brick</v>
      </c>
      <c r="C136" s="129" t="s">
        <v>513</v>
      </c>
      <c r="D136" s="129" t="s">
        <v>41</v>
      </c>
      <c r="E136" s="129" t="s">
        <v>560</v>
      </c>
      <c r="F136" s="129" t="s">
        <v>285</v>
      </c>
      <c r="G136" s="129" t="s">
        <v>733</v>
      </c>
      <c r="H136" s="129" t="s">
        <v>736</v>
      </c>
      <c r="I136" s="129" t="s">
        <v>734</v>
      </c>
      <c r="J136" s="129" t="s">
        <v>821</v>
      </c>
      <c r="K136" s="110" t="s">
        <v>663</v>
      </c>
      <c r="L136" s="129"/>
      <c r="M136" t="s">
        <v>351</v>
      </c>
      <c r="N136" s="134" t="s">
        <v>349</v>
      </c>
      <c r="O136" s="134" t="s">
        <v>663</v>
      </c>
      <c r="P136" s="134" t="s">
        <v>347</v>
      </c>
      <c r="Q136" t="s">
        <v>351</v>
      </c>
      <c r="R136" s="134" t="s">
        <v>582</v>
      </c>
      <c r="S136" s="134" t="s">
        <v>578</v>
      </c>
      <c r="T136" t="s">
        <v>352</v>
      </c>
      <c r="U136" s="129" t="s">
        <v>334</v>
      </c>
      <c r="V136" s="140">
        <v>6.5789473684210523E-2</v>
      </c>
      <c r="W136" s="138">
        <v>1.839</v>
      </c>
      <c r="X136" s="147">
        <v>0</v>
      </c>
      <c r="Y136" s="129" t="s">
        <v>545</v>
      </c>
      <c r="Z136" s="129">
        <v>1</v>
      </c>
      <c r="AA136" s="129">
        <v>1</v>
      </c>
      <c r="AB136" s="129">
        <v>1.4999999999999999E-2</v>
      </c>
      <c r="AC136" s="115">
        <f>Master_Table[[#This Row],[Length (m) (on wall)]]*Master_Table[[#This Row],[Height (m)]]*Master_Table[[#This Row],[Thickness (m)]]</f>
        <v>1.4999999999999999E-2</v>
      </c>
      <c r="AD136" s="129">
        <v>1</v>
      </c>
      <c r="AE136" s="149">
        <v>1</v>
      </c>
      <c r="AF136" s="147">
        <v>615</v>
      </c>
      <c r="AG136" s="147">
        <f>Master_Table[[#This Row],[Material Density (kg/m^3)]]*Master_Table[[#This Row],[Thickness (m)]]</f>
        <v>9.2249999999999996</v>
      </c>
      <c r="AH136" s="147">
        <v>0.19</v>
      </c>
    </row>
    <row r="137" spans="2:34" x14ac:dyDescent="0.35">
      <c r="B137" s="115" t="str">
        <f>_xlfn.CONCAT(Master_Table[[#This Row],[Unique ID]],"_",Master_Table[[#This Row],[Model Source]],"_",Master_Table[[#This Row],[System Type]],Master_Table[[#This Row],[System Subtype]],"_",Master_Table[[#This Row],[External Finish Type]])</f>
        <v>SP-270_EPD_SIPClosed _Brick</v>
      </c>
      <c r="C137" s="129" t="s">
        <v>513</v>
      </c>
      <c r="D137" s="129" t="s">
        <v>41</v>
      </c>
      <c r="E137" s="129" t="s">
        <v>560</v>
      </c>
      <c r="F137" s="129" t="s">
        <v>285</v>
      </c>
      <c r="G137" s="129" t="s">
        <v>733</v>
      </c>
      <c r="H137" s="129" t="s">
        <v>736</v>
      </c>
      <c r="I137" s="129" t="s">
        <v>734</v>
      </c>
      <c r="J137" s="129" t="s">
        <v>821</v>
      </c>
      <c r="K137" s="110" t="s">
        <v>663</v>
      </c>
      <c r="L137" s="129"/>
      <c r="M137" t="s">
        <v>351</v>
      </c>
      <c r="N137" s="134" t="s">
        <v>566</v>
      </c>
      <c r="O137" s="134" t="s">
        <v>663</v>
      </c>
      <c r="P137" s="134" t="s">
        <v>347</v>
      </c>
      <c r="Q137" t="s">
        <v>351</v>
      </c>
      <c r="R137" s="134" t="s">
        <v>566</v>
      </c>
      <c r="S137" s="134" t="s">
        <v>580</v>
      </c>
      <c r="T137" t="s">
        <v>352</v>
      </c>
      <c r="U137" s="129" t="s">
        <v>334</v>
      </c>
      <c r="V137" s="140">
        <v>0</v>
      </c>
      <c r="W137" s="138">
        <v>1</v>
      </c>
      <c r="X137" s="147">
        <v>0</v>
      </c>
      <c r="Y137" s="129" t="s">
        <v>545</v>
      </c>
      <c r="Z137" s="134">
        <v>1</v>
      </c>
      <c r="AA137" s="134">
        <v>1</v>
      </c>
      <c r="AB137" s="134">
        <v>1</v>
      </c>
      <c r="AC137" s="115">
        <f>Master_Table[[#This Row],[Length (m) (on wall)]]*Master_Table[[#This Row],[Height (m)]]*Master_Table[[#This Row],[Thickness (m)]]</f>
        <v>1</v>
      </c>
      <c r="AD137" s="134">
        <v>1</v>
      </c>
      <c r="AE137" s="152">
        <v>1</v>
      </c>
      <c r="AF137" s="134">
        <v>0</v>
      </c>
      <c r="AG137" s="134">
        <f>Master_Table[[#This Row],[Material Density (kg/m^3)]]*Master_Table[[#This Row],[Thickness (m)]]</f>
        <v>0</v>
      </c>
      <c r="AH137" s="134">
        <v>0</v>
      </c>
    </row>
    <row r="138" spans="2:34" x14ac:dyDescent="0.35">
      <c r="B138" s="115" t="str">
        <f>_xlfn.CONCAT(Master_Table[[#This Row],[Unique ID]],"_",Master_Table[[#This Row],[Model Source]],"_",Master_Table[[#This Row],[System Type]],Master_Table[[#This Row],[System Subtype]],"_",Master_Table[[#This Row],[External Finish Type]])</f>
        <v>SP-270_EPD_SIPClosed _Brick</v>
      </c>
      <c r="C138" s="129" t="s">
        <v>513</v>
      </c>
      <c r="D138" s="129" t="s">
        <v>41</v>
      </c>
      <c r="E138" s="129" t="s">
        <v>560</v>
      </c>
      <c r="F138" s="129" t="s">
        <v>285</v>
      </c>
      <c r="G138" s="129" t="s">
        <v>733</v>
      </c>
      <c r="H138" s="129" t="s">
        <v>736</v>
      </c>
      <c r="I138" s="129" t="s">
        <v>734</v>
      </c>
      <c r="J138" s="129" t="s">
        <v>821</v>
      </c>
      <c r="K138" s="110" t="s">
        <v>663</v>
      </c>
      <c r="L138" s="129"/>
      <c r="M138" t="s">
        <v>351</v>
      </c>
      <c r="N138" s="129" t="s">
        <v>355</v>
      </c>
      <c r="O138" s="134" t="s">
        <v>817</v>
      </c>
      <c r="P138" s="129" t="s">
        <v>347</v>
      </c>
      <c r="Q138" t="s">
        <v>351</v>
      </c>
      <c r="R138" s="129" t="s">
        <v>581</v>
      </c>
      <c r="S138" s="129" t="s">
        <v>579</v>
      </c>
      <c r="T138" t="s">
        <v>352</v>
      </c>
      <c r="U138" s="129" t="s">
        <v>334</v>
      </c>
      <c r="V138" s="140">
        <v>0.5</v>
      </c>
      <c r="W138" s="148">
        <v>0</v>
      </c>
      <c r="X138" s="129">
        <v>0</v>
      </c>
      <c r="Y138" s="129" t="s">
        <v>545</v>
      </c>
      <c r="Z138" s="129">
        <v>1</v>
      </c>
      <c r="AA138" s="129">
        <v>1</v>
      </c>
      <c r="AB138" s="134">
        <v>0.05</v>
      </c>
      <c r="AC138" s="115">
        <f>Master_Table[[#This Row],[Length (m) (on wall)]]*Master_Table[[#This Row],[Height (m)]]*Master_Table[[#This Row],[Thickness (m)]]</f>
        <v>0.05</v>
      </c>
      <c r="AD138" s="129">
        <v>1</v>
      </c>
      <c r="AE138" s="149">
        <v>1</v>
      </c>
      <c r="AF138" s="129">
        <v>1.2</v>
      </c>
      <c r="AG138" s="129">
        <f>Master_Table[[#This Row],[Material Density (kg/m^3)]]*Master_Table[[#This Row],[Thickness (m)]]</f>
        <v>0.06</v>
      </c>
      <c r="AH138" s="129">
        <v>2.5000000000000001E-2</v>
      </c>
    </row>
    <row r="139" spans="2:34" x14ac:dyDescent="0.35">
      <c r="B139" s="115" t="str">
        <f>_xlfn.CONCAT(Master_Table[[#This Row],[Unique ID]],"_",Master_Table[[#This Row],[Model Source]],"_",Master_Table[[#This Row],[System Type]],Master_Table[[#This Row],[System Subtype]],"_",Master_Table[[#This Row],[External Finish Type]])</f>
        <v>SP-270_EPD_SIPClosed _Brick</v>
      </c>
      <c r="C139" s="129" t="s">
        <v>513</v>
      </c>
      <c r="D139" s="129" t="s">
        <v>41</v>
      </c>
      <c r="E139" s="129" t="s">
        <v>560</v>
      </c>
      <c r="F139" s="129" t="s">
        <v>285</v>
      </c>
      <c r="G139" s="129" t="s">
        <v>733</v>
      </c>
      <c r="H139" s="129" t="s">
        <v>736</v>
      </c>
      <c r="I139" s="129" t="s">
        <v>734</v>
      </c>
      <c r="J139" s="129" t="s">
        <v>821</v>
      </c>
      <c r="K139" s="110" t="s">
        <v>663</v>
      </c>
      <c r="L139" s="129"/>
      <c r="M139" t="s">
        <v>351</v>
      </c>
      <c r="N139" s="130" t="s">
        <v>285</v>
      </c>
      <c r="O139" s="134" t="s">
        <v>663</v>
      </c>
      <c r="P139" s="129" t="s">
        <v>346</v>
      </c>
      <c r="Q139" t="s">
        <v>351</v>
      </c>
      <c r="R139" s="129" t="s">
        <v>564</v>
      </c>
      <c r="S139" s="129" t="s">
        <v>563</v>
      </c>
      <c r="T139" t="s">
        <v>352</v>
      </c>
      <c r="U139" s="129" t="s">
        <v>334</v>
      </c>
      <c r="V139" s="140">
        <v>0.12987012987012989</v>
      </c>
      <c r="W139" s="138">
        <f>Master_Table[[#This Row],[Raw A1-A3/Conversion factor]]*Master_Table[[#This Row],[Total Mass per m^2 (kg)]]</f>
        <v>42.199999999999996</v>
      </c>
      <c r="X139" s="134">
        <v>0.21099999999999999</v>
      </c>
      <c r="Y139" s="134" t="s">
        <v>545</v>
      </c>
      <c r="Z139" s="134">
        <v>1</v>
      </c>
      <c r="AA139" s="134">
        <v>1</v>
      </c>
      <c r="AB139" s="134">
        <v>0.1</v>
      </c>
      <c r="AC139" s="115">
        <f>Master_Table[[#This Row],[Length (m) (on wall)]]*Master_Table[[#This Row],[Height (m)]]*Master_Table[[#This Row],[Thickness (m)]]</f>
        <v>0.1</v>
      </c>
      <c r="AD139" s="134">
        <v>1</v>
      </c>
      <c r="AE139" s="152">
        <v>1</v>
      </c>
      <c r="AF139" s="153">
        <v>2000</v>
      </c>
      <c r="AG139" s="150">
        <f>Master_Table[[#This Row],[Element Volume (m^3)]]*Master_Table[[#This Row],[No. of elements in 1 panel]]*Master_Table[[#This Row],[Material Density (kg/m^3)]]</f>
        <v>200</v>
      </c>
      <c r="AH139" s="129">
        <v>0.77</v>
      </c>
    </row>
    <row r="140" spans="2:34" x14ac:dyDescent="0.35">
      <c r="B140" s="115" t="str">
        <f>_xlfn.CONCAT(Master_Table[[#This Row],[Unique ID]],"_",Master_Table[[#This Row],[Model Source]],"_",Master_Table[[#This Row],[System Type]],Master_Table[[#This Row],[System Subtype]],"_",Master_Table[[#This Row],[External Finish Type]])</f>
        <v>SP-270_EPD_SIPClosed _Brick</v>
      </c>
      <c r="C140" s="129" t="s">
        <v>513</v>
      </c>
      <c r="D140" s="129" t="s">
        <v>41</v>
      </c>
      <c r="E140" s="129" t="s">
        <v>560</v>
      </c>
      <c r="F140" s="129" t="s">
        <v>285</v>
      </c>
      <c r="G140" s="129" t="s">
        <v>733</v>
      </c>
      <c r="H140" s="129" t="s">
        <v>736</v>
      </c>
      <c r="I140" s="129" t="s">
        <v>734</v>
      </c>
      <c r="J140" s="129" t="s">
        <v>821</v>
      </c>
      <c r="K140" s="110" t="s">
        <v>659</v>
      </c>
      <c r="L140" s="129" t="s">
        <v>807</v>
      </c>
      <c r="M140" t="s">
        <v>351</v>
      </c>
      <c r="N140" s="79" t="s">
        <v>796</v>
      </c>
      <c r="O140" s="134" t="s">
        <v>815</v>
      </c>
      <c r="P140" s="134" t="s">
        <v>346</v>
      </c>
      <c r="Q140" t="s">
        <v>351</v>
      </c>
      <c r="R140" s="134" t="s">
        <v>584</v>
      </c>
      <c r="S140" s="129" t="s">
        <v>576</v>
      </c>
      <c r="T140" t="s">
        <v>351</v>
      </c>
      <c r="U140" s="129" t="s">
        <v>808</v>
      </c>
      <c r="V140" s="140">
        <v>0</v>
      </c>
      <c r="W140" s="124">
        <f>_xlfn.XLOOKUP(Master_Table[[#This Row],[Component Name]],'GWP NORMALISED'!$A$2:$A$500,'GWP NORMALISED'!$H$2:$H$500,FALSE)</f>
        <v>4.1849999999999996</v>
      </c>
      <c r="X140" s="125">
        <f>_xlfn.XLOOKUP(Master_Table[[#This Row],[Component Name]],'RAW GWP FOSSIL'!$A$2:$A$500,'RAW GWP FOSSIL'!$H$2:$H$500,FALSE)</f>
        <v>135</v>
      </c>
      <c r="Y140" s="129" t="s">
        <v>545</v>
      </c>
      <c r="Z140" s="129">
        <v>1</v>
      </c>
      <c r="AA140" s="129">
        <v>1.2E-2</v>
      </c>
      <c r="AB140" s="129">
        <v>0.1</v>
      </c>
      <c r="AC140" s="115">
        <f>Master_Table[[#This Row],[Length (m) (on wall)]]*Master_Table[[#This Row],[Height (m)]]*Master_Table[[#This Row],[Thickness (m)]]</f>
        <v>1.2000000000000001E-3</v>
      </c>
      <c r="AD140" s="129">
        <v>5</v>
      </c>
      <c r="AE140" s="149">
        <f>Master_Table[[#This Row],[Length (m) (on wall)]]*Master_Table[[#This Row],[Height (m)]]/1</f>
        <v>1.2E-2</v>
      </c>
      <c r="AF140" s="147">
        <v>2000</v>
      </c>
      <c r="AG140" s="129">
        <f>0.031*1000</f>
        <v>31</v>
      </c>
      <c r="AH140" s="147">
        <v>2</v>
      </c>
    </row>
    <row r="141" spans="2:34" x14ac:dyDescent="0.35">
      <c r="B141" s="115" t="str">
        <f>_xlfn.CONCAT(Master_Table[[#This Row],[Unique ID]],"_",Master_Table[[#This Row],[Model Source]],"_",Master_Table[[#This Row],[System Type]],Master_Table[[#This Row],[System Subtype]],"_",Master_Table[[#This Row],[External Finish Type]])</f>
        <v>SP-270_EPD_SIPClosed _Brick</v>
      </c>
      <c r="C141" s="129" t="s">
        <v>513</v>
      </c>
      <c r="D141" s="129" t="s">
        <v>41</v>
      </c>
      <c r="E141" s="129" t="s">
        <v>560</v>
      </c>
      <c r="F141" s="129" t="s">
        <v>285</v>
      </c>
      <c r="G141" s="129" t="s">
        <v>733</v>
      </c>
      <c r="H141" s="129" t="s">
        <v>736</v>
      </c>
      <c r="I141" s="129" t="s">
        <v>734</v>
      </c>
      <c r="J141" s="129" t="s">
        <v>821</v>
      </c>
      <c r="K141" s="110" t="s">
        <v>663</v>
      </c>
      <c r="L141" s="129"/>
      <c r="M141" t="s">
        <v>351</v>
      </c>
      <c r="N141" s="129" t="s">
        <v>355</v>
      </c>
      <c r="O141" s="129" t="s">
        <v>817</v>
      </c>
      <c r="P141" s="129" t="s">
        <v>346</v>
      </c>
      <c r="Q141" t="s">
        <v>351</v>
      </c>
      <c r="R141" s="129" t="s">
        <v>583</v>
      </c>
      <c r="S141" s="129" t="s">
        <v>577</v>
      </c>
      <c r="T141" t="s">
        <v>352</v>
      </c>
      <c r="U141" s="129" t="s">
        <v>334</v>
      </c>
      <c r="V141" s="140">
        <v>2</v>
      </c>
      <c r="W141" s="138">
        <v>0</v>
      </c>
      <c r="X141" s="147">
        <v>0</v>
      </c>
      <c r="Y141" s="129" t="s">
        <v>545</v>
      </c>
      <c r="Z141" s="129">
        <v>1</v>
      </c>
      <c r="AA141" s="129">
        <v>1</v>
      </c>
      <c r="AB141" s="129">
        <v>0.1</v>
      </c>
      <c r="AC141" s="115">
        <f>Master_Table[[#This Row],[Length (m) (on wall)]]*Master_Table[[#This Row],[Height (m)]]*Master_Table[[#This Row],[Thickness (m)]]</f>
        <v>0.1</v>
      </c>
      <c r="AD141" s="129">
        <v>1</v>
      </c>
      <c r="AE141" s="149">
        <v>1</v>
      </c>
      <c r="AF141" s="129">
        <v>1.2</v>
      </c>
      <c r="AG141" s="129">
        <f>Master_Table[[#This Row],[Material Density (kg/m^3)]]*Master_Table[[#This Row],[Thickness (m)]]</f>
        <v>0.12</v>
      </c>
      <c r="AH141" s="129">
        <v>2.5000000000000001E-2</v>
      </c>
    </row>
    <row r="142" spans="2:34" x14ac:dyDescent="0.35">
      <c r="B142" s="115" t="str">
        <f>_xlfn.CONCAT(Master_Table[[#This Row],[Unique ID]],"_",Master_Table[[#This Row],[Model Source]],"_",Master_Table[[#This Row],[System Type]],Master_Table[[#This Row],[System Subtype]],"_",Master_Table[[#This Row],[External Finish Type]])</f>
        <v>SP-270_EPD_SIPClosed _Brick</v>
      </c>
      <c r="C142" s="129" t="s">
        <v>513</v>
      </c>
      <c r="D142" s="129" t="s">
        <v>41</v>
      </c>
      <c r="E142" s="129" t="s">
        <v>560</v>
      </c>
      <c r="F142" s="129" t="s">
        <v>285</v>
      </c>
      <c r="G142" s="129" t="s">
        <v>733</v>
      </c>
      <c r="H142" s="129" t="s">
        <v>736</v>
      </c>
      <c r="I142" s="129" t="s">
        <v>734</v>
      </c>
      <c r="J142" s="129" t="s">
        <v>821</v>
      </c>
      <c r="K142" s="110" t="s">
        <v>663</v>
      </c>
      <c r="L142" s="129" t="s">
        <v>729</v>
      </c>
      <c r="M142" t="s">
        <v>351</v>
      </c>
      <c r="N142" s="133" t="s">
        <v>29</v>
      </c>
      <c r="O142" s="129" t="s">
        <v>816</v>
      </c>
      <c r="P142" s="129" t="s">
        <v>470</v>
      </c>
      <c r="Q142" t="s">
        <v>352</v>
      </c>
      <c r="R142" s="129" t="s">
        <v>554</v>
      </c>
      <c r="S142" s="129" t="s">
        <v>334</v>
      </c>
      <c r="T142" t="s">
        <v>352</v>
      </c>
      <c r="U142" s="129" t="s">
        <v>334</v>
      </c>
      <c r="V142" s="138">
        <v>1.5E-3</v>
      </c>
      <c r="W142" s="139">
        <v>0.25229166666666669</v>
      </c>
      <c r="X142" s="129">
        <v>4.2</v>
      </c>
      <c r="Y142" s="129" t="s">
        <v>545</v>
      </c>
      <c r="Z142" s="130">
        <v>2.4</v>
      </c>
      <c r="AA142" s="130">
        <v>2.4</v>
      </c>
      <c r="AB142" s="130">
        <v>4.4999999999999999E-4</v>
      </c>
      <c r="AC142" s="115">
        <f>Master_Table[[#This Row],[Length (m) (on wall)]]*Master_Table[[#This Row],[Height (m)]]*Master_Table[[#This Row],[Thickness (m)]]</f>
        <v>2.5919999999999997E-3</v>
      </c>
      <c r="AD142" s="129">
        <v>1</v>
      </c>
      <c r="AE142" s="149">
        <v>1</v>
      </c>
      <c r="AF142" s="151">
        <v>0</v>
      </c>
      <c r="AG142" s="151">
        <v>0.34599999999999997</v>
      </c>
      <c r="AH142" s="147">
        <v>0.3</v>
      </c>
    </row>
    <row r="143" spans="2:34" x14ac:dyDescent="0.35">
      <c r="B143" s="115" t="str">
        <f>_xlfn.CONCAT(Master_Table[[#This Row],[Unique ID]],"_",Master_Table[[#This Row],[Model Source]],"_",Master_Table[[#This Row],[System Type]],Master_Table[[#This Row],[System Subtype]],"_",Master_Table[[#This Row],[External Finish Type]])</f>
        <v>SP-270_EPD_SIPClosed _Brick</v>
      </c>
      <c r="C143" s="129" t="s">
        <v>513</v>
      </c>
      <c r="D143" s="129" t="s">
        <v>41</v>
      </c>
      <c r="E143" s="129" t="s">
        <v>560</v>
      </c>
      <c r="F143" s="129" t="s">
        <v>285</v>
      </c>
      <c r="G143" s="129" t="s">
        <v>733</v>
      </c>
      <c r="H143" s="129" t="s">
        <v>736</v>
      </c>
      <c r="I143" s="129" t="s">
        <v>734</v>
      </c>
      <c r="J143" s="129" t="s">
        <v>821</v>
      </c>
      <c r="K143" s="110" t="s">
        <v>663</v>
      </c>
      <c r="L143" s="129" t="s">
        <v>809</v>
      </c>
      <c r="M143" s="179" t="s">
        <v>351</v>
      </c>
      <c r="N143" s="178" t="s">
        <v>810</v>
      </c>
      <c r="O143" s="129" t="s">
        <v>663</v>
      </c>
      <c r="P143" s="129" t="s">
        <v>811</v>
      </c>
      <c r="Q143" t="s">
        <v>352</v>
      </c>
      <c r="R143" s="178" t="s">
        <v>812</v>
      </c>
      <c r="S143" s="129"/>
      <c r="T143" t="s">
        <v>351</v>
      </c>
      <c r="U143" s="129" t="s">
        <v>813</v>
      </c>
      <c r="V143" s="140">
        <v>0</v>
      </c>
      <c r="W143" s="138">
        <v>1</v>
      </c>
      <c r="X143" s="147">
        <v>0</v>
      </c>
      <c r="Y143" s="129"/>
      <c r="Z143" s="134">
        <v>1</v>
      </c>
      <c r="AA143" s="134">
        <v>1</v>
      </c>
      <c r="AB143" s="134">
        <v>1</v>
      </c>
      <c r="AC143" s="115">
        <f>Master_Table[[#This Row],[Length (m) (on wall)]]*Master_Table[[#This Row],[Height (m)]]*Master_Table[[#This Row],[Thickness (m)]]</f>
        <v>1</v>
      </c>
      <c r="AD143" s="134">
        <v>1</v>
      </c>
      <c r="AE143" s="152">
        <v>1</v>
      </c>
      <c r="AF143" s="134">
        <v>0</v>
      </c>
      <c r="AG143" s="134">
        <v>0.05</v>
      </c>
      <c r="AH143" s="134">
        <v>0</v>
      </c>
    </row>
    <row r="144" spans="2:34" x14ac:dyDescent="0.35">
      <c r="B144" s="115" t="str">
        <f>_xlfn.CONCAT(Master_Table[[#This Row],[Unique ID]],"_",Master_Table[[#This Row],[Model Source]],"_",Master_Table[[#This Row],[System Type]],Master_Table[[#This Row],[System Subtype]],"_",Master_Table[[#This Row],[External Finish Type]])</f>
        <v>MgO_EPD_SIPClosed _Brick</v>
      </c>
      <c r="C144" s="129" t="s">
        <v>513</v>
      </c>
      <c r="D144" s="129" t="s">
        <v>41</v>
      </c>
      <c r="E144" s="129" t="s">
        <v>560</v>
      </c>
      <c r="F144" s="129" t="s">
        <v>285</v>
      </c>
      <c r="G144" s="129" t="s">
        <v>735</v>
      </c>
      <c r="H144" s="129" t="s">
        <v>737</v>
      </c>
      <c r="I144" s="129" t="s">
        <v>739</v>
      </c>
      <c r="J144" s="129" t="s">
        <v>821</v>
      </c>
      <c r="K144" s="110" t="s">
        <v>660</v>
      </c>
      <c r="L144" s="129"/>
      <c r="M144" t="s">
        <v>351</v>
      </c>
      <c r="N144" s="79" t="s">
        <v>204</v>
      </c>
      <c r="O144" s="129" t="s">
        <v>513</v>
      </c>
      <c r="P144" s="129" t="s">
        <v>532</v>
      </c>
      <c r="Q144" s="129" t="s">
        <v>352</v>
      </c>
      <c r="R144" s="129" t="s">
        <v>728</v>
      </c>
      <c r="S144" s="129"/>
      <c r="T144" s="129" t="s">
        <v>352</v>
      </c>
      <c r="U144" s="129" t="s">
        <v>334</v>
      </c>
      <c r="V144" s="141">
        <v>5.16</v>
      </c>
      <c r="W144" s="124">
        <f>_xlfn.XLOOKUP(Master_Table[[#This Row],[Component Name]],'GWP NORMALISED'!$A$2:$A$500,'GWP NORMALISED'!$H$2:$H$500,FALSE)</f>
        <v>44.4</v>
      </c>
      <c r="X144" s="125">
        <f>_xlfn.XLOOKUP(Master_Table[[#This Row],[Component Name]],'RAW GWP FOSSIL'!$A$2:$A$500,'RAW GWP FOSSIL'!$H$2:$H$500,FALSE)</f>
        <v>44.4</v>
      </c>
      <c r="Y144" s="129" t="s">
        <v>618</v>
      </c>
      <c r="Z144" s="129"/>
      <c r="AA144" s="129"/>
      <c r="AB144" s="129"/>
      <c r="AC144" s="115"/>
      <c r="AD144" s="129"/>
      <c r="AE144" s="149"/>
      <c r="AF144" s="129"/>
      <c r="AG144" s="129">
        <v>23.2</v>
      </c>
      <c r="AH144" s="129"/>
    </row>
    <row r="145" spans="2:34" x14ac:dyDescent="0.35">
      <c r="B145" s="115" t="str">
        <f>_xlfn.CONCAT(Master_Table[[#This Row],[Unique ID]],"_",Master_Table[[#This Row],[Model Source]],"_",Master_Table[[#This Row],[System Type]],Master_Table[[#This Row],[System Subtype]],"_",Master_Table[[#This Row],[External Finish Type]])</f>
        <v>MgO_EPD_SIPClosed _Brick</v>
      </c>
      <c r="C145" s="129" t="s">
        <v>513</v>
      </c>
      <c r="D145" s="129" t="s">
        <v>41</v>
      </c>
      <c r="E145" s="129" t="s">
        <v>560</v>
      </c>
      <c r="F145" s="129" t="s">
        <v>285</v>
      </c>
      <c r="G145" s="129" t="s">
        <v>735</v>
      </c>
      <c r="H145" s="129" t="s">
        <v>737</v>
      </c>
      <c r="I145" s="129" t="s">
        <v>739</v>
      </c>
      <c r="J145" s="129" t="s">
        <v>821</v>
      </c>
      <c r="K145" s="110" t="s">
        <v>663</v>
      </c>
      <c r="L145" s="129"/>
      <c r="M145" t="s">
        <v>351</v>
      </c>
      <c r="N145" s="134" t="s">
        <v>349</v>
      </c>
      <c r="O145" s="134" t="s">
        <v>663</v>
      </c>
      <c r="P145" s="134" t="s">
        <v>347</v>
      </c>
      <c r="Q145" t="s">
        <v>351</v>
      </c>
      <c r="R145" s="134" t="s">
        <v>582</v>
      </c>
      <c r="S145" s="134" t="s">
        <v>578</v>
      </c>
      <c r="T145" t="s">
        <v>352</v>
      </c>
      <c r="U145" s="129" t="s">
        <v>334</v>
      </c>
      <c r="V145" s="140">
        <v>6.5789473684210523E-2</v>
      </c>
      <c r="W145" s="138">
        <v>1.839</v>
      </c>
      <c r="X145" s="147">
        <v>0</v>
      </c>
      <c r="Y145" s="129" t="s">
        <v>545</v>
      </c>
      <c r="Z145" s="129">
        <v>1</v>
      </c>
      <c r="AA145" s="129">
        <v>1</v>
      </c>
      <c r="AB145" s="129">
        <v>1.4999999999999999E-2</v>
      </c>
      <c r="AC145" s="115">
        <f>Master_Table[[#This Row],[Length (m) (on wall)]]*Master_Table[[#This Row],[Height (m)]]*Master_Table[[#This Row],[Thickness (m)]]</f>
        <v>1.4999999999999999E-2</v>
      </c>
      <c r="AD145" s="129">
        <v>1</v>
      </c>
      <c r="AE145" s="149">
        <v>1</v>
      </c>
      <c r="AF145" s="147">
        <v>615</v>
      </c>
      <c r="AG145" s="147">
        <f>Master_Table[[#This Row],[Material Density (kg/m^3)]]*Master_Table[[#This Row],[Thickness (m)]]</f>
        <v>9.2249999999999996</v>
      </c>
      <c r="AH145" s="147">
        <v>0.19</v>
      </c>
    </row>
    <row r="146" spans="2:34" x14ac:dyDescent="0.35">
      <c r="B146" s="115" t="str">
        <f>_xlfn.CONCAT(Master_Table[[#This Row],[Unique ID]],"_",Master_Table[[#This Row],[Model Source]],"_",Master_Table[[#This Row],[System Type]],Master_Table[[#This Row],[System Subtype]],"_",Master_Table[[#This Row],[External Finish Type]])</f>
        <v>MgO_EPD_SIPClosed _Brick</v>
      </c>
      <c r="C146" s="129" t="s">
        <v>513</v>
      </c>
      <c r="D146" s="129" t="s">
        <v>41</v>
      </c>
      <c r="E146" s="129" t="s">
        <v>560</v>
      </c>
      <c r="F146" s="129" t="s">
        <v>285</v>
      </c>
      <c r="G146" s="129" t="s">
        <v>735</v>
      </c>
      <c r="H146" s="129" t="s">
        <v>737</v>
      </c>
      <c r="I146" s="129" t="s">
        <v>739</v>
      </c>
      <c r="J146" s="129" t="s">
        <v>821</v>
      </c>
      <c r="K146" s="110" t="s">
        <v>663</v>
      </c>
      <c r="L146" s="129"/>
      <c r="M146" t="s">
        <v>351</v>
      </c>
      <c r="N146" s="134" t="s">
        <v>566</v>
      </c>
      <c r="O146" s="134" t="s">
        <v>663</v>
      </c>
      <c r="P146" s="134" t="s">
        <v>347</v>
      </c>
      <c r="Q146" t="s">
        <v>351</v>
      </c>
      <c r="R146" s="134" t="s">
        <v>566</v>
      </c>
      <c r="S146" s="134" t="s">
        <v>580</v>
      </c>
      <c r="T146" t="s">
        <v>352</v>
      </c>
      <c r="U146" s="129" t="s">
        <v>334</v>
      </c>
      <c r="V146" s="140">
        <v>0</v>
      </c>
      <c r="W146" s="138">
        <v>1</v>
      </c>
      <c r="X146" s="147">
        <v>0</v>
      </c>
      <c r="Y146" s="129" t="s">
        <v>545</v>
      </c>
      <c r="Z146" s="134">
        <v>1</v>
      </c>
      <c r="AA146" s="134">
        <v>1</v>
      </c>
      <c r="AB146" s="134">
        <v>1</v>
      </c>
      <c r="AC146" s="115">
        <f>Master_Table[[#This Row],[Length (m) (on wall)]]*Master_Table[[#This Row],[Height (m)]]*Master_Table[[#This Row],[Thickness (m)]]</f>
        <v>1</v>
      </c>
      <c r="AD146" s="134">
        <v>1</v>
      </c>
      <c r="AE146" s="152">
        <v>1</v>
      </c>
      <c r="AF146" s="134">
        <v>0</v>
      </c>
      <c r="AG146" s="134">
        <f>Master_Table[[#This Row],[Material Density (kg/m^3)]]*Master_Table[[#This Row],[Thickness (m)]]</f>
        <v>0</v>
      </c>
      <c r="AH146" s="134">
        <v>0</v>
      </c>
    </row>
    <row r="147" spans="2:34" x14ac:dyDescent="0.35">
      <c r="B147" s="115" t="str">
        <f>_xlfn.CONCAT(Master_Table[[#This Row],[Unique ID]],"_",Master_Table[[#This Row],[Model Source]],"_",Master_Table[[#This Row],[System Type]],Master_Table[[#This Row],[System Subtype]],"_",Master_Table[[#This Row],[External Finish Type]])</f>
        <v>MgO_EPD_SIPClosed _Brick</v>
      </c>
      <c r="C147" s="129" t="s">
        <v>513</v>
      </c>
      <c r="D147" s="129" t="s">
        <v>41</v>
      </c>
      <c r="E147" s="129" t="s">
        <v>560</v>
      </c>
      <c r="F147" s="129" t="s">
        <v>285</v>
      </c>
      <c r="G147" s="129" t="s">
        <v>735</v>
      </c>
      <c r="H147" s="129" t="s">
        <v>737</v>
      </c>
      <c r="I147" s="129" t="s">
        <v>739</v>
      </c>
      <c r="J147" s="129" t="s">
        <v>821</v>
      </c>
      <c r="K147" s="110" t="s">
        <v>663</v>
      </c>
      <c r="L147" s="129"/>
      <c r="M147" t="s">
        <v>351</v>
      </c>
      <c r="N147" s="129" t="s">
        <v>355</v>
      </c>
      <c r="O147" s="129" t="s">
        <v>817</v>
      </c>
      <c r="P147" s="129" t="s">
        <v>347</v>
      </c>
      <c r="Q147" t="s">
        <v>351</v>
      </c>
      <c r="R147" s="129" t="s">
        <v>581</v>
      </c>
      <c r="S147" s="129" t="s">
        <v>579</v>
      </c>
      <c r="T147" t="s">
        <v>352</v>
      </c>
      <c r="U147" s="129" t="s">
        <v>334</v>
      </c>
      <c r="V147" s="140">
        <v>0.5</v>
      </c>
      <c r="W147" s="148">
        <v>0</v>
      </c>
      <c r="X147" s="129">
        <v>0</v>
      </c>
      <c r="Y147" s="129" t="s">
        <v>545</v>
      </c>
      <c r="Z147" s="129">
        <v>1</v>
      </c>
      <c r="AA147" s="129">
        <v>1</v>
      </c>
      <c r="AB147" s="134">
        <v>0.05</v>
      </c>
      <c r="AC147" s="115">
        <f>Master_Table[[#This Row],[Length (m) (on wall)]]*Master_Table[[#This Row],[Height (m)]]*Master_Table[[#This Row],[Thickness (m)]]</f>
        <v>0.05</v>
      </c>
      <c r="AD147" s="129">
        <v>1</v>
      </c>
      <c r="AE147" s="149">
        <v>1</v>
      </c>
      <c r="AF147" s="129">
        <v>1.2</v>
      </c>
      <c r="AG147" s="129">
        <f>Master_Table[[#This Row],[Material Density (kg/m^3)]]*Master_Table[[#This Row],[Thickness (m)]]</f>
        <v>0.06</v>
      </c>
      <c r="AH147" s="129">
        <v>2.5000000000000001E-2</v>
      </c>
    </row>
    <row r="148" spans="2:34" x14ac:dyDescent="0.35">
      <c r="B148" s="115" t="str">
        <f>_xlfn.CONCAT(Master_Table[[#This Row],[Unique ID]],"_",Master_Table[[#This Row],[Model Source]],"_",Master_Table[[#This Row],[System Type]],Master_Table[[#This Row],[System Subtype]],"_",Master_Table[[#This Row],[External Finish Type]])</f>
        <v>MgO_EPD_SIPClosed _Brick</v>
      </c>
      <c r="C148" s="129" t="s">
        <v>513</v>
      </c>
      <c r="D148" s="129" t="s">
        <v>41</v>
      </c>
      <c r="E148" s="129" t="s">
        <v>560</v>
      </c>
      <c r="F148" s="129" t="s">
        <v>285</v>
      </c>
      <c r="G148" s="129" t="s">
        <v>735</v>
      </c>
      <c r="H148" s="129" t="s">
        <v>737</v>
      </c>
      <c r="I148" s="129" t="s">
        <v>739</v>
      </c>
      <c r="J148" s="129" t="s">
        <v>821</v>
      </c>
      <c r="K148" s="110" t="s">
        <v>663</v>
      </c>
      <c r="L148" s="129"/>
      <c r="M148" t="s">
        <v>351</v>
      </c>
      <c r="N148" s="130" t="s">
        <v>285</v>
      </c>
      <c r="O148" s="129" t="s">
        <v>663</v>
      </c>
      <c r="P148" s="129" t="s">
        <v>346</v>
      </c>
      <c r="Q148" t="s">
        <v>351</v>
      </c>
      <c r="R148" s="129" t="s">
        <v>564</v>
      </c>
      <c r="S148" s="129" t="s">
        <v>563</v>
      </c>
      <c r="T148" t="s">
        <v>352</v>
      </c>
      <c r="U148" s="129" t="s">
        <v>334</v>
      </c>
      <c r="V148" s="140">
        <v>0.12987012987012989</v>
      </c>
      <c r="W148" s="138">
        <f>Master_Table[[#This Row],[Raw A1-A3/Conversion factor]]*Master_Table[[#This Row],[Total Mass per m^2 (kg)]]</f>
        <v>42.199999999999996</v>
      </c>
      <c r="X148" s="134">
        <v>0.21099999999999999</v>
      </c>
      <c r="Y148" s="134" t="s">
        <v>545</v>
      </c>
      <c r="Z148" s="134">
        <v>1</v>
      </c>
      <c r="AA148" s="134">
        <v>1</v>
      </c>
      <c r="AB148" s="134">
        <v>0.1</v>
      </c>
      <c r="AC148" s="115">
        <f>Master_Table[[#This Row],[Length (m) (on wall)]]*Master_Table[[#This Row],[Height (m)]]*Master_Table[[#This Row],[Thickness (m)]]</f>
        <v>0.1</v>
      </c>
      <c r="AD148" s="134">
        <v>1</v>
      </c>
      <c r="AE148" s="152">
        <v>1</v>
      </c>
      <c r="AF148" s="153">
        <v>2000</v>
      </c>
      <c r="AG148" s="150">
        <f>Master_Table[[#This Row],[Element Volume (m^3)]]*Master_Table[[#This Row],[No. of elements in 1 panel]]*Master_Table[[#This Row],[Material Density (kg/m^3)]]</f>
        <v>200</v>
      </c>
      <c r="AH148" s="129">
        <v>0.77</v>
      </c>
    </row>
    <row r="149" spans="2:34" x14ac:dyDescent="0.35">
      <c r="B149" s="115" t="str">
        <f>_xlfn.CONCAT(Master_Table[[#This Row],[Unique ID]],"_",Master_Table[[#This Row],[Model Source]],"_",Master_Table[[#This Row],[System Type]],Master_Table[[#This Row],[System Subtype]],"_",Master_Table[[#This Row],[External Finish Type]])</f>
        <v>MgO_EPD_SIPClosed _Brick</v>
      </c>
      <c r="C149" s="129" t="s">
        <v>513</v>
      </c>
      <c r="D149" s="129" t="s">
        <v>41</v>
      </c>
      <c r="E149" s="129" t="s">
        <v>560</v>
      </c>
      <c r="F149" s="129" t="s">
        <v>285</v>
      </c>
      <c r="G149" s="129" t="s">
        <v>735</v>
      </c>
      <c r="H149" s="129" t="s">
        <v>737</v>
      </c>
      <c r="I149" s="129" t="s">
        <v>739</v>
      </c>
      <c r="J149" s="129" t="s">
        <v>821</v>
      </c>
      <c r="K149" s="110" t="s">
        <v>659</v>
      </c>
      <c r="L149" s="129" t="s">
        <v>807</v>
      </c>
      <c r="M149" t="s">
        <v>351</v>
      </c>
      <c r="N149" s="79" t="s">
        <v>796</v>
      </c>
      <c r="O149" s="134" t="s">
        <v>815</v>
      </c>
      <c r="P149" s="134" t="s">
        <v>346</v>
      </c>
      <c r="Q149" t="s">
        <v>351</v>
      </c>
      <c r="R149" s="134" t="s">
        <v>584</v>
      </c>
      <c r="S149" s="129" t="s">
        <v>576</v>
      </c>
      <c r="T149" t="s">
        <v>351</v>
      </c>
      <c r="U149" s="129" t="s">
        <v>808</v>
      </c>
      <c r="V149" s="140">
        <v>0</v>
      </c>
      <c r="W149" s="124">
        <f>_xlfn.XLOOKUP(Master_Table[[#This Row],[Component Name]],'GWP NORMALISED'!$A$2:$A$500,'GWP NORMALISED'!$H$2:$H$500,FALSE)</f>
        <v>4.1849999999999996</v>
      </c>
      <c r="X149" s="125">
        <f>_xlfn.XLOOKUP(Master_Table[[#This Row],[Component Name]],'RAW GWP FOSSIL'!$A$2:$A$500,'RAW GWP FOSSIL'!$H$2:$H$500,FALSE)</f>
        <v>135</v>
      </c>
      <c r="Y149" s="129" t="s">
        <v>545</v>
      </c>
      <c r="Z149" s="129">
        <v>1</v>
      </c>
      <c r="AA149" s="129">
        <v>1.2E-2</v>
      </c>
      <c r="AB149" s="129">
        <v>0.1</v>
      </c>
      <c r="AC149" s="115">
        <f>Master_Table[[#This Row],[Length (m) (on wall)]]*Master_Table[[#This Row],[Height (m)]]*Master_Table[[#This Row],[Thickness (m)]]</f>
        <v>1.2000000000000001E-3</v>
      </c>
      <c r="AD149" s="129">
        <v>5</v>
      </c>
      <c r="AE149" s="149">
        <f>Master_Table[[#This Row],[Length (m) (on wall)]]*Master_Table[[#This Row],[Height (m)]]/1</f>
        <v>1.2E-2</v>
      </c>
      <c r="AF149" s="147">
        <v>2000</v>
      </c>
      <c r="AG149" s="129">
        <f>0.031*1000</f>
        <v>31</v>
      </c>
      <c r="AH149" s="147">
        <v>2</v>
      </c>
    </row>
    <row r="150" spans="2:34" x14ac:dyDescent="0.35">
      <c r="B150" s="115" t="str">
        <f>_xlfn.CONCAT(Master_Table[[#This Row],[Unique ID]],"_",Master_Table[[#This Row],[Model Source]],"_",Master_Table[[#This Row],[System Type]],Master_Table[[#This Row],[System Subtype]],"_",Master_Table[[#This Row],[External Finish Type]])</f>
        <v>MgO_EPD_SIPClosed _Brick</v>
      </c>
      <c r="C150" s="129" t="s">
        <v>513</v>
      </c>
      <c r="D150" s="129" t="s">
        <v>41</v>
      </c>
      <c r="E150" s="129" t="s">
        <v>560</v>
      </c>
      <c r="F150" s="129" t="s">
        <v>285</v>
      </c>
      <c r="G150" s="129" t="s">
        <v>735</v>
      </c>
      <c r="H150" s="129" t="s">
        <v>737</v>
      </c>
      <c r="I150" s="129" t="s">
        <v>739</v>
      </c>
      <c r="J150" s="129" t="s">
        <v>821</v>
      </c>
      <c r="K150" s="110" t="s">
        <v>663</v>
      </c>
      <c r="L150" s="129"/>
      <c r="M150" t="s">
        <v>351</v>
      </c>
      <c r="N150" s="129" t="s">
        <v>355</v>
      </c>
      <c r="O150" s="129" t="s">
        <v>817</v>
      </c>
      <c r="P150" s="129" t="s">
        <v>346</v>
      </c>
      <c r="Q150" t="s">
        <v>351</v>
      </c>
      <c r="R150" s="129" t="s">
        <v>583</v>
      </c>
      <c r="S150" s="129" t="s">
        <v>577</v>
      </c>
      <c r="T150" t="s">
        <v>352</v>
      </c>
      <c r="U150" s="129" t="s">
        <v>334</v>
      </c>
      <c r="V150" s="140">
        <v>2</v>
      </c>
      <c r="W150" s="138">
        <v>0</v>
      </c>
      <c r="X150" s="147">
        <v>0</v>
      </c>
      <c r="Y150" s="129" t="s">
        <v>545</v>
      </c>
      <c r="Z150" s="129">
        <v>1</v>
      </c>
      <c r="AA150" s="129">
        <v>1</v>
      </c>
      <c r="AB150" s="129">
        <v>0.1</v>
      </c>
      <c r="AC150" s="115">
        <f>Master_Table[[#This Row],[Length (m) (on wall)]]*Master_Table[[#This Row],[Height (m)]]*Master_Table[[#This Row],[Thickness (m)]]</f>
        <v>0.1</v>
      </c>
      <c r="AD150" s="129">
        <v>1</v>
      </c>
      <c r="AE150" s="149">
        <v>1</v>
      </c>
      <c r="AF150" s="129">
        <v>1.2</v>
      </c>
      <c r="AG150" s="129">
        <f>Master_Table[[#This Row],[Material Density (kg/m^3)]]*Master_Table[[#This Row],[Thickness (m)]]</f>
        <v>0.12</v>
      </c>
      <c r="AH150" s="129">
        <v>2.5000000000000001E-2</v>
      </c>
    </row>
    <row r="151" spans="2:34" x14ac:dyDescent="0.35">
      <c r="B151" s="115" t="str">
        <f>_xlfn.CONCAT(Master_Table[[#This Row],[Unique ID]],"_",Master_Table[[#This Row],[Model Source]],"_",Master_Table[[#This Row],[System Type]],Master_Table[[#This Row],[System Subtype]],"_",Master_Table[[#This Row],[External Finish Type]])</f>
        <v>MgO_EPD_SIPClosed _Brick</v>
      </c>
      <c r="C151" s="129" t="s">
        <v>513</v>
      </c>
      <c r="D151" s="129" t="s">
        <v>41</v>
      </c>
      <c r="E151" s="129" t="s">
        <v>560</v>
      </c>
      <c r="F151" s="129" t="s">
        <v>285</v>
      </c>
      <c r="G151" s="129" t="s">
        <v>735</v>
      </c>
      <c r="H151" s="129" t="s">
        <v>737</v>
      </c>
      <c r="I151" s="129" t="s">
        <v>739</v>
      </c>
      <c r="J151" s="129" t="s">
        <v>821</v>
      </c>
      <c r="K151" s="110" t="s">
        <v>663</v>
      </c>
      <c r="L151" s="129" t="s">
        <v>729</v>
      </c>
      <c r="M151" t="s">
        <v>351</v>
      </c>
      <c r="N151" s="133" t="s">
        <v>29</v>
      </c>
      <c r="O151" s="129" t="s">
        <v>816</v>
      </c>
      <c r="P151" s="129" t="s">
        <v>470</v>
      </c>
      <c r="Q151" t="s">
        <v>352</v>
      </c>
      <c r="R151" s="129" t="s">
        <v>554</v>
      </c>
      <c r="S151" s="129" t="s">
        <v>334</v>
      </c>
      <c r="T151" t="s">
        <v>352</v>
      </c>
      <c r="U151" s="129" t="s">
        <v>334</v>
      </c>
      <c r="V151" s="138">
        <v>1.5E-3</v>
      </c>
      <c r="W151" s="139">
        <v>0.25229166666666669</v>
      </c>
      <c r="X151" s="129">
        <v>4.2</v>
      </c>
      <c r="Y151" s="129" t="s">
        <v>545</v>
      </c>
      <c r="Z151" s="130">
        <v>2.4</v>
      </c>
      <c r="AA151" s="130">
        <v>2.4</v>
      </c>
      <c r="AB151" s="130">
        <v>4.4999999999999999E-4</v>
      </c>
      <c r="AC151" s="115">
        <f>Master_Table[[#This Row],[Length (m) (on wall)]]*Master_Table[[#This Row],[Height (m)]]*Master_Table[[#This Row],[Thickness (m)]]</f>
        <v>2.5919999999999997E-3</v>
      </c>
      <c r="AD151" s="129">
        <v>1</v>
      </c>
      <c r="AE151" s="149">
        <v>1</v>
      </c>
      <c r="AF151" s="151">
        <v>0</v>
      </c>
      <c r="AG151" s="151">
        <v>0.34599999999999997</v>
      </c>
      <c r="AH151" s="147">
        <v>0.3</v>
      </c>
    </row>
    <row r="152" spans="2:34" x14ac:dyDescent="0.35">
      <c r="B152" s="115" t="str">
        <f>_xlfn.CONCAT(Master_Table[[#This Row],[Unique ID]],"_",Master_Table[[#This Row],[Model Source]],"_",Master_Table[[#This Row],[System Type]],Master_Table[[#This Row],[System Subtype]],"_",Master_Table[[#This Row],[External Finish Type]])</f>
        <v>MgO_EPD_SIPClosed _Brick</v>
      </c>
      <c r="C152" s="129" t="s">
        <v>513</v>
      </c>
      <c r="D152" s="129" t="s">
        <v>41</v>
      </c>
      <c r="E152" s="129" t="s">
        <v>560</v>
      </c>
      <c r="F152" s="129" t="s">
        <v>285</v>
      </c>
      <c r="G152" s="129" t="s">
        <v>735</v>
      </c>
      <c r="H152" s="129" t="s">
        <v>737</v>
      </c>
      <c r="I152" s="129" t="s">
        <v>739</v>
      </c>
      <c r="J152" s="129" t="s">
        <v>821</v>
      </c>
      <c r="K152" s="110" t="s">
        <v>663</v>
      </c>
      <c r="L152" s="129" t="s">
        <v>809</v>
      </c>
      <c r="M152" s="179" t="s">
        <v>351</v>
      </c>
      <c r="N152" s="178" t="s">
        <v>810</v>
      </c>
      <c r="O152" s="129" t="s">
        <v>663</v>
      </c>
      <c r="P152" s="129" t="s">
        <v>811</v>
      </c>
      <c r="Q152" t="s">
        <v>352</v>
      </c>
      <c r="R152" s="178" t="s">
        <v>812</v>
      </c>
      <c r="S152" s="129"/>
      <c r="T152" t="s">
        <v>351</v>
      </c>
      <c r="U152" s="129" t="s">
        <v>813</v>
      </c>
      <c r="V152" s="140">
        <v>0</v>
      </c>
      <c r="W152" s="138">
        <v>1</v>
      </c>
      <c r="X152" s="147">
        <v>0</v>
      </c>
      <c r="Y152" s="129"/>
      <c r="Z152" s="134">
        <v>1</v>
      </c>
      <c r="AA152" s="134">
        <v>1</v>
      </c>
      <c r="AB152" s="134">
        <v>1</v>
      </c>
      <c r="AC152" s="115">
        <f>Master_Table[[#This Row],[Length (m) (on wall)]]*Master_Table[[#This Row],[Height (m)]]*Master_Table[[#This Row],[Thickness (m)]]</f>
        <v>1</v>
      </c>
      <c r="AD152" s="134">
        <v>1</v>
      </c>
      <c r="AE152" s="152">
        <v>1</v>
      </c>
      <c r="AF152" s="134">
        <v>0</v>
      </c>
      <c r="AG152" s="134">
        <v>0.05</v>
      </c>
      <c r="AH152" s="134">
        <v>0</v>
      </c>
    </row>
    <row r="153" spans="2:34" x14ac:dyDescent="0.35">
      <c r="B153" s="115" t="str">
        <f>_xlfn.CONCAT(Master_Table[[#This Row],[Unique ID]],"_",Master_Table[[#This Row],[Model Source]],"_",Master_Table[[#This Row],[System Type]],Master_Table[[#This Row],[System Subtype]],"_",Master_Table[[#This Row],[External Finish Type]])</f>
        <v>NZSIP 115_EPD_SIPClosed _Brick</v>
      </c>
      <c r="C153" s="129" t="s">
        <v>513</v>
      </c>
      <c r="D153" s="129" t="s">
        <v>41</v>
      </c>
      <c r="E153" s="129" t="s">
        <v>560</v>
      </c>
      <c r="F153" s="129" t="s">
        <v>285</v>
      </c>
      <c r="G153" s="129" t="s">
        <v>740</v>
      </c>
      <c r="H153" s="129" t="s">
        <v>776</v>
      </c>
      <c r="I153" s="129" t="s">
        <v>742</v>
      </c>
      <c r="J153" s="129" t="s">
        <v>821</v>
      </c>
      <c r="K153" s="110" t="s">
        <v>660</v>
      </c>
      <c r="L153" s="129"/>
      <c r="M153" t="s">
        <v>351</v>
      </c>
      <c r="N153" s="79" t="s">
        <v>194</v>
      </c>
      <c r="O153" s="129" t="s">
        <v>814</v>
      </c>
      <c r="P153" s="129" t="s">
        <v>532</v>
      </c>
      <c r="Q153" s="129" t="s">
        <v>352</v>
      </c>
      <c r="R153" s="129" t="s">
        <v>728</v>
      </c>
      <c r="S153" s="129"/>
      <c r="T153" s="129" t="s">
        <v>352</v>
      </c>
      <c r="U153" s="129" t="s">
        <v>334</v>
      </c>
      <c r="V153" s="159">
        <v>4.5</v>
      </c>
      <c r="W153" s="124">
        <f>_xlfn.XLOOKUP(Master_Table[[#This Row],[Component Name]],'GWP NORMALISED'!$A$2:$A$500,'GWP NORMALISED'!$H$2:$H$500,FALSE)</f>
        <v>40</v>
      </c>
      <c r="X153" s="125">
        <f>_xlfn.XLOOKUP(Master_Table[[#This Row],[Component Name]],'RAW GWP FOSSIL'!$A$2:$A$500,'RAW GWP FOSSIL'!$H$2:$H$500,FALSE)</f>
        <v>40</v>
      </c>
      <c r="Y153" s="129" t="s">
        <v>618</v>
      </c>
      <c r="Z153" s="129"/>
      <c r="AA153" s="129"/>
      <c r="AB153" s="129"/>
      <c r="AC153" s="115"/>
      <c r="AD153" s="129"/>
      <c r="AE153" s="149"/>
      <c r="AF153" s="129"/>
      <c r="AG153" s="129">
        <v>23.7</v>
      </c>
      <c r="AH153" s="129"/>
    </row>
    <row r="154" spans="2:34" x14ac:dyDescent="0.35">
      <c r="B154" s="115" t="str">
        <f>_xlfn.CONCAT(Master_Table[[#This Row],[Unique ID]],"_",Master_Table[[#This Row],[Model Source]],"_",Master_Table[[#This Row],[System Type]],Master_Table[[#This Row],[System Subtype]],"_",Master_Table[[#This Row],[External Finish Type]])</f>
        <v>NZSIP 115_EPD_SIPClosed _Brick</v>
      </c>
      <c r="C154" s="129" t="s">
        <v>513</v>
      </c>
      <c r="D154" s="129" t="s">
        <v>41</v>
      </c>
      <c r="E154" s="129" t="s">
        <v>560</v>
      </c>
      <c r="F154" s="129" t="s">
        <v>285</v>
      </c>
      <c r="G154" s="129" t="s">
        <v>740</v>
      </c>
      <c r="H154" s="129" t="s">
        <v>776</v>
      </c>
      <c r="I154" s="129" t="s">
        <v>742</v>
      </c>
      <c r="J154" s="129" t="s">
        <v>821</v>
      </c>
      <c r="K154" s="110" t="s">
        <v>663</v>
      </c>
      <c r="L154" s="129"/>
      <c r="M154" t="s">
        <v>351</v>
      </c>
      <c r="N154" s="134" t="s">
        <v>349</v>
      </c>
      <c r="O154" s="134" t="s">
        <v>663</v>
      </c>
      <c r="P154" s="134" t="s">
        <v>347</v>
      </c>
      <c r="Q154" t="s">
        <v>351</v>
      </c>
      <c r="R154" s="134" t="s">
        <v>582</v>
      </c>
      <c r="S154" s="134" t="s">
        <v>578</v>
      </c>
      <c r="T154" t="s">
        <v>352</v>
      </c>
      <c r="U154" s="129" t="s">
        <v>334</v>
      </c>
      <c r="V154" s="140">
        <v>6.5789473684210523E-2</v>
      </c>
      <c r="W154" s="138">
        <v>1.839</v>
      </c>
      <c r="X154" s="147">
        <v>0</v>
      </c>
      <c r="Y154" s="129" t="s">
        <v>545</v>
      </c>
      <c r="Z154" s="129">
        <v>1</v>
      </c>
      <c r="AA154" s="129">
        <v>1</v>
      </c>
      <c r="AB154" s="129">
        <v>1.4999999999999999E-2</v>
      </c>
      <c r="AC154" s="115">
        <f>Master_Table[[#This Row],[Length (m) (on wall)]]*Master_Table[[#This Row],[Height (m)]]*Master_Table[[#This Row],[Thickness (m)]]</f>
        <v>1.4999999999999999E-2</v>
      </c>
      <c r="AD154" s="129">
        <v>1</v>
      </c>
      <c r="AE154" s="149">
        <v>1</v>
      </c>
      <c r="AF154" s="147">
        <v>615</v>
      </c>
      <c r="AG154" s="147">
        <f>Master_Table[[#This Row],[Material Density (kg/m^3)]]*Master_Table[[#This Row],[Thickness (m)]]</f>
        <v>9.2249999999999996</v>
      </c>
      <c r="AH154" s="147">
        <v>0.19</v>
      </c>
    </row>
    <row r="155" spans="2:34" x14ac:dyDescent="0.35">
      <c r="B155" s="115" t="str">
        <f>_xlfn.CONCAT(Master_Table[[#This Row],[Unique ID]],"_",Master_Table[[#This Row],[Model Source]],"_",Master_Table[[#This Row],[System Type]],Master_Table[[#This Row],[System Subtype]],"_",Master_Table[[#This Row],[External Finish Type]])</f>
        <v>NZSIP 115_EPD_SIPClosed _Brick</v>
      </c>
      <c r="C155" s="129" t="s">
        <v>513</v>
      </c>
      <c r="D155" s="129" t="s">
        <v>41</v>
      </c>
      <c r="E155" s="129" t="s">
        <v>560</v>
      </c>
      <c r="F155" s="129" t="s">
        <v>285</v>
      </c>
      <c r="G155" s="129" t="s">
        <v>740</v>
      </c>
      <c r="H155" s="129" t="s">
        <v>776</v>
      </c>
      <c r="I155" s="129" t="s">
        <v>742</v>
      </c>
      <c r="J155" s="129" t="s">
        <v>821</v>
      </c>
      <c r="K155" s="110" t="s">
        <v>663</v>
      </c>
      <c r="L155" s="129"/>
      <c r="M155" t="s">
        <v>351</v>
      </c>
      <c r="N155" s="134" t="s">
        <v>566</v>
      </c>
      <c r="O155" s="134" t="s">
        <v>663</v>
      </c>
      <c r="P155" s="134" t="s">
        <v>347</v>
      </c>
      <c r="Q155" t="s">
        <v>351</v>
      </c>
      <c r="R155" s="134" t="s">
        <v>566</v>
      </c>
      <c r="S155" s="134" t="s">
        <v>580</v>
      </c>
      <c r="T155" t="s">
        <v>352</v>
      </c>
      <c r="U155" s="129" t="s">
        <v>334</v>
      </c>
      <c r="V155" s="140">
        <v>0</v>
      </c>
      <c r="W155" s="138">
        <v>1</v>
      </c>
      <c r="X155" s="147">
        <v>0</v>
      </c>
      <c r="Y155" s="129" t="s">
        <v>545</v>
      </c>
      <c r="Z155" s="134">
        <v>1</v>
      </c>
      <c r="AA155" s="134">
        <v>1</v>
      </c>
      <c r="AB155" s="134">
        <v>1</v>
      </c>
      <c r="AC155" s="115">
        <f>Master_Table[[#This Row],[Length (m) (on wall)]]*Master_Table[[#This Row],[Height (m)]]*Master_Table[[#This Row],[Thickness (m)]]</f>
        <v>1</v>
      </c>
      <c r="AD155" s="134">
        <v>1</v>
      </c>
      <c r="AE155" s="152">
        <v>1</v>
      </c>
      <c r="AF155" s="134">
        <v>0</v>
      </c>
      <c r="AG155" s="134">
        <f>Master_Table[[#This Row],[Material Density (kg/m^3)]]*Master_Table[[#This Row],[Thickness (m)]]</f>
        <v>0</v>
      </c>
      <c r="AH155" s="134">
        <v>0</v>
      </c>
    </row>
    <row r="156" spans="2:34" x14ac:dyDescent="0.35">
      <c r="B156" s="115" t="str">
        <f>_xlfn.CONCAT(Master_Table[[#This Row],[Unique ID]],"_",Master_Table[[#This Row],[Model Source]],"_",Master_Table[[#This Row],[System Type]],Master_Table[[#This Row],[System Subtype]],"_",Master_Table[[#This Row],[External Finish Type]])</f>
        <v>NZSIP 115_EPD_SIPClosed _Brick</v>
      </c>
      <c r="C156" s="129" t="s">
        <v>513</v>
      </c>
      <c r="D156" s="129" t="s">
        <v>41</v>
      </c>
      <c r="E156" s="129" t="s">
        <v>560</v>
      </c>
      <c r="F156" s="129" t="s">
        <v>285</v>
      </c>
      <c r="G156" s="129" t="s">
        <v>740</v>
      </c>
      <c r="H156" s="129" t="s">
        <v>776</v>
      </c>
      <c r="I156" s="129" t="s">
        <v>742</v>
      </c>
      <c r="J156" s="129" t="s">
        <v>821</v>
      </c>
      <c r="K156" s="110" t="s">
        <v>663</v>
      </c>
      <c r="L156" s="129"/>
      <c r="M156" t="s">
        <v>351</v>
      </c>
      <c r="N156" s="129" t="s">
        <v>355</v>
      </c>
      <c r="O156" s="129" t="s">
        <v>817</v>
      </c>
      <c r="P156" s="129" t="s">
        <v>347</v>
      </c>
      <c r="Q156" t="s">
        <v>351</v>
      </c>
      <c r="R156" s="129" t="s">
        <v>581</v>
      </c>
      <c r="S156" s="129" t="s">
        <v>579</v>
      </c>
      <c r="T156" t="s">
        <v>352</v>
      </c>
      <c r="U156" s="129" t="s">
        <v>334</v>
      </c>
      <c r="V156" s="140">
        <v>0.5</v>
      </c>
      <c r="W156" s="148">
        <v>0</v>
      </c>
      <c r="X156" s="129">
        <v>0</v>
      </c>
      <c r="Y156" s="129" t="s">
        <v>545</v>
      </c>
      <c r="Z156" s="129">
        <v>1</v>
      </c>
      <c r="AA156" s="129">
        <v>1</v>
      </c>
      <c r="AB156" s="134">
        <v>0.05</v>
      </c>
      <c r="AC156" s="115">
        <f>Master_Table[[#This Row],[Length (m) (on wall)]]*Master_Table[[#This Row],[Height (m)]]*Master_Table[[#This Row],[Thickness (m)]]</f>
        <v>0.05</v>
      </c>
      <c r="AD156" s="129">
        <v>1</v>
      </c>
      <c r="AE156" s="149">
        <v>1</v>
      </c>
      <c r="AF156" s="129">
        <v>1.2</v>
      </c>
      <c r="AG156" s="129">
        <f>Master_Table[[#This Row],[Material Density (kg/m^3)]]*Master_Table[[#This Row],[Thickness (m)]]</f>
        <v>0.06</v>
      </c>
      <c r="AH156" s="129">
        <v>2.5000000000000001E-2</v>
      </c>
    </row>
    <row r="157" spans="2:34" x14ac:dyDescent="0.35">
      <c r="B157" s="115" t="str">
        <f>_xlfn.CONCAT(Master_Table[[#This Row],[Unique ID]],"_",Master_Table[[#This Row],[Model Source]],"_",Master_Table[[#This Row],[System Type]],Master_Table[[#This Row],[System Subtype]],"_",Master_Table[[#This Row],[External Finish Type]])</f>
        <v>NZSIP 115_EPD_SIPClosed _Brick</v>
      </c>
      <c r="C157" s="129" t="s">
        <v>513</v>
      </c>
      <c r="D157" s="129" t="s">
        <v>41</v>
      </c>
      <c r="E157" s="129" t="s">
        <v>560</v>
      </c>
      <c r="F157" s="129" t="s">
        <v>285</v>
      </c>
      <c r="G157" s="129" t="s">
        <v>740</v>
      </c>
      <c r="H157" s="129" t="s">
        <v>776</v>
      </c>
      <c r="I157" s="129" t="s">
        <v>742</v>
      </c>
      <c r="J157" s="129" t="s">
        <v>821</v>
      </c>
      <c r="K157" s="110" t="s">
        <v>663</v>
      </c>
      <c r="L157" s="129"/>
      <c r="M157" t="s">
        <v>351</v>
      </c>
      <c r="N157" s="130" t="s">
        <v>285</v>
      </c>
      <c r="O157" s="129" t="s">
        <v>663</v>
      </c>
      <c r="P157" s="129" t="s">
        <v>346</v>
      </c>
      <c r="Q157" t="s">
        <v>351</v>
      </c>
      <c r="R157" s="129" t="s">
        <v>564</v>
      </c>
      <c r="S157" s="129" t="s">
        <v>563</v>
      </c>
      <c r="T157" t="s">
        <v>352</v>
      </c>
      <c r="U157" s="129" t="s">
        <v>334</v>
      </c>
      <c r="V157" s="140">
        <v>0.12987012987012989</v>
      </c>
      <c r="W157" s="138">
        <f>Master_Table[[#This Row],[Raw A1-A3/Conversion factor]]*Master_Table[[#This Row],[Total Mass per m^2 (kg)]]</f>
        <v>42.199999999999996</v>
      </c>
      <c r="X157" s="134">
        <v>0.21099999999999999</v>
      </c>
      <c r="Y157" s="134" t="s">
        <v>545</v>
      </c>
      <c r="Z157" s="134">
        <v>1</v>
      </c>
      <c r="AA157" s="134">
        <v>1</v>
      </c>
      <c r="AB157" s="134">
        <v>0.1</v>
      </c>
      <c r="AC157" s="115">
        <f>Master_Table[[#This Row],[Length (m) (on wall)]]*Master_Table[[#This Row],[Height (m)]]*Master_Table[[#This Row],[Thickness (m)]]</f>
        <v>0.1</v>
      </c>
      <c r="AD157" s="134">
        <v>1</v>
      </c>
      <c r="AE157" s="152">
        <v>1</v>
      </c>
      <c r="AF157" s="153">
        <v>2000</v>
      </c>
      <c r="AG157" s="150">
        <f>Master_Table[[#This Row],[Element Volume (m^3)]]*Master_Table[[#This Row],[No. of elements in 1 panel]]*Master_Table[[#This Row],[Material Density (kg/m^3)]]</f>
        <v>200</v>
      </c>
      <c r="AH157" s="129">
        <v>0.77</v>
      </c>
    </row>
    <row r="158" spans="2:34" x14ac:dyDescent="0.35">
      <c r="B158" s="115" t="str">
        <f>_xlfn.CONCAT(Master_Table[[#This Row],[Unique ID]],"_",Master_Table[[#This Row],[Model Source]],"_",Master_Table[[#This Row],[System Type]],Master_Table[[#This Row],[System Subtype]],"_",Master_Table[[#This Row],[External Finish Type]])</f>
        <v>NZSIP 115_EPD_SIPClosed _Brick</v>
      </c>
      <c r="C158" s="129" t="s">
        <v>513</v>
      </c>
      <c r="D158" s="129" t="s">
        <v>41</v>
      </c>
      <c r="E158" s="129" t="s">
        <v>560</v>
      </c>
      <c r="F158" s="129" t="s">
        <v>285</v>
      </c>
      <c r="G158" s="129" t="s">
        <v>740</v>
      </c>
      <c r="H158" s="129" t="s">
        <v>776</v>
      </c>
      <c r="I158" s="129" t="s">
        <v>742</v>
      </c>
      <c r="J158" s="129" t="s">
        <v>821</v>
      </c>
      <c r="K158" s="110" t="s">
        <v>659</v>
      </c>
      <c r="L158" s="129" t="s">
        <v>807</v>
      </c>
      <c r="M158" t="s">
        <v>351</v>
      </c>
      <c r="N158" s="79" t="s">
        <v>796</v>
      </c>
      <c r="O158" s="134" t="s">
        <v>815</v>
      </c>
      <c r="P158" s="134" t="s">
        <v>346</v>
      </c>
      <c r="Q158" t="s">
        <v>351</v>
      </c>
      <c r="R158" s="134" t="s">
        <v>584</v>
      </c>
      <c r="S158" s="129" t="s">
        <v>576</v>
      </c>
      <c r="T158" t="s">
        <v>351</v>
      </c>
      <c r="U158" s="129" t="s">
        <v>808</v>
      </c>
      <c r="V158" s="140">
        <v>0</v>
      </c>
      <c r="W158" s="124">
        <f>_xlfn.XLOOKUP(Master_Table[[#This Row],[Component Name]],'GWP NORMALISED'!$A$2:$A$500,'GWP NORMALISED'!$H$2:$H$500,FALSE)</f>
        <v>4.1849999999999996</v>
      </c>
      <c r="X158" s="125">
        <f>_xlfn.XLOOKUP(Master_Table[[#This Row],[Component Name]],'RAW GWP FOSSIL'!$A$2:$A$500,'RAW GWP FOSSIL'!$H$2:$H$500,FALSE)</f>
        <v>135</v>
      </c>
      <c r="Y158" s="129" t="s">
        <v>545</v>
      </c>
      <c r="Z158" s="129">
        <v>1</v>
      </c>
      <c r="AA158" s="129">
        <v>1.2E-2</v>
      </c>
      <c r="AB158" s="129">
        <v>0.1</v>
      </c>
      <c r="AC158" s="115">
        <f>Master_Table[[#This Row],[Length (m) (on wall)]]*Master_Table[[#This Row],[Height (m)]]*Master_Table[[#This Row],[Thickness (m)]]</f>
        <v>1.2000000000000001E-3</v>
      </c>
      <c r="AD158" s="129">
        <v>5</v>
      </c>
      <c r="AE158" s="149">
        <f>Master_Table[[#This Row],[Length (m) (on wall)]]*Master_Table[[#This Row],[Height (m)]]/1</f>
        <v>1.2E-2</v>
      </c>
      <c r="AF158" s="147">
        <v>2000</v>
      </c>
      <c r="AG158" s="129">
        <f>0.031*1000</f>
        <v>31</v>
      </c>
      <c r="AH158" s="147">
        <v>2</v>
      </c>
    </row>
    <row r="159" spans="2:34" x14ac:dyDescent="0.35">
      <c r="B159" s="115" t="str">
        <f>_xlfn.CONCAT(Master_Table[[#This Row],[Unique ID]],"_",Master_Table[[#This Row],[Model Source]],"_",Master_Table[[#This Row],[System Type]],Master_Table[[#This Row],[System Subtype]],"_",Master_Table[[#This Row],[External Finish Type]])</f>
        <v>NZSIP 115_EPD_SIPClosed _Brick</v>
      </c>
      <c r="C159" s="129" t="s">
        <v>513</v>
      </c>
      <c r="D159" s="129" t="s">
        <v>41</v>
      </c>
      <c r="E159" s="129" t="s">
        <v>560</v>
      </c>
      <c r="F159" s="129" t="s">
        <v>285</v>
      </c>
      <c r="G159" s="129" t="s">
        <v>740</v>
      </c>
      <c r="H159" s="129" t="s">
        <v>776</v>
      </c>
      <c r="I159" s="129" t="s">
        <v>742</v>
      </c>
      <c r="J159" s="129" t="s">
        <v>821</v>
      </c>
      <c r="K159" s="110" t="s">
        <v>663</v>
      </c>
      <c r="L159" s="129"/>
      <c r="M159" t="s">
        <v>351</v>
      </c>
      <c r="N159" s="129" t="s">
        <v>355</v>
      </c>
      <c r="O159" s="129" t="s">
        <v>817</v>
      </c>
      <c r="P159" s="129" t="s">
        <v>346</v>
      </c>
      <c r="Q159" t="s">
        <v>351</v>
      </c>
      <c r="R159" s="129" t="s">
        <v>583</v>
      </c>
      <c r="S159" s="129" t="s">
        <v>577</v>
      </c>
      <c r="T159" t="s">
        <v>352</v>
      </c>
      <c r="U159" s="129" t="s">
        <v>334</v>
      </c>
      <c r="V159" s="140">
        <v>2</v>
      </c>
      <c r="W159" s="138">
        <v>0</v>
      </c>
      <c r="X159" s="147">
        <v>0</v>
      </c>
      <c r="Y159" s="129" t="s">
        <v>545</v>
      </c>
      <c r="Z159" s="129">
        <v>1</v>
      </c>
      <c r="AA159" s="129">
        <v>1</v>
      </c>
      <c r="AB159" s="129">
        <v>0.1</v>
      </c>
      <c r="AC159" s="115">
        <f>Master_Table[[#This Row],[Length (m) (on wall)]]*Master_Table[[#This Row],[Height (m)]]*Master_Table[[#This Row],[Thickness (m)]]</f>
        <v>0.1</v>
      </c>
      <c r="AD159" s="129">
        <v>1</v>
      </c>
      <c r="AE159" s="149">
        <v>1</v>
      </c>
      <c r="AF159" s="129">
        <v>1.2</v>
      </c>
      <c r="AG159" s="129">
        <f>Master_Table[[#This Row],[Material Density (kg/m^3)]]*Master_Table[[#This Row],[Thickness (m)]]</f>
        <v>0.12</v>
      </c>
      <c r="AH159" s="129">
        <v>2.5000000000000001E-2</v>
      </c>
    </row>
    <row r="160" spans="2:34" x14ac:dyDescent="0.35">
      <c r="B160" s="115" t="str">
        <f>_xlfn.CONCAT(Master_Table[[#This Row],[Unique ID]],"_",Master_Table[[#This Row],[Model Source]],"_",Master_Table[[#This Row],[System Type]],Master_Table[[#This Row],[System Subtype]],"_",Master_Table[[#This Row],[External Finish Type]])</f>
        <v>NZSIP 115_EPD_SIPClosed _Brick</v>
      </c>
      <c r="C160" s="129" t="s">
        <v>513</v>
      </c>
      <c r="D160" s="129" t="s">
        <v>41</v>
      </c>
      <c r="E160" s="129" t="s">
        <v>560</v>
      </c>
      <c r="F160" s="129" t="s">
        <v>285</v>
      </c>
      <c r="G160" s="129" t="s">
        <v>740</v>
      </c>
      <c r="H160" s="129" t="s">
        <v>776</v>
      </c>
      <c r="I160" s="129" t="s">
        <v>742</v>
      </c>
      <c r="J160" s="129" t="s">
        <v>821</v>
      </c>
      <c r="K160" s="110" t="s">
        <v>663</v>
      </c>
      <c r="L160" s="129" t="s">
        <v>729</v>
      </c>
      <c r="M160" t="s">
        <v>351</v>
      </c>
      <c r="N160" s="133" t="s">
        <v>29</v>
      </c>
      <c r="O160" s="129" t="s">
        <v>816</v>
      </c>
      <c r="P160" s="129" t="s">
        <v>470</v>
      </c>
      <c r="Q160" t="s">
        <v>352</v>
      </c>
      <c r="R160" s="129" t="s">
        <v>554</v>
      </c>
      <c r="S160" s="129" t="s">
        <v>334</v>
      </c>
      <c r="T160" t="s">
        <v>352</v>
      </c>
      <c r="U160" s="129" t="s">
        <v>334</v>
      </c>
      <c r="V160" s="138">
        <v>1.5E-3</v>
      </c>
      <c r="W160" s="139">
        <v>0.25229166666666669</v>
      </c>
      <c r="X160" s="129">
        <v>4.2</v>
      </c>
      <c r="Y160" s="129" t="s">
        <v>545</v>
      </c>
      <c r="Z160" s="130">
        <v>2.4</v>
      </c>
      <c r="AA160" s="130">
        <v>2.4</v>
      </c>
      <c r="AB160" s="130">
        <v>4.4999999999999999E-4</v>
      </c>
      <c r="AC160" s="115">
        <f>Master_Table[[#This Row],[Length (m) (on wall)]]*Master_Table[[#This Row],[Height (m)]]*Master_Table[[#This Row],[Thickness (m)]]</f>
        <v>2.5919999999999997E-3</v>
      </c>
      <c r="AD160" s="129">
        <v>1</v>
      </c>
      <c r="AE160" s="149">
        <v>1</v>
      </c>
      <c r="AF160" s="151">
        <v>0</v>
      </c>
      <c r="AG160" s="151">
        <v>0.34599999999999997</v>
      </c>
      <c r="AH160" s="147">
        <v>0.3</v>
      </c>
    </row>
    <row r="161" spans="2:34" x14ac:dyDescent="0.35">
      <c r="B161" s="115" t="str">
        <f>_xlfn.CONCAT(Master_Table[[#This Row],[Unique ID]],"_",Master_Table[[#This Row],[Model Source]],"_",Master_Table[[#This Row],[System Type]],Master_Table[[#This Row],[System Subtype]],"_",Master_Table[[#This Row],[External Finish Type]])</f>
        <v>NZSIP 115_EPD_SIPClosed _Brick</v>
      </c>
      <c r="C161" s="129" t="s">
        <v>513</v>
      </c>
      <c r="D161" s="129" t="s">
        <v>41</v>
      </c>
      <c r="E161" s="129" t="s">
        <v>560</v>
      </c>
      <c r="F161" s="129" t="s">
        <v>285</v>
      </c>
      <c r="G161" s="129" t="s">
        <v>740</v>
      </c>
      <c r="H161" s="129" t="s">
        <v>776</v>
      </c>
      <c r="I161" s="129" t="s">
        <v>742</v>
      </c>
      <c r="J161" s="129" t="s">
        <v>821</v>
      </c>
      <c r="K161" s="110" t="s">
        <v>663</v>
      </c>
      <c r="L161" s="129" t="s">
        <v>809</v>
      </c>
      <c r="M161" s="179" t="s">
        <v>351</v>
      </c>
      <c r="N161" s="178" t="s">
        <v>810</v>
      </c>
      <c r="O161" s="129" t="s">
        <v>663</v>
      </c>
      <c r="P161" s="129" t="s">
        <v>811</v>
      </c>
      <c r="Q161" t="s">
        <v>352</v>
      </c>
      <c r="R161" s="178" t="s">
        <v>812</v>
      </c>
      <c r="S161" s="129"/>
      <c r="T161" t="s">
        <v>351</v>
      </c>
      <c r="U161" s="129" t="s">
        <v>813</v>
      </c>
      <c r="V161" s="140">
        <v>0</v>
      </c>
      <c r="W161" s="138">
        <v>1</v>
      </c>
      <c r="X161" s="147">
        <v>0</v>
      </c>
      <c r="Y161" s="129"/>
      <c r="Z161" s="134">
        <v>1</v>
      </c>
      <c r="AA161" s="134">
        <v>1</v>
      </c>
      <c r="AB161" s="134">
        <v>1</v>
      </c>
      <c r="AC161" s="115">
        <f>Master_Table[[#This Row],[Length (m) (on wall)]]*Master_Table[[#This Row],[Height (m)]]*Master_Table[[#This Row],[Thickness (m)]]</f>
        <v>1</v>
      </c>
      <c r="AD161" s="134">
        <v>1</v>
      </c>
      <c r="AE161" s="152">
        <v>1</v>
      </c>
      <c r="AF161" s="134">
        <v>0</v>
      </c>
      <c r="AG161" s="134">
        <v>0.05</v>
      </c>
      <c r="AH161" s="134">
        <v>0</v>
      </c>
    </row>
    <row r="162" spans="2:34" x14ac:dyDescent="0.35">
      <c r="B162" s="115" t="str">
        <f>_xlfn.CONCAT(Master_Table[[#This Row],[Unique ID]],"_",Master_Table[[#This Row],[Model Source]],"_",Master_Table[[#This Row],[System Type]],Master_Table[[#This Row],[System Subtype]],"_",Master_Table[[#This Row],[External Finish Type]])</f>
        <v>USASIP_EPD_SIPClosed _Brick</v>
      </c>
      <c r="C162" s="129" t="s">
        <v>513</v>
      </c>
      <c r="D162" s="129" t="s">
        <v>41</v>
      </c>
      <c r="E162" s="129" t="s">
        <v>560</v>
      </c>
      <c r="F162" s="129" t="s">
        <v>285</v>
      </c>
      <c r="G162" s="129" t="s">
        <v>741</v>
      </c>
      <c r="H162" s="129" t="s">
        <v>777</v>
      </c>
      <c r="I162" s="129"/>
      <c r="J162" s="129" t="s">
        <v>821</v>
      </c>
      <c r="K162" s="110" t="s">
        <v>660</v>
      </c>
      <c r="L162" s="129"/>
      <c r="M162" t="s">
        <v>351</v>
      </c>
      <c r="N162" s="79" t="s">
        <v>240</v>
      </c>
      <c r="O162" s="129" t="s">
        <v>814</v>
      </c>
      <c r="P162" s="129" t="s">
        <v>532</v>
      </c>
      <c r="Q162" s="129" t="s">
        <v>352</v>
      </c>
      <c r="R162" s="129" t="s">
        <v>728</v>
      </c>
      <c r="S162" s="129"/>
      <c r="T162" s="129" t="s">
        <v>352</v>
      </c>
      <c r="U162" s="129" t="s">
        <v>334</v>
      </c>
      <c r="V162" s="159">
        <v>3.7</v>
      </c>
      <c r="W162" s="124">
        <f>_xlfn.XLOOKUP(Master_Table[[#This Row],[Component Name]],'GWP NORMALISED'!$A$2:$A$500,'GWP NORMALISED'!$H$2:$H$500,FALSE)</f>
        <v>23.1</v>
      </c>
      <c r="X162" s="125">
        <f>_xlfn.XLOOKUP(Master_Table[[#This Row],[Component Name]],'RAW GWP FOSSIL'!$A$2:$A$500,'RAW GWP FOSSIL'!$H$2:$H$500,FALSE)</f>
        <v>23.1</v>
      </c>
      <c r="Y162" s="129" t="s">
        <v>618</v>
      </c>
      <c r="Z162" s="129"/>
      <c r="AA162" s="129"/>
      <c r="AB162" s="129"/>
      <c r="AC162" s="115"/>
      <c r="AD162" s="129"/>
      <c r="AE162" s="149"/>
      <c r="AF162" s="129"/>
      <c r="AG162" s="129">
        <v>18.600000000000001</v>
      </c>
      <c r="AH162" s="129"/>
    </row>
    <row r="163" spans="2:34" x14ac:dyDescent="0.35">
      <c r="B163" s="115" t="str">
        <f>_xlfn.CONCAT(Master_Table[[#This Row],[Unique ID]],"_",Master_Table[[#This Row],[Model Source]],"_",Master_Table[[#This Row],[System Type]],Master_Table[[#This Row],[System Subtype]],"_",Master_Table[[#This Row],[External Finish Type]])</f>
        <v>USASIP_EPD_SIPClosed _Brick</v>
      </c>
      <c r="C163" s="129" t="s">
        <v>513</v>
      </c>
      <c r="D163" s="129" t="s">
        <v>41</v>
      </c>
      <c r="E163" s="129" t="s">
        <v>560</v>
      </c>
      <c r="F163" s="129" t="s">
        <v>285</v>
      </c>
      <c r="G163" s="129" t="s">
        <v>741</v>
      </c>
      <c r="H163" s="129" t="s">
        <v>777</v>
      </c>
      <c r="I163" s="129"/>
      <c r="J163" s="129" t="s">
        <v>821</v>
      </c>
      <c r="K163" s="110" t="s">
        <v>663</v>
      </c>
      <c r="L163" s="129"/>
      <c r="M163" t="s">
        <v>351</v>
      </c>
      <c r="N163" s="134" t="s">
        <v>349</v>
      </c>
      <c r="O163" s="134" t="s">
        <v>663</v>
      </c>
      <c r="P163" s="134" t="s">
        <v>347</v>
      </c>
      <c r="Q163" t="s">
        <v>351</v>
      </c>
      <c r="R163" s="134" t="s">
        <v>582</v>
      </c>
      <c r="S163" s="134" t="s">
        <v>578</v>
      </c>
      <c r="T163" t="s">
        <v>352</v>
      </c>
      <c r="U163" s="129" t="s">
        <v>334</v>
      </c>
      <c r="V163" s="140">
        <v>6.5789473684210523E-2</v>
      </c>
      <c r="W163" s="138">
        <v>1.839</v>
      </c>
      <c r="X163" s="147">
        <v>0</v>
      </c>
      <c r="Y163" s="129" t="s">
        <v>545</v>
      </c>
      <c r="Z163" s="129">
        <v>1</v>
      </c>
      <c r="AA163" s="129">
        <v>1</v>
      </c>
      <c r="AB163" s="129">
        <v>1.4999999999999999E-2</v>
      </c>
      <c r="AC163" s="115">
        <f>Master_Table[[#This Row],[Length (m) (on wall)]]*Master_Table[[#This Row],[Height (m)]]*Master_Table[[#This Row],[Thickness (m)]]</f>
        <v>1.4999999999999999E-2</v>
      </c>
      <c r="AD163" s="129">
        <v>1</v>
      </c>
      <c r="AE163" s="149">
        <v>1</v>
      </c>
      <c r="AF163" s="147">
        <v>615</v>
      </c>
      <c r="AG163" s="147">
        <f>Master_Table[[#This Row],[Material Density (kg/m^3)]]*Master_Table[[#This Row],[Thickness (m)]]</f>
        <v>9.2249999999999996</v>
      </c>
      <c r="AH163" s="147">
        <v>0.19</v>
      </c>
    </row>
    <row r="164" spans="2:34" x14ac:dyDescent="0.35">
      <c r="B164" s="115" t="str">
        <f>_xlfn.CONCAT(Master_Table[[#This Row],[Unique ID]],"_",Master_Table[[#This Row],[Model Source]],"_",Master_Table[[#This Row],[System Type]],Master_Table[[#This Row],[System Subtype]],"_",Master_Table[[#This Row],[External Finish Type]])</f>
        <v>USASIP_EPD_SIPClosed _Brick</v>
      </c>
      <c r="C164" s="129" t="s">
        <v>513</v>
      </c>
      <c r="D164" s="129" t="s">
        <v>41</v>
      </c>
      <c r="E164" s="129" t="s">
        <v>560</v>
      </c>
      <c r="F164" s="129" t="s">
        <v>285</v>
      </c>
      <c r="G164" s="129" t="s">
        <v>741</v>
      </c>
      <c r="H164" s="129" t="s">
        <v>777</v>
      </c>
      <c r="I164" s="129"/>
      <c r="J164" s="129" t="s">
        <v>821</v>
      </c>
      <c r="K164" s="110" t="s">
        <v>663</v>
      </c>
      <c r="L164" s="129"/>
      <c r="M164" t="s">
        <v>351</v>
      </c>
      <c r="N164" s="134" t="s">
        <v>566</v>
      </c>
      <c r="O164" s="134" t="s">
        <v>663</v>
      </c>
      <c r="P164" s="134" t="s">
        <v>347</v>
      </c>
      <c r="Q164" t="s">
        <v>351</v>
      </c>
      <c r="R164" s="134" t="s">
        <v>566</v>
      </c>
      <c r="S164" s="134" t="s">
        <v>580</v>
      </c>
      <c r="T164" t="s">
        <v>352</v>
      </c>
      <c r="U164" s="129" t="s">
        <v>334</v>
      </c>
      <c r="V164" s="140">
        <v>0</v>
      </c>
      <c r="W164" s="138">
        <v>1</v>
      </c>
      <c r="X164" s="147">
        <v>0</v>
      </c>
      <c r="Y164" s="129" t="s">
        <v>545</v>
      </c>
      <c r="Z164" s="134">
        <v>1</v>
      </c>
      <c r="AA164" s="134">
        <v>1</v>
      </c>
      <c r="AB164" s="134">
        <v>1</v>
      </c>
      <c r="AC164" s="115">
        <f>Master_Table[[#This Row],[Length (m) (on wall)]]*Master_Table[[#This Row],[Height (m)]]*Master_Table[[#This Row],[Thickness (m)]]</f>
        <v>1</v>
      </c>
      <c r="AD164" s="134">
        <v>1</v>
      </c>
      <c r="AE164" s="152">
        <v>1</v>
      </c>
      <c r="AF164" s="134">
        <v>0</v>
      </c>
      <c r="AG164" s="134">
        <f>Master_Table[[#This Row],[Material Density (kg/m^3)]]*Master_Table[[#This Row],[Thickness (m)]]</f>
        <v>0</v>
      </c>
      <c r="AH164" s="134">
        <v>0</v>
      </c>
    </row>
    <row r="165" spans="2:34" x14ac:dyDescent="0.35">
      <c r="B165" s="115" t="str">
        <f>_xlfn.CONCAT(Master_Table[[#This Row],[Unique ID]],"_",Master_Table[[#This Row],[Model Source]],"_",Master_Table[[#This Row],[System Type]],Master_Table[[#This Row],[System Subtype]],"_",Master_Table[[#This Row],[External Finish Type]])</f>
        <v>USASIP_EPD_SIPClosed _Brick</v>
      </c>
      <c r="C165" s="129" t="s">
        <v>513</v>
      </c>
      <c r="D165" s="129" t="s">
        <v>41</v>
      </c>
      <c r="E165" s="129" t="s">
        <v>560</v>
      </c>
      <c r="F165" s="129" t="s">
        <v>285</v>
      </c>
      <c r="G165" s="129" t="s">
        <v>741</v>
      </c>
      <c r="H165" s="129" t="s">
        <v>777</v>
      </c>
      <c r="I165" s="129"/>
      <c r="J165" s="129" t="s">
        <v>821</v>
      </c>
      <c r="K165" s="110" t="s">
        <v>663</v>
      </c>
      <c r="L165" s="129"/>
      <c r="M165" t="s">
        <v>351</v>
      </c>
      <c r="N165" s="129" t="s">
        <v>355</v>
      </c>
      <c r="O165" s="129" t="s">
        <v>817</v>
      </c>
      <c r="P165" s="129" t="s">
        <v>347</v>
      </c>
      <c r="Q165" t="s">
        <v>351</v>
      </c>
      <c r="R165" s="129" t="s">
        <v>581</v>
      </c>
      <c r="S165" s="129" t="s">
        <v>579</v>
      </c>
      <c r="T165" t="s">
        <v>352</v>
      </c>
      <c r="U165" s="129" t="s">
        <v>334</v>
      </c>
      <c r="V165" s="140">
        <v>0.5</v>
      </c>
      <c r="W165" s="148">
        <v>0</v>
      </c>
      <c r="X165" s="129">
        <v>0</v>
      </c>
      <c r="Y165" s="129" t="s">
        <v>545</v>
      </c>
      <c r="Z165" s="129">
        <v>1</v>
      </c>
      <c r="AA165" s="129">
        <v>1</v>
      </c>
      <c r="AB165" s="134">
        <v>0.05</v>
      </c>
      <c r="AC165" s="115">
        <f>Master_Table[[#This Row],[Length (m) (on wall)]]*Master_Table[[#This Row],[Height (m)]]*Master_Table[[#This Row],[Thickness (m)]]</f>
        <v>0.05</v>
      </c>
      <c r="AD165" s="129">
        <v>1</v>
      </c>
      <c r="AE165" s="149">
        <v>1</v>
      </c>
      <c r="AF165" s="129">
        <v>1.2</v>
      </c>
      <c r="AG165" s="129">
        <f>Master_Table[[#This Row],[Material Density (kg/m^3)]]*Master_Table[[#This Row],[Thickness (m)]]</f>
        <v>0.06</v>
      </c>
      <c r="AH165" s="129">
        <v>2.5000000000000001E-2</v>
      </c>
    </row>
    <row r="166" spans="2:34" x14ac:dyDescent="0.35">
      <c r="B166" s="115" t="str">
        <f>_xlfn.CONCAT(Master_Table[[#This Row],[Unique ID]],"_",Master_Table[[#This Row],[Model Source]],"_",Master_Table[[#This Row],[System Type]],Master_Table[[#This Row],[System Subtype]],"_",Master_Table[[#This Row],[External Finish Type]])</f>
        <v>USASIP_EPD_SIPClosed _Brick</v>
      </c>
      <c r="C166" s="129" t="s">
        <v>513</v>
      </c>
      <c r="D166" s="129" t="s">
        <v>41</v>
      </c>
      <c r="E166" s="129" t="s">
        <v>560</v>
      </c>
      <c r="F166" s="129" t="s">
        <v>285</v>
      </c>
      <c r="G166" s="129" t="s">
        <v>741</v>
      </c>
      <c r="H166" s="129" t="s">
        <v>777</v>
      </c>
      <c r="I166" s="129"/>
      <c r="J166" s="129" t="s">
        <v>821</v>
      </c>
      <c r="K166" s="110" t="s">
        <v>663</v>
      </c>
      <c r="L166" s="129"/>
      <c r="M166" t="s">
        <v>351</v>
      </c>
      <c r="N166" s="130" t="s">
        <v>285</v>
      </c>
      <c r="O166" s="129" t="s">
        <v>663</v>
      </c>
      <c r="P166" s="129" t="s">
        <v>346</v>
      </c>
      <c r="Q166" t="s">
        <v>351</v>
      </c>
      <c r="R166" s="129" t="s">
        <v>564</v>
      </c>
      <c r="S166" s="129" t="s">
        <v>563</v>
      </c>
      <c r="T166" t="s">
        <v>352</v>
      </c>
      <c r="U166" s="129" t="s">
        <v>334</v>
      </c>
      <c r="V166" s="140">
        <v>0.12987012987012989</v>
      </c>
      <c r="W166" s="138">
        <f>Master_Table[[#This Row],[Raw A1-A3/Conversion factor]]*Master_Table[[#This Row],[Total Mass per m^2 (kg)]]</f>
        <v>42.199999999999996</v>
      </c>
      <c r="X166" s="134">
        <v>0.21099999999999999</v>
      </c>
      <c r="Y166" s="134" t="s">
        <v>545</v>
      </c>
      <c r="Z166" s="134">
        <v>1</v>
      </c>
      <c r="AA166" s="134">
        <v>1</v>
      </c>
      <c r="AB166" s="134">
        <v>0.1</v>
      </c>
      <c r="AC166" s="115">
        <f>Master_Table[[#This Row],[Length (m) (on wall)]]*Master_Table[[#This Row],[Height (m)]]*Master_Table[[#This Row],[Thickness (m)]]</f>
        <v>0.1</v>
      </c>
      <c r="AD166" s="134">
        <v>1</v>
      </c>
      <c r="AE166" s="152">
        <v>1</v>
      </c>
      <c r="AF166" s="153">
        <v>2000</v>
      </c>
      <c r="AG166" s="150">
        <f>Master_Table[[#This Row],[Element Volume (m^3)]]*Master_Table[[#This Row],[No. of elements in 1 panel]]*Master_Table[[#This Row],[Material Density (kg/m^3)]]</f>
        <v>200</v>
      </c>
      <c r="AH166" s="129">
        <v>0.77</v>
      </c>
    </row>
    <row r="167" spans="2:34" x14ac:dyDescent="0.35">
      <c r="B167" s="115" t="str">
        <f>_xlfn.CONCAT(Master_Table[[#This Row],[Unique ID]],"_",Master_Table[[#This Row],[Model Source]],"_",Master_Table[[#This Row],[System Type]],Master_Table[[#This Row],[System Subtype]],"_",Master_Table[[#This Row],[External Finish Type]])</f>
        <v>USASIP_EPD_SIPClosed _Brick</v>
      </c>
      <c r="C167" s="129" t="s">
        <v>513</v>
      </c>
      <c r="D167" s="129" t="s">
        <v>41</v>
      </c>
      <c r="E167" s="129" t="s">
        <v>560</v>
      </c>
      <c r="F167" s="129" t="s">
        <v>285</v>
      </c>
      <c r="G167" s="129" t="s">
        <v>741</v>
      </c>
      <c r="H167" s="129" t="s">
        <v>777</v>
      </c>
      <c r="I167" s="129"/>
      <c r="J167" s="129" t="s">
        <v>821</v>
      </c>
      <c r="K167" s="110" t="s">
        <v>659</v>
      </c>
      <c r="L167" s="129" t="s">
        <v>807</v>
      </c>
      <c r="M167" t="s">
        <v>351</v>
      </c>
      <c r="N167" s="79" t="s">
        <v>796</v>
      </c>
      <c r="O167" s="134" t="s">
        <v>815</v>
      </c>
      <c r="P167" s="134" t="s">
        <v>346</v>
      </c>
      <c r="Q167" t="s">
        <v>351</v>
      </c>
      <c r="R167" s="134" t="s">
        <v>584</v>
      </c>
      <c r="S167" s="129" t="s">
        <v>576</v>
      </c>
      <c r="T167" t="s">
        <v>351</v>
      </c>
      <c r="U167" s="129" t="s">
        <v>808</v>
      </c>
      <c r="V167" s="140">
        <v>0</v>
      </c>
      <c r="W167" s="124">
        <f>_xlfn.XLOOKUP(Master_Table[[#This Row],[Component Name]],'GWP NORMALISED'!$A$2:$A$500,'GWP NORMALISED'!$H$2:$H$500,FALSE)</f>
        <v>4.1849999999999996</v>
      </c>
      <c r="X167" s="125">
        <f>_xlfn.XLOOKUP(Master_Table[[#This Row],[Component Name]],'RAW GWP FOSSIL'!$A$2:$A$500,'RAW GWP FOSSIL'!$H$2:$H$500,FALSE)</f>
        <v>135</v>
      </c>
      <c r="Y167" s="129" t="s">
        <v>545</v>
      </c>
      <c r="Z167" s="129">
        <v>1</v>
      </c>
      <c r="AA167" s="129">
        <v>1.2E-2</v>
      </c>
      <c r="AB167" s="129">
        <v>0.1</v>
      </c>
      <c r="AC167" s="115">
        <f>Master_Table[[#This Row],[Length (m) (on wall)]]*Master_Table[[#This Row],[Height (m)]]*Master_Table[[#This Row],[Thickness (m)]]</f>
        <v>1.2000000000000001E-3</v>
      </c>
      <c r="AD167" s="129">
        <v>5</v>
      </c>
      <c r="AE167" s="149">
        <f>Master_Table[[#This Row],[Length (m) (on wall)]]*Master_Table[[#This Row],[Height (m)]]/1</f>
        <v>1.2E-2</v>
      </c>
      <c r="AF167" s="147">
        <v>2000</v>
      </c>
      <c r="AG167" s="129">
        <f>0.031*1000</f>
        <v>31</v>
      </c>
      <c r="AH167" s="147">
        <v>2</v>
      </c>
    </row>
    <row r="168" spans="2:34" x14ac:dyDescent="0.35">
      <c r="B168" s="115" t="str">
        <f>_xlfn.CONCAT(Master_Table[[#This Row],[Unique ID]],"_",Master_Table[[#This Row],[Model Source]],"_",Master_Table[[#This Row],[System Type]],Master_Table[[#This Row],[System Subtype]],"_",Master_Table[[#This Row],[External Finish Type]])</f>
        <v>USASIP_EPD_SIPClosed _Brick</v>
      </c>
      <c r="C168" s="129" t="s">
        <v>513</v>
      </c>
      <c r="D168" s="129" t="s">
        <v>41</v>
      </c>
      <c r="E168" s="129" t="s">
        <v>560</v>
      </c>
      <c r="F168" s="129" t="s">
        <v>285</v>
      </c>
      <c r="G168" s="129" t="s">
        <v>741</v>
      </c>
      <c r="H168" s="129" t="s">
        <v>777</v>
      </c>
      <c r="I168" s="129"/>
      <c r="J168" s="129" t="s">
        <v>821</v>
      </c>
      <c r="K168" s="110" t="s">
        <v>663</v>
      </c>
      <c r="L168" s="129"/>
      <c r="M168" t="s">
        <v>351</v>
      </c>
      <c r="N168" s="129" t="s">
        <v>355</v>
      </c>
      <c r="O168" s="129" t="s">
        <v>817</v>
      </c>
      <c r="P168" s="129" t="s">
        <v>346</v>
      </c>
      <c r="Q168" t="s">
        <v>351</v>
      </c>
      <c r="R168" s="129" t="s">
        <v>583</v>
      </c>
      <c r="S168" s="129" t="s">
        <v>577</v>
      </c>
      <c r="T168" t="s">
        <v>352</v>
      </c>
      <c r="U168" s="129" t="s">
        <v>334</v>
      </c>
      <c r="V168" s="140">
        <v>2</v>
      </c>
      <c r="W168" s="138">
        <v>0</v>
      </c>
      <c r="X168" s="147">
        <v>0</v>
      </c>
      <c r="Y168" s="129" t="s">
        <v>545</v>
      </c>
      <c r="Z168" s="129">
        <v>1</v>
      </c>
      <c r="AA168" s="129">
        <v>1</v>
      </c>
      <c r="AB168" s="129">
        <v>0.1</v>
      </c>
      <c r="AC168" s="115">
        <f>Master_Table[[#This Row],[Length (m) (on wall)]]*Master_Table[[#This Row],[Height (m)]]*Master_Table[[#This Row],[Thickness (m)]]</f>
        <v>0.1</v>
      </c>
      <c r="AD168" s="129">
        <v>1</v>
      </c>
      <c r="AE168" s="149">
        <v>1</v>
      </c>
      <c r="AF168" s="129">
        <v>1.2</v>
      </c>
      <c r="AG168" s="129">
        <f>Master_Table[[#This Row],[Material Density (kg/m^3)]]*Master_Table[[#This Row],[Thickness (m)]]</f>
        <v>0.12</v>
      </c>
      <c r="AH168" s="129">
        <v>2.5000000000000001E-2</v>
      </c>
    </row>
    <row r="169" spans="2:34" x14ac:dyDescent="0.35">
      <c r="B169" s="115" t="str">
        <f>_xlfn.CONCAT(Master_Table[[#This Row],[Unique ID]],"_",Master_Table[[#This Row],[Model Source]],"_",Master_Table[[#This Row],[System Type]],Master_Table[[#This Row],[System Subtype]],"_",Master_Table[[#This Row],[External Finish Type]])</f>
        <v>USASIP_EPD_SIPClosed _Brick</v>
      </c>
      <c r="C169" s="129" t="s">
        <v>513</v>
      </c>
      <c r="D169" s="129" t="s">
        <v>41</v>
      </c>
      <c r="E169" s="129" t="s">
        <v>560</v>
      </c>
      <c r="F169" s="129" t="s">
        <v>285</v>
      </c>
      <c r="G169" s="129" t="s">
        <v>741</v>
      </c>
      <c r="H169" s="129" t="s">
        <v>777</v>
      </c>
      <c r="I169" s="129"/>
      <c r="J169" s="129" t="s">
        <v>821</v>
      </c>
      <c r="K169" s="110" t="s">
        <v>663</v>
      </c>
      <c r="L169" s="129" t="s">
        <v>729</v>
      </c>
      <c r="M169" t="s">
        <v>351</v>
      </c>
      <c r="N169" s="133" t="s">
        <v>29</v>
      </c>
      <c r="O169" s="129" t="s">
        <v>816</v>
      </c>
      <c r="P169" s="129" t="s">
        <v>470</v>
      </c>
      <c r="Q169" t="s">
        <v>352</v>
      </c>
      <c r="R169" s="129" t="s">
        <v>554</v>
      </c>
      <c r="S169" s="129" t="s">
        <v>334</v>
      </c>
      <c r="T169" t="s">
        <v>352</v>
      </c>
      <c r="U169" s="129" t="s">
        <v>334</v>
      </c>
      <c r="V169" s="138">
        <v>1.5E-3</v>
      </c>
      <c r="W169" s="139">
        <v>0.25229166666666669</v>
      </c>
      <c r="X169" s="129">
        <v>4.2</v>
      </c>
      <c r="Y169" s="129" t="s">
        <v>545</v>
      </c>
      <c r="Z169" s="130">
        <v>2.4</v>
      </c>
      <c r="AA169" s="130">
        <v>2.4</v>
      </c>
      <c r="AB169" s="130">
        <v>4.4999999999999999E-4</v>
      </c>
      <c r="AC169" s="115">
        <f>Master_Table[[#This Row],[Length (m) (on wall)]]*Master_Table[[#This Row],[Height (m)]]*Master_Table[[#This Row],[Thickness (m)]]</f>
        <v>2.5919999999999997E-3</v>
      </c>
      <c r="AD169" s="129">
        <v>1</v>
      </c>
      <c r="AE169" s="149">
        <v>1</v>
      </c>
      <c r="AF169" s="151">
        <v>0</v>
      </c>
      <c r="AG169" s="151">
        <v>0.34599999999999997</v>
      </c>
      <c r="AH169" s="147">
        <v>0.3</v>
      </c>
    </row>
    <row r="170" spans="2:34" x14ac:dyDescent="0.35">
      <c r="B170" s="115" t="str">
        <f>_xlfn.CONCAT(Master_Table[[#This Row],[Unique ID]],"_",Master_Table[[#This Row],[Model Source]],"_",Master_Table[[#This Row],[System Type]],Master_Table[[#This Row],[System Subtype]],"_",Master_Table[[#This Row],[External Finish Type]])</f>
        <v>USASIP_EPD_SIPClosed _Brick</v>
      </c>
      <c r="C170" s="129" t="s">
        <v>513</v>
      </c>
      <c r="D170" s="129" t="s">
        <v>41</v>
      </c>
      <c r="E170" s="129" t="s">
        <v>560</v>
      </c>
      <c r="F170" s="129" t="s">
        <v>285</v>
      </c>
      <c r="G170" s="129" t="s">
        <v>741</v>
      </c>
      <c r="H170" s="129" t="s">
        <v>777</v>
      </c>
      <c r="I170" s="129"/>
      <c r="J170" s="129" t="s">
        <v>821</v>
      </c>
      <c r="K170" s="110" t="s">
        <v>663</v>
      </c>
      <c r="L170" s="129" t="s">
        <v>809</v>
      </c>
      <c r="M170" s="179" t="s">
        <v>351</v>
      </c>
      <c r="N170" s="178" t="s">
        <v>810</v>
      </c>
      <c r="O170" s="129" t="s">
        <v>663</v>
      </c>
      <c r="P170" s="129" t="s">
        <v>811</v>
      </c>
      <c r="Q170" t="s">
        <v>352</v>
      </c>
      <c r="R170" s="178" t="s">
        <v>812</v>
      </c>
      <c r="S170" s="129"/>
      <c r="T170" t="s">
        <v>351</v>
      </c>
      <c r="U170" s="129" t="s">
        <v>813</v>
      </c>
      <c r="V170" s="140">
        <v>0</v>
      </c>
      <c r="W170" s="138">
        <v>1</v>
      </c>
      <c r="X170" s="147">
        <v>0</v>
      </c>
      <c r="Y170" s="129"/>
      <c r="Z170" s="134">
        <v>1</v>
      </c>
      <c r="AA170" s="134">
        <v>1</v>
      </c>
      <c r="AB170" s="134">
        <v>1</v>
      </c>
      <c r="AC170" s="115">
        <f>Master_Table[[#This Row],[Length (m) (on wall)]]*Master_Table[[#This Row],[Height (m)]]*Master_Table[[#This Row],[Thickness (m)]]</f>
        <v>1</v>
      </c>
      <c r="AD170" s="134">
        <v>1</v>
      </c>
      <c r="AE170" s="152">
        <v>1</v>
      </c>
      <c r="AF170" s="134">
        <v>0</v>
      </c>
      <c r="AG170" s="134">
        <v>0.05</v>
      </c>
      <c r="AH170" s="134">
        <v>0</v>
      </c>
    </row>
    <row r="171" spans="2:34" x14ac:dyDescent="0.35">
      <c r="B171" s="115" t="str">
        <f>_xlfn.CONCAT(Master_Table[[#This Row],[Unique ID]],"_",Master_Table[[#This Row],[Model Source]],"_",Master_Table[[#This Row],[System Type]],Master_Table[[#This Row],[System Subtype]],"_",Master_Table[[#This Row],[External Finish Type]])</f>
        <v>Thermomur_EPD_ICFFormed Concrete_Brick</v>
      </c>
      <c r="C171" s="129" t="s">
        <v>513</v>
      </c>
      <c r="D171" s="129" t="s">
        <v>24</v>
      </c>
      <c r="E171" s="129" t="s">
        <v>481</v>
      </c>
      <c r="F171" s="129" t="s">
        <v>285</v>
      </c>
      <c r="G171" s="129" t="s">
        <v>743</v>
      </c>
      <c r="H171" s="129" t="s">
        <v>778</v>
      </c>
      <c r="I171" s="129"/>
      <c r="J171" s="129" t="s">
        <v>821</v>
      </c>
      <c r="K171" s="110" t="s">
        <v>660</v>
      </c>
      <c r="L171" s="129"/>
      <c r="M171" t="s">
        <v>351</v>
      </c>
      <c r="N171" s="79" t="s">
        <v>120</v>
      </c>
      <c r="O171" s="129" t="s">
        <v>814</v>
      </c>
      <c r="P171" s="129" t="s">
        <v>344</v>
      </c>
      <c r="Q171" t="s">
        <v>352</v>
      </c>
      <c r="R171" s="129" t="s">
        <v>639</v>
      </c>
      <c r="S171" s="129"/>
      <c r="T171" t="s">
        <v>352</v>
      </c>
      <c r="U171" s="129" t="s">
        <v>334</v>
      </c>
      <c r="V171" s="141">
        <v>5.96</v>
      </c>
      <c r="W171" s="124">
        <f>_xlfn.XLOOKUP(Master_Table[[#This Row],[Component Name]],'GWP NORMALISED'!$A$2:$A$500,'GWP NORMALISED'!$H$2:$H$500,FALSE)</f>
        <v>26.438000000000002</v>
      </c>
      <c r="X171" s="125">
        <f>_xlfn.XLOOKUP(Master_Table[[#This Row],[Component Name]],'RAW GWP FOSSIL'!$A$2:$A$500,'RAW GWP FOSSIL'!$H$2:$H$500,FALSE)</f>
        <v>26.438000000000002</v>
      </c>
      <c r="Y171" s="129" t="s">
        <v>618</v>
      </c>
      <c r="Z171" s="129"/>
      <c r="AA171" s="129"/>
      <c r="AB171" s="129"/>
      <c r="AC171" s="115">
        <f>Master_Table[[#This Row],[Length (m) (on wall)]]*Master_Table[[#This Row],[Height (m)]]*Master_Table[[#This Row],[Thickness (m)]]</f>
        <v>0</v>
      </c>
      <c r="AD171" s="129"/>
      <c r="AE171" s="149"/>
      <c r="AF171" s="129"/>
      <c r="AG171" s="129">
        <v>8.18</v>
      </c>
      <c r="AH171" s="129"/>
    </row>
    <row r="172" spans="2:34" x14ac:dyDescent="0.35">
      <c r="B172" s="115" t="str">
        <f>_xlfn.CONCAT(Master_Table[[#This Row],[Unique ID]],"_",Master_Table[[#This Row],[Model Source]],"_",Master_Table[[#This Row],[System Type]],Master_Table[[#This Row],[System Subtype]],"_",Master_Table[[#This Row],[External Finish Type]])</f>
        <v>Thermomur_EPD_ICFFormed Concrete_Brick</v>
      </c>
      <c r="C172" s="129" t="s">
        <v>513</v>
      </c>
      <c r="D172" s="129" t="s">
        <v>24</v>
      </c>
      <c r="E172" s="129" t="s">
        <v>481</v>
      </c>
      <c r="F172" s="129" t="s">
        <v>285</v>
      </c>
      <c r="G172" s="129" t="s">
        <v>743</v>
      </c>
      <c r="H172" s="129" t="s">
        <v>778</v>
      </c>
      <c r="I172" s="129"/>
      <c r="J172" s="129" t="s">
        <v>821</v>
      </c>
      <c r="K172" s="110" t="s">
        <v>660</v>
      </c>
      <c r="L172" s="129"/>
      <c r="M172" t="s">
        <v>351</v>
      </c>
      <c r="N172" s="137" t="s">
        <v>292</v>
      </c>
      <c r="O172" s="129" t="s">
        <v>815</v>
      </c>
      <c r="P172" s="129" t="s">
        <v>4</v>
      </c>
      <c r="Q172" t="s">
        <v>351</v>
      </c>
      <c r="R172" s="129"/>
      <c r="S172" s="129" t="s">
        <v>640</v>
      </c>
      <c r="T172" t="s">
        <v>352</v>
      </c>
      <c r="U172" s="129" t="s">
        <v>334</v>
      </c>
      <c r="V172" s="141">
        <f>0.15/0.85</f>
        <v>0.17647058823529413</v>
      </c>
      <c r="W172" s="124">
        <f>_xlfn.XLOOKUP(Master_Table[[#This Row],[Component Name]],'GWP NORMALISED'!$A$2:$A$500,'GWP NORMALISED'!$H$2:$H$500,FALSE)</f>
        <v>34.429499999999997</v>
      </c>
      <c r="X172" s="125">
        <f>_xlfn.XLOOKUP(Master_Table[[#This Row],[Component Name]],'RAW GWP FOSSIL'!$A$2:$A$500,'RAW GWP FOSSIL'!$H$2:$H$500,FALSE)</f>
        <v>229.53</v>
      </c>
      <c r="Y172" s="129" t="s">
        <v>642</v>
      </c>
      <c r="Z172" s="129">
        <v>1</v>
      </c>
      <c r="AA172" s="129">
        <v>1</v>
      </c>
      <c r="AB172" s="129">
        <v>0.15</v>
      </c>
      <c r="AC172" s="115">
        <f>Master_Table[[#This Row],[Length (m) (on wall)]]*Master_Table[[#This Row],[Height (m)]]*Master_Table[[#This Row],[Thickness (m)]]</f>
        <v>0.15</v>
      </c>
      <c r="AD172" s="129"/>
      <c r="AE172" s="149"/>
      <c r="AF172" s="129">
        <v>2412</v>
      </c>
      <c r="AG172" s="129">
        <f>Master_Table[[#This Row],[Material Density (kg/m^3)]]*Master_Table[[#This Row],[Element Volume (m^3)]]</f>
        <v>361.8</v>
      </c>
      <c r="AH172" s="129"/>
    </row>
    <row r="173" spans="2:34" x14ac:dyDescent="0.35">
      <c r="B173" s="115" t="str">
        <f>_xlfn.CONCAT(Master_Table[[#This Row],[Unique ID]],"_",Master_Table[[#This Row],[Model Source]],"_",Master_Table[[#This Row],[System Type]],Master_Table[[#This Row],[System Subtype]],"_",Master_Table[[#This Row],[External Finish Type]])</f>
        <v>Thermomur_EPD_ICFFormed Concrete_Brick</v>
      </c>
      <c r="C173" s="129" t="s">
        <v>513</v>
      </c>
      <c r="D173" s="129" t="s">
        <v>24</v>
      </c>
      <c r="E173" s="129" t="s">
        <v>481</v>
      </c>
      <c r="F173" s="129" t="s">
        <v>285</v>
      </c>
      <c r="G173" s="129" t="s">
        <v>743</v>
      </c>
      <c r="H173" s="129" t="s">
        <v>778</v>
      </c>
      <c r="I173" s="129"/>
      <c r="J173" s="129" t="s">
        <v>821</v>
      </c>
      <c r="K173" s="110" t="s">
        <v>663</v>
      </c>
      <c r="L173" s="129" t="s">
        <v>673</v>
      </c>
      <c r="M173" t="s">
        <v>351</v>
      </c>
      <c r="N173" s="133" t="s">
        <v>446</v>
      </c>
      <c r="O173" s="129" t="s">
        <v>816</v>
      </c>
      <c r="P173" s="129" t="s">
        <v>4</v>
      </c>
      <c r="Q173" t="s">
        <v>351</v>
      </c>
      <c r="R173" s="129" t="s">
        <v>632</v>
      </c>
      <c r="S173" s="129" t="s">
        <v>633</v>
      </c>
      <c r="T173" t="s">
        <v>352</v>
      </c>
      <c r="U173" s="129" t="s">
        <v>334</v>
      </c>
      <c r="V173" s="141">
        <v>0</v>
      </c>
      <c r="W173" s="139">
        <v>12.383402777777778</v>
      </c>
      <c r="X173" s="129">
        <v>1.72</v>
      </c>
      <c r="Y173" s="129" t="s">
        <v>545</v>
      </c>
      <c r="Z173" s="129"/>
      <c r="AA173" s="129"/>
      <c r="AB173" s="129"/>
      <c r="AC173" s="115">
        <f>Master_Table[[#This Row],[Length (m) (on wall)]]*Master_Table[[#This Row],[Height (m)]]*Master_Table[[#This Row],[Thickness (m)]]</f>
        <v>0</v>
      </c>
      <c r="AD173" s="129"/>
      <c r="AE173" s="149"/>
      <c r="AF173" s="129"/>
      <c r="AG173" s="139">
        <f>'LCA SYSTEMS'!J109/2.4^2</f>
        <v>0</v>
      </c>
      <c r="AH173" s="129"/>
    </row>
    <row r="174" spans="2:34" x14ac:dyDescent="0.35">
      <c r="B174" s="115" t="str">
        <f>_xlfn.CONCAT(Master_Table[[#This Row],[Unique ID]],"_",Master_Table[[#This Row],[Model Source]],"_",Master_Table[[#This Row],[System Type]],Master_Table[[#This Row],[System Subtype]],"_",Master_Table[[#This Row],[External Finish Type]])</f>
        <v>Thermomur_EPD_ICFFormed Concrete_Brick</v>
      </c>
      <c r="C174" s="129" t="s">
        <v>513</v>
      </c>
      <c r="D174" s="129" t="s">
        <v>24</v>
      </c>
      <c r="E174" s="129" t="s">
        <v>481</v>
      </c>
      <c r="F174" s="129" t="s">
        <v>285</v>
      </c>
      <c r="G174" s="129" t="s">
        <v>743</v>
      </c>
      <c r="H174" s="129" t="s">
        <v>778</v>
      </c>
      <c r="I174" s="129"/>
      <c r="J174" s="129" t="s">
        <v>821</v>
      </c>
      <c r="K174" s="110" t="s">
        <v>663</v>
      </c>
      <c r="L174" s="129" t="s">
        <v>668</v>
      </c>
      <c r="M174" t="s">
        <v>351</v>
      </c>
      <c r="N174" s="133" t="s">
        <v>29</v>
      </c>
      <c r="O174" s="129" t="s">
        <v>816</v>
      </c>
      <c r="P174" s="129" t="s">
        <v>470</v>
      </c>
      <c r="Q174" t="s">
        <v>352</v>
      </c>
      <c r="R174" s="129" t="s">
        <v>554</v>
      </c>
      <c r="S174" s="129" t="s">
        <v>630</v>
      </c>
      <c r="T174" t="s">
        <v>352</v>
      </c>
      <c r="U174" s="129" t="s">
        <v>334</v>
      </c>
      <c r="V174" s="141">
        <v>1.5E-3</v>
      </c>
      <c r="W174" s="139">
        <v>0.25229166666666669</v>
      </c>
      <c r="X174" s="129">
        <v>4.2</v>
      </c>
      <c r="Y174" s="129" t="s">
        <v>545</v>
      </c>
      <c r="Z174" s="129"/>
      <c r="AA174" s="129"/>
      <c r="AB174" s="129"/>
      <c r="AC174" s="115">
        <f>Master_Table[[#This Row],[Length (m) (on wall)]]*Master_Table[[#This Row],[Height (m)]]*Master_Table[[#This Row],[Thickness (m)]]</f>
        <v>0</v>
      </c>
      <c r="AD174" s="129"/>
      <c r="AE174" s="149"/>
      <c r="AF174" s="129"/>
      <c r="AG174" s="139">
        <f>'LCA SYSTEMS'!J110/2.4^2</f>
        <v>0</v>
      </c>
      <c r="AH174" s="129"/>
    </row>
    <row r="175" spans="2:34" x14ac:dyDescent="0.35">
      <c r="B175" s="115" t="str">
        <f>_xlfn.CONCAT(Master_Table[[#This Row],[Unique ID]],"_",Master_Table[[#This Row],[Model Source]],"_",Master_Table[[#This Row],[System Type]],Master_Table[[#This Row],[System Subtype]],"_",Master_Table[[#This Row],[External Finish Type]])</f>
        <v>Thermomur_EPD_ICFFormed Concrete_Brick</v>
      </c>
      <c r="C175" s="129" t="s">
        <v>513</v>
      </c>
      <c r="D175" s="129" t="s">
        <v>24</v>
      </c>
      <c r="E175" s="129" t="s">
        <v>481</v>
      </c>
      <c r="F175" s="129" t="s">
        <v>285</v>
      </c>
      <c r="G175" s="129" t="s">
        <v>743</v>
      </c>
      <c r="H175" s="129" t="s">
        <v>778</v>
      </c>
      <c r="I175" s="129"/>
      <c r="J175" s="129" t="s">
        <v>821</v>
      </c>
      <c r="K175" s="110" t="s">
        <v>663</v>
      </c>
      <c r="L175" s="129"/>
      <c r="M175" t="s">
        <v>351</v>
      </c>
      <c r="N175" s="130" t="s">
        <v>285</v>
      </c>
      <c r="O175" s="129" t="s">
        <v>663</v>
      </c>
      <c r="P175" s="129" t="s">
        <v>346</v>
      </c>
      <c r="Q175" t="s">
        <v>351</v>
      </c>
      <c r="R175" s="129" t="s">
        <v>564</v>
      </c>
      <c r="S175" s="129" t="s">
        <v>563</v>
      </c>
      <c r="T175" t="s">
        <v>352</v>
      </c>
      <c r="U175" s="129" t="s">
        <v>334</v>
      </c>
      <c r="V175" s="140">
        <v>0.12987012987012989</v>
      </c>
      <c r="W175" s="138">
        <f>Master_Table[[#This Row],[Raw A1-A3/Conversion factor]]*Master_Table[[#This Row],[Total Mass per m^2 (kg)]]</f>
        <v>42.199999999999996</v>
      </c>
      <c r="X175" s="134">
        <v>0.21099999999999999</v>
      </c>
      <c r="Y175" s="134" t="s">
        <v>545</v>
      </c>
      <c r="Z175" s="134">
        <v>1</v>
      </c>
      <c r="AA175" s="134">
        <v>1</v>
      </c>
      <c r="AB175" s="134">
        <v>0.1</v>
      </c>
      <c r="AC175" s="115">
        <f>Master_Table[[#This Row],[Length (m) (on wall)]]*Master_Table[[#This Row],[Height (m)]]*Master_Table[[#This Row],[Thickness (m)]]</f>
        <v>0.1</v>
      </c>
      <c r="AD175" s="134">
        <v>1</v>
      </c>
      <c r="AE175" s="152">
        <v>1</v>
      </c>
      <c r="AF175" s="153">
        <v>2000</v>
      </c>
      <c r="AG175" s="150">
        <f>Master_Table[[#This Row],[Element Volume (m^3)]]*Master_Table[[#This Row],[No. of elements in 1 panel]]*Master_Table[[#This Row],[Material Density (kg/m^3)]]</f>
        <v>200</v>
      </c>
      <c r="AH175" s="129">
        <v>0.77</v>
      </c>
    </row>
    <row r="176" spans="2:34" x14ac:dyDescent="0.35">
      <c r="B176" s="115" t="str">
        <f>_xlfn.CONCAT(Master_Table[[#This Row],[Unique ID]],"_",Master_Table[[#This Row],[Model Source]],"_",Master_Table[[#This Row],[System Type]],Master_Table[[#This Row],[System Subtype]],"_",Master_Table[[#This Row],[External Finish Type]])</f>
        <v>Thermomur_EPD_ICFFormed Concrete_Brick</v>
      </c>
      <c r="C176" s="129" t="s">
        <v>513</v>
      </c>
      <c r="D176" s="129" t="s">
        <v>24</v>
      </c>
      <c r="E176" s="129" t="s">
        <v>481</v>
      </c>
      <c r="F176" s="129" t="s">
        <v>285</v>
      </c>
      <c r="G176" s="129" t="s">
        <v>743</v>
      </c>
      <c r="H176" s="129" t="s">
        <v>778</v>
      </c>
      <c r="I176" s="129"/>
      <c r="J176" s="129" t="s">
        <v>821</v>
      </c>
      <c r="K176" s="110" t="s">
        <v>659</v>
      </c>
      <c r="L176" s="129" t="s">
        <v>807</v>
      </c>
      <c r="M176" t="s">
        <v>351</v>
      </c>
      <c r="N176" s="79" t="s">
        <v>796</v>
      </c>
      <c r="O176" s="134" t="s">
        <v>815</v>
      </c>
      <c r="P176" s="134" t="s">
        <v>346</v>
      </c>
      <c r="Q176" t="s">
        <v>351</v>
      </c>
      <c r="R176" s="134" t="s">
        <v>584</v>
      </c>
      <c r="S176" s="129" t="s">
        <v>576</v>
      </c>
      <c r="T176" t="s">
        <v>351</v>
      </c>
      <c r="U176" s="129" t="s">
        <v>808</v>
      </c>
      <c r="V176" s="140">
        <v>0</v>
      </c>
      <c r="W176" s="124">
        <f>_xlfn.XLOOKUP(Master_Table[[#This Row],[Component Name]],'GWP NORMALISED'!$A$2:$A$500,'GWP NORMALISED'!$H$2:$H$500,FALSE)</f>
        <v>4.1849999999999996</v>
      </c>
      <c r="X176" s="125">
        <f>_xlfn.XLOOKUP(Master_Table[[#This Row],[Component Name]],'RAW GWP FOSSIL'!$A$2:$A$500,'RAW GWP FOSSIL'!$H$2:$H$500,FALSE)</f>
        <v>135</v>
      </c>
      <c r="Y176" s="129" t="s">
        <v>545</v>
      </c>
      <c r="Z176" s="129">
        <v>1</v>
      </c>
      <c r="AA176" s="129">
        <v>1.2E-2</v>
      </c>
      <c r="AB176" s="129">
        <v>0.1</v>
      </c>
      <c r="AC176" s="115">
        <f>Master_Table[[#This Row],[Length (m) (on wall)]]*Master_Table[[#This Row],[Height (m)]]*Master_Table[[#This Row],[Thickness (m)]]</f>
        <v>1.2000000000000001E-3</v>
      </c>
      <c r="AD176" s="129">
        <v>5</v>
      </c>
      <c r="AE176" s="149">
        <f>Master_Table[[#This Row],[Length (m) (on wall)]]*Master_Table[[#This Row],[Height (m)]]/1</f>
        <v>1.2E-2</v>
      </c>
      <c r="AF176" s="147">
        <v>2000</v>
      </c>
      <c r="AG176" s="129">
        <f>0.031*1000</f>
        <v>31</v>
      </c>
      <c r="AH176" s="147">
        <v>2</v>
      </c>
    </row>
    <row r="177" spans="2:34" x14ac:dyDescent="0.35">
      <c r="B177" s="115" t="str">
        <f>_xlfn.CONCAT(Master_Table[[#This Row],[Unique ID]],"_",Master_Table[[#This Row],[Model Source]],"_",Master_Table[[#This Row],[System Type]],Master_Table[[#This Row],[System Subtype]],"_",Master_Table[[#This Row],[External Finish Type]])</f>
        <v>Thermomur_EPD_ICFFormed Concrete_Brick</v>
      </c>
      <c r="C177" s="129" t="s">
        <v>513</v>
      </c>
      <c r="D177" s="129" t="s">
        <v>24</v>
      </c>
      <c r="E177" s="129" t="s">
        <v>481</v>
      </c>
      <c r="F177" s="129" t="s">
        <v>285</v>
      </c>
      <c r="G177" s="129" t="s">
        <v>743</v>
      </c>
      <c r="H177" s="129" t="s">
        <v>778</v>
      </c>
      <c r="I177" s="129"/>
      <c r="J177" s="129" t="s">
        <v>821</v>
      </c>
      <c r="K177" s="110" t="s">
        <v>663</v>
      </c>
      <c r="L177" s="129"/>
      <c r="M177" t="s">
        <v>351</v>
      </c>
      <c r="N177" s="129" t="s">
        <v>355</v>
      </c>
      <c r="O177" s="129" t="s">
        <v>817</v>
      </c>
      <c r="P177" s="129" t="s">
        <v>346</v>
      </c>
      <c r="Q177" t="s">
        <v>351</v>
      </c>
      <c r="R177" s="129" t="s">
        <v>583</v>
      </c>
      <c r="S177" s="129" t="s">
        <v>577</v>
      </c>
      <c r="T177" t="s">
        <v>352</v>
      </c>
      <c r="U177" s="129" t="s">
        <v>334</v>
      </c>
      <c r="V177" s="140">
        <v>2</v>
      </c>
      <c r="W177" s="138">
        <v>0</v>
      </c>
      <c r="X177" s="147">
        <v>0</v>
      </c>
      <c r="Y177" s="129" t="s">
        <v>545</v>
      </c>
      <c r="Z177" s="129">
        <v>1</v>
      </c>
      <c r="AA177" s="129">
        <v>1</v>
      </c>
      <c r="AB177" s="129">
        <v>0.1</v>
      </c>
      <c r="AC177" s="115">
        <f>Master_Table[[#This Row],[Length (m) (on wall)]]*Master_Table[[#This Row],[Height (m)]]*Master_Table[[#This Row],[Thickness (m)]]</f>
        <v>0.1</v>
      </c>
      <c r="AD177" s="129">
        <v>1</v>
      </c>
      <c r="AE177" s="149">
        <v>1</v>
      </c>
      <c r="AF177" s="129">
        <v>1.2</v>
      </c>
      <c r="AG177" s="129">
        <f>Master_Table[[#This Row],[Material Density (kg/m^3)]]*Master_Table[[#This Row],[Thickness (m)]]</f>
        <v>0.12</v>
      </c>
      <c r="AH177" s="129">
        <v>2.5000000000000001E-2</v>
      </c>
    </row>
    <row r="178" spans="2:34" x14ac:dyDescent="0.35">
      <c r="B178" s="115" t="str">
        <f>_xlfn.CONCAT(Master_Table[[#This Row],[Unique ID]],"_",Master_Table[[#This Row],[Model Source]],"_",Master_Table[[#This Row],[System Type]],Master_Table[[#This Row],[System Subtype]],"_",Master_Table[[#This Row],[External Finish Type]])</f>
        <v>Thermomur_EPD_ICFFormed Concrete_Brick</v>
      </c>
      <c r="C178" s="129" t="s">
        <v>513</v>
      </c>
      <c r="D178" s="129" t="s">
        <v>24</v>
      </c>
      <c r="E178" s="129" t="s">
        <v>481</v>
      </c>
      <c r="F178" s="129" t="s">
        <v>285</v>
      </c>
      <c r="G178" s="129" t="s">
        <v>743</v>
      </c>
      <c r="H178" s="129" t="s">
        <v>778</v>
      </c>
      <c r="I178" s="129"/>
      <c r="J178" s="129" t="s">
        <v>821</v>
      </c>
      <c r="K178" s="110" t="s">
        <v>663</v>
      </c>
      <c r="L178" s="129"/>
      <c r="M178" t="s">
        <v>351</v>
      </c>
      <c r="N178" s="134" t="s">
        <v>349</v>
      </c>
      <c r="O178" s="134" t="s">
        <v>663</v>
      </c>
      <c r="P178" s="134" t="s">
        <v>347</v>
      </c>
      <c r="Q178" t="s">
        <v>351</v>
      </c>
      <c r="R178" s="134" t="s">
        <v>582</v>
      </c>
      <c r="S178" s="134" t="s">
        <v>578</v>
      </c>
      <c r="T178" t="s">
        <v>352</v>
      </c>
      <c r="U178" s="129" t="s">
        <v>334</v>
      </c>
      <c r="V178" s="140">
        <v>6.5789473684210523E-2</v>
      </c>
      <c r="W178" s="138">
        <v>1.839</v>
      </c>
      <c r="X178" s="147">
        <v>0</v>
      </c>
      <c r="Y178" s="129" t="s">
        <v>545</v>
      </c>
      <c r="Z178" s="129">
        <v>1</v>
      </c>
      <c r="AA178" s="129">
        <v>1</v>
      </c>
      <c r="AB178" s="129">
        <v>1.4999999999999999E-2</v>
      </c>
      <c r="AC178" s="115">
        <f>Master_Table[[#This Row],[Length (m) (on wall)]]*Master_Table[[#This Row],[Height (m)]]*Master_Table[[#This Row],[Thickness (m)]]</f>
        <v>1.4999999999999999E-2</v>
      </c>
      <c r="AD178" s="129">
        <v>1</v>
      </c>
      <c r="AE178" s="149">
        <v>1</v>
      </c>
      <c r="AF178" s="147">
        <v>615</v>
      </c>
      <c r="AG178" s="147">
        <f>Master_Table[[#This Row],[Material Density (kg/m^3)]]*Master_Table[[#This Row],[Thickness (m)]]</f>
        <v>9.2249999999999996</v>
      </c>
      <c r="AH178" s="147">
        <v>0.19</v>
      </c>
    </row>
    <row r="179" spans="2:34" x14ac:dyDescent="0.35">
      <c r="B179" s="115" t="str">
        <f>_xlfn.CONCAT(Master_Table[[#This Row],[Unique ID]],"_",Master_Table[[#This Row],[Model Source]],"_",Master_Table[[#This Row],[System Type]],Master_Table[[#This Row],[System Subtype]],"_",Master_Table[[#This Row],[External Finish Type]])</f>
        <v>Thermomur_EPD_ICFFormed Concrete_Brick</v>
      </c>
      <c r="C179" s="129" t="s">
        <v>513</v>
      </c>
      <c r="D179" s="129" t="s">
        <v>24</v>
      </c>
      <c r="E179" s="129" t="s">
        <v>481</v>
      </c>
      <c r="F179" s="129" t="s">
        <v>285</v>
      </c>
      <c r="G179" s="129" t="s">
        <v>743</v>
      </c>
      <c r="H179" s="129" t="s">
        <v>778</v>
      </c>
      <c r="I179" s="129"/>
      <c r="J179" s="129" t="s">
        <v>821</v>
      </c>
      <c r="K179" s="110" t="s">
        <v>663</v>
      </c>
      <c r="L179" s="129"/>
      <c r="M179" t="s">
        <v>351</v>
      </c>
      <c r="N179" s="134" t="s">
        <v>566</v>
      </c>
      <c r="O179" s="134" t="s">
        <v>663</v>
      </c>
      <c r="P179" s="134" t="s">
        <v>347</v>
      </c>
      <c r="Q179" t="s">
        <v>351</v>
      </c>
      <c r="R179" s="134" t="s">
        <v>566</v>
      </c>
      <c r="S179" s="134" t="s">
        <v>580</v>
      </c>
      <c r="T179" t="s">
        <v>352</v>
      </c>
      <c r="U179" s="129" t="s">
        <v>334</v>
      </c>
      <c r="V179" s="140">
        <v>0</v>
      </c>
      <c r="W179" s="138">
        <v>1</v>
      </c>
      <c r="X179" s="147">
        <v>0</v>
      </c>
      <c r="Y179" s="129" t="s">
        <v>545</v>
      </c>
      <c r="Z179" s="134">
        <v>1</v>
      </c>
      <c r="AA179" s="134">
        <v>1</v>
      </c>
      <c r="AB179" s="134">
        <v>1</v>
      </c>
      <c r="AC179" s="115">
        <f>Master_Table[[#This Row],[Length (m) (on wall)]]*Master_Table[[#This Row],[Height (m)]]*Master_Table[[#This Row],[Thickness (m)]]</f>
        <v>1</v>
      </c>
      <c r="AD179" s="134">
        <v>1</v>
      </c>
      <c r="AE179" s="152">
        <v>1</v>
      </c>
      <c r="AF179" s="134">
        <v>0</v>
      </c>
      <c r="AG179" s="134">
        <f>Master_Table[[#This Row],[Material Density (kg/m^3)]]*Master_Table[[#This Row],[Thickness (m)]]</f>
        <v>0</v>
      </c>
      <c r="AH179" s="134">
        <v>0</v>
      </c>
    </row>
    <row r="180" spans="2:34" x14ac:dyDescent="0.35">
      <c r="B180" s="115" t="str">
        <f>_xlfn.CONCAT(Master_Table[[#This Row],[Unique ID]],"_",Master_Table[[#This Row],[Model Source]],"_",Master_Table[[#This Row],[System Type]],Master_Table[[#This Row],[System Subtype]],"_",Master_Table[[#This Row],[External Finish Type]])</f>
        <v>Thermomur_EPD_ICFFormed Concrete_Brick</v>
      </c>
      <c r="C180" s="129" t="s">
        <v>513</v>
      </c>
      <c r="D180" s="129" t="s">
        <v>24</v>
      </c>
      <c r="E180" s="129" t="s">
        <v>481</v>
      </c>
      <c r="F180" s="129" t="s">
        <v>285</v>
      </c>
      <c r="G180" s="129" t="s">
        <v>743</v>
      </c>
      <c r="H180" s="129" t="s">
        <v>778</v>
      </c>
      <c r="I180" s="129"/>
      <c r="J180" s="129" t="s">
        <v>821</v>
      </c>
      <c r="K180" s="110" t="s">
        <v>663</v>
      </c>
      <c r="L180" s="129"/>
      <c r="M180" t="s">
        <v>351</v>
      </c>
      <c r="N180" s="129" t="s">
        <v>355</v>
      </c>
      <c r="O180" s="129" t="s">
        <v>817</v>
      </c>
      <c r="P180" s="129" t="s">
        <v>347</v>
      </c>
      <c r="Q180" t="s">
        <v>351</v>
      </c>
      <c r="R180" s="129" t="s">
        <v>581</v>
      </c>
      <c r="S180" s="129" t="s">
        <v>579</v>
      </c>
      <c r="T180" t="s">
        <v>352</v>
      </c>
      <c r="U180" s="129" t="s">
        <v>334</v>
      </c>
      <c r="V180" s="140">
        <v>0.5</v>
      </c>
      <c r="W180" s="148">
        <v>0</v>
      </c>
      <c r="X180" s="129">
        <v>0</v>
      </c>
      <c r="Y180" s="129" t="s">
        <v>545</v>
      </c>
      <c r="Z180" s="129">
        <v>1</v>
      </c>
      <c r="AA180" s="129">
        <v>1</v>
      </c>
      <c r="AB180" s="134">
        <v>0.05</v>
      </c>
      <c r="AC180" s="115">
        <f>Master_Table[[#This Row],[Length (m) (on wall)]]*Master_Table[[#This Row],[Height (m)]]*Master_Table[[#This Row],[Thickness (m)]]</f>
        <v>0.05</v>
      </c>
      <c r="AD180" s="129">
        <v>1</v>
      </c>
      <c r="AE180" s="149">
        <v>1</v>
      </c>
      <c r="AF180" s="129">
        <v>1.2</v>
      </c>
      <c r="AG180" s="129">
        <f>Master_Table[[#This Row],[Material Density (kg/m^3)]]*Master_Table[[#This Row],[Thickness (m)]]</f>
        <v>0.06</v>
      </c>
      <c r="AH180" s="129">
        <v>2.5000000000000001E-2</v>
      </c>
    </row>
    <row r="181" spans="2:34" x14ac:dyDescent="0.35">
      <c r="B181" s="115" t="str">
        <f>_xlfn.CONCAT(Master_Table[[#This Row],[Unique ID]],"_",Master_Table[[#This Row],[Model Source]],"_",Master_Table[[#This Row],[System Type]],Master_Table[[#This Row],[System Subtype]],"_",Master_Table[[#This Row],[External Finish Type]])</f>
        <v>Thermomur_EPD_ICFFormed Concrete_Brick</v>
      </c>
      <c r="C181" s="129" t="s">
        <v>513</v>
      </c>
      <c r="D181" s="129" t="s">
        <v>24</v>
      </c>
      <c r="E181" s="129" t="s">
        <v>481</v>
      </c>
      <c r="F181" s="129" t="s">
        <v>285</v>
      </c>
      <c r="G181" s="129" t="s">
        <v>743</v>
      </c>
      <c r="H181" s="129" t="s">
        <v>778</v>
      </c>
      <c r="I181" s="129"/>
      <c r="J181" s="129" t="s">
        <v>821</v>
      </c>
      <c r="K181" s="110" t="s">
        <v>663</v>
      </c>
      <c r="L181" s="129" t="s">
        <v>809</v>
      </c>
      <c r="M181" s="179" t="s">
        <v>351</v>
      </c>
      <c r="N181" s="178" t="s">
        <v>810</v>
      </c>
      <c r="O181" s="129" t="s">
        <v>663</v>
      </c>
      <c r="P181" s="129" t="s">
        <v>811</v>
      </c>
      <c r="Q181" t="s">
        <v>352</v>
      </c>
      <c r="R181" s="178" t="s">
        <v>812</v>
      </c>
      <c r="S181" s="129"/>
      <c r="T181" t="s">
        <v>351</v>
      </c>
      <c r="U181" s="129" t="s">
        <v>813</v>
      </c>
      <c r="V181" s="140">
        <v>0</v>
      </c>
      <c r="W181" s="138">
        <v>1</v>
      </c>
      <c r="X181" s="147">
        <v>0</v>
      </c>
      <c r="Y181" s="129"/>
      <c r="Z181" s="134">
        <v>1</v>
      </c>
      <c r="AA181" s="134">
        <v>1</v>
      </c>
      <c r="AB181" s="134">
        <v>1</v>
      </c>
      <c r="AC181" s="115">
        <f>Master_Table[[#This Row],[Length (m) (on wall)]]*Master_Table[[#This Row],[Height (m)]]*Master_Table[[#This Row],[Thickness (m)]]</f>
        <v>1</v>
      </c>
      <c r="AD181" s="134">
        <v>1</v>
      </c>
      <c r="AE181" s="152">
        <v>1</v>
      </c>
      <c r="AF181" s="134">
        <v>0</v>
      </c>
      <c r="AG181" s="134">
        <v>0.05</v>
      </c>
      <c r="AH181" s="134">
        <v>0</v>
      </c>
    </row>
    <row r="182" spans="2:34" x14ac:dyDescent="0.35">
      <c r="B182" s="115" t="str">
        <f>_xlfn.CONCAT(Master_Table[[#This Row],[Unique ID]],"_",Master_Table[[#This Row],[Model Source]],"_",Master_Table[[#This Row],[System Type]],Master_Table[[#This Row],[System Subtype]],"_",Master_Table[[#This Row],[External Finish Type]])</f>
        <v>Amvic300_EPD_ICFFormed Concrete_Brick</v>
      </c>
      <c r="C182" s="129" t="s">
        <v>513</v>
      </c>
      <c r="D182" s="129" t="s">
        <v>24</v>
      </c>
      <c r="E182" s="129" t="s">
        <v>481</v>
      </c>
      <c r="F182" s="129" t="s">
        <v>285</v>
      </c>
      <c r="G182" s="129" t="s">
        <v>744</v>
      </c>
      <c r="H182" s="129" t="s">
        <v>779</v>
      </c>
      <c r="I182" s="129"/>
      <c r="J182" s="129" t="s">
        <v>821</v>
      </c>
      <c r="K182" s="110" t="s">
        <v>660</v>
      </c>
      <c r="L182" s="129"/>
      <c r="M182" t="s">
        <v>351</v>
      </c>
      <c r="N182" s="79" t="s">
        <v>486</v>
      </c>
      <c r="O182" s="129" t="s">
        <v>814</v>
      </c>
      <c r="P182" s="129" t="s">
        <v>344</v>
      </c>
      <c r="Q182" t="s">
        <v>352</v>
      </c>
      <c r="R182" s="129" t="s">
        <v>639</v>
      </c>
      <c r="S182" s="129"/>
      <c r="T182" t="s">
        <v>352</v>
      </c>
      <c r="U182" s="129" t="s">
        <v>334</v>
      </c>
      <c r="V182" s="141">
        <v>5.0599999999999996</v>
      </c>
      <c r="W182" s="124">
        <f>_xlfn.XLOOKUP(Master_Table[[#This Row],[Component Name]],'GWP NORMALISED'!$A$2:$A$500,'GWP NORMALISED'!$H$2:$H$500,FALSE)</f>
        <v>20.672000000000001</v>
      </c>
      <c r="X182" s="125">
        <f>_xlfn.XLOOKUP(Master_Table[[#This Row],[Component Name]],'RAW GWP FOSSIL'!$A$2:$A$500,'RAW GWP FOSSIL'!$H$2:$H$500,FALSE)</f>
        <v>20.672000000000001</v>
      </c>
      <c r="Y182" s="129" t="s">
        <v>618</v>
      </c>
      <c r="Z182" s="129"/>
      <c r="AA182" s="129"/>
      <c r="AB182" s="129"/>
      <c r="AC182" s="115">
        <f>Master_Table[[#This Row],[Length (m) (on wall)]]*Master_Table[[#This Row],[Height (m)]]*Master_Table[[#This Row],[Thickness (m)]]</f>
        <v>0</v>
      </c>
      <c r="AD182" s="129"/>
      <c r="AE182" s="149"/>
      <c r="AF182" s="129"/>
      <c r="AG182" s="129">
        <v>6.37</v>
      </c>
      <c r="AH182" s="129"/>
    </row>
    <row r="183" spans="2:34" x14ac:dyDescent="0.35">
      <c r="B183" s="115" t="str">
        <f>_xlfn.CONCAT(Master_Table[[#This Row],[Unique ID]],"_",Master_Table[[#This Row],[Model Source]],"_",Master_Table[[#This Row],[System Type]],Master_Table[[#This Row],[System Subtype]],"_",Master_Table[[#This Row],[External Finish Type]])</f>
        <v>Amvic300_EPD_ICFFormed Concrete_Brick</v>
      </c>
      <c r="C183" s="129" t="s">
        <v>513</v>
      </c>
      <c r="D183" s="129" t="s">
        <v>24</v>
      </c>
      <c r="E183" s="129" t="s">
        <v>481</v>
      </c>
      <c r="F183" s="129" t="s">
        <v>285</v>
      </c>
      <c r="G183" s="129" t="s">
        <v>744</v>
      </c>
      <c r="H183" s="129" t="s">
        <v>779</v>
      </c>
      <c r="I183" s="129"/>
      <c r="J183" s="129" t="s">
        <v>821</v>
      </c>
      <c r="K183" s="110" t="s">
        <v>660</v>
      </c>
      <c r="L183" s="129"/>
      <c r="M183" t="s">
        <v>351</v>
      </c>
      <c r="N183" s="137" t="s">
        <v>292</v>
      </c>
      <c r="O183" s="129" t="s">
        <v>815</v>
      </c>
      <c r="P183" s="129" t="s">
        <v>4</v>
      </c>
      <c r="Q183" t="s">
        <v>351</v>
      </c>
      <c r="R183" s="129"/>
      <c r="S183" s="129" t="s">
        <v>640</v>
      </c>
      <c r="T183" t="s">
        <v>352</v>
      </c>
      <c r="U183" s="129" t="s">
        <v>334</v>
      </c>
      <c r="V183" s="141">
        <f>0.15/0.85</f>
        <v>0.17647058823529413</v>
      </c>
      <c r="W183" s="124">
        <f>_xlfn.XLOOKUP(Master_Table[[#This Row],[Component Name]],'GWP NORMALISED'!$A$2:$A$500,'GWP NORMALISED'!$H$2:$H$500,FALSE)</f>
        <v>34.429499999999997</v>
      </c>
      <c r="X183" s="125">
        <f>_xlfn.XLOOKUP(Master_Table[[#This Row],[Component Name]],'RAW GWP FOSSIL'!$A$2:$A$500,'RAW GWP FOSSIL'!$H$2:$H$500,FALSE)</f>
        <v>229.53</v>
      </c>
      <c r="Y183" s="129" t="s">
        <v>642</v>
      </c>
      <c r="Z183" s="129">
        <v>1</v>
      </c>
      <c r="AA183" s="129">
        <v>1</v>
      </c>
      <c r="AB183" s="129">
        <v>0.15</v>
      </c>
      <c r="AC183" s="115">
        <f>Master_Table[[#This Row],[Length (m) (on wall)]]*Master_Table[[#This Row],[Height (m)]]*Master_Table[[#This Row],[Thickness (m)]]</f>
        <v>0.15</v>
      </c>
      <c r="AD183" s="129"/>
      <c r="AE183" s="149"/>
      <c r="AF183" s="129">
        <v>2412</v>
      </c>
      <c r="AG183" s="129">
        <f>Master_Table[[#This Row],[Material Density (kg/m^3)]]*Master_Table[[#This Row],[Element Volume (m^3)]]</f>
        <v>361.8</v>
      </c>
      <c r="AH183" s="129"/>
    </row>
    <row r="184" spans="2:34" x14ac:dyDescent="0.35">
      <c r="B184" s="115" t="str">
        <f>_xlfn.CONCAT(Master_Table[[#This Row],[Unique ID]],"_",Master_Table[[#This Row],[Model Source]],"_",Master_Table[[#This Row],[System Type]],Master_Table[[#This Row],[System Subtype]],"_",Master_Table[[#This Row],[External Finish Type]])</f>
        <v>Amvic300_EPD_ICFFormed Concrete_Brick</v>
      </c>
      <c r="C184" s="129" t="s">
        <v>513</v>
      </c>
      <c r="D184" s="129" t="s">
        <v>24</v>
      </c>
      <c r="E184" s="129" t="s">
        <v>481</v>
      </c>
      <c r="F184" s="129" t="s">
        <v>285</v>
      </c>
      <c r="G184" s="129" t="s">
        <v>744</v>
      </c>
      <c r="H184" s="129" t="s">
        <v>779</v>
      </c>
      <c r="I184" s="129"/>
      <c r="J184" s="129" t="s">
        <v>821</v>
      </c>
      <c r="K184" s="110" t="s">
        <v>663</v>
      </c>
      <c r="L184" s="129" t="s">
        <v>673</v>
      </c>
      <c r="M184" t="s">
        <v>351</v>
      </c>
      <c r="N184" s="133" t="s">
        <v>446</v>
      </c>
      <c r="O184" s="129" t="s">
        <v>816</v>
      </c>
      <c r="P184" s="129" t="s">
        <v>4</v>
      </c>
      <c r="Q184" t="s">
        <v>351</v>
      </c>
      <c r="R184" s="129" t="s">
        <v>632</v>
      </c>
      <c r="S184" s="129" t="s">
        <v>633</v>
      </c>
      <c r="T184" t="s">
        <v>352</v>
      </c>
      <c r="U184" s="129" t="s">
        <v>334</v>
      </c>
      <c r="V184" s="141">
        <v>0</v>
      </c>
      <c r="W184" s="139">
        <v>12.383402777777778</v>
      </c>
      <c r="X184" s="129">
        <v>1.72</v>
      </c>
      <c r="Y184" s="129" t="s">
        <v>545</v>
      </c>
      <c r="Z184" s="129"/>
      <c r="AA184" s="129"/>
      <c r="AB184" s="129"/>
      <c r="AC184" s="115">
        <f>Master_Table[[#This Row],[Length (m) (on wall)]]*Master_Table[[#This Row],[Height (m)]]*Master_Table[[#This Row],[Thickness (m)]]</f>
        <v>0</v>
      </c>
      <c r="AD184" s="129"/>
      <c r="AE184" s="149"/>
      <c r="AF184" s="129"/>
      <c r="AG184" s="139">
        <f>'LCA SYSTEMS'!J119/2.4^2</f>
        <v>0</v>
      </c>
      <c r="AH184" s="129"/>
    </row>
    <row r="185" spans="2:34" x14ac:dyDescent="0.35">
      <c r="B185" s="115" t="str">
        <f>_xlfn.CONCAT(Master_Table[[#This Row],[Unique ID]],"_",Master_Table[[#This Row],[Model Source]],"_",Master_Table[[#This Row],[System Type]],Master_Table[[#This Row],[System Subtype]],"_",Master_Table[[#This Row],[External Finish Type]])</f>
        <v>Amvic300_EPD_ICFFormed Concrete_Brick</v>
      </c>
      <c r="C185" s="129" t="s">
        <v>513</v>
      </c>
      <c r="D185" s="129" t="s">
        <v>24</v>
      </c>
      <c r="E185" s="129" t="s">
        <v>481</v>
      </c>
      <c r="F185" s="129" t="s">
        <v>285</v>
      </c>
      <c r="G185" s="129" t="s">
        <v>744</v>
      </c>
      <c r="H185" s="129" t="s">
        <v>779</v>
      </c>
      <c r="I185" s="129"/>
      <c r="J185" s="129" t="s">
        <v>821</v>
      </c>
      <c r="K185" s="110" t="s">
        <v>663</v>
      </c>
      <c r="L185" s="129" t="s">
        <v>668</v>
      </c>
      <c r="M185" t="s">
        <v>351</v>
      </c>
      <c r="N185" s="133" t="s">
        <v>29</v>
      </c>
      <c r="O185" s="129" t="s">
        <v>816</v>
      </c>
      <c r="P185" s="129" t="s">
        <v>470</v>
      </c>
      <c r="Q185" t="s">
        <v>352</v>
      </c>
      <c r="R185" s="129" t="s">
        <v>554</v>
      </c>
      <c r="S185" s="129" t="s">
        <v>630</v>
      </c>
      <c r="T185" t="s">
        <v>352</v>
      </c>
      <c r="U185" s="129" t="s">
        <v>334</v>
      </c>
      <c r="V185" s="141">
        <v>1.5E-3</v>
      </c>
      <c r="W185" s="139">
        <v>0.25229166666666669</v>
      </c>
      <c r="X185" s="129">
        <v>4.2</v>
      </c>
      <c r="Y185" s="129" t="s">
        <v>545</v>
      </c>
      <c r="Z185" s="129"/>
      <c r="AA185" s="129"/>
      <c r="AB185" s="129"/>
      <c r="AC185" s="115">
        <f>Master_Table[[#This Row],[Length (m) (on wall)]]*Master_Table[[#This Row],[Height (m)]]*Master_Table[[#This Row],[Thickness (m)]]</f>
        <v>0</v>
      </c>
      <c r="AD185" s="129"/>
      <c r="AE185" s="149"/>
      <c r="AF185" s="129"/>
      <c r="AG185" s="139">
        <f>'LCA SYSTEMS'!J120/2.4^2</f>
        <v>0</v>
      </c>
      <c r="AH185" s="129"/>
    </row>
    <row r="186" spans="2:34" x14ac:dyDescent="0.35">
      <c r="B186" s="115" t="str">
        <f>_xlfn.CONCAT(Master_Table[[#This Row],[Unique ID]],"_",Master_Table[[#This Row],[Model Source]],"_",Master_Table[[#This Row],[System Type]],Master_Table[[#This Row],[System Subtype]],"_",Master_Table[[#This Row],[External Finish Type]])</f>
        <v>Amvic300_EPD_ICFFormed Concrete_Brick</v>
      </c>
      <c r="C186" s="129" t="s">
        <v>513</v>
      </c>
      <c r="D186" s="129" t="s">
        <v>24</v>
      </c>
      <c r="E186" s="129" t="s">
        <v>481</v>
      </c>
      <c r="F186" s="129" t="s">
        <v>285</v>
      </c>
      <c r="G186" s="129" t="s">
        <v>744</v>
      </c>
      <c r="H186" s="129" t="s">
        <v>779</v>
      </c>
      <c r="I186" s="129"/>
      <c r="J186" s="129" t="s">
        <v>821</v>
      </c>
      <c r="K186" s="110" t="s">
        <v>663</v>
      </c>
      <c r="L186" s="129"/>
      <c r="M186" t="s">
        <v>351</v>
      </c>
      <c r="N186" s="130" t="s">
        <v>285</v>
      </c>
      <c r="O186" s="129" t="s">
        <v>663</v>
      </c>
      <c r="P186" s="129" t="s">
        <v>346</v>
      </c>
      <c r="Q186" t="s">
        <v>351</v>
      </c>
      <c r="R186" s="129" t="s">
        <v>564</v>
      </c>
      <c r="S186" s="129" t="s">
        <v>563</v>
      </c>
      <c r="T186" t="s">
        <v>352</v>
      </c>
      <c r="U186" s="129" t="s">
        <v>334</v>
      </c>
      <c r="V186" s="140">
        <v>0.12987012987012989</v>
      </c>
      <c r="W186" s="138">
        <f>Master_Table[[#This Row],[Raw A1-A3/Conversion factor]]*Master_Table[[#This Row],[Total Mass per m^2 (kg)]]</f>
        <v>42.199999999999996</v>
      </c>
      <c r="X186" s="134">
        <v>0.21099999999999999</v>
      </c>
      <c r="Y186" s="134" t="s">
        <v>545</v>
      </c>
      <c r="Z186" s="134">
        <v>1</v>
      </c>
      <c r="AA186" s="134">
        <v>1</v>
      </c>
      <c r="AB186" s="134">
        <v>0.1</v>
      </c>
      <c r="AC186" s="115">
        <f>Master_Table[[#This Row],[Length (m) (on wall)]]*Master_Table[[#This Row],[Height (m)]]*Master_Table[[#This Row],[Thickness (m)]]</f>
        <v>0.1</v>
      </c>
      <c r="AD186" s="134">
        <v>1</v>
      </c>
      <c r="AE186" s="152">
        <v>1</v>
      </c>
      <c r="AF186" s="153">
        <v>2000</v>
      </c>
      <c r="AG186" s="150">
        <f>Master_Table[[#This Row],[Element Volume (m^3)]]*Master_Table[[#This Row],[No. of elements in 1 panel]]*Master_Table[[#This Row],[Material Density (kg/m^3)]]</f>
        <v>200</v>
      </c>
      <c r="AH186" s="129">
        <v>0.77</v>
      </c>
    </row>
    <row r="187" spans="2:34" x14ac:dyDescent="0.35">
      <c r="B187" s="115" t="str">
        <f>_xlfn.CONCAT(Master_Table[[#This Row],[Unique ID]],"_",Master_Table[[#This Row],[Model Source]],"_",Master_Table[[#This Row],[System Type]],Master_Table[[#This Row],[System Subtype]],"_",Master_Table[[#This Row],[External Finish Type]])</f>
        <v>Amvic300_EPD_ICFFormed Concrete_Brick</v>
      </c>
      <c r="C187" s="129" t="s">
        <v>513</v>
      </c>
      <c r="D187" s="129" t="s">
        <v>24</v>
      </c>
      <c r="E187" s="129" t="s">
        <v>481</v>
      </c>
      <c r="F187" s="129" t="s">
        <v>285</v>
      </c>
      <c r="G187" s="129" t="s">
        <v>744</v>
      </c>
      <c r="H187" s="129" t="s">
        <v>779</v>
      </c>
      <c r="I187" s="129"/>
      <c r="J187" s="129" t="s">
        <v>821</v>
      </c>
      <c r="K187" s="110" t="s">
        <v>659</v>
      </c>
      <c r="L187" s="129" t="s">
        <v>807</v>
      </c>
      <c r="M187" t="s">
        <v>351</v>
      </c>
      <c r="N187" s="79" t="s">
        <v>796</v>
      </c>
      <c r="O187" s="134" t="s">
        <v>815</v>
      </c>
      <c r="P187" s="134" t="s">
        <v>346</v>
      </c>
      <c r="Q187" t="s">
        <v>351</v>
      </c>
      <c r="R187" s="134" t="s">
        <v>584</v>
      </c>
      <c r="S187" s="129" t="s">
        <v>576</v>
      </c>
      <c r="T187" t="s">
        <v>351</v>
      </c>
      <c r="U187" s="129" t="s">
        <v>808</v>
      </c>
      <c r="V187" s="140">
        <v>0</v>
      </c>
      <c r="W187" s="124">
        <f>_xlfn.XLOOKUP(Master_Table[[#This Row],[Component Name]],'GWP NORMALISED'!$A$2:$A$500,'GWP NORMALISED'!$H$2:$H$500,FALSE)</f>
        <v>4.1849999999999996</v>
      </c>
      <c r="X187" s="125">
        <f>_xlfn.XLOOKUP(Master_Table[[#This Row],[Component Name]],'RAW GWP FOSSIL'!$A$2:$A$500,'RAW GWP FOSSIL'!$H$2:$H$500,FALSE)</f>
        <v>135</v>
      </c>
      <c r="Y187" s="129" t="s">
        <v>545</v>
      </c>
      <c r="Z187" s="129">
        <v>1</v>
      </c>
      <c r="AA187" s="129">
        <v>1.2E-2</v>
      </c>
      <c r="AB187" s="129">
        <v>0.1</v>
      </c>
      <c r="AC187" s="115">
        <f>Master_Table[[#This Row],[Length (m) (on wall)]]*Master_Table[[#This Row],[Height (m)]]*Master_Table[[#This Row],[Thickness (m)]]</f>
        <v>1.2000000000000001E-3</v>
      </c>
      <c r="AD187" s="129">
        <v>5</v>
      </c>
      <c r="AE187" s="149">
        <f>Master_Table[[#This Row],[Length (m) (on wall)]]*Master_Table[[#This Row],[Height (m)]]/1</f>
        <v>1.2E-2</v>
      </c>
      <c r="AF187" s="147">
        <v>2000</v>
      </c>
      <c r="AG187" s="129">
        <f>0.031*1000</f>
        <v>31</v>
      </c>
      <c r="AH187" s="147">
        <v>2</v>
      </c>
    </row>
    <row r="188" spans="2:34" x14ac:dyDescent="0.35">
      <c r="B188" s="115" t="str">
        <f>_xlfn.CONCAT(Master_Table[[#This Row],[Unique ID]],"_",Master_Table[[#This Row],[Model Source]],"_",Master_Table[[#This Row],[System Type]],Master_Table[[#This Row],[System Subtype]],"_",Master_Table[[#This Row],[External Finish Type]])</f>
        <v>Amvic300_EPD_ICFFormed Concrete_Brick</v>
      </c>
      <c r="C188" s="129" t="s">
        <v>513</v>
      </c>
      <c r="D188" s="129" t="s">
        <v>24</v>
      </c>
      <c r="E188" s="129" t="s">
        <v>481</v>
      </c>
      <c r="F188" s="129" t="s">
        <v>285</v>
      </c>
      <c r="G188" s="129" t="s">
        <v>744</v>
      </c>
      <c r="H188" s="129" t="s">
        <v>779</v>
      </c>
      <c r="I188" s="129"/>
      <c r="J188" s="129" t="s">
        <v>821</v>
      </c>
      <c r="K188" s="110" t="s">
        <v>663</v>
      </c>
      <c r="L188" s="129"/>
      <c r="M188" t="s">
        <v>351</v>
      </c>
      <c r="N188" s="129" t="s">
        <v>355</v>
      </c>
      <c r="O188" s="129" t="s">
        <v>817</v>
      </c>
      <c r="P188" s="129" t="s">
        <v>346</v>
      </c>
      <c r="Q188" t="s">
        <v>351</v>
      </c>
      <c r="R188" s="129" t="s">
        <v>583</v>
      </c>
      <c r="S188" s="129" t="s">
        <v>577</v>
      </c>
      <c r="T188" t="s">
        <v>352</v>
      </c>
      <c r="U188" s="129" t="s">
        <v>334</v>
      </c>
      <c r="V188" s="140">
        <v>2</v>
      </c>
      <c r="W188" s="138">
        <v>0</v>
      </c>
      <c r="X188" s="147">
        <v>0</v>
      </c>
      <c r="Y188" s="129" t="s">
        <v>545</v>
      </c>
      <c r="Z188" s="129">
        <v>1</v>
      </c>
      <c r="AA188" s="129">
        <v>1</v>
      </c>
      <c r="AB188" s="129">
        <v>0.1</v>
      </c>
      <c r="AC188" s="115">
        <f>Master_Table[[#This Row],[Length (m) (on wall)]]*Master_Table[[#This Row],[Height (m)]]*Master_Table[[#This Row],[Thickness (m)]]</f>
        <v>0.1</v>
      </c>
      <c r="AD188" s="129">
        <v>1</v>
      </c>
      <c r="AE188" s="149">
        <v>1</v>
      </c>
      <c r="AF188" s="129">
        <v>1.2</v>
      </c>
      <c r="AG188" s="129">
        <f>Master_Table[[#This Row],[Material Density (kg/m^3)]]*Master_Table[[#This Row],[Thickness (m)]]</f>
        <v>0.12</v>
      </c>
      <c r="AH188" s="129">
        <v>2.5000000000000001E-2</v>
      </c>
    </row>
    <row r="189" spans="2:34" x14ac:dyDescent="0.35">
      <c r="B189" s="115" t="str">
        <f>_xlfn.CONCAT(Master_Table[[#This Row],[Unique ID]],"_",Master_Table[[#This Row],[Model Source]],"_",Master_Table[[#This Row],[System Type]],Master_Table[[#This Row],[System Subtype]],"_",Master_Table[[#This Row],[External Finish Type]])</f>
        <v>Amvic300_EPD_ICFFormed Concrete_Brick</v>
      </c>
      <c r="C189" s="129" t="s">
        <v>513</v>
      </c>
      <c r="D189" s="129" t="s">
        <v>24</v>
      </c>
      <c r="E189" s="129" t="s">
        <v>481</v>
      </c>
      <c r="F189" s="129" t="s">
        <v>285</v>
      </c>
      <c r="G189" s="129" t="s">
        <v>744</v>
      </c>
      <c r="H189" s="129" t="s">
        <v>779</v>
      </c>
      <c r="I189" s="129"/>
      <c r="J189" s="129" t="s">
        <v>821</v>
      </c>
      <c r="K189" s="110" t="s">
        <v>663</v>
      </c>
      <c r="L189" s="129"/>
      <c r="M189" t="s">
        <v>351</v>
      </c>
      <c r="N189" s="134" t="s">
        <v>349</v>
      </c>
      <c r="O189" s="134" t="s">
        <v>663</v>
      </c>
      <c r="P189" s="134" t="s">
        <v>347</v>
      </c>
      <c r="Q189" t="s">
        <v>351</v>
      </c>
      <c r="R189" s="134" t="s">
        <v>582</v>
      </c>
      <c r="S189" s="134" t="s">
        <v>578</v>
      </c>
      <c r="T189" t="s">
        <v>352</v>
      </c>
      <c r="U189" s="129" t="s">
        <v>334</v>
      </c>
      <c r="V189" s="140">
        <v>6.5789473684210523E-2</v>
      </c>
      <c r="W189" s="138">
        <v>1.839</v>
      </c>
      <c r="X189" s="147">
        <v>0</v>
      </c>
      <c r="Y189" s="129" t="s">
        <v>545</v>
      </c>
      <c r="Z189" s="129">
        <v>1</v>
      </c>
      <c r="AA189" s="129">
        <v>1</v>
      </c>
      <c r="AB189" s="129">
        <v>1.4999999999999999E-2</v>
      </c>
      <c r="AC189" s="115">
        <f>Master_Table[[#This Row],[Length (m) (on wall)]]*Master_Table[[#This Row],[Height (m)]]*Master_Table[[#This Row],[Thickness (m)]]</f>
        <v>1.4999999999999999E-2</v>
      </c>
      <c r="AD189" s="129">
        <v>1</v>
      </c>
      <c r="AE189" s="149">
        <v>1</v>
      </c>
      <c r="AF189" s="147">
        <v>615</v>
      </c>
      <c r="AG189" s="147">
        <f>Master_Table[[#This Row],[Material Density (kg/m^3)]]*Master_Table[[#This Row],[Thickness (m)]]</f>
        <v>9.2249999999999996</v>
      </c>
      <c r="AH189" s="147">
        <v>0.19</v>
      </c>
    </row>
    <row r="190" spans="2:34" x14ac:dyDescent="0.35">
      <c r="B190" s="115" t="str">
        <f>_xlfn.CONCAT(Master_Table[[#This Row],[Unique ID]],"_",Master_Table[[#This Row],[Model Source]],"_",Master_Table[[#This Row],[System Type]],Master_Table[[#This Row],[System Subtype]],"_",Master_Table[[#This Row],[External Finish Type]])</f>
        <v>Amvic300_EPD_ICFFormed Concrete_Brick</v>
      </c>
      <c r="C190" s="129" t="s">
        <v>513</v>
      </c>
      <c r="D190" s="129" t="s">
        <v>24</v>
      </c>
      <c r="E190" s="129" t="s">
        <v>481</v>
      </c>
      <c r="F190" s="129" t="s">
        <v>285</v>
      </c>
      <c r="G190" s="129" t="s">
        <v>744</v>
      </c>
      <c r="H190" s="129" t="s">
        <v>779</v>
      </c>
      <c r="I190" s="129"/>
      <c r="J190" s="129" t="s">
        <v>821</v>
      </c>
      <c r="K190" s="110" t="s">
        <v>663</v>
      </c>
      <c r="L190" s="129"/>
      <c r="M190" t="s">
        <v>351</v>
      </c>
      <c r="N190" s="134" t="s">
        <v>566</v>
      </c>
      <c r="O190" s="134" t="s">
        <v>663</v>
      </c>
      <c r="P190" s="134" t="s">
        <v>347</v>
      </c>
      <c r="Q190" t="s">
        <v>351</v>
      </c>
      <c r="R190" s="134" t="s">
        <v>566</v>
      </c>
      <c r="S190" s="134" t="s">
        <v>580</v>
      </c>
      <c r="T190" t="s">
        <v>352</v>
      </c>
      <c r="U190" s="129" t="s">
        <v>334</v>
      </c>
      <c r="V190" s="140">
        <v>0</v>
      </c>
      <c r="W190" s="138">
        <v>1</v>
      </c>
      <c r="X190" s="147">
        <v>0</v>
      </c>
      <c r="Y190" s="129" t="s">
        <v>545</v>
      </c>
      <c r="Z190" s="134">
        <v>1</v>
      </c>
      <c r="AA190" s="134">
        <v>1</v>
      </c>
      <c r="AB190" s="134">
        <v>1</v>
      </c>
      <c r="AC190" s="115">
        <f>Master_Table[[#This Row],[Length (m) (on wall)]]*Master_Table[[#This Row],[Height (m)]]*Master_Table[[#This Row],[Thickness (m)]]</f>
        <v>1</v>
      </c>
      <c r="AD190" s="134">
        <v>1</v>
      </c>
      <c r="AE190" s="152">
        <v>1</v>
      </c>
      <c r="AF190" s="134">
        <v>0</v>
      </c>
      <c r="AG190" s="134">
        <f>Master_Table[[#This Row],[Material Density (kg/m^3)]]*Master_Table[[#This Row],[Thickness (m)]]</f>
        <v>0</v>
      </c>
      <c r="AH190" s="134">
        <v>0</v>
      </c>
    </row>
    <row r="191" spans="2:34" x14ac:dyDescent="0.35">
      <c r="B191" s="115" t="str">
        <f>_xlfn.CONCAT(Master_Table[[#This Row],[Unique ID]],"_",Master_Table[[#This Row],[Model Source]],"_",Master_Table[[#This Row],[System Type]],Master_Table[[#This Row],[System Subtype]],"_",Master_Table[[#This Row],[External Finish Type]])</f>
        <v>Amvic300_EPD_ICFFormed Concrete_Brick</v>
      </c>
      <c r="C191" s="129" t="s">
        <v>513</v>
      </c>
      <c r="D191" s="129" t="s">
        <v>24</v>
      </c>
      <c r="E191" s="129" t="s">
        <v>481</v>
      </c>
      <c r="F191" s="129" t="s">
        <v>285</v>
      </c>
      <c r="G191" s="129" t="s">
        <v>744</v>
      </c>
      <c r="H191" s="129" t="s">
        <v>779</v>
      </c>
      <c r="I191" s="129"/>
      <c r="J191" s="129" t="s">
        <v>821</v>
      </c>
      <c r="K191" s="110" t="s">
        <v>663</v>
      </c>
      <c r="L191" s="129"/>
      <c r="M191" t="s">
        <v>351</v>
      </c>
      <c r="N191" s="129" t="s">
        <v>355</v>
      </c>
      <c r="O191" s="129" t="s">
        <v>817</v>
      </c>
      <c r="P191" s="129" t="s">
        <v>347</v>
      </c>
      <c r="Q191" t="s">
        <v>351</v>
      </c>
      <c r="R191" s="129" t="s">
        <v>581</v>
      </c>
      <c r="S191" s="129" t="s">
        <v>579</v>
      </c>
      <c r="T191" t="s">
        <v>352</v>
      </c>
      <c r="U191" s="129" t="s">
        <v>334</v>
      </c>
      <c r="V191" s="140">
        <v>0.5</v>
      </c>
      <c r="W191" s="148">
        <v>0</v>
      </c>
      <c r="X191" s="129">
        <v>0</v>
      </c>
      <c r="Y191" s="129" t="s">
        <v>545</v>
      </c>
      <c r="Z191" s="129">
        <v>1</v>
      </c>
      <c r="AA191" s="129">
        <v>1</v>
      </c>
      <c r="AB191" s="134">
        <v>0.05</v>
      </c>
      <c r="AC191" s="115">
        <f>Master_Table[[#This Row],[Length (m) (on wall)]]*Master_Table[[#This Row],[Height (m)]]*Master_Table[[#This Row],[Thickness (m)]]</f>
        <v>0.05</v>
      </c>
      <c r="AD191" s="129">
        <v>1</v>
      </c>
      <c r="AE191" s="149">
        <v>1</v>
      </c>
      <c r="AF191" s="129">
        <v>1.2</v>
      </c>
      <c r="AG191" s="129">
        <f>Master_Table[[#This Row],[Material Density (kg/m^3)]]*Master_Table[[#This Row],[Thickness (m)]]</f>
        <v>0.06</v>
      </c>
      <c r="AH191" s="129">
        <v>2.5000000000000001E-2</v>
      </c>
    </row>
    <row r="192" spans="2:34" x14ac:dyDescent="0.35">
      <c r="B192" s="115" t="str">
        <f>_xlfn.CONCAT(Master_Table[[#This Row],[Unique ID]],"_",Master_Table[[#This Row],[Model Source]],"_",Master_Table[[#This Row],[System Type]],Master_Table[[#This Row],[System Subtype]],"_",Master_Table[[#This Row],[External Finish Type]])</f>
        <v>Amvic300_EPD_ICFFormed Concrete_Brick</v>
      </c>
      <c r="C192" s="129" t="s">
        <v>513</v>
      </c>
      <c r="D192" s="129" t="s">
        <v>24</v>
      </c>
      <c r="E192" s="129" t="s">
        <v>481</v>
      </c>
      <c r="F192" s="129" t="s">
        <v>285</v>
      </c>
      <c r="G192" s="129" t="s">
        <v>744</v>
      </c>
      <c r="H192" s="129" t="s">
        <v>779</v>
      </c>
      <c r="I192" s="129"/>
      <c r="J192" s="129" t="s">
        <v>821</v>
      </c>
      <c r="K192" s="110" t="s">
        <v>663</v>
      </c>
      <c r="L192" s="129" t="s">
        <v>809</v>
      </c>
      <c r="M192" s="179" t="s">
        <v>351</v>
      </c>
      <c r="N192" s="178" t="s">
        <v>810</v>
      </c>
      <c r="O192" s="129" t="s">
        <v>663</v>
      </c>
      <c r="P192" s="129" t="s">
        <v>811</v>
      </c>
      <c r="Q192" t="s">
        <v>352</v>
      </c>
      <c r="R192" s="178" t="s">
        <v>812</v>
      </c>
      <c r="S192" s="129"/>
      <c r="T192" t="s">
        <v>351</v>
      </c>
      <c r="U192" s="129" t="s">
        <v>813</v>
      </c>
      <c r="V192" s="140">
        <v>0</v>
      </c>
      <c r="W192" s="138">
        <v>1</v>
      </c>
      <c r="X192" s="147">
        <v>0</v>
      </c>
      <c r="Y192" s="129"/>
      <c r="Z192" s="134">
        <v>1</v>
      </c>
      <c r="AA192" s="134">
        <v>1</v>
      </c>
      <c r="AB192" s="134">
        <v>1</v>
      </c>
      <c r="AC192" s="115">
        <f>Master_Table[[#This Row],[Length (m) (on wall)]]*Master_Table[[#This Row],[Height (m)]]*Master_Table[[#This Row],[Thickness (m)]]</f>
        <v>1</v>
      </c>
      <c r="AD192" s="134">
        <v>1</v>
      </c>
      <c r="AE192" s="152">
        <v>1</v>
      </c>
      <c r="AF192" s="134">
        <v>0</v>
      </c>
      <c r="AG192" s="134">
        <v>0.05</v>
      </c>
      <c r="AH192" s="134">
        <v>0</v>
      </c>
    </row>
    <row r="193" spans="2:34" x14ac:dyDescent="0.35">
      <c r="B193" s="115" t="str">
        <f>_xlfn.CONCAT(Master_Table[[#This Row],[Unique ID]],"_",Master_Table[[#This Row],[Model Source]],"_",Master_Table[[#This Row],[System Type]],Master_Table[[#This Row],[System Subtype]],"_",Master_Table[[#This Row],[External Finish Type]])</f>
        <v>Amvic350_EPD_ICFFormed Concrete_Brick</v>
      </c>
      <c r="C193" s="129" t="s">
        <v>513</v>
      </c>
      <c r="D193" s="129" t="s">
        <v>24</v>
      </c>
      <c r="E193" s="129" t="s">
        <v>481</v>
      </c>
      <c r="F193" s="129" t="s">
        <v>285</v>
      </c>
      <c r="G193" s="129" t="s">
        <v>745</v>
      </c>
      <c r="H193" s="129" t="s">
        <v>780</v>
      </c>
      <c r="I193" s="129"/>
      <c r="J193" s="129" t="s">
        <v>821</v>
      </c>
      <c r="K193" s="110" t="s">
        <v>660</v>
      </c>
      <c r="L193" s="129"/>
      <c r="M193" t="s">
        <v>351</v>
      </c>
      <c r="N193" s="79" t="s">
        <v>487</v>
      </c>
      <c r="O193" s="129" t="s">
        <v>814</v>
      </c>
      <c r="P193" s="129" t="s">
        <v>344</v>
      </c>
      <c r="Q193" t="s">
        <v>352</v>
      </c>
      <c r="R193" s="129" t="s">
        <v>639</v>
      </c>
      <c r="S193" s="129"/>
      <c r="T193" t="s">
        <v>352</v>
      </c>
      <c r="U193" s="129" t="s">
        <v>334</v>
      </c>
      <c r="V193" s="141">
        <v>6.2</v>
      </c>
      <c r="W193" s="124">
        <f>_xlfn.XLOOKUP(Master_Table[[#This Row],[Component Name]],'GWP NORMALISED'!$A$2:$A$500,'GWP NORMALISED'!$H$2:$H$500,FALSE)</f>
        <v>26.036999999999999</v>
      </c>
      <c r="X193" s="125">
        <f>_xlfn.XLOOKUP(Master_Table[[#This Row],[Component Name]],'RAW GWP FOSSIL'!$A$2:$A$500,'RAW GWP FOSSIL'!$H$2:$H$500,FALSE)</f>
        <v>26.036999999999999</v>
      </c>
      <c r="Y193" s="129" t="s">
        <v>618</v>
      </c>
      <c r="Z193" s="129"/>
      <c r="AA193" s="129"/>
      <c r="AB193" s="129"/>
      <c r="AC193" s="115">
        <f>Master_Table[[#This Row],[Length (m) (on wall)]]*Master_Table[[#This Row],[Height (m)]]*Master_Table[[#This Row],[Thickness (m)]]</f>
        <v>0</v>
      </c>
      <c r="AD193" s="129"/>
      <c r="AE193" s="149"/>
      <c r="AF193" s="129"/>
      <c r="AG193" s="129">
        <v>7.74</v>
      </c>
      <c r="AH193" s="129"/>
    </row>
    <row r="194" spans="2:34" x14ac:dyDescent="0.35">
      <c r="B194" s="115" t="str">
        <f>_xlfn.CONCAT(Master_Table[[#This Row],[Unique ID]],"_",Master_Table[[#This Row],[Model Source]],"_",Master_Table[[#This Row],[System Type]],Master_Table[[#This Row],[System Subtype]],"_",Master_Table[[#This Row],[External Finish Type]])</f>
        <v>Amvic350_EPD_ICFFormed Concrete_Brick</v>
      </c>
      <c r="C194" s="129" t="s">
        <v>513</v>
      </c>
      <c r="D194" s="129" t="s">
        <v>24</v>
      </c>
      <c r="E194" s="129" t="s">
        <v>481</v>
      </c>
      <c r="F194" s="129" t="s">
        <v>285</v>
      </c>
      <c r="G194" s="129" t="s">
        <v>745</v>
      </c>
      <c r="H194" s="129" t="s">
        <v>780</v>
      </c>
      <c r="I194" s="129"/>
      <c r="J194" s="129" t="s">
        <v>821</v>
      </c>
      <c r="K194" s="110" t="s">
        <v>660</v>
      </c>
      <c r="L194" s="129"/>
      <c r="M194" t="s">
        <v>351</v>
      </c>
      <c r="N194" s="137" t="s">
        <v>292</v>
      </c>
      <c r="O194" s="129" t="s">
        <v>815</v>
      </c>
      <c r="P194" s="129" t="s">
        <v>4</v>
      </c>
      <c r="Q194" t="s">
        <v>351</v>
      </c>
      <c r="R194" s="129"/>
      <c r="S194" s="129" t="s">
        <v>640</v>
      </c>
      <c r="T194" t="s">
        <v>352</v>
      </c>
      <c r="U194" s="129" t="s">
        <v>334</v>
      </c>
      <c r="V194" s="141">
        <f>0.15/0.85</f>
        <v>0.17647058823529413</v>
      </c>
      <c r="W194" s="124">
        <f>_xlfn.XLOOKUP(Master_Table[[#This Row],[Component Name]],'GWP NORMALISED'!$A$2:$A$500,'GWP NORMALISED'!$H$2:$H$500,FALSE)</f>
        <v>34.429499999999997</v>
      </c>
      <c r="X194" s="125">
        <f>_xlfn.XLOOKUP(Master_Table[[#This Row],[Component Name]],'RAW GWP FOSSIL'!$A$2:$A$500,'RAW GWP FOSSIL'!$H$2:$H$500,FALSE)</f>
        <v>229.53</v>
      </c>
      <c r="Y194" s="129" t="s">
        <v>642</v>
      </c>
      <c r="Z194" s="129">
        <v>1</v>
      </c>
      <c r="AA194" s="129">
        <v>1</v>
      </c>
      <c r="AB194" s="129">
        <v>0.15</v>
      </c>
      <c r="AC194" s="115">
        <f>Master_Table[[#This Row],[Length (m) (on wall)]]*Master_Table[[#This Row],[Height (m)]]*Master_Table[[#This Row],[Thickness (m)]]</f>
        <v>0.15</v>
      </c>
      <c r="AD194" s="129"/>
      <c r="AE194" s="149"/>
      <c r="AF194" s="129">
        <v>2412</v>
      </c>
      <c r="AG194" s="129">
        <f>Master_Table[[#This Row],[Material Density (kg/m^3)]]*Master_Table[[#This Row],[Element Volume (m^3)]]</f>
        <v>361.8</v>
      </c>
      <c r="AH194" s="129"/>
    </row>
    <row r="195" spans="2:34" x14ac:dyDescent="0.35">
      <c r="B195" s="115" t="str">
        <f>_xlfn.CONCAT(Master_Table[[#This Row],[Unique ID]],"_",Master_Table[[#This Row],[Model Source]],"_",Master_Table[[#This Row],[System Type]],Master_Table[[#This Row],[System Subtype]],"_",Master_Table[[#This Row],[External Finish Type]])</f>
        <v>Amvic350_EPD_ICFFormed Concrete_Brick</v>
      </c>
      <c r="C195" s="129" t="s">
        <v>513</v>
      </c>
      <c r="D195" s="129" t="s">
        <v>24</v>
      </c>
      <c r="E195" s="129" t="s">
        <v>481</v>
      </c>
      <c r="F195" s="129" t="s">
        <v>285</v>
      </c>
      <c r="G195" s="129" t="s">
        <v>745</v>
      </c>
      <c r="H195" s="129" t="s">
        <v>780</v>
      </c>
      <c r="I195" s="129"/>
      <c r="J195" s="129" t="s">
        <v>821</v>
      </c>
      <c r="K195" s="110" t="s">
        <v>663</v>
      </c>
      <c r="L195" s="129" t="s">
        <v>673</v>
      </c>
      <c r="M195" t="s">
        <v>351</v>
      </c>
      <c r="N195" s="133" t="s">
        <v>446</v>
      </c>
      <c r="O195" s="129" t="s">
        <v>816</v>
      </c>
      <c r="P195" s="129" t="s">
        <v>4</v>
      </c>
      <c r="Q195" t="s">
        <v>351</v>
      </c>
      <c r="R195" s="129" t="s">
        <v>632</v>
      </c>
      <c r="S195" s="129" t="s">
        <v>633</v>
      </c>
      <c r="T195" t="s">
        <v>352</v>
      </c>
      <c r="U195" s="129" t="s">
        <v>334</v>
      </c>
      <c r="V195" s="141">
        <v>0</v>
      </c>
      <c r="W195" s="139">
        <v>12.383402777777778</v>
      </c>
      <c r="X195" s="129">
        <v>1.72</v>
      </c>
      <c r="Y195" s="129" t="s">
        <v>545</v>
      </c>
      <c r="Z195" s="129"/>
      <c r="AA195" s="129"/>
      <c r="AB195" s="129"/>
      <c r="AC195" s="115">
        <f>Master_Table[[#This Row],[Length (m) (on wall)]]*Master_Table[[#This Row],[Height (m)]]*Master_Table[[#This Row],[Thickness (m)]]</f>
        <v>0</v>
      </c>
      <c r="AD195" s="129"/>
      <c r="AE195" s="149"/>
      <c r="AF195" s="129"/>
      <c r="AG195" s="139">
        <f>'LCA SYSTEMS'!J129/2.4^2</f>
        <v>0</v>
      </c>
      <c r="AH195" s="129"/>
    </row>
    <row r="196" spans="2:34" x14ac:dyDescent="0.35">
      <c r="B196" s="115" t="str">
        <f>_xlfn.CONCAT(Master_Table[[#This Row],[Unique ID]],"_",Master_Table[[#This Row],[Model Source]],"_",Master_Table[[#This Row],[System Type]],Master_Table[[#This Row],[System Subtype]],"_",Master_Table[[#This Row],[External Finish Type]])</f>
        <v>Amvic350_EPD_ICFFormed Concrete_Brick</v>
      </c>
      <c r="C196" s="129" t="s">
        <v>513</v>
      </c>
      <c r="D196" s="129" t="s">
        <v>24</v>
      </c>
      <c r="E196" s="129" t="s">
        <v>481</v>
      </c>
      <c r="F196" s="129" t="s">
        <v>285</v>
      </c>
      <c r="G196" s="129" t="s">
        <v>745</v>
      </c>
      <c r="H196" s="129" t="s">
        <v>780</v>
      </c>
      <c r="I196" s="129"/>
      <c r="J196" s="129" t="s">
        <v>821</v>
      </c>
      <c r="K196" s="110" t="s">
        <v>663</v>
      </c>
      <c r="L196" s="129" t="s">
        <v>668</v>
      </c>
      <c r="M196" t="s">
        <v>351</v>
      </c>
      <c r="N196" s="133" t="s">
        <v>29</v>
      </c>
      <c r="O196" s="129" t="s">
        <v>816</v>
      </c>
      <c r="P196" s="129" t="s">
        <v>470</v>
      </c>
      <c r="Q196" t="s">
        <v>352</v>
      </c>
      <c r="R196" s="129" t="s">
        <v>554</v>
      </c>
      <c r="S196" s="129" t="s">
        <v>630</v>
      </c>
      <c r="T196" t="s">
        <v>352</v>
      </c>
      <c r="U196" s="129" t="s">
        <v>334</v>
      </c>
      <c r="V196" s="141">
        <v>1.5E-3</v>
      </c>
      <c r="W196" s="139">
        <v>0.25229166666666669</v>
      </c>
      <c r="X196" s="129">
        <v>4.2</v>
      </c>
      <c r="Y196" s="129" t="s">
        <v>545</v>
      </c>
      <c r="Z196" s="129"/>
      <c r="AA196" s="129"/>
      <c r="AB196" s="129"/>
      <c r="AC196" s="115">
        <f>Master_Table[[#This Row],[Length (m) (on wall)]]*Master_Table[[#This Row],[Height (m)]]*Master_Table[[#This Row],[Thickness (m)]]</f>
        <v>0</v>
      </c>
      <c r="AD196" s="129"/>
      <c r="AE196" s="149"/>
      <c r="AF196" s="129"/>
      <c r="AG196" s="139">
        <f>'LCA SYSTEMS'!J130/2.4^2</f>
        <v>0</v>
      </c>
      <c r="AH196" s="129"/>
    </row>
    <row r="197" spans="2:34" x14ac:dyDescent="0.35">
      <c r="B197" s="115" t="str">
        <f>_xlfn.CONCAT(Master_Table[[#This Row],[Unique ID]],"_",Master_Table[[#This Row],[Model Source]],"_",Master_Table[[#This Row],[System Type]],Master_Table[[#This Row],[System Subtype]],"_",Master_Table[[#This Row],[External Finish Type]])</f>
        <v>Amvic350_EPD_ICFFormed Concrete_Brick</v>
      </c>
      <c r="C197" s="129" t="s">
        <v>513</v>
      </c>
      <c r="D197" s="129" t="s">
        <v>24</v>
      </c>
      <c r="E197" s="129" t="s">
        <v>481</v>
      </c>
      <c r="F197" s="129" t="s">
        <v>285</v>
      </c>
      <c r="G197" s="129" t="s">
        <v>745</v>
      </c>
      <c r="H197" s="129" t="s">
        <v>780</v>
      </c>
      <c r="I197" s="129"/>
      <c r="J197" s="129" t="s">
        <v>821</v>
      </c>
      <c r="K197" s="110" t="s">
        <v>663</v>
      </c>
      <c r="L197" s="129"/>
      <c r="M197" t="s">
        <v>351</v>
      </c>
      <c r="N197" s="130" t="s">
        <v>285</v>
      </c>
      <c r="O197" s="129" t="s">
        <v>663</v>
      </c>
      <c r="P197" s="129" t="s">
        <v>346</v>
      </c>
      <c r="Q197" t="s">
        <v>351</v>
      </c>
      <c r="R197" s="129" t="s">
        <v>564</v>
      </c>
      <c r="S197" s="129" t="s">
        <v>563</v>
      </c>
      <c r="T197" t="s">
        <v>352</v>
      </c>
      <c r="U197" s="129" t="s">
        <v>334</v>
      </c>
      <c r="V197" s="140">
        <v>0.12987012987012989</v>
      </c>
      <c r="W197" s="138">
        <f>Master_Table[[#This Row],[Raw A1-A3/Conversion factor]]*Master_Table[[#This Row],[Total Mass per m^2 (kg)]]</f>
        <v>42.199999999999996</v>
      </c>
      <c r="X197" s="134">
        <v>0.21099999999999999</v>
      </c>
      <c r="Y197" s="134" t="s">
        <v>545</v>
      </c>
      <c r="Z197" s="134">
        <v>1</v>
      </c>
      <c r="AA197" s="134">
        <v>1</v>
      </c>
      <c r="AB197" s="134">
        <v>0.1</v>
      </c>
      <c r="AC197" s="115">
        <f>Master_Table[[#This Row],[Length (m) (on wall)]]*Master_Table[[#This Row],[Height (m)]]*Master_Table[[#This Row],[Thickness (m)]]</f>
        <v>0.1</v>
      </c>
      <c r="AD197" s="134">
        <v>1</v>
      </c>
      <c r="AE197" s="152">
        <v>1</v>
      </c>
      <c r="AF197" s="153">
        <v>2000</v>
      </c>
      <c r="AG197" s="150">
        <f>Master_Table[[#This Row],[Element Volume (m^3)]]*Master_Table[[#This Row],[No. of elements in 1 panel]]*Master_Table[[#This Row],[Material Density (kg/m^3)]]</f>
        <v>200</v>
      </c>
      <c r="AH197" s="129">
        <v>0.77</v>
      </c>
    </row>
    <row r="198" spans="2:34" x14ac:dyDescent="0.35">
      <c r="B198" s="115" t="str">
        <f>_xlfn.CONCAT(Master_Table[[#This Row],[Unique ID]],"_",Master_Table[[#This Row],[Model Source]],"_",Master_Table[[#This Row],[System Type]],Master_Table[[#This Row],[System Subtype]],"_",Master_Table[[#This Row],[External Finish Type]])</f>
        <v>Amvic350_EPD_ICFFormed Concrete_Brick</v>
      </c>
      <c r="C198" s="129" t="s">
        <v>513</v>
      </c>
      <c r="D198" s="129" t="s">
        <v>24</v>
      </c>
      <c r="E198" s="129" t="s">
        <v>481</v>
      </c>
      <c r="F198" s="129" t="s">
        <v>285</v>
      </c>
      <c r="G198" s="129" t="s">
        <v>745</v>
      </c>
      <c r="H198" s="129" t="s">
        <v>780</v>
      </c>
      <c r="I198" s="129"/>
      <c r="J198" s="129" t="s">
        <v>821</v>
      </c>
      <c r="K198" s="110" t="s">
        <v>659</v>
      </c>
      <c r="L198" s="129" t="s">
        <v>807</v>
      </c>
      <c r="M198" t="s">
        <v>351</v>
      </c>
      <c r="N198" s="79" t="s">
        <v>796</v>
      </c>
      <c r="O198" s="134" t="s">
        <v>815</v>
      </c>
      <c r="P198" s="134" t="s">
        <v>346</v>
      </c>
      <c r="Q198" t="s">
        <v>351</v>
      </c>
      <c r="R198" s="134" t="s">
        <v>584</v>
      </c>
      <c r="S198" s="129" t="s">
        <v>576</v>
      </c>
      <c r="T198" t="s">
        <v>351</v>
      </c>
      <c r="U198" s="129" t="s">
        <v>808</v>
      </c>
      <c r="V198" s="140">
        <v>0</v>
      </c>
      <c r="W198" s="124">
        <f>_xlfn.XLOOKUP(Master_Table[[#This Row],[Component Name]],'GWP NORMALISED'!$A$2:$A$500,'GWP NORMALISED'!$H$2:$H$500,FALSE)</f>
        <v>4.1849999999999996</v>
      </c>
      <c r="X198" s="125">
        <f>_xlfn.XLOOKUP(Master_Table[[#This Row],[Component Name]],'RAW GWP FOSSIL'!$A$2:$A$500,'RAW GWP FOSSIL'!$H$2:$H$500,FALSE)</f>
        <v>135</v>
      </c>
      <c r="Y198" s="129" t="s">
        <v>545</v>
      </c>
      <c r="Z198" s="129">
        <v>1</v>
      </c>
      <c r="AA198" s="129">
        <v>1.2E-2</v>
      </c>
      <c r="AB198" s="129">
        <v>0.1</v>
      </c>
      <c r="AC198" s="115">
        <f>Master_Table[[#This Row],[Length (m) (on wall)]]*Master_Table[[#This Row],[Height (m)]]*Master_Table[[#This Row],[Thickness (m)]]</f>
        <v>1.2000000000000001E-3</v>
      </c>
      <c r="AD198" s="129">
        <v>5</v>
      </c>
      <c r="AE198" s="149">
        <f>Master_Table[[#This Row],[Length (m) (on wall)]]*Master_Table[[#This Row],[Height (m)]]/1</f>
        <v>1.2E-2</v>
      </c>
      <c r="AF198" s="147">
        <v>2000</v>
      </c>
      <c r="AG198" s="129">
        <f>0.031*1000</f>
        <v>31</v>
      </c>
      <c r="AH198" s="147">
        <v>2</v>
      </c>
    </row>
    <row r="199" spans="2:34" x14ac:dyDescent="0.35">
      <c r="B199" s="115" t="str">
        <f>_xlfn.CONCAT(Master_Table[[#This Row],[Unique ID]],"_",Master_Table[[#This Row],[Model Source]],"_",Master_Table[[#This Row],[System Type]],Master_Table[[#This Row],[System Subtype]],"_",Master_Table[[#This Row],[External Finish Type]])</f>
        <v>Amvic350_EPD_ICFFormed Concrete_Brick</v>
      </c>
      <c r="C199" s="129" t="s">
        <v>513</v>
      </c>
      <c r="D199" s="129" t="s">
        <v>24</v>
      </c>
      <c r="E199" s="129" t="s">
        <v>481</v>
      </c>
      <c r="F199" s="129" t="s">
        <v>285</v>
      </c>
      <c r="G199" s="129" t="s">
        <v>745</v>
      </c>
      <c r="H199" s="129" t="s">
        <v>780</v>
      </c>
      <c r="I199" s="129"/>
      <c r="J199" s="129" t="s">
        <v>821</v>
      </c>
      <c r="K199" s="110" t="s">
        <v>663</v>
      </c>
      <c r="L199" s="129"/>
      <c r="M199" t="s">
        <v>351</v>
      </c>
      <c r="N199" s="129" t="s">
        <v>355</v>
      </c>
      <c r="O199" s="129" t="s">
        <v>817</v>
      </c>
      <c r="P199" s="129" t="s">
        <v>346</v>
      </c>
      <c r="Q199" t="s">
        <v>351</v>
      </c>
      <c r="R199" s="129" t="s">
        <v>583</v>
      </c>
      <c r="S199" s="129" t="s">
        <v>577</v>
      </c>
      <c r="T199" t="s">
        <v>352</v>
      </c>
      <c r="U199" s="129" t="s">
        <v>334</v>
      </c>
      <c r="V199" s="140">
        <v>2</v>
      </c>
      <c r="W199" s="138">
        <v>0</v>
      </c>
      <c r="X199" s="147">
        <v>0</v>
      </c>
      <c r="Y199" s="129" t="s">
        <v>545</v>
      </c>
      <c r="Z199" s="129">
        <v>1</v>
      </c>
      <c r="AA199" s="129">
        <v>1</v>
      </c>
      <c r="AB199" s="129">
        <v>0.1</v>
      </c>
      <c r="AC199" s="115">
        <f>Master_Table[[#This Row],[Length (m) (on wall)]]*Master_Table[[#This Row],[Height (m)]]*Master_Table[[#This Row],[Thickness (m)]]</f>
        <v>0.1</v>
      </c>
      <c r="AD199" s="129">
        <v>1</v>
      </c>
      <c r="AE199" s="149">
        <v>1</v>
      </c>
      <c r="AF199" s="129">
        <v>1.2</v>
      </c>
      <c r="AG199" s="129">
        <f>Master_Table[[#This Row],[Material Density (kg/m^3)]]*Master_Table[[#This Row],[Thickness (m)]]</f>
        <v>0.12</v>
      </c>
      <c r="AH199" s="129">
        <v>2.5000000000000001E-2</v>
      </c>
    </row>
    <row r="200" spans="2:34" x14ac:dyDescent="0.35">
      <c r="B200" s="115" t="str">
        <f>_xlfn.CONCAT(Master_Table[[#This Row],[Unique ID]],"_",Master_Table[[#This Row],[Model Source]],"_",Master_Table[[#This Row],[System Type]],Master_Table[[#This Row],[System Subtype]],"_",Master_Table[[#This Row],[External Finish Type]])</f>
        <v>Amvic350_EPD_ICFFormed Concrete_Brick</v>
      </c>
      <c r="C200" s="129" t="s">
        <v>513</v>
      </c>
      <c r="D200" s="129" t="s">
        <v>24</v>
      </c>
      <c r="E200" s="129" t="s">
        <v>481</v>
      </c>
      <c r="F200" s="129" t="s">
        <v>285</v>
      </c>
      <c r="G200" s="129" t="s">
        <v>745</v>
      </c>
      <c r="H200" s="129" t="s">
        <v>780</v>
      </c>
      <c r="I200" s="129"/>
      <c r="J200" s="129" t="s">
        <v>821</v>
      </c>
      <c r="K200" s="110" t="s">
        <v>663</v>
      </c>
      <c r="L200" s="129"/>
      <c r="M200" t="s">
        <v>351</v>
      </c>
      <c r="N200" s="134" t="s">
        <v>349</v>
      </c>
      <c r="O200" s="134" t="s">
        <v>663</v>
      </c>
      <c r="P200" s="134" t="s">
        <v>347</v>
      </c>
      <c r="Q200" t="s">
        <v>351</v>
      </c>
      <c r="R200" s="134" t="s">
        <v>582</v>
      </c>
      <c r="S200" s="134" t="s">
        <v>578</v>
      </c>
      <c r="T200" t="s">
        <v>352</v>
      </c>
      <c r="U200" s="129" t="s">
        <v>334</v>
      </c>
      <c r="V200" s="140">
        <v>6.5789473684210523E-2</v>
      </c>
      <c r="W200" s="138">
        <v>1.839</v>
      </c>
      <c r="X200" s="147">
        <v>0</v>
      </c>
      <c r="Y200" s="129" t="s">
        <v>545</v>
      </c>
      <c r="Z200" s="129">
        <v>1</v>
      </c>
      <c r="AA200" s="129">
        <v>1</v>
      </c>
      <c r="AB200" s="129">
        <v>1.4999999999999999E-2</v>
      </c>
      <c r="AC200" s="115">
        <f>Master_Table[[#This Row],[Length (m) (on wall)]]*Master_Table[[#This Row],[Height (m)]]*Master_Table[[#This Row],[Thickness (m)]]</f>
        <v>1.4999999999999999E-2</v>
      </c>
      <c r="AD200" s="129">
        <v>1</v>
      </c>
      <c r="AE200" s="149">
        <v>1</v>
      </c>
      <c r="AF200" s="147">
        <v>615</v>
      </c>
      <c r="AG200" s="147">
        <f>Master_Table[[#This Row],[Material Density (kg/m^3)]]*Master_Table[[#This Row],[Thickness (m)]]</f>
        <v>9.2249999999999996</v>
      </c>
      <c r="AH200" s="147">
        <v>0.19</v>
      </c>
    </row>
    <row r="201" spans="2:34" x14ac:dyDescent="0.35">
      <c r="B201" s="115" t="str">
        <f>_xlfn.CONCAT(Master_Table[[#This Row],[Unique ID]],"_",Master_Table[[#This Row],[Model Source]],"_",Master_Table[[#This Row],[System Type]],Master_Table[[#This Row],[System Subtype]],"_",Master_Table[[#This Row],[External Finish Type]])</f>
        <v>Amvic350_EPD_ICFFormed Concrete_Brick</v>
      </c>
      <c r="C201" s="129" t="s">
        <v>513</v>
      </c>
      <c r="D201" s="129" t="s">
        <v>24</v>
      </c>
      <c r="E201" s="129" t="s">
        <v>481</v>
      </c>
      <c r="F201" s="129" t="s">
        <v>285</v>
      </c>
      <c r="G201" s="129" t="s">
        <v>745</v>
      </c>
      <c r="H201" s="129" t="s">
        <v>780</v>
      </c>
      <c r="I201" s="129"/>
      <c r="J201" s="129" t="s">
        <v>821</v>
      </c>
      <c r="K201" s="110" t="s">
        <v>663</v>
      </c>
      <c r="L201" s="129"/>
      <c r="M201" t="s">
        <v>351</v>
      </c>
      <c r="N201" s="134" t="s">
        <v>566</v>
      </c>
      <c r="O201" s="134" t="s">
        <v>663</v>
      </c>
      <c r="P201" s="134" t="s">
        <v>347</v>
      </c>
      <c r="Q201" t="s">
        <v>351</v>
      </c>
      <c r="R201" s="134" t="s">
        <v>566</v>
      </c>
      <c r="S201" s="134" t="s">
        <v>580</v>
      </c>
      <c r="T201" t="s">
        <v>352</v>
      </c>
      <c r="U201" s="129" t="s">
        <v>334</v>
      </c>
      <c r="V201" s="140">
        <v>0</v>
      </c>
      <c r="W201" s="138">
        <v>1</v>
      </c>
      <c r="X201" s="147">
        <v>0</v>
      </c>
      <c r="Y201" s="129" t="s">
        <v>545</v>
      </c>
      <c r="Z201" s="134">
        <v>1</v>
      </c>
      <c r="AA201" s="134">
        <v>1</v>
      </c>
      <c r="AB201" s="134">
        <v>1</v>
      </c>
      <c r="AC201" s="115">
        <f>Master_Table[[#This Row],[Length (m) (on wall)]]*Master_Table[[#This Row],[Height (m)]]*Master_Table[[#This Row],[Thickness (m)]]</f>
        <v>1</v>
      </c>
      <c r="AD201" s="134">
        <v>1</v>
      </c>
      <c r="AE201" s="152">
        <v>1</v>
      </c>
      <c r="AF201" s="134">
        <v>0</v>
      </c>
      <c r="AG201" s="134">
        <f>Master_Table[[#This Row],[Material Density (kg/m^3)]]*Master_Table[[#This Row],[Thickness (m)]]</f>
        <v>0</v>
      </c>
      <c r="AH201" s="134">
        <v>0</v>
      </c>
    </row>
    <row r="202" spans="2:34" x14ac:dyDescent="0.35">
      <c r="B202" s="115" t="str">
        <f>_xlfn.CONCAT(Master_Table[[#This Row],[Unique ID]],"_",Master_Table[[#This Row],[Model Source]],"_",Master_Table[[#This Row],[System Type]],Master_Table[[#This Row],[System Subtype]],"_",Master_Table[[#This Row],[External Finish Type]])</f>
        <v>Amvic350_EPD_ICFFormed Concrete_Brick</v>
      </c>
      <c r="C202" s="129" t="s">
        <v>513</v>
      </c>
      <c r="D202" s="129" t="s">
        <v>24</v>
      </c>
      <c r="E202" s="129" t="s">
        <v>481</v>
      </c>
      <c r="F202" s="129" t="s">
        <v>285</v>
      </c>
      <c r="G202" s="129" t="s">
        <v>745</v>
      </c>
      <c r="H202" s="129" t="s">
        <v>780</v>
      </c>
      <c r="I202" s="129"/>
      <c r="J202" s="129" t="s">
        <v>821</v>
      </c>
      <c r="K202" s="110" t="s">
        <v>663</v>
      </c>
      <c r="L202" s="129"/>
      <c r="M202" t="s">
        <v>351</v>
      </c>
      <c r="N202" s="129" t="s">
        <v>355</v>
      </c>
      <c r="O202" s="129" t="s">
        <v>817</v>
      </c>
      <c r="P202" s="129" t="s">
        <v>347</v>
      </c>
      <c r="Q202" t="s">
        <v>351</v>
      </c>
      <c r="R202" s="129" t="s">
        <v>581</v>
      </c>
      <c r="S202" s="129" t="s">
        <v>579</v>
      </c>
      <c r="T202" t="s">
        <v>352</v>
      </c>
      <c r="U202" s="129" t="s">
        <v>334</v>
      </c>
      <c r="V202" s="140">
        <v>0.5</v>
      </c>
      <c r="W202" s="148">
        <v>0</v>
      </c>
      <c r="X202" s="129">
        <v>0</v>
      </c>
      <c r="Y202" s="129" t="s">
        <v>545</v>
      </c>
      <c r="Z202" s="129">
        <v>1</v>
      </c>
      <c r="AA202" s="129">
        <v>1</v>
      </c>
      <c r="AB202" s="134">
        <v>0.05</v>
      </c>
      <c r="AC202" s="115">
        <f>Master_Table[[#This Row],[Length (m) (on wall)]]*Master_Table[[#This Row],[Height (m)]]*Master_Table[[#This Row],[Thickness (m)]]</f>
        <v>0.05</v>
      </c>
      <c r="AD202" s="129">
        <v>1</v>
      </c>
      <c r="AE202" s="149">
        <v>1</v>
      </c>
      <c r="AF202" s="129">
        <v>1.2</v>
      </c>
      <c r="AG202" s="129">
        <f>Master_Table[[#This Row],[Material Density (kg/m^3)]]*Master_Table[[#This Row],[Thickness (m)]]</f>
        <v>0.06</v>
      </c>
      <c r="AH202" s="129">
        <v>2.5000000000000001E-2</v>
      </c>
    </row>
    <row r="203" spans="2:34" x14ac:dyDescent="0.35">
      <c r="B203" s="115" t="str">
        <f>_xlfn.CONCAT(Master_Table[[#This Row],[Unique ID]],"_",Master_Table[[#This Row],[Model Source]],"_",Master_Table[[#This Row],[System Type]],Master_Table[[#This Row],[System Subtype]],"_",Master_Table[[#This Row],[External Finish Type]])</f>
        <v>Amvic350_EPD_ICFFormed Concrete_Brick</v>
      </c>
      <c r="C203" s="129" t="s">
        <v>513</v>
      </c>
      <c r="D203" s="129" t="s">
        <v>24</v>
      </c>
      <c r="E203" s="129" t="s">
        <v>481</v>
      </c>
      <c r="F203" s="129" t="s">
        <v>285</v>
      </c>
      <c r="G203" s="129" t="s">
        <v>745</v>
      </c>
      <c r="H203" s="129" t="s">
        <v>780</v>
      </c>
      <c r="I203" s="129"/>
      <c r="J203" s="129" t="s">
        <v>821</v>
      </c>
      <c r="K203" s="110" t="s">
        <v>663</v>
      </c>
      <c r="L203" s="129" t="s">
        <v>809</v>
      </c>
      <c r="M203" s="179" t="s">
        <v>351</v>
      </c>
      <c r="N203" s="178" t="s">
        <v>810</v>
      </c>
      <c r="O203" s="129" t="s">
        <v>663</v>
      </c>
      <c r="P203" s="129" t="s">
        <v>811</v>
      </c>
      <c r="Q203" t="s">
        <v>352</v>
      </c>
      <c r="R203" s="178" t="s">
        <v>812</v>
      </c>
      <c r="S203" s="129"/>
      <c r="T203" t="s">
        <v>351</v>
      </c>
      <c r="U203" s="129" t="s">
        <v>813</v>
      </c>
      <c r="V203" s="140">
        <v>0</v>
      </c>
      <c r="W203" s="138">
        <v>1</v>
      </c>
      <c r="X203" s="147">
        <v>0</v>
      </c>
      <c r="Y203" s="129"/>
      <c r="Z203" s="134">
        <v>1</v>
      </c>
      <c r="AA203" s="134">
        <v>1</v>
      </c>
      <c r="AB203" s="134">
        <v>1</v>
      </c>
      <c r="AC203" s="115">
        <f>Master_Table[[#This Row],[Length (m) (on wall)]]*Master_Table[[#This Row],[Height (m)]]*Master_Table[[#This Row],[Thickness (m)]]</f>
        <v>1</v>
      </c>
      <c r="AD203" s="134">
        <v>1</v>
      </c>
      <c r="AE203" s="152">
        <v>1</v>
      </c>
      <c r="AF203" s="134">
        <v>0</v>
      </c>
      <c r="AG203" s="134">
        <v>0.05</v>
      </c>
      <c r="AH203" s="134">
        <v>0</v>
      </c>
    </row>
    <row r="204" spans="2:34" x14ac:dyDescent="0.35">
      <c r="B204" s="115" t="str">
        <f>_xlfn.CONCAT(Master_Table[[#This Row],[Unique ID]],"_",Master_Table[[#This Row],[Model Source]],"_",Master_Table[[#This Row],[System Type]],Master_Table[[#This Row],[System Subtype]],"_",Master_Table[[#This Row],[External Finish Type]])</f>
        <v>A_LCA_TimberClosed _Brick</v>
      </c>
      <c r="C204" s="129" t="s">
        <v>512</v>
      </c>
      <c r="D204" s="129" t="s">
        <v>3</v>
      </c>
      <c r="E204" s="129" t="s">
        <v>560</v>
      </c>
      <c r="F204" s="129" t="s">
        <v>285</v>
      </c>
      <c r="G204" s="129" t="s">
        <v>550</v>
      </c>
      <c r="H204" s="129" t="s">
        <v>750</v>
      </c>
      <c r="I204" s="129" t="s">
        <v>610</v>
      </c>
      <c r="J204" s="129" t="s">
        <v>822</v>
      </c>
      <c r="K204" s="110" t="s">
        <v>670</v>
      </c>
      <c r="L204" s="129" t="s">
        <v>752</v>
      </c>
      <c r="M204" t="s">
        <v>351</v>
      </c>
      <c r="N204" s="129" t="s">
        <v>611</v>
      </c>
      <c r="O204" s="129" t="s">
        <v>816</v>
      </c>
      <c r="P204" s="129" t="s">
        <v>533</v>
      </c>
      <c r="Q204" t="s">
        <v>352</v>
      </c>
      <c r="R204" s="129" t="s">
        <v>751</v>
      </c>
      <c r="S204" s="129"/>
      <c r="T204" t="s">
        <v>352</v>
      </c>
      <c r="U204" s="129" t="s">
        <v>334</v>
      </c>
      <c r="V204" s="141">
        <f>SUM('LCA SYSTEMS'!$O$13:$O$19)+'LCA SYSTEMS'!$O$16+MATERIALS!$E$15</f>
        <v>5.1371983294483297</v>
      </c>
      <c r="W204" s="141">
        <f>SUM('LCA SYSTEMS'!$L$13:$L$19)+'LCA SYSTEMS'!$L$16+MATERIALS!$C$15</f>
        <v>25.485526875000001</v>
      </c>
      <c r="X204" s="141"/>
      <c r="Y204" s="129"/>
      <c r="Z204" s="129" t="b">
        <v>0</v>
      </c>
      <c r="AA204" s="129" t="b">
        <v>0</v>
      </c>
      <c r="AB204" s="129" t="b">
        <v>0</v>
      </c>
      <c r="AC204" s="115" t="b">
        <v>0</v>
      </c>
      <c r="AD204" s="129" t="b">
        <v>0</v>
      </c>
      <c r="AE204" s="129" t="b">
        <v>0</v>
      </c>
      <c r="AF204" s="129" t="b">
        <v>0</v>
      </c>
      <c r="AG204" s="141">
        <f>(SUM('LCA SYSTEMS'!J13:J19)+'LCA SYSTEMS'!J16+1)/2.4^2</f>
        <v>32.143472222222222</v>
      </c>
      <c r="AH204" s="129" t="b">
        <v>0</v>
      </c>
    </row>
    <row r="205" spans="2:34" x14ac:dyDescent="0.35">
      <c r="B205" s="115" t="str">
        <f>_xlfn.CONCAT(Master_Table[[#This Row],[Unique ID]],"_",Master_Table[[#This Row],[Model Source]],"_",Master_Table[[#This Row],[System Type]],Master_Table[[#This Row],[System Subtype]],"_",Master_Table[[#This Row],[External Finish Type]])</f>
        <v>A_LCA_TimberClosed _Brick</v>
      </c>
      <c r="C205" s="129" t="s">
        <v>512</v>
      </c>
      <c r="D205" s="129" t="s">
        <v>3</v>
      </c>
      <c r="E205" s="129" t="s">
        <v>560</v>
      </c>
      <c r="F205" s="129" t="s">
        <v>285</v>
      </c>
      <c r="G205" s="129" t="s">
        <v>550</v>
      </c>
      <c r="H205" s="129" t="s">
        <v>750</v>
      </c>
      <c r="I205" s="129" t="s">
        <v>610</v>
      </c>
      <c r="J205" s="129" t="s">
        <v>822</v>
      </c>
      <c r="K205" s="110" t="s">
        <v>663</v>
      </c>
      <c r="L205" s="129"/>
      <c r="M205" t="s">
        <v>351</v>
      </c>
      <c r="N205" s="130" t="s">
        <v>285</v>
      </c>
      <c r="O205" s="129" t="s">
        <v>663</v>
      </c>
      <c r="P205" s="129" t="s">
        <v>346</v>
      </c>
      <c r="Q205" t="s">
        <v>351</v>
      </c>
      <c r="R205" s="129" t="s">
        <v>564</v>
      </c>
      <c r="S205" s="129" t="s">
        <v>563</v>
      </c>
      <c r="T205" t="s">
        <v>352</v>
      </c>
      <c r="U205" s="129" t="s">
        <v>334</v>
      </c>
      <c r="V205" s="140">
        <v>0.12987012987012989</v>
      </c>
      <c r="W205" s="138">
        <f>Master_Table[[#This Row],[Raw A1-A3/Conversion factor]]*Master_Table[[#This Row],[Total Mass per m^2 (kg)]]</f>
        <v>42.199999999999996</v>
      </c>
      <c r="X205" s="134">
        <v>0.21099999999999999</v>
      </c>
      <c r="Y205" s="134" t="s">
        <v>545</v>
      </c>
      <c r="Z205" s="134">
        <v>1</v>
      </c>
      <c r="AA205" s="134">
        <v>1</v>
      </c>
      <c r="AB205" s="134">
        <v>0.1</v>
      </c>
      <c r="AC205" s="115">
        <f>Master_Table[[#This Row],[Length (m) (on wall)]]*Master_Table[[#This Row],[Height (m)]]*Master_Table[[#This Row],[Thickness (m)]]</f>
        <v>0.1</v>
      </c>
      <c r="AD205" s="134">
        <v>1</v>
      </c>
      <c r="AE205" s="152">
        <v>1</v>
      </c>
      <c r="AF205" s="153">
        <v>2000</v>
      </c>
      <c r="AG205" s="150">
        <f>Master_Table[[#This Row],[Element Volume (m^3)]]*Master_Table[[#This Row],[No. of elements in 1 panel]]*Master_Table[[#This Row],[Material Density (kg/m^3)]]</f>
        <v>200</v>
      </c>
      <c r="AH205" s="129">
        <v>0.77</v>
      </c>
    </row>
    <row r="206" spans="2:34" x14ac:dyDescent="0.35">
      <c r="B206" s="115" t="str">
        <f>_xlfn.CONCAT(Master_Table[[#This Row],[Unique ID]],"_",Master_Table[[#This Row],[Model Source]],"_",Master_Table[[#This Row],[System Type]],Master_Table[[#This Row],[System Subtype]],"_",Master_Table[[#This Row],[External Finish Type]])</f>
        <v>A_LCA_TimberClosed _Brick</v>
      </c>
      <c r="C206" s="129" t="s">
        <v>512</v>
      </c>
      <c r="D206" s="129" t="s">
        <v>3</v>
      </c>
      <c r="E206" s="129" t="s">
        <v>560</v>
      </c>
      <c r="F206" s="129" t="s">
        <v>285</v>
      </c>
      <c r="G206" s="129" t="s">
        <v>550</v>
      </c>
      <c r="H206" s="129" t="s">
        <v>750</v>
      </c>
      <c r="I206" s="129" t="s">
        <v>607</v>
      </c>
      <c r="J206" s="129" t="s">
        <v>822</v>
      </c>
      <c r="K206" s="110" t="s">
        <v>659</v>
      </c>
      <c r="L206" s="129" t="s">
        <v>807</v>
      </c>
      <c r="M206" t="s">
        <v>351</v>
      </c>
      <c r="N206" s="79" t="s">
        <v>796</v>
      </c>
      <c r="O206" s="134" t="s">
        <v>815</v>
      </c>
      <c r="P206" s="134" t="s">
        <v>346</v>
      </c>
      <c r="Q206" t="s">
        <v>351</v>
      </c>
      <c r="R206" s="134" t="s">
        <v>584</v>
      </c>
      <c r="S206" s="129" t="s">
        <v>576</v>
      </c>
      <c r="T206" t="s">
        <v>351</v>
      </c>
      <c r="U206" s="129" t="s">
        <v>808</v>
      </c>
      <c r="V206" s="140">
        <v>0</v>
      </c>
      <c r="W206" s="124">
        <f>_xlfn.XLOOKUP(Master_Table[[#This Row],[Component Name]],'GWP NORMALISED'!$A$2:$A$500,'GWP NORMALISED'!$H$2:$H$500,FALSE)</f>
        <v>4.1849999999999996</v>
      </c>
      <c r="X206" s="125">
        <f>_xlfn.XLOOKUP(Master_Table[[#This Row],[Component Name]],'RAW GWP FOSSIL'!$A$2:$A$500,'RAW GWP FOSSIL'!$H$2:$H$500,FALSE)</f>
        <v>135</v>
      </c>
      <c r="Y206" s="129" t="s">
        <v>545</v>
      </c>
      <c r="Z206" s="129">
        <v>1</v>
      </c>
      <c r="AA206" s="129">
        <v>1.2E-2</v>
      </c>
      <c r="AB206" s="129">
        <v>0.1</v>
      </c>
      <c r="AC206" s="115">
        <f>Master_Table[[#This Row],[Length (m) (on wall)]]*Master_Table[[#This Row],[Height (m)]]*Master_Table[[#This Row],[Thickness (m)]]</f>
        <v>1.2000000000000001E-3</v>
      </c>
      <c r="AD206" s="129">
        <v>5</v>
      </c>
      <c r="AE206" s="149">
        <f>Master_Table[[#This Row],[Length (m) (on wall)]]*Master_Table[[#This Row],[Height (m)]]/1</f>
        <v>1.2E-2</v>
      </c>
      <c r="AF206" s="147">
        <v>2000</v>
      </c>
      <c r="AG206" s="129">
        <f>0.031*1000</f>
        <v>31</v>
      </c>
      <c r="AH206" s="147">
        <v>2</v>
      </c>
    </row>
    <row r="207" spans="2:34" x14ac:dyDescent="0.35">
      <c r="B207" s="115" t="str">
        <f>_xlfn.CONCAT(Master_Table[[#This Row],[Unique ID]],"_",Master_Table[[#This Row],[Model Source]],"_",Master_Table[[#This Row],[System Type]],Master_Table[[#This Row],[System Subtype]],"_",Master_Table[[#This Row],[External Finish Type]])</f>
        <v>A_LCA_TimberClosed _Brick</v>
      </c>
      <c r="C207" s="129" t="s">
        <v>512</v>
      </c>
      <c r="D207" s="129" t="s">
        <v>3</v>
      </c>
      <c r="E207" s="129" t="s">
        <v>560</v>
      </c>
      <c r="F207" s="129" t="s">
        <v>285</v>
      </c>
      <c r="G207" s="129" t="s">
        <v>550</v>
      </c>
      <c r="H207" s="129" t="s">
        <v>750</v>
      </c>
      <c r="I207" s="129" t="s">
        <v>607</v>
      </c>
      <c r="J207" s="129" t="s">
        <v>822</v>
      </c>
      <c r="K207" s="110" t="s">
        <v>663</v>
      </c>
      <c r="L207" s="129"/>
      <c r="M207" t="s">
        <v>351</v>
      </c>
      <c r="N207" s="129" t="s">
        <v>355</v>
      </c>
      <c r="O207" s="129" t="s">
        <v>817</v>
      </c>
      <c r="P207" s="129" t="s">
        <v>346</v>
      </c>
      <c r="Q207" t="s">
        <v>351</v>
      </c>
      <c r="R207" s="129" t="s">
        <v>583</v>
      </c>
      <c r="S207" s="129" t="s">
        <v>577</v>
      </c>
      <c r="T207" t="s">
        <v>352</v>
      </c>
      <c r="U207" s="129" t="s">
        <v>334</v>
      </c>
      <c r="V207" s="140">
        <v>2</v>
      </c>
      <c r="W207" s="138">
        <v>0</v>
      </c>
      <c r="X207" s="147">
        <v>0</v>
      </c>
      <c r="Y207" s="129" t="s">
        <v>545</v>
      </c>
      <c r="Z207" s="129">
        <v>1</v>
      </c>
      <c r="AA207" s="129">
        <v>1</v>
      </c>
      <c r="AB207" s="129">
        <v>0.1</v>
      </c>
      <c r="AC207" s="115">
        <f>Master_Table[[#This Row],[Length (m) (on wall)]]*Master_Table[[#This Row],[Height (m)]]*Master_Table[[#This Row],[Thickness (m)]]</f>
        <v>0.1</v>
      </c>
      <c r="AD207" s="129">
        <v>1</v>
      </c>
      <c r="AE207" s="149">
        <v>1</v>
      </c>
      <c r="AF207" s="129">
        <v>1.2</v>
      </c>
      <c r="AG207" s="129">
        <f>Master_Table[[#This Row],[Material Density (kg/m^3)]]*Master_Table[[#This Row],[Thickness (m)]]</f>
        <v>0.12</v>
      </c>
      <c r="AH207" s="129">
        <v>2.5000000000000001E-2</v>
      </c>
    </row>
    <row r="208" spans="2:34" x14ac:dyDescent="0.35">
      <c r="B208" s="115" t="str">
        <f>_xlfn.CONCAT(Master_Table[[#This Row],[Unique ID]],"_",Master_Table[[#This Row],[Model Source]],"_",Master_Table[[#This Row],[System Type]],Master_Table[[#This Row],[System Subtype]],"_",Master_Table[[#This Row],[External Finish Type]])</f>
        <v>A_LCA_TimberClosed _Brick</v>
      </c>
      <c r="C208" s="129" t="s">
        <v>512</v>
      </c>
      <c r="D208" s="129" t="s">
        <v>3</v>
      </c>
      <c r="E208" s="129" t="s">
        <v>560</v>
      </c>
      <c r="F208" s="129" t="s">
        <v>285</v>
      </c>
      <c r="G208" s="129" t="s">
        <v>550</v>
      </c>
      <c r="H208" s="129" t="s">
        <v>750</v>
      </c>
      <c r="I208" s="129" t="s">
        <v>607</v>
      </c>
      <c r="J208" s="129" t="s">
        <v>822</v>
      </c>
      <c r="K208" s="110" t="s">
        <v>663</v>
      </c>
      <c r="L208" s="129"/>
      <c r="M208" t="s">
        <v>351</v>
      </c>
      <c r="N208" s="134" t="s">
        <v>349</v>
      </c>
      <c r="O208" s="134" t="s">
        <v>663</v>
      </c>
      <c r="P208" s="134" t="s">
        <v>347</v>
      </c>
      <c r="Q208" t="s">
        <v>351</v>
      </c>
      <c r="R208" s="134" t="s">
        <v>582</v>
      </c>
      <c r="S208" s="134" t="s">
        <v>578</v>
      </c>
      <c r="T208" t="s">
        <v>352</v>
      </c>
      <c r="U208" s="129" t="s">
        <v>334</v>
      </c>
      <c r="V208" s="140">
        <v>6.5789473684210523E-2</v>
      </c>
      <c r="W208" s="138">
        <v>1.839</v>
      </c>
      <c r="X208" s="147">
        <v>0</v>
      </c>
      <c r="Y208" s="129" t="s">
        <v>545</v>
      </c>
      <c r="Z208" s="129">
        <v>1</v>
      </c>
      <c r="AA208" s="129">
        <v>1</v>
      </c>
      <c r="AB208" s="129">
        <v>1.4999999999999999E-2</v>
      </c>
      <c r="AC208" s="115">
        <f>Master_Table[[#This Row],[Length (m) (on wall)]]*Master_Table[[#This Row],[Height (m)]]*Master_Table[[#This Row],[Thickness (m)]]</f>
        <v>1.4999999999999999E-2</v>
      </c>
      <c r="AD208" s="129">
        <v>1</v>
      </c>
      <c r="AE208" s="149">
        <v>1</v>
      </c>
      <c r="AF208" s="147">
        <v>615</v>
      </c>
      <c r="AG208" s="147">
        <f>Master_Table[[#This Row],[Material Density (kg/m^3)]]*Master_Table[[#This Row],[Thickness (m)]]</f>
        <v>9.2249999999999996</v>
      </c>
      <c r="AH208" s="147">
        <v>0.19</v>
      </c>
    </row>
    <row r="209" spans="2:34" x14ac:dyDescent="0.35">
      <c r="B209" s="115" t="str">
        <f>_xlfn.CONCAT(Master_Table[[#This Row],[Unique ID]],"_",Master_Table[[#This Row],[Model Source]],"_",Master_Table[[#This Row],[System Type]],Master_Table[[#This Row],[System Subtype]],"_",Master_Table[[#This Row],[External Finish Type]])</f>
        <v>A_LCA_TimberClosed _Brick</v>
      </c>
      <c r="C209" s="129" t="s">
        <v>512</v>
      </c>
      <c r="D209" s="129" t="s">
        <v>3</v>
      </c>
      <c r="E209" s="129" t="s">
        <v>560</v>
      </c>
      <c r="F209" s="129" t="s">
        <v>285</v>
      </c>
      <c r="G209" s="129" t="s">
        <v>550</v>
      </c>
      <c r="H209" s="129" t="s">
        <v>750</v>
      </c>
      <c r="I209" s="129" t="s">
        <v>607</v>
      </c>
      <c r="J209" s="129" t="s">
        <v>822</v>
      </c>
      <c r="K209" s="110" t="s">
        <v>663</v>
      </c>
      <c r="L209" s="129"/>
      <c r="M209" t="s">
        <v>351</v>
      </c>
      <c r="N209" s="129" t="s">
        <v>355</v>
      </c>
      <c r="O209" s="129" t="s">
        <v>817</v>
      </c>
      <c r="P209" s="129" t="s">
        <v>347</v>
      </c>
      <c r="Q209" t="s">
        <v>351</v>
      </c>
      <c r="R209" s="129" t="s">
        <v>581</v>
      </c>
      <c r="S209" s="129" t="s">
        <v>579</v>
      </c>
      <c r="T209" t="s">
        <v>352</v>
      </c>
      <c r="U209" s="129" t="s">
        <v>334</v>
      </c>
      <c r="V209" s="140">
        <v>0.5</v>
      </c>
      <c r="W209" s="148">
        <v>0</v>
      </c>
      <c r="X209" s="129">
        <v>0</v>
      </c>
      <c r="Y209" s="129" t="s">
        <v>545</v>
      </c>
      <c r="Z209" s="129">
        <v>1</v>
      </c>
      <c r="AA209" s="129">
        <v>1</v>
      </c>
      <c r="AB209" s="134">
        <v>0.05</v>
      </c>
      <c r="AC209" s="115">
        <f>Master_Table[[#This Row],[Length (m) (on wall)]]*Master_Table[[#This Row],[Height (m)]]*Master_Table[[#This Row],[Thickness (m)]]</f>
        <v>0.05</v>
      </c>
      <c r="AD209" s="129">
        <v>1</v>
      </c>
      <c r="AE209" s="149">
        <v>1</v>
      </c>
      <c r="AF209" s="129">
        <v>1.2</v>
      </c>
      <c r="AG209" s="129">
        <f>Master_Table[[#This Row],[Material Density (kg/m^3)]]*Master_Table[[#This Row],[Thickness (m)]]</f>
        <v>0.06</v>
      </c>
      <c r="AH209" s="129">
        <v>2.5000000000000001E-2</v>
      </c>
    </row>
    <row r="210" spans="2:34" x14ac:dyDescent="0.35">
      <c r="B210" s="115" t="str">
        <f>_xlfn.CONCAT(Master_Table[[#This Row],[Unique ID]],"_",Master_Table[[#This Row],[Model Source]],"_",Master_Table[[#This Row],[System Type]],Master_Table[[#This Row],[System Subtype]],"_",Master_Table[[#This Row],[External Finish Type]])</f>
        <v>A_LCA_TimberClosed _Brick</v>
      </c>
      <c r="C210" s="129" t="s">
        <v>512</v>
      </c>
      <c r="D210" s="129" t="s">
        <v>3</v>
      </c>
      <c r="E210" s="129" t="s">
        <v>560</v>
      </c>
      <c r="F210" s="129" t="s">
        <v>285</v>
      </c>
      <c r="G210" s="129" t="s">
        <v>550</v>
      </c>
      <c r="H210" s="129" t="s">
        <v>750</v>
      </c>
      <c r="I210" s="129" t="s">
        <v>607</v>
      </c>
      <c r="J210" s="129" t="s">
        <v>822</v>
      </c>
      <c r="K210" s="110" t="s">
        <v>663</v>
      </c>
      <c r="L210" s="129" t="s">
        <v>809</v>
      </c>
      <c r="M210" s="179" t="s">
        <v>351</v>
      </c>
      <c r="N210" s="178" t="s">
        <v>810</v>
      </c>
      <c r="O210" s="129" t="s">
        <v>663</v>
      </c>
      <c r="P210" s="129" t="s">
        <v>811</v>
      </c>
      <c r="Q210" t="s">
        <v>352</v>
      </c>
      <c r="R210" s="178" t="s">
        <v>812</v>
      </c>
      <c r="S210" s="129"/>
      <c r="T210" t="s">
        <v>351</v>
      </c>
      <c r="U210" s="129" t="s">
        <v>813</v>
      </c>
      <c r="V210" s="140">
        <v>0</v>
      </c>
      <c r="W210" s="138">
        <v>1</v>
      </c>
      <c r="X210" s="147">
        <v>0</v>
      </c>
      <c r="Y210" s="129"/>
      <c r="Z210" s="134">
        <v>1</v>
      </c>
      <c r="AA210" s="134">
        <v>1</v>
      </c>
      <c r="AB210" s="134">
        <v>1</v>
      </c>
      <c r="AC210" s="115">
        <f>Master_Table[[#This Row],[Length (m) (on wall)]]*Master_Table[[#This Row],[Height (m)]]*Master_Table[[#This Row],[Thickness (m)]]</f>
        <v>1</v>
      </c>
      <c r="AD210" s="134">
        <v>1</v>
      </c>
      <c r="AE210" s="152">
        <v>1</v>
      </c>
      <c r="AF210" s="134">
        <v>0</v>
      </c>
      <c r="AG210" s="134">
        <v>0.05</v>
      </c>
      <c r="AH210" s="134">
        <v>0</v>
      </c>
    </row>
    <row r="211" spans="2:34" x14ac:dyDescent="0.35">
      <c r="B211" s="115" t="str">
        <f>_xlfn.CONCAT(Master_Table[[#This Row],[Unique ID]],"_",Master_Table[[#This Row],[Model Source]],"_",Master_Table[[#This Row],[System Type]],Master_Table[[#This Row],[System Subtype]],"_",Master_Table[[#This Row],[External Finish Type]])</f>
        <v>Donaldson Solid_EPD_TimberClosed _Brick</v>
      </c>
      <c r="C211" s="129" t="s">
        <v>513</v>
      </c>
      <c r="D211" s="129" t="s">
        <v>3</v>
      </c>
      <c r="E211" s="129" t="s">
        <v>560</v>
      </c>
      <c r="F211" s="129" t="s">
        <v>285</v>
      </c>
      <c r="G211" s="129" t="s">
        <v>754</v>
      </c>
      <c r="H211" s="129" t="s">
        <v>758</v>
      </c>
      <c r="I211" s="129" t="s">
        <v>755</v>
      </c>
      <c r="J211" s="129" t="s">
        <v>822</v>
      </c>
      <c r="K211" s="110" t="s">
        <v>670</v>
      </c>
      <c r="L211" s="129" t="s">
        <v>756</v>
      </c>
      <c r="M211" t="s">
        <v>351</v>
      </c>
      <c r="N211" s="137" t="s">
        <v>255</v>
      </c>
      <c r="O211" s="129" t="s">
        <v>814</v>
      </c>
      <c r="P211" s="129" t="s">
        <v>533</v>
      </c>
      <c r="Q211" t="s">
        <v>352</v>
      </c>
      <c r="R211" s="129" t="s">
        <v>625</v>
      </c>
      <c r="S211" s="129"/>
      <c r="T211" t="s">
        <v>529</v>
      </c>
      <c r="U211" s="129" t="s">
        <v>496</v>
      </c>
      <c r="V211" s="142">
        <v>5</v>
      </c>
      <c r="W211" s="124">
        <f>_xlfn.XLOOKUP(Master_Table[[#This Row],[Component Name]],'GWP NORMALISED'!$A$2:$A$500,'GWP NORMALISED'!$H$2:$H$500,FALSE)</f>
        <v>21.7</v>
      </c>
      <c r="X211" s="125">
        <f>_xlfn.XLOOKUP(Master_Table[[#This Row],[Component Name]],'RAW GWP FOSSIL'!$A$2:$A$500,'RAW GWP FOSSIL'!$H$2:$H$500,FALSE)</f>
        <v>21.7</v>
      </c>
      <c r="Y211" s="129" t="s">
        <v>618</v>
      </c>
      <c r="Z211" s="129" t="b">
        <v>0</v>
      </c>
      <c r="AA211" s="129" t="b">
        <v>0</v>
      </c>
      <c r="AB211" s="129" t="b">
        <v>0</v>
      </c>
      <c r="AC211" s="115" t="b">
        <v>0</v>
      </c>
      <c r="AD211" s="129" t="b">
        <v>0</v>
      </c>
      <c r="AE211" s="129" t="b">
        <v>0</v>
      </c>
      <c r="AF211" s="129" t="b">
        <v>0</v>
      </c>
      <c r="AG211" s="129">
        <v>23.75</v>
      </c>
      <c r="AH211" s="129" t="b">
        <v>0</v>
      </c>
    </row>
    <row r="212" spans="2:34" x14ac:dyDescent="0.35">
      <c r="B212" s="115" t="str">
        <f>_xlfn.CONCAT(Master_Table[[#This Row],[Unique ID]],"_",Master_Table[[#This Row],[Model Source]],"_",Master_Table[[#This Row],[System Type]],Master_Table[[#This Row],[System Subtype]],"_",Master_Table[[#This Row],[External Finish Type]])</f>
        <v>Donaldson Solid_EPD_TimberClosed _Brick</v>
      </c>
      <c r="C212" s="129" t="s">
        <v>513</v>
      </c>
      <c r="D212" s="129" t="s">
        <v>3</v>
      </c>
      <c r="E212" s="129" t="s">
        <v>560</v>
      </c>
      <c r="F212" s="129" t="s">
        <v>285</v>
      </c>
      <c r="G212" s="129" t="s">
        <v>754</v>
      </c>
      <c r="H212" s="129" t="s">
        <v>758</v>
      </c>
      <c r="I212" s="129" t="s">
        <v>622</v>
      </c>
      <c r="J212" s="129" t="s">
        <v>822</v>
      </c>
      <c r="K212" s="110" t="s">
        <v>659</v>
      </c>
      <c r="L212" s="129" t="s">
        <v>666</v>
      </c>
      <c r="M212" t="s">
        <v>351</v>
      </c>
      <c r="N212" s="136" t="s">
        <v>571</v>
      </c>
      <c r="O212" s="129" t="s">
        <v>815</v>
      </c>
      <c r="P212" s="129" t="s">
        <v>346</v>
      </c>
      <c r="Q212" t="s">
        <v>351</v>
      </c>
      <c r="R212" s="129" t="s">
        <v>585</v>
      </c>
      <c r="S212" s="129" t="s">
        <v>563</v>
      </c>
      <c r="T212" t="s">
        <v>352</v>
      </c>
      <c r="U212" s="129" t="s">
        <v>334</v>
      </c>
      <c r="V212" s="141">
        <f>Master_Table[[#This Row],[Thickness (m)]]/Master_Table[[#This Row],[Thermal Conductivity W/m-K]]</f>
        <v>0.16269841269841268</v>
      </c>
      <c r="W212" s="139">
        <f>_xlfn.XLOOKUP(Master_Table[[#This Row],[Component Name]],'GWP NORMALISED'!$A$2:$A$500,'GWP NORMALISED'!$H$2:$H$500,FALSE)</f>
        <v>42.616724999999995</v>
      </c>
      <c r="X212" s="129">
        <f>_xlfn.XLOOKUP(Master_Table[[#This Row],[Component Name]],'RAW GWP FOSSIL'!$A$2:$A$500,'RAW GWP FOSSIL'!$H$2:$H$500,FALSE)</f>
        <v>211</v>
      </c>
      <c r="Y212" s="129" t="s">
        <v>575</v>
      </c>
      <c r="Z212" s="129">
        <v>1</v>
      </c>
      <c r="AA212" s="129">
        <v>1</v>
      </c>
      <c r="AB212" s="129">
        <v>0.10249999999999999</v>
      </c>
      <c r="AC212" s="115">
        <f>Master_Table[[#This Row],[Length (m) (on wall)]]*Master_Table[[#This Row],[Height (m)]]*Master_Table[[#This Row],[Thickness (m)]]</f>
        <v>0.10249999999999999</v>
      </c>
      <c r="AD212" s="129">
        <v>1</v>
      </c>
      <c r="AE212" s="149">
        <v>1</v>
      </c>
      <c r="AF212" s="129">
        <v>1970</v>
      </c>
      <c r="AG212" s="129">
        <f>Master_Table[[#This Row],[Material Density (kg/m^3)]]*Master_Table[[#This Row],[Thickness (m)]]</f>
        <v>201.92499999999998</v>
      </c>
      <c r="AH212" s="129">
        <v>0.63</v>
      </c>
    </row>
    <row r="213" spans="2:34" x14ac:dyDescent="0.35">
      <c r="B213" s="115" t="str">
        <f>_xlfn.CONCAT(Master_Table[[#This Row],[Unique ID]],"_",Master_Table[[#This Row],[Model Source]],"_",Master_Table[[#This Row],[System Type]],Master_Table[[#This Row],[System Subtype]],"_",Master_Table[[#This Row],[External Finish Type]])</f>
        <v>Donaldson Solid_EPD_TimberClosed _Brick</v>
      </c>
      <c r="C213" s="129" t="s">
        <v>513</v>
      </c>
      <c r="D213" s="129" t="s">
        <v>3</v>
      </c>
      <c r="E213" s="129" t="s">
        <v>560</v>
      </c>
      <c r="F213" s="129" t="s">
        <v>285</v>
      </c>
      <c r="G213" s="129" t="s">
        <v>754</v>
      </c>
      <c r="H213" s="129" t="s">
        <v>758</v>
      </c>
      <c r="I213" s="129" t="s">
        <v>622</v>
      </c>
      <c r="J213" s="129" t="s">
        <v>822</v>
      </c>
      <c r="K213" s="110" t="s">
        <v>659</v>
      </c>
      <c r="L213" s="129" t="s">
        <v>807</v>
      </c>
      <c r="M213" t="s">
        <v>351</v>
      </c>
      <c r="N213" s="79" t="s">
        <v>796</v>
      </c>
      <c r="O213" s="134" t="s">
        <v>815</v>
      </c>
      <c r="P213" s="134" t="s">
        <v>346</v>
      </c>
      <c r="Q213" t="s">
        <v>351</v>
      </c>
      <c r="R213" s="134" t="s">
        <v>584</v>
      </c>
      <c r="S213" s="129" t="s">
        <v>576</v>
      </c>
      <c r="T213" t="s">
        <v>351</v>
      </c>
      <c r="U213" s="129" t="s">
        <v>808</v>
      </c>
      <c r="V213" s="140">
        <v>0</v>
      </c>
      <c r="W213" s="124">
        <f>_xlfn.XLOOKUP(Master_Table[[#This Row],[Component Name]],'GWP NORMALISED'!$A$2:$A$500,'GWP NORMALISED'!$H$2:$H$500,FALSE)</f>
        <v>4.1849999999999996</v>
      </c>
      <c r="X213" s="125">
        <f>_xlfn.XLOOKUP(Master_Table[[#This Row],[Component Name]],'RAW GWP FOSSIL'!$A$2:$A$500,'RAW GWP FOSSIL'!$H$2:$H$500,FALSE)</f>
        <v>135</v>
      </c>
      <c r="Y213" s="129" t="s">
        <v>545</v>
      </c>
      <c r="Z213" s="129">
        <v>1</v>
      </c>
      <c r="AA213" s="129">
        <v>1.2E-2</v>
      </c>
      <c r="AB213" s="129">
        <v>0.1</v>
      </c>
      <c r="AC213" s="115">
        <f>Master_Table[[#This Row],[Length (m) (on wall)]]*Master_Table[[#This Row],[Height (m)]]*Master_Table[[#This Row],[Thickness (m)]]</f>
        <v>1.2000000000000001E-3</v>
      </c>
      <c r="AD213" s="129">
        <v>5</v>
      </c>
      <c r="AE213" s="149">
        <f>Master_Table[[#This Row],[Length (m) (on wall)]]*Master_Table[[#This Row],[Height (m)]]/1</f>
        <v>1.2E-2</v>
      </c>
      <c r="AF213" s="147">
        <v>2000</v>
      </c>
      <c r="AG213" s="129">
        <f>0.031*1000</f>
        <v>31</v>
      </c>
      <c r="AH213" s="147">
        <v>2</v>
      </c>
    </row>
    <row r="214" spans="2:34" x14ac:dyDescent="0.35">
      <c r="B214" s="115" t="str">
        <f>_xlfn.CONCAT(Master_Table[[#This Row],[Unique ID]],"_",Master_Table[[#This Row],[Model Source]],"_",Master_Table[[#This Row],[System Type]],Master_Table[[#This Row],[System Subtype]],"_",Master_Table[[#This Row],[External Finish Type]])</f>
        <v>Donaldson Solid_EPD_TimberClosed _Brick</v>
      </c>
      <c r="C214" s="129" t="s">
        <v>513</v>
      </c>
      <c r="D214" s="129" t="s">
        <v>3</v>
      </c>
      <c r="E214" s="129" t="s">
        <v>560</v>
      </c>
      <c r="F214" s="129" t="s">
        <v>285</v>
      </c>
      <c r="G214" s="129" t="s">
        <v>754</v>
      </c>
      <c r="H214" s="129" t="s">
        <v>758</v>
      </c>
      <c r="I214" s="129" t="s">
        <v>622</v>
      </c>
      <c r="J214" s="129" t="s">
        <v>822</v>
      </c>
      <c r="K214" s="110" t="s">
        <v>663</v>
      </c>
      <c r="L214" s="129"/>
      <c r="M214" t="s">
        <v>351</v>
      </c>
      <c r="N214" s="129" t="s">
        <v>355</v>
      </c>
      <c r="O214" s="129" t="s">
        <v>817</v>
      </c>
      <c r="P214" s="129" t="s">
        <v>346</v>
      </c>
      <c r="Q214" t="s">
        <v>351</v>
      </c>
      <c r="R214" s="129" t="s">
        <v>583</v>
      </c>
      <c r="S214" s="129" t="s">
        <v>577</v>
      </c>
      <c r="T214" t="s">
        <v>352</v>
      </c>
      <c r="U214" s="129" t="s">
        <v>334</v>
      </c>
      <c r="V214" s="140">
        <v>2</v>
      </c>
      <c r="W214" s="138">
        <v>0</v>
      </c>
      <c r="X214" s="147">
        <v>0</v>
      </c>
      <c r="Y214" s="129" t="s">
        <v>545</v>
      </c>
      <c r="Z214" s="129">
        <v>1</v>
      </c>
      <c r="AA214" s="129">
        <v>1</v>
      </c>
      <c r="AB214" s="129">
        <v>0.1</v>
      </c>
      <c r="AC214" s="115">
        <f>Master_Table[[#This Row],[Length (m) (on wall)]]*Master_Table[[#This Row],[Height (m)]]*Master_Table[[#This Row],[Thickness (m)]]</f>
        <v>0.1</v>
      </c>
      <c r="AD214" s="129">
        <v>1</v>
      </c>
      <c r="AE214" s="149">
        <v>1</v>
      </c>
      <c r="AF214" s="129">
        <v>1.2</v>
      </c>
      <c r="AG214" s="129">
        <f>Master_Table[[#This Row],[Material Density (kg/m^3)]]*Master_Table[[#This Row],[Thickness (m)]]</f>
        <v>0.12</v>
      </c>
      <c r="AH214" s="129">
        <v>2.5000000000000001E-2</v>
      </c>
    </row>
    <row r="215" spans="2:34" x14ac:dyDescent="0.35">
      <c r="B215" s="115" t="str">
        <f>_xlfn.CONCAT(Master_Table[[#This Row],[Unique ID]],"_",Master_Table[[#This Row],[Model Source]],"_",Master_Table[[#This Row],[System Type]],Master_Table[[#This Row],[System Subtype]],"_",Master_Table[[#This Row],[External Finish Type]])</f>
        <v>Donaldson Solid_EPD_TimberClosed _Brick</v>
      </c>
      <c r="C215" s="129" t="s">
        <v>513</v>
      </c>
      <c r="D215" s="129" t="s">
        <v>3</v>
      </c>
      <c r="E215" s="129" t="s">
        <v>560</v>
      </c>
      <c r="F215" s="129" t="s">
        <v>285</v>
      </c>
      <c r="G215" s="129" t="s">
        <v>754</v>
      </c>
      <c r="H215" s="129" t="s">
        <v>758</v>
      </c>
      <c r="I215" s="129" t="s">
        <v>622</v>
      </c>
      <c r="J215" s="129" t="s">
        <v>822</v>
      </c>
      <c r="K215" s="110" t="s">
        <v>663</v>
      </c>
      <c r="L215" s="129"/>
      <c r="M215" t="s">
        <v>351</v>
      </c>
      <c r="N215" s="134" t="s">
        <v>349</v>
      </c>
      <c r="O215" s="134" t="s">
        <v>663</v>
      </c>
      <c r="P215" s="134" t="s">
        <v>347</v>
      </c>
      <c r="Q215" t="s">
        <v>351</v>
      </c>
      <c r="R215" s="134" t="s">
        <v>582</v>
      </c>
      <c r="S215" s="134" t="s">
        <v>578</v>
      </c>
      <c r="T215" t="s">
        <v>352</v>
      </c>
      <c r="U215" s="129" t="s">
        <v>334</v>
      </c>
      <c r="V215" s="140">
        <v>6.5789473684210523E-2</v>
      </c>
      <c r="W215" s="138">
        <v>1.839</v>
      </c>
      <c r="X215" s="147">
        <v>0</v>
      </c>
      <c r="Y215" s="129" t="s">
        <v>545</v>
      </c>
      <c r="Z215" s="129">
        <v>1</v>
      </c>
      <c r="AA215" s="129">
        <v>1</v>
      </c>
      <c r="AB215" s="129">
        <v>1.4999999999999999E-2</v>
      </c>
      <c r="AC215" s="115">
        <f>Master_Table[[#This Row],[Length (m) (on wall)]]*Master_Table[[#This Row],[Height (m)]]*Master_Table[[#This Row],[Thickness (m)]]</f>
        <v>1.4999999999999999E-2</v>
      </c>
      <c r="AD215" s="129">
        <v>1</v>
      </c>
      <c r="AE215" s="149">
        <v>1</v>
      </c>
      <c r="AF215" s="147">
        <v>615</v>
      </c>
      <c r="AG215" s="147">
        <f>Master_Table[[#This Row],[Material Density (kg/m^3)]]*Master_Table[[#This Row],[Thickness (m)]]</f>
        <v>9.2249999999999996</v>
      </c>
      <c r="AH215" s="147">
        <v>0.19</v>
      </c>
    </row>
    <row r="216" spans="2:34" x14ac:dyDescent="0.35">
      <c r="B216" s="115" t="str">
        <f>_xlfn.CONCAT(Master_Table[[#This Row],[Unique ID]],"_",Master_Table[[#This Row],[Model Source]],"_",Master_Table[[#This Row],[System Type]],Master_Table[[#This Row],[System Subtype]],"_",Master_Table[[#This Row],[External Finish Type]])</f>
        <v>Donaldson Solid_EPD_TimberClosed _Brick</v>
      </c>
      <c r="C216" s="129" t="s">
        <v>513</v>
      </c>
      <c r="D216" s="129" t="s">
        <v>3</v>
      </c>
      <c r="E216" s="129" t="s">
        <v>560</v>
      </c>
      <c r="F216" s="129" t="s">
        <v>285</v>
      </c>
      <c r="G216" s="129" t="s">
        <v>754</v>
      </c>
      <c r="H216" s="129" t="s">
        <v>758</v>
      </c>
      <c r="I216" s="129" t="s">
        <v>622</v>
      </c>
      <c r="J216" s="129" t="s">
        <v>822</v>
      </c>
      <c r="K216" s="110" t="s">
        <v>663</v>
      </c>
      <c r="L216" s="129"/>
      <c r="M216" t="s">
        <v>351</v>
      </c>
      <c r="N216" s="129" t="s">
        <v>355</v>
      </c>
      <c r="O216" s="129" t="s">
        <v>817</v>
      </c>
      <c r="P216" s="129" t="s">
        <v>347</v>
      </c>
      <c r="Q216" t="s">
        <v>351</v>
      </c>
      <c r="R216" s="129" t="s">
        <v>581</v>
      </c>
      <c r="S216" s="129" t="s">
        <v>579</v>
      </c>
      <c r="T216" t="s">
        <v>352</v>
      </c>
      <c r="U216" s="129" t="s">
        <v>334</v>
      </c>
      <c r="V216" s="140">
        <v>0.5</v>
      </c>
      <c r="W216" s="148">
        <v>0</v>
      </c>
      <c r="X216" s="129">
        <v>0</v>
      </c>
      <c r="Y216" s="129" t="s">
        <v>545</v>
      </c>
      <c r="Z216" s="129">
        <v>1</v>
      </c>
      <c r="AA216" s="129">
        <v>1</v>
      </c>
      <c r="AB216" s="134">
        <v>0.05</v>
      </c>
      <c r="AC216" s="115">
        <f>Master_Table[[#This Row],[Length (m) (on wall)]]*Master_Table[[#This Row],[Height (m)]]*Master_Table[[#This Row],[Thickness (m)]]</f>
        <v>0.05</v>
      </c>
      <c r="AD216" s="129">
        <v>1</v>
      </c>
      <c r="AE216" s="149">
        <v>1</v>
      </c>
      <c r="AF216" s="129">
        <v>1.2</v>
      </c>
      <c r="AG216" s="129">
        <f>Master_Table[[#This Row],[Material Density (kg/m^3)]]*Master_Table[[#This Row],[Thickness (m)]]</f>
        <v>0.06</v>
      </c>
      <c r="AH216" s="129">
        <v>2.5000000000000001E-2</v>
      </c>
    </row>
    <row r="217" spans="2:34" x14ac:dyDescent="0.35">
      <c r="B217" s="115" t="str">
        <f>_xlfn.CONCAT(Master_Table[[#This Row],[Unique ID]],"_",Master_Table[[#This Row],[Model Source]],"_",Master_Table[[#This Row],[System Type]],Master_Table[[#This Row],[System Subtype]],"_",Master_Table[[#This Row],[External Finish Type]])</f>
        <v>Donaldson Solid_EPD_TimberClosed _Brick</v>
      </c>
      <c r="C217" s="129" t="s">
        <v>513</v>
      </c>
      <c r="D217" s="129" t="s">
        <v>3</v>
      </c>
      <c r="E217" s="129" t="s">
        <v>560</v>
      </c>
      <c r="F217" s="129" t="s">
        <v>285</v>
      </c>
      <c r="G217" s="129" t="s">
        <v>754</v>
      </c>
      <c r="H217" s="129" t="s">
        <v>758</v>
      </c>
      <c r="I217" s="129" t="s">
        <v>622</v>
      </c>
      <c r="J217" s="129" t="s">
        <v>822</v>
      </c>
      <c r="K217" s="110" t="s">
        <v>663</v>
      </c>
      <c r="L217" s="129" t="s">
        <v>809</v>
      </c>
      <c r="M217" s="179" t="s">
        <v>351</v>
      </c>
      <c r="N217" s="178" t="s">
        <v>810</v>
      </c>
      <c r="O217" s="129" t="s">
        <v>663</v>
      </c>
      <c r="P217" s="129" t="s">
        <v>811</v>
      </c>
      <c r="Q217" t="s">
        <v>352</v>
      </c>
      <c r="R217" s="178" t="s">
        <v>812</v>
      </c>
      <c r="S217" s="129"/>
      <c r="T217" t="s">
        <v>351</v>
      </c>
      <c r="U217" s="129" t="s">
        <v>813</v>
      </c>
      <c r="V217" s="140">
        <v>0</v>
      </c>
      <c r="W217" s="138">
        <v>1</v>
      </c>
      <c r="X217" s="147">
        <v>0</v>
      </c>
      <c r="Y217" s="129"/>
      <c r="Z217" s="134">
        <v>1</v>
      </c>
      <c r="AA217" s="134">
        <v>1</v>
      </c>
      <c r="AB217" s="134">
        <v>1</v>
      </c>
      <c r="AC217" s="115">
        <f>Master_Table[[#This Row],[Length (m) (on wall)]]*Master_Table[[#This Row],[Height (m)]]*Master_Table[[#This Row],[Thickness (m)]]</f>
        <v>1</v>
      </c>
      <c r="AD217" s="134">
        <v>1</v>
      </c>
      <c r="AE217" s="152">
        <v>1</v>
      </c>
      <c r="AF217" s="134">
        <v>0</v>
      </c>
      <c r="AG217" s="134">
        <v>0.05</v>
      </c>
      <c r="AH217" s="134">
        <v>0</v>
      </c>
    </row>
    <row r="218" spans="2:34" x14ac:dyDescent="0.35">
      <c r="B218" s="115" t="str">
        <f>_xlfn.CONCAT(Master_Table[[#This Row],[Unique ID]],"_",Master_Table[[#This Row],[Model Source]],"_",Master_Table[[#This Row],[System Type]],Master_Table[[#This Row],[System Subtype]],"_",Master_Table[[#This Row],[External Finish Type]])</f>
        <v>Donaldson C Stud_EPD_TimberClosed _Brick</v>
      </c>
      <c r="C218" s="129" t="s">
        <v>513</v>
      </c>
      <c r="D218" s="129" t="s">
        <v>3</v>
      </c>
      <c r="E218" s="129" t="s">
        <v>560</v>
      </c>
      <c r="F218" s="129" t="s">
        <v>285</v>
      </c>
      <c r="G218" s="129" t="s">
        <v>757</v>
      </c>
      <c r="H218" s="129" t="s">
        <v>759</v>
      </c>
      <c r="I218" s="129" t="s">
        <v>760</v>
      </c>
      <c r="J218" s="129" t="s">
        <v>822</v>
      </c>
      <c r="K218" s="110" t="s">
        <v>670</v>
      </c>
      <c r="L218" s="129" t="s">
        <v>761</v>
      </c>
      <c r="M218" t="s">
        <v>351</v>
      </c>
      <c r="N218" s="137" t="s">
        <v>261</v>
      </c>
      <c r="O218" s="129" t="s">
        <v>814</v>
      </c>
      <c r="P218" s="129" t="s">
        <v>533</v>
      </c>
      <c r="Q218" t="s">
        <v>352</v>
      </c>
      <c r="R218" s="129" t="s">
        <v>625</v>
      </c>
      <c r="S218" s="129"/>
      <c r="T218" t="s">
        <v>529</v>
      </c>
      <c r="U218" s="129" t="s">
        <v>496</v>
      </c>
      <c r="V218" s="161">
        <v>5</v>
      </c>
      <c r="W218" s="124">
        <f>_xlfn.XLOOKUP(Master_Table[[#This Row],[Component Name]],'GWP NORMALISED'!$A$2:$A$500,'GWP NORMALISED'!$H$2:$H$500,FALSE)</f>
        <v>27.8</v>
      </c>
      <c r="X218" s="125">
        <f>_xlfn.XLOOKUP(Master_Table[[#This Row],[Component Name]],'RAW GWP FOSSIL'!$A$2:$A$500,'RAW GWP FOSSIL'!$H$2:$H$500,FALSE)</f>
        <v>27.8</v>
      </c>
      <c r="Y218" s="129" t="s">
        <v>618</v>
      </c>
      <c r="Z218" s="129" t="b">
        <v>0</v>
      </c>
      <c r="AA218" s="129" t="b">
        <v>0</v>
      </c>
      <c r="AB218" s="129" t="b">
        <v>0</v>
      </c>
      <c r="AC218" s="115" t="b">
        <v>0</v>
      </c>
      <c r="AD218" s="129" t="b">
        <v>0</v>
      </c>
      <c r="AE218" s="129" t="b">
        <v>0</v>
      </c>
      <c r="AF218" s="129" t="b">
        <v>0</v>
      </c>
      <c r="AG218" s="129">
        <v>31.66</v>
      </c>
      <c r="AH218" s="129" t="b">
        <v>0</v>
      </c>
    </row>
    <row r="219" spans="2:34" x14ac:dyDescent="0.35">
      <c r="B219" s="115" t="str">
        <f>_xlfn.CONCAT(Master_Table[[#This Row],[Unique ID]],"_",Master_Table[[#This Row],[Model Source]],"_",Master_Table[[#This Row],[System Type]],Master_Table[[#This Row],[System Subtype]],"_",Master_Table[[#This Row],[External Finish Type]])</f>
        <v>Donaldson C Stud_EPD_TimberClosed _Brick</v>
      </c>
      <c r="C219" s="129" t="s">
        <v>513</v>
      </c>
      <c r="D219" s="129" t="s">
        <v>3</v>
      </c>
      <c r="E219" s="129" t="s">
        <v>560</v>
      </c>
      <c r="F219" s="129" t="s">
        <v>285</v>
      </c>
      <c r="G219" s="129" t="s">
        <v>757</v>
      </c>
      <c r="H219" s="129" t="s">
        <v>759</v>
      </c>
      <c r="I219" s="129" t="s">
        <v>760</v>
      </c>
      <c r="J219" s="129" t="s">
        <v>822</v>
      </c>
      <c r="K219" s="110" t="s">
        <v>659</v>
      </c>
      <c r="L219" s="129" t="s">
        <v>666</v>
      </c>
      <c r="M219" t="s">
        <v>351</v>
      </c>
      <c r="N219" s="136" t="s">
        <v>571</v>
      </c>
      <c r="O219" s="129" t="s">
        <v>815</v>
      </c>
      <c r="P219" s="129" t="s">
        <v>346</v>
      </c>
      <c r="Q219" t="s">
        <v>351</v>
      </c>
      <c r="R219" s="129" t="s">
        <v>585</v>
      </c>
      <c r="S219" s="129" t="s">
        <v>563</v>
      </c>
      <c r="T219" t="s">
        <v>352</v>
      </c>
      <c r="U219" s="129" t="s">
        <v>334</v>
      </c>
      <c r="V219" s="141">
        <f>Master_Table[[#This Row],[Thickness (m)]]/Master_Table[[#This Row],[Thermal Conductivity W/m-K]]</f>
        <v>0.16269841269841268</v>
      </c>
      <c r="W219" s="139">
        <f>_xlfn.XLOOKUP(Master_Table[[#This Row],[Component Name]],'GWP NORMALISED'!$A$2:$A$500,'GWP NORMALISED'!$H$2:$H$500,FALSE)</f>
        <v>42.616724999999995</v>
      </c>
      <c r="X219" s="129">
        <f>_xlfn.XLOOKUP(Master_Table[[#This Row],[Component Name]],'RAW GWP FOSSIL'!$A$2:$A$500,'RAW GWP FOSSIL'!$H$2:$H$500,FALSE)</f>
        <v>211</v>
      </c>
      <c r="Y219" s="129" t="s">
        <v>575</v>
      </c>
      <c r="Z219" s="129">
        <v>1</v>
      </c>
      <c r="AA219" s="129">
        <v>1</v>
      </c>
      <c r="AB219" s="129">
        <v>0.10249999999999999</v>
      </c>
      <c r="AC219" s="115">
        <f>Master_Table[[#This Row],[Length (m) (on wall)]]*Master_Table[[#This Row],[Height (m)]]*Master_Table[[#This Row],[Thickness (m)]]</f>
        <v>0.10249999999999999</v>
      </c>
      <c r="AD219" s="129">
        <v>1</v>
      </c>
      <c r="AE219" s="149">
        <v>1</v>
      </c>
      <c r="AF219" s="129">
        <v>1970</v>
      </c>
      <c r="AG219" s="129">
        <f>Master_Table[[#This Row],[Material Density (kg/m^3)]]*Master_Table[[#This Row],[Thickness (m)]]</f>
        <v>201.92499999999998</v>
      </c>
      <c r="AH219" s="129">
        <v>0.63</v>
      </c>
    </row>
    <row r="220" spans="2:34" x14ac:dyDescent="0.35">
      <c r="B220" s="115" t="str">
        <f>_xlfn.CONCAT(Master_Table[[#This Row],[Unique ID]],"_",Master_Table[[#This Row],[Model Source]],"_",Master_Table[[#This Row],[System Type]],Master_Table[[#This Row],[System Subtype]],"_",Master_Table[[#This Row],[External Finish Type]])</f>
        <v>Donaldson C Stud_EPD_TimberClosed _Brick</v>
      </c>
      <c r="C220" s="129" t="s">
        <v>513</v>
      </c>
      <c r="D220" s="129" t="s">
        <v>3</v>
      </c>
      <c r="E220" s="129" t="s">
        <v>560</v>
      </c>
      <c r="F220" s="129" t="s">
        <v>285</v>
      </c>
      <c r="G220" s="129" t="s">
        <v>757</v>
      </c>
      <c r="H220" s="129" t="s">
        <v>759</v>
      </c>
      <c r="I220" s="129" t="s">
        <v>760</v>
      </c>
      <c r="J220" s="129" t="s">
        <v>822</v>
      </c>
      <c r="K220" s="110" t="s">
        <v>659</v>
      </c>
      <c r="L220" s="129" t="s">
        <v>807</v>
      </c>
      <c r="M220" t="s">
        <v>351</v>
      </c>
      <c r="N220" s="79" t="s">
        <v>796</v>
      </c>
      <c r="O220" s="134" t="s">
        <v>815</v>
      </c>
      <c r="P220" s="134" t="s">
        <v>346</v>
      </c>
      <c r="Q220" t="s">
        <v>351</v>
      </c>
      <c r="R220" s="134" t="s">
        <v>584</v>
      </c>
      <c r="S220" s="129" t="s">
        <v>576</v>
      </c>
      <c r="T220" t="s">
        <v>351</v>
      </c>
      <c r="U220" s="129" t="s">
        <v>808</v>
      </c>
      <c r="V220" s="140">
        <v>0</v>
      </c>
      <c r="W220" s="124">
        <f>_xlfn.XLOOKUP(Master_Table[[#This Row],[Component Name]],'GWP NORMALISED'!$A$2:$A$500,'GWP NORMALISED'!$H$2:$H$500,FALSE)</f>
        <v>4.1849999999999996</v>
      </c>
      <c r="X220" s="125">
        <f>_xlfn.XLOOKUP(Master_Table[[#This Row],[Component Name]],'RAW GWP FOSSIL'!$A$2:$A$500,'RAW GWP FOSSIL'!$H$2:$H$500,FALSE)</f>
        <v>135</v>
      </c>
      <c r="Y220" s="129" t="s">
        <v>545</v>
      </c>
      <c r="Z220" s="129">
        <v>1</v>
      </c>
      <c r="AA220" s="129">
        <v>1.2E-2</v>
      </c>
      <c r="AB220" s="129">
        <v>0.1</v>
      </c>
      <c r="AC220" s="115">
        <f>Master_Table[[#This Row],[Length (m) (on wall)]]*Master_Table[[#This Row],[Height (m)]]*Master_Table[[#This Row],[Thickness (m)]]</f>
        <v>1.2000000000000001E-3</v>
      </c>
      <c r="AD220" s="129">
        <v>5</v>
      </c>
      <c r="AE220" s="149">
        <f>Master_Table[[#This Row],[Length (m) (on wall)]]*Master_Table[[#This Row],[Height (m)]]/1</f>
        <v>1.2E-2</v>
      </c>
      <c r="AF220" s="147">
        <v>2000</v>
      </c>
      <c r="AG220" s="129">
        <f>0.031*1000</f>
        <v>31</v>
      </c>
      <c r="AH220" s="147">
        <v>2</v>
      </c>
    </row>
    <row r="221" spans="2:34" x14ac:dyDescent="0.35">
      <c r="B221" s="115" t="str">
        <f>_xlfn.CONCAT(Master_Table[[#This Row],[Unique ID]],"_",Master_Table[[#This Row],[Model Source]],"_",Master_Table[[#This Row],[System Type]],Master_Table[[#This Row],[System Subtype]],"_",Master_Table[[#This Row],[External Finish Type]])</f>
        <v>Donaldson C Stud_EPD_TimberClosed _Brick</v>
      </c>
      <c r="C221" s="129" t="s">
        <v>513</v>
      </c>
      <c r="D221" s="129" t="s">
        <v>3</v>
      </c>
      <c r="E221" s="129" t="s">
        <v>560</v>
      </c>
      <c r="F221" s="129" t="s">
        <v>285</v>
      </c>
      <c r="G221" s="129" t="s">
        <v>757</v>
      </c>
      <c r="H221" s="129" t="s">
        <v>759</v>
      </c>
      <c r="I221" s="129" t="s">
        <v>760</v>
      </c>
      <c r="J221" s="129" t="s">
        <v>822</v>
      </c>
      <c r="K221" s="110" t="s">
        <v>663</v>
      </c>
      <c r="L221" s="129"/>
      <c r="M221" t="s">
        <v>351</v>
      </c>
      <c r="N221" s="129" t="s">
        <v>355</v>
      </c>
      <c r="O221" s="129" t="s">
        <v>817</v>
      </c>
      <c r="P221" s="129" t="s">
        <v>346</v>
      </c>
      <c r="Q221" t="s">
        <v>351</v>
      </c>
      <c r="R221" s="129" t="s">
        <v>583</v>
      </c>
      <c r="S221" s="129" t="s">
        <v>577</v>
      </c>
      <c r="T221" t="s">
        <v>352</v>
      </c>
      <c r="U221" s="129" t="s">
        <v>334</v>
      </c>
      <c r="V221" s="140">
        <v>2</v>
      </c>
      <c r="W221" s="138">
        <v>0</v>
      </c>
      <c r="X221" s="147">
        <v>0</v>
      </c>
      <c r="Y221" s="129" t="s">
        <v>545</v>
      </c>
      <c r="Z221" s="129">
        <v>1</v>
      </c>
      <c r="AA221" s="129">
        <v>1</v>
      </c>
      <c r="AB221" s="129">
        <v>0.1</v>
      </c>
      <c r="AC221" s="115">
        <f>Master_Table[[#This Row],[Length (m) (on wall)]]*Master_Table[[#This Row],[Height (m)]]*Master_Table[[#This Row],[Thickness (m)]]</f>
        <v>0.1</v>
      </c>
      <c r="AD221" s="129">
        <v>1</v>
      </c>
      <c r="AE221" s="149">
        <v>1</v>
      </c>
      <c r="AF221" s="129">
        <v>1.2</v>
      </c>
      <c r="AG221" s="129">
        <f>Master_Table[[#This Row],[Material Density (kg/m^3)]]*Master_Table[[#This Row],[Thickness (m)]]</f>
        <v>0.12</v>
      </c>
      <c r="AH221" s="129">
        <v>2.5000000000000001E-2</v>
      </c>
    </row>
    <row r="222" spans="2:34" x14ac:dyDescent="0.35">
      <c r="B222" s="115" t="str">
        <f>_xlfn.CONCAT(Master_Table[[#This Row],[Unique ID]],"_",Master_Table[[#This Row],[Model Source]],"_",Master_Table[[#This Row],[System Type]],Master_Table[[#This Row],[System Subtype]],"_",Master_Table[[#This Row],[External Finish Type]])</f>
        <v>Donaldson C Stud_EPD_TimberClosed _Brick</v>
      </c>
      <c r="C222" s="129" t="s">
        <v>513</v>
      </c>
      <c r="D222" s="129" t="s">
        <v>3</v>
      </c>
      <c r="E222" s="129" t="s">
        <v>560</v>
      </c>
      <c r="F222" s="129" t="s">
        <v>285</v>
      </c>
      <c r="G222" s="129" t="s">
        <v>757</v>
      </c>
      <c r="H222" s="129" t="s">
        <v>759</v>
      </c>
      <c r="I222" s="129" t="s">
        <v>760</v>
      </c>
      <c r="J222" s="129" t="s">
        <v>822</v>
      </c>
      <c r="K222" s="110" t="s">
        <v>663</v>
      </c>
      <c r="L222" s="129"/>
      <c r="M222" t="s">
        <v>351</v>
      </c>
      <c r="N222" s="134" t="s">
        <v>349</v>
      </c>
      <c r="O222" s="134" t="s">
        <v>663</v>
      </c>
      <c r="P222" s="134" t="s">
        <v>347</v>
      </c>
      <c r="Q222" t="s">
        <v>351</v>
      </c>
      <c r="R222" s="134" t="s">
        <v>582</v>
      </c>
      <c r="S222" s="134" t="s">
        <v>578</v>
      </c>
      <c r="T222" t="s">
        <v>352</v>
      </c>
      <c r="U222" s="129" t="s">
        <v>334</v>
      </c>
      <c r="V222" s="140">
        <v>6.5789473684210523E-2</v>
      </c>
      <c r="W222" s="138">
        <v>1.839</v>
      </c>
      <c r="X222" s="147">
        <v>0</v>
      </c>
      <c r="Y222" s="129" t="s">
        <v>545</v>
      </c>
      <c r="Z222" s="129">
        <v>1</v>
      </c>
      <c r="AA222" s="129">
        <v>1</v>
      </c>
      <c r="AB222" s="129">
        <v>1.4999999999999999E-2</v>
      </c>
      <c r="AC222" s="115">
        <f>Master_Table[[#This Row],[Length (m) (on wall)]]*Master_Table[[#This Row],[Height (m)]]*Master_Table[[#This Row],[Thickness (m)]]</f>
        <v>1.4999999999999999E-2</v>
      </c>
      <c r="AD222" s="129">
        <v>1</v>
      </c>
      <c r="AE222" s="149">
        <v>1</v>
      </c>
      <c r="AF222" s="147">
        <v>615</v>
      </c>
      <c r="AG222" s="147">
        <f>Master_Table[[#This Row],[Material Density (kg/m^3)]]*Master_Table[[#This Row],[Thickness (m)]]</f>
        <v>9.2249999999999996</v>
      </c>
      <c r="AH222" s="147">
        <v>0.19</v>
      </c>
    </row>
    <row r="223" spans="2:34" x14ac:dyDescent="0.35">
      <c r="B223" s="115" t="str">
        <f>_xlfn.CONCAT(Master_Table[[#This Row],[Unique ID]],"_",Master_Table[[#This Row],[Model Source]],"_",Master_Table[[#This Row],[System Type]],Master_Table[[#This Row],[System Subtype]],"_",Master_Table[[#This Row],[External Finish Type]])</f>
        <v>Donaldson C Stud_EPD_TimberClosed _Brick</v>
      </c>
      <c r="C223" s="129" t="s">
        <v>513</v>
      </c>
      <c r="D223" s="129" t="s">
        <v>3</v>
      </c>
      <c r="E223" s="129" t="s">
        <v>560</v>
      </c>
      <c r="F223" s="129" t="s">
        <v>285</v>
      </c>
      <c r="G223" s="129" t="s">
        <v>757</v>
      </c>
      <c r="H223" s="129" t="s">
        <v>759</v>
      </c>
      <c r="I223" s="129" t="s">
        <v>760</v>
      </c>
      <c r="J223" s="129" t="s">
        <v>822</v>
      </c>
      <c r="K223" s="110" t="s">
        <v>663</v>
      </c>
      <c r="L223" s="129"/>
      <c r="M223" t="s">
        <v>351</v>
      </c>
      <c r="N223" s="129" t="s">
        <v>355</v>
      </c>
      <c r="O223" s="129" t="s">
        <v>817</v>
      </c>
      <c r="P223" s="129" t="s">
        <v>347</v>
      </c>
      <c r="Q223" t="s">
        <v>351</v>
      </c>
      <c r="R223" s="129" t="s">
        <v>581</v>
      </c>
      <c r="S223" s="129" t="s">
        <v>579</v>
      </c>
      <c r="T223" t="s">
        <v>352</v>
      </c>
      <c r="U223" s="129" t="s">
        <v>334</v>
      </c>
      <c r="V223" s="140">
        <v>0.5</v>
      </c>
      <c r="W223" s="148">
        <v>0</v>
      </c>
      <c r="X223" s="129">
        <v>0</v>
      </c>
      <c r="Y223" s="129" t="s">
        <v>545</v>
      </c>
      <c r="Z223" s="129">
        <v>1</v>
      </c>
      <c r="AA223" s="129">
        <v>1</v>
      </c>
      <c r="AB223" s="134">
        <v>0.05</v>
      </c>
      <c r="AC223" s="115">
        <f>Master_Table[[#This Row],[Length (m) (on wall)]]*Master_Table[[#This Row],[Height (m)]]*Master_Table[[#This Row],[Thickness (m)]]</f>
        <v>0.05</v>
      </c>
      <c r="AD223" s="129">
        <v>1</v>
      </c>
      <c r="AE223" s="149">
        <v>1</v>
      </c>
      <c r="AF223" s="129">
        <v>1.2</v>
      </c>
      <c r="AG223" s="129">
        <f>Master_Table[[#This Row],[Material Density (kg/m^3)]]*Master_Table[[#This Row],[Thickness (m)]]</f>
        <v>0.06</v>
      </c>
      <c r="AH223" s="129">
        <v>2.5000000000000001E-2</v>
      </c>
    </row>
    <row r="224" spans="2:34" x14ac:dyDescent="0.35">
      <c r="B224" s="115" t="str">
        <f>_xlfn.CONCAT(Master_Table[[#This Row],[Unique ID]],"_",Master_Table[[#This Row],[Model Source]],"_",Master_Table[[#This Row],[System Type]],Master_Table[[#This Row],[System Subtype]],"_",Master_Table[[#This Row],[External Finish Type]])</f>
        <v>Donaldson C Stud_EPD_TimberClosed _Brick</v>
      </c>
      <c r="C224" s="129" t="s">
        <v>513</v>
      </c>
      <c r="D224" s="129" t="s">
        <v>3</v>
      </c>
      <c r="E224" s="129" t="s">
        <v>560</v>
      </c>
      <c r="F224" s="129" t="s">
        <v>285</v>
      </c>
      <c r="G224" s="129" t="s">
        <v>757</v>
      </c>
      <c r="H224" s="129" t="s">
        <v>759</v>
      </c>
      <c r="I224" s="129" t="s">
        <v>760</v>
      </c>
      <c r="J224" s="129" t="s">
        <v>822</v>
      </c>
      <c r="K224" s="110" t="s">
        <v>663</v>
      </c>
      <c r="L224" s="129" t="s">
        <v>809</v>
      </c>
      <c r="M224" s="179" t="s">
        <v>351</v>
      </c>
      <c r="N224" s="178" t="s">
        <v>810</v>
      </c>
      <c r="O224" s="129" t="s">
        <v>663</v>
      </c>
      <c r="P224" s="129" t="s">
        <v>811</v>
      </c>
      <c r="Q224" t="s">
        <v>352</v>
      </c>
      <c r="R224" s="178" t="s">
        <v>812</v>
      </c>
      <c r="S224" s="129"/>
      <c r="T224" t="s">
        <v>351</v>
      </c>
      <c r="U224" s="129" t="s">
        <v>813</v>
      </c>
      <c r="V224" s="140">
        <v>0</v>
      </c>
      <c r="W224" s="138">
        <v>1</v>
      </c>
      <c r="X224" s="147">
        <v>0</v>
      </c>
      <c r="Y224" s="129"/>
      <c r="Z224" s="134">
        <v>1</v>
      </c>
      <c r="AA224" s="134">
        <v>1</v>
      </c>
      <c r="AB224" s="134">
        <v>1</v>
      </c>
      <c r="AC224" s="115">
        <f>Master_Table[[#This Row],[Length (m) (on wall)]]*Master_Table[[#This Row],[Height (m)]]*Master_Table[[#This Row],[Thickness (m)]]</f>
        <v>1</v>
      </c>
      <c r="AD224" s="134">
        <v>1</v>
      </c>
      <c r="AE224" s="152">
        <v>1</v>
      </c>
      <c r="AF224" s="134">
        <v>0</v>
      </c>
      <c r="AG224" s="134">
        <v>0.05</v>
      </c>
      <c r="AH224" s="134">
        <v>0</v>
      </c>
    </row>
    <row r="225" spans="2:34" x14ac:dyDescent="0.35">
      <c r="B225" s="115" t="str">
        <f>_xlfn.CONCAT(Master_Table[[#This Row],[Unique ID]],"_",Master_Table[[#This Row],[Model Source]],"_",Master_Table[[#This Row],[System Type]],Master_Table[[#This Row],[System Subtype]],"_",Master_Table[[#This Row],[External Finish Type]])</f>
        <v>SkadoMedis_EPD_TimberClosed _Timber</v>
      </c>
      <c r="C225" s="129" t="s">
        <v>513</v>
      </c>
      <c r="D225" s="129" t="s">
        <v>3</v>
      </c>
      <c r="E225" s="129" t="s">
        <v>560</v>
      </c>
      <c r="F225" s="129" t="s">
        <v>3</v>
      </c>
      <c r="G225" s="129" t="s">
        <v>771</v>
      </c>
      <c r="H225" s="129" t="s">
        <v>772</v>
      </c>
      <c r="I225" s="129" t="s">
        <v>773</v>
      </c>
      <c r="J225" s="129" t="s">
        <v>822</v>
      </c>
      <c r="K225" s="110" t="s">
        <v>660</v>
      </c>
      <c r="L225" s="129"/>
      <c r="M225" t="s">
        <v>351</v>
      </c>
      <c r="N225" s="137" t="s">
        <v>324</v>
      </c>
      <c r="O225" s="129" t="s">
        <v>814</v>
      </c>
      <c r="P225" s="129" t="s">
        <v>770</v>
      </c>
      <c r="Q225" t="s">
        <v>352</v>
      </c>
      <c r="R225" s="129" t="s">
        <v>774</v>
      </c>
      <c r="S225" s="129"/>
      <c r="T225" t="s">
        <v>529</v>
      </c>
      <c r="U225" s="129" t="s">
        <v>496</v>
      </c>
      <c r="V225" s="161">
        <f>1/0.18</f>
        <v>5.5555555555555554</v>
      </c>
      <c r="W225" s="124">
        <f>_xlfn.XLOOKUP(Master_Table[[#This Row],[Component Name]],'GWP NORMALISED'!$A$2:$A$500,'GWP NORMALISED'!$H$2:$H$500,FALSE)</f>
        <v>24.7</v>
      </c>
      <c r="X225" s="125">
        <f>_xlfn.XLOOKUP(Master_Table[[#This Row],[Component Name]],'RAW GWP FOSSIL'!$A$2:$A$500,'RAW GWP FOSSIL'!$H$2:$H$500,FALSE)</f>
        <v>24.7</v>
      </c>
      <c r="Y225" s="129" t="s">
        <v>618</v>
      </c>
      <c r="Z225" s="129" t="b">
        <v>0</v>
      </c>
      <c r="AA225" s="129" t="b">
        <v>0</v>
      </c>
      <c r="AB225" s="129" t="b">
        <v>0</v>
      </c>
      <c r="AC225" s="115" t="b">
        <v>0</v>
      </c>
      <c r="AD225" s="129" t="b">
        <v>0</v>
      </c>
      <c r="AE225" s="129" t="b">
        <v>0</v>
      </c>
      <c r="AF225" s="129" t="b">
        <v>0</v>
      </c>
      <c r="AG225" s="129">
        <v>45.2</v>
      </c>
      <c r="AH225" s="129" t="b">
        <v>0</v>
      </c>
    </row>
    <row r="226" spans="2:34" x14ac:dyDescent="0.35">
      <c r="B226" s="115" t="str">
        <f>_xlfn.CONCAT(Master_Table[[#This Row],[Unique ID]],"_",Master_Table[[#This Row],[Model Source]],"_",Master_Table[[#This Row],[System Type]],Master_Table[[#This Row],[System Subtype]],"_",Master_Table[[#This Row],[External Finish Type]])</f>
        <v>Aircrete High Ten_EPD_Concrete BlockTraditional_Brick</v>
      </c>
      <c r="C226" s="129" t="s">
        <v>513</v>
      </c>
      <c r="D226" s="129" t="s">
        <v>80</v>
      </c>
      <c r="E226" s="129" t="s">
        <v>462</v>
      </c>
      <c r="F226" s="129" t="s">
        <v>285</v>
      </c>
      <c r="G226" s="129" t="s">
        <v>781</v>
      </c>
      <c r="H226" s="129" t="s">
        <v>789</v>
      </c>
      <c r="I226" s="129" t="s">
        <v>652</v>
      </c>
      <c r="J226" s="129" t="s">
        <v>821</v>
      </c>
      <c r="K226" s="110" t="s">
        <v>660</v>
      </c>
      <c r="L226" s="129" t="s">
        <v>675</v>
      </c>
      <c r="M226" t="s">
        <v>351</v>
      </c>
      <c r="N226" s="137" t="s">
        <v>91</v>
      </c>
      <c r="O226" s="129" t="s">
        <v>814</v>
      </c>
      <c r="P226" s="129" t="s">
        <v>4</v>
      </c>
      <c r="Q226" t="s">
        <v>351</v>
      </c>
      <c r="R226" s="129" t="s">
        <v>653</v>
      </c>
      <c r="S226" s="129" t="s">
        <v>657</v>
      </c>
      <c r="T226" t="s">
        <v>352</v>
      </c>
      <c r="U226" s="129" t="s">
        <v>334</v>
      </c>
      <c r="V226" s="141">
        <v>1.02</v>
      </c>
      <c r="W226" s="124">
        <f>_xlfn.XLOOKUP(Master_Table[[#This Row],[Component Name]],'GWP NORMALISED'!$A$2:$A$500,'GWP NORMALISED'!$H$2:$H$500,FALSE)</f>
        <v>49.964215500000002</v>
      </c>
      <c r="X226" s="125">
        <f>_xlfn.XLOOKUP(Master_Table[[#This Row],[Component Name]],'RAW GWP FOSSIL'!$A$2:$A$500,'RAW GWP FOSSIL'!$H$2:$H$500,FALSE)</f>
        <v>279.99</v>
      </c>
      <c r="Y226" s="129" t="s">
        <v>654</v>
      </c>
      <c r="Z226" s="129">
        <v>1</v>
      </c>
      <c r="AA226" s="129">
        <v>1</v>
      </c>
      <c r="AB226" s="129">
        <v>0.215</v>
      </c>
      <c r="AC226" s="115">
        <f>Master_Table[[#This Row],[Length (m) (on wall)]]*Master_Table[[#This Row],[Height (m)]]*Master_Table[[#This Row],[Thickness (m)]]</f>
        <v>0.215</v>
      </c>
      <c r="AD226" s="129"/>
      <c r="AE226" s="149"/>
      <c r="AF226" s="129">
        <v>830</v>
      </c>
      <c r="AG226" s="129">
        <f>Master_Table[[#This Row],[Material Density (kg/m^3)]]*Master_Table[[#This Row],[Element Volume (m^3)]]</f>
        <v>178.45</v>
      </c>
      <c r="AH226" s="129"/>
    </row>
    <row r="227" spans="2:34" x14ac:dyDescent="0.35">
      <c r="B227" s="115" t="str">
        <f>_xlfn.CONCAT(Master_Table[[#This Row],[Unique ID]],"_",Master_Table[[#This Row],[Model Source]],"_",Master_Table[[#This Row],[System Type]],Master_Table[[#This Row],[System Subtype]],"_",Master_Table[[#This Row],[External Finish Type]])</f>
        <v>Aircrete High Ten_EPD_Concrete BlockTraditional_Brick</v>
      </c>
      <c r="C227" s="129" t="s">
        <v>513</v>
      </c>
      <c r="D227" s="129" t="s">
        <v>80</v>
      </c>
      <c r="E227" s="129" t="s">
        <v>462</v>
      </c>
      <c r="F227" s="129" t="s">
        <v>285</v>
      </c>
      <c r="G227" s="129" t="s">
        <v>781</v>
      </c>
      <c r="H227" s="129" t="s">
        <v>789</v>
      </c>
      <c r="I227" s="129" t="s">
        <v>652</v>
      </c>
      <c r="J227" s="129" t="s">
        <v>821</v>
      </c>
      <c r="K227" s="110" t="s">
        <v>663</v>
      </c>
      <c r="L227" s="129" t="s">
        <v>676</v>
      </c>
      <c r="M227" t="s">
        <v>351</v>
      </c>
      <c r="N227" s="134" t="s">
        <v>349</v>
      </c>
      <c r="O227" s="134" t="s">
        <v>663</v>
      </c>
      <c r="P227" s="134" t="s">
        <v>347</v>
      </c>
      <c r="Q227" t="s">
        <v>351</v>
      </c>
      <c r="R227" s="134" t="s">
        <v>582</v>
      </c>
      <c r="S227" s="134" t="s">
        <v>578</v>
      </c>
      <c r="T227" t="s">
        <v>352</v>
      </c>
      <c r="U227" s="129" t="s">
        <v>334</v>
      </c>
      <c r="V227" s="140">
        <v>6.5789473684210523E-2</v>
      </c>
      <c r="W227" s="138">
        <v>1.839</v>
      </c>
      <c r="X227" s="147">
        <v>0</v>
      </c>
      <c r="Y227" s="129" t="s">
        <v>545</v>
      </c>
      <c r="Z227" s="129">
        <v>1</v>
      </c>
      <c r="AA227" s="129">
        <v>1</v>
      </c>
      <c r="AB227" s="129">
        <v>1.4999999999999999E-2</v>
      </c>
      <c r="AC227" s="115">
        <f>Master_Table[[#This Row],[Length (m) (on wall)]]*Master_Table[[#This Row],[Height (m)]]*Master_Table[[#This Row],[Thickness (m)]]</f>
        <v>1.4999999999999999E-2</v>
      </c>
      <c r="AD227" s="129">
        <v>1</v>
      </c>
      <c r="AE227" s="149">
        <v>1</v>
      </c>
      <c r="AF227" s="147">
        <v>615</v>
      </c>
      <c r="AG227" s="147">
        <f>Master_Table[[#This Row],[Material Density (kg/m^3)]]*Master_Table[[#This Row],[Thickness (m)]]</f>
        <v>9.2249999999999996</v>
      </c>
      <c r="AH227" s="147">
        <v>0.19</v>
      </c>
    </row>
    <row r="228" spans="2:34" x14ac:dyDescent="0.35">
      <c r="B228" s="115" t="str">
        <f>_xlfn.CONCAT(Master_Table[[#This Row],[Unique ID]],"_",Master_Table[[#This Row],[Model Source]],"_",Master_Table[[#This Row],[System Type]],Master_Table[[#This Row],[System Subtype]],"_",Master_Table[[#This Row],[External Finish Type]])</f>
        <v>Aircrete High Ten_EPD_Concrete BlockTraditional_Brick</v>
      </c>
      <c r="C228" s="129" t="s">
        <v>513</v>
      </c>
      <c r="D228" s="129" t="s">
        <v>80</v>
      </c>
      <c r="E228" s="129" t="s">
        <v>462</v>
      </c>
      <c r="F228" s="129" t="s">
        <v>285</v>
      </c>
      <c r="G228" s="129" t="s">
        <v>781</v>
      </c>
      <c r="H228" s="129" t="s">
        <v>789</v>
      </c>
      <c r="I228" s="129" t="s">
        <v>652</v>
      </c>
      <c r="J228" s="129" t="s">
        <v>821</v>
      </c>
      <c r="K228" s="110" t="s">
        <v>663</v>
      </c>
      <c r="L228" s="129"/>
      <c r="M228" t="s">
        <v>351</v>
      </c>
      <c r="N228" s="134" t="s">
        <v>566</v>
      </c>
      <c r="O228" s="134" t="s">
        <v>663</v>
      </c>
      <c r="P228" s="134" t="s">
        <v>347</v>
      </c>
      <c r="Q228" t="s">
        <v>351</v>
      </c>
      <c r="R228" s="134" t="s">
        <v>566</v>
      </c>
      <c r="S228" s="134" t="s">
        <v>580</v>
      </c>
      <c r="T228" t="s">
        <v>352</v>
      </c>
      <c r="U228" s="129" t="s">
        <v>334</v>
      </c>
      <c r="V228" s="140">
        <v>0</v>
      </c>
      <c r="W228" s="138">
        <v>1</v>
      </c>
      <c r="X228" s="147">
        <v>0</v>
      </c>
      <c r="Y228" s="129" t="s">
        <v>545</v>
      </c>
      <c r="Z228" s="134">
        <v>1</v>
      </c>
      <c r="AA228" s="134">
        <v>1</v>
      </c>
      <c r="AB228" s="134">
        <v>1</v>
      </c>
      <c r="AC228" s="115">
        <f>Master_Table[[#This Row],[Length (m) (on wall)]]*Master_Table[[#This Row],[Height (m)]]*Master_Table[[#This Row],[Thickness (m)]]</f>
        <v>1</v>
      </c>
      <c r="AD228" s="134">
        <v>1</v>
      </c>
      <c r="AE228" s="152">
        <v>1</v>
      </c>
      <c r="AF228" s="134">
        <v>0</v>
      </c>
      <c r="AG228" s="134">
        <f>Master_Table[[#This Row],[Material Density (kg/m^3)]]*Master_Table[[#This Row],[Thickness (m)]]</f>
        <v>0</v>
      </c>
      <c r="AH228" s="134">
        <v>0</v>
      </c>
    </row>
    <row r="229" spans="2:34" x14ac:dyDescent="0.35">
      <c r="B229" s="115" t="str">
        <f>_xlfn.CONCAT(Master_Table[[#This Row],[Unique ID]],"_",Master_Table[[#This Row],[Model Source]],"_",Master_Table[[#This Row],[System Type]],Master_Table[[#This Row],[System Subtype]],"_",Master_Table[[#This Row],[External Finish Type]])</f>
        <v>Aircrete High Ten_EPD_Concrete BlockTraditional_Brick</v>
      </c>
      <c r="C229" s="129" t="s">
        <v>513</v>
      </c>
      <c r="D229" s="129" t="s">
        <v>80</v>
      </c>
      <c r="E229" s="129" t="s">
        <v>462</v>
      </c>
      <c r="F229" s="129" t="s">
        <v>285</v>
      </c>
      <c r="G229" s="129" t="s">
        <v>781</v>
      </c>
      <c r="H229" s="129" t="s">
        <v>789</v>
      </c>
      <c r="I229" s="129" t="s">
        <v>652</v>
      </c>
      <c r="J229" s="129" t="s">
        <v>821</v>
      </c>
      <c r="K229" s="110" t="s">
        <v>663</v>
      </c>
      <c r="L229" s="129"/>
      <c r="M229" t="s">
        <v>351</v>
      </c>
      <c r="N229" s="129" t="s">
        <v>355</v>
      </c>
      <c r="O229" s="129" t="s">
        <v>817</v>
      </c>
      <c r="P229" s="129" t="s">
        <v>347</v>
      </c>
      <c r="Q229" t="s">
        <v>351</v>
      </c>
      <c r="R229" s="129" t="s">
        <v>581</v>
      </c>
      <c r="S229" s="129" t="s">
        <v>579</v>
      </c>
      <c r="T229" t="s">
        <v>352</v>
      </c>
      <c r="U229" s="129" t="s">
        <v>334</v>
      </c>
      <c r="V229" s="140">
        <v>0.5</v>
      </c>
      <c r="W229" s="148">
        <v>0</v>
      </c>
      <c r="X229" s="129">
        <v>0</v>
      </c>
      <c r="Y229" s="129" t="s">
        <v>545</v>
      </c>
      <c r="Z229" s="129">
        <v>1</v>
      </c>
      <c r="AA229" s="129">
        <v>1</v>
      </c>
      <c r="AB229" s="134">
        <v>0.05</v>
      </c>
      <c r="AC229" s="115">
        <f>Master_Table[[#This Row],[Length (m) (on wall)]]*Master_Table[[#This Row],[Height (m)]]*Master_Table[[#This Row],[Thickness (m)]]</f>
        <v>0.05</v>
      </c>
      <c r="AD229" s="129">
        <v>1</v>
      </c>
      <c r="AE229" s="149">
        <v>1</v>
      </c>
      <c r="AF229" s="129">
        <v>1.2</v>
      </c>
      <c r="AG229" s="129">
        <f>Master_Table[[#This Row],[Material Density (kg/m^3)]]*Master_Table[[#This Row],[Thickness (m)]]</f>
        <v>0.06</v>
      </c>
      <c r="AH229" s="129">
        <v>2.5000000000000001E-2</v>
      </c>
    </row>
    <row r="230" spans="2:34" x14ac:dyDescent="0.35">
      <c r="B230" s="115" t="str">
        <f>_xlfn.CONCAT(Master_Table[[#This Row],[Unique ID]],"_",Master_Table[[#This Row],[Model Source]],"_",Master_Table[[#This Row],[System Type]],Master_Table[[#This Row],[System Subtype]],"_",Master_Table[[#This Row],[External Finish Type]])</f>
        <v>Aircrete High Ten_EPD_Concrete BlockTraditional_Brick</v>
      </c>
      <c r="C230" s="129" t="s">
        <v>513</v>
      </c>
      <c r="D230" s="129" t="s">
        <v>80</v>
      </c>
      <c r="E230" s="129" t="s">
        <v>462</v>
      </c>
      <c r="F230" s="129" t="s">
        <v>285</v>
      </c>
      <c r="G230" s="129" t="s">
        <v>781</v>
      </c>
      <c r="H230" s="129" t="s">
        <v>789</v>
      </c>
      <c r="I230" s="129" t="s">
        <v>652</v>
      </c>
      <c r="J230" s="129" t="s">
        <v>821</v>
      </c>
      <c r="K230" s="110" t="s">
        <v>663</v>
      </c>
      <c r="L230" s="129" t="s">
        <v>677</v>
      </c>
      <c r="M230" t="s">
        <v>351</v>
      </c>
      <c r="N230" s="130" t="s">
        <v>285</v>
      </c>
      <c r="O230" s="129" t="s">
        <v>663</v>
      </c>
      <c r="P230" s="129" t="s">
        <v>346</v>
      </c>
      <c r="Q230" t="s">
        <v>351</v>
      </c>
      <c r="R230" s="129" t="s">
        <v>564</v>
      </c>
      <c r="S230" s="129" t="s">
        <v>563</v>
      </c>
      <c r="T230" t="s">
        <v>352</v>
      </c>
      <c r="U230" s="129" t="s">
        <v>334</v>
      </c>
      <c r="V230" s="140">
        <v>0.12987012987012989</v>
      </c>
      <c r="W230" s="138">
        <f>Master_Table[[#This Row],[Raw A1-A3/Conversion factor]]*Master_Table[[#This Row],[Total Mass per m^2 (kg)]]</f>
        <v>42.199999999999996</v>
      </c>
      <c r="X230" s="134">
        <v>0.21099999999999999</v>
      </c>
      <c r="Y230" s="134" t="s">
        <v>545</v>
      </c>
      <c r="Z230" s="134">
        <v>1</v>
      </c>
      <c r="AA230" s="134">
        <v>1</v>
      </c>
      <c r="AB230" s="134">
        <v>0.1</v>
      </c>
      <c r="AC230" s="115">
        <f>Master_Table[[#This Row],[Length (m) (on wall)]]*Master_Table[[#This Row],[Height (m)]]*Master_Table[[#This Row],[Thickness (m)]]</f>
        <v>0.1</v>
      </c>
      <c r="AD230" s="134">
        <v>1</v>
      </c>
      <c r="AE230" s="152">
        <v>1</v>
      </c>
      <c r="AF230" s="153">
        <v>2000</v>
      </c>
      <c r="AG230" s="150">
        <f>Master_Table[[#This Row],[Element Volume (m^3)]]*Master_Table[[#This Row],[No. of elements in 1 panel]]*Master_Table[[#This Row],[Material Density (kg/m^3)]]</f>
        <v>200</v>
      </c>
      <c r="AH230" s="129">
        <v>0.77</v>
      </c>
    </row>
    <row r="231" spans="2:34" x14ac:dyDescent="0.35">
      <c r="B231" s="115" t="str">
        <f>_xlfn.CONCAT(Master_Table[[#This Row],[Unique ID]],"_",Master_Table[[#This Row],[Model Source]],"_",Master_Table[[#This Row],[System Type]],Master_Table[[#This Row],[System Subtype]],"_",Master_Table[[#This Row],[External Finish Type]])</f>
        <v>Aircrete High Ten_EPD_Concrete BlockTraditional_Brick</v>
      </c>
      <c r="C231" s="129" t="s">
        <v>513</v>
      </c>
      <c r="D231" s="129" t="s">
        <v>80</v>
      </c>
      <c r="E231" s="129" t="s">
        <v>462</v>
      </c>
      <c r="F231" s="129" t="s">
        <v>285</v>
      </c>
      <c r="G231" s="129" t="s">
        <v>781</v>
      </c>
      <c r="H231" s="129" t="s">
        <v>789</v>
      </c>
      <c r="I231" s="129" t="s">
        <v>652</v>
      </c>
      <c r="J231" s="129" t="s">
        <v>821</v>
      </c>
      <c r="K231" s="110" t="s">
        <v>659</v>
      </c>
      <c r="L231" s="129" t="s">
        <v>807</v>
      </c>
      <c r="M231" t="s">
        <v>351</v>
      </c>
      <c r="N231" s="79" t="s">
        <v>796</v>
      </c>
      <c r="O231" s="134" t="s">
        <v>815</v>
      </c>
      <c r="P231" s="134" t="s">
        <v>346</v>
      </c>
      <c r="Q231" t="s">
        <v>351</v>
      </c>
      <c r="R231" s="134" t="s">
        <v>584</v>
      </c>
      <c r="S231" s="129" t="s">
        <v>576</v>
      </c>
      <c r="T231" t="s">
        <v>351</v>
      </c>
      <c r="U231" s="129" t="s">
        <v>808</v>
      </c>
      <c r="V231" s="140">
        <v>0</v>
      </c>
      <c r="W231" s="124">
        <f>_xlfn.XLOOKUP(Master_Table[[#This Row],[Component Name]],'GWP NORMALISED'!$A$2:$A$500,'GWP NORMALISED'!$H$2:$H$500,FALSE)</f>
        <v>4.1849999999999996</v>
      </c>
      <c r="X231" s="125">
        <f>_xlfn.XLOOKUP(Master_Table[[#This Row],[Component Name]],'RAW GWP FOSSIL'!$A$2:$A$500,'RAW GWP FOSSIL'!$H$2:$H$500,FALSE)</f>
        <v>135</v>
      </c>
      <c r="Y231" s="129" t="s">
        <v>545</v>
      </c>
      <c r="Z231" s="129">
        <v>1</v>
      </c>
      <c r="AA231" s="129">
        <v>1.2E-2</v>
      </c>
      <c r="AB231" s="129">
        <v>0.1</v>
      </c>
      <c r="AC231" s="115">
        <f>Master_Table[[#This Row],[Length (m) (on wall)]]*Master_Table[[#This Row],[Height (m)]]*Master_Table[[#This Row],[Thickness (m)]]</f>
        <v>1.2000000000000001E-3</v>
      </c>
      <c r="AD231" s="129">
        <v>5</v>
      </c>
      <c r="AE231" s="149">
        <f>Master_Table[[#This Row],[Length (m) (on wall)]]*Master_Table[[#This Row],[Height (m)]]/1</f>
        <v>1.2E-2</v>
      </c>
      <c r="AF231" s="147">
        <v>2000</v>
      </c>
      <c r="AG231" s="129">
        <f>0.031*1000</f>
        <v>31</v>
      </c>
      <c r="AH231" s="147">
        <v>2</v>
      </c>
    </row>
    <row r="232" spans="2:34" x14ac:dyDescent="0.35">
      <c r="B232" s="115" t="str">
        <f>_xlfn.CONCAT(Master_Table[[#This Row],[Unique ID]],"_",Master_Table[[#This Row],[Model Source]],"_",Master_Table[[#This Row],[System Type]],Master_Table[[#This Row],[System Subtype]],"_",Master_Table[[#This Row],[External Finish Type]])</f>
        <v>Aircrete High Ten_EPD_Concrete BlockTraditional_Brick</v>
      </c>
      <c r="C232" s="129" t="s">
        <v>513</v>
      </c>
      <c r="D232" s="129" t="s">
        <v>80</v>
      </c>
      <c r="E232" s="129" t="s">
        <v>462</v>
      </c>
      <c r="F232" s="129" t="s">
        <v>285</v>
      </c>
      <c r="G232" s="129" t="s">
        <v>781</v>
      </c>
      <c r="H232" s="129" t="s">
        <v>789</v>
      </c>
      <c r="I232" s="129" t="s">
        <v>652</v>
      </c>
      <c r="J232" s="129" t="s">
        <v>821</v>
      </c>
      <c r="K232" s="110" t="s">
        <v>663</v>
      </c>
      <c r="L232" s="129"/>
      <c r="M232" t="s">
        <v>351</v>
      </c>
      <c r="N232" s="129" t="s">
        <v>355</v>
      </c>
      <c r="O232" s="129" t="s">
        <v>817</v>
      </c>
      <c r="P232" s="129" t="s">
        <v>346</v>
      </c>
      <c r="Q232" t="s">
        <v>351</v>
      </c>
      <c r="R232" s="129" t="s">
        <v>583</v>
      </c>
      <c r="S232" s="129" t="s">
        <v>577</v>
      </c>
      <c r="T232" t="s">
        <v>352</v>
      </c>
      <c r="U232" s="129" t="s">
        <v>334</v>
      </c>
      <c r="V232" s="140">
        <v>2</v>
      </c>
      <c r="W232" s="138">
        <v>0</v>
      </c>
      <c r="X232" s="147">
        <v>0</v>
      </c>
      <c r="Y232" s="129" t="s">
        <v>545</v>
      </c>
      <c r="Z232" s="129">
        <v>1</v>
      </c>
      <c r="AA232" s="129">
        <v>1</v>
      </c>
      <c r="AB232" s="129">
        <v>0.1</v>
      </c>
      <c r="AC232" s="115">
        <f>Master_Table[[#This Row],[Length (m) (on wall)]]*Master_Table[[#This Row],[Height (m)]]*Master_Table[[#This Row],[Thickness (m)]]</f>
        <v>0.1</v>
      </c>
      <c r="AD232" s="129">
        <v>1</v>
      </c>
      <c r="AE232" s="149">
        <v>1</v>
      </c>
      <c r="AF232" s="129">
        <v>1.2</v>
      </c>
      <c r="AG232" s="129">
        <f>Master_Table[[#This Row],[Material Density (kg/m^3)]]*Master_Table[[#This Row],[Thickness (m)]]</f>
        <v>0.12</v>
      </c>
      <c r="AH232" s="129">
        <v>2.5000000000000001E-2</v>
      </c>
    </row>
    <row r="233" spans="2:34" x14ac:dyDescent="0.35">
      <c r="B233" s="115" t="str">
        <f>_xlfn.CONCAT(Master_Table[[#This Row],[Unique ID]],"_",Master_Table[[#This Row],[Model Source]],"_",Master_Table[[#This Row],[System Type]],Master_Table[[#This Row],[System Subtype]],"_",Master_Table[[#This Row],[External Finish Type]])</f>
        <v>Aircrete High Ten_EPD_Concrete BlockTraditional_Brick</v>
      </c>
      <c r="C233" s="129" t="s">
        <v>513</v>
      </c>
      <c r="D233" s="129" t="s">
        <v>80</v>
      </c>
      <c r="E233" s="129" t="s">
        <v>462</v>
      </c>
      <c r="F233" s="129" t="s">
        <v>285</v>
      </c>
      <c r="G233" s="129" t="s">
        <v>781</v>
      </c>
      <c r="H233" s="129" t="s">
        <v>789</v>
      </c>
      <c r="I233" s="129" t="s">
        <v>652</v>
      </c>
      <c r="J233" s="129" t="s">
        <v>821</v>
      </c>
      <c r="K233" s="110" t="s">
        <v>663</v>
      </c>
      <c r="L233" s="129" t="s">
        <v>668</v>
      </c>
      <c r="M233" t="s">
        <v>351</v>
      </c>
      <c r="N233" s="133" t="s">
        <v>29</v>
      </c>
      <c r="O233" s="129" t="s">
        <v>816</v>
      </c>
      <c r="P233" s="129" t="s">
        <v>470</v>
      </c>
      <c r="Q233" t="s">
        <v>352</v>
      </c>
      <c r="R233" s="129" t="s">
        <v>554</v>
      </c>
      <c r="S233" s="129" t="s">
        <v>334</v>
      </c>
      <c r="T233" t="s">
        <v>352</v>
      </c>
      <c r="U233" s="129" t="s">
        <v>334</v>
      </c>
      <c r="V233" s="138">
        <v>1.5E-3</v>
      </c>
      <c r="W233" s="139">
        <v>0.25229166666666669</v>
      </c>
      <c r="X233" s="129">
        <v>4.2</v>
      </c>
      <c r="Y233" s="129" t="s">
        <v>545</v>
      </c>
      <c r="Z233" s="130">
        <v>2.4</v>
      </c>
      <c r="AA233" s="130">
        <v>2.4</v>
      </c>
      <c r="AB233" s="130">
        <v>4.4999999999999999E-4</v>
      </c>
      <c r="AC233" s="115">
        <f>Master_Table[[#This Row],[Length (m) (on wall)]]*Master_Table[[#This Row],[Height (m)]]*Master_Table[[#This Row],[Thickness (m)]]</f>
        <v>2.5919999999999997E-3</v>
      </c>
      <c r="AD233" s="129">
        <v>1</v>
      </c>
      <c r="AE233" s="149">
        <v>1</v>
      </c>
      <c r="AF233" s="151">
        <v>0</v>
      </c>
      <c r="AG233" s="151">
        <v>0.34599999999999997</v>
      </c>
      <c r="AH233" s="147">
        <v>0.3</v>
      </c>
    </row>
    <row r="234" spans="2:34" x14ac:dyDescent="0.35">
      <c r="B234" s="115" t="str">
        <f>_xlfn.CONCAT(Master_Table[[#This Row],[Unique ID]],"_",Master_Table[[#This Row],[Model Source]],"_",Master_Table[[#This Row],[System Type]],Master_Table[[#This Row],[System Subtype]],"_",Master_Table[[#This Row],[External Finish Type]])</f>
        <v>Aircrete High Ten_EPD_Concrete BlockTraditional_Brick</v>
      </c>
      <c r="C234" s="129" t="s">
        <v>513</v>
      </c>
      <c r="D234" s="129" t="s">
        <v>80</v>
      </c>
      <c r="E234" s="129" t="s">
        <v>462</v>
      </c>
      <c r="F234" s="129" t="s">
        <v>285</v>
      </c>
      <c r="G234" s="129" t="s">
        <v>781</v>
      </c>
      <c r="H234" s="129" t="s">
        <v>789</v>
      </c>
      <c r="I234" s="129" t="s">
        <v>652</v>
      </c>
      <c r="J234" s="129" t="s">
        <v>821</v>
      </c>
      <c r="K234" s="110" t="s">
        <v>663</v>
      </c>
      <c r="L234" s="129" t="s">
        <v>795</v>
      </c>
      <c r="M234" t="s">
        <v>351</v>
      </c>
      <c r="N234" s="129" t="s">
        <v>627</v>
      </c>
      <c r="O234" s="129" t="s">
        <v>816</v>
      </c>
      <c r="P234" s="129" t="s">
        <v>344</v>
      </c>
      <c r="Q234" t="s">
        <v>352</v>
      </c>
      <c r="R234" s="129" t="s">
        <v>656</v>
      </c>
      <c r="S234" s="129"/>
      <c r="T234" t="s">
        <v>352</v>
      </c>
      <c r="U234" s="129" t="s">
        <v>334</v>
      </c>
      <c r="V234" s="141">
        <f>Master_Table[[#This Row],[Thickness (m)]]/Master_Table[[#This Row],[Thermal Conductivity W/m-K]]</f>
        <v>2.1428571428571428</v>
      </c>
      <c r="W234" s="139">
        <f>Master_Table[[#This Row],[Raw A1-A3/Conversion factor]]*Master_Table[[#This Row],[Total Mass per m^2 (kg)]]</f>
        <v>6.9187500000000002</v>
      </c>
      <c r="X234" s="129">
        <v>3.69</v>
      </c>
      <c r="Y234" s="129" t="s">
        <v>545</v>
      </c>
      <c r="Z234" s="129">
        <v>1</v>
      </c>
      <c r="AA234" s="129">
        <v>1</v>
      </c>
      <c r="AB234" s="129">
        <v>7.4999999999999997E-2</v>
      </c>
      <c r="AC234" s="115">
        <f>Master_Table[[#This Row],[Length (m) (on wall)]]*Master_Table[[#This Row],[Height (m)]]*Master_Table[[#This Row],[Thickness (m)]]</f>
        <v>7.4999999999999997E-2</v>
      </c>
      <c r="AD234" s="129">
        <v>1</v>
      </c>
      <c r="AE234" s="149">
        <v>1</v>
      </c>
      <c r="AF234" s="156">
        <v>25</v>
      </c>
      <c r="AG234" s="139">
        <f>Master_Table[[#This Row],[Material Density (kg/m^3)]]*Master_Table[[#This Row],[Element Volume (m^3)]]</f>
        <v>1.875</v>
      </c>
      <c r="AH234" s="157">
        <v>3.5000000000000003E-2</v>
      </c>
    </row>
    <row r="235" spans="2:34" x14ac:dyDescent="0.35">
      <c r="B235" s="115" t="str">
        <f>_xlfn.CONCAT(Master_Table[[#This Row],[Unique ID]],"_",Master_Table[[#This Row],[Model Source]],"_",Master_Table[[#This Row],[System Type]],Master_Table[[#This Row],[System Subtype]],"_",Master_Table[[#This Row],[External Finish Type]])</f>
        <v>Aircrete High Ten_EPD_Concrete BlockTraditional_Brick</v>
      </c>
      <c r="C235" s="129" t="s">
        <v>513</v>
      </c>
      <c r="D235" s="129" t="s">
        <v>80</v>
      </c>
      <c r="E235" s="129" t="s">
        <v>462</v>
      </c>
      <c r="F235" s="129" t="s">
        <v>285</v>
      </c>
      <c r="G235" s="129" t="s">
        <v>781</v>
      </c>
      <c r="H235" s="129" t="s">
        <v>789</v>
      </c>
      <c r="I235" s="129" t="s">
        <v>652</v>
      </c>
      <c r="J235" s="129" t="s">
        <v>821</v>
      </c>
      <c r="K235" s="110" t="s">
        <v>659</v>
      </c>
      <c r="L235" s="129" t="s">
        <v>807</v>
      </c>
      <c r="M235" t="s">
        <v>351</v>
      </c>
      <c r="N235" s="79" t="s">
        <v>796</v>
      </c>
      <c r="O235" s="134" t="s">
        <v>815</v>
      </c>
      <c r="P235" s="134" t="s">
        <v>346</v>
      </c>
      <c r="Q235" t="s">
        <v>351</v>
      </c>
      <c r="R235" s="134" t="s">
        <v>584</v>
      </c>
      <c r="S235" s="129" t="s">
        <v>576</v>
      </c>
      <c r="T235" t="s">
        <v>351</v>
      </c>
      <c r="U235" s="129" t="s">
        <v>808</v>
      </c>
      <c r="V235" s="140">
        <v>0</v>
      </c>
      <c r="W235" s="124">
        <f>_xlfn.XLOOKUP(Master_Table[[#This Row],[Component Name]],'GWP NORMALISED'!$A$2:$A$500,'GWP NORMALISED'!$H$2:$H$500,FALSE)</f>
        <v>4.1849999999999996</v>
      </c>
      <c r="X235" s="125">
        <f>_xlfn.XLOOKUP(Master_Table[[#This Row],[Component Name]],'RAW GWP FOSSIL'!$A$2:$A$500,'RAW GWP FOSSIL'!$H$2:$H$500,FALSE)</f>
        <v>135</v>
      </c>
      <c r="Y235" s="129" t="s">
        <v>545</v>
      </c>
      <c r="Z235" s="129">
        <v>1</v>
      </c>
      <c r="AA235" s="129">
        <v>1.2E-2</v>
      </c>
      <c r="AB235" s="129">
        <v>0.1</v>
      </c>
      <c r="AC235" s="115">
        <f>Master_Table[[#This Row],[Length (m) (on wall)]]*Master_Table[[#This Row],[Height (m)]]*Master_Table[[#This Row],[Thickness (m)]]</f>
        <v>1.2000000000000001E-3</v>
      </c>
      <c r="AD235" s="129">
        <v>5</v>
      </c>
      <c r="AE235" s="149">
        <f>Master_Table[[#This Row],[Length (m) (on wall)]]*Master_Table[[#This Row],[Height (m)]]/1</f>
        <v>1.2E-2</v>
      </c>
      <c r="AF235" s="147">
        <v>2000</v>
      </c>
      <c r="AG235" s="129">
        <f>0.031*1000</f>
        <v>31</v>
      </c>
      <c r="AH235" s="147">
        <v>2</v>
      </c>
    </row>
    <row r="236" spans="2:34" x14ac:dyDescent="0.35">
      <c r="B236" s="115" t="str">
        <f>_xlfn.CONCAT(Master_Table[[#This Row],[Unique ID]],"_",Master_Table[[#This Row],[Model Source]],"_",Master_Table[[#This Row],[System Type]],Master_Table[[#This Row],[System Subtype]],"_",Master_Table[[#This Row],[External Finish Type]])</f>
        <v>Aircrete High Ten_EPD_Concrete BlockTraditional_Brick</v>
      </c>
      <c r="C236" s="129" t="s">
        <v>513</v>
      </c>
      <c r="D236" s="129" t="s">
        <v>80</v>
      </c>
      <c r="E236" s="129" t="s">
        <v>462</v>
      </c>
      <c r="F236" s="129" t="s">
        <v>285</v>
      </c>
      <c r="G236" s="129" t="s">
        <v>781</v>
      </c>
      <c r="H236" s="129" t="s">
        <v>789</v>
      </c>
      <c r="I236" s="129" t="s">
        <v>652</v>
      </c>
      <c r="J236" s="129" t="s">
        <v>821</v>
      </c>
      <c r="K236" s="110" t="s">
        <v>663</v>
      </c>
      <c r="L236" s="129" t="s">
        <v>809</v>
      </c>
      <c r="M236" s="179" t="s">
        <v>351</v>
      </c>
      <c r="N236" s="178" t="s">
        <v>810</v>
      </c>
      <c r="O236" s="129" t="s">
        <v>663</v>
      </c>
      <c r="P236" s="129" t="s">
        <v>811</v>
      </c>
      <c r="Q236" t="s">
        <v>352</v>
      </c>
      <c r="R236" s="178" t="s">
        <v>812</v>
      </c>
      <c r="S236" s="129"/>
      <c r="T236" t="s">
        <v>351</v>
      </c>
      <c r="U236" s="129" t="s">
        <v>813</v>
      </c>
      <c r="V236" s="140">
        <v>0</v>
      </c>
      <c r="W236" s="138">
        <v>1</v>
      </c>
      <c r="X236" s="147">
        <v>0</v>
      </c>
      <c r="Y236" s="129"/>
      <c r="Z236" s="134">
        <v>1</v>
      </c>
      <c r="AA236" s="134">
        <v>1</v>
      </c>
      <c r="AB236" s="134">
        <v>1</v>
      </c>
      <c r="AC236" s="115">
        <f>Master_Table[[#This Row],[Length (m) (on wall)]]*Master_Table[[#This Row],[Height (m)]]*Master_Table[[#This Row],[Thickness (m)]]</f>
        <v>1</v>
      </c>
      <c r="AD236" s="134">
        <v>1</v>
      </c>
      <c r="AE236" s="152">
        <v>1</v>
      </c>
      <c r="AF236" s="134">
        <v>0</v>
      </c>
      <c r="AG236" s="134">
        <v>0.05</v>
      </c>
      <c r="AH236" s="134">
        <v>0</v>
      </c>
    </row>
    <row r="237" spans="2:34" x14ac:dyDescent="0.35">
      <c r="B237" s="115" t="str">
        <f>_xlfn.CONCAT(Master_Table[[#This Row],[Unique ID]],"_",Master_Table[[#This Row],[Model Source]],"_",Master_Table[[#This Row],[System Type]],Master_Table[[#This Row],[System Subtype]],"_",Master_Table[[#This Row],[External Finish Type]])</f>
        <v>Aircrete Seven_EPD_Concrete BlockTraditional_Brick</v>
      </c>
      <c r="C237" s="129" t="s">
        <v>513</v>
      </c>
      <c r="D237" s="129" t="s">
        <v>80</v>
      </c>
      <c r="E237" s="129" t="s">
        <v>462</v>
      </c>
      <c r="F237" s="129" t="s">
        <v>285</v>
      </c>
      <c r="G237" s="129" t="s">
        <v>782</v>
      </c>
      <c r="H237" s="129" t="s">
        <v>790</v>
      </c>
      <c r="I237" s="129" t="s">
        <v>652</v>
      </c>
      <c r="J237" s="129" t="s">
        <v>821</v>
      </c>
      <c r="K237" s="110" t="s">
        <v>660</v>
      </c>
      <c r="L237" s="129" t="s">
        <v>675</v>
      </c>
      <c r="M237" t="s">
        <v>351</v>
      </c>
      <c r="N237" s="137" t="s">
        <v>101</v>
      </c>
      <c r="O237" s="129" t="s">
        <v>814</v>
      </c>
      <c r="P237" s="129" t="s">
        <v>4</v>
      </c>
      <c r="Q237" t="s">
        <v>351</v>
      </c>
      <c r="R237" s="129" t="s">
        <v>653</v>
      </c>
      <c r="S237" s="129" t="s">
        <v>657</v>
      </c>
      <c r="T237" t="s">
        <v>352</v>
      </c>
      <c r="U237" s="129" t="s">
        <v>334</v>
      </c>
      <c r="V237" s="141">
        <v>1.1299999999999999</v>
      </c>
      <c r="W237" s="124">
        <f>_xlfn.XLOOKUP(Master_Table[[#This Row],[Component Name]],'GWP NORMALISED'!$A$2:$A$500,'GWP NORMALISED'!$H$2:$H$500,FALSE)</f>
        <v>53.283106000000011</v>
      </c>
      <c r="X237" s="125">
        <f>_xlfn.XLOOKUP(Master_Table[[#This Row],[Component Name]],'RAW GWP FOSSIL'!$A$2:$A$500,'RAW GWP FOSSIL'!$H$2:$H$500,FALSE)</f>
        <v>326.09000000000003</v>
      </c>
      <c r="Y237" s="129" t="s">
        <v>654</v>
      </c>
      <c r="Z237" s="129">
        <v>1</v>
      </c>
      <c r="AA237" s="129">
        <v>1</v>
      </c>
      <c r="AB237" s="129">
        <v>0.215</v>
      </c>
      <c r="AC237" s="115">
        <f>Master_Table[[#This Row],[Length (m) (on wall)]]*Master_Table[[#This Row],[Height (m)]]*Master_Table[[#This Row],[Thickness (m)]]</f>
        <v>0.215</v>
      </c>
      <c r="AD237" s="129"/>
      <c r="AE237" s="149"/>
      <c r="AF237" s="129">
        <v>760</v>
      </c>
      <c r="AG237" s="129">
        <f>Master_Table[[#This Row],[Material Density (kg/m^3)]]*Master_Table[[#This Row],[Element Volume (m^3)]]</f>
        <v>163.4</v>
      </c>
      <c r="AH237" s="129"/>
    </row>
    <row r="238" spans="2:34" x14ac:dyDescent="0.35">
      <c r="B238" s="115" t="str">
        <f>_xlfn.CONCAT(Master_Table[[#This Row],[Unique ID]],"_",Master_Table[[#This Row],[Model Source]],"_",Master_Table[[#This Row],[System Type]],Master_Table[[#This Row],[System Subtype]],"_",Master_Table[[#This Row],[External Finish Type]])</f>
        <v>Aircrete Seven_EPD_Concrete BlockTraditional_Brick</v>
      </c>
      <c r="C238" s="129" t="s">
        <v>513</v>
      </c>
      <c r="D238" s="129" t="s">
        <v>80</v>
      </c>
      <c r="E238" s="129" t="s">
        <v>462</v>
      </c>
      <c r="F238" s="129" t="s">
        <v>285</v>
      </c>
      <c r="G238" s="129" t="s">
        <v>782</v>
      </c>
      <c r="H238" s="129" t="s">
        <v>790</v>
      </c>
      <c r="I238" s="129" t="s">
        <v>652</v>
      </c>
      <c r="J238" s="129" t="s">
        <v>821</v>
      </c>
      <c r="K238" s="110" t="s">
        <v>663</v>
      </c>
      <c r="L238" s="129" t="s">
        <v>676</v>
      </c>
      <c r="M238" t="s">
        <v>351</v>
      </c>
      <c r="N238" s="134" t="s">
        <v>349</v>
      </c>
      <c r="O238" s="134" t="s">
        <v>663</v>
      </c>
      <c r="P238" s="134" t="s">
        <v>347</v>
      </c>
      <c r="Q238" t="s">
        <v>351</v>
      </c>
      <c r="R238" s="134" t="s">
        <v>582</v>
      </c>
      <c r="S238" s="134" t="s">
        <v>578</v>
      </c>
      <c r="T238" t="s">
        <v>352</v>
      </c>
      <c r="U238" s="129" t="s">
        <v>334</v>
      </c>
      <c r="V238" s="140">
        <v>6.5789473684210523E-2</v>
      </c>
      <c r="W238" s="138">
        <v>1.839</v>
      </c>
      <c r="X238" s="147">
        <v>0</v>
      </c>
      <c r="Y238" s="129" t="s">
        <v>545</v>
      </c>
      <c r="Z238" s="129">
        <v>1</v>
      </c>
      <c r="AA238" s="129">
        <v>1</v>
      </c>
      <c r="AB238" s="129">
        <v>1.4999999999999999E-2</v>
      </c>
      <c r="AC238" s="115">
        <f>Master_Table[[#This Row],[Length (m) (on wall)]]*Master_Table[[#This Row],[Height (m)]]*Master_Table[[#This Row],[Thickness (m)]]</f>
        <v>1.4999999999999999E-2</v>
      </c>
      <c r="AD238" s="129">
        <v>1</v>
      </c>
      <c r="AE238" s="149">
        <v>1</v>
      </c>
      <c r="AF238" s="147">
        <v>615</v>
      </c>
      <c r="AG238" s="147">
        <f>Master_Table[[#This Row],[Material Density (kg/m^3)]]*Master_Table[[#This Row],[Thickness (m)]]</f>
        <v>9.2249999999999996</v>
      </c>
      <c r="AH238" s="147">
        <v>0.19</v>
      </c>
    </row>
    <row r="239" spans="2:34" x14ac:dyDescent="0.35">
      <c r="B239" s="115" t="str">
        <f>_xlfn.CONCAT(Master_Table[[#This Row],[Unique ID]],"_",Master_Table[[#This Row],[Model Source]],"_",Master_Table[[#This Row],[System Type]],Master_Table[[#This Row],[System Subtype]],"_",Master_Table[[#This Row],[External Finish Type]])</f>
        <v>Aircrete Seven_EPD_Concrete BlockTraditional_Brick</v>
      </c>
      <c r="C239" s="129" t="s">
        <v>513</v>
      </c>
      <c r="D239" s="129" t="s">
        <v>80</v>
      </c>
      <c r="E239" s="129" t="s">
        <v>462</v>
      </c>
      <c r="F239" s="129" t="s">
        <v>285</v>
      </c>
      <c r="G239" s="129" t="s">
        <v>782</v>
      </c>
      <c r="H239" s="129" t="s">
        <v>790</v>
      </c>
      <c r="I239" s="129" t="s">
        <v>652</v>
      </c>
      <c r="J239" s="129" t="s">
        <v>821</v>
      </c>
      <c r="K239" s="110" t="s">
        <v>663</v>
      </c>
      <c r="L239" s="129"/>
      <c r="M239" t="s">
        <v>351</v>
      </c>
      <c r="N239" s="134" t="s">
        <v>566</v>
      </c>
      <c r="O239" s="134" t="s">
        <v>663</v>
      </c>
      <c r="P239" s="134" t="s">
        <v>347</v>
      </c>
      <c r="Q239" t="s">
        <v>351</v>
      </c>
      <c r="R239" s="134" t="s">
        <v>566</v>
      </c>
      <c r="S239" s="134" t="s">
        <v>580</v>
      </c>
      <c r="T239" t="s">
        <v>352</v>
      </c>
      <c r="U239" s="129" t="s">
        <v>334</v>
      </c>
      <c r="V239" s="140">
        <v>0</v>
      </c>
      <c r="W239" s="138">
        <v>1</v>
      </c>
      <c r="X239" s="147">
        <v>0</v>
      </c>
      <c r="Y239" s="129" t="s">
        <v>545</v>
      </c>
      <c r="Z239" s="134">
        <v>1</v>
      </c>
      <c r="AA239" s="134">
        <v>1</v>
      </c>
      <c r="AB239" s="134">
        <v>1</v>
      </c>
      <c r="AC239" s="115">
        <f>Master_Table[[#This Row],[Length (m) (on wall)]]*Master_Table[[#This Row],[Height (m)]]*Master_Table[[#This Row],[Thickness (m)]]</f>
        <v>1</v>
      </c>
      <c r="AD239" s="134">
        <v>1</v>
      </c>
      <c r="AE239" s="152">
        <v>1</v>
      </c>
      <c r="AF239" s="134">
        <v>0</v>
      </c>
      <c r="AG239" s="134">
        <f>Master_Table[[#This Row],[Material Density (kg/m^3)]]*Master_Table[[#This Row],[Thickness (m)]]</f>
        <v>0</v>
      </c>
      <c r="AH239" s="134">
        <v>0</v>
      </c>
    </row>
    <row r="240" spans="2:34" x14ac:dyDescent="0.35">
      <c r="B240" s="115" t="str">
        <f>_xlfn.CONCAT(Master_Table[[#This Row],[Unique ID]],"_",Master_Table[[#This Row],[Model Source]],"_",Master_Table[[#This Row],[System Type]],Master_Table[[#This Row],[System Subtype]],"_",Master_Table[[#This Row],[External Finish Type]])</f>
        <v>Aircrete Seven_EPD_Concrete BlockTraditional_Brick</v>
      </c>
      <c r="C240" s="129" t="s">
        <v>513</v>
      </c>
      <c r="D240" s="129" t="s">
        <v>80</v>
      </c>
      <c r="E240" s="129" t="s">
        <v>462</v>
      </c>
      <c r="F240" s="129" t="s">
        <v>285</v>
      </c>
      <c r="G240" s="129" t="s">
        <v>782</v>
      </c>
      <c r="H240" s="129" t="s">
        <v>790</v>
      </c>
      <c r="I240" s="129" t="s">
        <v>652</v>
      </c>
      <c r="J240" s="129" t="s">
        <v>821</v>
      </c>
      <c r="K240" s="110" t="s">
        <v>663</v>
      </c>
      <c r="L240" s="129"/>
      <c r="M240" t="s">
        <v>351</v>
      </c>
      <c r="N240" s="129" t="s">
        <v>355</v>
      </c>
      <c r="O240" s="129" t="s">
        <v>817</v>
      </c>
      <c r="P240" s="129" t="s">
        <v>347</v>
      </c>
      <c r="Q240" t="s">
        <v>351</v>
      </c>
      <c r="R240" s="129" t="s">
        <v>581</v>
      </c>
      <c r="S240" s="129" t="s">
        <v>579</v>
      </c>
      <c r="T240" t="s">
        <v>352</v>
      </c>
      <c r="U240" s="129" t="s">
        <v>334</v>
      </c>
      <c r="V240" s="140">
        <v>0.5</v>
      </c>
      <c r="W240" s="148">
        <v>0</v>
      </c>
      <c r="X240" s="129">
        <v>0</v>
      </c>
      <c r="Y240" s="129" t="s">
        <v>545</v>
      </c>
      <c r="Z240" s="129">
        <v>1</v>
      </c>
      <c r="AA240" s="129">
        <v>1</v>
      </c>
      <c r="AB240" s="134">
        <v>0.05</v>
      </c>
      <c r="AC240" s="115">
        <f>Master_Table[[#This Row],[Length (m) (on wall)]]*Master_Table[[#This Row],[Height (m)]]*Master_Table[[#This Row],[Thickness (m)]]</f>
        <v>0.05</v>
      </c>
      <c r="AD240" s="129">
        <v>1</v>
      </c>
      <c r="AE240" s="149">
        <v>1</v>
      </c>
      <c r="AF240" s="129">
        <v>1.2</v>
      </c>
      <c r="AG240" s="129">
        <f>Master_Table[[#This Row],[Material Density (kg/m^3)]]*Master_Table[[#This Row],[Thickness (m)]]</f>
        <v>0.06</v>
      </c>
      <c r="AH240" s="129">
        <v>2.5000000000000001E-2</v>
      </c>
    </row>
    <row r="241" spans="2:34" x14ac:dyDescent="0.35">
      <c r="B241" s="115" t="str">
        <f>_xlfn.CONCAT(Master_Table[[#This Row],[Unique ID]],"_",Master_Table[[#This Row],[Model Source]],"_",Master_Table[[#This Row],[System Type]],Master_Table[[#This Row],[System Subtype]],"_",Master_Table[[#This Row],[External Finish Type]])</f>
        <v>Aircrete Seven_EPD_Concrete BlockTraditional_Brick</v>
      </c>
      <c r="C241" s="129" t="s">
        <v>513</v>
      </c>
      <c r="D241" s="129" t="s">
        <v>80</v>
      </c>
      <c r="E241" s="129" t="s">
        <v>462</v>
      </c>
      <c r="F241" s="129" t="s">
        <v>285</v>
      </c>
      <c r="G241" s="129" t="s">
        <v>782</v>
      </c>
      <c r="H241" s="129" t="s">
        <v>790</v>
      </c>
      <c r="I241" s="129" t="s">
        <v>652</v>
      </c>
      <c r="J241" s="129" t="s">
        <v>821</v>
      </c>
      <c r="K241" s="110" t="s">
        <v>663</v>
      </c>
      <c r="L241" s="129" t="s">
        <v>677</v>
      </c>
      <c r="M241" t="s">
        <v>351</v>
      </c>
      <c r="N241" s="130" t="s">
        <v>285</v>
      </c>
      <c r="O241" s="129" t="s">
        <v>663</v>
      </c>
      <c r="P241" s="129" t="s">
        <v>346</v>
      </c>
      <c r="Q241" t="s">
        <v>351</v>
      </c>
      <c r="R241" s="129" t="s">
        <v>564</v>
      </c>
      <c r="S241" s="129" t="s">
        <v>563</v>
      </c>
      <c r="T241" t="s">
        <v>352</v>
      </c>
      <c r="U241" s="129" t="s">
        <v>334</v>
      </c>
      <c r="V241" s="140">
        <v>0.12987012987012989</v>
      </c>
      <c r="W241" s="138">
        <f>Master_Table[[#This Row],[Raw A1-A3/Conversion factor]]*Master_Table[[#This Row],[Total Mass per m^2 (kg)]]</f>
        <v>42.199999999999996</v>
      </c>
      <c r="X241" s="134">
        <v>0.21099999999999999</v>
      </c>
      <c r="Y241" s="134" t="s">
        <v>545</v>
      </c>
      <c r="Z241" s="134">
        <v>1</v>
      </c>
      <c r="AA241" s="134">
        <v>1</v>
      </c>
      <c r="AB241" s="134">
        <v>0.1</v>
      </c>
      <c r="AC241" s="115">
        <f>Master_Table[[#This Row],[Length (m) (on wall)]]*Master_Table[[#This Row],[Height (m)]]*Master_Table[[#This Row],[Thickness (m)]]</f>
        <v>0.1</v>
      </c>
      <c r="AD241" s="134">
        <v>1</v>
      </c>
      <c r="AE241" s="152">
        <v>1</v>
      </c>
      <c r="AF241" s="153">
        <v>2000</v>
      </c>
      <c r="AG241" s="150">
        <f>Master_Table[[#This Row],[Element Volume (m^3)]]*Master_Table[[#This Row],[No. of elements in 1 panel]]*Master_Table[[#This Row],[Material Density (kg/m^3)]]</f>
        <v>200</v>
      </c>
      <c r="AH241" s="129">
        <v>0.77</v>
      </c>
    </row>
    <row r="242" spans="2:34" x14ac:dyDescent="0.35">
      <c r="B242" s="115" t="str">
        <f>_xlfn.CONCAT(Master_Table[[#This Row],[Unique ID]],"_",Master_Table[[#This Row],[Model Source]],"_",Master_Table[[#This Row],[System Type]],Master_Table[[#This Row],[System Subtype]],"_",Master_Table[[#This Row],[External Finish Type]])</f>
        <v>Aircrete Seven_EPD_Concrete BlockTraditional_Brick</v>
      </c>
      <c r="C242" s="129" t="s">
        <v>513</v>
      </c>
      <c r="D242" s="129" t="s">
        <v>80</v>
      </c>
      <c r="E242" s="129" t="s">
        <v>462</v>
      </c>
      <c r="F242" s="129" t="s">
        <v>285</v>
      </c>
      <c r="G242" s="129" t="s">
        <v>782</v>
      </c>
      <c r="H242" s="129" t="s">
        <v>790</v>
      </c>
      <c r="I242" s="129" t="s">
        <v>652</v>
      </c>
      <c r="J242" s="129" t="s">
        <v>821</v>
      </c>
      <c r="K242" s="110" t="s">
        <v>659</v>
      </c>
      <c r="L242" s="129" t="s">
        <v>807</v>
      </c>
      <c r="M242" t="s">
        <v>351</v>
      </c>
      <c r="N242" s="79" t="s">
        <v>796</v>
      </c>
      <c r="O242" s="134" t="s">
        <v>815</v>
      </c>
      <c r="P242" s="134" t="s">
        <v>346</v>
      </c>
      <c r="Q242" t="s">
        <v>351</v>
      </c>
      <c r="R242" s="134" t="s">
        <v>584</v>
      </c>
      <c r="S242" s="129" t="s">
        <v>576</v>
      </c>
      <c r="T242" t="s">
        <v>351</v>
      </c>
      <c r="U242" s="129" t="s">
        <v>808</v>
      </c>
      <c r="V242" s="140">
        <v>0</v>
      </c>
      <c r="W242" s="124">
        <f>_xlfn.XLOOKUP(Master_Table[[#This Row],[Component Name]],'GWP NORMALISED'!$A$2:$A$500,'GWP NORMALISED'!$H$2:$H$500,FALSE)</f>
        <v>4.1849999999999996</v>
      </c>
      <c r="X242" s="125">
        <f>_xlfn.XLOOKUP(Master_Table[[#This Row],[Component Name]],'RAW GWP FOSSIL'!$A$2:$A$500,'RAW GWP FOSSIL'!$H$2:$H$500,FALSE)</f>
        <v>135</v>
      </c>
      <c r="Y242" s="129" t="s">
        <v>545</v>
      </c>
      <c r="Z242" s="129">
        <v>1</v>
      </c>
      <c r="AA242" s="129">
        <v>1.2E-2</v>
      </c>
      <c r="AB242" s="129">
        <v>0.1</v>
      </c>
      <c r="AC242" s="115">
        <f>Master_Table[[#This Row],[Length (m) (on wall)]]*Master_Table[[#This Row],[Height (m)]]*Master_Table[[#This Row],[Thickness (m)]]</f>
        <v>1.2000000000000001E-3</v>
      </c>
      <c r="AD242" s="129">
        <v>5</v>
      </c>
      <c r="AE242" s="149">
        <f>Master_Table[[#This Row],[Length (m) (on wall)]]*Master_Table[[#This Row],[Height (m)]]/1</f>
        <v>1.2E-2</v>
      </c>
      <c r="AF242" s="147">
        <v>2000</v>
      </c>
      <c r="AG242" s="129">
        <f>0.031*1000</f>
        <v>31</v>
      </c>
      <c r="AH242" s="147">
        <v>2</v>
      </c>
    </row>
    <row r="243" spans="2:34" x14ac:dyDescent="0.35">
      <c r="B243" s="115" t="str">
        <f>_xlfn.CONCAT(Master_Table[[#This Row],[Unique ID]],"_",Master_Table[[#This Row],[Model Source]],"_",Master_Table[[#This Row],[System Type]],Master_Table[[#This Row],[System Subtype]],"_",Master_Table[[#This Row],[External Finish Type]])</f>
        <v>Aircrete Seven_EPD_Concrete BlockTraditional_Brick</v>
      </c>
      <c r="C243" s="129" t="s">
        <v>513</v>
      </c>
      <c r="D243" s="129" t="s">
        <v>80</v>
      </c>
      <c r="E243" s="129" t="s">
        <v>462</v>
      </c>
      <c r="F243" s="129" t="s">
        <v>285</v>
      </c>
      <c r="G243" s="129" t="s">
        <v>782</v>
      </c>
      <c r="H243" s="129" t="s">
        <v>790</v>
      </c>
      <c r="I243" s="129" t="s">
        <v>652</v>
      </c>
      <c r="J243" s="129" t="s">
        <v>821</v>
      </c>
      <c r="K243" s="110" t="s">
        <v>663</v>
      </c>
      <c r="L243" s="129"/>
      <c r="M243" t="s">
        <v>351</v>
      </c>
      <c r="N243" s="129" t="s">
        <v>355</v>
      </c>
      <c r="O243" s="129" t="s">
        <v>817</v>
      </c>
      <c r="P243" s="129" t="s">
        <v>346</v>
      </c>
      <c r="Q243" t="s">
        <v>351</v>
      </c>
      <c r="R243" s="129" t="s">
        <v>583</v>
      </c>
      <c r="S243" s="129" t="s">
        <v>577</v>
      </c>
      <c r="T243" t="s">
        <v>352</v>
      </c>
      <c r="U243" s="129" t="s">
        <v>334</v>
      </c>
      <c r="V243" s="140">
        <v>2</v>
      </c>
      <c r="W243" s="138">
        <v>0</v>
      </c>
      <c r="X243" s="147">
        <v>0</v>
      </c>
      <c r="Y243" s="129" t="s">
        <v>545</v>
      </c>
      <c r="Z243" s="129">
        <v>1</v>
      </c>
      <c r="AA243" s="129">
        <v>1</v>
      </c>
      <c r="AB243" s="129">
        <v>0.1</v>
      </c>
      <c r="AC243" s="115">
        <f>Master_Table[[#This Row],[Length (m) (on wall)]]*Master_Table[[#This Row],[Height (m)]]*Master_Table[[#This Row],[Thickness (m)]]</f>
        <v>0.1</v>
      </c>
      <c r="AD243" s="129">
        <v>1</v>
      </c>
      <c r="AE243" s="149">
        <v>1</v>
      </c>
      <c r="AF243" s="129">
        <v>1.2</v>
      </c>
      <c r="AG243" s="129">
        <f>Master_Table[[#This Row],[Material Density (kg/m^3)]]*Master_Table[[#This Row],[Thickness (m)]]</f>
        <v>0.12</v>
      </c>
      <c r="AH243" s="129">
        <v>2.5000000000000001E-2</v>
      </c>
    </row>
    <row r="244" spans="2:34" x14ac:dyDescent="0.35">
      <c r="B244" s="115" t="str">
        <f>_xlfn.CONCAT(Master_Table[[#This Row],[Unique ID]],"_",Master_Table[[#This Row],[Model Source]],"_",Master_Table[[#This Row],[System Type]],Master_Table[[#This Row],[System Subtype]],"_",Master_Table[[#This Row],[External Finish Type]])</f>
        <v>Aircrete Seven_EPD_Concrete BlockTraditional_Brick</v>
      </c>
      <c r="C244" s="129" t="s">
        <v>513</v>
      </c>
      <c r="D244" s="129" t="s">
        <v>80</v>
      </c>
      <c r="E244" s="129" t="s">
        <v>462</v>
      </c>
      <c r="F244" s="129" t="s">
        <v>285</v>
      </c>
      <c r="G244" s="129" t="s">
        <v>782</v>
      </c>
      <c r="H244" s="129" t="s">
        <v>790</v>
      </c>
      <c r="I244" s="129" t="s">
        <v>652</v>
      </c>
      <c r="J244" s="129" t="s">
        <v>821</v>
      </c>
      <c r="K244" s="110" t="s">
        <v>663</v>
      </c>
      <c r="L244" s="129" t="s">
        <v>668</v>
      </c>
      <c r="M244" t="s">
        <v>351</v>
      </c>
      <c r="N244" s="133" t="s">
        <v>29</v>
      </c>
      <c r="O244" s="129" t="s">
        <v>816</v>
      </c>
      <c r="P244" s="129" t="s">
        <v>470</v>
      </c>
      <c r="Q244" t="s">
        <v>352</v>
      </c>
      <c r="R244" s="129" t="s">
        <v>554</v>
      </c>
      <c r="S244" s="129" t="s">
        <v>334</v>
      </c>
      <c r="T244" t="s">
        <v>352</v>
      </c>
      <c r="U244" s="129" t="s">
        <v>334</v>
      </c>
      <c r="V244" s="138">
        <v>1.5E-3</v>
      </c>
      <c r="W244" s="139">
        <v>0.25229166666666669</v>
      </c>
      <c r="X244" s="129">
        <v>4.2</v>
      </c>
      <c r="Y244" s="129" t="s">
        <v>545</v>
      </c>
      <c r="Z244" s="130">
        <v>2.4</v>
      </c>
      <c r="AA244" s="130">
        <v>2.4</v>
      </c>
      <c r="AB244" s="130">
        <v>4.4999999999999999E-4</v>
      </c>
      <c r="AC244" s="115">
        <f>Master_Table[[#This Row],[Length (m) (on wall)]]*Master_Table[[#This Row],[Height (m)]]*Master_Table[[#This Row],[Thickness (m)]]</f>
        <v>2.5919999999999997E-3</v>
      </c>
      <c r="AD244" s="129">
        <v>1</v>
      </c>
      <c r="AE244" s="149">
        <v>1</v>
      </c>
      <c r="AF244" s="151">
        <v>0</v>
      </c>
      <c r="AG244" s="151">
        <v>0.34599999999999997</v>
      </c>
      <c r="AH244" s="147">
        <v>0.3</v>
      </c>
    </row>
    <row r="245" spans="2:34" x14ac:dyDescent="0.35">
      <c r="B245" s="115" t="str">
        <f>_xlfn.CONCAT(Master_Table[[#This Row],[Unique ID]],"_",Master_Table[[#This Row],[Model Source]],"_",Master_Table[[#This Row],[System Type]],Master_Table[[#This Row],[System Subtype]],"_",Master_Table[[#This Row],[External Finish Type]])</f>
        <v>Aircrete Seven_EPD_Concrete BlockTraditional_Brick</v>
      </c>
      <c r="C245" s="129" t="s">
        <v>513</v>
      </c>
      <c r="D245" s="129" t="s">
        <v>80</v>
      </c>
      <c r="E245" s="129" t="s">
        <v>462</v>
      </c>
      <c r="F245" s="129" t="s">
        <v>285</v>
      </c>
      <c r="G245" s="129" t="s">
        <v>782</v>
      </c>
      <c r="H245" s="129" t="s">
        <v>790</v>
      </c>
      <c r="I245" s="129" t="s">
        <v>652</v>
      </c>
      <c r="J245" s="129" t="s">
        <v>821</v>
      </c>
      <c r="K245" s="110" t="s">
        <v>663</v>
      </c>
      <c r="L245" s="129" t="s">
        <v>795</v>
      </c>
      <c r="M245" t="s">
        <v>351</v>
      </c>
      <c r="N245" s="129" t="s">
        <v>627</v>
      </c>
      <c r="O245" s="129" t="s">
        <v>816</v>
      </c>
      <c r="P245" s="129" t="s">
        <v>344</v>
      </c>
      <c r="Q245" t="s">
        <v>352</v>
      </c>
      <c r="R245" s="129" t="s">
        <v>656</v>
      </c>
      <c r="S245" s="129"/>
      <c r="T245" t="s">
        <v>352</v>
      </c>
      <c r="U245" s="129" t="s">
        <v>334</v>
      </c>
      <c r="V245" s="141">
        <f>Master_Table[[#This Row],[Thickness (m)]]/Master_Table[[#This Row],[Thermal Conductivity W/m-K]]</f>
        <v>2.1428571428571428</v>
      </c>
      <c r="W245" s="139">
        <f>Master_Table[[#This Row],[Raw A1-A3/Conversion factor]]*Master_Table[[#This Row],[Total Mass per m^2 (kg)]]</f>
        <v>6.9187500000000002</v>
      </c>
      <c r="X245" s="129">
        <v>3.69</v>
      </c>
      <c r="Y245" s="129" t="s">
        <v>545</v>
      </c>
      <c r="Z245" s="129">
        <v>1</v>
      </c>
      <c r="AA245" s="129">
        <v>1</v>
      </c>
      <c r="AB245" s="129">
        <v>7.4999999999999997E-2</v>
      </c>
      <c r="AC245" s="115">
        <f>Master_Table[[#This Row],[Length (m) (on wall)]]*Master_Table[[#This Row],[Height (m)]]*Master_Table[[#This Row],[Thickness (m)]]</f>
        <v>7.4999999999999997E-2</v>
      </c>
      <c r="AD245" s="129">
        <v>1</v>
      </c>
      <c r="AE245" s="149">
        <v>1</v>
      </c>
      <c r="AF245" s="156">
        <v>25</v>
      </c>
      <c r="AG245" s="139">
        <f>Master_Table[[#This Row],[Material Density (kg/m^3)]]*Master_Table[[#This Row],[Element Volume (m^3)]]</f>
        <v>1.875</v>
      </c>
      <c r="AH245" s="157">
        <v>3.5000000000000003E-2</v>
      </c>
    </row>
    <row r="246" spans="2:34" x14ac:dyDescent="0.35">
      <c r="B246" s="115" t="str">
        <f>_xlfn.CONCAT(Master_Table[[#This Row],[Unique ID]],"_",Master_Table[[#This Row],[Model Source]],"_",Master_Table[[#This Row],[System Type]],Master_Table[[#This Row],[System Subtype]],"_",Master_Table[[#This Row],[External Finish Type]])</f>
        <v>Aircrete Seven_EPD_Concrete BlockTraditional_Brick</v>
      </c>
      <c r="C246" s="129" t="s">
        <v>513</v>
      </c>
      <c r="D246" s="129" t="s">
        <v>80</v>
      </c>
      <c r="E246" s="129" t="s">
        <v>462</v>
      </c>
      <c r="F246" s="129" t="s">
        <v>285</v>
      </c>
      <c r="G246" s="129" t="s">
        <v>782</v>
      </c>
      <c r="H246" s="129" t="s">
        <v>790</v>
      </c>
      <c r="I246" s="129" t="s">
        <v>652</v>
      </c>
      <c r="J246" s="129" t="s">
        <v>821</v>
      </c>
      <c r="K246" s="110" t="s">
        <v>659</v>
      </c>
      <c r="L246" s="129" t="s">
        <v>807</v>
      </c>
      <c r="M246" t="s">
        <v>351</v>
      </c>
      <c r="N246" s="79" t="s">
        <v>796</v>
      </c>
      <c r="O246" s="134" t="s">
        <v>815</v>
      </c>
      <c r="P246" s="134" t="s">
        <v>346</v>
      </c>
      <c r="Q246" t="s">
        <v>351</v>
      </c>
      <c r="R246" s="134" t="s">
        <v>584</v>
      </c>
      <c r="S246" s="129" t="s">
        <v>576</v>
      </c>
      <c r="T246" t="s">
        <v>351</v>
      </c>
      <c r="U246" s="129" t="s">
        <v>808</v>
      </c>
      <c r="V246" s="140">
        <v>0</v>
      </c>
      <c r="W246" s="124">
        <f>_xlfn.XLOOKUP(Master_Table[[#This Row],[Component Name]],'GWP NORMALISED'!$A$2:$A$500,'GWP NORMALISED'!$H$2:$H$500,FALSE)</f>
        <v>4.1849999999999996</v>
      </c>
      <c r="X246" s="125">
        <f>_xlfn.XLOOKUP(Master_Table[[#This Row],[Component Name]],'RAW GWP FOSSIL'!$A$2:$A$500,'RAW GWP FOSSIL'!$H$2:$H$500,FALSE)</f>
        <v>135</v>
      </c>
      <c r="Y246" s="129" t="s">
        <v>545</v>
      </c>
      <c r="Z246" s="129">
        <v>1</v>
      </c>
      <c r="AA246" s="129">
        <v>1.2E-2</v>
      </c>
      <c r="AB246" s="129">
        <v>0.1</v>
      </c>
      <c r="AC246" s="115">
        <f>Master_Table[[#This Row],[Length (m) (on wall)]]*Master_Table[[#This Row],[Height (m)]]*Master_Table[[#This Row],[Thickness (m)]]</f>
        <v>1.2000000000000001E-3</v>
      </c>
      <c r="AD246" s="129">
        <v>5</v>
      </c>
      <c r="AE246" s="149">
        <f>Master_Table[[#This Row],[Length (m) (on wall)]]*Master_Table[[#This Row],[Height (m)]]/1</f>
        <v>1.2E-2</v>
      </c>
      <c r="AF246" s="147">
        <v>2000</v>
      </c>
      <c r="AG246" s="129">
        <f>0.031*1000</f>
        <v>31</v>
      </c>
      <c r="AH246" s="147">
        <v>2</v>
      </c>
    </row>
    <row r="247" spans="2:34" x14ac:dyDescent="0.35">
      <c r="B247" s="115" t="str">
        <f>_xlfn.CONCAT(Master_Table[[#This Row],[Unique ID]],"_",Master_Table[[#This Row],[Model Source]],"_",Master_Table[[#This Row],[System Type]],Master_Table[[#This Row],[System Subtype]],"_",Master_Table[[#This Row],[External Finish Type]])</f>
        <v>Aircrete Seven_EPD_Concrete BlockTraditional_Brick</v>
      </c>
      <c r="C247" s="129" t="s">
        <v>513</v>
      </c>
      <c r="D247" s="129" t="s">
        <v>80</v>
      </c>
      <c r="E247" s="129" t="s">
        <v>462</v>
      </c>
      <c r="F247" s="129" t="s">
        <v>285</v>
      </c>
      <c r="G247" s="129" t="s">
        <v>782</v>
      </c>
      <c r="H247" s="129" t="s">
        <v>790</v>
      </c>
      <c r="I247" s="129" t="s">
        <v>652</v>
      </c>
      <c r="J247" s="129" t="s">
        <v>821</v>
      </c>
      <c r="K247" s="110" t="s">
        <v>663</v>
      </c>
      <c r="L247" s="129" t="s">
        <v>809</v>
      </c>
      <c r="M247" s="179" t="s">
        <v>351</v>
      </c>
      <c r="N247" s="178" t="s">
        <v>810</v>
      </c>
      <c r="O247" s="129" t="s">
        <v>663</v>
      </c>
      <c r="P247" s="129" t="s">
        <v>811</v>
      </c>
      <c r="Q247" t="s">
        <v>352</v>
      </c>
      <c r="R247" s="178" t="s">
        <v>812</v>
      </c>
      <c r="S247" s="129"/>
      <c r="T247" t="s">
        <v>351</v>
      </c>
      <c r="U247" s="129" t="s">
        <v>813</v>
      </c>
      <c r="V247" s="140">
        <v>0</v>
      </c>
      <c r="W247" s="138">
        <v>1</v>
      </c>
      <c r="X247" s="147">
        <v>0</v>
      </c>
      <c r="Y247" s="129"/>
      <c r="Z247" s="134">
        <v>1</v>
      </c>
      <c r="AA247" s="134">
        <v>1</v>
      </c>
      <c r="AB247" s="134">
        <v>1</v>
      </c>
      <c r="AC247" s="115">
        <f>Master_Table[[#This Row],[Length (m) (on wall)]]*Master_Table[[#This Row],[Height (m)]]*Master_Table[[#This Row],[Thickness (m)]]</f>
        <v>1</v>
      </c>
      <c r="AD247" s="134">
        <v>1</v>
      </c>
      <c r="AE247" s="152">
        <v>1</v>
      </c>
      <c r="AF247" s="134">
        <v>0</v>
      </c>
      <c r="AG247" s="134">
        <v>0.05</v>
      </c>
      <c r="AH247" s="134">
        <v>0</v>
      </c>
    </row>
    <row r="248" spans="2:34" x14ac:dyDescent="0.35">
      <c r="B248" s="115" t="str">
        <f>_xlfn.CONCAT(Master_Table[[#This Row],[Unique ID]],"_",Master_Table[[#This Row],[Model Source]],"_",Master_Table[[#This Row],[System Type]],Master_Table[[#This Row],[System Subtype]],"_",Master_Table[[#This Row],[External Finish Type]])</f>
        <v>Aircrete Super_EPD_Concrete BlockTraditional_Brick</v>
      </c>
      <c r="C248" s="129" t="s">
        <v>513</v>
      </c>
      <c r="D248" s="129" t="s">
        <v>80</v>
      </c>
      <c r="E248" s="129" t="s">
        <v>462</v>
      </c>
      <c r="F248" s="129" t="s">
        <v>285</v>
      </c>
      <c r="G248" s="129" t="s">
        <v>783</v>
      </c>
      <c r="H248" s="129" t="s">
        <v>791</v>
      </c>
      <c r="I248" s="129" t="s">
        <v>652</v>
      </c>
      <c r="J248" s="129" t="s">
        <v>821</v>
      </c>
      <c r="K248" s="110" t="s">
        <v>660</v>
      </c>
      <c r="L248" s="129" t="s">
        <v>675</v>
      </c>
      <c r="M248" t="s">
        <v>351</v>
      </c>
      <c r="N248" s="137" t="s">
        <v>107</v>
      </c>
      <c r="O248" s="129" t="s">
        <v>814</v>
      </c>
      <c r="P248" s="129" t="s">
        <v>4</v>
      </c>
      <c r="Q248" t="s">
        <v>351</v>
      </c>
      <c r="R248" s="129" t="s">
        <v>653</v>
      </c>
      <c r="S248" s="129" t="s">
        <v>657</v>
      </c>
      <c r="T248" t="s">
        <v>352</v>
      </c>
      <c r="U248" s="129" t="s">
        <v>334</v>
      </c>
      <c r="V248" s="141">
        <v>1.79</v>
      </c>
      <c r="W248" s="124">
        <f>_xlfn.XLOOKUP(Master_Table[[#This Row],[Component Name]],'GWP NORMALISED'!$A$2:$A$500,'GWP NORMALISED'!$H$2:$H$500,FALSE)</f>
        <v>36.921864000000006</v>
      </c>
      <c r="X248" s="125">
        <f>_xlfn.XLOOKUP(Master_Table[[#This Row],[Component Name]],'RAW GWP FOSSIL'!$A$2:$A$500,'RAW GWP FOSSIL'!$H$2:$H$500,FALSE)</f>
        <v>357.77000000000004</v>
      </c>
      <c r="Y248" s="129" t="s">
        <v>654</v>
      </c>
      <c r="Z248" s="129">
        <v>1</v>
      </c>
      <c r="AA248" s="129">
        <v>1</v>
      </c>
      <c r="AB248" s="129">
        <v>0.215</v>
      </c>
      <c r="AC248" s="115">
        <f>Master_Table[[#This Row],[Length (m) (on wall)]]*Master_Table[[#This Row],[Height (m)]]*Master_Table[[#This Row],[Thickness (m)]]</f>
        <v>0.215</v>
      </c>
      <c r="AD248" s="129"/>
      <c r="AE248" s="149"/>
      <c r="AF248" s="129">
        <v>480</v>
      </c>
      <c r="AG248" s="129">
        <f>Master_Table[[#This Row],[Material Density (kg/m^3)]]*Master_Table[[#This Row],[Element Volume (m^3)]]</f>
        <v>103.2</v>
      </c>
      <c r="AH248" s="129"/>
    </row>
    <row r="249" spans="2:34" x14ac:dyDescent="0.35">
      <c r="B249" s="115" t="str">
        <f>_xlfn.CONCAT(Master_Table[[#This Row],[Unique ID]],"_",Master_Table[[#This Row],[Model Source]],"_",Master_Table[[#This Row],[System Type]],Master_Table[[#This Row],[System Subtype]],"_",Master_Table[[#This Row],[External Finish Type]])</f>
        <v>Aircrete Super_EPD_Concrete BlockTraditional_Brick</v>
      </c>
      <c r="C249" s="129" t="s">
        <v>513</v>
      </c>
      <c r="D249" s="129" t="s">
        <v>80</v>
      </c>
      <c r="E249" s="129" t="s">
        <v>462</v>
      </c>
      <c r="F249" s="129" t="s">
        <v>285</v>
      </c>
      <c r="G249" s="129" t="s">
        <v>783</v>
      </c>
      <c r="H249" s="129" t="s">
        <v>791</v>
      </c>
      <c r="I249" s="129" t="s">
        <v>652</v>
      </c>
      <c r="J249" s="129" t="s">
        <v>821</v>
      </c>
      <c r="K249" s="110" t="s">
        <v>663</v>
      </c>
      <c r="L249" s="129" t="s">
        <v>676</v>
      </c>
      <c r="M249" t="s">
        <v>351</v>
      </c>
      <c r="N249" s="134" t="s">
        <v>349</v>
      </c>
      <c r="O249" s="134" t="s">
        <v>663</v>
      </c>
      <c r="P249" s="134" t="s">
        <v>347</v>
      </c>
      <c r="Q249" t="s">
        <v>351</v>
      </c>
      <c r="R249" s="134" t="s">
        <v>582</v>
      </c>
      <c r="S249" s="134" t="s">
        <v>578</v>
      </c>
      <c r="T249" t="s">
        <v>352</v>
      </c>
      <c r="U249" s="129" t="s">
        <v>334</v>
      </c>
      <c r="V249" s="140">
        <v>6.5789473684210523E-2</v>
      </c>
      <c r="W249" s="138">
        <v>1.839</v>
      </c>
      <c r="X249" s="147">
        <v>0</v>
      </c>
      <c r="Y249" s="129" t="s">
        <v>545</v>
      </c>
      <c r="Z249" s="129">
        <v>1</v>
      </c>
      <c r="AA249" s="129">
        <v>1</v>
      </c>
      <c r="AB249" s="129">
        <v>1.4999999999999999E-2</v>
      </c>
      <c r="AC249" s="115">
        <f>Master_Table[[#This Row],[Length (m) (on wall)]]*Master_Table[[#This Row],[Height (m)]]*Master_Table[[#This Row],[Thickness (m)]]</f>
        <v>1.4999999999999999E-2</v>
      </c>
      <c r="AD249" s="129">
        <v>1</v>
      </c>
      <c r="AE249" s="149">
        <v>1</v>
      </c>
      <c r="AF249" s="147">
        <v>615</v>
      </c>
      <c r="AG249" s="147">
        <f>Master_Table[[#This Row],[Material Density (kg/m^3)]]*Master_Table[[#This Row],[Thickness (m)]]</f>
        <v>9.2249999999999996</v>
      </c>
      <c r="AH249" s="147">
        <v>0.19</v>
      </c>
    </row>
    <row r="250" spans="2:34" x14ac:dyDescent="0.35">
      <c r="B250" s="115" t="str">
        <f>_xlfn.CONCAT(Master_Table[[#This Row],[Unique ID]],"_",Master_Table[[#This Row],[Model Source]],"_",Master_Table[[#This Row],[System Type]],Master_Table[[#This Row],[System Subtype]],"_",Master_Table[[#This Row],[External Finish Type]])</f>
        <v>Aircrete Super_EPD_Concrete BlockTraditional_Brick</v>
      </c>
      <c r="C250" s="129" t="s">
        <v>513</v>
      </c>
      <c r="D250" s="129" t="s">
        <v>80</v>
      </c>
      <c r="E250" s="129" t="s">
        <v>462</v>
      </c>
      <c r="F250" s="129" t="s">
        <v>285</v>
      </c>
      <c r="G250" s="129" t="s">
        <v>783</v>
      </c>
      <c r="H250" s="129" t="s">
        <v>791</v>
      </c>
      <c r="I250" s="129" t="s">
        <v>652</v>
      </c>
      <c r="J250" s="129" t="s">
        <v>821</v>
      </c>
      <c r="K250" s="110" t="s">
        <v>663</v>
      </c>
      <c r="L250" s="129"/>
      <c r="M250" t="s">
        <v>351</v>
      </c>
      <c r="N250" s="134" t="s">
        <v>566</v>
      </c>
      <c r="O250" s="134" t="s">
        <v>663</v>
      </c>
      <c r="P250" s="134" t="s">
        <v>347</v>
      </c>
      <c r="Q250" t="s">
        <v>351</v>
      </c>
      <c r="R250" s="134" t="s">
        <v>566</v>
      </c>
      <c r="S250" s="134" t="s">
        <v>580</v>
      </c>
      <c r="T250" t="s">
        <v>352</v>
      </c>
      <c r="U250" s="129" t="s">
        <v>334</v>
      </c>
      <c r="V250" s="140">
        <v>0</v>
      </c>
      <c r="W250" s="138">
        <v>1</v>
      </c>
      <c r="X250" s="147">
        <v>0</v>
      </c>
      <c r="Y250" s="129" t="s">
        <v>545</v>
      </c>
      <c r="Z250" s="134">
        <v>1</v>
      </c>
      <c r="AA250" s="134">
        <v>1</v>
      </c>
      <c r="AB250" s="134">
        <v>1</v>
      </c>
      <c r="AC250" s="115">
        <f>Master_Table[[#This Row],[Length (m) (on wall)]]*Master_Table[[#This Row],[Height (m)]]*Master_Table[[#This Row],[Thickness (m)]]</f>
        <v>1</v>
      </c>
      <c r="AD250" s="134">
        <v>1</v>
      </c>
      <c r="AE250" s="152">
        <v>1</v>
      </c>
      <c r="AF250" s="134">
        <v>0</v>
      </c>
      <c r="AG250" s="134">
        <f>Master_Table[[#This Row],[Material Density (kg/m^3)]]*Master_Table[[#This Row],[Thickness (m)]]</f>
        <v>0</v>
      </c>
      <c r="AH250" s="134">
        <v>0</v>
      </c>
    </row>
    <row r="251" spans="2:34" x14ac:dyDescent="0.35">
      <c r="B251" s="115" t="str">
        <f>_xlfn.CONCAT(Master_Table[[#This Row],[Unique ID]],"_",Master_Table[[#This Row],[Model Source]],"_",Master_Table[[#This Row],[System Type]],Master_Table[[#This Row],[System Subtype]],"_",Master_Table[[#This Row],[External Finish Type]])</f>
        <v>Aircrete Super_EPD_Concrete BlockTraditional_Brick</v>
      </c>
      <c r="C251" s="129" t="s">
        <v>513</v>
      </c>
      <c r="D251" s="129" t="s">
        <v>80</v>
      </c>
      <c r="E251" s="129" t="s">
        <v>462</v>
      </c>
      <c r="F251" s="129" t="s">
        <v>285</v>
      </c>
      <c r="G251" s="129" t="s">
        <v>783</v>
      </c>
      <c r="H251" s="129" t="s">
        <v>791</v>
      </c>
      <c r="I251" s="129" t="s">
        <v>652</v>
      </c>
      <c r="J251" s="129" t="s">
        <v>821</v>
      </c>
      <c r="K251" s="110" t="s">
        <v>663</v>
      </c>
      <c r="L251" s="129"/>
      <c r="M251" t="s">
        <v>351</v>
      </c>
      <c r="N251" s="129" t="s">
        <v>355</v>
      </c>
      <c r="O251" s="129" t="s">
        <v>817</v>
      </c>
      <c r="P251" s="129" t="s">
        <v>347</v>
      </c>
      <c r="Q251" t="s">
        <v>351</v>
      </c>
      <c r="R251" s="129" t="s">
        <v>581</v>
      </c>
      <c r="S251" s="129" t="s">
        <v>579</v>
      </c>
      <c r="T251" t="s">
        <v>352</v>
      </c>
      <c r="U251" s="129" t="s">
        <v>334</v>
      </c>
      <c r="V251" s="140">
        <v>0.5</v>
      </c>
      <c r="W251" s="148">
        <v>0</v>
      </c>
      <c r="X251" s="129">
        <v>0</v>
      </c>
      <c r="Y251" s="129" t="s">
        <v>545</v>
      </c>
      <c r="Z251" s="129">
        <v>1</v>
      </c>
      <c r="AA251" s="129">
        <v>1</v>
      </c>
      <c r="AB251" s="134">
        <v>0.05</v>
      </c>
      <c r="AC251" s="115">
        <f>Master_Table[[#This Row],[Length (m) (on wall)]]*Master_Table[[#This Row],[Height (m)]]*Master_Table[[#This Row],[Thickness (m)]]</f>
        <v>0.05</v>
      </c>
      <c r="AD251" s="129">
        <v>1</v>
      </c>
      <c r="AE251" s="149">
        <v>1</v>
      </c>
      <c r="AF251" s="129">
        <v>1.2</v>
      </c>
      <c r="AG251" s="129">
        <f>Master_Table[[#This Row],[Material Density (kg/m^3)]]*Master_Table[[#This Row],[Thickness (m)]]</f>
        <v>0.06</v>
      </c>
      <c r="AH251" s="129">
        <v>2.5000000000000001E-2</v>
      </c>
    </row>
    <row r="252" spans="2:34" x14ac:dyDescent="0.35">
      <c r="B252" s="115" t="str">
        <f>_xlfn.CONCAT(Master_Table[[#This Row],[Unique ID]],"_",Master_Table[[#This Row],[Model Source]],"_",Master_Table[[#This Row],[System Type]],Master_Table[[#This Row],[System Subtype]],"_",Master_Table[[#This Row],[External Finish Type]])</f>
        <v>Aircrete Super_EPD_Concrete BlockTraditional_Brick</v>
      </c>
      <c r="C252" s="129" t="s">
        <v>513</v>
      </c>
      <c r="D252" s="129" t="s">
        <v>80</v>
      </c>
      <c r="E252" s="129" t="s">
        <v>462</v>
      </c>
      <c r="F252" s="129" t="s">
        <v>285</v>
      </c>
      <c r="G252" s="129" t="s">
        <v>783</v>
      </c>
      <c r="H252" s="129" t="s">
        <v>791</v>
      </c>
      <c r="I252" s="129" t="s">
        <v>652</v>
      </c>
      <c r="J252" s="129" t="s">
        <v>821</v>
      </c>
      <c r="K252" s="110" t="s">
        <v>663</v>
      </c>
      <c r="L252" s="129" t="s">
        <v>677</v>
      </c>
      <c r="M252" t="s">
        <v>351</v>
      </c>
      <c r="N252" s="130" t="s">
        <v>285</v>
      </c>
      <c r="O252" s="129" t="s">
        <v>663</v>
      </c>
      <c r="P252" s="129" t="s">
        <v>346</v>
      </c>
      <c r="Q252" t="s">
        <v>351</v>
      </c>
      <c r="R252" s="129" t="s">
        <v>564</v>
      </c>
      <c r="S252" s="129" t="s">
        <v>563</v>
      </c>
      <c r="T252" t="s">
        <v>352</v>
      </c>
      <c r="U252" s="129" t="s">
        <v>334</v>
      </c>
      <c r="V252" s="140">
        <v>0.12987012987012989</v>
      </c>
      <c r="W252" s="138">
        <f>Master_Table[[#This Row],[Raw A1-A3/Conversion factor]]*Master_Table[[#This Row],[Total Mass per m^2 (kg)]]</f>
        <v>42.199999999999996</v>
      </c>
      <c r="X252" s="134">
        <v>0.21099999999999999</v>
      </c>
      <c r="Y252" s="134" t="s">
        <v>545</v>
      </c>
      <c r="Z252" s="134">
        <v>1</v>
      </c>
      <c r="AA252" s="134">
        <v>1</v>
      </c>
      <c r="AB252" s="134">
        <v>0.1</v>
      </c>
      <c r="AC252" s="115">
        <f>Master_Table[[#This Row],[Length (m) (on wall)]]*Master_Table[[#This Row],[Height (m)]]*Master_Table[[#This Row],[Thickness (m)]]</f>
        <v>0.1</v>
      </c>
      <c r="AD252" s="134">
        <v>1</v>
      </c>
      <c r="AE252" s="152">
        <v>1</v>
      </c>
      <c r="AF252" s="153">
        <v>2000</v>
      </c>
      <c r="AG252" s="150">
        <f>Master_Table[[#This Row],[Element Volume (m^3)]]*Master_Table[[#This Row],[No. of elements in 1 panel]]*Master_Table[[#This Row],[Material Density (kg/m^3)]]</f>
        <v>200</v>
      </c>
      <c r="AH252" s="129">
        <v>0.77</v>
      </c>
    </row>
    <row r="253" spans="2:34" x14ac:dyDescent="0.35">
      <c r="B253" s="115" t="str">
        <f>_xlfn.CONCAT(Master_Table[[#This Row],[Unique ID]],"_",Master_Table[[#This Row],[Model Source]],"_",Master_Table[[#This Row],[System Type]],Master_Table[[#This Row],[System Subtype]],"_",Master_Table[[#This Row],[External Finish Type]])</f>
        <v>Aircrete Super_EPD_Concrete BlockTraditional_Brick</v>
      </c>
      <c r="C253" s="129" t="s">
        <v>513</v>
      </c>
      <c r="D253" s="129" t="s">
        <v>80</v>
      </c>
      <c r="E253" s="129" t="s">
        <v>462</v>
      </c>
      <c r="F253" s="129" t="s">
        <v>285</v>
      </c>
      <c r="G253" s="129" t="s">
        <v>783</v>
      </c>
      <c r="H253" s="129" t="s">
        <v>791</v>
      </c>
      <c r="I253" s="129" t="s">
        <v>652</v>
      </c>
      <c r="J253" s="129" t="s">
        <v>821</v>
      </c>
      <c r="K253" s="110" t="s">
        <v>659</v>
      </c>
      <c r="L253" s="129" t="s">
        <v>807</v>
      </c>
      <c r="M253" t="s">
        <v>351</v>
      </c>
      <c r="N253" s="79" t="s">
        <v>796</v>
      </c>
      <c r="O253" s="134" t="s">
        <v>815</v>
      </c>
      <c r="P253" s="134" t="s">
        <v>346</v>
      </c>
      <c r="Q253" t="s">
        <v>351</v>
      </c>
      <c r="R253" s="134" t="s">
        <v>584</v>
      </c>
      <c r="S253" s="129" t="s">
        <v>576</v>
      </c>
      <c r="T253" t="s">
        <v>351</v>
      </c>
      <c r="U253" s="129" t="s">
        <v>808</v>
      </c>
      <c r="V253" s="140">
        <v>0</v>
      </c>
      <c r="W253" s="124">
        <f>_xlfn.XLOOKUP(Master_Table[[#This Row],[Component Name]],'GWP NORMALISED'!$A$2:$A$500,'GWP NORMALISED'!$H$2:$H$500,FALSE)</f>
        <v>4.1849999999999996</v>
      </c>
      <c r="X253" s="125">
        <f>_xlfn.XLOOKUP(Master_Table[[#This Row],[Component Name]],'RAW GWP FOSSIL'!$A$2:$A$500,'RAW GWP FOSSIL'!$H$2:$H$500,FALSE)</f>
        <v>135</v>
      </c>
      <c r="Y253" s="129" t="s">
        <v>545</v>
      </c>
      <c r="Z253" s="129">
        <v>1</v>
      </c>
      <c r="AA253" s="129">
        <v>1.2E-2</v>
      </c>
      <c r="AB253" s="129">
        <v>0.1</v>
      </c>
      <c r="AC253" s="115">
        <f>Master_Table[[#This Row],[Length (m) (on wall)]]*Master_Table[[#This Row],[Height (m)]]*Master_Table[[#This Row],[Thickness (m)]]</f>
        <v>1.2000000000000001E-3</v>
      </c>
      <c r="AD253" s="129">
        <v>5</v>
      </c>
      <c r="AE253" s="149">
        <f>Master_Table[[#This Row],[Length (m) (on wall)]]*Master_Table[[#This Row],[Height (m)]]/1</f>
        <v>1.2E-2</v>
      </c>
      <c r="AF253" s="147">
        <v>2000</v>
      </c>
      <c r="AG253" s="129">
        <f>0.031*1000</f>
        <v>31</v>
      </c>
      <c r="AH253" s="147">
        <v>2</v>
      </c>
    </row>
    <row r="254" spans="2:34" x14ac:dyDescent="0.35">
      <c r="B254" s="115" t="str">
        <f>_xlfn.CONCAT(Master_Table[[#This Row],[Unique ID]],"_",Master_Table[[#This Row],[Model Source]],"_",Master_Table[[#This Row],[System Type]],Master_Table[[#This Row],[System Subtype]],"_",Master_Table[[#This Row],[External Finish Type]])</f>
        <v>Aircrete Super_EPD_Concrete BlockTraditional_Brick</v>
      </c>
      <c r="C254" s="129" t="s">
        <v>513</v>
      </c>
      <c r="D254" s="129" t="s">
        <v>80</v>
      </c>
      <c r="E254" s="129" t="s">
        <v>462</v>
      </c>
      <c r="F254" s="129" t="s">
        <v>285</v>
      </c>
      <c r="G254" s="129" t="s">
        <v>783</v>
      </c>
      <c r="H254" s="129" t="s">
        <v>791</v>
      </c>
      <c r="I254" s="129" t="s">
        <v>652</v>
      </c>
      <c r="J254" s="129" t="s">
        <v>821</v>
      </c>
      <c r="K254" s="110" t="s">
        <v>663</v>
      </c>
      <c r="L254" s="129"/>
      <c r="M254" t="s">
        <v>351</v>
      </c>
      <c r="N254" s="129" t="s">
        <v>355</v>
      </c>
      <c r="O254" s="129" t="s">
        <v>817</v>
      </c>
      <c r="P254" s="129" t="s">
        <v>346</v>
      </c>
      <c r="Q254" t="s">
        <v>351</v>
      </c>
      <c r="R254" s="129" t="s">
        <v>583</v>
      </c>
      <c r="S254" s="129" t="s">
        <v>577</v>
      </c>
      <c r="T254" t="s">
        <v>352</v>
      </c>
      <c r="U254" s="129" t="s">
        <v>334</v>
      </c>
      <c r="V254" s="140">
        <v>2</v>
      </c>
      <c r="W254" s="138">
        <v>0</v>
      </c>
      <c r="X254" s="147">
        <v>0</v>
      </c>
      <c r="Y254" s="129" t="s">
        <v>545</v>
      </c>
      <c r="Z254" s="129">
        <v>1</v>
      </c>
      <c r="AA254" s="129">
        <v>1</v>
      </c>
      <c r="AB254" s="129">
        <v>0.1</v>
      </c>
      <c r="AC254" s="115">
        <f>Master_Table[[#This Row],[Length (m) (on wall)]]*Master_Table[[#This Row],[Height (m)]]*Master_Table[[#This Row],[Thickness (m)]]</f>
        <v>0.1</v>
      </c>
      <c r="AD254" s="129">
        <v>1</v>
      </c>
      <c r="AE254" s="149">
        <v>1</v>
      </c>
      <c r="AF254" s="129">
        <v>1.2</v>
      </c>
      <c r="AG254" s="129">
        <f>Master_Table[[#This Row],[Material Density (kg/m^3)]]*Master_Table[[#This Row],[Thickness (m)]]</f>
        <v>0.12</v>
      </c>
      <c r="AH254" s="129">
        <v>2.5000000000000001E-2</v>
      </c>
    </row>
    <row r="255" spans="2:34" x14ac:dyDescent="0.35">
      <c r="B255" s="115" t="str">
        <f>_xlfn.CONCAT(Master_Table[[#This Row],[Unique ID]],"_",Master_Table[[#This Row],[Model Source]],"_",Master_Table[[#This Row],[System Type]],Master_Table[[#This Row],[System Subtype]],"_",Master_Table[[#This Row],[External Finish Type]])</f>
        <v>Aircrete Super_EPD_Concrete BlockTraditional_Brick</v>
      </c>
      <c r="C255" s="129" t="s">
        <v>513</v>
      </c>
      <c r="D255" s="129" t="s">
        <v>80</v>
      </c>
      <c r="E255" s="129" t="s">
        <v>462</v>
      </c>
      <c r="F255" s="129" t="s">
        <v>285</v>
      </c>
      <c r="G255" s="129" t="s">
        <v>783</v>
      </c>
      <c r="H255" s="129" t="s">
        <v>791</v>
      </c>
      <c r="I255" s="129" t="s">
        <v>652</v>
      </c>
      <c r="J255" s="129" t="s">
        <v>821</v>
      </c>
      <c r="K255" s="110" t="s">
        <v>663</v>
      </c>
      <c r="L255" s="129" t="s">
        <v>668</v>
      </c>
      <c r="M255" t="s">
        <v>351</v>
      </c>
      <c r="N255" s="133" t="s">
        <v>29</v>
      </c>
      <c r="O255" s="129" t="s">
        <v>816</v>
      </c>
      <c r="P255" s="129" t="s">
        <v>470</v>
      </c>
      <c r="Q255" t="s">
        <v>352</v>
      </c>
      <c r="R255" s="129" t="s">
        <v>554</v>
      </c>
      <c r="S255" s="129" t="s">
        <v>334</v>
      </c>
      <c r="T255" t="s">
        <v>352</v>
      </c>
      <c r="U255" s="129" t="s">
        <v>334</v>
      </c>
      <c r="V255" s="138">
        <v>1.5E-3</v>
      </c>
      <c r="W255" s="139">
        <v>0.25229166666666669</v>
      </c>
      <c r="X255" s="129">
        <v>4.2</v>
      </c>
      <c r="Y255" s="129" t="s">
        <v>545</v>
      </c>
      <c r="Z255" s="130">
        <v>2.4</v>
      </c>
      <c r="AA255" s="130">
        <v>2.4</v>
      </c>
      <c r="AB255" s="130">
        <v>4.4999999999999999E-4</v>
      </c>
      <c r="AC255" s="115">
        <f>Master_Table[[#This Row],[Length (m) (on wall)]]*Master_Table[[#This Row],[Height (m)]]*Master_Table[[#This Row],[Thickness (m)]]</f>
        <v>2.5919999999999997E-3</v>
      </c>
      <c r="AD255" s="129">
        <v>1</v>
      </c>
      <c r="AE255" s="149">
        <v>1</v>
      </c>
      <c r="AF255" s="151">
        <v>0</v>
      </c>
      <c r="AG255" s="151">
        <v>0.34599999999999997</v>
      </c>
      <c r="AH255" s="147">
        <v>0.3</v>
      </c>
    </row>
    <row r="256" spans="2:34" x14ac:dyDescent="0.35">
      <c r="B256" s="115" t="str">
        <f>_xlfn.CONCAT(Master_Table[[#This Row],[Unique ID]],"_",Master_Table[[#This Row],[Model Source]],"_",Master_Table[[#This Row],[System Type]],Master_Table[[#This Row],[System Subtype]],"_",Master_Table[[#This Row],[External Finish Type]])</f>
        <v>Aircrete Super_EPD_Concrete BlockTraditional_Brick</v>
      </c>
      <c r="C256" s="129" t="s">
        <v>513</v>
      </c>
      <c r="D256" s="129" t="s">
        <v>80</v>
      </c>
      <c r="E256" s="129" t="s">
        <v>462</v>
      </c>
      <c r="F256" s="129" t="s">
        <v>285</v>
      </c>
      <c r="G256" s="129" t="s">
        <v>783</v>
      </c>
      <c r="H256" s="129" t="s">
        <v>791</v>
      </c>
      <c r="I256" s="129" t="s">
        <v>652</v>
      </c>
      <c r="J256" s="129" t="s">
        <v>821</v>
      </c>
      <c r="K256" s="110" t="s">
        <v>663</v>
      </c>
      <c r="L256" s="129" t="s">
        <v>794</v>
      </c>
      <c r="M256" t="s">
        <v>351</v>
      </c>
      <c r="N256" s="129" t="s">
        <v>627</v>
      </c>
      <c r="O256" s="129" t="s">
        <v>816</v>
      </c>
      <c r="P256" s="129" t="s">
        <v>344</v>
      </c>
      <c r="Q256" t="s">
        <v>352</v>
      </c>
      <c r="R256" s="129" t="s">
        <v>656</v>
      </c>
      <c r="S256" s="129"/>
      <c r="T256" t="s">
        <v>352</v>
      </c>
      <c r="U256" s="129" t="s">
        <v>334</v>
      </c>
      <c r="V256" s="141">
        <f>Master_Table[[#This Row],[Thickness (m)]]/Master_Table[[#This Row],[Thermal Conductivity W/m-K]]</f>
        <v>1.4285714285714286</v>
      </c>
      <c r="W256" s="139">
        <f>Master_Table[[#This Row],[Raw A1-A3/Conversion factor]]*Master_Table[[#This Row],[Total Mass per m^2 (kg)]]</f>
        <v>4.6124999999999998</v>
      </c>
      <c r="X256" s="129">
        <v>3.69</v>
      </c>
      <c r="Y256" s="129" t="s">
        <v>545</v>
      </c>
      <c r="Z256" s="129">
        <v>1</v>
      </c>
      <c r="AA256" s="129">
        <v>1</v>
      </c>
      <c r="AB256" s="129">
        <v>0.05</v>
      </c>
      <c r="AC256" s="115">
        <f>Master_Table[[#This Row],[Length (m) (on wall)]]*Master_Table[[#This Row],[Height (m)]]*Master_Table[[#This Row],[Thickness (m)]]</f>
        <v>0.05</v>
      </c>
      <c r="AD256" s="129">
        <v>1</v>
      </c>
      <c r="AE256" s="149">
        <v>1</v>
      </c>
      <c r="AF256" s="156">
        <v>25</v>
      </c>
      <c r="AG256" s="139">
        <f>Master_Table[[#This Row],[Material Density (kg/m^3)]]*Master_Table[[#This Row],[Element Volume (m^3)]]</f>
        <v>1.25</v>
      </c>
      <c r="AH256" s="157">
        <v>3.5000000000000003E-2</v>
      </c>
    </row>
    <row r="257" spans="2:34" x14ac:dyDescent="0.35">
      <c r="B257" s="115" t="str">
        <f>_xlfn.CONCAT(Master_Table[[#This Row],[Unique ID]],"_",Master_Table[[#This Row],[Model Source]],"_",Master_Table[[#This Row],[System Type]],Master_Table[[#This Row],[System Subtype]],"_",Master_Table[[#This Row],[External Finish Type]])</f>
        <v>Aircrete Super_EPD_Concrete BlockTraditional_Brick</v>
      </c>
      <c r="C257" s="129" t="s">
        <v>513</v>
      </c>
      <c r="D257" s="129" t="s">
        <v>80</v>
      </c>
      <c r="E257" s="129" t="s">
        <v>462</v>
      </c>
      <c r="F257" s="129" t="s">
        <v>285</v>
      </c>
      <c r="G257" s="129" t="s">
        <v>783</v>
      </c>
      <c r="H257" s="129" t="s">
        <v>791</v>
      </c>
      <c r="I257" s="129" t="s">
        <v>652</v>
      </c>
      <c r="J257" s="129" t="s">
        <v>821</v>
      </c>
      <c r="K257" s="110" t="s">
        <v>659</v>
      </c>
      <c r="L257" s="129" t="s">
        <v>807</v>
      </c>
      <c r="M257" t="s">
        <v>351</v>
      </c>
      <c r="N257" s="79" t="s">
        <v>796</v>
      </c>
      <c r="O257" s="134" t="s">
        <v>815</v>
      </c>
      <c r="P257" s="134" t="s">
        <v>346</v>
      </c>
      <c r="Q257" t="s">
        <v>351</v>
      </c>
      <c r="R257" s="134" t="s">
        <v>584</v>
      </c>
      <c r="S257" s="129" t="s">
        <v>576</v>
      </c>
      <c r="T257" t="s">
        <v>351</v>
      </c>
      <c r="U257" s="129" t="s">
        <v>808</v>
      </c>
      <c r="V257" s="140">
        <v>0</v>
      </c>
      <c r="W257" s="124">
        <f>_xlfn.XLOOKUP(Master_Table[[#This Row],[Component Name]],'GWP NORMALISED'!$A$2:$A$500,'GWP NORMALISED'!$H$2:$H$500,FALSE)</f>
        <v>4.1849999999999996</v>
      </c>
      <c r="X257" s="125">
        <f>_xlfn.XLOOKUP(Master_Table[[#This Row],[Component Name]],'RAW GWP FOSSIL'!$A$2:$A$500,'RAW GWP FOSSIL'!$H$2:$H$500,FALSE)</f>
        <v>135</v>
      </c>
      <c r="Y257" s="129" t="s">
        <v>545</v>
      </c>
      <c r="Z257" s="129">
        <v>1</v>
      </c>
      <c r="AA257" s="129">
        <v>1.2E-2</v>
      </c>
      <c r="AB257" s="129">
        <v>0.1</v>
      </c>
      <c r="AC257" s="115">
        <f>Master_Table[[#This Row],[Length (m) (on wall)]]*Master_Table[[#This Row],[Height (m)]]*Master_Table[[#This Row],[Thickness (m)]]</f>
        <v>1.2000000000000001E-3</v>
      </c>
      <c r="AD257" s="129">
        <v>5</v>
      </c>
      <c r="AE257" s="149">
        <f>Master_Table[[#This Row],[Length (m) (on wall)]]*Master_Table[[#This Row],[Height (m)]]/1</f>
        <v>1.2E-2</v>
      </c>
      <c r="AF257" s="147">
        <v>2000</v>
      </c>
      <c r="AG257" s="129">
        <f>0.031*1000</f>
        <v>31</v>
      </c>
      <c r="AH257" s="147">
        <v>2</v>
      </c>
    </row>
    <row r="258" spans="2:34" x14ac:dyDescent="0.35">
      <c r="B258" s="115" t="str">
        <f>_xlfn.CONCAT(Master_Table[[#This Row],[Unique ID]],"_",Master_Table[[#This Row],[Model Source]],"_",Master_Table[[#This Row],[System Type]],Master_Table[[#This Row],[System Subtype]],"_",Master_Table[[#This Row],[External Finish Type]])</f>
        <v>Aircrete Super_EPD_Concrete BlockTraditional_Brick</v>
      </c>
      <c r="C258" s="129" t="s">
        <v>513</v>
      </c>
      <c r="D258" s="129" t="s">
        <v>80</v>
      </c>
      <c r="E258" s="129" t="s">
        <v>462</v>
      </c>
      <c r="F258" s="129" t="s">
        <v>285</v>
      </c>
      <c r="G258" s="129" t="s">
        <v>783</v>
      </c>
      <c r="H258" s="129" t="s">
        <v>791</v>
      </c>
      <c r="I258" s="129" t="s">
        <v>652</v>
      </c>
      <c r="J258" s="129" t="s">
        <v>821</v>
      </c>
      <c r="K258" s="110" t="s">
        <v>663</v>
      </c>
      <c r="L258" s="129" t="s">
        <v>809</v>
      </c>
      <c r="M258" s="179" t="s">
        <v>351</v>
      </c>
      <c r="N258" s="178" t="s">
        <v>810</v>
      </c>
      <c r="O258" s="129" t="s">
        <v>663</v>
      </c>
      <c r="P258" s="129" t="s">
        <v>811</v>
      </c>
      <c r="Q258" t="s">
        <v>352</v>
      </c>
      <c r="R258" s="178" t="s">
        <v>812</v>
      </c>
      <c r="S258" s="129"/>
      <c r="T258" t="s">
        <v>351</v>
      </c>
      <c r="U258" s="129" t="s">
        <v>813</v>
      </c>
      <c r="V258" s="140">
        <v>0</v>
      </c>
      <c r="W258" s="138">
        <v>1</v>
      </c>
      <c r="X258" s="147">
        <v>0</v>
      </c>
      <c r="Y258" s="129"/>
      <c r="Z258" s="134">
        <v>1</v>
      </c>
      <c r="AA258" s="134">
        <v>1</v>
      </c>
      <c r="AB258" s="134">
        <v>1</v>
      </c>
      <c r="AC258" s="115">
        <f>Master_Table[[#This Row],[Length (m) (on wall)]]*Master_Table[[#This Row],[Height (m)]]*Master_Table[[#This Row],[Thickness (m)]]</f>
        <v>1</v>
      </c>
      <c r="AD258" s="134">
        <v>1</v>
      </c>
      <c r="AE258" s="152">
        <v>1</v>
      </c>
      <c r="AF258" s="134">
        <v>0</v>
      </c>
      <c r="AG258" s="134">
        <v>0.05</v>
      </c>
      <c r="AH258" s="134">
        <v>0</v>
      </c>
    </row>
    <row r="259" spans="2:34" x14ac:dyDescent="0.35">
      <c r="B259" s="115" t="str">
        <f>_xlfn.CONCAT(Master_Table[[#This Row],[Unique ID]],"_",Master_Table[[#This Row],[Model Source]],"_",Master_Table[[#This Row],[System Type]],Master_Table[[#This Row],[System Subtype]],"_",Master_Table[[#This Row],[External Finish Type]])</f>
        <v>Roadstone Solid_EPD_Concrete BlockTraditional_Brick</v>
      </c>
      <c r="C259" s="129" t="s">
        <v>513</v>
      </c>
      <c r="D259" s="129" t="s">
        <v>80</v>
      </c>
      <c r="E259" s="129" t="s">
        <v>462</v>
      </c>
      <c r="F259" s="129" t="s">
        <v>285</v>
      </c>
      <c r="G259" s="129" t="s">
        <v>792</v>
      </c>
      <c r="H259" s="129" t="s">
        <v>824</v>
      </c>
      <c r="I259" s="129" t="s">
        <v>825</v>
      </c>
      <c r="J259" s="129" t="s">
        <v>821</v>
      </c>
      <c r="K259" s="110" t="s">
        <v>660</v>
      </c>
      <c r="L259" s="129"/>
      <c r="M259" t="s">
        <v>351</v>
      </c>
      <c r="N259" s="137" t="s">
        <v>788</v>
      </c>
      <c r="O259" s="129" t="s">
        <v>814</v>
      </c>
      <c r="P259" s="129" t="s">
        <v>4</v>
      </c>
      <c r="Q259" t="s">
        <v>351</v>
      </c>
      <c r="R259" s="129" t="s">
        <v>653</v>
      </c>
      <c r="S259" s="129" t="s">
        <v>657</v>
      </c>
      <c r="T259" t="s">
        <v>352</v>
      </c>
      <c r="U259" s="129" t="s">
        <v>334</v>
      </c>
      <c r="V259" s="162">
        <f>Master_Table[[#This Row],[Thickness (m)]]/Master_Table[[#This Row],[Thermal Conductivity W/m-K]]</f>
        <v>0.19545454545454544</v>
      </c>
      <c r="W259" s="124">
        <f>_xlfn.XLOOKUP(Master_Table[[#This Row],[Component Name]],'GWP NORMALISED'!$A$2:$A$500,'GWP NORMALISED'!$H$2:$H$500,FALSE)</f>
        <v>20.360500000000002</v>
      </c>
      <c r="X259" s="125">
        <f>_xlfn.XLOOKUP(Master_Table[[#This Row],[Component Name]],'RAW GWP FOSSIL'!$A$2:$A$500,'RAW GWP FOSSIL'!$H$2:$H$500,FALSE)</f>
        <v>94.7</v>
      </c>
      <c r="Y259" s="129" t="s">
        <v>642</v>
      </c>
      <c r="Z259" s="129">
        <v>1</v>
      </c>
      <c r="AA259" s="129">
        <v>1</v>
      </c>
      <c r="AB259" s="129">
        <v>0.215</v>
      </c>
      <c r="AC259" s="115">
        <f>Master_Table[[#This Row],[Length (m) (on wall)]]*Master_Table[[#This Row],[Height (m)]]*Master_Table[[#This Row],[Thickness (m)]]</f>
        <v>0.215</v>
      </c>
      <c r="AD259" s="129"/>
      <c r="AE259" s="149"/>
      <c r="AF259" s="129">
        <v>480</v>
      </c>
      <c r="AG259" s="129">
        <f>Master_Table[[#This Row],[Material Density (kg/m^3)]]*Master_Table[[#This Row],[Element Volume (m^3)]]</f>
        <v>103.2</v>
      </c>
      <c r="AH259" s="129">
        <v>1.1000000000000001</v>
      </c>
    </row>
    <row r="260" spans="2:34" x14ac:dyDescent="0.35">
      <c r="B260" s="115" t="str">
        <f>_xlfn.CONCAT(Master_Table[[#This Row],[Unique ID]],"_",Master_Table[[#This Row],[Model Source]],"_",Master_Table[[#This Row],[System Type]],Master_Table[[#This Row],[System Subtype]],"_",Master_Table[[#This Row],[External Finish Type]])</f>
        <v>Roadstone Solid_EPD_Concrete BlockTraditional_Brick</v>
      </c>
      <c r="C260" s="129" t="s">
        <v>513</v>
      </c>
      <c r="D260" s="129" t="s">
        <v>80</v>
      </c>
      <c r="E260" s="129" t="s">
        <v>462</v>
      </c>
      <c r="F260" s="129" t="s">
        <v>285</v>
      </c>
      <c r="G260" s="129" t="s">
        <v>792</v>
      </c>
      <c r="H260" s="129" t="s">
        <v>824</v>
      </c>
      <c r="I260" s="129" t="s">
        <v>825</v>
      </c>
      <c r="J260" s="129" t="s">
        <v>821</v>
      </c>
      <c r="K260" s="110" t="s">
        <v>663</v>
      </c>
      <c r="L260" s="129"/>
      <c r="M260" t="s">
        <v>351</v>
      </c>
      <c r="N260" s="134" t="s">
        <v>349</v>
      </c>
      <c r="O260" s="134" t="s">
        <v>663</v>
      </c>
      <c r="P260" s="134" t="s">
        <v>347</v>
      </c>
      <c r="Q260" t="s">
        <v>351</v>
      </c>
      <c r="R260" s="134" t="s">
        <v>582</v>
      </c>
      <c r="S260" s="134" t="s">
        <v>578</v>
      </c>
      <c r="T260" t="s">
        <v>352</v>
      </c>
      <c r="U260" s="129" t="s">
        <v>334</v>
      </c>
      <c r="V260" s="140">
        <v>6.5789473684210523E-2</v>
      </c>
      <c r="W260" s="138">
        <v>1.839</v>
      </c>
      <c r="X260" s="147">
        <v>0</v>
      </c>
      <c r="Y260" s="129" t="s">
        <v>545</v>
      </c>
      <c r="Z260" s="129">
        <v>1</v>
      </c>
      <c r="AA260" s="129">
        <v>1</v>
      </c>
      <c r="AB260" s="129">
        <v>1.4999999999999999E-2</v>
      </c>
      <c r="AC260" s="115">
        <f>Master_Table[[#This Row],[Length (m) (on wall)]]*Master_Table[[#This Row],[Height (m)]]*Master_Table[[#This Row],[Thickness (m)]]</f>
        <v>1.4999999999999999E-2</v>
      </c>
      <c r="AD260" s="129">
        <v>1</v>
      </c>
      <c r="AE260" s="149">
        <v>1</v>
      </c>
      <c r="AF260" s="147">
        <v>615</v>
      </c>
      <c r="AG260" s="147">
        <f>Master_Table[[#This Row],[Material Density (kg/m^3)]]*Master_Table[[#This Row],[Thickness (m)]]</f>
        <v>9.2249999999999996</v>
      </c>
      <c r="AH260" s="147">
        <v>0.19</v>
      </c>
    </row>
    <row r="261" spans="2:34" x14ac:dyDescent="0.35">
      <c r="B261" s="115" t="str">
        <f>_xlfn.CONCAT(Master_Table[[#This Row],[Unique ID]],"_",Master_Table[[#This Row],[Model Source]],"_",Master_Table[[#This Row],[System Type]],Master_Table[[#This Row],[System Subtype]],"_",Master_Table[[#This Row],[External Finish Type]])</f>
        <v>Roadstone Solid_EPD_Concrete BlockTraditional_Brick</v>
      </c>
      <c r="C261" s="129" t="s">
        <v>513</v>
      </c>
      <c r="D261" s="129" t="s">
        <v>80</v>
      </c>
      <c r="E261" s="129" t="s">
        <v>462</v>
      </c>
      <c r="F261" s="129" t="s">
        <v>285</v>
      </c>
      <c r="G261" s="129" t="s">
        <v>792</v>
      </c>
      <c r="H261" s="129" t="s">
        <v>824</v>
      </c>
      <c r="I261" s="129" t="s">
        <v>825</v>
      </c>
      <c r="J261" s="129" t="s">
        <v>821</v>
      </c>
      <c r="K261" s="110" t="s">
        <v>663</v>
      </c>
      <c r="L261" s="129"/>
      <c r="M261" t="s">
        <v>351</v>
      </c>
      <c r="N261" s="134" t="s">
        <v>566</v>
      </c>
      <c r="O261" s="134" t="s">
        <v>663</v>
      </c>
      <c r="P261" s="134" t="s">
        <v>347</v>
      </c>
      <c r="Q261" t="s">
        <v>351</v>
      </c>
      <c r="R261" s="134" t="s">
        <v>566</v>
      </c>
      <c r="S261" s="134" t="s">
        <v>580</v>
      </c>
      <c r="T261" t="s">
        <v>352</v>
      </c>
      <c r="U261" s="129" t="s">
        <v>334</v>
      </c>
      <c r="V261" s="140">
        <v>0</v>
      </c>
      <c r="W261" s="138">
        <v>1</v>
      </c>
      <c r="X261" s="147">
        <v>0</v>
      </c>
      <c r="Y261" s="129" t="s">
        <v>545</v>
      </c>
      <c r="Z261" s="134">
        <v>1</v>
      </c>
      <c r="AA261" s="134">
        <v>1</v>
      </c>
      <c r="AB261" s="134">
        <v>1</v>
      </c>
      <c r="AC261" s="115">
        <f>Master_Table[[#This Row],[Length (m) (on wall)]]*Master_Table[[#This Row],[Height (m)]]*Master_Table[[#This Row],[Thickness (m)]]</f>
        <v>1</v>
      </c>
      <c r="AD261" s="134">
        <v>1</v>
      </c>
      <c r="AE261" s="152">
        <v>1</v>
      </c>
      <c r="AF261" s="134">
        <v>0</v>
      </c>
      <c r="AG261" s="134">
        <f>Master_Table[[#This Row],[Material Density (kg/m^3)]]*Master_Table[[#This Row],[Thickness (m)]]</f>
        <v>0</v>
      </c>
      <c r="AH261" s="134">
        <v>0</v>
      </c>
    </row>
    <row r="262" spans="2:34" x14ac:dyDescent="0.35">
      <c r="B262" s="115" t="str">
        <f>_xlfn.CONCAT(Master_Table[[#This Row],[Unique ID]],"_",Master_Table[[#This Row],[Model Source]],"_",Master_Table[[#This Row],[System Type]],Master_Table[[#This Row],[System Subtype]],"_",Master_Table[[#This Row],[External Finish Type]])</f>
        <v>Roadstone Solid_EPD_Concrete BlockTraditional_Brick</v>
      </c>
      <c r="C262" s="129" t="s">
        <v>513</v>
      </c>
      <c r="D262" s="129" t="s">
        <v>80</v>
      </c>
      <c r="E262" s="129" t="s">
        <v>462</v>
      </c>
      <c r="F262" s="129" t="s">
        <v>285</v>
      </c>
      <c r="G262" s="129" t="s">
        <v>792</v>
      </c>
      <c r="H262" s="129" t="s">
        <v>824</v>
      </c>
      <c r="I262" s="129" t="s">
        <v>825</v>
      </c>
      <c r="J262" s="129" t="s">
        <v>821</v>
      </c>
      <c r="K262" s="110" t="s">
        <v>663</v>
      </c>
      <c r="L262" s="129"/>
      <c r="M262" t="s">
        <v>351</v>
      </c>
      <c r="N262" s="129" t="s">
        <v>355</v>
      </c>
      <c r="O262" s="129" t="s">
        <v>817</v>
      </c>
      <c r="P262" s="129" t="s">
        <v>347</v>
      </c>
      <c r="Q262" t="s">
        <v>351</v>
      </c>
      <c r="R262" s="129" t="s">
        <v>581</v>
      </c>
      <c r="S262" s="129" t="s">
        <v>579</v>
      </c>
      <c r="T262" t="s">
        <v>352</v>
      </c>
      <c r="U262" s="129" t="s">
        <v>334</v>
      </c>
      <c r="V262" s="140">
        <v>0.5</v>
      </c>
      <c r="W262" s="148">
        <v>0</v>
      </c>
      <c r="X262" s="129">
        <v>0</v>
      </c>
      <c r="Y262" s="129" t="s">
        <v>545</v>
      </c>
      <c r="Z262" s="129">
        <v>1</v>
      </c>
      <c r="AA262" s="129">
        <v>1</v>
      </c>
      <c r="AB262" s="134">
        <v>0.05</v>
      </c>
      <c r="AC262" s="115">
        <f>Master_Table[[#This Row],[Length (m) (on wall)]]*Master_Table[[#This Row],[Height (m)]]*Master_Table[[#This Row],[Thickness (m)]]</f>
        <v>0.05</v>
      </c>
      <c r="AD262" s="129">
        <v>1</v>
      </c>
      <c r="AE262" s="149">
        <v>1</v>
      </c>
      <c r="AF262" s="129">
        <v>1.2</v>
      </c>
      <c r="AG262" s="129">
        <f>Master_Table[[#This Row],[Material Density (kg/m^3)]]*Master_Table[[#This Row],[Thickness (m)]]</f>
        <v>0.06</v>
      </c>
      <c r="AH262" s="129">
        <v>2.5000000000000001E-2</v>
      </c>
    </row>
    <row r="263" spans="2:34" x14ac:dyDescent="0.35">
      <c r="B263" s="115" t="str">
        <f>_xlfn.CONCAT(Master_Table[[#This Row],[Unique ID]],"_",Master_Table[[#This Row],[Model Source]],"_",Master_Table[[#This Row],[System Type]],Master_Table[[#This Row],[System Subtype]],"_",Master_Table[[#This Row],[External Finish Type]])</f>
        <v>Roadstone Solid_EPD_Concrete BlockTraditional_Brick</v>
      </c>
      <c r="C263" s="129" t="s">
        <v>513</v>
      </c>
      <c r="D263" s="129" t="s">
        <v>80</v>
      </c>
      <c r="E263" s="129" t="s">
        <v>462</v>
      </c>
      <c r="F263" s="129" t="s">
        <v>285</v>
      </c>
      <c r="G263" s="129" t="s">
        <v>792</v>
      </c>
      <c r="H263" s="129" t="s">
        <v>824</v>
      </c>
      <c r="I263" s="129" t="s">
        <v>825</v>
      </c>
      <c r="J263" s="129" t="s">
        <v>821</v>
      </c>
      <c r="K263" s="110" t="s">
        <v>663</v>
      </c>
      <c r="L263" s="129"/>
      <c r="M263" t="s">
        <v>351</v>
      </c>
      <c r="N263" s="130" t="s">
        <v>285</v>
      </c>
      <c r="O263" s="129" t="s">
        <v>663</v>
      </c>
      <c r="P263" s="129" t="s">
        <v>346</v>
      </c>
      <c r="Q263" t="s">
        <v>351</v>
      </c>
      <c r="R263" s="129" t="s">
        <v>564</v>
      </c>
      <c r="S263" s="129" t="s">
        <v>563</v>
      </c>
      <c r="T263" t="s">
        <v>352</v>
      </c>
      <c r="U263" s="129" t="s">
        <v>334</v>
      </c>
      <c r="V263" s="140">
        <v>0.12987012987012989</v>
      </c>
      <c r="W263" s="138">
        <f>Master_Table[[#This Row],[Raw A1-A3/Conversion factor]]*Master_Table[[#This Row],[Total Mass per m^2 (kg)]]</f>
        <v>42.199999999999996</v>
      </c>
      <c r="X263" s="134">
        <v>0.21099999999999999</v>
      </c>
      <c r="Y263" s="134" t="s">
        <v>545</v>
      </c>
      <c r="Z263" s="134">
        <v>1</v>
      </c>
      <c r="AA263" s="134">
        <v>1</v>
      </c>
      <c r="AB263" s="134">
        <v>0.1</v>
      </c>
      <c r="AC263" s="115">
        <f>Master_Table[[#This Row],[Length (m) (on wall)]]*Master_Table[[#This Row],[Height (m)]]*Master_Table[[#This Row],[Thickness (m)]]</f>
        <v>0.1</v>
      </c>
      <c r="AD263" s="134">
        <v>1</v>
      </c>
      <c r="AE263" s="152">
        <v>1</v>
      </c>
      <c r="AF263" s="153">
        <v>2000</v>
      </c>
      <c r="AG263" s="150">
        <f>Master_Table[[#This Row],[Element Volume (m^3)]]*Master_Table[[#This Row],[No. of elements in 1 panel]]*Master_Table[[#This Row],[Material Density (kg/m^3)]]</f>
        <v>200</v>
      </c>
      <c r="AH263" s="129">
        <v>0.77</v>
      </c>
    </row>
    <row r="264" spans="2:34" x14ac:dyDescent="0.35">
      <c r="B264" s="115" t="str">
        <f>_xlfn.CONCAT(Master_Table[[#This Row],[Unique ID]],"_",Master_Table[[#This Row],[Model Source]],"_",Master_Table[[#This Row],[System Type]],Master_Table[[#This Row],[System Subtype]],"_",Master_Table[[#This Row],[External Finish Type]])</f>
        <v>Roadstone Solid_EPD_Concrete BlockTraditional_Brick</v>
      </c>
      <c r="C264" s="129" t="s">
        <v>513</v>
      </c>
      <c r="D264" s="129" t="s">
        <v>80</v>
      </c>
      <c r="E264" s="129" t="s">
        <v>462</v>
      </c>
      <c r="F264" s="129" t="s">
        <v>285</v>
      </c>
      <c r="G264" s="129" t="s">
        <v>792</v>
      </c>
      <c r="H264" s="129" t="s">
        <v>824</v>
      </c>
      <c r="I264" s="129" t="s">
        <v>825</v>
      </c>
      <c r="J264" s="129" t="s">
        <v>821</v>
      </c>
      <c r="K264" s="110" t="s">
        <v>659</v>
      </c>
      <c r="L264" s="129" t="s">
        <v>807</v>
      </c>
      <c r="M264" t="s">
        <v>351</v>
      </c>
      <c r="N264" s="79" t="s">
        <v>796</v>
      </c>
      <c r="O264" s="134" t="s">
        <v>815</v>
      </c>
      <c r="P264" s="134" t="s">
        <v>346</v>
      </c>
      <c r="Q264" t="s">
        <v>351</v>
      </c>
      <c r="R264" s="134" t="s">
        <v>584</v>
      </c>
      <c r="S264" s="129" t="s">
        <v>576</v>
      </c>
      <c r="T264" t="s">
        <v>351</v>
      </c>
      <c r="U264" s="129" t="s">
        <v>808</v>
      </c>
      <c r="V264" s="140">
        <v>0</v>
      </c>
      <c r="W264" s="124">
        <f>_xlfn.XLOOKUP(Master_Table[[#This Row],[Component Name]],'GWP NORMALISED'!$A$2:$A$500,'GWP NORMALISED'!$H$2:$H$500,FALSE)</f>
        <v>4.1849999999999996</v>
      </c>
      <c r="X264" s="125">
        <f>_xlfn.XLOOKUP(Master_Table[[#This Row],[Component Name]],'RAW GWP FOSSIL'!$A$2:$A$500,'RAW GWP FOSSIL'!$H$2:$H$500,FALSE)</f>
        <v>135</v>
      </c>
      <c r="Y264" s="129" t="s">
        <v>545</v>
      </c>
      <c r="Z264" s="129">
        <v>1</v>
      </c>
      <c r="AA264" s="129">
        <v>1.2E-2</v>
      </c>
      <c r="AB264" s="129">
        <v>0.1</v>
      </c>
      <c r="AC264" s="115">
        <f>Master_Table[[#This Row],[Length (m) (on wall)]]*Master_Table[[#This Row],[Height (m)]]*Master_Table[[#This Row],[Thickness (m)]]</f>
        <v>1.2000000000000001E-3</v>
      </c>
      <c r="AD264" s="129">
        <v>5</v>
      </c>
      <c r="AE264" s="149">
        <f>Master_Table[[#This Row],[Length (m) (on wall)]]*Master_Table[[#This Row],[Height (m)]]/1</f>
        <v>1.2E-2</v>
      </c>
      <c r="AF264" s="147">
        <v>2000</v>
      </c>
      <c r="AG264" s="129">
        <f>0.031*1000</f>
        <v>31</v>
      </c>
      <c r="AH264" s="147">
        <v>2</v>
      </c>
    </row>
    <row r="265" spans="2:34" x14ac:dyDescent="0.35">
      <c r="B265" s="115" t="str">
        <f>_xlfn.CONCAT(Master_Table[[#This Row],[Unique ID]],"_",Master_Table[[#This Row],[Model Source]],"_",Master_Table[[#This Row],[System Type]],Master_Table[[#This Row],[System Subtype]],"_",Master_Table[[#This Row],[External Finish Type]])</f>
        <v>Roadstone Solid_EPD_Concrete BlockTraditional_Brick</v>
      </c>
      <c r="C265" s="129" t="s">
        <v>513</v>
      </c>
      <c r="D265" s="129" t="s">
        <v>80</v>
      </c>
      <c r="E265" s="129" t="s">
        <v>462</v>
      </c>
      <c r="F265" s="129" t="s">
        <v>285</v>
      </c>
      <c r="G265" s="129" t="s">
        <v>792</v>
      </c>
      <c r="H265" s="129" t="s">
        <v>824</v>
      </c>
      <c r="I265" s="129" t="s">
        <v>825</v>
      </c>
      <c r="J265" s="129" t="s">
        <v>821</v>
      </c>
      <c r="K265" s="110" t="s">
        <v>663</v>
      </c>
      <c r="L265" s="129"/>
      <c r="M265" t="s">
        <v>351</v>
      </c>
      <c r="N265" s="129" t="s">
        <v>355</v>
      </c>
      <c r="O265" s="129" t="s">
        <v>817</v>
      </c>
      <c r="P265" s="129" t="s">
        <v>346</v>
      </c>
      <c r="Q265" t="s">
        <v>351</v>
      </c>
      <c r="R265" s="129" t="s">
        <v>583</v>
      </c>
      <c r="S265" s="129" t="s">
        <v>577</v>
      </c>
      <c r="T265" t="s">
        <v>352</v>
      </c>
      <c r="U265" s="129" t="s">
        <v>334</v>
      </c>
      <c r="V265" s="140">
        <v>2</v>
      </c>
      <c r="W265" s="138">
        <v>0</v>
      </c>
      <c r="X265" s="147">
        <v>0</v>
      </c>
      <c r="Y265" s="129" t="s">
        <v>545</v>
      </c>
      <c r="Z265" s="129">
        <v>1</v>
      </c>
      <c r="AA265" s="129">
        <v>1</v>
      </c>
      <c r="AB265" s="129">
        <v>0.1</v>
      </c>
      <c r="AC265" s="115">
        <f>Master_Table[[#This Row],[Length (m) (on wall)]]*Master_Table[[#This Row],[Height (m)]]*Master_Table[[#This Row],[Thickness (m)]]</f>
        <v>0.1</v>
      </c>
      <c r="AD265" s="129">
        <v>1</v>
      </c>
      <c r="AE265" s="149">
        <v>1</v>
      </c>
      <c r="AF265" s="129">
        <v>1.2</v>
      </c>
      <c r="AG265" s="129">
        <f>Master_Table[[#This Row],[Material Density (kg/m^3)]]*Master_Table[[#This Row],[Thickness (m)]]</f>
        <v>0.12</v>
      </c>
      <c r="AH265" s="129">
        <v>2.5000000000000001E-2</v>
      </c>
    </row>
    <row r="266" spans="2:34" x14ac:dyDescent="0.35">
      <c r="B266" s="115" t="str">
        <f>_xlfn.CONCAT(Master_Table[[#This Row],[Unique ID]],"_",Master_Table[[#This Row],[Model Source]],"_",Master_Table[[#This Row],[System Type]],Master_Table[[#This Row],[System Subtype]],"_",Master_Table[[#This Row],[External Finish Type]])</f>
        <v>Roadstone Solid_EPD_Concrete BlockTraditional_Brick</v>
      </c>
      <c r="C266" s="129" t="s">
        <v>513</v>
      </c>
      <c r="D266" s="129" t="s">
        <v>80</v>
      </c>
      <c r="E266" s="129" t="s">
        <v>462</v>
      </c>
      <c r="F266" s="129" t="s">
        <v>285</v>
      </c>
      <c r="G266" s="129" t="s">
        <v>792</v>
      </c>
      <c r="H266" s="129" t="s">
        <v>824</v>
      </c>
      <c r="I266" s="129" t="s">
        <v>825</v>
      </c>
      <c r="J266" s="129" t="s">
        <v>821</v>
      </c>
      <c r="K266" s="110" t="s">
        <v>663</v>
      </c>
      <c r="L266" s="129"/>
      <c r="M266" t="s">
        <v>351</v>
      </c>
      <c r="N266" s="133" t="s">
        <v>29</v>
      </c>
      <c r="O266" s="129" t="s">
        <v>816</v>
      </c>
      <c r="P266" s="129" t="s">
        <v>470</v>
      </c>
      <c r="Q266" t="s">
        <v>352</v>
      </c>
      <c r="R266" s="129" t="s">
        <v>554</v>
      </c>
      <c r="S266" s="129" t="s">
        <v>334</v>
      </c>
      <c r="T266" t="s">
        <v>352</v>
      </c>
      <c r="U266" s="129" t="s">
        <v>334</v>
      </c>
      <c r="V266" s="138">
        <v>1.5E-3</v>
      </c>
      <c r="W266" s="139">
        <v>0.25229166666666669</v>
      </c>
      <c r="X266" s="129">
        <v>4.2</v>
      </c>
      <c r="Y266" s="129" t="s">
        <v>545</v>
      </c>
      <c r="Z266" s="130">
        <v>2.4</v>
      </c>
      <c r="AA266" s="130">
        <v>2.4</v>
      </c>
      <c r="AB266" s="130">
        <v>4.4999999999999999E-4</v>
      </c>
      <c r="AC266" s="115">
        <f>Master_Table[[#This Row],[Length (m) (on wall)]]*Master_Table[[#This Row],[Height (m)]]*Master_Table[[#This Row],[Thickness (m)]]</f>
        <v>2.5919999999999997E-3</v>
      </c>
      <c r="AD266" s="129">
        <v>1</v>
      </c>
      <c r="AE266" s="149">
        <v>1</v>
      </c>
      <c r="AF266" s="151">
        <v>0</v>
      </c>
      <c r="AG266" s="151">
        <v>0.34599999999999997</v>
      </c>
      <c r="AH266" s="147">
        <v>0.3</v>
      </c>
    </row>
    <row r="267" spans="2:34" x14ac:dyDescent="0.35">
      <c r="B267" s="115" t="str">
        <f>_xlfn.CONCAT(Master_Table[[#This Row],[Unique ID]],"_",Master_Table[[#This Row],[Model Source]],"_",Master_Table[[#This Row],[System Type]],Master_Table[[#This Row],[System Subtype]],"_",Master_Table[[#This Row],[External Finish Type]])</f>
        <v>Roadstone Solid_EPD_Concrete BlockTraditional_Brick</v>
      </c>
      <c r="C267" s="129" t="s">
        <v>513</v>
      </c>
      <c r="D267" s="129" t="s">
        <v>80</v>
      </c>
      <c r="E267" s="129" t="s">
        <v>462</v>
      </c>
      <c r="F267" s="129" t="s">
        <v>285</v>
      </c>
      <c r="G267" s="129" t="s">
        <v>792</v>
      </c>
      <c r="H267" s="129" t="s">
        <v>824</v>
      </c>
      <c r="I267" s="129" t="s">
        <v>825</v>
      </c>
      <c r="J267" s="129" t="s">
        <v>821</v>
      </c>
      <c r="K267" s="110" t="s">
        <v>663</v>
      </c>
      <c r="L267" s="129"/>
      <c r="M267" t="s">
        <v>351</v>
      </c>
      <c r="N267" s="129" t="s">
        <v>627</v>
      </c>
      <c r="O267" s="129" t="s">
        <v>816</v>
      </c>
      <c r="P267" s="129" t="s">
        <v>344</v>
      </c>
      <c r="Q267" t="s">
        <v>352</v>
      </c>
      <c r="R267" s="129" t="s">
        <v>656</v>
      </c>
      <c r="S267" s="129"/>
      <c r="T267" t="s">
        <v>352</v>
      </c>
      <c r="U267" s="129" t="s">
        <v>334</v>
      </c>
      <c r="V267" s="141">
        <f>Master_Table[[#This Row],[Thickness (m)]]/Master_Table[[#This Row],[Thermal Conductivity W/m-K]]</f>
        <v>2.8571428571428572</v>
      </c>
      <c r="W267" s="139">
        <f>Master_Table[[#This Row],[Raw A1-A3/Conversion factor]]*Master_Table[[#This Row],[Total Mass per m^2 (kg)]]</f>
        <v>9.2249999999999996</v>
      </c>
      <c r="X267" s="129">
        <v>3.69</v>
      </c>
      <c r="Y267" s="129" t="s">
        <v>545</v>
      </c>
      <c r="Z267" s="129">
        <v>1</v>
      </c>
      <c r="AA267" s="129">
        <v>1</v>
      </c>
      <c r="AB267" s="129">
        <v>0.1</v>
      </c>
      <c r="AC267" s="115">
        <f>Master_Table[[#This Row],[Length (m) (on wall)]]*Master_Table[[#This Row],[Height (m)]]*Master_Table[[#This Row],[Thickness (m)]]</f>
        <v>0.1</v>
      </c>
      <c r="AD267" s="129">
        <v>1</v>
      </c>
      <c r="AE267" s="149">
        <v>1</v>
      </c>
      <c r="AF267" s="156">
        <v>25</v>
      </c>
      <c r="AG267" s="139">
        <f>Master_Table[[#This Row],[Material Density (kg/m^3)]]*Master_Table[[#This Row],[Element Volume (m^3)]]</f>
        <v>2.5</v>
      </c>
      <c r="AH267" s="157">
        <v>3.5000000000000003E-2</v>
      </c>
    </row>
    <row r="268" spans="2:34" x14ac:dyDescent="0.35">
      <c r="B268" s="115" t="str">
        <f>_xlfn.CONCAT(Master_Table[[#This Row],[Unique ID]],"_",Master_Table[[#This Row],[Model Source]],"_",Master_Table[[#This Row],[System Type]],Master_Table[[#This Row],[System Subtype]],"_",Master_Table[[#This Row],[External Finish Type]])</f>
        <v>Roadstone Solid_EPD_Concrete BlockTraditional_Brick</v>
      </c>
      <c r="C268" s="129" t="s">
        <v>513</v>
      </c>
      <c r="D268" s="129" t="s">
        <v>80</v>
      </c>
      <c r="E268" s="129" t="s">
        <v>462</v>
      </c>
      <c r="F268" s="129" t="s">
        <v>285</v>
      </c>
      <c r="G268" s="129" t="s">
        <v>792</v>
      </c>
      <c r="H268" s="129" t="s">
        <v>824</v>
      </c>
      <c r="I268" s="129" t="s">
        <v>825</v>
      </c>
      <c r="J268" s="129" t="s">
        <v>821</v>
      </c>
      <c r="K268" s="110" t="s">
        <v>659</v>
      </c>
      <c r="L268" s="129" t="s">
        <v>807</v>
      </c>
      <c r="M268" t="s">
        <v>351</v>
      </c>
      <c r="N268" s="79" t="s">
        <v>796</v>
      </c>
      <c r="O268" s="134" t="s">
        <v>815</v>
      </c>
      <c r="P268" s="134" t="s">
        <v>346</v>
      </c>
      <c r="Q268" t="s">
        <v>351</v>
      </c>
      <c r="R268" s="134" t="s">
        <v>584</v>
      </c>
      <c r="S268" s="129" t="s">
        <v>576</v>
      </c>
      <c r="T268" t="s">
        <v>351</v>
      </c>
      <c r="U268" s="129" t="s">
        <v>808</v>
      </c>
      <c r="V268" s="140">
        <v>0</v>
      </c>
      <c r="W268" s="124">
        <f>_xlfn.XLOOKUP(Master_Table[[#This Row],[Component Name]],'GWP NORMALISED'!$A$2:$A$500,'GWP NORMALISED'!$H$2:$H$500,FALSE)</f>
        <v>4.1849999999999996</v>
      </c>
      <c r="X268" s="125">
        <f>_xlfn.XLOOKUP(Master_Table[[#This Row],[Component Name]],'RAW GWP FOSSIL'!$A$2:$A$500,'RAW GWP FOSSIL'!$H$2:$H$500,FALSE)</f>
        <v>135</v>
      </c>
      <c r="Y268" s="129" t="s">
        <v>545</v>
      </c>
      <c r="Z268" s="129">
        <v>1</v>
      </c>
      <c r="AA268" s="129">
        <v>1.2E-2</v>
      </c>
      <c r="AB268" s="129">
        <v>0.1</v>
      </c>
      <c r="AC268" s="115">
        <f>Master_Table[[#This Row],[Length (m) (on wall)]]*Master_Table[[#This Row],[Height (m)]]*Master_Table[[#This Row],[Thickness (m)]]</f>
        <v>1.2000000000000001E-3</v>
      </c>
      <c r="AD268" s="129">
        <v>5</v>
      </c>
      <c r="AE268" s="149">
        <f>Master_Table[[#This Row],[Length (m) (on wall)]]*Master_Table[[#This Row],[Height (m)]]/1</f>
        <v>1.2E-2</v>
      </c>
      <c r="AF268" s="147">
        <v>2000</v>
      </c>
      <c r="AG268" s="129">
        <f>0.031*1000</f>
        <v>31</v>
      </c>
      <c r="AH268" s="147">
        <v>2</v>
      </c>
    </row>
    <row r="269" spans="2:34" x14ac:dyDescent="0.35">
      <c r="B269" s="115" t="str">
        <f>_xlfn.CONCAT(Master_Table[[#This Row],[Unique ID]],"_",Master_Table[[#This Row],[Model Source]],"_",Master_Table[[#This Row],[System Type]],Master_Table[[#This Row],[System Subtype]],"_",Master_Table[[#This Row],[External Finish Type]])</f>
        <v>Roadstone Solid_EPD_Concrete BlockTraditional_Brick</v>
      </c>
      <c r="C269" s="129" t="s">
        <v>513</v>
      </c>
      <c r="D269" s="129" t="s">
        <v>80</v>
      </c>
      <c r="E269" s="129" t="s">
        <v>462</v>
      </c>
      <c r="F269" s="129" t="s">
        <v>285</v>
      </c>
      <c r="G269" s="129" t="s">
        <v>792</v>
      </c>
      <c r="H269" s="129" t="s">
        <v>824</v>
      </c>
      <c r="I269" s="129" t="s">
        <v>825</v>
      </c>
      <c r="J269" s="129" t="s">
        <v>821</v>
      </c>
      <c r="K269" s="110" t="s">
        <v>663</v>
      </c>
      <c r="L269" s="129" t="s">
        <v>809</v>
      </c>
      <c r="M269" s="179" t="s">
        <v>351</v>
      </c>
      <c r="N269" s="178" t="s">
        <v>810</v>
      </c>
      <c r="O269" s="129" t="s">
        <v>663</v>
      </c>
      <c r="P269" s="129" t="s">
        <v>811</v>
      </c>
      <c r="Q269" t="s">
        <v>352</v>
      </c>
      <c r="R269" s="178" t="s">
        <v>812</v>
      </c>
      <c r="S269" s="129"/>
      <c r="T269" t="s">
        <v>351</v>
      </c>
      <c r="U269" s="129" t="s">
        <v>813</v>
      </c>
      <c r="V269" s="140">
        <v>0</v>
      </c>
      <c r="W269" s="138">
        <v>1</v>
      </c>
      <c r="X269" s="147">
        <v>0</v>
      </c>
      <c r="Y269" s="129"/>
      <c r="Z269" s="134">
        <v>1</v>
      </c>
      <c r="AA269" s="134">
        <v>1</v>
      </c>
      <c r="AB269" s="134">
        <v>1</v>
      </c>
      <c r="AC269" s="115">
        <f>Master_Table[[#This Row],[Length (m) (on wall)]]*Master_Table[[#This Row],[Height (m)]]*Master_Table[[#This Row],[Thickness (m)]]</f>
        <v>1</v>
      </c>
      <c r="AD269" s="134">
        <v>1</v>
      </c>
      <c r="AE269" s="152">
        <v>1</v>
      </c>
      <c r="AF269" s="134">
        <v>0</v>
      </c>
      <c r="AG269" s="134">
        <v>0.05</v>
      </c>
      <c r="AH269" s="134">
        <v>0</v>
      </c>
    </row>
    <row r="270" spans="2:34" x14ac:dyDescent="0.35">
      <c r="C270" s="129"/>
      <c r="D270" s="129"/>
      <c r="E270" s="129"/>
      <c r="F270" s="129"/>
      <c r="G270" s="129"/>
      <c r="H270" s="129"/>
      <c r="I270" s="129"/>
      <c r="J270" s="129"/>
      <c r="K270" s="110"/>
      <c r="L270" s="129"/>
      <c r="M270" t="s">
        <v>351</v>
      </c>
      <c r="N270" s="129"/>
      <c r="O270" s="129"/>
      <c r="P270" s="129"/>
      <c r="Q270" s="129"/>
      <c r="R270" s="129"/>
      <c r="S270" s="129"/>
      <c r="T270" s="129"/>
      <c r="U270" s="129"/>
      <c r="V270" s="141"/>
      <c r="W270" s="139"/>
      <c r="X270" s="129"/>
      <c r="Y270" s="129"/>
      <c r="Z270" s="129"/>
      <c r="AA270" s="129"/>
      <c r="AB270" s="129"/>
      <c r="AC270" s="115"/>
      <c r="AD270" s="129"/>
      <c r="AE270" s="149"/>
      <c r="AF270" s="129"/>
      <c r="AG270" s="129"/>
      <c r="AH270" s="129"/>
    </row>
    <row r="271" spans="2:34" x14ac:dyDescent="0.35">
      <c r="C271" s="129"/>
      <c r="D271" s="129"/>
      <c r="E271" s="129"/>
      <c r="F271" s="129"/>
      <c r="G271" s="129"/>
      <c r="H271" s="129"/>
      <c r="I271" s="129"/>
      <c r="J271" s="129"/>
      <c r="K271" s="110"/>
      <c r="L271" s="129"/>
      <c r="M271" t="s">
        <v>351</v>
      </c>
      <c r="N271" s="129"/>
      <c r="O271" s="129"/>
      <c r="P271" s="129"/>
      <c r="Q271" s="129"/>
      <c r="R271" s="129"/>
      <c r="S271" s="129"/>
      <c r="T271" s="129"/>
      <c r="U271" s="129"/>
      <c r="V271" s="141"/>
      <c r="W271" s="139"/>
      <c r="X271" s="129"/>
      <c r="Y271" s="129"/>
      <c r="Z271" s="129"/>
      <c r="AA271" s="129"/>
      <c r="AB271" s="129"/>
      <c r="AC271" s="115"/>
      <c r="AD271" s="129"/>
      <c r="AE271" s="149"/>
      <c r="AF271" s="129"/>
      <c r="AG271" s="129"/>
      <c r="AH271" s="129"/>
    </row>
    <row r="272" spans="2:34" x14ac:dyDescent="0.35">
      <c r="C272" s="129"/>
      <c r="D272" s="129"/>
      <c r="E272" s="129"/>
      <c r="F272" s="129"/>
      <c r="G272" s="129"/>
      <c r="H272" s="129"/>
      <c r="I272" s="129"/>
      <c r="J272" s="129"/>
      <c r="K272" s="110"/>
      <c r="L272" s="129"/>
      <c r="M272" t="s">
        <v>351</v>
      </c>
      <c r="N272" s="129"/>
      <c r="O272" s="129"/>
      <c r="P272" s="129"/>
      <c r="Q272" s="129"/>
      <c r="R272" s="129"/>
      <c r="S272" s="129"/>
      <c r="T272" s="129"/>
      <c r="U272" s="129"/>
      <c r="V272" s="141"/>
      <c r="W272" s="139"/>
      <c r="X272" s="129"/>
      <c r="Y272" s="129"/>
      <c r="Z272" s="129"/>
      <c r="AA272" s="129"/>
      <c r="AB272" s="129"/>
      <c r="AC272" s="115"/>
      <c r="AD272" s="129"/>
      <c r="AE272" s="149"/>
      <c r="AF272" s="129"/>
      <c r="AG272" s="129"/>
      <c r="AH272" s="129"/>
    </row>
    <row r="273" spans="3:34" x14ac:dyDescent="0.35">
      <c r="C273" s="129"/>
      <c r="D273" s="129"/>
      <c r="E273" s="129"/>
      <c r="F273" s="129"/>
      <c r="G273" s="129"/>
      <c r="H273" s="129"/>
      <c r="I273" s="129"/>
      <c r="J273" s="129"/>
      <c r="K273" s="110"/>
      <c r="L273" s="129"/>
      <c r="M273" t="s">
        <v>351</v>
      </c>
      <c r="N273" s="129"/>
      <c r="O273" s="129"/>
      <c r="P273" s="129"/>
      <c r="Q273" s="129"/>
      <c r="R273" s="129"/>
      <c r="S273" s="129"/>
      <c r="T273" s="129"/>
      <c r="U273" s="129"/>
      <c r="V273" s="141"/>
      <c r="W273" s="139"/>
      <c r="X273" s="129"/>
      <c r="Y273" s="129"/>
      <c r="Z273" s="129"/>
      <c r="AA273" s="129"/>
      <c r="AB273" s="129"/>
      <c r="AC273" s="115"/>
      <c r="AD273" s="129"/>
      <c r="AE273" s="149"/>
      <c r="AF273" s="129"/>
      <c r="AG273" s="129"/>
      <c r="AH273" s="129"/>
    </row>
    <row r="274" spans="3:34" x14ac:dyDescent="0.35">
      <c r="C274" s="129"/>
      <c r="D274" s="129"/>
      <c r="E274" s="129"/>
      <c r="F274" s="129"/>
      <c r="G274" s="129"/>
      <c r="H274" s="129"/>
      <c r="I274" s="129"/>
      <c r="J274" s="129"/>
      <c r="K274" s="110"/>
      <c r="L274" s="129"/>
      <c r="M274" t="s">
        <v>351</v>
      </c>
      <c r="N274" s="129"/>
      <c r="O274" s="129"/>
      <c r="P274" s="129"/>
      <c r="Q274" s="129"/>
      <c r="R274" s="129"/>
      <c r="S274" s="129"/>
      <c r="T274" s="129"/>
      <c r="U274" s="129"/>
      <c r="V274" s="141"/>
      <c r="W274" s="139"/>
      <c r="X274" s="129"/>
      <c r="Y274" s="129"/>
      <c r="Z274" s="129"/>
      <c r="AA274" s="129"/>
      <c r="AB274" s="129"/>
      <c r="AC274" s="115"/>
      <c r="AD274" s="129"/>
      <c r="AE274" s="149"/>
      <c r="AF274" s="129"/>
      <c r="AG274" s="129"/>
      <c r="AH274" s="129"/>
    </row>
    <row r="275" spans="3:34" x14ac:dyDescent="0.35">
      <c r="C275" s="129"/>
      <c r="D275" s="129"/>
      <c r="E275" s="129"/>
      <c r="F275" s="129"/>
      <c r="G275" s="129"/>
      <c r="H275" s="129"/>
      <c r="I275" s="129"/>
      <c r="J275" s="129"/>
      <c r="K275" s="110"/>
      <c r="L275" s="129"/>
      <c r="M275" t="s">
        <v>351</v>
      </c>
      <c r="N275" s="129"/>
      <c r="O275" s="129"/>
      <c r="P275" s="129"/>
      <c r="Q275" s="129"/>
      <c r="R275" s="129"/>
      <c r="S275" s="129"/>
      <c r="T275" s="129"/>
      <c r="U275" s="129"/>
      <c r="V275" s="141"/>
      <c r="W275" s="139"/>
      <c r="X275" s="129"/>
      <c r="Y275" s="129"/>
      <c r="Z275" s="129"/>
      <c r="AA275" s="129"/>
      <c r="AB275" s="129"/>
      <c r="AC275" s="115"/>
      <c r="AD275" s="129"/>
      <c r="AE275" s="149"/>
      <c r="AF275" s="129"/>
      <c r="AG275" s="129"/>
      <c r="AH275" s="129"/>
    </row>
    <row r="276" spans="3:34" x14ac:dyDescent="0.35">
      <c r="C276" s="129"/>
      <c r="D276" s="129"/>
      <c r="E276" s="129"/>
      <c r="F276" s="129"/>
      <c r="G276" s="129"/>
      <c r="H276" s="129"/>
      <c r="I276" s="129"/>
      <c r="J276" s="129"/>
      <c r="K276" s="110"/>
      <c r="L276" s="129"/>
      <c r="M276" t="s">
        <v>351</v>
      </c>
      <c r="N276" s="129"/>
      <c r="O276" s="129"/>
      <c r="P276" s="129"/>
      <c r="Q276" s="129"/>
      <c r="R276" s="129"/>
      <c r="S276" s="129"/>
      <c r="T276" s="129"/>
      <c r="U276" s="129"/>
      <c r="V276" s="141"/>
      <c r="W276" s="139"/>
      <c r="X276" s="129"/>
      <c r="Y276" s="129"/>
      <c r="Z276" s="129"/>
      <c r="AA276" s="129"/>
      <c r="AB276" s="129"/>
      <c r="AC276" s="115"/>
      <c r="AD276" s="129"/>
      <c r="AE276" s="149"/>
      <c r="AF276" s="129"/>
      <c r="AG276" s="129"/>
      <c r="AH276" s="129"/>
    </row>
    <row r="277" spans="3:34" x14ac:dyDescent="0.35">
      <c r="C277" s="129"/>
      <c r="D277" s="129"/>
      <c r="E277" s="129"/>
      <c r="F277" s="129"/>
      <c r="G277" s="129"/>
      <c r="H277" s="129"/>
      <c r="I277" s="129"/>
      <c r="J277" s="129"/>
      <c r="K277" s="110"/>
      <c r="L277" s="129"/>
      <c r="M277" t="s">
        <v>351</v>
      </c>
      <c r="N277" s="129"/>
      <c r="O277" s="129"/>
      <c r="P277" s="129"/>
      <c r="Q277" s="129"/>
      <c r="R277" s="129"/>
      <c r="S277" s="129"/>
      <c r="T277" s="129"/>
      <c r="U277" s="129"/>
      <c r="V277" s="141"/>
      <c r="W277" s="139"/>
      <c r="X277" s="129"/>
      <c r="Y277" s="129"/>
      <c r="Z277" s="129"/>
      <c r="AA277" s="129"/>
      <c r="AB277" s="129"/>
      <c r="AC277" s="115"/>
      <c r="AD277" s="129"/>
      <c r="AE277" s="149"/>
      <c r="AF277" s="129"/>
      <c r="AG277" s="129"/>
      <c r="AH277" s="129"/>
    </row>
    <row r="278" spans="3:34" x14ac:dyDescent="0.35">
      <c r="C278" s="129"/>
      <c r="D278" s="129"/>
      <c r="E278" s="129"/>
      <c r="F278" s="129"/>
      <c r="G278" s="129"/>
      <c r="H278" s="129"/>
      <c r="I278" s="129"/>
      <c r="J278" s="129"/>
      <c r="K278" s="110"/>
      <c r="L278" s="129"/>
      <c r="M278" t="s">
        <v>351</v>
      </c>
      <c r="N278" s="129"/>
      <c r="O278" s="129"/>
      <c r="P278" s="129"/>
      <c r="Q278" s="129"/>
      <c r="R278" s="129"/>
      <c r="S278" s="129"/>
      <c r="T278" s="129"/>
      <c r="U278" s="129"/>
      <c r="V278" s="141"/>
      <c r="W278" s="139"/>
      <c r="X278" s="129"/>
      <c r="Y278" s="129"/>
      <c r="Z278" s="129"/>
      <c r="AA278" s="129"/>
      <c r="AB278" s="129"/>
      <c r="AC278" s="115"/>
      <c r="AD278" s="129"/>
      <c r="AE278" s="149"/>
      <c r="AF278" s="129"/>
      <c r="AG278" s="129"/>
      <c r="AH278" s="129"/>
    </row>
    <row r="279" spans="3:34" x14ac:dyDescent="0.35">
      <c r="C279" s="129"/>
      <c r="D279" s="129"/>
      <c r="E279" s="129"/>
      <c r="F279" s="129"/>
      <c r="G279" s="129"/>
      <c r="H279" s="129"/>
      <c r="I279" s="129"/>
      <c r="J279" s="129"/>
      <c r="K279" s="110"/>
      <c r="L279" s="129"/>
      <c r="M279" t="s">
        <v>351</v>
      </c>
      <c r="N279" s="129"/>
      <c r="O279" s="129"/>
      <c r="P279" s="129"/>
      <c r="Q279" s="129"/>
      <c r="R279" s="129"/>
      <c r="S279" s="129"/>
      <c r="T279" s="129"/>
      <c r="U279" s="129"/>
      <c r="V279" s="141"/>
      <c r="W279" s="139"/>
      <c r="X279" s="129"/>
      <c r="Y279" s="129"/>
      <c r="Z279" s="129"/>
      <c r="AA279" s="129"/>
      <c r="AB279" s="129"/>
      <c r="AC279" s="115"/>
      <c r="AD279" s="129"/>
      <c r="AE279" s="149"/>
      <c r="AF279" s="129"/>
      <c r="AG279" s="129"/>
      <c r="AH279" s="129"/>
    </row>
    <row r="280" spans="3:34" x14ac:dyDescent="0.35">
      <c r="C280" s="129"/>
      <c r="D280" s="129"/>
      <c r="E280" s="129"/>
      <c r="F280" s="129"/>
      <c r="G280" s="129"/>
      <c r="H280" s="129"/>
      <c r="I280" s="129"/>
      <c r="J280" s="129"/>
      <c r="K280" s="110"/>
      <c r="L280" s="129"/>
      <c r="M280" t="s">
        <v>351</v>
      </c>
      <c r="N280" s="129"/>
      <c r="O280" s="129"/>
      <c r="P280" s="129"/>
      <c r="Q280" s="129"/>
      <c r="R280" s="129"/>
      <c r="S280" s="129"/>
      <c r="T280" s="129"/>
      <c r="U280" s="129"/>
      <c r="V280" s="141"/>
      <c r="W280" s="139"/>
      <c r="X280" s="129"/>
      <c r="Y280" s="129"/>
      <c r="Z280" s="129"/>
      <c r="AA280" s="129"/>
      <c r="AB280" s="129"/>
      <c r="AC280" s="115"/>
      <c r="AD280" s="129"/>
      <c r="AE280" s="149"/>
      <c r="AF280" s="129"/>
      <c r="AG280" s="129"/>
      <c r="AH280" s="129"/>
    </row>
    <row r="281" spans="3:34" x14ac:dyDescent="0.35">
      <c r="C281" s="129"/>
      <c r="D281" s="129"/>
      <c r="E281" s="129"/>
      <c r="F281" s="129"/>
      <c r="G281" s="129"/>
      <c r="H281" s="129"/>
      <c r="I281" s="129"/>
      <c r="J281" s="129"/>
      <c r="K281" s="110"/>
      <c r="L281" s="129"/>
      <c r="M281" t="s">
        <v>351</v>
      </c>
      <c r="N281" s="129"/>
      <c r="O281" s="129"/>
      <c r="P281" s="129"/>
      <c r="Q281" s="129"/>
      <c r="R281" s="129"/>
      <c r="S281" s="129"/>
      <c r="T281" s="129"/>
      <c r="U281" s="129"/>
      <c r="V281" s="141"/>
      <c r="W281" s="139"/>
      <c r="X281" s="129"/>
      <c r="Y281" s="129"/>
      <c r="Z281" s="129"/>
      <c r="AA281" s="129"/>
      <c r="AB281" s="129"/>
      <c r="AC281" s="115"/>
      <c r="AD281" s="129"/>
      <c r="AE281" s="149"/>
      <c r="AF281" s="129"/>
      <c r="AG281" s="129"/>
      <c r="AH281" s="129"/>
    </row>
    <row r="282" spans="3:34" x14ac:dyDescent="0.35">
      <c r="C282" s="129"/>
      <c r="D282" s="129"/>
      <c r="E282" s="129"/>
      <c r="F282" s="129"/>
      <c r="G282" s="129"/>
      <c r="H282" s="129"/>
      <c r="I282" s="129"/>
      <c r="J282" s="129"/>
      <c r="K282" s="110"/>
      <c r="L282" s="129"/>
      <c r="M282" t="s">
        <v>351</v>
      </c>
      <c r="N282" s="129"/>
      <c r="O282" s="129"/>
      <c r="P282" s="129"/>
      <c r="Q282" s="129"/>
      <c r="R282" s="129"/>
      <c r="S282" s="129"/>
      <c r="T282" s="129"/>
      <c r="U282" s="129"/>
      <c r="V282" s="141"/>
      <c r="W282" s="139"/>
      <c r="X282" s="129"/>
      <c r="Y282" s="129"/>
      <c r="Z282" s="129"/>
      <c r="AA282" s="129"/>
      <c r="AB282" s="129"/>
      <c r="AC282" s="115"/>
      <c r="AD282" s="129"/>
      <c r="AE282" s="149"/>
      <c r="AF282" s="129"/>
      <c r="AG282" s="129"/>
      <c r="AH282" s="129"/>
    </row>
    <row r="283" spans="3:34" x14ac:dyDescent="0.35">
      <c r="C283" s="129"/>
      <c r="D283" s="129"/>
      <c r="E283" s="129"/>
      <c r="F283" s="129"/>
      <c r="G283" s="129"/>
      <c r="H283" s="129"/>
      <c r="I283" s="129"/>
      <c r="J283" s="129"/>
      <c r="K283" s="110"/>
      <c r="L283" s="129"/>
      <c r="M283" t="s">
        <v>351</v>
      </c>
      <c r="N283" s="129"/>
      <c r="O283" s="129"/>
      <c r="P283" s="129"/>
      <c r="Q283" s="129"/>
      <c r="R283" s="129"/>
      <c r="S283" s="129"/>
      <c r="T283" s="129"/>
      <c r="U283" s="129"/>
      <c r="V283" s="141"/>
      <c r="W283" s="139"/>
      <c r="X283" s="129"/>
      <c r="Y283" s="129"/>
      <c r="Z283" s="129"/>
      <c r="AA283" s="129"/>
      <c r="AB283" s="129"/>
      <c r="AC283" s="115"/>
      <c r="AD283" s="129"/>
      <c r="AE283" s="149"/>
      <c r="AF283" s="129"/>
      <c r="AG283" s="129"/>
      <c r="AH283" s="129"/>
    </row>
    <row r="284" spans="3:34" x14ac:dyDescent="0.35">
      <c r="C284" s="129"/>
      <c r="D284" s="129"/>
      <c r="E284" s="129"/>
      <c r="F284" s="129"/>
      <c r="G284" s="129"/>
      <c r="H284" s="129"/>
      <c r="I284" s="129"/>
      <c r="J284" s="129"/>
      <c r="K284" s="110"/>
      <c r="L284" s="129"/>
      <c r="M284" t="s">
        <v>351</v>
      </c>
      <c r="N284" s="129"/>
      <c r="O284" s="129"/>
      <c r="P284" s="129"/>
      <c r="Q284" s="129"/>
      <c r="R284" s="129"/>
      <c r="S284" s="129"/>
      <c r="T284" s="129"/>
      <c r="U284" s="129"/>
      <c r="V284" s="141"/>
      <c r="W284" s="139"/>
      <c r="X284" s="129"/>
      <c r="Y284" s="129"/>
      <c r="Z284" s="129"/>
      <c r="AA284" s="129"/>
      <c r="AB284" s="129"/>
      <c r="AC284" s="115"/>
      <c r="AD284" s="129"/>
      <c r="AE284" s="149"/>
      <c r="AF284" s="129"/>
      <c r="AG284" s="129"/>
      <c r="AH284" s="129"/>
    </row>
    <row r="285" spans="3:34" x14ac:dyDescent="0.35">
      <c r="C285" s="129"/>
      <c r="D285" s="129"/>
      <c r="E285" s="129"/>
      <c r="F285" s="129"/>
      <c r="G285" s="129"/>
      <c r="H285" s="129"/>
      <c r="I285" s="129"/>
      <c r="J285" s="129"/>
      <c r="K285" s="110"/>
      <c r="L285" s="129"/>
      <c r="M285" t="s">
        <v>351</v>
      </c>
      <c r="N285" s="129"/>
      <c r="O285" s="129"/>
      <c r="P285" s="129"/>
      <c r="Q285" s="129"/>
      <c r="R285" s="129"/>
      <c r="S285" s="129"/>
      <c r="T285" s="129"/>
      <c r="U285" s="129"/>
      <c r="V285" s="141"/>
      <c r="W285" s="139"/>
      <c r="X285" s="129"/>
      <c r="Y285" s="129"/>
      <c r="Z285" s="129"/>
      <c r="AA285" s="129"/>
      <c r="AB285" s="129"/>
      <c r="AC285" s="115"/>
      <c r="AD285" s="129"/>
      <c r="AE285" s="149"/>
      <c r="AF285" s="129"/>
      <c r="AG285" s="129"/>
      <c r="AH285" s="129"/>
    </row>
    <row r="286" spans="3:34" x14ac:dyDescent="0.35">
      <c r="C286" s="129"/>
      <c r="D286" s="129"/>
      <c r="E286" s="129"/>
      <c r="F286" s="129"/>
      <c r="G286" s="129"/>
      <c r="H286" s="129"/>
      <c r="I286" s="129"/>
      <c r="J286" s="129"/>
      <c r="K286" s="110"/>
      <c r="L286" s="129"/>
      <c r="M286" t="s">
        <v>351</v>
      </c>
      <c r="N286" s="129"/>
      <c r="O286" s="129"/>
      <c r="P286" s="129"/>
      <c r="Q286" s="129"/>
      <c r="R286" s="129"/>
      <c r="S286" s="129"/>
      <c r="T286" s="129"/>
      <c r="U286" s="129"/>
      <c r="V286" s="141"/>
      <c r="W286" s="139"/>
      <c r="X286" s="129"/>
      <c r="Y286" s="129"/>
      <c r="Z286" s="129"/>
      <c r="AA286" s="129"/>
      <c r="AB286" s="129"/>
      <c r="AC286" s="115"/>
      <c r="AD286" s="129"/>
      <c r="AE286" s="149"/>
      <c r="AF286" s="129"/>
      <c r="AG286" s="129"/>
      <c r="AH286" s="129"/>
    </row>
    <row r="287" spans="3:34" x14ac:dyDescent="0.35">
      <c r="C287" s="129"/>
      <c r="D287" s="129"/>
      <c r="E287" s="129"/>
      <c r="F287" s="129"/>
      <c r="G287" s="129"/>
      <c r="H287" s="129"/>
      <c r="I287" s="129"/>
      <c r="J287" s="129"/>
      <c r="K287" s="110"/>
      <c r="L287" s="129"/>
      <c r="M287" t="s">
        <v>351</v>
      </c>
      <c r="N287" s="129"/>
      <c r="O287" s="129"/>
      <c r="P287" s="129"/>
      <c r="Q287" s="129"/>
      <c r="R287" s="129"/>
      <c r="S287" s="129"/>
      <c r="T287" s="129"/>
      <c r="U287" s="129"/>
      <c r="V287" s="141"/>
      <c r="W287" s="139"/>
      <c r="X287" s="129"/>
      <c r="Y287" s="129"/>
      <c r="Z287" s="129"/>
      <c r="AA287" s="129"/>
      <c r="AB287" s="129"/>
      <c r="AC287" s="115"/>
      <c r="AD287" s="129"/>
      <c r="AE287" s="149"/>
      <c r="AF287" s="129"/>
      <c r="AG287" s="129"/>
      <c r="AH287" s="129"/>
    </row>
    <row r="288" spans="3:34" x14ac:dyDescent="0.35">
      <c r="C288" s="129"/>
      <c r="D288" s="129"/>
      <c r="E288" s="129"/>
      <c r="F288" s="129"/>
      <c r="G288" s="129"/>
      <c r="H288" s="129"/>
      <c r="I288" s="129"/>
      <c r="J288" s="129"/>
      <c r="K288" s="110"/>
      <c r="L288" s="129"/>
      <c r="M288" t="s">
        <v>351</v>
      </c>
      <c r="N288" s="129"/>
      <c r="O288" s="129"/>
      <c r="P288" s="129"/>
      <c r="Q288" s="129"/>
      <c r="R288" s="129"/>
      <c r="S288" s="129"/>
      <c r="T288" s="129"/>
      <c r="U288" s="129"/>
      <c r="V288" s="141"/>
      <c r="W288" s="139"/>
      <c r="X288" s="129"/>
      <c r="Y288" s="129"/>
      <c r="Z288" s="129"/>
      <c r="AA288" s="129"/>
      <c r="AB288" s="129"/>
      <c r="AC288" s="115"/>
      <c r="AD288" s="129"/>
      <c r="AE288" s="149"/>
      <c r="AF288" s="129"/>
      <c r="AG288" s="129"/>
      <c r="AH288" s="129"/>
    </row>
    <row r="289" spans="3:34" x14ac:dyDescent="0.35">
      <c r="C289" s="129"/>
      <c r="D289" s="129"/>
      <c r="E289" s="129"/>
      <c r="F289" s="129"/>
      <c r="G289" s="129"/>
      <c r="H289" s="129"/>
      <c r="I289" s="129"/>
      <c r="J289" s="129"/>
      <c r="K289" s="110"/>
      <c r="L289" s="129"/>
      <c r="M289" t="s">
        <v>351</v>
      </c>
      <c r="N289" s="129"/>
      <c r="O289" s="129"/>
      <c r="P289" s="129"/>
      <c r="Q289" s="129"/>
      <c r="R289" s="129"/>
      <c r="S289" s="129"/>
      <c r="T289" s="129"/>
      <c r="U289" s="129"/>
      <c r="V289" s="141"/>
      <c r="W289" s="139"/>
      <c r="X289" s="129"/>
      <c r="Y289" s="129"/>
      <c r="Z289" s="129"/>
      <c r="AA289" s="129"/>
      <c r="AB289" s="129"/>
      <c r="AC289" s="115"/>
      <c r="AD289" s="129"/>
      <c r="AE289" s="149"/>
      <c r="AF289" s="129"/>
      <c r="AG289" s="129"/>
      <c r="AH289" s="129"/>
    </row>
    <row r="290" spans="3:34" x14ac:dyDescent="0.35">
      <c r="C290" s="129"/>
      <c r="D290" s="129"/>
      <c r="E290" s="129"/>
      <c r="F290" s="129"/>
      <c r="G290" s="129"/>
      <c r="H290" s="129"/>
      <c r="I290" s="129"/>
      <c r="J290" s="129"/>
      <c r="K290" s="110"/>
      <c r="L290" s="129"/>
      <c r="M290" t="s">
        <v>351</v>
      </c>
      <c r="N290" s="129"/>
      <c r="O290" s="129"/>
      <c r="P290" s="129"/>
      <c r="Q290" s="129"/>
      <c r="R290" s="129"/>
      <c r="S290" s="129"/>
      <c r="T290" s="129"/>
      <c r="U290" s="129"/>
      <c r="V290" s="141"/>
      <c r="W290" s="139"/>
      <c r="X290" s="129"/>
      <c r="Y290" s="129"/>
      <c r="Z290" s="129"/>
      <c r="AA290" s="129"/>
      <c r="AB290" s="129"/>
      <c r="AC290" s="115"/>
      <c r="AD290" s="129"/>
      <c r="AE290" s="149"/>
      <c r="AF290" s="129"/>
      <c r="AG290" s="129"/>
      <c r="AH290" s="129"/>
    </row>
    <row r="291" spans="3:34" x14ac:dyDescent="0.35">
      <c r="C291" s="129"/>
      <c r="D291" s="129"/>
      <c r="E291" s="129"/>
      <c r="F291" s="129"/>
      <c r="G291" s="129"/>
      <c r="H291" s="129"/>
      <c r="I291" s="129"/>
      <c r="J291" s="129"/>
      <c r="K291" s="110"/>
      <c r="L291" s="129"/>
      <c r="M291" t="s">
        <v>351</v>
      </c>
      <c r="N291" s="129"/>
      <c r="O291" s="129"/>
      <c r="P291" s="129"/>
      <c r="Q291" s="129"/>
      <c r="R291" s="129"/>
      <c r="S291" s="129"/>
      <c r="T291" s="129"/>
      <c r="U291" s="129"/>
      <c r="V291" s="141"/>
      <c r="W291" s="139"/>
      <c r="X291" s="129"/>
      <c r="Y291" s="129"/>
      <c r="Z291" s="129"/>
      <c r="AA291" s="129"/>
      <c r="AB291" s="129"/>
      <c r="AC291" s="115"/>
      <c r="AD291" s="129"/>
      <c r="AE291" s="149"/>
      <c r="AF291" s="129"/>
      <c r="AG291" s="129"/>
      <c r="AH291" s="129"/>
    </row>
    <row r="292" spans="3:34" x14ac:dyDescent="0.35">
      <c r="C292" s="129"/>
      <c r="D292" s="129"/>
      <c r="E292" s="129"/>
      <c r="F292" s="129"/>
      <c r="G292" s="129"/>
      <c r="H292" s="129"/>
      <c r="I292" s="129"/>
      <c r="J292" s="129"/>
      <c r="K292" s="110"/>
      <c r="L292" s="129"/>
      <c r="M292" t="s">
        <v>351</v>
      </c>
      <c r="N292" s="129"/>
      <c r="O292" s="129"/>
      <c r="P292" s="129"/>
      <c r="Q292" s="129"/>
      <c r="R292" s="129"/>
      <c r="S292" s="129"/>
      <c r="T292" s="129"/>
      <c r="U292" s="129"/>
      <c r="V292" s="141"/>
      <c r="W292" s="139"/>
      <c r="X292" s="129"/>
      <c r="Y292" s="129"/>
      <c r="Z292" s="129"/>
      <c r="AA292" s="129"/>
      <c r="AB292" s="129"/>
      <c r="AC292" s="115"/>
      <c r="AD292" s="129"/>
      <c r="AE292" s="149"/>
      <c r="AF292" s="129"/>
      <c r="AG292" s="129"/>
      <c r="AH292" s="129"/>
    </row>
    <row r="293" spans="3:34" x14ac:dyDescent="0.35">
      <c r="C293" s="129"/>
      <c r="D293" s="129"/>
      <c r="E293" s="129"/>
      <c r="F293" s="129"/>
      <c r="G293" s="129"/>
      <c r="H293" s="129"/>
      <c r="I293" s="129"/>
      <c r="J293" s="129"/>
      <c r="K293" s="110"/>
      <c r="L293" s="129"/>
      <c r="M293" t="s">
        <v>351</v>
      </c>
      <c r="N293" s="129"/>
      <c r="O293" s="129"/>
      <c r="P293" s="129"/>
      <c r="Q293" s="129"/>
      <c r="R293" s="129"/>
      <c r="S293" s="129"/>
      <c r="T293" s="129"/>
      <c r="U293" s="129"/>
      <c r="V293" s="141"/>
      <c r="W293" s="139"/>
      <c r="X293" s="129"/>
      <c r="Y293" s="129"/>
      <c r="Z293" s="129"/>
      <c r="AA293" s="129"/>
      <c r="AB293" s="129"/>
      <c r="AC293" s="115"/>
      <c r="AD293" s="129"/>
      <c r="AE293" s="149"/>
      <c r="AF293" s="129"/>
      <c r="AG293" s="129"/>
      <c r="AH293" s="129"/>
    </row>
    <row r="294" spans="3:34" x14ac:dyDescent="0.35">
      <c r="C294" s="129"/>
      <c r="D294" s="129"/>
      <c r="E294" s="129"/>
      <c r="F294" s="129"/>
      <c r="G294" s="129"/>
      <c r="H294" s="129"/>
      <c r="I294" s="129"/>
      <c r="J294" s="129"/>
      <c r="K294" s="110"/>
      <c r="L294" s="129"/>
      <c r="M294" t="s">
        <v>351</v>
      </c>
      <c r="N294" s="129"/>
      <c r="O294" s="129"/>
      <c r="P294" s="129"/>
      <c r="Q294" s="129"/>
      <c r="R294" s="129"/>
      <c r="S294" s="129"/>
      <c r="T294" s="129"/>
      <c r="U294" s="129"/>
      <c r="V294" s="141"/>
      <c r="W294" s="139"/>
      <c r="X294" s="129"/>
      <c r="Y294" s="129"/>
      <c r="Z294" s="129"/>
      <c r="AA294" s="129"/>
      <c r="AB294" s="129"/>
      <c r="AC294" s="115"/>
      <c r="AD294" s="129"/>
      <c r="AE294" s="149"/>
      <c r="AF294" s="129"/>
      <c r="AG294" s="129"/>
      <c r="AH294" s="129"/>
    </row>
    <row r="295" spans="3:34" x14ac:dyDescent="0.35">
      <c r="C295" s="129"/>
      <c r="D295" s="129"/>
      <c r="E295" s="129"/>
      <c r="F295" s="129"/>
      <c r="G295" s="129"/>
      <c r="H295" s="129"/>
      <c r="I295" s="129"/>
      <c r="J295" s="129"/>
      <c r="K295" s="110"/>
      <c r="L295" s="129"/>
      <c r="M295" t="s">
        <v>351</v>
      </c>
      <c r="N295" s="129"/>
      <c r="O295" s="129"/>
      <c r="P295" s="129"/>
      <c r="Q295" s="129"/>
      <c r="R295" s="129"/>
      <c r="S295" s="129"/>
      <c r="T295" s="129"/>
      <c r="U295" s="129"/>
      <c r="V295" s="141"/>
      <c r="W295" s="139"/>
      <c r="X295" s="129"/>
      <c r="Y295" s="129"/>
      <c r="Z295" s="129"/>
      <c r="AA295" s="129"/>
      <c r="AB295" s="129"/>
      <c r="AC295" s="115"/>
      <c r="AD295" s="129"/>
      <c r="AE295" s="149"/>
      <c r="AF295" s="129"/>
      <c r="AG295" s="129"/>
      <c r="AH295" s="129"/>
    </row>
    <row r="296" spans="3:34" x14ac:dyDescent="0.35">
      <c r="C296" s="129"/>
      <c r="D296" s="129"/>
      <c r="E296" s="129"/>
      <c r="F296" s="129"/>
      <c r="G296" s="129"/>
      <c r="H296" s="129"/>
      <c r="I296" s="129"/>
      <c r="J296" s="129"/>
      <c r="K296" s="110"/>
      <c r="L296" s="129"/>
      <c r="M296" t="s">
        <v>351</v>
      </c>
      <c r="N296" s="129"/>
      <c r="O296" s="129"/>
      <c r="P296" s="129"/>
      <c r="Q296" s="129"/>
      <c r="R296" s="129"/>
      <c r="S296" s="129"/>
      <c r="T296" s="129"/>
      <c r="U296" s="129"/>
      <c r="V296" s="141"/>
      <c r="W296" s="139"/>
      <c r="X296" s="129"/>
      <c r="Y296" s="129"/>
      <c r="Z296" s="129"/>
      <c r="AA296" s="129"/>
      <c r="AB296" s="129"/>
      <c r="AC296" s="115"/>
      <c r="AD296" s="129"/>
      <c r="AE296" s="149"/>
      <c r="AF296" s="129"/>
      <c r="AG296" s="129"/>
      <c r="AH296" s="129"/>
    </row>
    <row r="297" spans="3:34" x14ac:dyDescent="0.35">
      <c r="C297" s="129"/>
      <c r="D297" s="129"/>
      <c r="E297" s="129"/>
      <c r="F297" s="129"/>
      <c r="G297" s="129"/>
      <c r="H297" s="129"/>
      <c r="I297" s="129"/>
      <c r="J297" s="129"/>
      <c r="K297" s="110"/>
      <c r="L297" s="129"/>
      <c r="M297" t="s">
        <v>351</v>
      </c>
      <c r="N297" s="129"/>
      <c r="O297" s="129"/>
      <c r="P297" s="129"/>
      <c r="Q297" s="129"/>
      <c r="R297" s="129"/>
      <c r="S297" s="129"/>
      <c r="T297" s="129"/>
      <c r="U297" s="129"/>
      <c r="V297" s="141"/>
      <c r="W297" s="139"/>
      <c r="X297" s="129"/>
      <c r="Y297" s="129"/>
      <c r="Z297" s="129"/>
      <c r="AA297" s="129"/>
      <c r="AB297" s="129"/>
      <c r="AC297" s="115"/>
      <c r="AD297" s="129"/>
      <c r="AE297" s="149"/>
      <c r="AF297" s="129"/>
      <c r="AG297" s="129"/>
      <c r="AH297" s="129"/>
    </row>
    <row r="298" spans="3:34" x14ac:dyDescent="0.35">
      <c r="C298" s="129"/>
      <c r="D298" s="129"/>
      <c r="E298" s="129"/>
      <c r="F298" s="129"/>
      <c r="G298" s="129"/>
      <c r="H298" s="129"/>
      <c r="I298" s="129"/>
      <c r="J298" s="129"/>
      <c r="K298" s="110"/>
      <c r="L298" s="129"/>
      <c r="M298" t="s">
        <v>351</v>
      </c>
      <c r="N298" s="129"/>
      <c r="O298" s="129"/>
      <c r="P298" s="129"/>
      <c r="Q298" s="129"/>
      <c r="R298" s="129"/>
      <c r="S298" s="129"/>
      <c r="T298" s="129"/>
      <c r="U298" s="129"/>
      <c r="V298" s="141"/>
      <c r="W298" s="139"/>
      <c r="X298" s="129"/>
      <c r="Y298" s="129"/>
      <c r="Z298" s="129"/>
      <c r="AA298" s="129"/>
      <c r="AB298" s="129"/>
      <c r="AC298" s="115"/>
      <c r="AD298" s="129"/>
      <c r="AE298" s="149"/>
      <c r="AF298" s="129"/>
      <c r="AG298" s="129"/>
      <c r="AH298" s="129"/>
    </row>
    <row r="299" spans="3:34" x14ac:dyDescent="0.35">
      <c r="C299" s="129"/>
      <c r="D299" s="129"/>
      <c r="E299" s="129"/>
      <c r="F299" s="129"/>
      <c r="G299" s="129"/>
      <c r="H299" s="129"/>
      <c r="I299" s="129"/>
      <c r="J299" s="129"/>
      <c r="K299" s="110"/>
      <c r="L299" s="129"/>
      <c r="M299" t="s">
        <v>351</v>
      </c>
      <c r="N299" s="129"/>
      <c r="O299" s="129"/>
      <c r="P299" s="129"/>
      <c r="Q299" s="129"/>
      <c r="R299" s="129"/>
      <c r="S299" s="129"/>
      <c r="T299" s="129"/>
      <c r="U299" s="129"/>
      <c r="V299" s="141"/>
      <c r="W299" s="139"/>
      <c r="X299" s="129"/>
      <c r="Y299" s="129"/>
      <c r="Z299" s="129"/>
      <c r="AA299" s="129"/>
      <c r="AB299" s="129"/>
      <c r="AC299" s="115"/>
      <c r="AD299" s="129"/>
      <c r="AE299" s="149"/>
      <c r="AF299" s="129"/>
      <c r="AG299" s="129"/>
      <c r="AH299" s="129"/>
    </row>
    <row r="300" spans="3:34" x14ac:dyDescent="0.35">
      <c r="C300" s="129"/>
      <c r="D300" s="129"/>
      <c r="E300" s="129"/>
      <c r="F300" s="129"/>
      <c r="G300" s="129"/>
      <c r="H300" s="129"/>
      <c r="I300" s="129"/>
      <c r="J300" s="129"/>
      <c r="K300" s="110"/>
      <c r="L300" s="129"/>
      <c r="M300" t="s">
        <v>351</v>
      </c>
      <c r="N300" s="129"/>
      <c r="O300" s="129"/>
      <c r="P300" s="129"/>
      <c r="Q300" s="129"/>
      <c r="R300" s="129"/>
      <c r="S300" s="129"/>
      <c r="T300" s="129"/>
      <c r="U300" s="129"/>
      <c r="V300" s="141"/>
      <c r="W300" s="139"/>
      <c r="X300" s="129"/>
      <c r="Y300" s="129"/>
      <c r="Z300" s="129"/>
      <c r="AA300" s="129"/>
      <c r="AB300" s="129"/>
      <c r="AC300" s="115"/>
      <c r="AD300" s="129"/>
      <c r="AE300" s="149"/>
      <c r="AF300" s="129"/>
      <c r="AG300" s="129"/>
      <c r="AH300" s="129"/>
    </row>
    <row r="301" spans="3:34" x14ac:dyDescent="0.35">
      <c r="C301" s="129"/>
      <c r="D301" s="129"/>
      <c r="E301" s="129"/>
      <c r="F301" s="129"/>
      <c r="G301" s="129"/>
      <c r="H301" s="129"/>
      <c r="I301" s="129"/>
      <c r="J301" s="129"/>
      <c r="K301" s="110"/>
      <c r="L301" s="129"/>
      <c r="M301" t="s">
        <v>351</v>
      </c>
      <c r="N301" s="129"/>
      <c r="O301" s="129"/>
      <c r="P301" s="129"/>
      <c r="Q301" s="129"/>
      <c r="R301" s="129"/>
      <c r="S301" s="129"/>
      <c r="T301" s="129"/>
      <c r="U301" s="129"/>
      <c r="V301" s="141"/>
      <c r="W301" s="139"/>
      <c r="X301" s="129"/>
      <c r="Y301" s="129"/>
      <c r="Z301" s="129"/>
      <c r="AA301" s="129"/>
      <c r="AB301" s="129"/>
      <c r="AC301" s="115"/>
      <c r="AD301" s="129"/>
      <c r="AE301" s="149"/>
      <c r="AF301" s="129"/>
      <c r="AG301" s="129"/>
      <c r="AH301" s="129"/>
    </row>
    <row r="302" spans="3:34" x14ac:dyDescent="0.35">
      <c r="C302" s="129"/>
      <c r="D302" s="129"/>
      <c r="E302" s="129"/>
      <c r="F302" s="129"/>
      <c r="G302" s="129"/>
      <c r="H302" s="129"/>
      <c r="I302" s="129"/>
      <c r="J302" s="129"/>
      <c r="K302" s="110"/>
      <c r="L302" s="129"/>
      <c r="M302" t="s">
        <v>351</v>
      </c>
      <c r="N302" s="129"/>
      <c r="O302" s="129"/>
      <c r="P302" s="129"/>
      <c r="Q302" s="129"/>
      <c r="R302" s="129"/>
      <c r="S302" s="129"/>
      <c r="T302" s="129"/>
      <c r="U302" s="129"/>
      <c r="V302" s="141"/>
      <c r="W302" s="139"/>
      <c r="X302" s="129"/>
      <c r="Y302" s="129"/>
      <c r="Z302" s="129"/>
      <c r="AA302" s="129"/>
      <c r="AB302" s="129"/>
      <c r="AC302" s="115"/>
      <c r="AD302" s="129"/>
      <c r="AE302" s="149"/>
      <c r="AF302" s="129"/>
      <c r="AG302" s="129"/>
      <c r="AH302" s="129"/>
    </row>
    <row r="303" spans="3:34" x14ac:dyDescent="0.35">
      <c r="C303" s="129"/>
      <c r="D303" s="129"/>
      <c r="E303" s="129"/>
      <c r="F303" s="129"/>
      <c r="G303" s="129"/>
      <c r="H303" s="129"/>
      <c r="I303" s="129"/>
      <c r="J303" s="129"/>
      <c r="K303" s="110"/>
      <c r="L303" s="129"/>
      <c r="M303" t="s">
        <v>351</v>
      </c>
      <c r="N303" s="129"/>
      <c r="O303" s="129"/>
      <c r="P303" s="129"/>
      <c r="Q303" s="129"/>
      <c r="R303" s="129"/>
      <c r="S303" s="129"/>
      <c r="T303" s="129"/>
      <c r="U303" s="129"/>
      <c r="V303" s="141"/>
      <c r="W303" s="139"/>
      <c r="X303" s="129"/>
      <c r="Y303" s="129"/>
      <c r="Z303" s="129"/>
      <c r="AA303" s="129"/>
      <c r="AB303" s="129"/>
      <c r="AC303" s="115"/>
      <c r="AD303" s="129"/>
      <c r="AE303" s="149"/>
      <c r="AF303" s="129"/>
      <c r="AG303" s="129"/>
      <c r="AH303" s="129"/>
    </row>
    <row r="304" spans="3:34" x14ac:dyDescent="0.35">
      <c r="C304" s="129"/>
      <c r="D304" s="129"/>
      <c r="E304" s="129"/>
      <c r="F304" s="129"/>
      <c r="G304" s="129"/>
      <c r="H304" s="129"/>
      <c r="I304" s="129"/>
      <c r="J304" s="129"/>
      <c r="K304" s="110"/>
      <c r="L304" s="129"/>
      <c r="M304" t="s">
        <v>351</v>
      </c>
      <c r="N304" s="129"/>
      <c r="O304" s="129"/>
      <c r="P304" s="129"/>
      <c r="Q304" s="129"/>
      <c r="R304" s="129"/>
      <c r="S304" s="129"/>
      <c r="T304" s="129"/>
      <c r="U304" s="129"/>
      <c r="V304" s="141"/>
      <c r="W304" s="139"/>
      <c r="X304" s="129"/>
      <c r="Y304" s="129"/>
      <c r="Z304" s="129"/>
      <c r="AA304" s="129"/>
      <c r="AB304" s="129"/>
      <c r="AC304" s="115"/>
      <c r="AD304" s="129"/>
      <c r="AE304" s="149"/>
      <c r="AF304" s="129"/>
      <c r="AG304" s="129"/>
      <c r="AH304" s="129"/>
    </row>
    <row r="305" spans="3:34" x14ac:dyDescent="0.35">
      <c r="C305" s="129"/>
      <c r="D305" s="129"/>
      <c r="E305" s="129"/>
      <c r="F305" s="129"/>
      <c r="G305" s="129"/>
      <c r="H305" s="129"/>
      <c r="I305" s="129"/>
      <c r="J305" s="129"/>
      <c r="K305" s="110"/>
      <c r="L305" s="129"/>
      <c r="M305" t="s">
        <v>351</v>
      </c>
      <c r="N305" s="129"/>
      <c r="O305" s="129"/>
      <c r="P305" s="129"/>
      <c r="Q305" s="129"/>
      <c r="R305" s="129"/>
      <c r="S305" s="129"/>
      <c r="T305" s="129"/>
      <c r="U305" s="129"/>
      <c r="V305" s="141"/>
      <c r="W305" s="139"/>
      <c r="X305" s="129"/>
      <c r="Y305" s="129"/>
      <c r="Z305" s="129"/>
      <c r="AA305" s="129"/>
      <c r="AB305" s="129"/>
      <c r="AC305" s="115"/>
      <c r="AD305" s="129"/>
      <c r="AE305" s="149"/>
      <c r="AF305" s="129"/>
      <c r="AG305" s="129"/>
      <c r="AH305" s="129"/>
    </row>
    <row r="306" spans="3:34" x14ac:dyDescent="0.35">
      <c r="C306" s="129"/>
      <c r="D306" s="129"/>
      <c r="E306" s="129"/>
      <c r="F306" s="129"/>
      <c r="G306" s="129"/>
      <c r="H306" s="129"/>
      <c r="I306" s="129"/>
      <c r="J306" s="129"/>
      <c r="K306" s="110"/>
      <c r="L306" s="129"/>
      <c r="M306" t="s">
        <v>351</v>
      </c>
      <c r="N306" s="129"/>
      <c r="O306" s="129"/>
      <c r="P306" s="129"/>
      <c r="Q306" s="129"/>
      <c r="R306" s="129"/>
      <c r="S306" s="129"/>
      <c r="T306" s="129"/>
      <c r="U306" s="129"/>
      <c r="V306" s="141"/>
      <c r="W306" s="139"/>
      <c r="X306" s="129"/>
      <c r="Y306" s="129"/>
      <c r="Z306" s="129"/>
      <c r="AA306" s="129"/>
      <c r="AB306" s="129"/>
      <c r="AC306" s="115"/>
      <c r="AD306" s="129"/>
      <c r="AE306" s="149"/>
      <c r="AF306" s="129"/>
      <c r="AG306" s="129"/>
      <c r="AH306" s="129"/>
    </row>
    <row r="307" spans="3:34" x14ac:dyDescent="0.35">
      <c r="C307" s="129"/>
      <c r="D307" s="129"/>
      <c r="E307" s="129"/>
      <c r="F307" s="129"/>
      <c r="G307" s="129"/>
      <c r="H307" s="129"/>
      <c r="I307" s="129"/>
      <c r="J307" s="129"/>
      <c r="K307" s="110"/>
      <c r="L307" s="129"/>
      <c r="M307" t="s">
        <v>351</v>
      </c>
      <c r="N307" s="129"/>
      <c r="O307" s="129"/>
      <c r="P307" s="129"/>
      <c r="Q307" s="129"/>
      <c r="R307" s="129"/>
      <c r="S307" s="129"/>
      <c r="T307" s="129"/>
      <c r="U307" s="129"/>
      <c r="V307" s="141"/>
      <c r="W307" s="139"/>
      <c r="X307" s="129"/>
      <c r="Y307" s="129"/>
      <c r="Z307" s="129"/>
      <c r="AA307" s="129"/>
      <c r="AB307" s="129"/>
      <c r="AC307" s="115"/>
      <c r="AD307" s="129"/>
      <c r="AE307" s="149"/>
      <c r="AF307" s="129"/>
      <c r="AG307" s="129"/>
      <c r="AH307" s="129"/>
    </row>
    <row r="308" spans="3:34" x14ac:dyDescent="0.35">
      <c r="C308" s="129"/>
      <c r="D308" s="129"/>
      <c r="E308" s="129"/>
      <c r="F308" s="129"/>
      <c r="G308" s="129"/>
      <c r="H308" s="129"/>
      <c r="I308" s="129"/>
      <c r="J308" s="129"/>
      <c r="K308" s="110"/>
      <c r="L308" s="129"/>
      <c r="M308" t="s">
        <v>351</v>
      </c>
      <c r="N308" s="129"/>
      <c r="O308" s="129"/>
      <c r="P308" s="129"/>
      <c r="Q308" s="129"/>
      <c r="R308" s="129"/>
      <c r="S308" s="129"/>
      <c r="T308" s="129"/>
      <c r="U308" s="129"/>
      <c r="V308" s="141"/>
      <c r="W308" s="139"/>
      <c r="X308" s="129"/>
      <c r="Y308" s="129"/>
      <c r="Z308" s="129"/>
      <c r="AA308" s="129"/>
      <c r="AB308" s="129"/>
      <c r="AC308" s="115"/>
      <c r="AD308" s="129"/>
      <c r="AE308" s="149"/>
      <c r="AF308" s="129"/>
      <c r="AG308" s="129"/>
      <c r="AH308" s="129"/>
    </row>
    <row r="309" spans="3:34" x14ac:dyDescent="0.35">
      <c r="C309" s="129"/>
      <c r="D309" s="129"/>
      <c r="E309" s="129"/>
      <c r="F309" s="129"/>
      <c r="G309" s="129"/>
      <c r="H309" s="129"/>
      <c r="I309" s="129"/>
      <c r="J309" s="129"/>
      <c r="K309" s="110"/>
      <c r="L309" s="129"/>
      <c r="M309" t="s">
        <v>351</v>
      </c>
      <c r="N309" s="129"/>
      <c r="O309" s="129"/>
      <c r="P309" s="129"/>
      <c r="Q309" s="129"/>
      <c r="R309" s="129"/>
      <c r="S309" s="129"/>
      <c r="T309" s="129"/>
      <c r="U309" s="129"/>
      <c r="V309" s="141"/>
      <c r="W309" s="139"/>
      <c r="X309" s="129"/>
      <c r="Y309" s="129"/>
      <c r="Z309" s="129"/>
      <c r="AA309" s="129"/>
      <c r="AB309" s="129"/>
      <c r="AC309" s="115"/>
      <c r="AD309" s="129"/>
      <c r="AE309" s="149"/>
      <c r="AF309" s="129"/>
      <c r="AG309" s="129"/>
      <c r="AH309" s="129"/>
    </row>
    <row r="310" spans="3:34" x14ac:dyDescent="0.35">
      <c r="C310" s="129"/>
      <c r="D310" s="129"/>
      <c r="E310" s="129"/>
      <c r="F310" s="129"/>
      <c r="G310" s="129"/>
      <c r="H310" s="129"/>
      <c r="I310" s="129"/>
      <c r="J310" s="129"/>
      <c r="K310" s="110"/>
      <c r="L310" s="129"/>
      <c r="M310" t="s">
        <v>351</v>
      </c>
      <c r="N310" s="129"/>
      <c r="O310" s="129"/>
      <c r="P310" s="129"/>
      <c r="Q310" s="129"/>
      <c r="R310" s="129"/>
      <c r="S310" s="129"/>
      <c r="T310" s="129"/>
      <c r="U310" s="129"/>
      <c r="V310" s="141"/>
      <c r="W310" s="139"/>
      <c r="X310" s="129"/>
      <c r="Y310" s="129"/>
      <c r="Z310" s="129"/>
      <c r="AA310" s="129"/>
      <c r="AB310" s="129"/>
      <c r="AC310" s="115"/>
      <c r="AD310" s="129"/>
      <c r="AE310" s="149"/>
      <c r="AF310" s="129"/>
      <c r="AG310" s="129"/>
      <c r="AH310" s="129"/>
    </row>
    <row r="311" spans="3:34" x14ac:dyDescent="0.35">
      <c r="C311" s="129"/>
      <c r="D311" s="129"/>
      <c r="E311" s="129"/>
      <c r="F311" s="129"/>
      <c r="G311" s="129"/>
      <c r="H311" s="129"/>
      <c r="I311" s="129"/>
      <c r="J311" s="129"/>
      <c r="K311" s="110"/>
      <c r="L311" s="129"/>
      <c r="M311" t="s">
        <v>351</v>
      </c>
      <c r="N311" s="129"/>
      <c r="O311" s="129"/>
      <c r="P311" s="129"/>
      <c r="Q311" s="129"/>
      <c r="R311" s="129"/>
      <c r="S311" s="129"/>
      <c r="T311" s="129"/>
      <c r="U311" s="129"/>
      <c r="V311" s="141"/>
      <c r="W311" s="139"/>
      <c r="X311" s="129"/>
      <c r="Y311" s="129"/>
      <c r="Z311" s="129"/>
      <c r="AA311" s="129"/>
      <c r="AB311" s="129"/>
      <c r="AC311" s="115"/>
      <c r="AD311" s="129"/>
      <c r="AE311" s="149"/>
      <c r="AF311" s="129"/>
      <c r="AG311" s="129"/>
      <c r="AH311" s="129"/>
    </row>
    <row r="312" spans="3:34" x14ac:dyDescent="0.35">
      <c r="C312" s="129"/>
      <c r="D312" s="129"/>
      <c r="E312" s="129"/>
      <c r="F312" s="129"/>
      <c r="G312" s="129"/>
      <c r="H312" s="129"/>
      <c r="I312" s="129"/>
      <c r="J312" s="129"/>
      <c r="K312" s="110"/>
      <c r="L312" s="129"/>
      <c r="M312" t="s">
        <v>351</v>
      </c>
      <c r="N312" s="129"/>
      <c r="O312" s="129"/>
      <c r="P312" s="129"/>
      <c r="Q312" s="129"/>
      <c r="R312" s="129"/>
      <c r="S312" s="129"/>
      <c r="T312" s="129"/>
      <c r="U312" s="129"/>
      <c r="V312" s="141"/>
      <c r="W312" s="139"/>
      <c r="X312" s="129"/>
      <c r="Y312" s="129"/>
      <c r="Z312" s="129"/>
      <c r="AA312" s="129"/>
      <c r="AB312" s="129"/>
      <c r="AC312" s="115"/>
      <c r="AD312" s="129"/>
      <c r="AE312" s="149"/>
      <c r="AF312" s="129"/>
      <c r="AG312" s="129"/>
      <c r="AH312" s="129"/>
    </row>
    <row r="313" spans="3:34" x14ac:dyDescent="0.35">
      <c r="C313" s="129"/>
      <c r="D313" s="129"/>
      <c r="E313" s="129"/>
      <c r="F313" s="129"/>
      <c r="G313" s="129"/>
      <c r="H313" s="129"/>
      <c r="I313" s="129"/>
      <c r="J313" s="129"/>
      <c r="K313" s="110"/>
      <c r="L313" s="129"/>
      <c r="M313" t="s">
        <v>351</v>
      </c>
      <c r="N313" s="129"/>
      <c r="O313" s="129"/>
      <c r="P313" s="129"/>
      <c r="Q313" s="129"/>
      <c r="R313" s="129"/>
      <c r="S313" s="129"/>
      <c r="T313" s="129"/>
      <c r="U313" s="129"/>
      <c r="V313" s="141"/>
      <c r="W313" s="139"/>
      <c r="X313" s="129"/>
      <c r="Y313" s="129"/>
      <c r="Z313" s="129"/>
      <c r="AA313" s="129"/>
      <c r="AB313" s="129"/>
      <c r="AC313" s="115"/>
      <c r="AD313" s="129"/>
      <c r="AE313" s="149"/>
      <c r="AF313" s="129"/>
      <c r="AG313" s="129"/>
      <c r="AH313" s="129"/>
    </row>
    <row r="314" spans="3:34" x14ac:dyDescent="0.35">
      <c r="C314" s="129"/>
      <c r="D314" s="129"/>
      <c r="E314" s="129"/>
      <c r="F314" s="129"/>
      <c r="G314" s="129"/>
      <c r="H314" s="129"/>
      <c r="I314" s="129"/>
      <c r="J314" s="129"/>
      <c r="K314" s="110"/>
      <c r="L314" s="129"/>
      <c r="M314" t="s">
        <v>351</v>
      </c>
      <c r="N314" s="129"/>
      <c r="O314" s="129"/>
      <c r="P314" s="129"/>
      <c r="Q314" s="129"/>
      <c r="R314" s="129"/>
      <c r="S314" s="129"/>
      <c r="T314" s="129"/>
      <c r="U314" s="129"/>
      <c r="V314" s="141"/>
      <c r="W314" s="139"/>
      <c r="X314" s="129"/>
      <c r="Y314" s="129"/>
      <c r="Z314" s="129"/>
      <c r="AA314" s="129"/>
      <c r="AB314" s="129"/>
      <c r="AC314" s="115"/>
      <c r="AD314" s="129"/>
      <c r="AE314" s="149"/>
      <c r="AF314" s="129"/>
      <c r="AG314" s="129"/>
      <c r="AH314" s="129"/>
    </row>
    <row r="315" spans="3:34" x14ac:dyDescent="0.35">
      <c r="C315" s="129"/>
      <c r="D315" s="129"/>
      <c r="E315" s="129"/>
      <c r="F315" s="129"/>
      <c r="G315" s="129"/>
      <c r="H315" s="129"/>
      <c r="I315" s="129"/>
      <c r="J315" s="129"/>
      <c r="K315" s="110"/>
      <c r="L315" s="129"/>
      <c r="M315" t="s">
        <v>351</v>
      </c>
      <c r="N315" s="129"/>
      <c r="O315" s="129"/>
      <c r="P315" s="129"/>
      <c r="Q315" s="129"/>
      <c r="R315" s="129"/>
      <c r="S315" s="129"/>
      <c r="T315" s="129"/>
      <c r="U315" s="129"/>
      <c r="V315" s="141"/>
      <c r="W315" s="139"/>
      <c r="X315" s="129"/>
      <c r="Y315" s="129"/>
      <c r="Z315" s="129"/>
      <c r="AA315" s="129"/>
      <c r="AB315" s="129"/>
      <c r="AC315" s="115"/>
      <c r="AD315" s="129"/>
      <c r="AE315" s="149"/>
      <c r="AF315" s="129"/>
      <c r="AG315" s="129"/>
      <c r="AH315" s="129"/>
    </row>
    <row r="316" spans="3:34" x14ac:dyDescent="0.35">
      <c r="C316" s="129"/>
      <c r="D316" s="129"/>
      <c r="E316" s="129"/>
      <c r="F316" s="129"/>
      <c r="G316" s="129"/>
      <c r="H316" s="129"/>
      <c r="I316" s="129"/>
      <c r="J316" s="129"/>
      <c r="K316" s="110"/>
      <c r="L316" s="129"/>
      <c r="M316" t="s">
        <v>351</v>
      </c>
      <c r="N316" s="129"/>
      <c r="O316" s="129"/>
      <c r="P316" s="129"/>
      <c r="Q316" s="129"/>
      <c r="R316" s="129"/>
      <c r="S316" s="129"/>
      <c r="T316" s="129"/>
      <c r="U316" s="129"/>
      <c r="V316" s="141"/>
      <c r="W316" s="139"/>
      <c r="X316" s="129"/>
      <c r="Y316" s="129"/>
      <c r="Z316" s="129"/>
      <c r="AA316" s="129"/>
      <c r="AB316" s="129"/>
      <c r="AC316" s="115"/>
      <c r="AD316" s="129"/>
      <c r="AE316" s="149"/>
      <c r="AF316" s="129"/>
      <c r="AG316" s="129"/>
      <c r="AH316" s="129"/>
    </row>
    <row r="317" spans="3:34" x14ac:dyDescent="0.35">
      <c r="C317" s="129"/>
      <c r="D317" s="129"/>
      <c r="E317" s="129"/>
      <c r="F317" s="129"/>
      <c r="G317" s="129"/>
      <c r="H317" s="129"/>
      <c r="I317" s="129"/>
      <c r="J317" s="129"/>
      <c r="K317" s="110"/>
      <c r="L317" s="129"/>
      <c r="M317" t="s">
        <v>351</v>
      </c>
      <c r="N317" s="129"/>
      <c r="O317" s="129"/>
      <c r="P317" s="129"/>
      <c r="Q317" s="129"/>
      <c r="R317" s="129"/>
      <c r="S317" s="129"/>
      <c r="T317" s="129"/>
      <c r="U317" s="129"/>
      <c r="V317" s="141"/>
      <c r="W317" s="139"/>
      <c r="X317" s="129"/>
      <c r="Y317" s="129"/>
      <c r="Z317" s="129"/>
      <c r="AA317" s="129"/>
      <c r="AB317" s="129"/>
      <c r="AC317" s="115"/>
      <c r="AD317" s="129"/>
      <c r="AE317" s="149"/>
      <c r="AF317" s="129"/>
      <c r="AG317" s="129"/>
      <c r="AH317" s="129"/>
    </row>
    <row r="318" spans="3:34" x14ac:dyDescent="0.35">
      <c r="C318" s="129"/>
      <c r="D318" s="129"/>
      <c r="E318" s="129"/>
      <c r="F318" s="129"/>
      <c r="G318" s="129"/>
      <c r="H318" s="129"/>
      <c r="I318" s="129"/>
      <c r="J318" s="129"/>
      <c r="K318" s="110"/>
      <c r="L318" s="129"/>
      <c r="M318" t="s">
        <v>351</v>
      </c>
      <c r="N318" s="129"/>
      <c r="O318" s="129"/>
      <c r="P318" s="129"/>
      <c r="Q318" s="129"/>
      <c r="R318" s="129"/>
      <c r="S318" s="129"/>
      <c r="T318" s="129"/>
      <c r="U318" s="129"/>
      <c r="V318" s="141"/>
      <c r="W318" s="139"/>
      <c r="X318" s="129"/>
      <c r="Y318" s="129"/>
      <c r="Z318" s="129"/>
      <c r="AA318" s="129"/>
      <c r="AB318" s="129"/>
      <c r="AC318" s="115"/>
      <c r="AD318" s="129"/>
      <c r="AE318" s="149"/>
      <c r="AF318" s="129"/>
      <c r="AG318" s="129"/>
      <c r="AH318" s="129"/>
    </row>
    <row r="319" spans="3:34" x14ac:dyDescent="0.35">
      <c r="C319" s="129"/>
      <c r="D319" s="129"/>
      <c r="E319" s="129"/>
      <c r="F319" s="129"/>
      <c r="G319" s="129"/>
      <c r="H319" s="129"/>
      <c r="I319" s="129"/>
      <c r="J319" s="129"/>
      <c r="K319" s="110"/>
      <c r="L319" s="129"/>
      <c r="M319" t="s">
        <v>351</v>
      </c>
      <c r="N319" s="129"/>
      <c r="O319" s="129"/>
      <c r="P319" s="129"/>
      <c r="Q319" s="129"/>
      <c r="R319" s="129"/>
      <c r="S319" s="129"/>
      <c r="T319" s="129"/>
      <c r="U319" s="129"/>
      <c r="V319" s="141"/>
      <c r="W319" s="139"/>
      <c r="X319" s="129"/>
      <c r="Y319" s="129"/>
      <c r="Z319" s="129"/>
      <c r="AA319" s="129"/>
      <c r="AB319" s="129"/>
      <c r="AC319" s="115"/>
      <c r="AD319" s="129"/>
      <c r="AE319" s="149"/>
      <c r="AF319" s="129"/>
      <c r="AG319" s="129"/>
      <c r="AH319" s="129"/>
    </row>
    <row r="320" spans="3:34" x14ac:dyDescent="0.35">
      <c r="C320" s="129"/>
      <c r="D320" s="129"/>
      <c r="E320" s="129"/>
      <c r="F320" s="129"/>
      <c r="G320" s="129"/>
      <c r="H320" s="129"/>
      <c r="I320" s="129"/>
      <c r="J320" s="129"/>
      <c r="K320" s="110"/>
      <c r="L320" s="129"/>
      <c r="M320" t="s">
        <v>351</v>
      </c>
      <c r="N320" s="129"/>
      <c r="O320" s="129"/>
      <c r="P320" s="129"/>
      <c r="Q320" s="129"/>
      <c r="R320" s="129"/>
      <c r="S320" s="129"/>
      <c r="T320" s="129"/>
      <c r="U320" s="129"/>
      <c r="V320" s="141"/>
      <c r="W320" s="139"/>
      <c r="X320" s="129"/>
      <c r="Y320" s="129"/>
      <c r="Z320" s="129"/>
      <c r="AA320" s="129"/>
      <c r="AB320" s="129"/>
      <c r="AC320" s="115"/>
      <c r="AD320" s="129"/>
      <c r="AE320" s="149"/>
      <c r="AF320" s="129"/>
      <c r="AG320" s="129"/>
      <c r="AH320" s="129"/>
    </row>
    <row r="321" spans="3:34" x14ac:dyDescent="0.35">
      <c r="C321" s="129"/>
      <c r="D321" s="129"/>
      <c r="E321" s="129"/>
      <c r="F321" s="129"/>
      <c r="G321" s="129"/>
      <c r="H321" s="129"/>
      <c r="I321" s="129"/>
      <c r="J321" s="129"/>
      <c r="K321" s="110"/>
      <c r="L321" s="129"/>
      <c r="M321" t="s">
        <v>351</v>
      </c>
      <c r="N321" s="129"/>
      <c r="O321" s="129"/>
      <c r="P321" s="129"/>
      <c r="Q321" s="129"/>
      <c r="R321" s="129"/>
      <c r="S321" s="129"/>
      <c r="T321" s="129"/>
      <c r="U321" s="129"/>
      <c r="V321" s="141"/>
      <c r="W321" s="139"/>
      <c r="X321" s="129"/>
      <c r="Y321" s="129"/>
      <c r="Z321" s="129"/>
      <c r="AA321" s="129"/>
      <c r="AB321" s="129"/>
      <c r="AC321" s="115"/>
      <c r="AD321" s="129"/>
      <c r="AE321" s="149"/>
      <c r="AF321" s="129"/>
      <c r="AG321" s="129"/>
      <c r="AH321" s="129"/>
    </row>
    <row r="322" spans="3:34" x14ac:dyDescent="0.35">
      <c r="C322" s="129"/>
      <c r="D322" s="129"/>
      <c r="E322" s="129"/>
      <c r="F322" s="129"/>
      <c r="G322" s="129"/>
      <c r="H322" s="129"/>
      <c r="I322" s="129"/>
      <c r="J322" s="129"/>
      <c r="K322" s="110"/>
      <c r="L322" s="129"/>
      <c r="M322" t="s">
        <v>351</v>
      </c>
      <c r="N322" s="129"/>
      <c r="O322" s="129"/>
      <c r="P322" s="129"/>
      <c r="Q322" s="129"/>
      <c r="R322" s="129"/>
      <c r="S322" s="129"/>
      <c r="T322" s="129"/>
      <c r="U322" s="129"/>
      <c r="V322" s="141"/>
      <c r="W322" s="139"/>
      <c r="X322" s="129"/>
      <c r="Y322" s="129"/>
      <c r="Z322" s="129"/>
      <c r="AA322" s="129"/>
      <c r="AB322" s="129"/>
      <c r="AC322" s="115"/>
      <c r="AD322" s="129"/>
      <c r="AE322" s="149"/>
      <c r="AF322" s="129"/>
      <c r="AG322" s="129"/>
      <c r="AH322" s="129"/>
    </row>
    <row r="323" spans="3:34" x14ac:dyDescent="0.35">
      <c r="C323" s="129"/>
      <c r="D323" s="129"/>
      <c r="E323" s="129"/>
      <c r="F323" s="129"/>
      <c r="G323" s="129"/>
      <c r="H323" s="129"/>
      <c r="I323" s="129"/>
      <c r="J323" s="129"/>
      <c r="K323" s="110"/>
      <c r="L323" s="129"/>
      <c r="M323" t="s">
        <v>351</v>
      </c>
      <c r="N323" s="129"/>
      <c r="O323" s="129"/>
      <c r="P323" s="129"/>
      <c r="Q323" s="129"/>
      <c r="R323" s="129"/>
      <c r="S323" s="129"/>
      <c r="T323" s="129"/>
      <c r="U323" s="129"/>
      <c r="V323" s="141"/>
      <c r="W323" s="139"/>
      <c r="X323" s="129"/>
      <c r="Y323" s="129"/>
      <c r="Z323" s="129"/>
      <c r="AA323" s="129"/>
      <c r="AB323" s="129"/>
      <c r="AC323" s="115"/>
      <c r="AD323" s="129"/>
      <c r="AE323" s="149"/>
      <c r="AF323" s="129"/>
      <c r="AG323" s="129"/>
      <c r="AH323" s="129"/>
    </row>
    <row r="324" spans="3:34" x14ac:dyDescent="0.35">
      <c r="C324" s="129"/>
      <c r="D324" s="129"/>
      <c r="E324" s="129"/>
      <c r="F324" s="129"/>
      <c r="G324" s="129"/>
      <c r="H324" s="129"/>
      <c r="I324" s="129"/>
      <c r="J324" s="129"/>
      <c r="K324" s="110"/>
      <c r="L324" s="129"/>
      <c r="M324" t="s">
        <v>351</v>
      </c>
      <c r="N324" s="129"/>
      <c r="O324" s="129"/>
      <c r="P324" s="129"/>
      <c r="Q324" s="129"/>
      <c r="R324" s="129"/>
      <c r="S324" s="129"/>
      <c r="T324" s="129"/>
      <c r="U324" s="129"/>
      <c r="V324" s="141"/>
      <c r="W324" s="139"/>
      <c r="X324" s="129"/>
      <c r="Y324" s="129"/>
      <c r="Z324" s="129"/>
      <c r="AA324" s="129"/>
      <c r="AB324" s="129"/>
      <c r="AC324" s="115"/>
      <c r="AD324" s="129"/>
      <c r="AE324" s="149"/>
      <c r="AF324" s="129"/>
      <c r="AG324" s="129"/>
      <c r="AH324" s="129"/>
    </row>
    <row r="325" spans="3:34" x14ac:dyDescent="0.35">
      <c r="C325" s="129"/>
      <c r="D325" s="129"/>
      <c r="E325" s="129"/>
      <c r="F325" s="129"/>
      <c r="G325" s="129"/>
      <c r="H325" s="129"/>
      <c r="I325" s="129"/>
      <c r="J325" s="129"/>
      <c r="K325" s="110"/>
      <c r="L325" s="129"/>
      <c r="M325" t="s">
        <v>351</v>
      </c>
      <c r="N325" s="129"/>
      <c r="O325" s="129"/>
      <c r="P325" s="129"/>
      <c r="Q325" s="129"/>
      <c r="R325" s="129"/>
      <c r="S325" s="129"/>
      <c r="T325" s="129"/>
      <c r="U325" s="129"/>
      <c r="V325" s="141"/>
      <c r="W325" s="139"/>
      <c r="X325" s="129"/>
      <c r="Y325" s="129"/>
      <c r="Z325" s="129"/>
      <c r="AA325" s="129"/>
      <c r="AB325" s="129"/>
      <c r="AC325" s="115"/>
      <c r="AD325" s="129"/>
      <c r="AE325" s="149"/>
      <c r="AF325" s="129"/>
      <c r="AG325" s="129"/>
      <c r="AH325" s="129"/>
    </row>
    <row r="326" spans="3:34" x14ac:dyDescent="0.35">
      <c r="C326" s="129"/>
      <c r="D326" s="129"/>
      <c r="E326" s="129"/>
      <c r="F326" s="129"/>
      <c r="G326" s="129"/>
      <c r="H326" s="129"/>
      <c r="I326" s="129"/>
      <c r="J326" s="129"/>
      <c r="K326" s="110"/>
      <c r="L326" s="129"/>
      <c r="M326" t="s">
        <v>351</v>
      </c>
      <c r="N326" s="129"/>
      <c r="O326" s="129"/>
      <c r="P326" s="129"/>
      <c r="Q326" s="129"/>
      <c r="R326" s="129"/>
      <c r="S326" s="129"/>
      <c r="T326" s="129"/>
      <c r="U326" s="129"/>
      <c r="V326" s="141"/>
      <c r="W326" s="139"/>
      <c r="X326" s="129"/>
      <c r="Y326" s="129"/>
      <c r="Z326" s="129"/>
      <c r="AA326" s="129"/>
      <c r="AB326" s="129"/>
      <c r="AC326" s="115"/>
      <c r="AD326" s="129"/>
      <c r="AE326" s="149"/>
      <c r="AF326" s="129"/>
      <c r="AG326" s="129"/>
      <c r="AH326" s="129"/>
    </row>
    <row r="327" spans="3:34" x14ac:dyDescent="0.35">
      <c r="C327" s="129"/>
      <c r="D327" s="129"/>
      <c r="E327" s="129"/>
      <c r="F327" s="129"/>
      <c r="G327" s="129"/>
      <c r="H327" s="129"/>
      <c r="I327" s="129"/>
      <c r="J327" s="129"/>
      <c r="K327" s="110"/>
      <c r="L327" s="129"/>
      <c r="M327" t="s">
        <v>351</v>
      </c>
      <c r="N327" s="129"/>
      <c r="O327" s="129"/>
      <c r="P327" s="129"/>
      <c r="Q327" s="129"/>
      <c r="R327" s="129"/>
      <c r="S327" s="129"/>
      <c r="T327" s="129"/>
      <c r="U327" s="129"/>
      <c r="V327" s="141"/>
      <c r="W327" s="139"/>
      <c r="X327" s="129"/>
      <c r="Y327" s="129"/>
      <c r="Z327" s="129"/>
      <c r="AA327" s="129"/>
      <c r="AB327" s="129"/>
      <c r="AC327" s="115"/>
      <c r="AD327" s="129"/>
      <c r="AE327" s="149"/>
      <c r="AF327" s="129"/>
      <c r="AG327" s="129"/>
      <c r="AH327" s="129"/>
    </row>
    <row r="328" spans="3:34" x14ac:dyDescent="0.35">
      <c r="C328" s="129"/>
      <c r="D328" s="129"/>
      <c r="E328" s="129"/>
      <c r="F328" s="129"/>
      <c r="G328" s="129"/>
      <c r="H328" s="129"/>
      <c r="I328" s="129"/>
      <c r="J328" s="129"/>
      <c r="K328" s="110"/>
      <c r="L328" s="129"/>
      <c r="M328" t="s">
        <v>351</v>
      </c>
      <c r="N328" s="129"/>
      <c r="O328" s="129"/>
      <c r="P328" s="129"/>
      <c r="Q328" s="129"/>
      <c r="R328" s="129"/>
      <c r="S328" s="129"/>
      <c r="T328" s="129"/>
      <c r="U328" s="129"/>
      <c r="V328" s="141"/>
      <c r="W328" s="139"/>
      <c r="X328" s="129"/>
      <c r="Y328" s="129"/>
      <c r="Z328" s="129"/>
      <c r="AA328" s="129"/>
      <c r="AB328" s="129"/>
      <c r="AC328" s="115"/>
      <c r="AD328" s="129"/>
      <c r="AE328" s="149"/>
      <c r="AF328" s="129"/>
      <c r="AG328" s="129"/>
      <c r="AH328" s="129"/>
    </row>
    <row r="329" spans="3:34" x14ac:dyDescent="0.35">
      <c r="C329" s="129"/>
      <c r="D329" s="129"/>
      <c r="E329" s="129"/>
      <c r="F329" s="129"/>
      <c r="G329" s="129"/>
      <c r="H329" s="129"/>
      <c r="I329" s="129"/>
      <c r="J329" s="129"/>
      <c r="K329" s="110"/>
      <c r="L329" s="129"/>
      <c r="M329" t="s">
        <v>351</v>
      </c>
      <c r="N329" s="129"/>
      <c r="O329" s="129"/>
      <c r="P329" s="129"/>
      <c r="Q329" s="129"/>
      <c r="R329" s="129"/>
      <c r="S329" s="129"/>
      <c r="T329" s="129"/>
      <c r="U329" s="129"/>
      <c r="V329" s="141"/>
      <c r="W329" s="139"/>
      <c r="X329" s="129"/>
      <c r="Y329" s="129"/>
      <c r="Z329" s="129"/>
      <c r="AA329" s="129"/>
      <c r="AB329" s="129"/>
      <c r="AC329" s="115"/>
      <c r="AD329" s="129"/>
      <c r="AE329" s="149"/>
      <c r="AF329" s="129"/>
      <c r="AG329" s="129"/>
      <c r="AH329" s="129"/>
    </row>
    <row r="330" spans="3:34" x14ac:dyDescent="0.35">
      <c r="C330" s="129"/>
      <c r="D330" s="129"/>
      <c r="E330" s="129"/>
      <c r="F330" s="129"/>
      <c r="G330" s="129"/>
      <c r="H330" s="129"/>
      <c r="I330" s="129"/>
      <c r="J330" s="129"/>
      <c r="K330" s="110"/>
      <c r="L330" s="129"/>
      <c r="M330" t="s">
        <v>351</v>
      </c>
      <c r="N330" s="129"/>
      <c r="O330" s="129"/>
      <c r="P330" s="129"/>
      <c r="Q330" s="129"/>
      <c r="R330" s="129"/>
      <c r="S330" s="129"/>
      <c r="T330" s="129"/>
      <c r="U330" s="129"/>
      <c r="V330" s="141"/>
      <c r="W330" s="139"/>
      <c r="X330" s="129"/>
      <c r="Y330" s="129"/>
      <c r="Z330" s="129"/>
      <c r="AA330" s="129"/>
      <c r="AB330" s="129"/>
      <c r="AC330" s="115"/>
      <c r="AD330" s="129"/>
      <c r="AE330" s="149"/>
      <c r="AF330" s="129"/>
      <c r="AG330" s="129"/>
      <c r="AH330" s="129"/>
    </row>
    <row r="331" spans="3:34" x14ac:dyDescent="0.35">
      <c r="C331" s="129"/>
      <c r="D331" s="129"/>
      <c r="E331" s="129"/>
      <c r="F331" s="129"/>
      <c r="G331" s="129"/>
      <c r="H331" s="129"/>
      <c r="I331" s="129"/>
      <c r="J331" s="129"/>
      <c r="K331" s="110"/>
      <c r="L331" s="129"/>
      <c r="M331" t="s">
        <v>351</v>
      </c>
      <c r="N331" s="129"/>
      <c r="O331" s="129"/>
      <c r="P331" s="129"/>
      <c r="Q331" s="129"/>
      <c r="R331" s="129"/>
      <c r="S331" s="129"/>
      <c r="T331" s="129"/>
      <c r="U331" s="129"/>
      <c r="V331" s="141"/>
      <c r="W331" s="139"/>
      <c r="X331" s="129"/>
      <c r="Y331" s="129"/>
      <c r="Z331" s="129"/>
      <c r="AA331" s="129"/>
      <c r="AB331" s="129"/>
      <c r="AC331" s="115"/>
      <c r="AD331" s="129"/>
      <c r="AE331" s="149"/>
      <c r="AF331" s="129"/>
      <c r="AG331" s="129"/>
      <c r="AH331" s="129"/>
    </row>
    <row r="332" spans="3:34" x14ac:dyDescent="0.35">
      <c r="C332" s="129"/>
      <c r="D332" s="129"/>
      <c r="E332" s="129"/>
      <c r="F332" s="129"/>
      <c r="G332" s="129"/>
      <c r="H332" s="129"/>
      <c r="I332" s="129"/>
      <c r="J332" s="129"/>
      <c r="K332" s="110"/>
      <c r="L332" s="129"/>
      <c r="M332" t="s">
        <v>351</v>
      </c>
      <c r="N332" s="129"/>
      <c r="O332" s="129"/>
      <c r="P332" s="129"/>
      <c r="Q332" s="129"/>
      <c r="R332" s="129"/>
      <c r="S332" s="129"/>
      <c r="T332" s="129"/>
      <c r="U332" s="129"/>
      <c r="V332" s="141"/>
      <c r="W332" s="139"/>
      <c r="X332" s="129"/>
      <c r="Y332" s="129"/>
      <c r="Z332" s="129"/>
      <c r="AA332" s="129"/>
      <c r="AB332" s="129"/>
      <c r="AC332" s="115"/>
      <c r="AD332" s="129"/>
      <c r="AE332" s="149"/>
      <c r="AF332" s="129"/>
      <c r="AG332" s="129"/>
      <c r="AH332" s="129"/>
    </row>
    <row r="333" spans="3:34" x14ac:dyDescent="0.35">
      <c r="C333" s="129"/>
      <c r="D333" s="129"/>
      <c r="E333" s="129"/>
      <c r="F333" s="129"/>
      <c r="G333" s="129"/>
      <c r="H333" s="129"/>
      <c r="I333" s="129"/>
      <c r="J333" s="129"/>
      <c r="K333" s="110"/>
      <c r="L333" s="129"/>
      <c r="M333" t="s">
        <v>351</v>
      </c>
      <c r="N333" s="129"/>
      <c r="O333" s="129"/>
      <c r="P333" s="129"/>
      <c r="Q333" s="129"/>
      <c r="R333" s="129"/>
      <c r="S333" s="129"/>
      <c r="T333" s="129"/>
      <c r="U333" s="129"/>
      <c r="V333" s="141"/>
      <c r="W333" s="139"/>
      <c r="X333" s="129"/>
      <c r="Y333" s="129"/>
      <c r="Z333" s="129"/>
      <c r="AA333" s="129"/>
      <c r="AB333" s="129"/>
      <c r="AC333" s="115"/>
      <c r="AD333" s="129"/>
      <c r="AE333" s="149"/>
      <c r="AF333" s="129"/>
      <c r="AG333" s="129"/>
      <c r="AH333" s="129"/>
    </row>
    <row r="334" spans="3:34" x14ac:dyDescent="0.35">
      <c r="C334" s="129"/>
      <c r="D334" s="129"/>
      <c r="E334" s="129"/>
      <c r="F334" s="129"/>
      <c r="G334" s="129"/>
      <c r="H334" s="129"/>
      <c r="I334" s="129"/>
      <c r="J334" s="129"/>
      <c r="K334" s="110"/>
      <c r="L334" s="129"/>
      <c r="M334" t="s">
        <v>351</v>
      </c>
      <c r="N334" s="129"/>
      <c r="O334" s="129"/>
      <c r="P334" s="129"/>
      <c r="Q334" s="129"/>
      <c r="R334" s="129"/>
      <c r="S334" s="129"/>
      <c r="T334" s="129"/>
      <c r="U334" s="129"/>
      <c r="V334" s="141"/>
      <c r="W334" s="139"/>
      <c r="X334" s="129"/>
      <c r="Y334" s="129"/>
      <c r="Z334" s="129"/>
      <c r="AA334" s="129"/>
      <c r="AB334" s="129"/>
      <c r="AC334" s="115"/>
      <c r="AD334" s="129"/>
      <c r="AE334" s="149"/>
      <c r="AF334" s="129"/>
      <c r="AG334" s="129"/>
      <c r="AH334" s="129"/>
    </row>
    <row r="335" spans="3:34" x14ac:dyDescent="0.35">
      <c r="C335" s="129"/>
      <c r="D335" s="129"/>
      <c r="E335" s="129"/>
      <c r="F335" s="129"/>
      <c r="G335" s="129"/>
      <c r="H335" s="129"/>
      <c r="I335" s="129"/>
      <c r="J335" s="129"/>
      <c r="K335" s="110"/>
      <c r="L335" s="129"/>
      <c r="M335" t="s">
        <v>351</v>
      </c>
      <c r="N335" s="129"/>
      <c r="O335" s="129"/>
      <c r="P335" s="129"/>
      <c r="Q335" s="129"/>
      <c r="R335" s="129"/>
      <c r="S335" s="129"/>
      <c r="T335" s="129"/>
      <c r="U335" s="129"/>
      <c r="V335" s="141"/>
      <c r="W335" s="139"/>
      <c r="X335" s="129"/>
      <c r="Y335" s="129"/>
      <c r="Z335" s="129"/>
      <c r="AA335" s="129"/>
      <c r="AB335" s="129"/>
      <c r="AC335" s="115"/>
      <c r="AD335" s="129"/>
      <c r="AE335" s="149"/>
      <c r="AF335" s="129"/>
      <c r="AG335" s="129"/>
      <c r="AH335" s="129"/>
    </row>
    <row r="336" spans="3:34" x14ac:dyDescent="0.35">
      <c r="C336" s="129"/>
      <c r="D336" s="129"/>
      <c r="E336" s="129"/>
      <c r="F336" s="129"/>
      <c r="G336" s="129"/>
      <c r="H336" s="129"/>
      <c r="I336" s="129"/>
      <c r="J336" s="129"/>
      <c r="K336" s="110"/>
      <c r="L336" s="129"/>
      <c r="M336" t="s">
        <v>351</v>
      </c>
      <c r="N336" s="129"/>
      <c r="O336" s="129"/>
      <c r="P336" s="129"/>
      <c r="Q336" s="129"/>
      <c r="R336" s="129"/>
      <c r="S336" s="129"/>
      <c r="T336" s="129"/>
      <c r="U336" s="129"/>
      <c r="V336" s="141"/>
      <c r="W336" s="139"/>
      <c r="X336" s="129"/>
      <c r="Y336" s="129"/>
      <c r="Z336" s="129"/>
      <c r="AA336" s="129"/>
      <c r="AB336" s="129"/>
      <c r="AC336" s="115"/>
      <c r="AD336" s="129"/>
      <c r="AE336" s="149"/>
      <c r="AF336" s="129"/>
      <c r="AG336" s="129"/>
      <c r="AH336" s="129"/>
    </row>
    <row r="337" spans="3:34" x14ac:dyDescent="0.35">
      <c r="C337" s="129"/>
      <c r="D337" s="129"/>
      <c r="E337" s="129"/>
      <c r="F337" s="129"/>
      <c r="G337" s="129"/>
      <c r="H337" s="129"/>
      <c r="I337" s="129"/>
      <c r="J337" s="129"/>
      <c r="K337" s="110"/>
      <c r="L337" s="129"/>
      <c r="M337" t="s">
        <v>351</v>
      </c>
      <c r="N337" s="129"/>
      <c r="O337" s="129"/>
      <c r="P337" s="129"/>
      <c r="Q337" s="129"/>
      <c r="R337" s="129"/>
      <c r="S337" s="129"/>
      <c r="T337" s="129"/>
      <c r="U337" s="129"/>
      <c r="V337" s="141"/>
      <c r="W337" s="139"/>
      <c r="X337" s="129"/>
      <c r="Y337" s="129"/>
      <c r="Z337" s="129"/>
      <c r="AA337" s="129"/>
      <c r="AB337" s="129"/>
      <c r="AC337" s="115"/>
      <c r="AD337" s="129"/>
      <c r="AE337" s="149"/>
      <c r="AF337" s="129"/>
      <c r="AG337" s="129"/>
      <c r="AH337" s="129"/>
    </row>
    <row r="338" spans="3:34" x14ac:dyDescent="0.35">
      <c r="C338" s="129"/>
      <c r="D338" s="129"/>
      <c r="E338" s="129"/>
      <c r="F338" s="129"/>
      <c r="G338" s="129"/>
      <c r="H338" s="129"/>
      <c r="I338" s="129"/>
      <c r="J338" s="129"/>
      <c r="K338" s="110"/>
      <c r="L338" s="129"/>
      <c r="M338" t="s">
        <v>351</v>
      </c>
      <c r="N338" s="129"/>
      <c r="O338" s="129"/>
      <c r="P338" s="129"/>
      <c r="Q338" s="129"/>
      <c r="R338" s="129"/>
      <c r="S338" s="129"/>
      <c r="T338" s="129"/>
      <c r="U338" s="129"/>
      <c r="V338" s="141"/>
      <c r="W338" s="139"/>
      <c r="X338" s="129"/>
      <c r="Y338" s="129"/>
      <c r="Z338" s="129"/>
      <c r="AA338" s="129"/>
      <c r="AB338" s="129"/>
      <c r="AC338" s="115"/>
      <c r="AD338" s="129"/>
      <c r="AE338" s="149"/>
      <c r="AF338" s="129"/>
      <c r="AG338" s="129"/>
      <c r="AH338" s="129"/>
    </row>
    <row r="339" spans="3:34" x14ac:dyDescent="0.35">
      <c r="C339" s="129"/>
      <c r="D339" s="129"/>
      <c r="E339" s="129"/>
      <c r="F339" s="129"/>
      <c r="G339" s="129"/>
      <c r="H339" s="129"/>
      <c r="I339" s="129"/>
      <c r="J339" s="129"/>
      <c r="K339" s="110"/>
      <c r="L339" s="129"/>
      <c r="M339" t="s">
        <v>351</v>
      </c>
      <c r="N339" s="129"/>
      <c r="O339" s="129"/>
      <c r="P339" s="129"/>
      <c r="Q339" s="129"/>
      <c r="R339" s="129"/>
      <c r="S339" s="129"/>
      <c r="T339" s="129"/>
      <c r="U339" s="129"/>
      <c r="V339" s="141"/>
      <c r="W339" s="139"/>
      <c r="X339" s="129"/>
      <c r="Y339" s="129"/>
      <c r="Z339" s="129"/>
      <c r="AA339" s="129"/>
      <c r="AB339" s="129"/>
      <c r="AC339" s="115"/>
      <c r="AD339" s="129"/>
      <c r="AE339" s="149"/>
      <c r="AF339" s="129"/>
      <c r="AG339" s="129"/>
      <c r="AH339" s="129"/>
    </row>
    <row r="340" spans="3:34" x14ac:dyDescent="0.35">
      <c r="C340" s="129"/>
      <c r="D340" s="129"/>
      <c r="E340" s="129"/>
      <c r="F340" s="129"/>
      <c r="G340" s="129"/>
      <c r="H340" s="129"/>
      <c r="I340" s="129"/>
      <c r="J340" s="129"/>
      <c r="K340" s="110"/>
      <c r="L340" s="129"/>
      <c r="M340" t="s">
        <v>351</v>
      </c>
      <c r="N340" s="129"/>
      <c r="O340" s="129"/>
      <c r="P340" s="129"/>
      <c r="Q340" s="129"/>
      <c r="R340" s="129"/>
      <c r="S340" s="129"/>
      <c r="T340" s="129"/>
      <c r="U340" s="129"/>
      <c r="V340" s="141"/>
      <c r="W340" s="139"/>
      <c r="X340" s="129"/>
      <c r="Y340" s="129"/>
      <c r="Z340" s="129"/>
      <c r="AA340" s="129"/>
      <c r="AB340" s="129"/>
      <c r="AC340" s="115"/>
      <c r="AD340" s="129"/>
      <c r="AE340" s="149"/>
      <c r="AF340" s="129"/>
      <c r="AG340" s="129"/>
      <c r="AH340" s="129"/>
    </row>
    <row r="341" spans="3:34" x14ac:dyDescent="0.35">
      <c r="C341" s="129"/>
      <c r="D341" s="129"/>
      <c r="E341" s="129"/>
      <c r="F341" s="129"/>
      <c r="G341" s="129"/>
      <c r="H341" s="129"/>
      <c r="I341" s="129"/>
      <c r="J341" s="129"/>
      <c r="K341" s="110"/>
      <c r="L341" s="129"/>
      <c r="M341" t="s">
        <v>351</v>
      </c>
      <c r="N341" s="129"/>
      <c r="O341" s="129"/>
      <c r="P341" s="129"/>
      <c r="Q341" s="129"/>
      <c r="R341" s="129"/>
      <c r="S341" s="129"/>
      <c r="T341" s="129"/>
      <c r="U341" s="129"/>
      <c r="V341" s="141"/>
      <c r="W341" s="139"/>
      <c r="X341" s="129"/>
      <c r="Y341" s="129"/>
      <c r="Z341" s="129"/>
      <c r="AA341" s="129"/>
      <c r="AB341" s="129"/>
      <c r="AC341" s="115"/>
      <c r="AD341" s="129"/>
      <c r="AE341" s="149"/>
      <c r="AF341" s="129"/>
      <c r="AG341" s="129"/>
      <c r="AH341" s="129"/>
    </row>
    <row r="342" spans="3:34" x14ac:dyDescent="0.35">
      <c r="C342" s="129"/>
      <c r="D342" s="129"/>
      <c r="E342" s="129"/>
      <c r="F342" s="129"/>
      <c r="G342" s="129"/>
      <c r="H342" s="129"/>
      <c r="I342" s="129"/>
      <c r="J342" s="129"/>
      <c r="K342" s="110"/>
      <c r="L342" s="129"/>
      <c r="M342" t="s">
        <v>351</v>
      </c>
      <c r="N342" s="129"/>
      <c r="O342" s="129"/>
      <c r="P342" s="129"/>
      <c r="Q342" s="129"/>
      <c r="R342" s="129"/>
      <c r="S342" s="129"/>
      <c r="T342" s="129"/>
      <c r="U342" s="129"/>
      <c r="V342" s="141"/>
      <c r="W342" s="139"/>
      <c r="X342" s="129"/>
      <c r="Y342" s="129"/>
      <c r="Z342" s="129"/>
      <c r="AA342" s="129"/>
      <c r="AB342" s="129"/>
      <c r="AC342" s="115"/>
      <c r="AD342" s="129"/>
      <c r="AE342" s="149"/>
      <c r="AF342" s="129"/>
      <c r="AG342" s="129"/>
      <c r="AH342" s="129"/>
    </row>
    <row r="343" spans="3:34" x14ac:dyDescent="0.35">
      <c r="C343" s="129"/>
      <c r="D343" s="129"/>
      <c r="E343" s="129"/>
      <c r="F343" s="129"/>
      <c r="G343" s="129"/>
      <c r="H343" s="129"/>
      <c r="I343" s="129"/>
      <c r="J343" s="129"/>
      <c r="K343" s="110"/>
      <c r="L343" s="129"/>
      <c r="M343" t="s">
        <v>351</v>
      </c>
      <c r="N343" s="129"/>
      <c r="O343" s="129"/>
      <c r="P343" s="129"/>
      <c r="Q343" s="129"/>
      <c r="R343" s="129"/>
      <c r="S343" s="129"/>
      <c r="T343" s="129"/>
      <c r="U343" s="129"/>
      <c r="V343" s="141"/>
      <c r="W343" s="139"/>
      <c r="X343" s="129"/>
      <c r="Y343" s="129"/>
      <c r="Z343" s="129"/>
      <c r="AA343" s="129"/>
      <c r="AB343" s="129"/>
      <c r="AC343" s="115"/>
      <c r="AD343" s="129"/>
      <c r="AE343" s="149"/>
      <c r="AF343" s="129"/>
      <c r="AG343" s="129"/>
      <c r="AH343" s="129"/>
    </row>
    <row r="344" spans="3:34" x14ac:dyDescent="0.35">
      <c r="C344" s="129"/>
      <c r="D344" s="129"/>
      <c r="E344" s="129"/>
      <c r="F344" s="129"/>
      <c r="G344" s="129"/>
      <c r="H344" s="129"/>
      <c r="I344" s="129"/>
      <c r="J344" s="129"/>
      <c r="K344" s="110"/>
      <c r="L344" s="129"/>
      <c r="M344" t="s">
        <v>351</v>
      </c>
      <c r="N344" s="129"/>
      <c r="O344" s="129"/>
      <c r="P344" s="129"/>
      <c r="Q344" s="129"/>
      <c r="R344" s="129"/>
      <c r="S344" s="129"/>
      <c r="T344" s="129"/>
      <c r="U344" s="129"/>
      <c r="V344" s="141"/>
      <c r="W344" s="139"/>
      <c r="X344" s="129"/>
      <c r="Y344" s="129"/>
      <c r="Z344" s="129"/>
      <c r="AA344" s="129"/>
      <c r="AB344" s="129"/>
      <c r="AC344" s="115"/>
      <c r="AD344" s="129"/>
      <c r="AE344" s="149"/>
      <c r="AF344" s="129"/>
      <c r="AG344" s="129"/>
      <c r="AH344" s="129"/>
    </row>
    <row r="345" spans="3:34" x14ac:dyDescent="0.35">
      <c r="C345" s="129"/>
      <c r="D345" s="129"/>
      <c r="E345" s="129"/>
      <c r="F345" s="129"/>
      <c r="G345" s="129"/>
      <c r="H345" s="129"/>
      <c r="I345" s="129"/>
      <c r="J345" s="129"/>
      <c r="K345" s="110"/>
      <c r="L345" s="129"/>
      <c r="M345" t="s">
        <v>351</v>
      </c>
      <c r="N345" s="129"/>
      <c r="O345" s="129"/>
      <c r="P345" s="129"/>
      <c r="Q345" s="129"/>
      <c r="R345" s="129"/>
      <c r="S345" s="129"/>
      <c r="T345" s="129"/>
      <c r="U345" s="129"/>
      <c r="V345" s="141"/>
      <c r="W345" s="139"/>
      <c r="X345" s="129"/>
      <c r="Y345" s="129"/>
      <c r="Z345" s="129"/>
      <c r="AA345" s="129"/>
      <c r="AB345" s="129"/>
      <c r="AC345" s="115"/>
      <c r="AD345" s="129"/>
      <c r="AE345" s="149"/>
      <c r="AF345" s="129"/>
      <c r="AG345" s="129"/>
      <c r="AH345" s="129"/>
    </row>
    <row r="346" spans="3:34" x14ac:dyDescent="0.35">
      <c r="C346" s="129"/>
      <c r="D346" s="129"/>
      <c r="E346" s="129"/>
      <c r="F346" s="129"/>
      <c r="G346" s="129"/>
      <c r="H346" s="129"/>
      <c r="I346" s="129"/>
      <c r="J346" s="129"/>
      <c r="K346" s="110"/>
      <c r="L346" s="129"/>
      <c r="M346" t="s">
        <v>351</v>
      </c>
      <c r="N346" s="129"/>
      <c r="O346" s="129"/>
      <c r="P346" s="129"/>
      <c r="Q346" s="129"/>
      <c r="R346" s="129"/>
      <c r="S346" s="129"/>
      <c r="T346" s="129"/>
      <c r="U346" s="129"/>
      <c r="V346" s="141"/>
      <c r="W346" s="139"/>
      <c r="X346" s="129"/>
      <c r="Y346" s="129"/>
      <c r="Z346" s="129"/>
      <c r="AA346" s="129"/>
      <c r="AB346" s="129"/>
      <c r="AC346" s="115"/>
      <c r="AD346" s="129"/>
      <c r="AE346" s="149"/>
      <c r="AF346" s="129"/>
      <c r="AG346" s="129"/>
      <c r="AH346" s="129"/>
    </row>
    <row r="347" spans="3:34" x14ac:dyDescent="0.35">
      <c r="C347" s="129"/>
      <c r="D347" s="129"/>
      <c r="E347" s="129"/>
      <c r="F347" s="129"/>
      <c r="G347" s="129"/>
      <c r="H347" s="129"/>
      <c r="I347" s="129"/>
      <c r="J347" s="129"/>
      <c r="K347" s="110"/>
      <c r="L347" s="129"/>
      <c r="M347" t="s">
        <v>351</v>
      </c>
      <c r="N347" s="129"/>
      <c r="O347" s="129"/>
      <c r="P347" s="129"/>
      <c r="Q347" s="129"/>
      <c r="R347" s="129"/>
      <c r="S347" s="129"/>
      <c r="T347" s="129"/>
      <c r="U347" s="129"/>
      <c r="V347" s="141"/>
      <c r="W347" s="139"/>
      <c r="X347" s="129"/>
      <c r="Y347" s="129"/>
      <c r="Z347" s="129"/>
      <c r="AA347" s="129"/>
      <c r="AB347" s="129"/>
      <c r="AC347" s="115"/>
      <c r="AD347" s="129"/>
      <c r="AE347" s="149"/>
      <c r="AF347" s="129"/>
      <c r="AG347" s="129"/>
      <c r="AH347" s="129"/>
    </row>
    <row r="348" spans="3:34" x14ac:dyDescent="0.35">
      <c r="C348" s="129"/>
      <c r="D348" s="129"/>
      <c r="E348" s="129"/>
      <c r="F348" s="129"/>
      <c r="G348" s="129"/>
      <c r="H348" s="129"/>
      <c r="I348" s="129"/>
      <c r="J348" s="129"/>
      <c r="K348" s="110"/>
      <c r="L348" s="129"/>
      <c r="M348" t="s">
        <v>351</v>
      </c>
      <c r="N348" s="129"/>
      <c r="O348" s="129"/>
      <c r="P348" s="129"/>
      <c r="Q348" s="129"/>
      <c r="R348" s="129"/>
      <c r="S348" s="129"/>
      <c r="T348" s="129"/>
      <c r="U348" s="129"/>
      <c r="V348" s="141"/>
      <c r="W348" s="139"/>
      <c r="X348" s="129"/>
      <c r="Y348" s="129"/>
      <c r="Z348" s="129"/>
      <c r="AA348" s="129"/>
      <c r="AB348" s="129"/>
      <c r="AC348" s="115"/>
      <c r="AD348" s="129"/>
      <c r="AE348" s="149"/>
      <c r="AF348" s="129"/>
      <c r="AG348" s="129"/>
      <c r="AH348" s="129"/>
    </row>
    <row r="349" spans="3:34" x14ac:dyDescent="0.35">
      <c r="C349" s="129"/>
      <c r="D349" s="129"/>
      <c r="E349" s="129"/>
      <c r="F349" s="129"/>
      <c r="G349" s="129"/>
      <c r="H349" s="129"/>
      <c r="I349" s="129"/>
      <c r="J349" s="129"/>
      <c r="K349" s="110"/>
      <c r="L349" s="129"/>
      <c r="M349" t="s">
        <v>351</v>
      </c>
      <c r="N349" s="129"/>
      <c r="O349" s="129"/>
      <c r="P349" s="129"/>
      <c r="Q349" s="129"/>
      <c r="R349" s="129"/>
      <c r="S349" s="129"/>
      <c r="T349" s="129"/>
      <c r="U349" s="129"/>
      <c r="V349" s="141"/>
      <c r="W349" s="139"/>
      <c r="X349" s="129"/>
      <c r="Y349" s="129"/>
      <c r="Z349" s="129"/>
      <c r="AA349" s="129"/>
      <c r="AB349" s="129"/>
      <c r="AC349" s="115"/>
      <c r="AD349" s="129"/>
      <c r="AE349" s="149"/>
      <c r="AF349" s="129"/>
      <c r="AG349" s="129"/>
      <c r="AH349" s="129"/>
    </row>
    <row r="350" spans="3:34" x14ac:dyDescent="0.35">
      <c r="C350" s="129"/>
      <c r="D350" s="129"/>
      <c r="E350" s="129"/>
      <c r="F350" s="129"/>
      <c r="G350" s="129"/>
      <c r="H350" s="129"/>
      <c r="I350" s="129"/>
      <c r="J350" s="129"/>
      <c r="K350" s="110"/>
      <c r="L350" s="129"/>
      <c r="M350" t="s">
        <v>351</v>
      </c>
      <c r="N350" s="129"/>
      <c r="O350" s="129"/>
      <c r="P350" s="129"/>
      <c r="Q350" s="129"/>
      <c r="R350" s="129"/>
      <c r="S350" s="129"/>
      <c r="T350" s="129"/>
      <c r="U350" s="129"/>
      <c r="V350" s="141"/>
      <c r="W350" s="139"/>
      <c r="X350" s="129"/>
      <c r="Y350" s="129"/>
      <c r="Z350" s="129"/>
      <c r="AA350" s="129"/>
      <c r="AB350" s="129"/>
      <c r="AC350" s="115"/>
      <c r="AD350" s="129"/>
      <c r="AE350" s="149"/>
      <c r="AF350" s="129"/>
      <c r="AG350" s="129"/>
      <c r="AH350" s="129"/>
    </row>
    <row r="351" spans="3:34" x14ac:dyDescent="0.35">
      <c r="C351" s="129"/>
      <c r="D351" s="129"/>
      <c r="E351" s="129"/>
      <c r="F351" s="129"/>
      <c r="G351" s="129"/>
      <c r="H351" s="129"/>
      <c r="I351" s="129"/>
      <c r="J351" s="129"/>
      <c r="K351" s="110"/>
      <c r="L351" s="129"/>
      <c r="M351" t="s">
        <v>351</v>
      </c>
      <c r="N351" s="129"/>
      <c r="O351" s="129"/>
      <c r="P351" s="129"/>
      <c r="Q351" s="129"/>
      <c r="R351" s="129"/>
      <c r="S351" s="129"/>
      <c r="T351" s="129"/>
      <c r="U351" s="129"/>
      <c r="V351" s="141"/>
      <c r="W351" s="139"/>
      <c r="X351" s="129"/>
      <c r="Y351" s="129"/>
      <c r="Z351" s="129"/>
      <c r="AA351" s="129"/>
      <c r="AB351" s="129"/>
      <c r="AC351" s="115"/>
      <c r="AD351" s="129"/>
      <c r="AE351" s="149"/>
      <c r="AF351" s="129"/>
      <c r="AG351" s="129"/>
      <c r="AH351" s="129"/>
    </row>
    <row r="352" spans="3:34" x14ac:dyDescent="0.35">
      <c r="C352" s="129"/>
      <c r="D352" s="129"/>
      <c r="E352" s="129"/>
      <c r="F352" s="129"/>
      <c r="G352" s="129"/>
      <c r="H352" s="129"/>
      <c r="I352" s="129"/>
      <c r="J352" s="129"/>
      <c r="K352" s="110"/>
      <c r="L352" s="129"/>
      <c r="M352" t="s">
        <v>351</v>
      </c>
      <c r="N352" s="129"/>
      <c r="O352" s="129"/>
      <c r="P352" s="129"/>
      <c r="Q352" s="129"/>
      <c r="R352" s="129"/>
      <c r="S352" s="129"/>
      <c r="T352" s="129"/>
      <c r="U352" s="129"/>
      <c r="V352" s="141"/>
      <c r="W352" s="139"/>
      <c r="X352" s="129"/>
      <c r="Y352" s="129"/>
      <c r="Z352" s="129"/>
      <c r="AA352" s="129"/>
      <c r="AB352" s="129"/>
      <c r="AC352" s="115"/>
      <c r="AD352" s="129"/>
      <c r="AE352" s="149"/>
      <c r="AF352" s="129"/>
      <c r="AG352" s="129"/>
      <c r="AH352" s="129"/>
    </row>
    <row r="353" spans="3:34" x14ac:dyDescent="0.35">
      <c r="C353" s="129"/>
      <c r="D353" s="129"/>
      <c r="E353" s="129"/>
      <c r="F353" s="129"/>
      <c r="G353" s="129"/>
      <c r="H353" s="129"/>
      <c r="I353" s="129"/>
      <c r="J353" s="129"/>
      <c r="K353" s="110"/>
      <c r="L353" s="129"/>
      <c r="M353" t="s">
        <v>351</v>
      </c>
      <c r="N353" s="129"/>
      <c r="O353" s="129"/>
      <c r="P353" s="129"/>
      <c r="Q353" s="129"/>
      <c r="R353" s="129"/>
      <c r="S353" s="129"/>
      <c r="T353" s="129"/>
      <c r="U353" s="129"/>
      <c r="V353" s="141"/>
      <c r="W353" s="139"/>
      <c r="X353" s="129"/>
      <c r="Y353" s="129"/>
      <c r="Z353" s="129"/>
      <c r="AA353" s="129"/>
      <c r="AB353" s="129"/>
      <c r="AC353" s="115"/>
      <c r="AD353" s="129"/>
      <c r="AE353" s="149"/>
      <c r="AF353" s="129"/>
      <c r="AG353" s="129"/>
      <c r="AH353" s="129"/>
    </row>
    <row r="354" spans="3:34" x14ac:dyDescent="0.35">
      <c r="C354" s="129"/>
      <c r="D354" s="129"/>
      <c r="E354" s="129"/>
      <c r="F354" s="129"/>
      <c r="G354" s="129"/>
      <c r="H354" s="129"/>
      <c r="I354" s="129"/>
      <c r="J354" s="129"/>
      <c r="K354" s="110"/>
      <c r="L354" s="129"/>
      <c r="M354" t="s">
        <v>351</v>
      </c>
      <c r="N354" s="129"/>
      <c r="O354" s="129"/>
      <c r="P354" s="129"/>
      <c r="Q354" s="129"/>
      <c r="R354" s="129"/>
      <c r="S354" s="129"/>
      <c r="T354" s="129"/>
      <c r="U354" s="129"/>
      <c r="V354" s="141"/>
      <c r="W354" s="139"/>
      <c r="X354" s="129"/>
      <c r="Y354" s="129"/>
      <c r="Z354" s="129"/>
      <c r="AA354" s="129"/>
      <c r="AB354" s="129"/>
      <c r="AC354" s="115"/>
      <c r="AD354" s="129"/>
      <c r="AE354" s="149"/>
      <c r="AF354" s="129"/>
      <c r="AG354" s="129"/>
      <c r="AH354" s="129"/>
    </row>
    <row r="355" spans="3:34" x14ac:dyDescent="0.35">
      <c r="C355" s="129"/>
      <c r="D355" s="129"/>
      <c r="E355" s="129"/>
      <c r="F355" s="129"/>
      <c r="G355" s="129"/>
      <c r="H355" s="129"/>
      <c r="I355" s="129"/>
      <c r="J355" s="129"/>
      <c r="K355" s="110"/>
      <c r="L355" s="129"/>
      <c r="M355" t="s">
        <v>351</v>
      </c>
      <c r="N355" s="129"/>
      <c r="O355" s="129"/>
      <c r="P355" s="129"/>
      <c r="Q355" s="129"/>
      <c r="R355" s="129"/>
      <c r="S355" s="129"/>
      <c r="T355" s="129"/>
      <c r="U355" s="129"/>
      <c r="V355" s="141"/>
      <c r="W355" s="139"/>
      <c r="X355" s="129"/>
      <c r="Y355" s="129"/>
      <c r="Z355" s="129"/>
      <c r="AA355" s="129"/>
      <c r="AB355" s="129"/>
      <c r="AC355" s="115"/>
      <c r="AD355" s="129"/>
      <c r="AE355" s="149"/>
      <c r="AF355" s="129"/>
      <c r="AG355" s="129"/>
      <c r="AH355" s="129"/>
    </row>
    <row r="356" spans="3:34" x14ac:dyDescent="0.35">
      <c r="C356" s="129"/>
      <c r="D356" s="129"/>
      <c r="E356" s="129"/>
      <c r="F356" s="129"/>
      <c r="G356" s="129"/>
      <c r="H356" s="129"/>
      <c r="I356" s="129"/>
      <c r="J356" s="129"/>
      <c r="K356" s="110"/>
      <c r="L356" s="129"/>
      <c r="M356" t="s">
        <v>351</v>
      </c>
      <c r="N356" s="129"/>
      <c r="O356" s="129"/>
      <c r="P356" s="129"/>
      <c r="Q356" s="129"/>
      <c r="R356" s="129"/>
      <c r="S356" s="129"/>
      <c r="T356" s="129"/>
      <c r="U356" s="129"/>
      <c r="V356" s="141"/>
      <c r="W356" s="139"/>
      <c r="X356" s="129"/>
      <c r="Y356" s="129"/>
      <c r="Z356" s="129"/>
      <c r="AA356" s="129"/>
      <c r="AB356" s="129"/>
      <c r="AC356" s="115"/>
      <c r="AD356" s="129"/>
      <c r="AE356" s="149"/>
      <c r="AF356" s="129"/>
      <c r="AG356" s="129"/>
      <c r="AH356" s="129"/>
    </row>
    <row r="357" spans="3:34" x14ac:dyDescent="0.35">
      <c r="C357" s="129"/>
      <c r="D357" s="129"/>
      <c r="E357" s="129"/>
      <c r="F357" s="129"/>
      <c r="G357" s="129"/>
      <c r="H357" s="129"/>
      <c r="I357" s="129"/>
      <c r="J357" s="129"/>
      <c r="K357" s="110"/>
      <c r="L357" s="129"/>
      <c r="M357" t="s">
        <v>351</v>
      </c>
      <c r="N357" s="129"/>
      <c r="O357" s="129"/>
      <c r="P357" s="129"/>
      <c r="Q357" s="129"/>
      <c r="R357" s="129"/>
      <c r="S357" s="129"/>
      <c r="T357" s="129"/>
      <c r="U357" s="129"/>
      <c r="V357" s="141"/>
      <c r="W357" s="139"/>
      <c r="X357" s="129"/>
      <c r="Y357" s="129"/>
      <c r="Z357" s="129"/>
      <c r="AA357" s="129"/>
      <c r="AB357" s="129"/>
      <c r="AC357" s="115"/>
      <c r="AD357" s="129"/>
      <c r="AE357" s="149"/>
      <c r="AF357" s="129"/>
      <c r="AG357" s="129"/>
      <c r="AH357" s="129"/>
    </row>
    <row r="358" spans="3:34" x14ac:dyDescent="0.35">
      <c r="C358" s="129"/>
      <c r="D358" s="129"/>
      <c r="E358" s="129"/>
      <c r="F358" s="129"/>
      <c r="G358" s="129"/>
      <c r="H358" s="129"/>
      <c r="I358" s="129"/>
      <c r="J358" s="129"/>
      <c r="K358" s="110"/>
      <c r="L358" s="129"/>
      <c r="M358" t="s">
        <v>351</v>
      </c>
      <c r="N358" s="129"/>
      <c r="O358" s="129"/>
      <c r="P358" s="129"/>
      <c r="Q358" s="129"/>
      <c r="R358" s="129"/>
      <c r="S358" s="129"/>
      <c r="T358" s="129"/>
      <c r="U358" s="129"/>
      <c r="V358" s="141"/>
      <c r="W358" s="139"/>
      <c r="X358" s="129"/>
      <c r="Y358" s="129"/>
      <c r="Z358" s="129"/>
      <c r="AA358" s="129"/>
      <c r="AB358" s="129"/>
      <c r="AC358" s="115"/>
      <c r="AD358" s="129"/>
      <c r="AE358" s="149"/>
      <c r="AF358" s="129"/>
      <c r="AG358" s="129"/>
      <c r="AH358" s="129"/>
    </row>
    <row r="359" spans="3:34" x14ac:dyDescent="0.35">
      <c r="C359" s="129"/>
      <c r="D359" s="129"/>
      <c r="E359" s="129"/>
      <c r="F359" s="129"/>
      <c r="G359" s="129"/>
      <c r="H359" s="129"/>
      <c r="I359" s="129"/>
      <c r="J359" s="129"/>
      <c r="K359" s="110"/>
      <c r="L359" s="129"/>
      <c r="M359" t="s">
        <v>351</v>
      </c>
      <c r="N359" s="129"/>
      <c r="O359" s="129"/>
      <c r="P359" s="129"/>
      <c r="Q359" s="129"/>
      <c r="R359" s="129"/>
      <c r="S359" s="129"/>
      <c r="T359" s="129"/>
      <c r="U359" s="129"/>
      <c r="V359" s="141"/>
      <c r="W359" s="139"/>
      <c r="X359" s="129"/>
      <c r="Y359" s="129"/>
      <c r="Z359" s="129"/>
      <c r="AA359" s="129"/>
      <c r="AB359" s="129"/>
      <c r="AC359" s="115"/>
      <c r="AD359" s="129"/>
      <c r="AE359" s="149"/>
      <c r="AF359" s="129"/>
      <c r="AG359" s="129"/>
      <c r="AH359" s="129"/>
    </row>
    <row r="360" spans="3:34" x14ac:dyDescent="0.35">
      <c r="C360" s="129"/>
      <c r="D360" s="129"/>
      <c r="E360" s="129"/>
      <c r="F360" s="129"/>
      <c r="G360" s="129"/>
      <c r="H360" s="129"/>
      <c r="I360" s="129"/>
      <c r="J360" s="129"/>
      <c r="K360" s="110"/>
      <c r="L360" s="129"/>
      <c r="M360" t="s">
        <v>351</v>
      </c>
      <c r="N360" s="129"/>
      <c r="O360" s="129"/>
      <c r="P360" s="129"/>
      <c r="Q360" s="129"/>
      <c r="R360" s="129"/>
      <c r="S360" s="129"/>
      <c r="T360" s="129"/>
      <c r="U360" s="129"/>
      <c r="V360" s="141"/>
      <c r="W360" s="139"/>
      <c r="X360" s="129"/>
      <c r="Y360" s="129"/>
      <c r="Z360" s="129"/>
      <c r="AA360" s="129"/>
      <c r="AB360" s="129"/>
      <c r="AC360" s="115"/>
      <c r="AD360" s="129"/>
      <c r="AE360" s="149"/>
      <c r="AF360" s="129"/>
      <c r="AG360" s="129"/>
      <c r="AH360" s="129"/>
    </row>
    <row r="361" spans="3:34" x14ac:dyDescent="0.35">
      <c r="C361" s="129"/>
      <c r="D361" s="129"/>
      <c r="E361" s="129"/>
      <c r="F361" s="129"/>
      <c r="G361" s="129"/>
      <c r="H361" s="129"/>
      <c r="I361" s="129"/>
      <c r="J361" s="129"/>
      <c r="K361" s="110"/>
      <c r="L361" s="129"/>
      <c r="M361" t="s">
        <v>351</v>
      </c>
      <c r="N361" s="129"/>
      <c r="O361" s="129"/>
      <c r="P361" s="129"/>
      <c r="Q361" s="129"/>
      <c r="R361" s="129"/>
      <c r="S361" s="129"/>
      <c r="T361" s="129"/>
      <c r="U361" s="129"/>
      <c r="V361" s="141"/>
      <c r="W361" s="139"/>
      <c r="X361" s="129"/>
      <c r="Y361" s="129"/>
      <c r="Z361" s="129"/>
      <c r="AA361" s="129"/>
      <c r="AB361" s="129"/>
      <c r="AC361" s="115"/>
      <c r="AD361" s="129"/>
      <c r="AE361" s="149"/>
      <c r="AF361" s="129"/>
      <c r="AG361" s="129"/>
      <c r="AH361" s="129"/>
    </row>
    <row r="362" spans="3:34" x14ac:dyDescent="0.35">
      <c r="C362" s="129"/>
      <c r="D362" s="129"/>
      <c r="E362" s="129"/>
      <c r="F362" s="129"/>
      <c r="G362" s="129"/>
      <c r="H362" s="129"/>
      <c r="I362" s="129"/>
      <c r="J362" s="129"/>
      <c r="K362" s="110"/>
      <c r="L362" s="129"/>
      <c r="M362" t="s">
        <v>351</v>
      </c>
      <c r="N362" s="129"/>
      <c r="O362" s="129"/>
      <c r="P362" s="129"/>
      <c r="Q362" s="129"/>
      <c r="R362" s="129"/>
      <c r="S362" s="129"/>
      <c r="T362" s="129"/>
      <c r="U362" s="129"/>
      <c r="V362" s="141"/>
      <c r="W362" s="139"/>
      <c r="X362" s="129"/>
      <c r="Y362" s="129"/>
      <c r="Z362" s="129"/>
      <c r="AA362" s="129"/>
      <c r="AB362" s="129"/>
      <c r="AC362" s="115"/>
      <c r="AD362" s="129"/>
      <c r="AE362" s="149"/>
      <c r="AF362" s="129"/>
      <c r="AG362" s="129"/>
      <c r="AH362" s="129"/>
    </row>
    <row r="363" spans="3:34" x14ac:dyDescent="0.35">
      <c r="C363" s="129"/>
      <c r="D363" s="129"/>
      <c r="E363" s="129"/>
      <c r="F363" s="129"/>
      <c r="G363" s="129"/>
      <c r="H363" s="129"/>
      <c r="I363" s="129"/>
      <c r="J363" s="129"/>
      <c r="K363" s="110"/>
      <c r="L363" s="129"/>
      <c r="M363" t="s">
        <v>351</v>
      </c>
      <c r="N363" s="129"/>
      <c r="O363" s="129"/>
      <c r="P363" s="129"/>
      <c r="Q363" s="129"/>
      <c r="R363" s="129"/>
      <c r="S363" s="129"/>
      <c r="T363" s="129"/>
      <c r="U363" s="129"/>
      <c r="V363" s="141"/>
      <c r="W363" s="139"/>
      <c r="X363" s="129"/>
      <c r="Y363" s="129"/>
      <c r="Z363" s="129"/>
      <c r="AA363" s="129"/>
      <c r="AB363" s="129"/>
      <c r="AC363" s="115"/>
      <c r="AD363" s="129"/>
      <c r="AE363" s="149"/>
      <c r="AF363" s="129"/>
      <c r="AG363" s="129"/>
      <c r="AH363" s="129"/>
    </row>
    <row r="364" spans="3:34" x14ac:dyDescent="0.35">
      <c r="C364" s="129"/>
      <c r="D364" s="129"/>
      <c r="E364" s="129"/>
      <c r="F364" s="129"/>
      <c r="G364" s="129"/>
      <c r="H364" s="129"/>
      <c r="I364" s="129"/>
      <c r="J364" s="129"/>
      <c r="K364" s="110"/>
      <c r="L364" s="129"/>
      <c r="M364" t="s">
        <v>351</v>
      </c>
      <c r="N364" s="129"/>
      <c r="O364" s="129"/>
      <c r="P364" s="129"/>
      <c r="Q364" s="129"/>
      <c r="R364" s="129"/>
      <c r="S364" s="129"/>
      <c r="T364" s="129"/>
      <c r="U364" s="129"/>
      <c r="V364" s="141"/>
      <c r="W364" s="139"/>
      <c r="X364" s="129"/>
      <c r="Y364" s="129"/>
      <c r="Z364" s="129"/>
      <c r="AA364" s="129"/>
      <c r="AB364" s="129"/>
      <c r="AC364" s="115"/>
      <c r="AD364" s="129"/>
      <c r="AE364" s="149"/>
      <c r="AF364" s="129"/>
      <c r="AG364" s="129"/>
      <c r="AH364" s="129"/>
    </row>
    <row r="365" spans="3:34" x14ac:dyDescent="0.35">
      <c r="C365" s="129"/>
      <c r="D365" s="129"/>
      <c r="E365" s="129"/>
      <c r="F365" s="129"/>
      <c r="G365" s="129"/>
      <c r="H365" s="129"/>
      <c r="I365" s="129"/>
      <c r="J365" s="129"/>
      <c r="K365" s="110"/>
      <c r="L365" s="129"/>
      <c r="M365" t="s">
        <v>351</v>
      </c>
      <c r="N365" s="129"/>
      <c r="O365" s="129"/>
      <c r="P365" s="129"/>
      <c r="Q365" s="129"/>
      <c r="R365" s="129"/>
      <c r="S365" s="129"/>
      <c r="T365" s="129"/>
      <c r="U365" s="129"/>
      <c r="V365" s="141"/>
      <c r="W365" s="139"/>
      <c r="X365" s="129"/>
      <c r="Y365" s="129"/>
      <c r="Z365" s="129"/>
      <c r="AA365" s="129"/>
      <c r="AB365" s="129"/>
      <c r="AC365" s="115"/>
      <c r="AD365" s="129"/>
      <c r="AE365" s="149"/>
      <c r="AF365" s="129"/>
      <c r="AG365" s="129"/>
      <c r="AH365" s="129"/>
    </row>
    <row r="366" spans="3:34" x14ac:dyDescent="0.35">
      <c r="C366" s="129"/>
      <c r="D366" s="129"/>
      <c r="E366" s="129"/>
      <c r="F366" s="129"/>
      <c r="G366" s="129"/>
      <c r="H366" s="129"/>
      <c r="I366" s="129"/>
      <c r="J366" s="129"/>
      <c r="K366" s="110"/>
      <c r="L366" s="129"/>
      <c r="M366" t="s">
        <v>351</v>
      </c>
      <c r="N366" s="129"/>
      <c r="O366" s="129"/>
      <c r="P366" s="129"/>
      <c r="Q366" s="129"/>
      <c r="R366" s="129"/>
      <c r="S366" s="129"/>
      <c r="T366" s="129"/>
      <c r="U366" s="129"/>
      <c r="V366" s="141"/>
      <c r="W366" s="139"/>
      <c r="X366" s="129"/>
      <c r="Y366" s="129"/>
      <c r="Z366" s="129"/>
      <c r="AA366" s="129"/>
      <c r="AB366" s="129"/>
      <c r="AC366" s="115"/>
      <c r="AD366" s="129"/>
      <c r="AE366" s="149"/>
      <c r="AF366" s="129"/>
      <c r="AG366" s="129"/>
      <c r="AH366" s="129"/>
    </row>
    <row r="367" spans="3:34" x14ac:dyDescent="0.35">
      <c r="C367" s="129"/>
      <c r="D367" s="129"/>
      <c r="E367" s="129"/>
      <c r="F367" s="129"/>
      <c r="G367" s="129"/>
      <c r="H367" s="129"/>
      <c r="I367" s="129"/>
      <c r="J367" s="129"/>
      <c r="K367" s="110"/>
      <c r="L367" s="129"/>
      <c r="M367" t="s">
        <v>351</v>
      </c>
      <c r="N367" s="129"/>
      <c r="O367" s="129"/>
      <c r="P367" s="129"/>
      <c r="Q367" s="129"/>
      <c r="R367" s="129"/>
      <c r="S367" s="129"/>
      <c r="T367" s="129"/>
      <c r="U367" s="129"/>
      <c r="V367" s="141"/>
      <c r="W367" s="139"/>
      <c r="X367" s="129"/>
      <c r="Y367" s="129"/>
      <c r="Z367" s="129"/>
      <c r="AA367" s="129"/>
      <c r="AB367" s="129"/>
      <c r="AC367" s="115"/>
      <c r="AD367" s="129"/>
      <c r="AE367" s="149"/>
      <c r="AF367" s="129"/>
      <c r="AG367" s="129"/>
      <c r="AH367" s="129"/>
    </row>
    <row r="368" spans="3:34" x14ac:dyDescent="0.35">
      <c r="C368" s="129"/>
      <c r="D368" s="129"/>
      <c r="E368" s="129"/>
      <c r="F368" s="129"/>
      <c r="G368" s="129"/>
      <c r="H368" s="129"/>
      <c r="I368" s="129"/>
      <c r="J368" s="129"/>
      <c r="K368" s="110"/>
      <c r="L368" s="129"/>
      <c r="M368" t="s">
        <v>351</v>
      </c>
      <c r="N368" s="129"/>
      <c r="O368" s="129"/>
      <c r="P368" s="129"/>
      <c r="Q368" s="129"/>
      <c r="R368" s="129"/>
      <c r="S368" s="129"/>
      <c r="T368" s="129"/>
      <c r="U368" s="129"/>
      <c r="V368" s="141"/>
      <c r="W368" s="139"/>
      <c r="X368" s="129"/>
      <c r="Y368" s="129"/>
      <c r="Z368" s="129"/>
      <c r="AA368" s="129"/>
      <c r="AB368" s="129"/>
      <c r="AC368" s="115"/>
      <c r="AD368" s="129"/>
      <c r="AE368" s="149"/>
      <c r="AF368" s="129"/>
      <c r="AG368" s="129"/>
      <c r="AH368" s="129"/>
    </row>
    <row r="369" spans="3:34" x14ac:dyDescent="0.35">
      <c r="C369" s="129"/>
      <c r="D369" s="129"/>
      <c r="E369" s="129"/>
      <c r="F369" s="129"/>
      <c r="G369" s="129"/>
      <c r="H369" s="129"/>
      <c r="I369" s="129"/>
      <c r="J369" s="129"/>
      <c r="K369" s="110"/>
      <c r="L369" s="129"/>
      <c r="M369" t="s">
        <v>351</v>
      </c>
      <c r="N369" s="129"/>
      <c r="O369" s="129"/>
      <c r="P369" s="129"/>
      <c r="Q369" s="129"/>
      <c r="R369" s="129"/>
      <c r="S369" s="129"/>
      <c r="T369" s="129"/>
      <c r="U369" s="129"/>
      <c r="V369" s="141"/>
      <c r="W369" s="139"/>
      <c r="X369" s="129"/>
      <c r="Y369" s="129"/>
      <c r="Z369" s="129"/>
      <c r="AA369" s="129"/>
      <c r="AB369" s="129"/>
      <c r="AC369" s="115"/>
      <c r="AD369" s="129"/>
      <c r="AE369" s="149"/>
      <c r="AF369" s="129"/>
      <c r="AG369" s="129"/>
      <c r="AH369" s="129"/>
    </row>
    <row r="370" spans="3:34" x14ac:dyDescent="0.35">
      <c r="C370" s="129"/>
      <c r="D370" s="129"/>
      <c r="E370" s="129"/>
      <c r="F370" s="129"/>
      <c r="G370" s="129"/>
      <c r="H370" s="129"/>
      <c r="I370" s="129"/>
      <c r="J370" s="129"/>
      <c r="K370" s="110"/>
      <c r="L370" s="129"/>
      <c r="M370" t="s">
        <v>351</v>
      </c>
      <c r="N370" s="129"/>
      <c r="O370" s="129"/>
      <c r="P370" s="129"/>
      <c r="Q370" s="129"/>
      <c r="R370" s="129"/>
      <c r="S370" s="129"/>
      <c r="T370" s="129"/>
      <c r="U370" s="129"/>
      <c r="V370" s="141"/>
      <c r="W370" s="139"/>
      <c r="X370" s="129"/>
      <c r="Y370" s="129"/>
      <c r="Z370" s="129"/>
      <c r="AA370" s="129"/>
      <c r="AB370" s="129"/>
      <c r="AC370" s="115"/>
      <c r="AD370" s="129"/>
      <c r="AE370" s="149"/>
      <c r="AF370" s="129"/>
      <c r="AG370" s="129"/>
      <c r="AH370" s="129"/>
    </row>
    <row r="371" spans="3:34" x14ac:dyDescent="0.35">
      <c r="C371" s="129"/>
      <c r="D371" s="129"/>
      <c r="E371" s="129"/>
      <c r="F371" s="129"/>
      <c r="G371" s="129"/>
      <c r="H371" s="129"/>
      <c r="I371" s="129"/>
      <c r="J371" s="129"/>
      <c r="K371" s="110"/>
      <c r="L371" s="129"/>
      <c r="M371" t="s">
        <v>351</v>
      </c>
      <c r="N371" s="129"/>
      <c r="O371" s="129"/>
      <c r="P371" s="129"/>
      <c r="Q371" s="129"/>
      <c r="R371" s="129"/>
      <c r="S371" s="129"/>
      <c r="T371" s="129"/>
      <c r="U371" s="129"/>
      <c r="V371" s="141"/>
      <c r="W371" s="139"/>
      <c r="X371" s="129"/>
      <c r="Y371" s="129"/>
      <c r="Z371" s="129"/>
      <c r="AA371" s="129"/>
      <c r="AB371" s="129"/>
      <c r="AC371" s="115"/>
      <c r="AD371" s="129"/>
      <c r="AE371" s="149"/>
      <c r="AF371" s="129"/>
      <c r="AG371" s="129"/>
      <c r="AH371" s="129"/>
    </row>
    <row r="372" spans="3:34" x14ac:dyDescent="0.35">
      <c r="C372" s="129"/>
      <c r="D372" s="129"/>
      <c r="E372" s="129"/>
      <c r="F372" s="129"/>
      <c r="G372" s="129"/>
      <c r="H372" s="129"/>
      <c r="I372" s="129"/>
      <c r="J372" s="129"/>
      <c r="K372" s="110"/>
      <c r="L372" s="129"/>
      <c r="M372" t="s">
        <v>351</v>
      </c>
      <c r="N372" s="129"/>
      <c r="O372" s="129"/>
      <c r="P372" s="129"/>
      <c r="Q372" s="129"/>
      <c r="R372" s="129"/>
      <c r="S372" s="129"/>
      <c r="T372" s="129"/>
      <c r="U372" s="129"/>
      <c r="V372" s="141"/>
      <c r="W372" s="139"/>
      <c r="X372" s="129"/>
      <c r="Y372" s="129"/>
      <c r="Z372" s="129"/>
      <c r="AA372" s="129"/>
      <c r="AB372" s="129"/>
      <c r="AC372" s="115"/>
      <c r="AD372" s="129"/>
      <c r="AE372" s="149"/>
      <c r="AF372" s="129"/>
      <c r="AG372" s="129"/>
      <c r="AH372" s="129"/>
    </row>
    <row r="373" spans="3:34" x14ac:dyDescent="0.35">
      <c r="C373" s="129"/>
      <c r="D373" s="129"/>
      <c r="E373" s="129"/>
      <c r="F373" s="129"/>
      <c r="G373" s="129"/>
      <c r="H373" s="129"/>
      <c r="I373" s="129"/>
      <c r="J373" s="129"/>
      <c r="K373" s="110"/>
      <c r="L373" s="129"/>
      <c r="M373" t="s">
        <v>351</v>
      </c>
      <c r="N373" s="129"/>
      <c r="O373" s="129"/>
      <c r="P373" s="129"/>
      <c r="Q373" s="129"/>
      <c r="R373" s="129"/>
      <c r="S373" s="129"/>
      <c r="T373" s="129"/>
      <c r="U373" s="129"/>
      <c r="V373" s="141"/>
      <c r="W373" s="139"/>
      <c r="X373" s="129"/>
      <c r="Y373" s="129"/>
      <c r="Z373" s="129"/>
      <c r="AA373" s="129"/>
      <c r="AB373" s="129"/>
      <c r="AC373" s="115"/>
      <c r="AD373" s="129"/>
      <c r="AE373" s="149"/>
      <c r="AF373" s="129"/>
      <c r="AG373" s="129"/>
      <c r="AH373" s="129"/>
    </row>
    <row r="374" spans="3:34" x14ac:dyDescent="0.35">
      <c r="C374" s="129"/>
      <c r="D374" s="129"/>
      <c r="E374" s="129"/>
      <c r="F374" s="129"/>
      <c r="G374" s="129"/>
      <c r="H374" s="129"/>
      <c r="I374" s="129"/>
      <c r="J374" s="129"/>
      <c r="K374" s="110"/>
      <c r="L374" s="129"/>
      <c r="M374" t="s">
        <v>351</v>
      </c>
      <c r="N374" s="129"/>
      <c r="O374" s="129"/>
      <c r="P374" s="129"/>
      <c r="Q374" s="129"/>
      <c r="R374" s="129"/>
      <c r="S374" s="129"/>
      <c r="T374" s="129"/>
      <c r="U374" s="129"/>
      <c r="V374" s="141"/>
      <c r="W374" s="139"/>
      <c r="X374" s="129"/>
      <c r="Y374" s="129"/>
      <c r="Z374" s="129"/>
      <c r="AA374" s="129"/>
      <c r="AB374" s="129"/>
      <c r="AC374" s="115"/>
      <c r="AD374" s="129"/>
      <c r="AE374" s="149"/>
      <c r="AF374" s="129"/>
      <c r="AG374" s="129"/>
      <c r="AH374" s="129"/>
    </row>
    <row r="375" spans="3:34" x14ac:dyDescent="0.35">
      <c r="C375" s="129"/>
      <c r="D375" s="129"/>
      <c r="E375" s="129"/>
      <c r="F375" s="129"/>
      <c r="G375" s="129"/>
      <c r="H375" s="129"/>
      <c r="I375" s="129"/>
      <c r="J375" s="129"/>
      <c r="K375" s="110"/>
      <c r="L375" s="129"/>
      <c r="M375" t="s">
        <v>351</v>
      </c>
      <c r="N375" s="129"/>
      <c r="O375" s="129"/>
      <c r="P375" s="129"/>
      <c r="Q375" s="129"/>
      <c r="R375" s="129"/>
      <c r="S375" s="129"/>
      <c r="T375" s="129"/>
      <c r="U375" s="129"/>
      <c r="V375" s="141"/>
      <c r="W375" s="139"/>
      <c r="X375" s="129"/>
      <c r="Y375" s="129"/>
      <c r="Z375" s="129"/>
      <c r="AA375" s="129"/>
      <c r="AB375" s="129"/>
      <c r="AC375" s="115"/>
      <c r="AD375" s="129"/>
      <c r="AE375" s="149"/>
      <c r="AF375" s="129"/>
      <c r="AG375" s="129"/>
      <c r="AH375" s="129"/>
    </row>
    <row r="376" spans="3:34" x14ac:dyDescent="0.35">
      <c r="C376" s="129"/>
      <c r="D376" s="129"/>
      <c r="E376" s="129"/>
      <c r="F376" s="129"/>
      <c r="G376" s="129"/>
      <c r="H376" s="129"/>
      <c r="I376" s="129"/>
      <c r="J376" s="129"/>
      <c r="K376" s="110"/>
      <c r="L376" s="129"/>
      <c r="M376" t="s">
        <v>351</v>
      </c>
      <c r="N376" s="129"/>
      <c r="O376" s="129"/>
      <c r="P376" s="129"/>
      <c r="Q376" s="129"/>
      <c r="R376" s="129"/>
      <c r="S376" s="129"/>
      <c r="T376" s="129"/>
      <c r="U376" s="129"/>
      <c r="V376" s="141"/>
      <c r="W376" s="139"/>
      <c r="X376" s="129"/>
      <c r="Y376" s="129"/>
      <c r="Z376" s="129"/>
      <c r="AA376" s="129"/>
      <c r="AB376" s="129"/>
      <c r="AC376" s="115"/>
      <c r="AD376" s="129"/>
      <c r="AE376" s="149"/>
      <c r="AF376" s="129"/>
      <c r="AG376" s="129"/>
      <c r="AH376" s="129"/>
    </row>
    <row r="377" spans="3:34" x14ac:dyDescent="0.35">
      <c r="C377" s="129"/>
      <c r="D377" s="129"/>
      <c r="E377" s="129"/>
      <c r="F377" s="129"/>
      <c r="G377" s="129"/>
      <c r="H377" s="129"/>
      <c r="I377" s="129"/>
      <c r="J377" s="129"/>
      <c r="K377" s="110"/>
      <c r="L377" s="129"/>
      <c r="M377" t="s">
        <v>351</v>
      </c>
      <c r="N377" s="129"/>
      <c r="O377" s="129"/>
      <c r="P377" s="129"/>
      <c r="Q377" s="129"/>
      <c r="R377" s="129"/>
      <c r="S377" s="129"/>
      <c r="T377" s="129"/>
      <c r="U377" s="129"/>
      <c r="V377" s="141"/>
      <c r="W377" s="139"/>
      <c r="X377" s="129"/>
      <c r="Y377" s="129"/>
      <c r="Z377" s="129"/>
      <c r="AA377" s="129"/>
      <c r="AB377" s="129"/>
      <c r="AC377" s="115"/>
      <c r="AD377" s="129"/>
      <c r="AE377" s="149"/>
      <c r="AF377" s="129"/>
      <c r="AG377" s="129"/>
      <c r="AH377" s="129"/>
    </row>
    <row r="378" spans="3:34" x14ac:dyDescent="0.35">
      <c r="C378" s="129"/>
      <c r="D378" s="129"/>
      <c r="E378" s="129"/>
      <c r="F378" s="129"/>
      <c r="G378" s="129"/>
      <c r="H378" s="129"/>
      <c r="I378" s="129"/>
      <c r="J378" s="129"/>
      <c r="K378" s="110"/>
      <c r="L378" s="129"/>
      <c r="M378" t="s">
        <v>351</v>
      </c>
      <c r="N378" s="129"/>
      <c r="O378" s="129"/>
      <c r="P378" s="129"/>
      <c r="Q378" s="129"/>
      <c r="R378" s="129"/>
      <c r="S378" s="129"/>
      <c r="T378" s="129"/>
      <c r="U378" s="129"/>
      <c r="V378" s="141"/>
      <c r="W378" s="139"/>
      <c r="X378" s="129"/>
      <c r="Y378" s="129"/>
      <c r="Z378" s="129"/>
      <c r="AA378" s="129"/>
      <c r="AB378" s="129"/>
      <c r="AC378" s="115"/>
      <c r="AD378" s="129"/>
      <c r="AE378" s="149"/>
      <c r="AF378" s="129"/>
      <c r="AG378" s="129"/>
      <c r="AH378" s="129"/>
    </row>
    <row r="379" spans="3:34" x14ac:dyDescent="0.35">
      <c r="C379" s="129"/>
      <c r="D379" s="129"/>
      <c r="E379" s="129"/>
      <c r="F379" s="129"/>
      <c r="G379" s="129"/>
      <c r="H379" s="129"/>
      <c r="I379" s="129"/>
      <c r="J379" s="129"/>
      <c r="K379" s="110"/>
      <c r="L379" s="129"/>
      <c r="M379" t="s">
        <v>351</v>
      </c>
      <c r="N379" s="129"/>
      <c r="O379" s="129"/>
      <c r="P379" s="129"/>
      <c r="Q379" s="129"/>
      <c r="R379" s="129"/>
      <c r="S379" s="129"/>
      <c r="T379" s="129"/>
      <c r="U379" s="129"/>
      <c r="V379" s="141"/>
      <c r="W379" s="139"/>
      <c r="X379" s="129"/>
      <c r="Y379" s="129"/>
      <c r="Z379" s="129"/>
      <c r="AA379" s="129"/>
      <c r="AB379" s="129"/>
      <c r="AC379" s="115"/>
      <c r="AD379" s="129"/>
      <c r="AE379" s="149"/>
      <c r="AF379" s="129"/>
      <c r="AG379" s="129"/>
      <c r="AH379" s="129"/>
    </row>
    <row r="380" spans="3:34" x14ac:dyDescent="0.35">
      <c r="C380" s="129"/>
      <c r="D380" s="129"/>
      <c r="E380" s="129"/>
      <c r="F380" s="129"/>
      <c r="G380" s="129"/>
      <c r="H380" s="129"/>
      <c r="I380" s="129"/>
      <c r="J380" s="129"/>
      <c r="K380" s="110"/>
      <c r="L380" s="129"/>
      <c r="M380" t="s">
        <v>351</v>
      </c>
      <c r="N380" s="129"/>
      <c r="O380" s="129"/>
      <c r="P380" s="129"/>
      <c r="Q380" s="129"/>
      <c r="R380" s="129"/>
      <c r="S380" s="129"/>
      <c r="T380" s="129"/>
      <c r="U380" s="129"/>
      <c r="V380" s="141"/>
      <c r="W380" s="139"/>
      <c r="X380" s="129"/>
      <c r="Y380" s="129"/>
      <c r="Z380" s="129"/>
      <c r="AA380" s="129"/>
      <c r="AB380" s="129"/>
      <c r="AC380" s="115"/>
      <c r="AD380" s="129"/>
      <c r="AE380" s="149"/>
      <c r="AF380" s="129"/>
      <c r="AG380" s="129"/>
      <c r="AH380" s="129"/>
    </row>
    <row r="381" spans="3:34" x14ac:dyDescent="0.35">
      <c r="C381" s="129"/>
      <c r="D381" s="129"/>
      <c r="E381" s="129"/>
      <c r="F381" s="129"/>
      <c r="G381" s="129"/>
      <c r="H381" s="129"/>
      <c r="I381" s="129"/>
      <c r="J381" s="129"/>
      <c r="K381" s="110"/>
      <c r="L381" s="129"/>
      <c r="M381" t="s">
        <v>351</v>
      </c>
      <c r="N381" s="129"/>
      <c r="O381" s="129"/>
      <c r="P381" s="129"/>
      <c r="Q381" s="129"/>
      <c r="R381" s="129"/>
      <c r="S381" s="129"/>
      <c r="T381" s="129"/>
      <c r="U381" s="129"/>
      <c r="V381" s="141"/>
      <c r="W381" s="139"/>
      <c r="X381" s="129"/>
      <c r="Y381" s="129"/>
      <c r="Z381" s="129"/>
      <c r="AA381" s="129"/>
      <c r="AB381" s="129"/>
      <c r="AC381" s="115"/>
      <c r="AD381" s="129"/>
      <c r="AE381" s="149"/>
      <c r="AF381" s="129"/>
      <c r="AG381" s="129"/>
      <c r="AH381" s="129"/>
    </row>
    <row r="382" spans="3:34" x14ac:dyDescent="0.35">
      <c r="C382" s="129"/>
      <c r="D382" s="129"/>
      <c r="E382" s="129"/>
      <c r="F382" s="129"/>
      <c r="G382" s="129"/>
      <c r="H382" s="129"/>
      <c r="I382" s="129"/>
      <c r="J382" s="129"/>
      <c r="K382" s="110"/>
      <c r="L382" s="129"/>
      <c r="M382" t="s">
        <v>351</v>
      </c>
      <c r="N382" s="129"/>
      <c r="O382" s="129"/>
      <c r="P382" s="129"/>
      <c r="Q382" s="129"/>
      <c r="R382" s="129"/>
      <c r="S382" s="129"/>
      <c r="T382" s="129"/>
      <c r="U382" s="129"/>
      <c r="V382" s="141"/>
      <c r="W382" s="139"/>
      <c r="X382" s="129"/>
      <c r="Y382" s="129"/>
      <c r="Z382" s="129"/>
      <c r="AA382" s="129"/>
      <c r="AB382" s="129"/>
      <c r="AC382" s="115"/>
      <c r="AD382" s="129"/>
      <c r="AE382" s="149"/>
      <c r="AF382" s="129"/>
      <c r="AG382" s="129"/>
      <c r="AH382" s="129"/>
    </row>
    <row r="383" spans="3:34" x14ac:dyDescent="0.35">
      <c r="C383" s="129"/>
      <c r="D383" s="129"/>
      <c r="E383" s="129"/>
      <c r="F383" s="129"/>
      <c r="G383" s="129"/>
      <c r="H383" s="129"/>
      <c r="I383" s="129"/>
      <c r="J383" s="129"/>
      <c r="K383" s="110"/>
      <c r="L383" s="129"/>
      <c r="M383" t="s">
        <v>351</v>
      </c>
      <c r="N383" s="129"/>
      <c r="O383" s="129"/>
      <c r="P383" s="129"/>
      <c r="Q383" s="129"/>
      <c r="R383" s="129"/>
      <c r="S383" s="129"/>
      <c r="T383" s="129"/>
      <c r="U383" s="129"/>
      <c r="V383" s="141"/>
      <c r="W383" s="139"/>
      <c r="X383" s="129"/>
      <c r="Y383" s="129"/>
      <c r="Z383" s="129"/>
      <c r="AA383" s="129"/>
      <c r="AB383" s="129"/>
      <c r="AC383" s="115"/>
      <c r="AD383" s="129"/>
      <c r="AE383" s="149"/>
      <c r="AF383" s="129"/>
      <c r="AG383" s="129"/>
      <c r="AH383" s="129"/>
    </row>
    <row r="384" spans="3:34" x14ac:dyDescent="0.35">
      <c r="C384" s="129"/>
      <c r="D384" s="129"/>
      <c r="E384" s="129"/>
      <c r="F384" s="129"/>
      <c r="G384" s="129"/>
      <c r="H384" s="129"/>
      <c r="I384" s="129"/>
      <c r="J384" s="129"/>
      <c r="K384" s="110"/>
      <c r="L384" s="129"/>
      <c r="M384" t="s">
        <v>351</v>
      </c>
      <c r="N384" s="129"/>
      <c r="O384" s="129"/>
      <c r="P384" s="129"/>
      <c r="Q384" s="129"/>
      <c r="R384" s="129"/>
      <c r="S384" s="129"/>
      <c r="T384" s="129"/>
      <c r="U384" s="129"/>
      <c r="V384" s="141"/>
      <c r="W384" s="139"/>
      <c r="X384" s="129"/>
      <c r="Y384" s="129"/>
      <c r="Z384" s="129"/>
      <c r="AA384" s="129"/>
      <c r="AB384" s="129"/>
      <c r="AC384" s="115"/>
      <c r="AD384" s="129"/>
      <c r="AE384" s="149"/>
      <c r="AF384" s="129"/>
      <c r="AG384" s="129"/>
      <c r="AH384" s="129"/>
    </row>
    <row r="385" spans="3:34" x14ac:dyDescent="0.35">
      <c r="C385" s="129"/>
      <c r="D385" s="129"/>
      <c r="E385" s="129"/>
      <c r="F385" s="129"/>
      <c r="G385" s="129"/>
      <c r="H385" s="129"/>
      <c r="I385" s="129"/>
      <c r="J385" s="129"/>
      <c r="K385" s="110"/>
      <c r="L385" s="129"/>
      <c r="M385" t="s">
        <v>351</v>
      </c>
      <c r="N385" s="129"/>
      <c r="O385" s="129"/>
      <c r="P385" s="129"/>
      <c r="Q385" s="129"/>
      <c r="R385" s="129"/>
      <c r="S385" s="129"/>
      <c r="T385" s="129"/>
      <c r="U385" s="129"/>
      <c r="V385" s="141"/>
      <c r="W385" s="139"/>
      <c r="X385" s="129"/>
      <c r="Y385" s="129"/>
      <c r="Z385" s="129"/>
      <c r="AA385" s="129"/>
      <c r="AB385" s="129"/>
      <c r="AC385" s="115"/>
      <c r="AD385" s="129"/>
      <c r="AE385" s="149"/>
      <c r="AF385" s="129"/>
      <c r="AG385" s="129"/>
      <c r="AH385" s="129"/>
    </row>
    <row r="386" spans="3:34" x14ac:dyDescent="0.35">
      <c r="C386" s="129"/>
      <c r="D386" s="129"/>
      <c r="E386" s="129"/>
      <c r="F386" s="129"/>
      <c r="G386" s="129"/>
      <c r="H386" s="129"/>
      <c r="I386" s="129"/>
      <c r="J386" s="129"/>
      <c r="K386" s="110"/>
      <c r="L386" s="129"/>
      <c r="M386" t="s">
        <v>351</v>
      </c>
      <c r="N386" s="129"/>
      <c r="O386" s="129"/>
      <c r="P386" s="129"/>
      <c r="Q386" s="129"/>
      <c r="R386" s="129"/>
      <c r="S386" s="129"/>
      <c r="T386" s="129"/>
      <c r="U386" s="129"/>
      <c r="V386" s="141"/>
      <c r="W386" s="139"/>
      <c r="X386" s="129"/>
      <c r="Y386" s="129"/>
      <c r="Z386" s="129"/>
      <c r="AA386" s="129"/>
      <c r="AB386" s="129"/>
      <c r="AC386" s="115"/>
      <c r="AD386" s="129"/>
      <c r="AE386" s="149"/>
      <c r="AF386" s="129"/>
      <c r="AG386" s="129"/>
      <c r="AH386" s="129"/>
    </row>
    <row r="387" spans="3:34" x14ac:dyDescent="0.35">
      <c r="C387" s="129"/>
      <c r="D387" s="129"/>
      <c r="E387" s="129"/>
      <c r="F387" s="129"/>
      <c r="G387" s="129"/>
      <c r="H387" s="129"/>
      <c r="I387" s="129"/>
      <c r="J387" s="129"/>
      <c r="K387" s="110"/>
      <c r="L387" s="129"/>
      <c r="M387" t="s">
        <v>351</v>
      </c>
      <c r="N387" s="129"/>
      <c r="O387" s="129"/>
      <c r="P387" s="129"/>
      <c r="Q387" s="129"/>
      <c r="R387" s="129"/>
      <c r="S387" s="129"/>
      <c r="T387" s="129"/>
      <c r="U387" s="129"/>
      <c r="V387" s="141"/>
      <c r="W387" s="139"/>
      <c r="X387" s="129"/>
      <c r="Y387" s="129"/>
      <c r="Z387" s="129"/>
      <c r="AA387" s="129"/>
      <c r="AB387" s="129"/>
      <c r="AC387" s="115"/>
      <c r="AD387" s="129"/>
      <c r="AE387" s="149"/>
      <c r="AF387" s="129"/>
      <c r="AG387" s="129"/>
      <c r="AH387" s="129"/>
    </row>
    <row r="388" spans="3:34" x14ac:dyDescent="0.35">
      <c r="C388" s="129"/>
      <c r="D388" s="129"/>
      <c r="E388" s="129"/>
      <c r="F388" s="129"/>
      <c r="G388" s="129"/>
      <c r="H388" s="129"/>
      <c r="I388" s="129"/>
      <c r="J388" s="129"/>
      <c r="K388" s="110"/>
      <c r="L388" s="129"/>
      <c r="M388" t="s">
        <v>351</v>
      </c>
      <c r="N388" s="129"/>
      <c r="O388" s="129"/>
      <c r="P388" s="129"/>
      <c r="Q388" s="129"/>
      <c r="R388" s="129"/>
      <c r="S388" s="129"/>
      <c r="T388" s="129"/>
      <c r="U388" s="129"/>
      <c r="V388" s="141"/>
      <c r="W388" s="139"/>
      <c r="X388" s="129"/>
      <c r="Y388" s="129"/>
      <c r="Z388" s="129"/>
      <c r="AA388" s="129"/>
      <c r="AB388" s="129"/>
      <c r="AC388" s="115"/>
      <c r="AD388" s="129"/>
      <c r="AE388" s="149"/>
      <c r="AF388" s="129"/>
      <c r="AG388" s="129"/>
      <c r="AH388" s="129"/>
    </row>
    <row r="389" spans="3:34" x14ac:dyDescent="0.35">
      <c r="C389" s="129"/>
      <c r="D389" s="129"/>
      <c r="E389" s="129"/>
      <c r="F389" s="129"/>
      <c r="G389" s="129"/>
      <c r="H389" s="129"/>
      <c r="I389" s="129"/>
      <c r="J389" s="129"/>
      <c r="K389" s="110"/>
      <c r="L389" s="129"/>
      <c r="M389" t="s">
        <v>351</v>
      </c>
      <c r="N389" s="129"/>
      <c r="O389" s="129"/>
      <c r="P389" s="129"/>
      <c r="Q389" s="129"/>
      <c r="R389" s="129"/>
      <c r="S389" s="129"/>
      <c r="T389" s="129"/>
      <c r="U389" s="129"/>
      <c r="V389" s="141"/>
      <c r="W389" s="139"/>
      <c r="X389" s="129"/>
      <c r="Y389" s="129"/>
      <c r="Z389" s="129"/>
      <c r="AA389" s="129"/>
      <c r="AB389" s="129"/>
      <c r="AC389" s="115"/>
      <c r="AD389" s="129"/>
      <c r="AE389" s="149"/>
      <c r="AF389" s="129"/>
      <c r="AG389" s="129"/>
      <c r="AH389" s="129"/>
    </row>
    <row r="390" spans="3:34" x14ac:dyDescent="0.35">
      <c r="C390" s="129"/>
      <c r="D390" s="129"/>
      <c r="E390" s="129"/>
      <c r="F390" s="129"/>
      <c r="G390" s="129"/>
      <c r="H390" s="129"/>
      <c r="I390" s="129"/>
      <c r="J390" s="129"/>
      <c r="K390" s="110"/>
      <c r="L390" s="129"/>
      <c r="M390" t="s">
        <v>351</v>
      </c>
      <c r="N390" s="129"/>
      <c r="O390" s="129"/>
      <c r="P390" s="129"/>
      <c r="Q390" s="129"/>
      <c r="R390" s="129"/>
      <c r="S390" s="129"/>
      <c r="T390" s="129"/>
      <c r="U390" s="129"/>
      <c r="V390" s="141"/>
      <c r="W390" s="139"/>
      <c r="X390" s="129"/>
      <c r="Y390" s="129"/>
      <c r="Z390" s="129"/>
      <c r="AA390" s="129"/>
      <c r="AB390" s="129"/>
      <c r="AC390" s="115"/>
      <c r="AD390" s="129"/>
      <c r="AE390" s="149"/>
      <c r="AF390" s="129"/>
      <c r="AG390" s="129"/>
      <c r="AH390" s="129"/>
    </row>
    <row r="391" spans="3:34" x14ac:dyDescent="0.35">
      <c r="C391" s="129"/>
      <c r="D391" s="129"/>
      <c r="E391" s="129"/>
      <c r="F391" s="129"/>
      <c r="G391" s="129"/>
      <c r="H391" s="129"/>
      <c r="I391" s="129"/>
      <c r="J391" s="129"/>
      <c r="K391" s="110"/>
      <c r="L391" s="129"/>
      <c r="M391" t="s">
        <v>351</v>
      </c>
      <c r="N391" s="129"/>
      <c r="O391" s="129"/>
      <c r="P391" s="129"/>
      <c r="Q391" s="129"/>
      <c r="R391" s="129"/>
      <c r="S391" s="129"/>
      <c r="T391" s="129"/>
      <c r="U391" s="129"/>
      <c r="V391" s="141"/>
      <c r="W391" s="139"/>
      <c r="X391" s="129"/>
      <c r="Y391" s="129"/>
      <c r="Z391" s="129"/>
      <c r="AA391" s="129"/>
      <c r="AB391" s="129"/>
      <c r="AC391" s="115"/>
      <c r="AD391" s="129"/>
      <c r="AE391" s="149"/>
      <c r="AF391" s="129"/>
      <c r="AG391" s="129"/>
      <c r="AH391" s="129"/>
    </row>
    <row r="392" spans="3:34" x14ac:dyDescent="0.35">
      <c r="C392" s="129"/>
      <c r="D392" s="129"/>
      <c r="E392" s="129"/>
      <c r="F392" s="129"/>
      <c r="G392" s="129"/>
      <c r="H392" s="129"/>
      <c r="I392" s="129"/>
      <c r="J392" s="129"/>
      <c r="K392" s="110"/>
      <c r="L392" s="129"/>
      <c r="M392" t="s">
        <v>351</v>
      </c>
      <c r="N392" s="129"/>
      <c r="O392" s="129"/>
      <c r="P392" s="129"/>
      <c r="Q392" s="129"/>
      <c r="R392" s="129"/>
      <c r="S392" s="129"/>
      <c r="T392" s="129"/>
      <c r="U392" s="129"/>
      <c r="V392" s="141"/>
      <c r="W392" s="139"/>
      <c r="X392" s="129"/>
      <c r="Y392" s="129"/>
      <c r="Z392" s="129"/>
      <c r="AA392" s="129"/>
      <c r="AB392" s="129"/>
      <c r="AC392" s="115"/>
      <c r="AD392" s="129"/>
      <c r="AE392" s="149"/>
      <c r="AF392" s="129"/>
      <c r="AG392" s="129"/>
      <c r="AH392" s="129"/>
    </row>
    <row r="393" spans="3:34" x14ac:dyDescent="0.35">
      <c r="C393" s="129"/>
      <c r="D393" s="129"/>
      <c r="E393" s="129"/>
      <c r="F393" s="129"/>
      <c r="G393" s="129"/>
      <c r="H393" s="129"/>
      <c r="I393" s="129"/>
      <c r="J393" s="129"/>
      <c r="K393" s="110"/>
      <c r="L393" s="129"/>
      <c r="M393" t="s">
        <v>351</v>
      </c>
      <c r="N393" s="129"/>
      <c r="O393" s="129"/>
      <c r="P393" s="129"/>
      <c r="Q393" s="129"/>
      <c r="R393" s="129"/>
      <c r="S393" s="129"/>
      <c r="T393" s="129"/>
      <c r="U393" s="129"/>
      <c r="V393" s="141"/>
      <c r="W393" s="139"/>
      <c r="X393" s="129"/>
      <c r="Y393" s="129"/>
      <c r="Z393" s="129"/>
      <c r="AA393" s="129"/>
      <c r="AB393" s="129"/>
      <c r="AC393" s="115"/>
      <c r="AD393" s="129"/>
      <c r="AE393" s="149"/>
      <c r="AF393" s="129"/>
      <c r="AG393" s="129"/>
      <c r="AH393" s="129"/>
    </row>
    <row r="394" spans="3:34" x14ac:dyDescent="0.35">
      <c r="C394" s="129"/>
      <c r="D394" s="129"/>
      <c r="E394" s="129"/>
      <c r="F394" s="129"/>
      <c r="G394" s="129"/>
      <c r="H394" s="129"/>
      <c r="I394" s="129"/>
      <c r="J394" s="129"/>
      <c r="K394" s="110"/>
      <c r="L394" s="129"/>
      <c r="M394" t="s">
        <v>351</v>
      </c>
      <c r="N394" s="129"/>
      <c r="O394" s="129"/>
      <c r="P394" s="129"/>
      <c r="Q394" s="129"/>
      <c r="R394" s="129"/>
      <c r="S394" s="129"/>
      <c r="T394" s="129"/>
      <c r="U394" s="129"/>
      <c r="V394" s="141"/>
      <c r="W394" s="139"/>
      <c r="X394" s="129"/>
      <c r="Y394" s="129"/>
      <c r="Z394" s="129"/>
      <c r="AA394" s="129"/>
      <c r="AB394" s="129"/>
      <c r="AC394" s="115"/>
      <c r="AD394" s="129"/>
      <c r="AE394" s="149"/>
      <c r="AF394" s="129"/>
      <c r="AG394" s="129"/>
      <c r="AH394" s="129"/>
    </row>
    <row r="395" spans="3:34" x14ac:dyDescent="0.35">
      <c r="C395" s="129"/>
      <c r="D395" s="129"/>
      <c r="E395" s="129"/>
      <c r="F395" s="129"/>
      <c r="G395" s="129"/>
      <c r="H395" s="129"/>
      <c r="I395" s="129"/>
      <c r="J395" s="129"/>
      <c r="K395" s="110"/>
      <c r="L395" s="129"/>
      <c r="M395" t="s">
        <v>351</v>
      </c>
      <c r="N395" s="129"/>
      <c r="O395" s="129"/>
      <c r="P395" s="129"/>
      <c r="Q395" s="129"/>
      <c r="R395" s="129"/>
      <c r="S395" s="129"/>
      <c r="T395" s="129"/>
      <c r="U395" s="129"/>
      <c r="V395" s="141"/>
      <c r="W395" s="139"/>
      <c r="X395" s="129"/>
      <c r="Y395" s="129"/>
      <c r="Z395" s="129"/>
      <c r="AA395" s="129"/>
      <c r="AB395" s="129"/>
      <c r="AC395" s="115"/>
      <c r="AD395" s="129"/>
      <c r="AE395" s="149"/>
      <c r="AF395" s="129"/>
      <c r="AG395" s="129"/>
      <c r="AH395" s="129"/>
    </row>
    <row r="396" spans="3:34" x14ac:dyDescent="0.35">
      <c r="C396" s="129"/>
      <c r="D396" s="129"/>
      <c r="E396" s="129"/>
      <c r="F396" s="129"/>
      <c r="G396" s="129"/>
      <c r="H396" s="129"/>
      <c r="I396" s="129"/>
      <c r="J396" s="129"/>
      <c r="K396" s="110"/>
      <c r="L396" s="129"/>
      <c r="M396" t="s">
        <v>351</v>
      </c>
      <c r="N396" s="129"/>
      <c r="O396" s="129"/>
      <c r="P396" s="129"/>
      <c r="Q396" s="129"/>
      <c r="R396" s="129"/>
      <c r="S396" s="129"/>
      <c r="T396" s="129"/>
      <c r="U396" s="129"/>
      <c r="V396" s="141"/>
      <c r="W396" s="139"/>
      <c r="X396" s="129"/>
      <c r="Y396" s="129"/>
      <c r="Z396" s="129"/>
      <c r="AA396" s="129"/>
      <c r="AB396" s="129"/>
      <c r="AC396" s="115"/>
      <c r="AD396" s="129"/>
      <c r="AE396" s="149"/>
      <c r="AF396" s="129"/>
      <c r="AG396" s="129"/>
      <c r="AH396" s="129"/>
    </row>
    <row r="397" spans="3:34" x14ac:dyDescent="0.35">
      <c r="C397" s="129"/>
      <c r="D397" s="129"/>
      <c r="E397" s="129"/>
      <c r="F397" s="129"/>
      <c r="G397" s="129"/>
      <c r="H397" s="129"/>
      <c r="I397" s="129"/>
      <c r="J397" s="129"/>
      <c r="K397" s="110"/>
      <c r="L397" s="129"/>
      <c r="M397" t="s">
        <v>351</v>
      </c>
      <c r="N397" s="129"/>
      <c r="O397" s="129"/>
      <c r="P397" s="129"/>
      <c r="Q397" s="129"/>
      <c r="R397" s="129"/>
      <c r="S397" s="129"/>
      <c r="T397" s="129"/>
      <c r="U397" s="129"/>
      <c r="V397" s="141"/>
      <c r="W397" s="139"/>
      <c r="X397" s="129"/>
      <c r="Y397" s="129"/>
      <c r="Z397" s="129"/>
      <c r="AA397" s="129"/>
      <c r="AB397" s="129"/>
      <c r="AC397" s="115"/>
      <c r="AD397" s="129"/>
      <c r="AE397" s="149"/>
      <c r="AF397" s="129"/>
      <c r="AG397" s="129"/>
      <c r="AH397" s="129"/>
    </row>
    <row r="398" spans="3:34" x14ac:dyDescent="0.35">
      <c r="C398" s="129"/>
      <c r="D398" s="129"/>
      <c r="E398" s="129"/>
      <c r="F398" s="129"/>
      <c r="G398" s="129"/>
      <c r="H398" s="129"/>
      <c r="I398" s="129"/>
      <c r="J398" s="129"/>
      <c r="K398" s="110"/>
      <c r="L398" s="129"/>
      <c r="M398" t="s">
        <v>351</v>
      </c>
      <c r="N398" s="129"/>
      <c r="O398" s="129"/>
      <c r="P398" s="129"/>
      <c r="Q398" s="129"/>
      <c r="R398" s="129"/>
      <c r="S398" s="129"/>
      <c r="T398" s="129"/>
      <c r="U398" s="129"/>
      <c r="V398" s="141"/>
      <c r="W398" s="139"/>
      <c r="X398" s="129"/>
      <c r="Y398" s="129"/>
      <c r="Z398" s="129"/>
      <c r="AA398" s="129"/>
      <c r="AB398" s="129"/>
      <c r="AC398" s="115"/>
      <c r="AD398" s="129"/>
      <c r="AE398" s="149"/>
      <c r="AF398" s="129"/>
      <c r="AG398" s="129"/>
      <c r="AH398" s="129"/>
    </row>
    <row r="399" spans="3:34" x14ac:dyDescent="0.35">
      <c r="C399" s="129"/>
      <c r="D399" s="129"/>
      <c r="E399" s="129"/>
      <c r="F399" s="129"/>
      <c r="G399" s="129"/>
      <c r="H399" s="129"/>
      <c r="I399" s="129"/>
      <c r="J399" s="129"/>
      <c r="K399" s="110"/>
      <c r="L399" s="129"/>
      <c r="M399" t="s">
        <v>351</v>
      </c>
      <c r="N399" s="129"/>
      <c r="O399" s="129"/>
      <c r="P399" s="129"/>
      <c r="Q399" s="129"/>
      <c r="R399" s="129"/>
      <c r="S399" s="129"/>
      <c r="T399" s="129"/>
      <c r="U399" s="129"/>
      <c r="V399" s="141"/>
      <c r="W399" s="139"/>
      <c r="X399" s="129"/>
      <c r="Y399" s="129"/>
      <c r="Z399" s="129"/>
      <c r="AA399" s="129"/>
      <c r="AB399" s="129"/>
      <c r="AC399" s="115"/>
      <c r="AD399" s="129"/>
      <c r="AE399" s="149"/>
      <c r="AF399" s="129"/>
      <c r="AG399" s="129"/>
      <c r="AH399" s="129"/>
    </row>
    <row r="400" spans="3:34" x14ac:dyDescent="0.35">
      <c r="C400" s="129"/>
      <c r="D400" s="129"/>
      <c r="E400" s="129"/>
      <c r="F400" s="129"/>
      <c r="G400" s="129"/>
      <c r="H400" s="129"/>
      <c r="I400" s="129"/>
      <c r="J400" s="129"/>
      <c r="K400" s="110"/>
      <c r="L400" s="129"/>
      <c r="M400" t="s">
        <v>351</v>
      </c>
      <c r="N400" s="129"/>
      <c r="O400" s="129"/>
      <c r="P400" s="129"/>
      <c r="Q400" s="129"/>
      <c r="R400" s="129"/>
      <c r="S400" s="129"/>
      <c r="T400" s="129"/>
      <c r="U400" s="129"/>
      <c r="V400" s="141"/>
      <c r="W400" s="139"/>
      <c r="X400" s="129"/>
      <c r="Y400" s="129"/>
      <c r="Z400" s="129"/>
      <c r="AA400" s="129"/>
      <c r="AB400" s="129"/>
      <c r="AC400" s="115"/>
      <c r="AD400" s="129"/>
      <c r="AE400" s="149"/>
      <c r="AF400" s="129"/>
      <c r="AG400" s="129"/>
      <c r="AH400" s="129"/>
    </row>
    <row r="401" spans="3:34" x14ac:dyDescent="0.35">
      <c r="C401" s="129"/>
      <c r="D401" s="129"/>
      <c r="E401" s="129"/>
      <c r="F401" s="129"/>
      <c r="G401" s="129"/>
      <c r="H401" s="129"/>
      <c r="I401" s="129"/>
      <c r="J401" s="129"/>
      <c r="K401" s="110"/>
      <c r="L401" s="129"/>
      <c r="M401" t="s">
        <v>351</v>
      </c>
      <c r="N401" s="129"/>
      <c r="O401" s="129"/>
      <c r="P401" s="129"/>
      <c r="Q401" s="129"/>
      <c r="R401" s="129"/>
      <c r="S401" s="129"/>
      <c r="T401" s="129"/>
      <c r="U401" s="129"/>
      <c r="V401" s="141"/>
      <c r="W401" s="139"/>
      <c r="X401" s="129"/>
      <c r="Y401" s="129"/>
      <c r="Z401" s="129"/>
      <c r="AA401" s="129"/>
      <c r="AB401" s="129"/>
      <c r="AC401" s="115"/>
      <c r="AD401" s="129"/>
      <c r="AE401" s="149"/>
      <c r="AF401" s="129"/>
      <c r="AG401" s="129"/>
      <c r="AH401" s="129"/>
    </row>
    <row r="402" spans="3:34" x14ac:dyDescent="0.35">
      <c r="C402" s="129"/>
      <c r="D402" s="129"/>
      <c r="E402" s="129"/>
      <c r="F402" s="129"/>
      <c r="G402" s="129"/>
      <c r="H402" s="129"/>
      <c r="I402" s="129"/>
      <c r="J402" s="129"/>
      <c r="K402" s="110"/>
      <c r="L402" s="129"/>
      <c r="M402" t="s">
        <v>351</v>
      </c>
      <c r="N402" s="129"/>
      <c r="O402" s="129"/>
      <c r="P402" s="129"/>
      <c r="Q402" s="129"/>
      <c r="R402" s="129"/>
      <c r="S402" s="129"/>
      <c r="T402" s="129"/>
      <c r="U402" s="129"/>
      <c r="V402" s="141"/>
      <c r="W402" s="139"/>
      <c r="X402" s="129"/>
      <c r="Y402" s="129"/>
      <c r="Z402" s="129"/>
      <c r="AA402" s="129"/>
      <c r="AB402" s="129"/>
      <c r="AC402" s="115"/>
      <c r="AD402" s="129"/>
      <c r="AE402" s="149"/>
      <c r="AF402" s="129"/>
      <c r="AG402" s="129"/>
      <c r="AH402" s="129"/>
    </row>
    <row r="403" spans="3:34" x14ac:dyDescent="0.35">
      <c r="C403" s="129"/>
      <c r="D403" s="129"/>
      <c r="E403" s="129"/>
      <c r="F403" s="129"/>
      <c r="G403" s="129"/>
      <c r="H403" s="129"/>
      <c r="I403" s="129"/>
      <c r="J403" s="129"/>
      <c r="K403" s="110"/>
      <c r="L403" s="129"/>
      <c r="M403" t="s">
        <v>351</v>
      </c>
      <c r="N403" s="129"/>
      <c r="O403" s="129"/>
      <c r="P403" s="129"/>
      <c r="Q403" s="129"/>
      <c r="R403" s="129"/>
      <c r="S403" s="129"/>
      <c r="T403" s="129"/>
      <c r="U403" s="129"/>
      <c r="V403" s="141"/>
      <c r="W403" s="139"/>
      <c r="X403" s="129"/>
      <c r="Y403" s="129"/>
      <c r="Z403" s="129"/>
      <c r="AA403" s="129"/>
      <c r="AB403" s="129"/>
      <c r="AC403" s="115"/>
      <c r="AD403" s="129"/>
      <c r="AE403" s="149"/>
      <c r="AF403" s="129"/>
      <c r="AG403" s="129"/>
      <c r="AH403" s="129"/>
    </row>
    <row r="404" spans="3:34" x14ac:dyDescent="0.35">
      <c r="C404" s="129"/>
      <c r="D404" s="129"/>
      <c r="E404" s="129"/>
      <c r="F404" s="129"/>
      <c r="G404" s="129"/>
      <c r="H404" s="129"/>
      <c r="I404" s="129"/>
      <c r="J404" s="129"/>
      <c r="K404" s="110"/>
      <c r="L404" s="129"/>
      <c r="M404" t="s">
        <v>351</v>
      </c>
      <c r="N404" s="129"/>
      <c r="O404" s="129"/>
      <c r="P404" s="129"/>
      <c r="Q404" s="129"/>
      <c r="R404" s="129"/>
      <c r="S404" s="129"/>
      <c r="T404" s="129"/>
      <c r="U404" s="129"/>
      <c r="V404" s="141"/>
      <c r="W404" s="139"/>
      <c r="X404" s="129"/>
      <c r="Y404" s="129"/>
      <c r="Z404" s="129"/>
      <c r="AA404" s="129"/>
      <c r="AB404" s="129"/>
      <c r="AC404" s="115"/>
      <c r="AD404" s="129"/>
      <c r="AE404" s="149"/>
      <c r="AF404" s="129"/>
      <c r="AG404" s="129"/>
      <c r="AH404" s="129"/>
    </row>
    <row r="405" spans="3:34" x14ac:dyDescent="0.35">
      <c r="C405" s="129"/>
      <c r="D405" s="129"/>
      <c r="E405" s="129"/>
      <c r="F405" s="129"/>
      <c r="G405" s="129"/>
      <c r="H405" s="129"/>
      <c r="I405" s="129"/>
      <c r="J405" s="129"/>
      <c r="K405" s="110"/>
      <c r="L405" s="129"/>
      <c r="M405" t="s">
        <v>351</v>
      </c>
      <c r="N405" s="129"/>
      <c r="O405" s="129"/>
      <c r="P405" s="129"/>
      <c r="Q405" s="129"/>
      <c r="R405" s="129"/>
      <c r="S405" s="129"/>
      <c r="T405" s="129"/>
      <c r="U405" s="129"/>
      <c r="V405" s="141"/>
      <c r="W405" s="139"/>
      <c r="X405" s="129"/>
      <c r="Y405" s="129"/>
      <c r="Z405" s="129"/>
      <c r="AA405" s="129"/>
      <c r="AB405" s="129"/>
      <c r="AC405" s="115"/>
      <c r="AD405" s="129"/>
      <c r="AE405" s="149"/>
      <c r="AF405" s="129"/>
      <c r="AG405" s="129"/>
      <c r="AH405" s="129"/>
    </row>
    <row r="406" spans="3:34" x14ac:dyDescent="0.35">
      <c r="C406" s="129"/>
      <c r="D406" s="129"/>
      <c r="E406" s="129"/>
      <c r="F406" s="129"/>
      <c r="G406" s="129"/>
      <c r="H406" s="129"/>
      <c r="I406" s="129"/>
      <c r="J406" s="129"/>
      <c r="K406" s="110"/>
      <c r="L406" s="129"/>
      <c r="M406" t="s">
        <v>351</v>
      </c>
      <c r="N406" s="129"/>
      <c r="O406" s="129"/>
      <c r="P406" s="129"/>
      <c r="Q406" s="129"/>
      <c r="R406" s="129"/>
      <c r="S406" s="129"/>
      <c r="T406" s="129"/>
      <c r="U406" s="129"/>
      <c r="V406" s="141"/>
      <c r="W406" s="139"/>
      <c r="X406" s="129"/>
      <c r="Y406" s="129"/>
      <c r="Z406" s="129"/>
      <c r="AA406" s="129"/>
      <c r="AB406" s="129"/>
      <c r="AC406" s="115"/>
      <c r="AD406" s="129"/>
      <c r="AE406" s="149"/>
      <c r="AF406" s="129"/>
      <c r="AG406" s="129"/>
      <c r="AH406" s="129"/>
    </row>
    <row r="407" spans="3:34" x14ac:dyDescent="0.35">
      <c r="C407" s="129"/>
      <c r="D407" s="129"/>
      <c r="E407" s="129"/>
      <c r="F407" s="129"/>
      <c r="G407" s="129"/>
      <c r="H407" s="129"/>
      <c r="I407" s="129"/>
      <c r="J407" s="129"/>
      <c r="K407" s="110"/>
      <c r="L407" s="129"/>
      <c r="M407" t="s">
        <v>351</v>
      </c>
      <c r="N407" s="129"/>
      <c r="O407" s="129"/>
      <c r="P407" s="129"/>
      <c r="Q407" s="129"/>
      <c r="R407" s="129"/>
      <c r="S407" s="129"/>
      <c r="T407" s="129"/>
      <c r="U407" s="129"/>
      <c r="V407" s="141"/>
      <c r="W407" s="139"/>
      <c r="X407" s="129"/>
      <c r="Y407" s="129"/>
      <c r="Z407" s="129"/>
      <c r="AA407" s="129"/>
      <c r="AB407" s="129"/>
      <c r="AC407" s="115"/>
      <c r="AD407" s="129"/>
      <c r="AE407" s="149"/>
      <c r="AF407" s="129"/>
      <c r="AG407" s="129"/>
      <c r="AH407" s="129"/>
    </row>
    <row r="408" spans="3:34" x14ac:dyDescent="0.35">
      <c r="C408" s="129"/>
      <c r="D408" s="129"/>
      <c r="E408" s="129"/>
      <c r="F408" s="129"/>
      <c r="G408" s="129"/>
      <c r="H408" s="129"/>
      <c r="I408" s="129"/>
      <c r="J408" s="129"/>
      <c r="K408" s="110"/>
      <c r="L408" s="129"/>
      <c r="M408" t="s">
        <v>351</v>
      </c>
      <c r="N408" s="129"/>
      <c r="O408" s="129"/>
      <c r="P408" s="129"/>
      <c r="Q408" s="129"/>
      <c r="R408" s="129"/>
      <c r="S408" s="129"/>
      <c r="T408" s="129"/>
      <c r="U408" s="129"/>
      <c r="V408" s="141"/>
      <c r="W408" s="139"/>
      <c r="X408" s="129"/>
      <c r="Y408" s="129"/>
      <c r="Z408" s="129"/>
      <c r="AA408" s="129"/>
      <c r="AB408" s="129"/>
      <c r="AC408" s="115"/>
      <c r="AD408" s="129"/>
      <c r="AE408" s="149"/>
      <c r="AF408" s="129"/>
      <c r="AG408" s="129"/>
      <c r="AH408" s="129"/>
    </row>
    <row r="409" spans="3:34" x14ac:dyDescent="0.35">
      <c r="C409" s="129"/>
      <c r="D409" s="129"/>
      <c r="E409" s="129"/>
      <c r="F409" s="129"/>
      <c r="G409" s="129"/>
      <c r="H409" s="129"/>
      <c r="I409" s="129"/>
      <c r="J409" s="129"/>
      <c r="K409" s="110"/>
      <c r="L409" s="129"/>
      <c r="M409" t="s">
        <v>351</v>
      </c>
      <c r="N409" s="129"/>
      <c r="O409" s="129"/>
      <c r="P409" s="129"/>
      <c r="Q409" s="129"/>
      <c r="R409" s="129"/>
      <c r="S409" s="129"/>
      <c r="T409" s="129"/>
      <c r="U409" s="129"/>
      <c r="V409" s="141"/>
      <c r="W409" s="139"/>
      <c r="X409" s="129"/>
      <c r="Y409" s="129"/>
      <c r="Z409" s="129"/>
      <c r="AA409" s="129"/>
      <c r="AB409" s="129"/>
      <c r="AC409" s="115"/>
      <c r="AD409" s="129"/>
      <c r="AE409" s="149"/>
      <c r="AF409" s="129"/>
      <c r="AG409" s="129"/>
      <c r="AH409" s="129"/>
    </row>
    <row r="410" spans="3:34" x14ac:dyDescent="0.35">
      <c r="C410" s="129"/>
      <c r="D410" s="129"/>
      <c r="E410" s="129"/>
      <c r="F410" s="129"/>
      <c r="G410" s="129"/>
      <c r="H410" s="129"/>
      <c r="I410" s="129"/>
      <c r="J410" s="129"/>
      <c r="K410" s="110"/>
      <c r="L410" s="129"/>
      <c r="M410" t="s">
        <v>351</v>
      </c>
      <c r="N410" s="129"/>
      <c r="O410" s="129"/>
      <c r="P410" s="129"/>
      <c r="Q410" s="129"/>
      <c r="R410" s="129"/>
      <c r="S410" s="129"/>
      <c r="T410" s="129"/>
      <c r="U410" s="129"/>
      <c r="V410" s="141"/>
      <c r="W410" s="139"/>
      <c r="X410" s="129"/>
      <c r="Y410" s="129"/>
      <c r="Z410" s="129"/>
      <c r="AA410" s="129"/>
      <c r="AB410" s="129"/>
      <c r="AC410" s="115"/>
      <c r="AD410" s="129"/>
      <c r="AE410" s="149"/>
      <c r="AF410" s="129"/>
      <c r="AG410" s="129"/>
      <c r="AH410" s="129"/>
    </row>
    <row r="411" spans="3:34" x14ac:dyDescent="0.35">
      <c r="C411" s="129"/>
      <c r="D411" s="129"/>
      <c r="E411" s="129"/>
      <c r="F411" s="129"/>
      <c r="G411" s="129"/>
      <c r="H411" s="129"/>
      <c r="I411" s="129"/>
      <c r="J411" s="129"/>
      <c r="K411" s="110"/>
      <c r="L411" s="129"/>
      <c r="M411" t="s">
        <v>351</v>
      </c>
      <c r="N411" s="129"/>
      <c r="O411" s="129"/>
      <c r="P411" s="129"/>
      <c r="Q411" s="129"/>
      <c r="R411" s="129"/>
      <c r="S411" s="129"/>
      <c r="T411" s="129"/>
      <c r="U411" s="129"/>
      <c r="V411" s="141"/>
      <c r="W411" s="139"/>
      <c r="X411" s="129"/>
      <c r="Y411" s="129"/>
      <c r="Z411" s="129"/>
      <c r="AA411" s="129"/>
      <c r="AB411" s="129"/>
      <c r="AC411" s="115"/>
      <c r="AD411" s="129"/>
      <c r="AE411" s="149"/>
      <c r="AF411" s="129"/>
      <c r="AG411" s="129"/>
      <c r="AH411" s="129"/>
    </row>
    <row r="412" spans="3:34" x14ac:dyDescent="0.35">
      <c r="C412" s="129"/>
      <c r="D412" s="129"/>
      <c r="E412" s="129"/>
      <c r="F412" s="129"/>
      <c r="G412" s="129"/>
      <c r="H412" s="129"/>
      <c r="I412" s="129"/>
      <c r="J412" s="129"/>
      <c r="K412" s="110"/>
      <c r="L412" s="129"/>
      <c r="M412" t="s">
        <v>351</v>
      </c>
      <c r="N412" s="129"/>
      <c r="O412" s="129"/>
      <c r="P412" s="129"/>
      <c r="Q412" s="129"/>
      <c r="R412" s="129"/>
      <c r="S412" s="129"/>
      <c r="T412" s="129"/>
      <c r="U412" s="129"/>
      <c r="V412" s="141"/>
      <c r="W412" s="139"/>
      <c r="X412" s="129"/>
      <c r="Y412" s="129"/>
      <c r="Z412" s="129"/>
      <c r="AA412" s="129"/>
      <c r="AB412" s="129"/>
      <c r="AC412" s="115"/>
      <c r="AD412" s="129"/>
      <c r="AE412" s="149"/>
      <c r="AF412" s="129"/>
      <c r="AG412" s="129"/>
      <c r="AH412" s="129"/>
    </row>
    <row r="413" spans="3:34" x14ac:dyDescent="0.35">
      <c r="C413" s="129"/>
      <c r="D413" s="129"/>
      <c r="E413" s="129"/>
      <c r="F413" s="129"/>
      <c r="G413" s="129"/>
      <c r="H413" s="129"/>
      <c r="I413" s="129"/>
      <c r="J413" s="129"/>
      <c r="K413" s="110"/>
      <c r="L413" s="129"/>
      <c r="M413" t="s">
        <v>351</v>
      </c>
      <c r="N413" s="129"/>
      <c r="O413" s="129"/>
      <c r="P413" s="129"/>
      <c r="Q413" s="129"/>
      <c r="R413" s="129"/>
      <c r="S413" s="129"/>
      <c r="T413" s="129"/>
      <c r="U413" s="129"/>
      <c r="V413" s="141"/>
      <c r="W413" s="139"/>
      <c r="X413" s="129"/>
      <c r="Y413" s="129"/>
      <c r="Z413" s="129"/>
      <c r="AA413" s="129"/>
      <c r="AB413" s="129"/>
      <c r="AC413" s="115"/>
      <c r="AD413" s="129"/>
      <c r="AE413" s="149"/>
      <c r="AF413" s="129"/>
      <c r="AG413" s="129"/>
      <c r="AH413" s="129"/>
    </row>
    <row r="414" spans="3:34" x14ac:dyDescent="0.35">
      <c r="C414" s="129"/>
      <c r="D414" s="129"/>
      <c r="E414" s="129"/>
      <c r="F414" s="129"/>
      <c r="G414" s="129"/>
      <c r="H414" s="129"/>
      <c r="I414" s="129"/>
      <c r="J414" s="129"/>
      <c r="K414" s="110"/>
      <c r="L414" s="129"/>
      <c r="M414" t="s">
        <v>351</v>
      </c>
      <c r="N414" s="129"/>
      <c r="O414" s="129"/>
      <c r="P414" s="129"/>
      <c r="Q414" s="129"/>
      <c r="R414" s="129"/>
      <c r="S414" s="129"/>
      <c r="T414" s="129"/>
      <c r="U414" s="129"/>
      <c r="V414" s="141"/>
      <c r="W414" s="139"/>
      <c r="X414" s="129"/>
      <c r="Y414" s="129"/>
      <c r="Z414" s="129"/>
      <c r="AA414" s="129"/>
      <c r="AB414" s="129"/>
      <c r="AC414" s="115"/>
      <c r="AD414" s="129"/>
      <c r="AE414" s="149"/>
      <c r="AF414" s="129"/>
      <c r="AG414" s="129"/>
      <c r="AH414" s="129"/>
    </row>
    <row r="415" spans="3:34" x14ac:dyDescent="0.35">
      <c r="C415" s="129"/>
      <c r="D415" s="129"/>
      <c r="E415" s="129"/>
      <c r="F415" s="129"/>
      <c r="G415" s="129"/>
      <c r="H415" s="129"/>
      <c r="I415" s="129"/>
      <c r="J415" s="129"/>
      <c r="K415" s="110"/>
      <c r="L415" s="129"/>
      <c r="M415" t="s">
        <v>351</v>
      </c>
      <c r="N415" s="129"/>
      <c r="O415" s="129"/>
      <c r="P415" s="129"/>
      <c r="Q415" s="129"/>
      <c r="R415" s="129"/>
      <c r="S415" s="129"/>
      <c r="T415" s="129"/>
      <c r="U415" s="129"/>
      <c r="V415" s="141"/>
      <c r="W415" s="139"/>
      <c r="X415" s="129"/>
      <c r="Y415" s="129"/>
      <c r="Z415" s="129"/>
      <c r="AA415" s="129"/>
      <c r="AB415" s="129"/>
      <c r="AC415" s="115"/>
      <c r="AD415" s="129"/>
      <c r="AE415" s="149"/>
      <c r="AF415" s="129"/>
      <c r="AG415" s="129"/>
      <c r="AH415" s="129"/>
    </row>
    <row r="416" spans="3:34" x14ac:dyDescent="0.35">
      <c r="C416" s="129"/>
      <c r="D416" s="129"/>
      <c r="E416" s="129"/>
      <c r="F416" s="129"/>
      <c r="G416" s="129"/>
      <c r="H416" s="129"/>
      <c r="I416" s="129"/>
      <c r="J416" s="129"/>
      <c r="K416" s="110"/>
      <c r="L416" s="129"/>
      <c r="M416" t="s">
        <v>351</v>
      </c>
      <c r="N416" s="129"/>
      <c r="O416" s="129"/>
      <c r="P416" s="129"/>
      <c r="Q416" s="129"/>
      <c r="R416" s="129"/>
      <c r="S416" s="129"/>
      <c r="T416" s="129"/>
      <c r="U416" s="129"/>
      <c r="V416" s="141"/>
      <c r="W416" s="139"/>
      <c r="X416" s="129"/>
      <c r="Y416" s="129"/>
      <c r="Z416" s="129"/>
      <c r="AA416" s="129"/>
      <c r="AB416" s="129"/>
      <c r="AC416" s="115"/>
      <c r="AD416" s="129"/>
      <c r="AE416" s="149"/>
      <c r="AF416" s="129"/>
      <c r="AG416" s="129"/>
      <c r="AH416" s="129"/>
    </row>
    <row r="417" spans="3:34" x14ac:dyDescent="0.35">
      <c r="C417" s="129"/>
      <c r="D417" s="129"/>
      <c r="E417" s="129"/>
      <c r="F417" s="129"/>
      <c r="G417" s="129"/>
      <c r="H417" s="129"/>
      <c r="I417" s="129"/>
      <c r="J417" s="129"/>
      <c r="K417" s="110"/>
      <c r="L417" s="129"/>
      <c r="M417" t="s">
        <v>351</v>
      </c>
      <c r="N417" s="129"/>
      <c r="O417" s="129"/>
      <c r="P417" s="129"/>
      <c r="Q417" s="129"/>
      <c r="R417" s="129"/>
      <c r="S417" s="129"/>
      <c r="T417" s="129"/>
      <c r="U417" s="129"/>
      <c r="V417" s="141"/>
      <c r="W417" s="139"/>
      <c r="X417" s="129"/>
      <c r="Y417" s="129"/>
      <c r="Z417" s="129"/>
      <c r="AA417" s="129"/>
      <c r="AB417" s="129"/>
      <c r="AC417" s="115"/>
      <c r="AD417" s="129"/>
      <c r="AE417" s="149"/>
      <c r="AF417" s="129"/>
      <c r="AG417" s="129"/>
      <c r="AH417" s="129"/>
    </row>
    <row r="418" spans="3:34" x14ac:dyDescent="0.35">
      <c r="C418" s="129"/>
      <c r="D418" s="129"/>
      <c r="E418" s="129"/>
      <c r="F418" s="129"/>
      <c r="G418" s="129"/>
      <c r="H418" s="129"/>
      <c r="I418" s="129"/>
      <c r="J418" s="129"/>
      <c r="K418" s="110"/>
      <c r="L418" s="129"/>
      <c r="M418" t="s">
        <v>351</v>
      </c>
      <c r="N418" s="129"/>
      <c r="O418" s="129"/>
      <c r="P418" s="129"/>
      <c r="Q418" s="129"/>
      <c r="R418" s="129"/>
      <c r="S418" s="129"/>
      <c r="T418" s="129"/>
      <c r="U418" s="129"/>
      <c r="V418" s="141"/>
      <c r="W418" s="139"/>
      <c r="X418" s="129"/>
      <c r="Y418" s="129"/>
      <c r="Z418" s="129"/>
      <c r="AA418" s="129"/>
      <c r="AB418" s="129"/>
      <c r="AC418" s="115"/>
      <c r="AD418" s="129"/>
      <c r="AE418" s="149"/>
      <c r="AF418" s="129"/>
      <c r="AG418" s="129"/>
      <c r="AH418" s="129"/>
    </row>
    <row r="419" spans="3:34" x14ac:dyDescent="0.35">
      <c r="C419" s="129"/>
      <c r="D419" s="129"/>
      <c r="E419" s="129"/>
      <c r="F419" s="129"/>
      <c r="G419" s="129"/>
      <c r="H419" s="129"/>
      <c r="I419" s="129"/>
      <c r="J419" s="129"/>
      <c r="K419" s="110"/>
      <c r="L419" s="129"/>
      <c r="M419" t="s">
        <v>351</v>
      </c>
      <c r="N419" s="129"/>
      <c r="O419" s="129"/>
      <c r="P419" s="129"/>
      <c r="Q419" s="129"/>
      <c r="R419" s="129"/>
      <c r="S419" s="129"/>
      <c r="T419" s="129"/>
      <c r="U419" s="129"/>
      <c r="V419" s="141"/>
      <c r="W419" s="139"/>
      <c r="X419" s="129"/>
      <c r="Y419" s="129"/>
      <c r="Z419" s="129"/>
      <c r="AA419" s="129"/>
      <c r="AB419" s="129"/>
      <c r="AC419" s="115"/>
      <c r="AD419" s="129"/>
      <c r="AE419" s="149"/>
      <c r="AF419" s="129"/>
      <c r="AG419" s="129"/>
      <c r="AH419" s="129"/>
    </row>
    <row r="420" spans="3:34" x14ac:dyDescent="0.35">
      <c r="C420" s="129"/>
      <c r="D420" s="129"/>
      <c r="E420" s="129"/>
      <c r="F420" s="129"/>
      <c r="G420" s="129"/>
      <c r="H420" s="129"/>
      <c r="I420" s="129"/>
      <c r="J420" s="129"/>
      <c r="K420" s="110"/>
      <c r="L420" s="129"/>
      <c r="M420" t="s">
        <v>351</v>
      </c>
      <c r="N420" s="129"/>
      <c r="O420" s="129"/>
      <c r="P420" s="129"/>
      <c r="Q420" s="129"/>
      <c r="R420" s="129"/>
      <c r="S420" s="129"/>
      <c r="T420" s="129"/>
      <c r="U420" s="129"/>
      <c r="V420" s="141"/>
      <c r="W420" s="139"/>
      <c r="X420" s="129"/>
      <c r="Y420" s="129"/>
      <c r="Z420" s="129"/>
      <c r="AA420" s="129"/>
      <c r="AB420" s="129"/>
      <c r="AC420" s="115"/>
      <c r="AD420" s="129"/>
      <c r="AE420" s="149"/>
      <c r="AF420" s="129"/>
      <c r="AG420" s="129"/>
      <c r="AH420" s="129"/>
    </row>
    <row r="421" spans="3:34" x14ac:dyDescent="0.35">
      <c r="C421" s="129"/>
      <c r="D421" s="129"/>
      <c r="E421" s="129"/>
      <c r="F421" s="129"/>
      <c r="G421" s="129"/>
      <c r="H421" s="129"/>
      <c r="I421" s="129"/>
      <c r="J421" s="129"/>
      <c r="K421" s="110"/>
      <c r="L421" s="129"/>
      <c r="M421" t="s">
        <v>351</v>
      </c>
      <c r="N421" s="129"/>
      <c r="O421" s="129"/>
      <c r="P421" s="129"/>
      <c r="Q421" s="129"/>
      <c r="R421" s="129"/>
      <c r="S421" s="129"/>
      <c r="T421" s="129"/>
      <c r="U421" s="129"/>
      <c r="V421" s="141"/>
      <c r="W421" s="139"/>
      <c r="X421" s="129"/>
      <c r="Y421" s="129"/>
      <c r="Z421" s="129"/>
      <c r="AA421" s="129"/>
      <c r="AB421" s="129"/>
      <c r="AC421" s="115"/>
      <c r="AD421" s="129"/>
      <c r="AE421" s="149"/>
      <c r="AF421" s="129"/>
      <c r="AG421" s="129"/>
      <c r="AH421" s="129"/>
    </row>
    <row r="422" spans="3:34" x14ac:dyDescent="0.35">
      <c r="C422" s="129"/>
      <c r="D422" s="129"/>
      <c r="E422" s="129"/>
      <c r="F422" s="129"/>
      <c r="G422" s="129"/>
      <c r="H422" s="129"/>
      <c r="I422" s="129"/>
      <c r="J422" s="129"/>
      <c r="K422" s="110"/>
      <c r="L422" s="129"/>
      <c r="M422" t="s">
        <v>351</v>
      </c>
      <c r="N422" s="129"/>
      <c r="O422" s="129"/>
      <c r="P422" s="129"/>
      <c r="Q422" s="129"/>
      <c r="R422" s="129"/>
      <c r="S422" s="129"/>
      <c r="T422" s="129"/>
      <c r="U422" s="129"/>
      <c r="V422" s="141"/>
      <c r="W422" s="139"/>
      <c r="X422" s="129"/>
      <c r="Y422" s="129"/>
      <c r="Z422" s="129"/>
      <c r="AA422" s="129"/>
      <c r="AB422" s="129"/>
      <c r="AC422" s="115"/>
      <c r="AD422" s="129"/>
      <c r="AE422" s="149"/>
      <c r="AF422" s="129"/>
      <c r="AG422" s="129"/>
      <c r="AH422" s="129"/>
    </row>
    <row r="423" spans="3:34" x14ac:dyDescent="0.35">
      <c r="C423" s="129"/>
      <c r="D423" s="129"/>
      <c r="E423" s="129"/>
      <c r="F423" s="129"/>
      <c r="G423" s="129"/>
      <c r="H423" s="129"/>
      <c r="I423" s="129"/>
      <c r="J423" s="129"/>
      <c r="K423" s="110"/>
      <c r="L423" s="129"/>
      <c r="M423" t="s">
        <v>351</v>
      </c>
      <c r="N423" s="129"/>
      <c r="O423" s="129"/>
      <c r="P423" s="129"/>
      <c r="Q423" s="129"/>
      <c r="R423" s="129"/>
      <c r="S423" s="129"/>
      <c r="T423" s="129"/>
      <c r="U423" s="129"/>
      <c r="V423" s="141"/>
      <c r="W423" s="139"/>
      <c r="X423" s="129"/>
      <c r="Y423" s="129"/>
      <c r="Z423" s="129"/>
      <c r="AA423" s="129"/>
      <c r="AB423" s="129"/>
      <c r="AC423" s="115"/>
      <c r="AD423" s="129"/>
      <c r="AE423" s="149"/>
      <c r="AF423" s="129"/>
      <c r="AG423" s="129"/>
      <c r="AH423" s="129"/>
    </row>
    <row r="424" spans="3:34" x14ac:dyDescent="0.35">
      <c r="C424" s="129"/>
      <c r="D424" s="129"/>
      <c r="E424" s="129"/>
      <c r="F424" s="129"/>
      <c r="G424" s="129"/>
      <c r="H424" s="129"/>
      <c r="I424" s="129"/>
      <c r="J424" s="129"/>
      <c r="K424" s="110"/>
      <c r="L424" s="129"/>
      <c r="M424" t="s">
        <v>351</v>
      </c>
      <c r="N424" s="129"/>
      <c r="O424" s="129"/>
      <c r="P424" s="129"/>
      <c r="Q424" s="129"/>
      <c r="R424" s="129"/>
      <c r="S424" s="129"/>
      <c r="T424" s="129"/>
      <c r="U424" s="129"/>
      <c r="V424" s="141"/>
      <c r="W424" s="139"/>
      <c r="X424" s="129"/>
      <c r="Y424" s="129"/>
      <c r="Z424" s="129"/>
      <c r="AA424" s="129"/>
      <c r="AB424" s="129"/>
      <c r="AC424" s="115"/>
      <c r="AD424" s="129"/>
      <c r="AE424" s="149"/>
      <c r="AF424" s="129"/>
      <c r="AG424" s="129"/>
      <c r="AH424" s="129"/>
    </row>
    <row r="425" spans="3:34" x14ac:dyDescent="0.35">
      <c r="C425" s="129"/>
      <c r="D425" s="129"/>
      <c r="E425" s="129"/>
      <c r="F425" s="129"/>
      <c r="G425" s="129"/>
      <c r="H425" s="129"/>
      <c r="I425" s="129"/>
      <c r="J425" s="129"/>
      <c r="K425" s="110"/>
      <c r="L425" s="129"/>
      <c r="M425" t="s">
        <v>351</v>
      </c>
      <c r="N425" s="129"/>
      <c r="O425" s="129"/>
      <c r="P425" s="129"/>
      <c r="Q425" s="129"/>
      <c r="R425" s="129"/>
      <c r="S425" s="129"/>
      <c r="T425" s="129"/>
      <c r="U425" s="129"/>
      <c r="V425" s="141"/>
      <c r="W425" s="139"/>
      <c r="X425" s="129"/>
      <c r="Y425" s="129"/>
      <c r="Z425" s="129"/>
      <c r="AA425" s="129"/>
      <c r="AB425" s="129"/>
      <c r="AC425" s="115"/>
      <c r="AD425" s="129"/>
      <c r="AE425" s="149"/>
      <c r="AF425" s="129"/>
      <c r="AG425" s="129"/>
      <c r="AH425" s="129"/>
    </row>
    <row r="426" spans="3:34" x14ac:dyDescent="0.35">
      <c r="C426" s="129"/>
      <c r="D426" s="129"/>
      <c r="E426" s="129"/>
      <c r="F426" s="129"/>
      <c r="G426" s="129"/>
      <c r="H426" s="129"/>
      <c r="I426" s="129"/>
      <c r="J426" s="129"/>
      <c r="K426" s="110"/>
      <c r="L426" s="129"/>
      <c r="M426" t="s">
        <v>351</v>
      </c>
      <c r="N426" s="129"/>
      <c r="O426" s="129"/>
      <c r="P426" s="129"/>
      <c r="Q426" s="129"/>
      <c r="R426" s="129"/>
      <c r="S426" s="129"/>
      <c r="T426" s="129"/>
      <c r="U426" s="129"/>
      <c r="V426" s="141"/>
      <c r="W426" s="139"/>
      <c r="X426" s="129"/>
      <c r="Y426" s="129"/>
      <c r="Z426" s="129"/>
      <c r="AA426" s="129"/>
      <c r="AB426" s="129"/>
      <c r="AC426" s="115"/>
      <c r="AD426" s="129"/>
      <c r="AE426" s="149"/>
      <c r="AF426" s="129"/>
      <c r="AG426" s="129"/>
      <c r="AH426" s="129"/>
    </row>
    <row r="427" spans="3:34" x14ac:dyDescent="0.35">
      <c r="C427" s="129"/>
      <c r="D427" s="129"/>
      <c r="E427" s="129"/>
      <c r="F427" s="129"/>
      <c r="G427" s="129"/>
      <c r="H427" s="129"/>
      <c r="I427" s="129"/>
      <c r="J427" s="129"/>
      <c r="K427" s="110"/>
      <c r="L427" s="129"/>
      <c r="M427" t="s">
        <v>351</v>
      </c>
      <c r="N427" s="129"/>
      <c r="O427" s="129"/>
      <c r="P427" s="129"/>
      <c r="Q427" s="129"/>
      <c r="R427" s="129"/>
      <c r="S427" s="129"/>
      <c r="T427" s="129"/>
      <c r="U427" s="129"/>
      <c r="V427" s="141"/>
      <c r="W427" s="139"/>
      <c r="X427" s="129"/>
      <c r="Y427" s="129"/>
      <c r="Z427" s="129"/>
      <c r="AA427" s="129"/>
      <c r="AB427" s="129"/>
      <c r="AC427" s="115"/>
      <c r="AD427" s="129"/>
      <c r="AE427" s="149"/>
      <c r="AF427" s="129"/>
      <c r="AG427" s="129"/>
      <c r="AH427" s="129"/>
    </row>
    <row r="428" spans="3:34" x14ac:dyDescent="0.35">
      <c r="C428" s="129"/>
      <c r="D428" s="129"/>
      <c r="E428" s="129"/>
      <c r="F428" s="129"/>
      <c r="G428" s="129"/>
      <c r="H428" s="129"/>
      <c r="I428" s="129"/>
      <c r="J428" s="129"/>
      <c r="K428" s="110"/>
      <c r="L428" s="129"/>
      <c r="M428" t="s">
        <v>351</v>
      </c>
      <c r="N428" s="129"/>
      <c r="O428" s="129"/>
      <c r="P428" s="129"/>
      <c r="Q428" s="129"/>
      <c r="R428" s="129"/>
      <c r="S428" s="129"/>
      <c r="T428" s="129"/>
      <c r="U428" s="129"/>
      <c r="V428" s="141"/>
      <c r="W428" s="139"/>
      <c r="X428" s="129"/>
      <c r="Y428" s="129"/>
      <c r="Z428" s="129"/>
      <c r="AA428" s="129"/>
      <c r="AB428" s="129"/>
      <c r="AC428" s="115"/>
      <c r="AD428" s="129"/>
      <c r="AE428" s="149"/>
      <c r="AF428" s="129"/>
      <c r="AG428" s="129"/>
      <c r="AH428" s="129"/>
    </row>
    <row r="429" spans="3:34" x14ac:dyDescent="0.35">
      <c r="C429" s="129"/>
      <c r="D429" s="129"/>
      <c r="E429" s="129"/>
      <c r="F429" s="129"/>
      <c r="G429" s="129"/>
      <c r="H429" s="129"/>
      <c r="I429" s="129"/>
      <c r="J429" s="129"/>
      <c r="K429" s="110"/>
      <c r="L429" s="129"/>
      <c r="M429" t="s">
        <v>351</v>
      </c>
      <c r="N429" s="129"/>
      <c r="O429" s="129"/>
      <c r="P429" s="129"/>
      <c r="Q429" s="129"/>
      <c r="R429" s="129"/>
      <c r="S429" s="129"/>
      <c r="T429" s="129"/>
      <c r="U429" s="129"/>
      <c r="V429" s="141"/>
      <c r="W429" s="139"/>
      <c r="X429" s="129"/>
      <c r="Y429" s="129"/>
      <c r="Z429" s="129"/>
      <c r="AA429" s="129"/>
      <c r="AB429" s="129"/>
      <c r="AC429" s="115"/>
      <c r="AD429" s="129"/>
      <c r="AE429" s="149"/>
      <c r="AF429" s="129"/>
      <c r="AG429" s="129"/>
      <c r="AH429" s="129"/>
    </row>
    <row r="430" spans="3:34" x14ac:dyDescent="0.35">
      <c r="C430" s="129"/>
      <c r="D430" s="129"/>
      <c r="E430" s="129"/>
      <c r="F430" s="129"/>
      <c r="G430" s="129"/>
      <c r="H430" s="129"/>
      <c r="I430" s="129"/>
      <c r="J430" s="129"/>
      <c r="K430" s="110"/>
      <c r="L430" s="129"/>
      <c r="M430" t="s">
        <v>351</v>
      </c>
      <c r="N430" s="129"/>
      <c r="O430" s="129"/>
      <c r="P430" s="129"/>
      <c r="Q430" s="129"/>
      <c r="R430" s="129"/>
      <c r="S430" s="129"/>
      <c r="T430" s="129"/>
      <c r="U430" s="129"/>
      <c r="V430" s="141"/>
      <c r="W430" s="139"/>
      <c r="X430" s="129"/>
      <c r="Y430" s="129"/>
      <c r="Z430" s="129"/>
      <c r="AA430" s="129"/>
      <c r="AB430" s="129"/>
      <c r="AC430" s="115"/>
      <c r="AD430" s="129"/>
      <c r="AE430" s="149"/>
      <c r="AF430" s="129"/>
      <c r="AG430" s="129"/>
      <c r="AH430" s="129"/>
    </row>
    <row r="431" spans="3:34" x14ac:dyDescent="0.35">
      <c r="C431" s="129"/>
      <c r="D431" s="129"/>
      <c r="E431" s="129"/>
      <c r="F431" s="129"/>
      <c r="G431" s="129"/>
      <c r="H431" s="129"/>
      <c r="I431" s="129"/>
      <c r="J431" s="129"/>
      <c r="K431" s="110"/>
      <c r="L431" s="129"/>
      <c r="M431" t="s">
        <v>351</v>
      </c>
      <c r="N431" s="129"/>
      <c r="O431" s="129"/>
      <c r="P431" s="129"/>
      <c r="Q431" s="129"/>
      <c r="R431" s="129"/>
      <c r="S431" s="129"/>
      <c r="T431" s="129"/>
      <c r="U431" s="129"/>
      <c r="V431" s="141"/>
      <c r="W431" s="139"/>
      <c r="X431" s="129"/>
      <c r="Y431" s="129"/>
      <c r="Z431" s="129"/>
      <c r="AA431" s="129"/>
      <c r="AB431" s="129"/>
      <c r="AC431" s="115"/>
      <c r="AD431" s="129"/>
      <c r="AE431" s="149"/>
      <c r="AF431" s="129"/>
      <c r="AG431" s="129"/>
      <c r="AH431" s="129"/>
    </row>
    <row r="432" spans="3:34" x14ac:dyDescent="0.35">
      <c r="C432" s="129"/>
      <c r="D432" s="129"/>
      <c r="E432" s="129"/>
      <c r="F432" s="129"/>
      <c r="G432" s="129"/>
      <c r="H432" s="129"/>
      <c r="I432" s="129"/>
      <c r="J432" s="129"/>
      <c r="K432" s="110"/>
      <c r="L432" s="129"/>
      <c r="M432" t="s">
        <v>351</v>
      </c>
      <c r="N432" s="129"/>
      <c r="O432" s="129"/>
      <c r="P432" s="129"/>
      <c r="Q432" s="129"/>
      <c r="R432" s="129"/>
      <c r="S432" s="129"/>
      <c r="T432" s="129"/>
      <c r="U432" s="129"/>
      <c r="V432" s="141"/>
      <c r="W432" s="139"/>
      <c r="X432" s="129"/>
      <c r="Y432" s="129"/>
      <c r="Z432" s="129"/>
      <c r="AA432" s="129"/>
      <c r="AB432" s="129"/>
      <c r="AC432" s="115"/>
      <c r="AD432" s="129"/>
      <c r="AE432" s="149"/>
      <c r="AF432" s="129"/>
      <c r="AG432" s="129"/>
      <c r="AH432" s="129"/>
    </row>
    <row r="433" spans="3:34" x14ac:dyDescent="0.35">
      <c r="C433" s="129"/>
      <c r="D433" s="129"/>
      <c r="E433" s="129"/>
      <c r="F433" s="129"/>
      <c r="G433" s="129"/>
      <c r="H433" s="129"/>
      <c r="I433" s="129"/>
      <c r="J433" s="129"/>
      <c r="K433" s="110"/>
      <c r="L433" s="129"/>
      <c r="M433" t="s">
        <v>351</v>
      </c>
      <c r="N433" s="129"/>
      <c r="O433" s="129"/>
      <c r="P433" s="129"/>
      <c r="Q433" s="129"/>
      <c r="R433" s="129"/>
      <c r="S433" s="129"/>
      <c r="T433" s="129"/>
      <c r="U433" s="129"/>
      <c r="V433" s="141"/>
      <c r="W433" s="139"/>
      <c r="X433" s="129"/>
      <c r="Y433" s="129"/>
      <c r="Z433" s="129"/>
      <c r="AA433" s="129"/>
      <c r="AB433" s="129"/>
      <c r="AC433" s="115"/>
      <c r="AD433" s="129"/>
      <c r="AE433" s="149"/>
      <c r="AF433" s="129"/>
      <c r="AG433" s="129"/>
      <c r="AH433" s="129"/>
    </row>
    <row r="434" spans="3:34" x14ac:dyDescent="0.35">
      <c r="C434" s="129"/>
      <c r="D434" s="129"/>
      <c r="E434" s="129"/>
      <c r="F434" s="129"/>
      <c r="G434" s="129"/>
      <c r="H434" s="129"/>
      <c r="I434" s="129"/>
      <c r="J434" s="129"/>
      <c r="K434" s="110"/>
      <c r="L434" s="129"/>
      <c r="M434" t="s">
        <v>351</v>
      </c>
      <c r="N434" s="129"/>
      <c r="O434" s="129"/>
      <c r="P434" s="129"/>
      <c r="Q434" s="129"/>
      <c r="R434" s="129"/>
      <c r="S434" s="129"/>
      <c r="T434" s="129"/>
      <c r="U434" s="129"/>
      <c r="V434" s="141"/>
      <c r="W434" s="139"/>
      <c r="X434" s="129"/>
      <c r="Y434" s="129"/>
      <c r="Z434" s="129"/>
      <c r="AA434" s="129"/>
      <c r="AB434" s="129"/>
      <c r="AC434" s="115"/>
      <c r="AD434" s="129"/>
      <c r="AE434" s="149"/>
      <c r="AF434" s="129"/>
      <c r="AG434" s="129"/>
      <c r="AH434" s="129"/>
    </row>
    <row r="435" spans="3:34" x14ac:dyDescent="0.35">
      <c r="C435" s="129"/>
      <c r="D435" s="129"/>
      <c r="E435" s="129"/>
      <c r="F435" s="129"/>
      <c r="G435" s="129"/>
      <c r="H435" s="129"/>
      <c r="I435" s="129"/>
      <c r="J435" s="129"/>
      <c r="K435" s="110"/>
      <c r="L435" s="129"/>
      <c r="M435" t="s">
        <v>351</v>
      </c>
      <c r="N435" s="129"/>
      <c r="O435" s="129"/>
      <c r="P435" s="129"/>
      <c r="Q435" s="129"/>
      <c r="R435" s="129"/>
      <c r="S435" s="129"/>
      <c r="T435" s="129"/>
      <c r="U435" s="129"/>
      <c r="V435" s="141"/>
      <c r="W435" s="139"/>
      <c r="X435" s="129"/>
      <c r="Y435" s="129"/>
      <c r="Z435" s="129"/>
      <c r="AA435" s="129"/>
      <c r="AB435" s="129"/>
      <c r="AC435" s="115"/>
      <c r="AD435" s="129"/>
      <c r="AE435" s="149"/>
      <c r="AF435" s="129"/>
      <c r="AG435" s="129"/>
      <c r="AH435" s="129"/>
    </row>
    <row r="436" spans="3:34" x14ac:dyDescent="0.35">
      <c r="C436" s="129"/>
      <c r="D436" s="129"/>
      <c r="E436" s="129"/>
      <c r="F436" s="129"/>
      <c r="G436" s="129"/>
      <c r="H436" s="129"/>
      <c r="I436" s="129"/>
      <c r="J436" s="129"/>
      <c r="K436" s="110"/>
      <c r="L436" s="129"/>
      <c r="M436" t="s">
        <v>351</v>
      </c>
      <c r="N436" s="129"/>
      <c r="O436" s="129"/>
      <c r="P436" s="129"/>
      <c r="Q436" s="129"/>
      <c r="R436" s="129"/>
      <c r="S436" s="129"/>
      <c r="T436" s="129"/>
      <c r="U436" s="129"/>
      <c r="V436" s="141"/>
      <c r="W436" s="139"/>
      <c r="X436" s="129"/>
      <c r="Y436" s="129"/>
      <c r="Z436" s="129"/>
      <c r="AA436" s="129"/>
      <c r="AB436" s="129"/>
      <c r="AC436" s="115"/>
      <c r="AD436" s="129"/>
      <c r="AE436" s="149"/>
      <c r="AF436" s="129"/>
      <c r="AG436" s="129"/>
      <c r="AH436" s="129"/>
    </row>
    <row r="437" spans="3:34" x14ac:dyDescent="0.35">
      <c r="C437" s="129"/>
      <c r="D437" s="129"/>
      <c r="E437" s="129"/>
      <c r="F437" s="129"/>
      <c r="G437" s="129"/>
      <c r="H437" s="129"/>
      <c r="I437" s="129"/>
      <c r="J437" s="129"/>
      <c r="K437" s="110"/>
      <c r="L437" s="129"/>
      <c r="M437" t="s">
        <v>351</v>
      </c>
      <c r="N437" s="129"/>
      <c r="O437" s="129"/>
      <c r="P437" s="129"/>
      <c r="Q437" s="129"/>
      <c r="R437" s="129"/>
      <c r="S437" s="129"/>
      <c r="T437" s="129"/>
      <c r="U437" s="129"/>
      <c r="V437" s="141"/>
      <c r="W437" s="139"/>
      <c r="X437" s="129"/>
      <c r="Y437" s="129"/>
      <c r="Z437" s="129"/>
      <c r="AA437" s="129"/>
      <c r="AB437" s="129"/>
      <c r="AC437" s="115"/>
      <c r="AD437" s="129"/>
      <c r="AE437" s="149"/>
      <c r="AF437" s="129"/>
      <c r="AG437" s="129"/>
      <c r="AH437" s="129"/>
    </row>
    <row r="438" spans="3:34" x14ac:dyDescent="0.35">
      <c r="C438" s="129"/>
      <c r="D438" s="129"/>
      <c r="E438" s="129"/>
      <c r="F438" s="129"/>
      <c r="G438" s="129"/>
      <c r="H438" s="129"/>
      <c r="I438" s="129"/>
      <c r="J438" s="129"/>
      <c r="K438" s="110"/>
      <c r="L438" s="129"/>
      <c r="M438" t="s">
        <v>351</v>
      </c>
      <c r="N438" s="129"/>
      <c r="O438" s="129"/>
      <c r="P438" s="129"/>
      <c r="Q438" s="129"/>
      <c r="R438" s="129"/>
      <c r="S438" s="129"/>
      <c r="T438" s="129"/>
      <c r="U438" s="129"/>
      <c r="V438" s="141"/>
      <c r="W438" s="139"/>
      <c r="X438" s="129"/>
      <c r="Y438" s="129"/>
      <c r="Z438" s="129"/>
      <c r="AA438" s="129"/>
      <c r="AB438" s="129"/>
      <c r="AC438" s="115"/>
      <c r="AD438" s="129"/>
      <c r="AE438" s="149"/>
      <c r="AF438" s="129"/>
      <c r="AG438" s="129"/>
      <c r="AH438" s="129"/>
    </row>
    <row r="439" spans="3:34" x14ac:dyDescent="0.35">
      <c r="C439" s="129"/>
      <c r="D439" s="129"/>
      <c r="E439" s="129"/>
      <c r="F439" s="129"/>
      <c r="G439" s="129"/>
      <c r="H439" s="129"/>
      <c r="I439" s="129"/>
      <c r="J439" s="129"/>
      <c r="K439" s="110"/>
      <c r="L439" s="129"/>
      <c r="M439" t="s">
        <v>351</v>
      </c>
      <c r="N439" s="129"/>
      <c r="O439" s="129"/>
      <c r="P439" s="129"/>
      <c r="Q439" s="129"/>
      <c r="R439" s="129"/>
      <c r="S439" s="129"/>
      <c r="T439" s="129"/>
      <c r="U439" s="129"/>
      <c r="V439" s="141"/>
      <c r="W439" s="139"/>
      <c r="X439" s="129"/>
      <c r="Y439" s="129"/>
      <c r="Z439" s="129"/>
      <c r="AA439" s="129"/>
      <c r="AB439" s="129"/>
      <c r="AC439" s="115"/>
      <c r="AD439" s="129"/>
      <c r="AE439" s="149"/>
      <c r="AF439" s="129"/>
      <c r="AG439" s="129"/>
      <c r="AH439" s="129"/>
    </row>
    <row r="440" spans="3:34" x14ac:dyDescent="0.35">
      <c r="C440" s="129"/>
      <c r="D440" s="129"/>
      <c r="E440" s="129"/>
      <c r="F440" s="129"/>
      <c r="G440" s="129"/>
      <c r="H440" s="129"/>
      <c r="I440" s="129"/>
      <c r="J440" s="129"/>
      <c r="K440" s="110"/>
      <c r="L440" s="129"/>
      <c r="M440" t="s">
        <v>351</v>
      </c>
      <c r="N440" s="129"/>
      <c r="O440" s="129"/>
      <c r="P440" s="129"/>
      <c r="Q440" s="129"/>
      <c r="R440" s="129"/>
      <c r="S440" s="129"/>
      <c r="T440" s="129"/>
      <c r="U440" s="129"/>
      <c r="V440" s="141"/>
      <c r="W440" s="139"/>
      <c r="X440" s="129"/>
      <c r="Y440" s="129"/>
      <c r="Z440" s="129"/>
      <c r="AA440" s="129"/>
      <c r="AB440" s="129"/>
      <c r="AC440" s="115"/>
      <c r="AD440" s="129"/>
      <c r="AE440" s="149"/>
      <c r="AF440" s="129"/>
      <c r="AG440" s="129"/>
      <c r="AH440" s="129"/>
    </row>
    <row r="441" spans="3:34" x14ac:dyDescent="0.35">
      <c r="C441" s="129"/>
      <c r="D441" s="129"/>
      <c r="E441" s="129"/>
      <c r="F441" s="129"/>
      <c r="G441" s="129"/>
      <c r="H441" s="129"/>
      <c r="I441" s="129"/>
      <c r="J441" s="129"/>
      <c r="K441" s="110"/>
      <c r="L441" s="129"/>
      <c r="M441" t="s">
        <v>351</v>
      </c>
      <c r="N441" s="129"/>
      <c r="O441" s="129"/>
      <c r="P441" s="129"/>
      <c r="Q441" s="129"/>
      <c r="R441" s="129"/>
      <c r="S441" s="129"/>
      <c r="T441" s="129"/>
      <c r="U441" s="129"/>
      <c r="V441" s="141"/>
      <c r="W441" s="139"/>
      <c r="X441" s="129"/>
      <c r="Y441" s="129"/>
      <c r="Z441" s="129"/>
      <c r="AA441" s="129"/>
      <c r="AB441" s="129"/>
      <c r="AC441" s="115"/>
      <c r="AD441" s="129"/>
      <c r="AE441" s="149"/>
      <c r="AF441" s="129"/>
      <c r="AG441" s="129"/>
      <c r="AH441" s="129"/>
    </row>
    <row r="442" spans="3:34" x14ac:dyDescent="0.35">
      <c r="C442" s="129"/>
      <c r="D442" s="129"/>
      <c r="E442" s="129"/>
      <c r="F442" s="129"/>
      <c r="G442" s="129"/>
      <c r="H442" s="129"/>
      <c r="I442" s="129"/>
      <c r="J442" s="129"/>
      <c r="K442" s="110"/>
      <c r="L442" s="129"/>
      <c r="M442" t="s">
        <v>351</v>
      </c>
      <c r="N442" s="129"/>
      <c r="O442" s="129"/>
      <c r="P442" s="129"/>
      <c r="Q442" s="129"/>
      <c r="R442" s="129"/>
      <c r="S442" s="129"/>
      <c r="T442" s="129"/>
      <c r="U442" s="129"/>
      <c r="V442" s="141"/>
      <c r="W442" s="139"/>
      <c r="X442" s="129"/>
      <c r="Y442" s="129"/>
      <c r="Z442" s="129"/>
      <c r="AA442" s="129"/>
      <c r="AB442" s="129"/>
      <c r="AC442" s="115"/>
      <c r="AD442" s="129"/>
      <c r="AE442" s="149"/>
      <c r="AF442" s="129"/>
      <c r="AG442" s="129"/>
      <c r="AH442" s="129"/>
    </row>
    <row r="443" spans="3:34" x14ac:dyDescent="0.35">
      <c r="C443" s="129"/>
      <c r="D443" s="129"/>
      <c r="E443" s="129"/>
      <c r="F443" s="129"/>
      <c r="G443" s="129"/>
      <c r="H443" s="129"/>
      <c r="I443" s="129"/>
      <c r="J443" s="129"/>
      <c r="K443" s="110"/>
      <c r="L443" s="129"/>
      <c r="M443" t="s">
        <v>351</v>
      </c>
      <c r="N443" s="129"/>
      <c r="O443" s="129"/>
      <c r="P443" s="129"/>
      <c r="Q443" s="129"/>
      <c r="R443" s="129"/>
      <c r="S443" s="129"/>
      <c r="T443" s="129"/>
      <c r="U443" s="129"/>
      <c r="V443" s="141"/>
      <c r="W443" s="139"/>
      <c r="X443" s="129"/>
      <c r="Y443" s="129"/>
      <c r="Z443" s="129"/>
      <c r="AA443" s="129"/>
      <c r="AB443" s="129"/>
      <c r="AC443" s="115"/>
      <c r="AD443" s="129"/>
      <c r="AE443" s="149"/>
      <c r="AF443" s="129"/>
      <c r="AG443" s="129"/>
      <c r="AH443" s="129"/>
    </row>
    <row r="444" spans="3:34" x14ac:dyDescent="0.35">
      <c r="C444" s="129"/>
      <c r="D444" s="129"/>
      <c r="E444" s="129"/>
      <c r="F444" s="129"/>
      <c r="G444" s="129"/>
      <c r="H444" s="129"/>
      <c r="I444" s="129"/>
      <c r="J444" s="129"/>
      <c r="K444" s="110"/>
      <c r="L444" s="129"/>
      <c r="M444" t="s">
        <v>351</v>
      </c>
      <c r="N444" s="129"/>
      <c r="O444" s="129"/>
      <c r="P444" s="129"/>
      <c r="Q444" s="129"/>
      <c r="R444" s="129"/>
      <c r="S444" s="129"/>
      <c r="T444" s="129"/>
      <c r="U444" s="129"/>
      <c r="V444" s="141"/>
      <c r="W444" s="139"/>
      <c r="X444" s="129"/>
      <c r="Y444" s="129"/>
      <c r="Z444" s="129"/>
      <c r="AA444" s="129"/>
      <c r="AB444" s="129"/>
      <c r="AC444" s="115"/>
      <c r="AD444" s="129"/>
      <c r="AE444" s="149"/>
      <c r="AF444" s="129"/>
      <c r="AG444" s="129"/>
      <c r="AH444" s="129"/>
    </row>
    <row r="445" spans="3:34" x14ac:dyDescent="0.35">
      <c r="C445" s="129"/>
      <c r="D445" s="129"/>
      <c r="E445" s="129"/>
      <c r="F445" s="129"/>
      <c r="G445" s="129"/>
      <c r="H445" s="129"/>
      <c r="I445" s="129"/>
      <c r="J445" s="129"/>
      <c r="K445" s="110"/>
      <c r="L445" s="129"/>
      <c r="M445" t="s">
        <v>351</v>
      </c>
      <c r="N445" s="129"/>
      <c r="O445" s="129"/>
      <c r="P445" s="129"/>
      <c r="Q445" s="129"/>
      <c r="R445" s="129"/>
      <c r="S445" s="129"/>
      <c r="T445" s="129"/>
      <c r="U445" s="129"/>
      <c r="V445" s="141"/>
      <c r="W445" s="139"/>
      <c r="X445" s="129"/>
      <c r="Y445" s="129"/>
      <c r="Z445" s="129"/>
      <c r="AA445" s="129"/>
      <c r="AB445" s="129"/>
      <c r="AC445" s="115"/>
      <c r="AD445" s="129"/>
      <c r="AE445" s="149"/>
      <c r="AF445" s="129"/>
      <c r="AG445" s="129"/>
      <c r="AH445" s="129"/>
    </row>
    <row r="446" spans="3:34" x14ac:dyDescent="0.35">
      <c r="C446" s="129"/>
      <c r="D446" s="129"/>
      <c r="E446" s="129"/>
      <c r="F446" s="129"/>
      <c r="G446" s="129"/>
      <c r="H446" s="129"/>
      <c r="I446" s="129"/>
      <c r="J446" s="129"/>
      <c r="K446" s="110"/>
      <c r="L446" s="129"/>
      <c r="M446" t="s">
        <v>351</v>
      </c>
      <c r="N446" s="129"/>
      <c r="O446" s="129"/>
      <c r="P446" s="129"/>
      <c r="Q446" s="129"/>
      <c r="R446" s="129"/>
      <c r="S446" s="129"/>
      <c r="T446" s="129"/>
      <c r="U446" s="129"/>
      <c r="V446" s="141"/>
      <c r="W446" s="139"/>
      <c r="X446" s="129"/>
      <c r="Y446" s="129"/>
      <c r="Z446" s="129"/>
      <c r="AA446" s="129"/>
      <c r="AB446" s="129"/>
      <c r="AC446" s="115"/>
      <c r="AD446" s="129"/>
      <c r="AE446" s="149"/>
      <c r="AF446" s="129"/>
      <c r="AG446" s="129"/>
      <c r="AH446" s="129"/>
    </row>
    <row r="447" spans="3:34" x14ac:dyDescent="0.35">
      <c r="C447" s="129"/>
      <c r="D447" s="129"/>
      <c r="E447" s="129"/>
      <c r="F447" s="129"/>
      <c r="G447" s="129"/>
      <c r="H447" s="129"/>
      <c r="I447" s="129"/>
      <c r="J447" s="129"/>
      <c r="K447" s="110"/>
      <c r="L447" s="129"/>
      <c r="M447" t="s">
        <v>351</v>
      </c>
      <c r="N447" s="129"/>
      <c r="O447" s="129"/>
      <c r="P447" s="129"/>
      <c r="Q447" s="129"/>
      <c r="R447" s="129"/>
      <c r="S447" s="129"/>
      <c r="T447" s="129"/>
      <c r="U447" s="129"/>
      <c r="V447" s="141"/>
      <c r="W447" s="139"/>
      <c r="X447" s="129"/>
      <c r="Y447" s="129"/>
      <c r="Z447" s="129"/>
      <c r="AA447" s="129"/>
      <c r="AB447" s="129"/>
      <c r="AC447" s="115"/>
      <c r="AD447" s="129"/>
      <c r="AE447" s="149"/>
      <c r="AF447" s="129"/>
      <c r="AG447" s="129"/>
      <c r="AH447" s="129"/>
    </row>
    <row r="448" spans="3:34" x14ac:dyDescent="0.35">
      <c r="C448" s="129"/>
      <c r="D448" s="129"/>
      <c r="E448" s="129"/>
      <c r="F448" s="129"/>
      <c r="G448" s="129"/>
      <c r="H448" s="129"/>
      <c r="I448" s="129"/>
      <c r="J448" s="129"/>
      <c r="K448" s="110"/>
      <c r="L448" s="129"/>
      <c r="M448" t="s">
        <v>351</v>
      </c>
      <c r="N448" s="129"/>
      <c r="O448" s="129"/>
      <c r="P448" s="129"/>
      <c r="Q448" s="129"/>
      <c r="R448" s="129"/>
      <c r="S448" s="129"/>
      <c r="T448" s="129"/>
      <c r="U448" s="129"/>
      <c r="V448" s="141"/>
      <c r="W448" s="139"/>
      <c r="X448" s="129"/>
      <c r="Y448" s="129"/>
      <c r="Z448" s="129"/>
      <c r="AA448" s="129"/>
      <c r="AB448" s="129"/>
      <c r="AC448" s="115"/>
      <c r="AD448" s="129"/>
      <c r="AE448" s="149"/>
      <c r="AF448" s="129"/>
      <c r="AG448" s="129"/>
      <c r="AH448" s="129"/>
    </row>
    <row r="449" spans="3:34" x14ac:dyDescent="0.35">
      <c r="C449" s="129"/>
      <c r="D449" s="129"/>
      <c r="E449" s="129"/>
      <c r="F449" s="129"/>
      <c r="G449" s="129"/>
      <c r="H449" s="129"/>
      <c r="I449" s="129"/>
      <c r="J449" s="129"/>
      <c r="K449" s="110"/>
      <c r="L449" s="129"/>
      <c r="M449" t="s">
        <v>351</v>
      </c>
      <c r="N449" s="129"/>
      <c r="O449" s="129"/>
      <c r="P449" s="129"/>
      <c r="Q449" s="129"/>
      <c r="R449" s="129"/>
      <c r="S449" s="129"/>
      <c r="T449" s="129"/>
      <c r="U449" s="129"/>
      <c r="V449" s="141"/>
      <c r="W449" s="139"/>
      <c r="X449" s="129"/>
      <c r="Y449" s="129"/>
      <c r="Z449" s="129"/>
      <c r="AA449" s="129"/>
      <c r="AB449" s="129"/>
      <c r="AC449" s="115"/>
      <c r="AD449" s="129"/>
      <c r="AE449" s="149"/>
      <c r="AF449" s="129"/>
      <c r="AG449" s="129"/>
      <c r="AH449" s="129"/>
    </row>
    <row r="450" spans="3:34" x14ac:dyDescent="0.35">
      <c r="C450" s="129"/>
      <c r="D450" s="129"/>
      <c r="E450" s="129"/>
      <c r="F450" s="129"/>
      <c r="G450" s="129"/>
      <c r="H450" s="129"/>
      <c r="I450" s="129"/>
      <c r="J450" s="129"/>
      <c r="K450" s="110"/>
      <c r="L450" s="129"/>
      <c r="M450" t="s">
        <v>351</v>
      </c>
      <c r="N450" s="129"/>
      <c r="O450" s="129"/>
      <c r="P450" s="129"/>
      <c r="Q450" s="129"/>
      <c r="R450" s="129"/>
      <c r="S450" s="129"/>
      <c r="T450" s="129"/>
      <c r="U450" s="129"/>
      <c r="V450" s="141"/>
      <c r="W450" s="139"/>
      <c r="X450" s="129"/>
      <c r="Y450" s="129"/>
      <c r="Z450" s="129"/>
      <c r="AA450" s="129"/>
      <c r="AB450" s="129"/>
      <c r="AC450" s="115"/>
      <c r="AD450" s="129"/>
      <c r="AE450" s="149"/>
      <c r="AF450" s="129"/>
      <c r="AG450" s="129"/>
      <c r="AH450" s="129"/>
    </row>
    <row r="451" spans="3:34" x14ac:dyDescent="0.35">
      <c r="C451" s="129"/>
      <c r="D451" s="129"/>
      <c r="E451" s="129"/>
      <c r="F451" s="129"/>
      <c r="G451" s="129"/>
      <c r="H451" s="129"/>
      <c r="I451" s="129"/>
      <c r="J451" s="129"/>
      <c r="K451" s="110"/>
      <c r="L451" s="129"/>
      <c r="M451" t="s">
        <v>351</v>
      </c>
      <c r="N451" s="129"/>
      <c r="O451" s="129"/>
      <c r="P451" s="129"/>
      <c r="Q451" s="129"/>
      <c r="R451" s="129"/>
      <c r="S451" s="129"/>
      <c r="T451" s="129"/>
      <c r="U451" s="129"/>
      <c r="V451" s="141"/>
      <c r="W451" s="139"/>
      <c r="X451" s="129"/>
      <c r="Y451" s="129"/>
      <c r="Z451" s="129"/>
      <c r="AA451" s="129"/>
      <c r="AB451" s="129"/>
      <c r="AC451" s="115"/>
      <c r="AD451" s="129"/>
      <c r="AE451" s="149"/>
      <c r="AF451" s="129"/>
      <c r="AG451" s="129"/>
      <c r="AH451" s="129"/>
    </row>
    <row r="452" spans="3:34" x14ac:dyDescent="0.35">
      <c r="C452" s="129"/>
      <c r="D452" s="129"/>
      <c r="E452" s="129"/>
      <c r="F452" s="129"/>
      <c r="G452" s="129"/>
      <c r="H452" s="129"/>
      <c r="I452" s="129"/>
      <c r="J452" s="129"/>
      <c r="K452" s="110"/>
      <c r="L452" s="129"/>
      <c r="M452" t="s">
        <v>351</v>
      </c>
      <c r="N452" s="129"/>
      <c r="O452" s="129"/>
      <c r="P452" s="129"/>
      <c r="Q452" s="129"/>
      <c r="R452" s="129"/>
      <c r="S452" s="129"/>
      <c r="T452" s="129"/>
      <c r="U452" s="129"/>
      <c r="V452" s="141"/>
      <c r="W452" s="139"/>
      <c r="X452" s="129"/>
      <c r="Y452" s="129"/>
      <c r="Z452" s="129"/>
      <c r="AA452" s="129"/>
      <c r="AB452" s="129"/>
      <c r="AC452" s="115"/>
      <c r="AD452" s="129"/>
      <c r="AE452" s="149"/>
      <c r="AF452" s="129"/>
      <c r="AG452" s="129"/>
      <c r="AH452" s="129"/>
    </row>
    <row r="453" spans="3:34" x14ac:dyDescent="0.35">
      <c r="C453" s="129"/>
      <c r="D453" s="129"/>
      <c r="E453" s="129"/>
      <c r="F453" s="129"/>
      <c r="G453" s="129"/>
      <c r="H453" s="129"/>
      <c r="I453" s="129"/>
      <c r="J453" s="129"/>
      <c r="K453" s="110"/>
      <c r="L453" s="129"/>
      <c r="M453" t="s">
        <v>351</v>
      </c>
      <c r="N453" s="129"/>
      <c r="O453" s="129"/>
      <c r="P453" s="129"/>
      <c r="Q453" s="129"/>
      <c r="R453" s="129"/>
      <c r="S453" s="129"/>
      <c r="T453" s="129"/>
      <c r="U453" s="129"/>
      <c r="V453" s="141"/>
      <c r="W453" s="139"/>
      <c r="X453" s="129"/>
      <c r="Y453" s="129"/>
      <c r="Z453" s="129"/>
      <c r="AA453" s="129"/>
      <c r="AB453" s="129"/>
      <c r="AC453" s="115"/>
      <c r="AD453" s="129"/>
      <c r="AE453" s="149"/>
      <c r="AF453" s="129"/>
      <c r="AG453" s="129"/>
      <c r="AH453" s="129"/>
    </row>
    <row r="454" spans="3:34" x14ac:dyDescent="0.35">
      <c r="C454" s="129"/>
      <c r="D454" s="129"/>
      <c r="E454" s="129"/>
      <c r="F454" s="129"/>
      <c r="G454" s="129"/>
      <c r="H454" s="129"/>
      <c r="I454" s="129"/>
      <c r="J454" s="129"/>
      <c r="K454" s="110"/>
      <c r="L454" s="129"/>
      <c r="M454" t="s">
        <v>351</v>
      </c>
      <c r="N454" s="129"/>
      <c r="O454" s="129"/>
      <c r="P454" s="129"/>
      <c r="Q454" s="129"/>
      <c r="R454" s="129"/>
      <c r="S454" s="129"/>
      <c r="T454" s="129"/>
      <c r="U454" s="129"/>
      <c r="V454" s="141"/>
      <c r="W454" s="139"/>
      <c r="X454" s="129"/>
      <c r="Y454" s="129"/>
      <c r="Z454" s="129"/>
      <c r="AA454" s="129"/>
      <c r="AB454" s="129"/>
      <c r="AC454" s="115"/>
      <c r="AD454" s="129"/>
      <c r="AE454" s="149"/>
      <c r="AF454" s="129"/>
      <c r="AG454" s="129"/>
      <c r="AH454" s="129"/>
    </row>
    <row r="455" spans="3:34" x14ac:dyDescent="0.35">
      <c r="C455" s="129"/>
      <c r="D455" s="129"/>
      <c r="E455" s="129"/>
      <c r="F455" s="129"/>
      <c r="G455" s="129"/>
      <c r="H455" s="129"/>
      <c r="I455" s="129"/>
      <c r="J455" s="129"/>
      <c r="K455" s="110"/>
      <c r="L455" s="129"/>
      <c r="M455" t="s">
        <v>351</v>
      </c>
      <c r="N455" s="129"/>
      <c r="O455" s="129"/>
      <c r="P455" s="129"/>
      <c r="Q455" s="129"/>
      <c r="R455" s="129"/>
      <c r="S455" s="129"/>
      <c r="T455" s="129"/>
      <c r="U455" s="129"/>
      <c r="V455" s="141"/>
      <c r="W455" s="139"/>
      <c r="X455" s="129"/>
      <c r="Y455" s="129"/>
      <c r="Z455" s="129"/>
      <c r="AA455" s="129"/>
      <c r="AB455" s="129"/>
      <c r="AC455" s="115"/>
      <c r="AD455" s="129"/>
      <c r="AE455" s="149"/>
      <c r="AF455" s="129"/>
      <c r="AG455" s="129"/>
      <c r="AH455" s="129"/>
    </row>
    <row r="456" spans="3:34" x14ac:dyDescent="0.35">
      <c r="C456" s="129"/>
      <c r="D456" s="129"/>
      <c r="E456" s="129"/>
      <c r="F456" s="129"/>
      <c r="G456" s="129"/>
      <c r="H456" s="129"/>
      <c r="I456" s="129"/>
      <c r="J456" s="129"/>
      <c r="K456" s="110"/>
      <c r="L456" s="129"/>
      <c r="M456" t="s">
        <v>351</v>
      </c>
      <c r="N456" s="129"/>
      <c r="O456" s="129"/>
      <c r="P456" s="129"/>
      <c r="Q456" s="129"/>
      <c r="R456" s="129"/>
      <c r="S456" s="129"/>
      <c r="T456" s="129"/>
      <c r="U456" s="129"/>
      <c r="V456" s="141"/>
      <c r="W456" s="139"/>
      <c r="X456" s="129"/>
      <c r="Y456" s="129"/>
      <c r="Z456" s="129"/>
      <c r="AA456" s="129"/>
      <c r="AB456" s="129"/>
      <c r="AC456" s="115"/>
      <c r="AD456" s="129"/>
      <c r="AE456" s="149"/>
      <c r="AF456" s="129"/>
      <c r="AG456" s="129"/>
      <c r="AH456" s="129"/>
    </row>
    <row r="457" spans="3:34" x14ac:dyDescent="0.35">
      <c r="C457" s="129"/>
      <c r="D457" s="129"/>
      <c r="E457" s="129"/>
      <c r="F457" s="129"/>
      <c r="G457" s="129"/>
      <c r="H457" s="129"/>
      <c r="I457" s="129"/>
      <c r="J457" s="129"/>
      <c r="K457" s="110"/>
      <c r="L457" s="129"/>
      <c r="M457" t="s">
        <v>351</v>
      </c>
      <c r="N457" s="129"/>
      <c r="O457" s="129"/>
      <c r="P457" s="129"/>
      <c r="Q457" s="129"/>
      <c r="R457" s="129"/>
      <c r="S457" s="129"/>
      <c r="T457" s="129"/>
      <c r="U457" s="129"/>
      <c r="V457" s="141"/>
      <c r="W457" s="139"/>
      <c r="X457" s="129"/>
      <c r="Y457" s="129"/>
      <c r="Z457" s="129"/>
      <c r="AA457" s="129"/>
      <c r="AB457" s="129"/>
      <c r="AC457" s="115"/>
      <c r="AD457" s="129"/>
      <c r="AE457" s="149"/>
      <c r="AF457" s="129"/>
      <c r="AG457" s="129"/>
      <c r="AH457" s="129"/>
    </row>
    <row r="458" spans="3:34" x14ac:dyDescent="0.35">
      <c r="C458" s="129"/>
      <c r="D458" s="129"/>
      <c r="E458" s="129"/>
      <c r="F458" s="129"/>
      <c r="G458" s="129"/>
      <c r="H458" s="129"/>
      <c r="I458" s="129"/>
      <c r="J458" s="129"/>
      <c r="K458" s="110"/>
      <c r="L458" s="129"/>
      <c r="M458" t="s">
        <v>351</v>
      </c>
      <c r="N458" s="129"/>
      <c r="O458" s="129"/>
      <c r="P458" s="129"/>
      <c r="Q458" s="129"/>
      <c r="R458" s="129"/>
      <c r="S458" s="129"/>
      <c r="T458" s="129"/>
      <c r="U458" s="129"/>
      <c r="V458" s="141"/>
      <c r="W458" s="139"/>
      <c r="X458" s="129"/>
      <c r="Y458" s="129"/>
      <c r="Z458" s="129"/>
      <c r="AA458" s="129"/>
      <c r="AB458" s="129"/>
      <c r="AC458" s="115"/>
      <c r="AD458" s="129"/>
      <c r="AE458" s="149"/>
      <c r="AF458" s="129"/>
      <c r="AG458" s="129"/>
      <c r="AH458" s="129"/>
    </row>
    <row r="459" spans="3:34" x14ac:dyDescent="0.35">
      <c r="C459" s="129"/>
      <c r="D459" s="129"/>
      <c r="E459" s="129"/>
      <c r="F459" s="129"/>
      <c r="G459" s="129"/>
      <c r="H459" s="129"/>
      <c r="I459" s="129"/>
      <c r="J459" s="129"/>
      <c r="K459" s="110"/>
      <c r="L459" s="129"/>
      <c r="M459" t="s">
        <v>351</v>
      </c>
      <c r="N459" s="129"/>
      <c r="O459" s="129"/>
      <c r="P459" s="129"/>
      <c r="Q459" s="129"/>
      <c r="R459" s="129"/>
      <c r="S459" s="129"/>
      <c r="T459" s="129"/>
      <c r="U459" s="129"/>
      <c r="V459" s="141"/>
      <c r="W459" s="139"/>
      <c r="X459" s="129"/>
      <c r="Y459" s="129"/>
      <c r="Z459" s="129"/>
      <c r="AA459" s="129"/>
      <c r="AB459" s="129"/>
      <c r="AC459" s="115"/>
      <c r="AD459" s="129"/>
      <c r="AE459" s="149"/>
      <c r="AF459" s="129"/>
      <c r="AG459" s="129"/>
      <c r="AH459" s="129"/>
    </row>
    <row r="460" spans="3:34" x14ac:dyDescent="0.35">
      <c r="C460" s="129"/>
      <c r="D460" s="129"/>
      <c r="E460" s="129"/>
      <c r="F460" s="129"/>
      <c r="G460" s="129"/>
      <c r="H460" s="129"/>
      <c r="I460" s="129"/>
      <c r="J460" s="129"/>
      <c r="K460" s="110"/>
      <c r="L460" s="129"/>
      <c r="M460" t="s">
        <v>351</v>
      </c>
      <c r="N460" s="129"/>
      <c r="O460" s="129"/>
      <c r="P460" s="129"/>
      <c r="Q460" s="129"/>
      <c r="R460" s="129"/>
      <c r="S460" s="129"/>
      <c r="T460" s="129"/>
      <c r="U460" s="129"/>
      <c r="V460" s="141"/>
      <c r="W460" s="139"/>
      <c r="X460" s="129"/>
      <c r="Y460" s="129"/>
      <c r="Z460" s="129"/>
      <c r="AA460" s="129"/>
      <c r="AB460" s="129"/>
      <c r="AC460" s="115"/>
      <c r="AD460" s="129"/>
      <c r="AE460" s="149"/>
      <c r="AF460" s="129"/>
      <c r="AG460" s="129"/>
      <c r="AH460" s="129"/>
    </row>
    <row r="461" spans="3:34" x14ac:dyDescent="0.35">
      <c r="C461" s="129"/>
      <c r="D461" s="129"/>
      <c r="E461" s="129"/>
      <c r="F461" s="129"/>
      <c r="G461" s="129"/>
      <c r="H461" s="129"/>
      <c r="I461" s="129"/>
      <c r="J461" s="129"/>
      <c r="K461" s="110"/>
      <c r="L461" s="129"/>
      <c r="M461" t="s">
        <v>351</v>
      </c>
      <c r="N461" s="129"/>
      <c r="O461" s="129"/>
      <c r="P461" s="129"/>
      <c r="Q461" s="129"/>
      <c r="R461" s="129"/>
      <c r="S461" s="129"/>
      <c r="T461" s="129"/>
      <c r="U461" s="129"/>
      <c r="V461" s="141"/>
      <c r="W461" s="139"/>
      <c r="X461" s="129"/>
      <c r="Y461" s="129"/>
      <c r="Z461" s="129"/>
      <c r="AA461" s="129"/>
      <c r="AB461" s="129"/>
      <c r="AC461" s="115"/>
      <c r="AD461" s="129"/>
      <c r="AE461" s="149"/>
      <c r="AF461" s="129"/>
      <c r="AG461" s="129"/>
      <c r="AH461" s="129"/>
    </row>
    <row r="462" spans="3:34" x14ac:dyDescent="0.35">
      <c r="C462" s="129"/>
      <c r="D462" s="129"/>
      <c r="E462" s="129"/>
      <c r="F462" s="129"/>
      <c r="G462" s="129"/>
      <c r="H462" s="129"/>
      <c r="I462" s="129"/>
      <c r="J462" s="129"/>
      <c r="K462" s="110"/>
      <c r="L462" s="129"/>
      <c r="M462" t="s">
        <v>351</v>
      </c>
      <c r="N462" s="129"/>
      <c r="O462" s="129"/>
      <c r="P462" s="129"/>
      <c r="Q462" s="129"/>
      <c r="R462" s="129"/>
      <c r="S462" s="129"/>
      <c r="T462" s="129"/>
      <c r="U462" s="129"/>
      <c r="V462" s="141"/>
      <c r="W462" s="139"/>
      <c r="X462" s="129"/>
      <c r="Y462" s="129"/>
      <c r="Z462" s="129"/>
      <c r="AA462" s="129"/>
      <c r="AB462" s="129"/>
      <c r="AC462" s="115"/>
      <c r="AD462" s="129"/>
      <c r="AE462" s="149"/>
      <c r="AF462" s="129"/>
      <c r="AG462" s="129"/>
      <c r="AH462" s="129"/>
    </row>
    <row r="463" spans="3:34" x14ac:dyDescent="0.35">
      <c r="C463" s="129"/>
      <c r="D463" s="129"/>
      <c r="E463" s="129"/>
      <c r="F463" s="129"/>
      <c r="G463" s="129"/>
      <c r="H463" s="129"/>
      <c r="I463" s="129"/>
      <c r="J463" s="129"/>
      <c r="K463" s="110"/>
      <c r="L463" s="129"/>
      <c r="M463" t="s">
        <v>351</v>
      </c>
      <c r="N463" s="129"/>
      <c r="O463" s="129"/>
      <c r="P463" s="129"/>
      <c r="Q463" s="129"/>
      <c r="R463" s="129"/>
      <c r="S463" s="129"/>
      <c r="T463" s="129"/>
      <c r="U463" s="129"/>
      <c r="V463" s="141"/>
      <c r="W463" s="139"/>
      <c r="X463" s="129"/>
      <c r="Y463" s="129"/>
      <c r="Z463" s="129"/>
      <c r="AA463" s="129"/>
      <c r="AB463" s="129"/>
      <c r="AC463" s="115"/>
      <c r="AD463" s="129"/>
      <c r="AE463" s="149"/>
      <c r="AF463" s="129"/>
      <c r="AG463" s="129"/>
      <c r="AH463" s="129"/>
    </row>
    <row r="464" spans="3:34" x14ac:dyDescent="0.35">
      <c r="C464" s="129"/>
      <c r="D464" s="129"/>
      <c r="E464" s="129"/>
      <c r="F464" s="129"/>
      <c r="G464" s="129"/>
      <c r="H464" s="129"/>
      <c r="I464" s="129"/>
      <c r="J464" s="129"/>
      <c r="K464" s="110"/>
      <c r="L464" s="129"/>
      <c r="M464" t="s">
        <v>351</v>
      </c>
      <c r="N464" s="129"/>
      <c r="O464" s="129"/>
      <c r="P464" s="129"/>
      <c r="Q464" s="129"/>
      <c r="R464" s="129"/>
      <c r="S464" s="129"/>
      <c r="T464" s="129"/>
      <c r="U464" s="129"/>
      <c r="V464" s="141"/>
      <c r="W464" s="139"/>
      <c r="X464" s="129"/>
      <c r="Y464" s="129"/>
      <c r="Z464" s="129"/>
      <c r="AA464" s="129"/>
      <c r="AB464" s="129"/>
      <c r="AC464" s="115"/>
      <c r="AD464" s="129"/>
      <c r="AE464" s="149"/>
      <c r="AF464" s="129"/>
      <c r="AG464" s="129"/>
      <c r="AH464" s="129"/>
    </row>
    <row r="465" spans="3:34" x14ac:dyDescent="0.35">
      <c r="C465" s="129"/>
      <c r="D465" s="129"/>
      <c r="E465" s="129"/>
      <c r="F465" s="129"/>
      <c r="G465" s="129"/>
      <c r="H465" s="129"/>
      <c r="I465" s="129"/>
      <c r="J465" s="129"/>
      <c r="K465" s="110"/>
      <c r="L465" s="129"/>
      <c r="M465" t="s">
        <v>351</v>
      </c>
      <c r="N465" s="129"/>
      <c r="O465" s="129"/>
      <c r="P465" s="129"/>
      <c r="Q465" s="129"/>
      <c r="R465" s="129"/>
      <c r="S465" s="129"/>
      <c r="T465" s="129"/>
      <c r="U465" s="129"/>
      <c r="V465" s="141"/>
      <c r="W465" s="139"/>
      <c r="X465" s="129"/>
      <c r="Y465" s="129"/>
      <c r="Z465" s="129"/>
      <c r="AA465" s="129"/>
      <c r="AB465" s="129"/>
      <c r="AC465" s="115"/>
      <c r="AD465" s="129"/>
      <c r="AE465" s="149"/>
      <c r="AF465" s="129"/>
      <c r="AG465" s="129"/>
      <c r="AH465" s="129"/>
    </row>
    <row r="466" spans="3:34" x14ac:dyDescent="0.35">
      <c r="C466" s="129"/>
      <c r="D466" s="129"/>
      <c r="E466" s="129"/>
      <c r="F466" s="129"/>
      <c r="G466" s="129"/>
      <c r="H466" s="129"/>
      <c r="I466" s="129"/>
      <c r="J466" s="129"/>
      <c r="K466" s="110"/>
      <c r="L466" s="129"/>
      <c r="M466" t="s">
        <v>351</v>
      </c>
      <c r="N466" s="129"/>
      <c r="O466" s="129"/>
      <c r="P466" s="129"/>
      <c r="Q466" s="129"/>
      <c r="R466" s="129"/>
      <c r="S466" s="129"/>
      <c r="T466" s="129"/>
      <c r="U466" s="129"/>
      <c r="V466" s="141"/>
      <c r="W466" s="139"/>
      <c r="X466" s="129"/>
      <c r="Y466" s="129"/>
      <c r="Z466" s="129"/>
      <c r="AA466" s="129"/>
      <c r="AB466" s="129"/>
      <c r="AC466" s="115"/>
      <c r="AD466" s="129"/>
      <c r="AE466" s="149"/>
      <c r="AF466" s="129"/>
      <c r="AG466" s="129"/>
      <c r="AH466" s="129"/>
    </row>
    <row r="467" spans="3:34" x14ac:dyDescent="0.35">
      <c r="C467" s="129"/>
      <c r="D467" s="129"/>
      <c r="E467" s="129"/>
      <c r="F467" s="129"/>
      <c r="G467" s="129"/>
      <c r="H467" s="129"/>
      <c r="I467" s="129"/>
      <c r="J467" s="129"/>
      <c r="K467" s="110"/>
      <c r="L467" s="129"/>
      <c r="M467" t="s">
        <v>351</v>
      </c>
      <c r="N467" s="129"/>
      <c r="O467" s="129"/>
      <c r="P467" s="129"/>
      <c r="Q467" s="129"/>
      <c r="R467" s="129"/>
      <c r="S467" s="129"/>
      <c r="T467" s="129"/>
      <c r="U467" s="129"/>
      <c r="V467" s="141"/>
      <c r="W467" s="139"/>
      <c r="X467" s="129"/>
      <c r="Y467" s="129"/>
      <c r="Z467" s="129"/>
      <c r="AA467" s="129"/>
      <c r="AB467" s="129"/>
      <c r="AC467" s="115"/>
      <c r="AD467" s="129"/>
      <c r="AE467" s="149"/>
      <c r="AF467" s="129"/>
      <c r="AG467" s="129"/>
      <c r="AH467" s="129"/>
    </row>
    <row r="468" spans="3:34" x14ac:dyDescent="0.35">
      <c r="C468" s="129"/>
      <c r="D468" s="129"/>
      <c r="E468" s="129"/>
      <c r="F468" s="129"/>
      <c r="G468" s="129"/>
      <c r="H468" s="129"/>
      <c r="I468" s="129"/>
      <c r="J468" s="129"/>
      <c r="K468" s="110"/>
      <c r="L468" s="129"/>
      <c r="M468" t="s">
        <v>351</v>
      </c>
      <c r="N468" s="129"/>
      <c r="O468" s="129"/>
      <c r="P468" s="129"/>
      <c r="Q468" s="129"/>
      <c r="R468" s="129"/>
      <c r="S468" s="129"/>
      <c r="T468" s="129"/>
      <c r="U468" s="129"/>
      <c r="V468" s="141"/>
      <c r="W468" s="139"/>
      <c r="X468" s="129"/>
      <c r="Y468" s="129"/>
      <c r="Z468" s="129"/>
      <c r="AA468" s="129"/>
      <c r="AB468" s="129"/>
      <c r="AC468" s="115"/>
      <c r="AD468" s="129"/>
      <c r="AE468" s="149"/>
      <c r="AF468" s="129"/>
      <c r="AG468" s="129"/>
      <c r="AH468" s="129"/>
    </row>
    <row r="469" spans="3:34" x14ac:dyDescent="0.35">
      <c r="C469" s="129"/>
      <c r="D469" s="129"/>
      <c r="E469" s="129"/>
      <c r="F469" s="129"/>
      <c r="G469" s="129"/>
      <c r="H469" s="129"/>
      <c r="I469" s="129"/>
      <c r="J469" s="129"/>
      <c r="K469" s="110"/>
      <c r="L469" s="129"/>
      <c r="M469" t="s">
        <v>351</v>
      </c>
      <c r="N469" s="129"/>
      <c r="O469" s="129"/>
      <c r="P469" s="129"/>
      <c r="Q469" s="129"/>
      <c r="R469" s="129"/>
      <c r="S469" s="129"/>
      <c r="T469" s="129"/>
      <c r="U469" s="129"/>
      <c r="V469" s="141"/>
      <c r="W469" s="139"/>
      <c r="X469" s="129"/>
      <c r="Y469" s="129"/>
      <c r="Z469" s="129"/>
      <c r="AA469" s="129"/>
      <c r="AB469" s="129"/>
      <c r="AC469" s="115"/>
      <c r="AD469" s="129"/>
      <c r="AE469" s="149"/>
      <c r="AF469" s="129"/>
      <c r="AG469" s="129"/>
      <c r="AH469" s="129"/>
    </row>
    <row r="470" spans="3:34" x14ac:dyDescent="0.35">
      <c r="C470" s="129"/>
      <c r="D470" s="129"/>
      <c r="E470" s="129"/>
      <c r="F470" s="129"/>
      <c r="G470" s="129"/>
      <c r="H470" s="129"/>
      <c r="I470" s="129"/>
      <c r="J470" s="129"/>
      <c r="K470" s="110"/>
      <c r="L470" s="129"/>
      <c r="M470" t="s">
        <v>351</v>
      </c>
      <c r="N470" s="129"/>
      <c r="O470" s="129"/>
      <c r="P470" s="129"/>
      <c r="Q470" s="129"/>
      <c r="R470" s="129"/>
      <c r="S470" s="129"/>
      <c r="T470" s="129"/>
      <c r="U470" s="129"/>
      <c r="V470" s="141"/>
      <c r="W470" s="139"/>
      <c r="X470" s="129"/>
      <c r="Y470" s="129"/>
      <c r="Z470" s="129"/>
      <c r="AA470" s="129"/>
      <c r="AB470" s="129"/>
      <c r="AC470" s="115"/>
      <c r="AD470" s="129"/>
      <c r="AE470" s="149"/>
      <c r="AF470" s="129"/>
      <c r="AG470" s="129"/>
      <c r="AH470" s="129"/>
    </row>
    <row r="471" spans="3:34" x14ac:dyDescent="0.35">
      <c r="C471" s="129"/>
      <c r="D471" s="129"/>
      <c r="E471" s="129"/>
      <c r="F471" s="129"/>
      <c r="G471" s="129"/>
      <c r="H471" s="129"/>
      <c r="I471" s="129"/>
      <c r="J471" s="129"/>
      <c r="K471" s="110"/>
      <c r="L471" s="129"/>
      <c r="M471" t="s">
        <v>351</v>
      </c>
      <c r="N471" s="129"/>
      <c r="O471" s="129"/>
      <c r="P471" s="129"/>
      <c r="Q471" s="129"/>
      <c r="R471" s="129"/>
      <c r="S471" s="129"/>
      <c r="T471" s="129"/>
      <c r="U471" s="129"/>
      <c r="V471" s="141"/>
      <c r="W471" s="139"/>
      <c r="X471" s="129"/>
      <c r="Y471" s="129"/>
      <c r="Z471" s="129"/>
      <c r="AA471" s="129"/>
      <c r="AB471" s="129"/>
      <c r="AC471" s="115"/>
      <c r="AD471" s="129"/>
      <c r="AE471" s="149"/>
      <c r="AF471" s="129"/>
      <c r="AG471" s="129"/>
      <c r="AH471" s="129"/>
    </row>
    <row r="472" spans="3:34" x14ac:dyDescent="0.35">
      <c r="C472" s="129"/>
      <c r="D472" s="129"/>
      <c r="E472" s="129"/>
      <c r="F472" s="129"/>
      <c r="G472" s="129"/>
      <c r="H472" s="129"/>
      <c r="I472" s="129"/>
      <c r="J472" s="129"/>
      <c r="K472" s="110"/>
      <c r="L472" s="129"/>
      <c r="M472" t="s">
        <v>351</v>
      </c>
      <c r="N472" s="129"/>
      <c r="O472" s="129"/>
      <c r="P472" s="129"/>
      <c r="Q472" s="129"/>
      <c r="R472" s="129"/>
      <c r="S472" s="129"/>
      <c r="T472" s="129"/>
      <c r="U472" s="129"/>
      <c r="V472" s="141"/>
      <c r="W472" s="139"/>
      <c r="X472" s="129"/>
      <c r="Y472" s="129"/>
      <c r="Z472" s="129"/>
      <c r="AA472" s="129"/>
      <c r="AB472" s="129"/>
      <c r="AC472" s="115"/>
      <c r="AD472" s="129"/>
      <c r="AE472" s="149"/>
      <c r="AF472" s="129"/>
      <c r="AG472" s="129"/>
      <c r="AH472" s="129"/>
    </row>
    <row r="473" spans="3:34" x14ac:dyDescent="0.35">
      <c r="C473" s="129"/>
      <c r="D473" s="129"/>
      <c r="E473" s="129"/>
      <c r="F473" s="129"/>
      <c r="G473" s="129"/>
      <c r="H473" s="129"/>
      <c r="I473" s="129"/>
      <c r="J473" s="129"/>
      <c r="K473" s="110"/>
      <c r="L473" s="129"/>
      <c r="M473" t="s">
        <v>351</v>
      </c>
      <c r="N473" s="129"/>
      <c r="O473" s="129"/>
      <c r="P473" s="129"/>
      <c r="Q473" s="129"/>
      <c r="R473" s="129"/>
      <c r="S473" s="129"/>
      <c r="T473" s="129"/>
      <c r="U473" s="129"/>
      <c r="V473" s="141"/>
      <c r="W473" s="139"/>
      <c r="X473" s="129"/>
      <c r="Y473" s="129"/>
      <c r="Z473" s="129"/>
      <c r="AA473" s="129"/>
      <c r="AB473" s="129"/>
      <c r="AC473" s="115"/>
      <c r="AD473" s="129"/>
      <c r="AE473" s="149"/>
      <c r="AF473" s="129"/>
      <c r="AG473" s="129"/>
      <c r="AH473" s="129"/>
    </row>
    <row r="474" spans="3:34" x14ac:dyDescent="0.35">
      <c r="C474" s="129"/>
      <c r="D474" s="129"/>
      <c r="E474" s="129"/>
      <c r="F474" s="129"/>
      <c r="G474" s="129"/>
      <c r="H474" s="129"/>
      <c r="I474" s="129"/>
      <c r="J474" s="129"/>
      <c r="K474" s="110"/>
      <c r="L474" s="129"/>
      <c r="M474" t="s">
        <v>351</v>
      </c>
      <c r="N474" s="129"/>
      <c r="O474" s="129"/>
      <c r="P474" s="129"/>
      <c r="Q474" s="129"/>
      <c r="R474" s="129"/>
      <c r="S474" s="129"/>
      <c r="T474" s="129"/>
      <c r="U474" s="129"/>
      <c r="V474" s="141"/>
      <c r="W474" s="139"/>
      <c r="X474" s="129"/>
      <c r="Y474" s="129"/>
      <c r="Z474" s="129"/>
      <c r="AA474" s="129"/>
      <c r="AB474" s="129"/>
      <c r="AC474" s="115"/>
      <c r="AD474" s="129"/>
      <c r="AE474" s="149"/>
      <c r="AF474" s="129"/>
      <c r="AG474" s="129"/>
      <c r="AH474" s="129"/>
    </row>
    <row r="475" spans="3:34" x14ac:dyDescent="0.35">
      <c r="C475" s="129"/>
      <c r="D475" s="129"/>
      <c r="E475" s="129"/>
      <c r="F475" s="129"/>
      <c r="G475" s="129"/>
      <c r="H475" s="129"/>
      <c r="I475" s="129"/>
      <c r="J475" s="129"/>
      <c r="K475" s="110"/>
      <c r="L475" s="129"/>
      <c r="M475" t="s">
        <v>351</v>
      </c>
      <c r="N475" s="129"/>
      <c r="O475" s="129"/>
      <c r="P475" s="129"/>
      <c r="Q475" s="129"/>
      <c r="R475" s="129"/>
      <c r="S475" s="129"/>
      <c r="T475" s="129"/>
      <c r="U475" s="129"/>
      <c r="V475" s="141"/>
      <c r="W475" s="139"/>
      <c r="X475" s="129"/>
      <c r="Y475" s="129"/>
      <c r="Z475" s="129"/>
      <c r="AA475" s="129"/>
      <c r="AB475" s="129"/>
      <c r="AC475" s="115"/>
      <c r="AD475" s="129"/>
      <c r="AE475" s="149"/>
      <c r="AF475" s="129"/>
      <c r="AG475" s="129"/>
      <c r="AH475" s="129"/>
    </row>
    <row r="476" spans="3:34" x14ac:dyDescent="0.35">
      <c r="C476" s="129"/>
      <c r="D476" s="129"/>
      <c r="E476" s="129"/>
      <c r="F476" s="129"/>
      <c r="G476" s="129"/>
      <c r="H476" s="129"/>
      <c r="I476" s="129"/>
      <c r="J476" s="129"/>
      <c r="K476" s="110"/>
      <c r="L476" s="129"/>
      <c r="M476" t="s">
        <v>351</v>
      </c>
      <c r="N476" s="129"/>
      <c r="O476" s="129"/>
      <c r="P476" s="129"/>
      <c r="Q476" s="129"/>
      <c r="R476" s="129"/>
      <c r="S476" s="129"/>
      <c r="T476" s="129"/>
      <c r="U476" s="129"/>
      <c r="V476" s="141"/>
      <c r="W476" s="139"/>
      <c r="X476" s="129"/>
      <c r="Y476" s="129"/>
      <c r="Z476" s="129"/>
      <c r="AA476" s="129"/>
      <c r="AB476" s="129"/>
      <c r="AC476" s="115"/>
      <c r="AD476" s="129"/>
      <c r="AE476" s="149"/>
      <c r="AF476" s="129"/>
      <c r="AG476" s="129"/>
      <c r="AH476" s="129"/>
    </row>
    <row r="477" spans="3:34" x14ac:dyDescent="0.35">
      <c r="C477" s="129"/>
      <c r="D477" s="129"/>
      <c r="E477" s="129"/>
      <c r="F477" s="129"/>
      <c r="G477" s="129"/>
      <c r="H477" s="129"/>
      <c r="I477" s="129"/>
      <c r="J477" s="129"/>
      <c r="K477" s="110"/>
      <c r="L477" s="129"/>
      <c r="M477" t="s">
        <v>351</v>
      </c>
      <c r="N477" s="129"/>
      <c r="O477" s="129"/>
      <c r="P477" s="129"/>
      <c r="Q477" s="129"/>
      <c r="R477" s="129"/>
      <c r="S477" s="129"/>
      <c r="T477" s="129"/>
      <c r="U477" s="129"/>
      <c r="V477" s="141"/>
      <c r="W477" s="139"/>
      <c r="X477" s="129"/>
      <c r="Y477" s="129"/>
      <c r="Z477" s="129"/>
      <c r="AA477" s="129"/>
      <c r="AB477" s="129"/>
      <c r="AC477" s="115"/>
      <c r="AD477" s="129"/>
      <c r="AE477" s="149"/>
      <c r="AF477" s="129"/>
      <c r="AG477" s="129"/>
      <c r="AH477" s="129"/>
    </row>
    <row r="478" spans="3:34" x14ac:dyDescent="0.35">
      <c r="C478" s="129"/>
      <c r="D478" s="129"/>
      <c r="E478" s="129"/>
      <c r="F478" s="129"/>
      <c r="G478" s="129"/>
      <c r="H478" s="129"/>
      <c r="I478" s="129"/>
      <c r="J478" s="129"/>
      <c r="K478" s="110"/>
      <c r="L478" s="129"/>
      <c r="M478" t="s">
        <v>351</v>
      </c>
      <c r="N478" s="129"/>
      <c r="O478" s="129"/>
      <c r="P478" s="129"/>
      <c r="Q478" s="129"/>
      <c r="R478" s="129"/>
      <c r="S478" s="129"/>
      <c r="T478" s="129"/>
      <c r="U478" s="129"/>
      <c r="V478" s="141"/>
      <c r="W478" s="139"/>
      <c r="X478" s="129"/>
      <c r="Y478" s="129"/>
      <c r="Z478" s="129"/>
      <c r="AA478" s="129"/>
      <c r="AB478" s="129"/>
      <c r="AC478" s="115"/>
      <c r="AD478" s="129"/>
      <c r="AE478" s="149"/>
      <c r="AF478" s="129"/>
      <c r="AG478" s="129"/>
      <c r="AH478" s="129"/>
    </row>
    <row r="479" spans="3:34" x14ac:dyDescent="0.35">
      <c r="C479" s="129"/>
      <c r="D479" s="129"/>
      <c r="E479" s="129"/>
      <c r="F479" s="129"/>
      <c r="G479" s="129"/>
      <c r="H479" s="129"/>
      <c r="I479" s="129"/>
      <c r="J479" s="129"/>
      <c r="K479" s="110"/>
      <c r="L479" s="129"/>
      <c r="M479" t="s">
        <v>351</v>
      </c>
      <c r="N479" s="129"/>
      <c r="O479" s="129"/>
      <c r="P479" s="129"/>
      <c r="Q479" s="129"/>
      <c r="R479" s="129"/>
      <c r="S479" s="129"/>
      <c r="T479" s="129"/>
      <c r="U479" s="129"/>
      <c r="V479" s="141"/>
      <c r="W479" s="139"/>
      <c r="X479" s="129"/>
      <c r="Y479" s="129"/>
      <c r="Z479" s="129"/>
      <c r="AA479" s="129"/>
      <c r="AB479" s="129"/>
      <c r="AC479" s="115"/>
      <c r="AD479" s="129"/>
      <c r="AE479" s="149"/>
      <c r="AF479" s="129"/>
      <c r="AG479" s="129"/>
      <c r="AH479" s="129"/>
    </row>
    <row r="480" spans="3:34" x14ac:dyDescent="0.35">
      <c r="C480" s="129"/>
      <c r="D480" s="129"/>
      <c r="E480" s="129"/>
      <c r="F480" s="129"/>
      <c r="G480" s="129"/>
      <c r="H480" s="129"/>
      <c r="I480" s="129"/>
      <c r="J480" s="129"/>
      <c r="K480" s="110"/>
      <c r="L480" s="129"/>
      <c r="M480" t="s">
        <v>351</v>
      </c>
      <c r="N480" s="129"/>
      <c r="O480" s="129"/>
      <c r="P480" s="129"/>
      <c r="Q480" s="129"/>
      <c r="R480" s="129"/>
      <c r="S480" s="129"/>
      <c r="T480" s="129"/>
      <c r="U480" s="129"/>
      <c r="V480" s="141"/>
      <c r="W480" s="139"/>
      <c r="X480" s="129"/>
      <c r="Y480" s="129"/>
      <c r="Z480" s="129"/>
      <c r="AA480" s="129"/>
      <c r="AB480" s="129"/>
      <c r="AC480" s="115"/>
      <c r="AD480" s="129"/>
      <c r="AE480" s="149"/>
      <c r="AF480" s="129"/>
      <c r="AG480" s="129"/>
      <c r="AH480" s="129"/>
    </row>
    <row r="481" spans="3:34" x14ac:dyDescent="0.35">
      <c r="C481" s="129"/>
      <c r="D481" s="129"/>
      <c r="E481" s="129"/>
      <c r="F481" s="129"/>
      <c r="G481" s="129"/>
      <c r="H481" s="129"/>
      <c r="I481" s="129"/>
      <c r="J481" s="129"/>
      <c r="K481" s="110"/>
      <c r="L481" s="129"/>
      <c r="M481" t="s">
        <v>351</v>
      </c>
      <c r="N481" s="129"/>
      <c r="O481" s="129"/>
      <c r="P481" s="129"/>
      <c r="Q481" s="129"/>
      <c r="R481" s="129"/>
      <c r="S481" s="129"/>
      <c r="T481" s="129"/>
      <c r="U481" s="129"/>
      <c r="V481" s="141"/>
      <c r="W481" s="139"/>
      <c r="X481" s="129"/>
      <c r="Y481" s="129"/>
      <c r="Z481" s="129"/>
      <c r="AA481" s="129"/>
      <c r="AB481" s="129"/>
      <c r="AC481" s="115"/>
      <c r="AD481" s="129"/>
      <c r="AE481" s="149"/>
      <c r="AF481" s="129"/>
      <c r="AG481" s="129"/>
      <c r="AH481" s="129"/>
    </row>
    <row r="482" spans="3:34" x14ac:dyDescent="0.35">
      <c r="C482" s="129"/>
      <c r="D482" s="129"/>
      <c r="E482" s="129"/>
      <c r="F482" s="129"/>
      <c r="G482" s="129"/>
      <c r="H482" s="129"/>
      <c r="I482" s="129"/>
      <c r="J482" s="129"/>
      <c r="K482" s="110"/>
      <c r="L482" s="129"/>
      <c r="M482" t="s">
        <v>351</v>
      </c>
      <c r="N482" s="129"/>
      <c r="O482" s="129"/>
      <c r="P482" s="129"/>
      <c r="Q482" s="129"/>
      <c r="R482" s="129"/>
      <c r="S482" s="129"/>
      <c r="T482" s="129"/>
      <c r="U482" s="129"/>
      <c r="V482" s="141"/>
      <c r="W482" s="139"/>
      <c r="X482" s="129"/>
      <c r="Y482" s="129"/>
      <c r="Z482" s="129"/>
      <c r="AA482" s="129"/>
      <c r="AB482" s="129"/>
      <c r="AC482" s="115"/>
      <c r="AD482" s="129"/>
      <c r="AE482" s="149"/>
      <c r="AF482" s="129"/>
      <c r="AG482" s="129"/>
      <c r="AH482" s="129"/>
    </row>
    <row r="483" spans="3:34" x14ac:dyDescent="0.35">
      <c r="C483" s="129"/>
      <c r="D483" s="129"/>
      <c r="E483" s="129"/>
      <c r="F483" s="129"/>
      <c r="G483" s="129"/>
      <c r="H483" s="129"/>
      <c r="I483" s="129"/>
      <c r="J483" s="129"/>
      <c r="K483" s="110"/>
      <c r="L483" s="129"/>
      <c r="M483" t="s">
        <v>351</v>
      </c>
      <c r="N483" s="129"/>
      <c r="O483" s="129"/>
      <c r="P483" s="129"/>
      <c r="Q483" s="129"/>
      <c r="R483" s="129"/>
      <c r="S483" s="129"/>
      <c r="T483" s="129"/>
      <c r="U483" s="129"/>
      <c r="V483" s="141"/>
      <c r="W483" s="139"/>
      <c r="X483" s="129"/>
      <c r="Y483" s="129"/>
      <c r="Z483" s="129"/>
      <c r="AA483" s="129"/>
      <c r="AB483" s="129"/>
      <c r="AC483" s="115"/>
      <c r="AD483" s="129"/>
      <c r="AE483" s="149"/>
      <c r="AF483" s="129"/>
      <c r="AG483" s="129"/>
      <c r="AH483" s="129"/>
    </row>
    <row r="484" spans="3:34" x14ac:dyDescent="0.35">
      <c r="C484" s="129"/>
      <c r="D484" s="129"/>
      <c r="E484" s="129"/>
      <c r="F484" s="129"/>
      <c r="G484" s="129"/>
      <c r="H484" s="129"/>
      <c r="I484" s="129"/>
      <c r="J484" s="129"/>
      <c r="K484" s="110"/>
      <c r="L484" s="129"/>
      <c r="M484" t="s">
        <v>351</v>
      </c>
      <c r="N484" s="129"/>
      <c r="O484" s="129"/>
      <c r="P484" s="129"/>
      <c r="Q484" s="129"/>
      <c r="R484" s="129"/>
      <c r="S484" s="129"/>
      <c r="T484" s="129"/>
      <c r="U484" s="129"/>
      <c r="V484" s="141"/>
      <c r="W484" s="139"/>
      <c r="X484" s="129"/>
      <c r="Y484" s="129"/>
      <c r="Z484" s="129"/>
      <c r="AA484" s="129"/>
      <c r="AB484" s="129"/>
      <c r="AC484" s="115"/>
      <c r="AD484" s="129"/>
      <c r="AE484" s="149"/>
      <c r="AF484" s="129"/>
      <c r="AG484" s="129"/>
      <c r="AH484" s="129"/>
    </row>
    <row r="485" spans="3:34" x14ac:dyDescent="0.35">
      <c r="C485" s="129"/>
      <c r="D485" s="129"/>
      <c r="E485" s="129"/>
      <c r="F485" s="129"/>
      <c r="G485" s="129"/>
      <c r="H485" s="129"/>
      <c r="I485" s="129"/>
      <c r="J485" s="129"/>
      <c r="K485" s="110"/>
      <c r="L485" s="129"/>
      <c r="M485" t="s">
        <v>351</v>
      </c>
      <c r="N485" s="129"/>
      <c r="O485" s="129"/>
      <c r="P485" s="129"/>
      <c r="Q485" s="129"/>
      <c r="R485" s="129"/>
      <c r="S485" s="129"/>
      <c r="T485" s="129"/>
      <c r="U485" s="129"/>
      <c r="V485" s="141"/>
      <c r="W485" s="139"/>
      <c r="X485" s="129"/>
      <c r="Y485" s="129"/>
      <c r="Z485" s="129"/>
      <c r="AA485" s="129"/>
      <c r="AB485" s="129"/>
      <c r="AC485" s="115"/>
      <c r="AD485" s="129"/>
      <c r="AE485" s="149"/>
      <c r="AF485" s="129"/>
      <c r="AG485" s="129"/>
      <c r="AH485" s="129"/>
    </row>
    <row r="486" spans="3:34" x14ac:dyDescent="0.35">
      <c r="C486" s="129"/>
      <c r="D486" s="129"/>
      <c r="E486" s="129"/>
      <c r="F486" s="129"/>
      <c r="G486" s="129"/>
      <c r="H486" s="129"/>
      <c r="I486" s="129"/>
      <c r="J486" s="129"/>
      <c r="K486" s="110"/>
      <c r="L486" s="129"/>
      <c r="M486" t="s">
        <v>351</v>
      </c>
      <c r="N486" s="129"/>
      <c r="O486" s="129"/>
      <c r="P486" s="129"/>
      <c r="Q486" s="129"/>
      <c r="R486" s="129"/>
      <c r="S486" s="129"/>
      <c r="T486" s="129"/>
      <c r="U486" s="129"/>
      <c r="V486" s="141"/>
      <c r="W486" s="139"/>
      <c r="X486" s="129"/>
      <c r="Y486" s="129"/>
      <c r="Z486" s="129"/>
      <c r="AA486" s="129"/>
      <c r="AB486" s="129"/>
      <c r="AC486" s="115"/>
      <c r="AD486" s="129"/>
      <c r="AE486" s="149"/>
      <c r="AF486" s="129"/>
      <c r="AG486" s="129"/>
      <c r="AH486" s="129"/>
    </row>
    <row r="487" spans="3:34" x14ac:dyDescent="0.35">
      <c r="C487" s="129"/>
      <c r="D487" s="129"/>
      <c r="E487" s="129"/>
      <c r="F487" s="129"/>
      <c r="G487" s="129"/>
      <c r="H487" s="129"/>
      <c r="I487" s="129"/>
      <c r="J487" s="129"/>
      <c r="K487" s="110"/>
      <c r="L487" s="129"/>
      <c r="M487" t="s">
        <v>351</v>
      </c>
      <c r="N487" s="129"/>
      <c r="O487" s="129"/>
      <c r="P487" s="129"/>
      <c r="Q487" s="129"/>
      <c r="R487" s="129"/>
      <c r="S487" s="129"/>
      <c r="T487" s="129"/>
      <c r="U487" s="129"/>
      <c r="V487" s="141"/>
      <c r="W487" s="139"/>
      <c r="X487" s="129"/>
      <c r="Y487" s="129"/>
      <c r="Z487" s="129"/>
      <c r="AA487" s="129"/>
      <c r="AB487" s="129"/>
      <c r="AC487" s="115"/>
      <c r="AD487" s="129"/>
      <c r="AE487" s="149"/>
      <c r="AF487" s="129"/>
      <c r="AG487" s="129"/>
      <c r="AH487" s="129"/>
    </row>
    <row r="488" spans="3:34" x14ac:dyDescent="0.35">
      <c r="C488" s="129"/>
      <c r="D488" s="129"/>
      <c r="E488" s="129"/>
      <c r="F488" s="129"/>
      <c r="G488" s="129"/>
      <c r="H488" s="129"/>
      <c r="I488" s="129"/>
      <c r="J488" s="129"/>
      <c r="K488" s="110"/>
      <c r="L488" s="129"/>
      <c r="M488" t="s">
        <v>351</v>
      </c>
      <c r="N488" s="129"/>
      <c r="O488" s="129"/>
      <c r="P488" s="129"/>
      <c r="Q488" s="129"/>
      <c r="R488" s="129"/>
      <c r="S488" s="129"/>
      <c r="T488" s="129"/>
      <c r="U488" s="129"/>
      <c r="V488" s="141"/>
      <c r="W488" s="139"/>
      <c r="X488" s="129"/>
      <c r="Y488" s="129"/>
      <c r="Z488" s="129"/>
      <c r="AA488" s="129"/>
      <c r="AB488" s="129"/>
      <c r="AC488" s="115"/>
      <c r="AD488" s="129"/>
      <c r="AE488" s="149"/>
      <c r="AF488" s="129"/>
      <c r="AG488" s="129"/>
      <c r="AH488" s="129"/>
    </row>
    <row r="489" spans="3:34" x14ac:dyDescent="0.35">
      <c r="C489" s="129"/>
      <c r="D489" s="129"/>
      <c r="E489" s="129"/>
      <c r="F489" s="129"/>
      <c r="G489" s="129"/>
      <c r="H489" s="129"/>
      <c r="I489" s="129"/>
      <c r="J489" s="129"/>
      <c r="K489" s="110"/>
      <c r="L489" s="129"/>
      <c r="M489" t="s">
        <v>351</v>
      </c>
      <c r="N489" s="129"/>
      <c r="O489" s="129"/>
      <c r="P489" s="129"/>
      <c r="Q489" s="129"/>
      <c r="R489" s="129"/>
      <c r="S489" s="129"/>
      <c r="T489" s="129"/>
      <c r="U489" s="129"/>
      <c r="V489" s="141"/>
      <c r="W489" s="139"/>
      <c r="X489" s="129"/>
      <c r="Y489" s="129"/>
      <c r="Z489" s="129"/>
      <c r="AA489" s="129"/>
      <c r="AB489" s="129"/>
      <c r="AC489" s="115"/>
      <c r="AD489" s="129"/>
      <c r="AE489" s="149"/>
      <c r="AF489" s="129"/>
      <c r="AG489" s="129"/>
      <c r="AH489" s="129"/>
    </row>
    <row r="490" spans="3:34" x14ac:dyDescent="0.35">
      <c r="C490" s="129"/>
      <c r="D490" s="129"/>
      <c r="E490" s="129"/>
      <c r="F490" s="129"/>
      <c r="G490" s="129"/>
      <c r="H490" s="129"/>
      <c r="I490" s="129"/>
      <c r="J490" s="129"/>
      <c r="K490" s="110"/>
      <c r="L490" s="129"/>
      <c r="M490" t="s">
        <v>351</v>
      </c>
      <c r="N490" s="129"/>
      <c r="O490" s="129"/>
      <c r="P490" s="129"/>
      <c r="Q490" s="129"/>
      <c r="R490" s="129"/>
      <c r="S490" s="129"/>
      <c r="T490" s="129"/>
      <c r="U490" s="129"/>
      <c r="V490" s="141"/>
      <c r="W490" s="139"/>
      <c r="X490" s="129"/>
      <c r="Y490" s="129"/>
      <c r="Z490" s="129"/>
      <c r="AA490" s="129"/>
      <c r="AB490" s="129"/>
      <c r="AC490" s="115"/>
      <c r="AD490" s="129"/>
      <c r="AE490" s="149"/>
      <c r="AF490" s="129"/>
      <c r="AG490" s="129"/>
      <c r="AH490" s="129"/>
    </row>
    <row r="491" spans="3:34" x14ac:dyDescent="0.35">
      <c r="C491" s="129"/>
      <c r="D491" s="129"/>
      <c r="E491" s="129"/>
      <c r="F491" s="129"/>
      <c r="G491" s="129"/>
      <c r="H491" s="129"/>
      <c r="I491" s="129"/>
      <c r="J491" s="129"/>
      <c r="K491" s="110"/>
      <c r="L491" s="129"/>
      <c r="M491" t="s">
        <v>351</v>
      </c>
      <c r="N491" s="129"/>
      <c r="O491" s="129"/>
      <c r="P491" s="129"/>
      <c r="Q491" s="129"/>
      <c r="R491" s="129"/>
      <c r="S491" s="129"/>
      <c r="T491" s="129"/>
      <c r="U491" s="129"/>
      <c r="V491" s="141"/>
      <c r="W491" s="139"/>
      <c r="X491" s="129"/>
      <c r="Y491" s="129"/>
      <c r="Z491" s="129"/>
      <c r="AA491" s="129"/>
      <c r="AB491" s="129"/>
      <c r="AC491" s="115"/>
      <c r="AD491" s="129"/>
      <c r="AE491" s="149"/>
      <c r="AF491" s="129"/>
      <c r="AG491" s="129"/>
      <c r="AH491" s="129"/>
    </row>
    <row r="492" spans="3:34" x14ac:dyDescent="0.35">
      <c r="C492" s="129"/>
      <c r="D492" s="129"/>
      <c r="E492" s="129"/>
      <c r="F492" s="129"/>
      <c r="G492" s="129"/>
      <c r="H492" s="129"/>
      <c r="I492" s="129"/>
      <c r="J492" s="129"/>
      <c r="K492" s="110"/>
      <c r="L492" s="129"/>
      <c r="M492" t="s">
        <v>351</v>
      </c>
      <c r="N492" s="129"/>
      <c r="O492" s="129"/>
      <c r="P492" s="129"/>
      <c r="Q492" s="129"/>
      <c r="R492" s="129"/>
      <c r="S492" s="129"/>
      <c r="T492" s="129"/>
      <c r="U492" s="129"/>
      <c r="V492" s="141"/>
      <c r="W492" s="139"/>
      <c r="X492" s="129"/>
      <c r="Y492" s="129"/>
      <c r="Z492" s="129"/>
      <c r="AA492" s="129"/>
      <c r="AB492" s="129"/>
      <c r="AC492" s="115"/>
      <c r="AD492" s="129"/>
      <c r="AE492" s="149"/>
      <c r="AF492" s="129"/>
      <c r="AG492" s="129"/>
      <c r="AH492" s="129"/>
    </row>
    <row r="493" spans="3:34" x14ac:dyDescent="0.35">
      <c r="C493" s="129"/>
      <c r="D493" s="129"/>
      <c r="E493" s="129"/>
      <c r="F493" s="129"/>
      <c r="G493" s="129"/>
      <c r="H493" s="129"/>
      <c r="I493" s="129"/>
      <c r="J493" s="129"/>
      <c r="K493" s="110"/>
      <c r="L493" s="129"/>
      <c r="M493" t="s">
        <v>351</v>
      </c>
      <c r="N493" s="129"/>
      <c r="O493" s="129"/>
      <c r="P493" s="129"/>
      <c r="Q493" s="129"/>
      <c r="R493" s="129"/>
      <c r="S493" s="129"/>
      <c r="T493" s="129"/>
      <c r="U493" s="129"/>
      <c r="V493" s="141"/>
      <c r="W493" s="139"/>
      <c r="X493" s="129"/>
      <c r="Y493" s="129"/>
      <c r="Z493" s="129"/>
      <c r="AA493" s="129"/>
      <c r="AB493" s="129"/>
      <c r="AC493" s="115"/>
      <c r="AD493" s="129"/>
      <c r="AE493" s="149"/>
      <c r="AF493" s="129"/>
      <c r="AG493" s="129"/>
      <c r="AH493" s="129"/>
    </row>
    <row r="494" spans="3:34" x14ac:dyDescent="0.35">
      <c r="C494" s="129"/>
      <c r="D494" s="129"/>
      <c r="E494" s="129"/>
      <c r="F494" s="129"/>
      <c r="G494" s="129"/>
      <c r="H494" s="129"/>
      <c r="I494" s="129"/>
      <c r="J494" s="129"/>
      <c r="K494" s="110"/>
      <c r="L494" s="129"/>
      <c r="M494" t="s">
        <v>351</v>
      </c>
      <c r="N494" s="129"/>
      <c r="O494" s="129"/>
      <c r="P494" s="129"/>
      <c r="Q494" s="129"/>
      <c r="R494" s="129"/>
      <c r="S494" s="129"/>
      <c r="T494" s="129"/>
      <c r="U494" s="129"/>
      <c r="V494" s="141"/>
      <c r="W494" s="139"/>
      <c r="X494" s="129"/>
      <c r="Y494" s="129"/>
      <c r="Z494" s="129"/>
      <c r="AA494" s="129"/>
      <c r="AB494" s="129"/>
      <c r="AC494" s="115"/>
      <c r="AD494" s="129"/>
      <c r="AE494" s="149"/>
      <c r="AF494" s="129"/>
      <c r="AG494" s="129"/>
      <c r="AH494" s="129"/>
    </row>
    <row r="495" spans="3:34" x14ac:dyDescent="0.35">
      <c r="C495" s="129"/>
      <c r="D495" s="129"/>
      <c r="E495" s="129"/>
      <c r="F495" s="129"/>
      <c r="G495" s="129"/>
      <c r="H495" s="129"/>
      <c r="I495" s="129"/>
      <c r="J495" s="129"/>
      <c r="K495" s="110"/>
      <c r="L495" s="129"/>
      <c r="M495" t="s">
        <v>351</v>
      </c>
      <c r="N495" s="129"/>
      <c r="O495" s="129"/>
      <c r="P495" s="129"/>
      <c r="Q495" s="129"/>
      <c r="R495" s="129"/>
      <c r="S495" s="129"/>
      <c r="T495" s="129"/>
      <c r="U495" s="129"/>
      <c r="V495" s="141"/>
      <c r="W495" s="139"/>
      <c r="X495" s="129"/>
      <c r="Y495" s="129"/>
      <c r="Z495" s="129"/>
      <c r="AA495" s="129"/>
      <c r="AB495" s="129"/>
      <c r="AC495" s="115"/>
      <c r="AD495" s="129"/>
      <c r="AE495" s="149"/>
      <c r="AF495" s="129"/>
      <c r="AG495" s="129"/>
      <c r="AH495" s="129"/>
    </row>
    <row r="496" spans="3:34" x14ac:dyDescent="0.35">
      <c r="C496" s="129"/>
      <c r="D496" s="129"/>
      <c r="E496" s="129"/>
      <c r="F496" s="129"/>
      <c r="G496" s="129"/>
      <c r="H496" s="129"/>
      <c r="I496" s="129"/>
      <c r="J496" s="129"/>
      <c r="K496" s="110"/>
      <c r="L496" s="129"/>
      <c r="M496" t="s">
        <v>351</v>
      </c>
      <c r="N496" s="129"/>
      <c r="O496" s="129"/>
      <c r="P496" s="129"/>
      <c r="Q496" s="129"/>
      <c r="R496" s="129"/>
      <c r="S496" s="129"/>
      <c r="T496" s="129"/>
      <c r="U496" s="129"/>
      <c r="V496" s="141"/>
      <c r="W496" s="139"/>
      <c r="X496" s="129"/>
      <c r="Y496" s="129"/>
      <c r="Z496" s="129"/>
      <c r="AA496" s="129"/>
      <c r="AB496" s="129"/>
      <c r="AC496" s="115"/>
      <c r="AD496" s="129"/>
      <c r="AE496" s="149"/>
      <c r="AF496" s="129"/>
      <c r="AG496" s="129"/>
      <c r="AH496" s="129"/>
    </row>
    <row r="497" spans="3:34" x14ac:dyDescent="0.35">
      <c r="C497" s="129"/>
      <c r="D497" s="129"/>
      <c r="E497" s="129"/>
      <c r="F497" s="129"/>
      <c r="G497" s="129"/>
      <c r="H497" s="129"/>
      <c r="I497" s="129"/>
      <c r="J497" s="129"/>
      <c r="K497" s="110"/>
      <c r="L497" s="129"/>
      <c r="M497" t="s">
        <v>351</v>
      </c>
      <c r="N497" s="129"/>
      <c r="O497" s="129"/>
      <c r="P497" s="129"/>
      <c r="Q497" s="129"/>
      <c r="R497" s="129"/>
      <c r="S497" s="129"/>
      <c r="T497" s="129"/>
      <c r="U497" s="129"/>
      <c r="V497" s="141"/>
      <c r="W497" s="139"/>
      <c r="X497" s="129"/>
      <c r="Y497" s="129"/>
      <c r="Z497" s="129"/>
      <c r="AA497" s="129"/>
      <c r="AB497" s="129"/>
      <c r="AC497" s="115"/>
      <c r="AD497" s="129"/>
      <c r="AE497" s="149"/>
      <c r="AF497" s="129"/>
      <c r="AG497" s="129"/>
      <c r="AH497" s="129"/>
    </row>
    <row r="498" spans="3:34" x14ac:dyDescent="0.35">
      <c r="C498" s="129"/>
      <c r="D498" s="129"/>
      <c r="E498" s="129"/>
      <c r="F498" s="129"/>
      <c r="G498" s="129"/>
      <c r="H498" s="129"/>
      <c r="I498" s="129"/>
      <c r="J498" s="129"/>
      <c r="K498" s="110"/>
      <c r="L498" s="129"/>
      <c r="M498" t="s">
        <v>351</v>
      </c>
      <c r="N498" s="129"/>
      <c r="O498" s="129"/>
      <c r="P498" s="129"/>
      <c r="Q498" s="129"/>
      <c r="R498" s="129"/>
      <c r="S498" s="129"/>
      <c r="T498" s="129"/>
      <c r="U498" s="129"/>
      <c r="V498" s="141"/>
      <c r="W498" s="139"/>
      <c r="X498" s="129"/>
      <c r="Y498" s="129"/>
      <c r="Z498" s="129"/>
      <c r="AA498" s="129"/>
      <c r="AB498" s="129"/>
      <c r="AC498" s="115"/>
      <c r="AD498" s="129"/>
      <c r="AE498" s="149"/>
      <c r="AF498" s="129"/>
      <c r="AG498" s="129"/>
      <c r="AH498" s="129"/>
    </row>
    <row r="499" spans="3:34" x14ac:dyDescent="0.35">
      <c r="C499" s="129"/>
      <c r="D499" s="129"/>
      <c r="E499" s="129"/>
      <c r="F499" s="129"/>
      <c r="G499" s="129"/>
      <c r="H499" s="129"/>
      <c r="I499" s="129"/>
      <c r="J499" s="129"/>
      <c r="K499" s="110"/>
      <c r="L499" s="129"/>
      <c r="M499" t="s">
        <v>351</v>
      </c>
      <c r="N499" s="129"/>
      <c r="O499" s="129"/>
      <c r="P499" s="129"/>
      <c r="Q499" s="129"/>
      <c r="R499" s="129"/>
      <c r="S499" s="129"/>
      <c r="T499" s="129"/>
      <c r="U499" s="129"/>
      <c r="V499" s="141"/>
      <c r="W499" s="139"/>
      <c r="X499" s="129"/>
      <c r="Y499" s="129"/>
      <c r="Z499" s="129"/>
      <c r="AA499" s="129"/>
      <c r="AB499" s="129"/>
      <c r="AC499" s="115"/>
      <c r="AD499" s="129"/>
      <c r="AE499" s="149"/>
      <c r="AF499" s="129"/>
      <c r="AG499" s="129"/>
      <c r="AH499" s="129"/>
    </row>
    <row r="500" spans="3:34" x14ac:dyDescent="0.35">
      <c r="C500" s="129"/>
      <c r="D500" s="129"/>
      <c r="E500" s="129"/>
      <c r="F500" s="129"/>
      <c r="G500" s="129"/>
      <c r="H500" s="129"/>
      <c r="I500" s="129"/>
      <c r="J500" s="129"/>
      <c r="K500" s="110"/>
      <c r="L500" s="129"/>
      <c r="M500" t="s">
        <v>351</v>
      </c>
      <c r="N500" s="129"/>
      <c r="O500" s="129"/>
      <c r="P500" s="129"/>
      <c r="Q500" s="129"/>
      <c r="R500" s="129"/>
      <c r="S500" s="129"/>
      <c r="T500" s="129"/>
      <c r="U500" s="129"/>
      <c r="V500" s="141"/>
      <c r="W500" s="139"/>
      <c r="X500" s="129"/>
      <c r="Y500" s="129"/>
      <c r="Z500" s="129"/>
      <c r="AA500" s="129"/>
      <c r="AB500" s="129"/>
      <c r="AC500" s="115"/>
      <c r="AD500" s="129"/>
      <c r="AE500" s="149"/>
      <c r="AF500" s="129"/>
      <c r="AG500" s="129"/>
      <c r="AH500" s="129"/>
    </row>
    <row r="501" spans="3:34" x14ac:dyDescent="0.35">
      <c r="C501" s="129"/>
      <c r="D501" s="129"/>
      <c r="E501" s="129"/>
      <c r="F501" s="129"/>
      <c r="G501" s="129"/>
      <c r="H501" s="129"/>
      <c r="I501" s="129"/>
      <c r="J501" s="129"/>
      <c r="K501" s="110"/>
      <c r="L501" s="129"/>
      <c r="M501" t="s">
        <v>351</v>
      </c>
      <c r="N501" s="129"/>
      <c r="O501" s="129"/>
      <c r="P501" s="129"/>
      <c r="Q501" s="129"/>
      <c r="R501" s="129"/>
      <c r="S501" s="129"/>
      <c r="T501" s="129"/>
      <c r="U501" s="129"/>
      <c r="V501" s="141"/>
      <c r="W501" s="139"/>
      <c r="X501" s="129"/>
      <c r="Y501" s="129"/>
      <c r="Z501" s="129"/>
      <c r="AA501" s="129"/>
      <c r="AB501" s="129"/>
      <c r="AC501" s="115"/>
      <c r="AD501" s="129"/>
      <c r="AE501" s="149"/>
      <c r="AF501" s="129"/>
      <c r="AG501" s="129"/>
      <c r="AH501" s="129"/>
    </row>
    <row r="502" spans="3:34" x14ac:dyDescent="0.35">
      <c r="C502" s="129"/>
      <c r="D502" s="129"/>
      <c r="E502" s="129"/>
      <c r="F502" s="129"/>
      <c r="G502" s="129"/>
      <c r="H502" s="129"/>
      <c r="I502" s="129"/>
      <c r="J502" s="129"/>
      <c r="K502" s="110"/>
      <c r="L502" s="129"/>
      <c r="M502" t="s">
        <v>351</v>
      </c>
      <c r="N502" s="129"/>
      <c r="O502" s="129"/>
      <c r="P502" s="129"/>
      <c r="Q502" s="129"/>
      <c r="R502" s="129"/>
      <c r="S502" s="129"/>
      <c r="T502" s="129"/>
      <c r="U502" s="129"/>
      <c r="V502" s="141"/>
      <c r="W502" s="139"/>
      <c r="X502" s="129"/>
      <c r="Y502" s="129"/>
      <c r="Z502" s="129"/>
      <c r="AA502" s="129"/>
      <c r="AB502" s="129"/>
      <c r="AC502" s="115"/>
      <c r="AD502" s="129"/>
      <c r="AE502" s="149"/>
      <c r="AF502" s="129"/>
      <c r="AG502" s="129"/>
      <c r="AH502" s="129"/>
    </row>
    <row r="503" spans="3:34" x14ac:dyDescent="0.35">
      <c r="C503" s="129"/>
      <c r="D503" s="129"/>
      <c r="E503" s="129"/>
      <c r="F503" s="129"/>
      <c r="G503" s="129"/>
      <c r="H503" s="129"/>
      <c r="I503" s="129"/>
      <c r="J503" s="129"/>
      <c r="K503" s="110"/>
      <c r="L503" s="129"/>
      <c r="M503" t="s">
        <v>351</v>
      </c>
      <c r="N503" s="129"/>
      <c r="O503" s="129"/>
      <c r="P503" s="129"/>
      <c r="Q503" s="129"/>
      <c r="R503" s="129"/>
      <c r="S503" s="129"/>
      <c r="T503" s="129"/>
      <c r="U503" s="129"/>
      <c r="V503" s="141"/>
      <c r="W503" s="139"/>
      <c r="X503" s="129"/>
      <c r="Y503" s="129"/>
      <c r="Z503" s="129"/>
      <c r="AA503" s="129"/>
      <c r="AB503" s="129"/>
      <c r="AC503" s="115"/>
      <c r="AD503" s="129"/>
      <c r="AE503" s="149"/>
      <c r="AF503" s="129"/>
      <c r="AG503" s="129"/>
      <c r="AH503" s="129"/>
    </row>
    <row r="504" spans="3:34" x14ac:dyDescent="0.35">
      <c r="C504" s="129"/>
      <c r="D504" s="129"/>
      <c r="E504" s="129"/>
      <c r="F504" s="129"/>
      <c r="G504" s="129"/>
      <c r="H504" s="129"/>
      <c r="I504" s="129"/>
      <c r="J504" s="129"/>
      <c r="K504" s="110"/>
      <c r="L504" s="129"/>
      <c r="M504" t="s">
        <v>351</v>
      </c>
      <c r="N504" s="129"/>
      <c r="O504" s="129"/>
      <c r="P504" s="129"/>
      <c r="Q504" s="129"/>
      <c r="R504" s="129"/>
      <c r="S504" s="129"/>
      <c r="T504" s="129"/>
      <c r="U504" s="129"/>
      <c r="V504" s="141"/>
      <c r="W504" s="139"/>
      <c r="X504" s="129"/>
      <c r="Y504" s="129"/>
      <c r="Z504" s="129"/>
      <c r="AA504" s="129"/>
      <c r="AB504" s="129"/>
      <c r="AC504" s="115"/>
      <c r="AD504" s="129"/>
      <c r="AE504" s="149"/>
      <c r="AF504" s="129"/>
      <c r="AG504" s="129"/>
      <c r="AH504" s="129"/>
    </row>
    <row r="505" spans="3:34" x14ac:dyDescent="0.35">
      <c r="C505" s="129"/>
      <c r="D505" s="129"/>
      <c r="E505" s="129"/>
      <c r="F505" s="129"/>
      <c r="G505" s="129"/>
      <c r="H505" s="129"/>
      <c r="I505" s="129"/>
      <c r="J505" s="129"/>
      <c r="K505" s="110"/>
      <c r="L505" s="129"/>
      <c r="M505" t="s">
        <v>351</v>
      </c>
      <c r="N505" s="129"/>
      <c r="O505" s="129"/>
      <c r="P505" s="129"/>
      <c r="Q505" s="129"/>
      <c r="R505" s="129"/>
      <c r="S505" s="129"/>
      <c r="T505" s="129"/>
      <c r="U505" s="129"/>
      <c r="V505" s="141"/>
      <c r="W505" s="139"/>
      <c r="X505" s="129"/>
      <c r="Y505" s="129"/>
      <c r="Z505" s="129"/>
      <c r="AA505" s="129"/>
      <c r="AB505" s="129"/>
      <c r="AC505" s="115"/>
      <c r="AD505" s="129"/>
      <c r="AE505" s="149"/>
      <c r="AF505" s="129"/>
      <c r="AG505" s="129"/>
      <c r="AH505" s="129"/>
    </row>
    <row r="506" spans="3:34" x14ac:dyDescent="0.35">
      <c r="C506" s="129"/>
      <c r="D506" s="129"/>
      <c r="E506" s="129"/>
      <c r="F506" s="129"/>
      <c r="G506" s="129"/>
      <c r="H506" s="129"/>
      <c r="I506" s="129"/>
      <c r="J506" s="129"/>
      <c r="K506" s="110"/>
      <c r="L506" s="129"/>
      <c r="M506" t="s">
        <v>351</v>
      </c>
      <c r="N506" s="129"/>
      <c r="O506" s="129"/>
      <c r="P506" s="129"/>
      <c r="Q506" s="129"/>
      <c r="R506" s="129"/>
      <c r="S506" s="129"/>
      <c r="T506" s="129"/>
      <c r="U506" s="129"/>
      <c r="V506" s="141"/>
      <c r="W506" s="139"/>
      <c r="X506" s="129"/>
      <c r="Y506" s="129"/>
      <c r="Z506" s="129"/>
      <c r="AA506" s="129"/>
      <c r="AB506" s="129"/>
      <c r="AC506" s="115"/>
      <c r="AD506" s="129"/>
      <c r="AE506" s="149"/>
      <c r="AF506" s="129"/>
      <c r="AG506" s="129"/>
      <c r="AH506" s="129"/>
    </row>
    <row r="507" spans="3:34" x14ac:dyDescent="0.35">
      <c r="C507" s="129"/>
      <c r="D507" s="129"/>
      <c r="E507" s="129"/>
      <c r="F507" s="129"/>
      <c r="G507" s="129"/>
      <c r="H507" s="129"/>
      <c r="I507" s="129"/>
      <c r="J507" s="129"/>
      <c r="K507" s="110"/>
      <c r="L507" s="129"/>
      <c r="M507" t="s">
        <v>351</v>
      </c>
      <c r="N507" s="129"/>
      <c r="O507" s="129"/>
      <c r="P507" s="129"/>
      <c r="Q507" s="129"/>
      <c r="R507" s="129"/>
      <c r="S507" s="129"/>
      <c r="T507" s="129"/>
      <c r="U507" s="129"/>
      <c r="V507" s="141"/>
      <c r="W507" s="139"/>
      <c r="X507" s="129"/>
      <c r="Y507" s="129"/>
      <c r="Z507" s="129"/>
      <c r="AA507" s="129"/>
      <c r="AB507" s="129"/>
      <c r="AC507" s="115"/>
      <c r="AD507" s="129"/>
      <c r="AE507" s="149"/>
      <c r="AF507" s="129"/>
      <c r="AG507" s="129"/>
      <c r="AH507" s="129"/>
    </row>
    <row r="508" spans="3:34" x14ac:dyDescent="0.35">
      <c r="C508" s="129"/>
      <c r="D508" s="129"/>
      <c r="E508" s="129"/>
      <c r="F508" s="129"/>
      <c r="G508" s="129"/>
      <c r="H508" s="129"/>
      <c r="I508" s="129"/>
      <c r="J508" s="129"/>
      <c r="K508" s="110"/>
      <c r="L508" s="129"/>
      <c r="M508" t="s">
        <v>351</v>
      </c>
      <c r="N508" s="129"/>
      <c r="O508" s="129"/>
      <c r="P508" s="129"/>
      <c r="Q508" s="129"/>
      <c r="R508" s="129"/>
      <c r="S508" s="129"/>
      <c r="T508" s="129"/>
      <c r="U508" s="129"/>
      <c r="V508" s="141"/>
      <c r="W508" s="139"/>
      <c r="X508" s="129"/>
      <c r="Y508" s="129"/>
      <c r="Z508" s="129"/>
      <c r="AA508" s="129"/>
      <c r="AB508" s="129"/>
      <c r="AC508" s="115"/>
      <c r="AD508" s="129"/>
      <c r="AE508" s="149"/>
      <c r="AF508" s="129"/>
      <c r="AG508" s="129"/>
      <c r="AH508" s="129"/>
    </row>
    <row r="509" spans="3:34" x14ac:dyDescent="0.35">
      <c r="C509" s="129"/>
      <c r="D509" s="129"/>
      <c r="E509" s="129"/>
      <c r="F509" s="129"/>
      <c r="G509" s="129"/>
      <c r="H509" s="129"/>
      <c r="I509" s="129"/>
      <c r="J509" s="129"/>
      <c r="K509" s="110"/>
      <c r="L509" s="129"/>
      <c r="M509" t="s">
        <v>351</v>
      </c>
      <c r="N509" s="129"/>
      <c r="O509" s="129"/>
      <c r="P509" s="129"/>
      <c r="Q509" s="129"/>
      <c r="R509" s="129"/>
      <c r="S509" s="129"/>
      <c r="T509" s="129"/>
      <c r="U509" s="129"/>
      <c r="V509" s="141"/>
      <c r="W509" s="139"/>
      <c r="X509" s="129"/>
      <c r="Y509" s="129"/>
      <c r="Z509" s="129"/>
      <c r="AA509" s="129"/>
      <c r="AB509" s="129"/>
      <c r="AC509" s="115"/>
      <c r="AD509" s="129"/>
      <c r="AE509" s="149"/>
      <c r="AF509" s="129"/>
      <c r="AG509" s="129"/>
      <c r="AH509" s="129"/>
    </row>
    <row r="510" spans="3:34" x14ac:dyDescent="0.35">
      <c r="C510" s="129"/>
      <c r="D510" s="129"/>
      <c r="E510" s="129"/>
      <c r="F510" s="129"/>
      <c r="G510" s="129"/>
      <c r="H510" s="129"/>
      <c r="I510" s="129"/>
      <c r="J510" s="129"/>
      <c r="K510" s="110"/>
      <c r="L510" s="129"/>
      <c r="M510" t="s">
        <v>351</v>
      </c>
      <c r="N510" s="129"/>
      <c r="O510" s="129"/>
      <c r="P510" s="129"/>
      <c r="Q510" s="129"/>
      <c r="R510" s="129"/>
      <c r="S510" s="129"/>
      <c r="T510" s="129"/>
      <c r="U510" s="129"/>
      <c r="V510" s="141"/>
      <c r="W510" s="139"/>
      <c r="X510" s="129"/>
      <c r="Y510" s="129"/>
      <c r="Z510" s="129"/>
      <c r="AA510" s="129"/>
      <c r="AB510" s="129"/>
      <c r="AC510" s="115"/>
      <c r="AD510" s="129"/>
      <c r="AE510" s="149"/>
      <c r="AF510" s="129"/>
      <c r="AG510" s="129"/>
      <c r="AH510" s="129"/>
    </row>
    <row r="511" spans="3:34" x14ac:dyDescent="0.35">
      <c r="C511" s="129"/>
      <c r="D511" s="129"/>
      <c r="E511" s="129"/>
      <c r="F511" s="129"/>
      <c r="G511" s="129"/>
      <c r="H511" s="129"/>
      <c r="I511" s="129"/>
      <c r="J511" s="129"/>
      <c r="K511" s="110"/>
      <c r="L511" s="129"/>
      <c r="M511" t="s">
        <v>351</v>
      </c>
      <c r="N511" s="129"/>
      <c r="O511" s="129"/>
      <c r="P511" s="129"/>
      <c r="Q511" s="129"/>
      <c r="R511" s="129"/>
      <c r="S511" s="129"/>
      <c r="T511" s="129"/>
      <c r="U511" s="129"/>
      <c r="V511" s="141"/>
      <c r="W511" s="139"/>
      <c r="X511" s="129"/>
      <c r="Y511" s="129"/>
      <c r="Z511" s="129"/>
      <c r="AA511" s="129"/>
      <c r="AB511" s="129"/>
      <c r="AC511" s="115"/>
      <c r="AD511" s="129"/>
      <c r="AE511" s="149"/>
      <c r="AF511" s="129"/>
      <c r="AG511" s="129"/>
      <c r="AH511" s="129"/>
    </row>
    <row r="512" spans="3:34" x14ac:dyDescent="0.35">
      <c r="C512" s="129"/>
      <c r="D512" s="129"/>
      <c r="E512" s="129"/>
      <c r="F512" s="129"/>
      <c r="G512" s="129"/>
      <c r="H512" s="129"/>
      <c r="I512" s="129"/>
      <c r="J512" s="129"/>
      <c r="K512" s="110"/>
      <c r="L512" s="129"/>
      <c r="M512" t="s">
        <v>351</v>
      </c>
      <c r="N512" s="129"/>
      <c r="O512" s="129"/>
      <c r="P512" s="129"/>
      <c r="Q512" s="129"/>
      <c r="R512" s="129"/>
      <c r="S512" s="129"/>
      <c r="T512" s="129"/>
      <c r="U512" s="129"/>
      <c r="V512" s="141"/>
      <c r="W512" s="139"/>
      <c r="X512" s="129"/>
      <c r="Y512" s="129"/>
      <c r="Z512" s="129"/>
      <c r="AA512" s="129"/>
      <c r="AB512" s="129"/>
      <c r="AC512" s="115"/>
      <c r="AD512" s="129"/>
      <c r="AE512" s="149"/>
      <c r="AF512" s="129"/>
      <c r="AG512" s="129"/>
      <c r="AH512" s="129"/>
    </row>
    <row r="513" spans="3:34" x14ac:dyDescent="0.35">
      <c r="C513" s="129"/>
      <c r="D513" s="129"/>
      <c r="E513" s="129"/>
      <c r="F513" s="129"/>
      <c r="G513" s="129"/>
      <c r="H513" s="129"/>
      <c r="I513" s="129"/>
      <c r="J513" s="129"/>
      <c r="K513" s="110"/>
      <c r="L513" s="129"/>
      <c r="M513" t="s">
        <v>351</v>
      </c>
      <c r="N513" s="129"/>
      <c r="O513" s="129"/>
      <c r="P513" s="129"/>
      <c r="Q513" s="129"/>
      <c r="R513" s="129"/>
      <c r="S513" s="129"/>
      <c r="T513" s="129"/>
      <c r="U513" s="129"/>
      <c r="V513" s="141"/>
      <c r="W513" s="139"/>
      <c r="X513" s="129"/>
      <c r="Y513" s="129"/>
      <c r="Z513" s="129"/>
      <c r="AA513" s="129"/>
      <c r="AB513" s="129"/>
      <c r="AC513" s="115"/>
      <c r="AD513" s="129"/>
      <c r="AE513" s="149"/>
      <c r="AF513" s="129"/>
      <c r="AG513" s="129"/>
      <c r="AH513" s="129"/>
    </row>
    <row r="514" spans="3:34" x14ac:dyDescent="0.35">
      <c r="C514" s="129"/>
      <c r="D514" s="129"/>
      <c r="E514" s="129"/>
      <c r="F514" s="129"/>
      <c r="G514" s="129"/>
      <c r="H514" s="129"/>
      <c r="I514" s="129"/>
      <c r="J514" s="129"/>
      <c r="K514" s="110"/>
      <c r="L514" s="129"/>
      <c r="M514" t="s">
        <v>351</v>
      </c>
      <c r="N514" s="129"/>
      <c r="O514" s="129"/>
      <c r="P514" s="129"/>
      <c r="Q514" s="129"/>
      <c r="R514" s="129"/>
      <c r="S514" s="129"/>
      <c r="T514" s="129"/>
      <c r="U514" s="129"/>
      <c r="V514" s="141"/>
      <c r="W514" s="139"/>
      <c r="X514" s="129"/>
      <c r="Y514" s="129"/>
      <c r="Z514" s="129"/>
      <c r="AA514" s="129"/>
      <c r="AB514" s="129"/>
      <c r="AC514" s="115"/>
      <c r="AD514" s="129"/>
      <c r="AE514" s="149"/>
      <c r="AF514" s="129"/>
      <c r="AG514" s="129"/>
      <c r="AH514" s="129"/>
    </row>
    <row r="515" spans="3:34" x14ac:dyDescent="0.35">
      <c r="C515" s="129"/>
      <c r="D515" s="129"/>
      <c r="E515" s="129"/>
      <c r="F515" s="129"/>
      <c r="G515" s="129"/>
      <c r="H515" s="129"/>
      <c r="I515" s="129"/>
      <c r="J515" s="129"/>
      <c r="K515" s="110"/>
      <c r="L515" s="129"/>
      <c r="M515" t="s">
        <v>351</v>
      </c>
      <c r="N515" s="129"/>
      <c r="O515" s="129"/>
      <c r="P515" s="129"/>
      <c r="Q515" s="129"/>
      <c r="R515" s="129"/>
      <c r="S515" s="129"/>
      <c r="T515" s="129"/>
      <c r="U515" s="129"/>
      <c r="V515" s="141"/>
      <c r="W515" s="139"/>
      <c r="X515" s="129"/>
      <c r="Y515" s="129"/>
      <c r="Z515" s="129"/>
      <c r="AA515" s="129"/>
      <c r="AB515" s="129"/>
      <c r="AC515" s="115"/>
      <c r="AD515" s="129"/>
      <c r="AE515" s="149"/>
      <c r="AF515" s="129"/>
      <c r="AG515" s="129"/>
      <c r="AH515" s="129"/>
    </row>
    <row r="516" spans="3:34" x14ac:dyDescent="0.35">
      <c r="C516" s="129"/>
      <c r="D516" s="129"/>
      <c r="E516" s="129"/>
      <c r="F516" s="129"/>
      <c r="G516" s="129"/>
      <c r="H516" s="129"/>
      <c r="I516" s="129"/>
      <c r="J516" s="129"/>
      <c r="K516" s="110"/>
      <c r="L516" s="129"/>
      <c r="M516" t="s">
        <v>351</v>
      </c>
      <c r="N516" s="129"/>
      <c r="O516" s="129"/>
      <c r="P516" s="129"/>
      <c r="Q516" s="129"/>
      <c r="R516" s="129"/>
      <c r="S516" s="129"/>
      <c r="T516" s="129"/>
      <c r="U516" s="129"/>
      <c r="V516" s="141"/>
      <c r="W516" s="139"/>
      <c r="X516" s="129"/>
      <c r="Y516" s="129"/>
      <c r="Z516" s="129"/>
      <c r="AA516" s="129"/>
      <c r="AB516" s="129"/>
      <c r="AC516" s="115"/>
      <c r="AD516" s="129"/>
      <c r="AE516" s="149"/>
      <c r="AF516" s="129"/>
      <c r="AG516" s="129"/>
      <c r="AH516" s="129"/>
    </row>
    <row r="517" spans="3:34" x14ac:dyDescent="0.35">
      <c r="C517" s="129"/>
      <c r="D517" s="129"/>
      <c r="E517" s="129"/>
      <c r="F517" s="129"/>
      <c r="G517" s="129"/>
      <c r="H517" s="129"/>
      <c r="I517" s="129"/>
      <c r="J517" s="129"/>
      <c r="K517" s="110"/>
      <c r="L517" s="129"/>
      <c r="M517" t="s">
        <v>351</v>
      </c>
      <c r="N517" s="129"/>
      <c r="O517" s="129"/>
      <c r="P517" s="129"/>
      <c r="Q517" s="129"/>
      <c r="R517" s="129"/>
      <c r="S517" s="129"/>
      <c r="T517" s="129"/>
      <c r="U517" s="129"/>
      <c r="V517" s="141"/>
      <c r="W517" s="139"/>
      <c r="X517" s="129"/>
      <c r="Y517" s="129"/>
      <c r="Z517" s="129"/>
      <c r="AA517" s="129"/>
      <c r="AB517" s="129"/>
      <c r="AC517" s="115"/>
      <c r="AD517" s="129"/>
      <c r="AE517" s="149"/>
      <c r="AF517" s="129"/>
      <c r="AG517" s="129"/>
      <c r="AH517" s="129"/>
    </row>
    <row r="518" spans="3:34" x14ac:dyDescent="0.35">
      <c r="C518" s="129"/>
      <c r="D518" s="129"/>
      <c r="E518" s="129"/>
      <c r="F518" s="129"/>
      <c r="G518" s="129"/>
      <c r="H518" s="129"/>
      <c r="I518" s="129"/>
      <c r="J518" s="129"/>
      <c r="K518" s="110"/>
      <c r="L518" s="129"/>
      <c r="M518" t="s">
        <v>351</v>
      </c>
      <c r="N518" s="129"/>
      <c r="O518" s="129"/>
      <c r="P518" s="129"/>
      <c r="Q518" s="129"/>
      <c r="R518" s="129"/>
      <c r="S518" s="129"/>
      <c r="T518" s="129"/>
      <c r="U518" s="129"/>
      <c r="V518" s="141"/>
      <c r="W518" s="139"/>
      <c r="X518" s="129"/>
      <c r="Y518" s="129"/>
      <c r="Z518" s="129"/>
      <c r="AA518" s="129"/>
      <c r="AB518" s="129"/>
      <c r="AC518" s="115"/>
      <c r="AD518" s="129"/>
      <c r="AE518" s="149"/>
      <c r="AF518" s="129"/>
      <c r="AG518" s="129"/>
      <c r="AH518" s="129"/>
    </row>
    <row r="519" spans="3:34" x14ac:dyDescent="0.35">
      <c r="C519" s="129"/>
      <c r="D519" s="129"/>
      <c r="E519" s="129"/>
      <c r="F519" s="129"/>
      <c r="G519" s="129"/>
      <c r="H519" s="129"/>
      <c r="I519" s="129"/>
      <c r="J519" s="129"/>
      <c r="K519" s="110"/>
      <c r="L519" s="129"/>
      <c r="M519" t="s">
        <v>351</v>
      </c>
      <c r="N519" s="129"/>
      <c r="O519" s="129"/>
      <c r="P519" s="129"/>
      <c r="Q519" s="129"/>
      <c r="R519" s="129"/>
      <c r="S519" s="129"/>
      <c r="T519" s="129"/>
      <c r="U519" s="129"/>
      <c r="V519" s="141"/>
      <c r="W519" s="139"/>
      <c r="X519" s="129"/>
      <c r="Y519" s="129"/>
      <c r="Z519" s="129"/>
      <c r="AA519" s="129"/>
      <c r="AB519" s="129"/>
      <c r="AC519" s="115"/>
      <c r="AD519" s="129"/>
      <c r="AE519" s="149"/>
      <c r="AF519" s="129"/>
      <c r="AG519" s="129"/>
      <c r="AH519" s="129"/>
    </row>
    <row r="520" spans="3:34" x14ac:dyDescent="0.35">
      <c r="C520" s="129"/>
      <c r="D520" s="129"/>
      <c r="E520" s="129"/>
      <c r="F520" s="129"/>
      <c r="G520" s="129"/>
      <c r="H520" s="129"/>
      <c r="I520" s="129"/>
      <c r="J520" s="129"/>
      <c r="K520" s="110"/>
      <c r="L520" s="129"/>
      <c r="M520" t="s">
        <v>351</v>
      </c>
      <c r="N520" s="129"/>
      <c r="O520" s="129"/>
      <c r="P520" s="129"/>
      <c r="Q520" s="129"/>
      <c r="R520" s="129"/>
      <c r="S520" s="129"/>
      <c r="T520" s="129"/>
      <c r="U520" s="129"/>
      <c r="V520" s="141"/>
      <c r="W520" s="139"/>
      <c r="X520" s="129"/>
      <c r="Y520" s="129"/>
      <c r="Z520" s="129"/>
      <c r="AA520" s="129"/>
      <c r="AB520" s="129"/>
      <c r="AC520" s="115"/>
      <c r="AD520" s="129"/>
      <c r="AE520" s="149"/>
      <c r="AF520" s="129"/>
      <c r="AG520" s="129"/>
      <c r="AH520" s="129"/>
    </row>
    <row r="521" spans="3:34" x14ac:dyDescent="0.35">
      <c r="C521" s="129"/>
      <c r="D521" s="129"/>
      <c r="E521" s="129"/>
      <c r="F521" s="129"/>
      <c r="G521" s="129"/>
      <c r="H521" s="129"/>
      <c r="I521" s="129"/>
      <c r="J521" s="129"/>
      <c r="K521" s="110"/>
      <c r="L521" s="129"/>
      <c r="M521" t="s">
        <v>351</v>
      </c>
      <c r="N521" s="129"/>
      <c r="O521" s="129"/>
      <c r="P521" s="129"/>
      <c r="Q521" s="129"/>
      <c r="R521" s="129"/>
      <c r="S521" s="129"/>
      <c r="T521" s="129"/>
      <c r="U521" s="129"/>
      <c r="V521" s="141"/>
      <c r="W521" s="139"/>
      <c r="X521" s="129"/>
      <c r="Y521" s="129"/>
      <c r="Z521" s="129"/>
      <c r="AA521" s="129"/>
      <c r="AB521" s="129"/>
      <c r="AC521" s="115"/>
      <c r="AD521" s="129"/>
      <c r="AE521" s="149"/>
      <c r="AF521" s="129"/>
      <c r="AG521" s="129"/>
      <c r="AH521" s="129"/>
    </row>
    <row r="522" spans="3:34" x14ac:dyDescent="0.35">
      <c r="C522" s="129"/>
      <c r="D522" s="129"/>
      <c r="E522" s="129"/>
      <c r="F522" s="129"/>
      <c r="G522" s="129"/>
      <c r="H522" s="129"/>
      <c r="I522" s="129"/>
      <c r="J522" s="129"/>
      <c r="K522" s="110"/>
      <c r="L522" s="129"/>
      <c r="M522" t="s">
        <v>351</v>
      </c>
      <c r="N522" s="129"/>
      <c r="O522" s="129"/>
      <c r="P522" s="129"/>
      <c r="Q522" s="129"/>
      <c r="R522" s="129"/>
      <c r="S522" s="129"/>
      <c r="T522" s="129"/>
      <c r="U522" s="129"/>
      <c r="V522" s="141"/>
      <c r="W522" s="139"/>
      <c r="X522" s="129"/>
      <c r="Y522" s="129"/>
      <c r="Z522" s="129"/>
      <c r="AA522" s="129"/>
      <c r="AB522" s="129"/>
      <c r="AC522" s="115"/>
      <c r="AD522" s="129"/>
      <c r="AE522" s="149"/>
      <c r="AF522" s="129"/>
      <c r="AG522" s="129"/>
      <c r="AH522" s="129"/>
    </row>
    <row r="523" spans="3:34" x14ac:dyDescent="0.35">
      <c r="C523" s="129"/>
      <c r="D523" s="129"/>
      <c r="E523" s="129"/>
      <c r="F523" s="129"/>
      <c r="G523" s="129"/>
      <c r="H523" s="129"/>
      <c r="I523" s="129"/>
      <c r="J523" s="129"/>
      <c r="K523" s="110"/>
      <c r="L523" s="129"/>
      <c r="M523" t="s">
        <v>351</v>
      </c>
      <c r="N523" s="129"/>
      <c r="O523" s="129"/>
      <c r="P523" s="129"/>
      <c r="Q523" s="129"/>
      <c r="R523" s="129"/>
      <c r="S523" s="129"/>
      <c r="T523" s="129"/>
      <c r="U523" s="129"/>
      <c r="V523" s="141"/>
      <c r="W523" s="139"/>
      <c r="X523" s="129"/>
      <c r="Y523" s="129"/>
      <c r="Z523" s="129"/>
      <c r="AA523" s="129"/>
      <c r="AB523" s="129"/>
      <c r="AC523" s="115"/>
      <c r="AD523" s="129"/>
      <c r="AE523" s="149"/>
      <c r="AF523" s="129"/>
      <c r="AG523" s="129"/>
      <c r="AH523" s="129"/>
    </row>
    <row r="524" spans="3:34" x14ac:dyDescent="0.35">
      <c r="C524" s="129"/>
      <c r="D524" s="129"/>
      <c r="E524" s="129"/>
      <c r="F524" s="129"/>
      <c r="G524" s="129"/>
      <c r="H524" s="129"/>
      <c r="I524" s="129"/>
      <c r="J524" s="129"/>
      <c r="K524" s="110"/>
      <c r="L524" s="129"/>
      <c r="M524" t="s">
        <v>351</v>
      </c>
      <c r="N524" s="129"/>
      <c r="O524" s="129"/>
      <c r="P524" s="129"/>
      <c r="Q524" s="129"/>
      <c r="R524" s="129"/>
      <c r="S524" s="129"/>
      <c r="T524" s="129"/>
      <c r="U524" s="129"/>
      <c r="V524" s="141"/>
      <c r="W524" s="139"/>
      <c r="X524" s="129"/>
      <c r="Y524" s="129"/>
      <c r="Z524" s="129"/>
      <c r="AA524" s="129"/>
      <c r="AB524" s="129"/>
      <c r="AC524" s="115"/>
      <c r="AD524" s="129"/>
      <c r="AE524" s="149"/>
      <c r="AF524" s="129"/>
      <c r="AG524" s="129"/>
      <c r="AH524" s="129"/>
    </row>
    <row r="525" spans="3:34" x14ac:dyDescent="0.35">
      <c r="C525" s="129"/>
      <c r="D525" s="129"/>
      <c r="E525" s="129"/>
      <c r="F525" s="129"/>
      <c r="G525" s="129"/>
      <c r="H525" s="129"/>
      <c r="I525" s="129"/>
      <c r="J525" s="129"/>
      <c r="K525" s="110"/>
      <c r="L525" s="129"/>
      <c r="M525" t="s">
        <v>351</v>
      </c>
      <c r="N525" s="129"/>
      <c r="O525" s="129"/>
      <c r="P525" s="129"/>
      <c r="Q525" s="129"/>
      <c r="R525" s="129"/>
      <c r="S525" s="129"/>
      <c r="T525" s="129"/>
      <c r="U525" s="129"/>
      <c r="V525" s="141"/>
      <c r="W525" s="139"/>
      <c r="X525" s="129"/>
      <c r="Y525" s="129"/>
      <c r="Z525" s="129"/>
      <c r="AA525" s="129"/>
      <c r="AB525" s="129"/>
      <c r="AC525" s="115"/>
      <c r="AD525" s="129"/>
      <c r="AE525" s="149"/>
      <c r="AF525" s="129"/>
      <c r="AG525" s="129"/>
      <c r="AH525" s="129"/>
    </row>
    <row r="526" spans="3:34" x14ac:dyDescent="0.35">
      <c r="C526" s="129"/>
      <c r="D526" s="129"/>
      <c r="E526" s="129"/>
      <c r="F526" s="129"/>
      <c r="G526" s="129"/>
      <c r="H526" s="129"/>
      <c r="I526" s="129"/>
      <c r="J526" s="129"/>
      <c r="K526" s="110"/>
      <c r="L526" s="129"/>
      <c r="M526" t="s">
        <v>351</v>
      </c>
      <c r="N526" s="129"/>
      <c r="O526" s="129"/>
      <c r="P526" s="129"/>
      <c r="Q526" s="129"/>
      <c r="R526" s="129"/>
      <c r="S526" s="129"/>
      <c r="T526" s="129"/>
      <c r="U526" s="129"/>
      <c r="V526" s="141"/>
      <c r="W526" s="139"/>
      <c r="X526" s="129"/>
      <c r="Y526" s="129"/>
      <c r="Z526" s="129"/>
      <c r="AA526" s="129"/>
      <c r="AB526" s="129"/>
      <c r="AC526" s="115"/>
      <c r="AD526" s="129"/>
      <c r="AE526" s="149"/>
      <c r="AF526" s="129"/>
      <c r="AG526" s="129"/>
      <c r="AH526" s="129"/>
    </row>
    <row r="527" spans="3:34" x14ac:dyDescent="0.35">
      <c r="C527" s="129"/>
      <c r="D527" s="129"/>
      <c r="E527" s="129"/>
      <c r="F527" s="129"/>
      <c r="G527" s="129"/>
      <c r="H527" s="129"/>
      <c r="I527" s="129"/>
      <c r="J527" s="129"/>
      <c r="K527" s="110"/>
      <c r="L527" s="129"/>
      <c r="M527" t="s">
        <v>351</v>
      </c>
      <c r="N527" s="129"/>
      <c r="O527" s="129"/>
      <c r="P527" s="129"/>
      <c r="Q527" s="129"/>
      <c r="R527" s="129"/>
      <c r="S527" s="129"/>
      <c r="T527" s="129"/>
      <c r="U527" s="129"/>
      <c r="V527" s="141"/>
      <c r="W527" s="139"/>
      <c r="X527" s="129"/>
      <c r="Y527" s="129"/>
      <c r="Z527" s="129"/>
      <c r="AA527" s="129"/>
      <c r="AB527" s="129"/>
      <c r="AC527" s="115"/>
      <c r="AD527" s="129"/>
      <c r="AE527" s="149"/>
      <c r="AF527" s="129"/>
      <c r="AG527" s="129"/>
      <c r="AH527" s="129"/>
    </row>
    <row r="528" spans="3:34" x14ac:dyDescent="0.35">
      <c r="C528" s="129"/>
      <c r="D528" s="129"/>
      <c r="E528" s="129"/>
      <c r="F528" s="129"/>
      <c r="G528" s="129"/>
      <c r="H528" s="129"/>
      <c r="I528" s="129"/>
      <c r="J528" s="129"/>
      <c r="K528" s="110"/>
      <c r="L528" s="129"/>
      <c r="M528" t="s">
        <v>351</v>
      </c>
      <c r="N528" s="129"/>
      <c r="O528" s="129"/>
      <c r="P528" s="129"/>
      <c r="Q528" s="129"/>
      <c r="R528" s="129"/>
      <c r="S528" s="129"/>
      <c r="T528" s="129"/>
      <c r="U528" s="129"/>
      <c r="V528" s="141"/>
      <c r="W528" s="139"/>
      <c r="X528" s="129"/>
      <c r="Y528" s="129"/>
      <c r="Z528" s="129"/>
      <c r="AA528" s="129"/>
      <c r="AB528" s="129"/>
      <c r="AC528" s="115"/>
      <c r="AD528" s="129"/>
      <c r="AE528" s="149"/>
      <c r="AF528" s="129"/>
      <c r="AG528" s="129"/>
      <c r="AH528" s="129"/>
    </row>
    <row r="529" spans="3:34" x14ac:dyDescent="0.35">
      <c r="C529" s="129"/>
      <c r="D529" s="129"/>
      <c r="E529" s="129"/>
      <c r="F529" s="129"/>
      <c r="G529" s="129"/>
      <c r="H529" s="129"/>
      <c r="I529" s="129"/>
      <c r="J529" s="129"/>
      <c r="K529" s="110"/>
      <c r="L529" s="129"/>
      <c r="M529" t="s">
        <v>351</v>
      </c>
      <c r="N529" s="129"/>
      <c r="O529" s="129"/>
      <c r="P529" s="129"/>
      <c r="Q529" s="129"/>
      <c r="R529" s="129"/>
      <c r="S529" s="129"/>
      <c r="T529" s="129"/>
      <c r="U529" s="129"/>
      <c r="V529" s="141"/>
      <c r="W529" s="139"/>
      <c r="X529" s="129"/>
      <c r="Y529" s="129"/>
      <c r="Z529" s="129"/>
      <c r="AA529" s="129"/>
      <c r="AB529" s="129"/>
      <c r="AC529" s="115"/>
      <c r="AD529" s="129"/>
      <c r="AE529" s="149"/>
      <c r="AF529" s="129"/>
      <c r="AG529" s="129"/>
      <c r="AH529" s="129"/>
    </row>
    <row r="530" spans="3:34" x14ac:dyDescent="0.35">
      <c r="C530" s="129"/>
      <c r="D530" s="129"/>
      <c r="E530" s="129"/>
      <c r="F530" s="129"/>
      <c r="G530" s="129"/>
      <c r="H530" s="129"/>
      <c r="I530" s="129"/>
      <c r="J530" s="129"/>
      <c r="K530" s="110"/>
      <c r="L530" s="129"/>
      <c r="M530" t="s">
        <v>351</v>
      </c>
      <c r="N530" s="129"/>
      <c r="O530" s="129"/>
      <c r="P530" s="129"/>
      <c r="Q530" s="129"/>
      <c r="R530" s="129"/>
      <c r="S530" s="129"/>
      <c r="T530" s="129"/>
      <c r="U530" s="129"/>
      <c r="V530" s="141"/>
      <c r="W530" s="139"/>
      <c r="X530" s="129"/>
      <c r="Y530" s="129"/>
      <c r="Z530" s="129"/>
      <c r="AA530" s="129"/>
      <c r="AB530" s="129"/>
      <c r="AC530" s="115"/>
      <c r="AD530" s="129"/>
      <c r="AE530" s="149"/>
      <c r="AF530" s="129"/>
      <c r="AG530" s="129"/>
      <c r="AH530" s="129"/>
    </row>
    <row r="531" spans="3:34" x14ac:dyDescent="0.35">
      <c r="C531" s="129"/>
      <c r="D531" s="129"/>
      <c r="E531" s="129"/>
      <c r="F531" s="129"/>
      <c r="G531" s="129"/>
      <c r="H531" s="129"/>
      <c r="I531" s="129"/>
      <c r="J531" s="129"/>
      <c r="K531" s="110"/>
      <c r="L531" s="129"/>
      <c r="M531" t="s">
        <v>351</v>
      </c>
      <c r="N531" s="129"/>
      <c r="O531" s="129"/>
      <c r="P531" s="129"/>
      <c r="Q531" s="129"/>
      <c r="R531" s="129"/>
      <c r="S531" s="129"/>
      <c r="T531" s="129"/>
      <c r="U531" s="129"/>
      <c r="V531" s="141"/>
      <c r="W531" s="139"/>
      <c r="X531" s="129"/>
      <c r="Y531" s="129"/>
      <c r="Z531" s="129"/>
      <c r="AA531" s="129"/>
      <c r="AB531" s="129"/>
      <c r="AC531" s="115"/>
      <c r="AD531" s="129"/>
      <c r="AE531" s="149"/>
      <c r="AF531" s="129"/>
      <c r="AG531" s="129"/>
      <c r="AH531" s="129"/>
    </row>
    <row r="532" spans="3:34" x14ac:dyDescent="0.35">
      <c r="C532" s="129"/>
      <c r="D532" s="129"/>
      <c r="E532" s="129"/>
      <c r="F532" s="129"/>
      <c r="G532" s="129"/>
      <c r="H532" s="129"/>
      <c r="I532" s="129"/>
      <c r="J532" s="129"/>
      <c r="K532" s="110"/>
      <c r="L532" s="129"/>
      <c r="M532" t="s">
        <v>351</v>
      </c>
      <c r="N532" s="129"/>
      <c r="O532" s="129"/>
      <c r="P532" s="129"/>
      <c r="Q532" s="129"/>
      <c r="R532" s="129"/>
      <c r="S532" s="129"/>
      <c r="T532" s="129"/>
      <c r="U532" s="129"/>
      <c r="V532" s="141"/>
      <c r="W532" s="139"/>
      <c r="X532" s="129"/>
      <c r="Y532" s="129"/>
      <c r="Z532" s="129"/>
      <c r="AA532" s="129"/>
      <c r="AB532" s="129"/>
      <c r="AC532" s="115"/>
      <c r="AD532" s="129"/>
      <c r="AE532" s="149"/>
      <c r="AF532" s="129"/>
      <c r="AG532" s="129"/>
      <c r="AH532" s="129"/>
    </row>
    <row r="533" spans="3:34" x14ac:dyDescent="0.35">
      <c r="C533" s="129"/>
      <c r="D533" s="129"/>
      <c r="E533" s="129"/>
      <c r="F533" s="129"/>
      <c r="G533" s="129"/>
      <c r="H533" s="129"/>
      <c r="I533" s="129"/>
      <c r="J533" s="129"/>
      <c r="K533" s="110"/>
      <c r="L533" s="129"/>
      <c r="M533" t="s">
        <v>351</v>
      </c>
      <c r="N533" s="129"/>
      <c r="O533" s="129"/>
      <c r="P533" s="129"/>
      <c r="Q533" s="129"/>
      <c r="R533" s="129"/>
      <c r="S533" s="129"/>
      <c r="T533" s="129"/>
      <c r="U533" s="129"/>
      <c r="V533" s="141"/>
      <c r="W533" s="139"/>
      <c r="X533" s="129"/>
      <c r="Y533" s="129"/>
      <c r="Z533" s="129"/>
      <c r="AA533" s="129"/>
      <c r="AB533" s="129"/>
      <c r="AC533" s="115"/>
      <c r="AD533" s="129"/>
      <c r="AE533" s="149"/>
      <c r="AF533" s="129"/>
      <c r="AG533" s="129"/>
      <c r="AH533" s="129"/>
    </row>
    <row r="534" spans="3:34" x14ac:dyDescent="0.35">
      <c r="C534" s="129"/>
      <c r="D534" s="129"/>
      <c r="E534" s="129"/>
      <c r="F534" s="129"/>
      <c r="G534" s="129"/>
      <c r="H534" s="129"/>
      <c r="I534" s="129"/>
      <c r="J534" s="129"/>
      <c r="K534" s="110"/>
      <c r="L534" s="129"/>
      <c r="M534" t="s">
        <v>351</v>
      </c>
      <c r="N534" s="129"/>
      <c r="O534" s="129"/>
      <c r="P534" s="129"/>
      <c r="Q534" s="129"/>
      <c r="R534" s="129"/>
      <c r="S534" s="129"/>
      <c r="T534" s="129"/>
      <c r="U534" s="129"/>
      <c r="V534" s="141"/>
      <c r="W534" s="139"/>
      <c r="X534" s="129"/>
      <c r="Y534" s="129"/>
      <c r="Z534" s="129"/>
      <c r="AA534" s="129"/>
      <c r="AB534" s="129"/>
      <c r="AC534" s="115"/>
      <c r="AD534" s="129"/>
      <c r="AE534" s="149"/>
      <c r="AF534" s="129"/>
      <c r="AG534" s="129"/>
      <c r="AH534" s="129"/>
    </row>
    <row r="535" spans="3:34" x14ac:dyDescent="0.35">
      <c r="C535" s="129"/>
      <c r="D535" s="129"/>
      <c r="E535" s="129"/>
      <c r="F535" s="129"/>
      <c r="G535" s="129"/>
      <c r="H535" s="129"/>
      <c r="I535" s="129"/>
      <c r="J535" s="129"/>
      <c r="K535" s="110"/>
      <c r="L535" s="129"/>
      <c r="M535" t="s">
        <v>351</v>
      </c>
      <c r="N535" s="129"/>
      <c r="O535" s="129"/>
      <c r="P535" s="129"/>
      <c r="Q535" s="129"/>
      <c r="R535" s="129"/>
      <c r="S535" s="129"/>
      <c r="T535" s="129"/>
      <c r="U535" s="129"/>
      <c r="V535" s="141"/>
      <c r="W535" s="139"/>
      <c r="X535" s="129"/>
      <c r="Y535" s="129"/>
      <c r="Z535" s="129"/>
      <c r="AA535" s="129"/>
      <c r="AB535" s="129"/>
      <c r="AC535" s="115"/>
      <c r="AD535" s="129"/>
      <c r="AE535" s="149"/>
      <c r="AF535" s="129"/>
      <c r="AG535" s="129"/>
      <c r="AH535" s="129"/>
    </row>
    <row r="536" spans="3:34" x14ac:dyDescent="0.35">
      <c r="C536" s="129"/>
      <c r="D536" s="129"/>
      <c r="E536" s="129"/>
      <c r="F536" s="129"/>
      <c r="G536" s="129"/>
      <c r="H536" s="129"/>
      <c r="I536" s="129"/>
      <c r="J536" s="129"/>
      <c r="K536" s="110"/>
      <c r="L536" s="129"/>
      <c r="M536" t="s">
        <v>351</v>
      </c>
      <c r="N536" s="129"/>
      <c r="O536" s="129"/>
      <c r="P536" s="129"/>
      <c r="Q536" s="129"/>
      <c r="R536" s="129"/>
      <c r="S536" s="129"/>
      <c r="T536" s="129"/>
      <c r="U536" s="129"/>
      <c r="V536" s="141"/>
      <c r="W536" s="139"/>
      <c r="X536" s="129"/>
      <c r="Y536" s="129"/>
      <c r="Z536" s="129"/>
      <c r="AA536" s="129"/>
      <c r="AB536" s="129"/>
      <c r="AC536" s="115"/>
      <c r="AD536" s="129"/>
      <c r="AE536" s="149"/>
      <c r="AF536" s="129"/>
      <c r="AG536" s="129"/>
      <c r="AH536" s="129"/>
    </row>
    <row r="537" spans="3:34" x14ac:dyDescent="0.35">
      <c r="C537" s="129"/>
      <c r="D537" s="129"/>
      <c r="E537" s="129"/>
      <c r="F537" s="129"/>
      <c r="G537" s="129"/>
      <c r="H537" s="129"/>
      <c r="I537" s="129"/>
      <c r="J537" s="129"/>
      <c r="K537" s="110"/>
      <c r="L537" s="129"/>
      <c r="M537" t="s">
        <v>351</v>
      </c>
      <c r="N537" s="129"/>
      <c r="O537" s="129"/>
      <c r="P537" s="129"/>
      <c r="Q537" s="129"/>
      <c r="R537" s="129"/>
      <c r="S537" s="129"/>
      <c r="T537" s="129"/>
      <c r="U537" s="129"/>
      <c r="V537" s="141"/>
      <c r="W537" s="139"/>
      <c r="X537" s="129"/>
      <c r="Y537" s="129"/>
      <c r="Z537" s="129"/>
      <c r="AA537" s="129"/>
      <c r="AB537" s="129"/>
      <c r="AC537" s="115"/>
      <c r="AD537" s="129"/>
      <c r="AE537" s="149"/>
      <c r="AF537" s="129"/>
      <c r="AG537" s="129"/>
      <c r="AH537" s="129"/>
    </row>
    <row r="538" spans="3:34" x14ac:dyDescent="0.35">
      <c r="C538" s="129"/>
      <c r="D538" s="129"/>
      <c r="E538" s="129"/>
      <c r="F538" s="129"/>
      <c r="G538" s="129"/>
      <c r="H538" s="129"/>
      <c r="I538" s="129"/>
      <c r="J538" s="129"/>
      <c r="K538" s="110"/>
      <c r="L538" s="129"/>
      <c r="M538" t="s">
        <v>351</v>
      </c>
      <c r="N538" s="129"/>
      <c r="O538" s="129"/>
      <c r="P538" s="129"/>
      <c r="Q538" s="129"/>
      <c r="R538" s="129"/>
      <c r="S538" s="129"/>
      <c r="T538" s="129"/>
      <c r="U538" s="129"/>
      <c r="V538" s="141"/>
      <c r="W538" s="139"/>
      <c r="X538" s="129"/>
      <c r="Y538" s="129"/>
      <c r="Z538" s="129"/>
      <c r="AA538" s="129"/>
      <c r="AB538" s="129"/>
      <c r="AC538" s="115"/>
      <c r="AD538" s="129"/>
      <c r="AE538" s="149"/>
      <c r="AF538" s="129"/>
      <c r="AG538" s="129"/>
      <c r="AH538" s="129"/>
    </row>
    <row r="539" spans="3:34" x14ac:dyDescent="0.35">
      <c r="C539" s="129"/>
      <c r="D539" s="129"/>
      <c r="E539" s="129"/>
      <c r="F539" s="129"/>
      <c r="G539" s="129"/>
      <c r="H539" s="129"/>
      <c r="I539" s="129"/>
      <c r="J539" s="129"/>
      <c r="K539" s="110"/>
      <c r="L539" s="129"/>
      <c r="M539" t="s">
        <v>351</v>
      </c>
      <c r="N539" s="129"/>
      <c r="O539" s="129"/>
      <c r="P539" s="129"/>
      <c r="Q539" s="129"/>
      <c r="R539" s="129"/>
      <c r="S539" s="129"/>
      <c r="T539" s="129"/>
      <c r="U539" s="129"/>
      <c r="V539" s="141"/>
      <c r="W539" s="139"/>
      <c r="X539" s="129"/>
      <c r="Y539" s="129"/>
      <c r="Z539" s="129"/>
      <c r="AA539" s="129"/>
      <c r="AB539" s="129"/>
      <c r="AC539" s="115"/>
      <c r="AD539" s="129"/>
      <c r="AE539" s="149"/>
      <c r="AF539" s="129"/>
      <c r="AG539" s="129"/>
      <c r="AH539" s="129"/>
    </row>
    <row r="540" spans="3:34" x14ac:dyDescent="0.35">
      <c r="C540" s="129"/>
      <c r="D540" s="129"/>
      <c r="E540" s="129"/>
      <c r="F540" s="129"/>
      <c r="G540" s="129"/>
      <c r="H540" s="129"/>
      <c r="I540" s="129"/>
      <c r="J540" s="129"/>
      <c r="K540" s="110"/>
      <c r="L540" s="129"/>
      <c r="M540" t="s">
        <v>351</v>
      </c>
      <c r="N540" s="129"/>
      <c r="O540" s="129"/>
      <c r="P540" s="129"/>
      <c r="Q540" s="129"/>
      <c r="R540" s="129"/>
      <c r="S540" s="129"/>
      <c r="T540" s="129"/>
      <c r="U540" s="129"/>
      <c r="V540" s="141"/>
      <c r="W540" s="139"/>
      <c r="X540" s="129"/>
      <c r="Y540" s="129"/>
      <c r="Z540" s="129"/>
      <c r="AA540" s="129"/>
      <c r="AB540" s="129"/>
      <c r="AC540" s="115"/>
      <c r="AD540" s="129"/>
      <c r="AE540" s="149"/>
      <c r="AF540" s="129"/>
      <c r="AG540" s="129"/>
      <c r="AH540" s="129"/>
    </row>
    <row r="541" spans="3:34" x14ac:dyDescent="0.35">
      <c r="C541" s="129"/>
      <c r="D541" s="129"/>
      <c r="E541" s="129"/>
      <c r="F541" s="129"/>
      <c r="G541" s="129"/>
      <c r="H541" s="129"/>
      <c r="I541" s="129"/>
      <c r="J541" s="129"/>
      <c r="K541" s="110"/>
      <c r="L541" s="129"/>
      <c r="M541" t="s">
        <v>351</v>
      </c>
      <c r="N541" s="129"/>
      <c r="O541" s="129"/>
      <c r="P541" s="129"/>
      <c r="Q541" s="129"/>
      <c r="R541" s="129"/>
      <c r="S541" s="129"/>
      <c r="T541" s="129"/>
      <c r="U541" s="129"/>
      <c r="V541" s="141"/>
      <c r="W541" s="139"/>
      <c r="X541" s="129"/>
      <c r="Y541" s="129"/>
      <c r="Z541" s="129"/>
      <c r="AA541" s="129"/>
      <c r="AB541" s="129"/>
      <c r="AC541" s="115"/>
      <c r="AD541" s="129"/>
      <c r="AE541" s="149"/>
      <c r="AF541" s="129"/>
      <c r="AG541" s="129"/>
      <c r="AH541" s="129"/>
    </row>
    <row r="542" spans="3:34" x14ac:dyDescent="0.35">
      <c r="C542" s="129"/>
      <c r="D542" s="129"/>
      <c r="E542" s="129"/>
      <c r="F542" s="129"/>
      <c r="G542" s="129"/>
      <c r="H542" s="129"/>
      <c r="I542" s="129"/>
      <c r="J542" s="129"/>
      <c r="K542" s="110"/>
      <c r="L542" s="129"/>
      <c r="M542" t="s">
        <v>351</v>
      </c>
      <c r="N542" s="129"/>
      <c r="O542" s="129"/>
      <c r="P542" s="129"/>
      <c r="Q542" s="129"/>
      <c r="R542" s="129"/>
      <c r="S542" s="129"/>
      <c r="T542" s="129"/>
      <c r="U542" s="129"/>
      <c r="V542" s="141"/>
      <c r="W542" s="139"/>
      <c r="X542" s="129"/>
      <c r="Y542" s="129"/>
      <c r="Z542" s="129"/>
      <c r="AA542" s="129"/>
      <c r="AB542" s="129"/>
      <c r="AC542" s="115"/>
      <c r="AD542" s="129"/>
      <c r="AE542" s="149"/>
      <c r="AF542" s="129"/>
      <c r="AG542" s="129"/>
      <c r="AH542" s="129"/>
    </row>
    <row r="543" spans="3:34" x14ac:dyDescent="0.35">
      <c r="C543" s="129"/>
      <c r="D543" s="129"/>
      <c r="E543" s="129"/>
      <c r="F543" s="129"/>
      <c r="G543" s="129"/>
      <c r="H543" s="129"/>
      <c r="I543" s="129"/>
      <c r="J543" s="129"/>
      <c r="K543" s="110"/>
      <c r="L543" s="129"/>
      <c r="M543" t="s">
        <v>351</v>
      </c>
      <c r="N543" s="129"/>
      <c r="O543" s="129"/>
      <c r="P543" s="129"/>
      <c r="Q543" s="129"/>
      <c r="R543" s="129"/>
      <c r="S543" s="129"/>
      <c r="T543" s="129"/>
      <c r="U543" s="129"/>
      <c r="V543" s="141"/>
      <c r="W543" s="139"/>
      <c r="X543" s="129"/>
      <c r="Y543" s="129"/>
      <c r="Z543" s="129"/>
      <c r="AA543" s="129"/>
      <c r="AB543" s="129"/>
      <c r="AC543" s="115"/>
      <c r="AD543" s="129"/>
      <c r="AE543" s="149"/>
      <c r="AF543" s="129"/>
      <c r="AG543" s="129"/>
      <c r="AH543" s="129"/>
    </row>
    <row r="544" spans="3:34" x14ac:dyDescent="0.35">
      <c r="C544" s="129"/>
      <c r="D544" s="129"/>
      <c r="E544" s="129"/>
      <c r="F544" s="129"/>
      <c r="G544" s="129"/>
      <c r="H544" s="129"/>
      <c r="I544" s="129"/>
      <c r="J544" s="129"/>
      <c r="K544" s="110"/>
      <c r="L544" s="129"/>
      <c r="M544" t="s">
        <v>351</v>
      </c>
      <c r="N544" s="129"/>
      <c r="O544" s="129"/>
      <c r="P544" s="129"/>
      <c r="Q544" s="129"/>
      <c r="R544" s="129"/>
      <c r="S544" s="129"/>
      <c r="T544" s="129"/>
      <c r="U544" s="129"/>
      <c r="V544" s="141"/>
      <c r="W544" s="139"/>
      <c r="X544" s="129"/>
      <c r="Y544" s="129"/>
      <c r="Z544" s="129"/>
      <c r="AA544" s="129"/>
      <c r="AB544" s="129"/>
      <c r="AC544" s="115"/>
      <c r="AD544" s="129"/>
      <c r="AE544" s="149"/>
      <c r="AF544" s="129"/>
      <c r="AG544" s="129"/>
      <c r="AH544" s="129"/>
    </row>
    <row r="545" spans="3:34" x14ac:dyDescent="0.35">
      <c r="C545" s="129"/>
      <c r="D545" s="129"/>
      <c r="E545" s="129"/>
      <c r="F545" s="129"/>
      <c r="G545" s="129"/>
      <c r="H545" s="129"/>
      <c r="I545" s="129"/>
      <c r="J545" s="129"/>
      <c r="K545" s="110"/>
      <c r="L545" s="129"/>
      <c r="M545" t="s">
        <v>351</v>
      </c>
      <c r="N545" s="129"/>
      <c r="O545" s="129"/>
      <c r="P545" s="129"/>
      <c r="Q545" s="129"/>
      <c r="R545" s="129"/>
      <c r="S545" s="129"/>
      <c r="T545" s="129"/>
      <c r="U545" s="129"/>
      <c r="V545" s="141"/>
      <c r="W545" s="139"/>
      <c r="X545" s="129"/>
      <c r="Y545" s="129"/>
      <c r="Z545" s="129"/>
      <c r="AA545" s="129"/>
      <c r="AB545" s="129"/>
      <c r="AC545" s="115"/>
      <c r="AD545" s="129"/>
      <c r="AE545" s="149"/>
      <c r="AF545" s="129"/>
      <c r="AG545" s="129"/>
      <c r="AH545" s="129"/>
    </row>
    <row r="546" spans="3:34" x14ac:dyDescent="0.35">
      <c r="C546" s="129"/>
      <c r="D546" s="129"/>
      <c r="E546" s="129"/>
      <c r="F546" s="129"/>
      <c r="G546" s="129"/>
      <c r="H546" s="129"/>
      <c r="I546" s="129"/>
      <c r="J546" s="129"/>
      <c r="K546" s="110"/>
      <c r="L546" s="129"/>
      <c r="M546" t="s">
        <v>351</v>
      </c>
      <c r="N546" s="129"/>
      <c r="O546" s="129"/>
      <c r="P546" s="129"/>
      <c r="Q546" s="129"/>
      <c r="R546" s="129"/>
      <c r="S546" s="129"/>
      <c r="T546" s="129"/>
      <c r="U546" s="129"/>
      <c r="V546" s="141"/>
      <c r="W546" s="139"/>
      <c r="X546" s="129"/>
      <c r="Y546" s="129"/>
      <c r="Z546" s="129"/>
      <c r="AA546" s="129"/>
      <c r="AB546" s="129"/>
      <c r="AC546" s="115"/>
      <c r="AD546" s="129"/>
      <c r="AE546" s="149"/>
      <c r="AF546" s="129"/>
      <c r="AG546" s="129"/>
      <c r="AH546" s="129"/>
    </row>
    <row r="547" spans="3:34" x14ac:dyDescent="0.35">
      <c r="C547" s="129"/>
      <c r="D547" s="129"/>
      <c r="E547" s="129"/>
      <c r="F547" s="129"/>
      <c r="G547" s="129"/>
      <c r="H547" s="129"/>
      <c r="I547" s="129"/>
      <c r="J547" s="129"/>
      <c r="K547" s="110"/>
      <c r="L547" s="129"/>
      <c r="M547" t="s">
        <v>351</v>
      </c>
      <c r="N547" s="129"/>
      <c r="O547" s="129"/>
      <c r="P547" s="129"/>
      <c r="Q547" s="129"/>
      <c r="R547" s="129"/>
      <c r="S547" s="129"/>
      <c r="T547" s="129"/>
      <c r="U547" s="129"/>
      <c r="V547" s="141"/>
      <c r="W547" s="139"/>
      <c r="X547" s="129"/>
      <c r="Y547" s="129"/>
      <c r="Z547" s="129"/>
      <c r="AA547" s="129"/>
      <c r="AB547" s="129"/>
      <c r="AC547" s="115"/>
      <c r="AD547" s="129"/>
      <c r="AE547" s="149"/>
      <c r="AF547" s="129"/>
      <c r="AG547" s="129"/>
      <c r="AH547" s="129"/>
    </row>
    <row r="548" spans="3:34" x14ac:dyDescent="0.35">
      <c r="C548" s="129"/>
      <c r="D548" s="129"/>
      <c r="E548" s="129"/>
      <c r="F548" s="129"/>
      <c r="G548" s="129"/>
      <c r="H548" s="129"/>
      <c r="I548" s="129"/>
      <c r="J548" s="129"/>
      <c r="K548" s="110"/>
      <c r="L548" s="129"/>
      <c r="M548" t="s">
        <v>351</v>
      </c>
      <c r="N548" s="129"/>
      <c r="O548" s="129"/>
      <c r="P548" s="129"/>
      <c r="Q548" s="129"/>
      <c r="R548" s="129"/>
      <c r="S548" s="129"/>
      <c r="T548" s="129"/>
      <c r="U548" s="129"/>
      <c r="V548" s="141"/>
      <c r="W548" s="139"/>
      <c r="X548" s="129"/>
      <c r="Y548" s="129"/>
      <c r="Z548" s="129"/>
      <c r="AA548" s="129"/>
      <c r="AB548" s="129"/>
      <c r="AC548" s="115"/>
      <c r="AD548" s="129"/>
      <c r="AE548" s="149"/>
      <c r="AF548" s="129"/>
      <c r="AG548" s="129"/>
      <c r="AH548" s="129"/>
    </row>
    <row r="549" spans="3:34" x14ac:dyDescent="0.35">
      <c r="C549" s="129"/>
      <c r="D549" s="129"/>
      <c r="E549" s="129"/>
      <c r="F549" s="129"/>
      <c r="G549" s="129"/>
      <c r="H549" s="129"/>
      <c r="I549" s="129"/>
      <c r="J549" s="129"/>
      <c r="K549" s="110"/>
      <c r="L549" s="129"/>
      <c r="M549" t="s">
        <v>351</v>
      </c>
      <c r="N549" s="129"/>
      <c r="O549" s="129"/>
      <c r="P549" s="129"/>
      <c r="Q549" s="129"/>
      <c r="R549" s="129"/>
      <c r="S549" s="129"/>
      <c r="T549" s="129"/>
      <c r="U549" s="129"/>
      <c r="V549" s="141"/>
      <c r="W549" s="139"/>
      <c r="X549" s="129"/>
      <c r="Y549" s="129"/>
      <c r="Z549" s="129"/>
      <c r="AA549" s="129"/>
      <c r="AB549" s="129"/>
      <c r="AC549" s="115"/>
      <c r="AD549" s="129"/>
      <c r="AE549" s="149"/>
      <c r="AF549" s="129"/>
      <c r="AG549" s="129"/>
      <c r="AH549" s="129"/>
    </row>
    <row r="550" spans="3:34" x14ac:dyDescent="0.35">
      <c r="C550" s="129"/>
      <c r="D550" s="129"/>
      <c r="E550" s="129"/>
      <c r="F550" s="129"/>
      <c r="G550" s="129"/>
      <c r="H550" s="129"/>
      <c r="I550" s="129"/>
      <c r="J550" s="129"/>
      <c r="K550" s="110"/>
      <c r="L550" s="129"/>
      <c r="M550" t="s">
        <v>351</v>
      </c>
      <c r="N550" s="129"/>
      <c r="O550" s="129"/>
      <c r="P550" s="129"/>
      <c r="Q550" s="129"/>
      <c r="R550" s="129"/>
      <c r="S550" s="129"/>
      <c r="T550" s="129"/>
      <c r="U550" s="129"/>
      <c r="V550" s="141"/>
      <c r="W550" s="139"/>
      <c r="X550" s="129"/>
      <c r="Y550" s="129"/>
      <c r="Z550" s="129"/>
      <c r="AA550" s="129"/>
      <c r="AB550" s="129"/>
      <c r="AC550" s="115"/>
      <c r="AD550" s="129"/>
      <c r="AE550" s="149"/>
      <c r="AF550" s="129"/>
      <c r="AG550" s="129"/>
      <c r="AH550" s="129"/>
    </row>
    <row r="551" spans="3:34" x14ac:dyDescent="0.35">
      <c r="C551" s="129"/>
      <c r="D551" s="129"/>
      <c r="E551" s="129"/>
      <c r="F551" s="129"/>
      <c r="G551" s="129"/>
      <c r="H551" s="129"/>
      <c r="I551" s="129"/>
      <c r="J551" s="129"/>
      <c r="K551" s="110"/>
      <c r="L551" s="129"/>
      <c r="M551" t="s">
        <v>351</v>
      </c>
      <c r="N551" s="129"/>
      <c r="O551" s="129"/>
      <c r="P551" s="129"/>
      <c r="Q551" s="129"/>
      <c r="R551" s="129"/>
      <c r="S551" s="129"/>
      <c r="T551" s="129"/>
      <c r="U551" s="129"/>
      <c r="V551" s="141"/>
      <c r="W551" s="139"/>
      <c r="X551" s="129"/>
      <c r="Y551" s="129"/>
      <c r="Z551" s="129"/>
      <c r="AA551" s="129"/>
      <c r="AB551" s="129"/>
      <c r="AC551" s="115"/>
      <c r="AD551" s="129"/>
      <c r="AE551" s="149"/>
      <c r="AF551" s="129"/>
      <c r="AG551" s="129"/>
      <c r="AH551" s="129"/>
    </row>
    <row r="552" spans="3:34" x14ac:dyDescent="0.35">
      <c r="C552" s="129"/>
      <c r="D552" s="129"/>
      <c r="E552" s="129"/>
      <c r="F552" s="129"/>
      <c r="G552" s="129"/>
      <c r="H552" s="129"/>
      <c r="I552" s="129"/>
      <c r="J552" s="129"/>
      <c r="K552" s="110"/>
      <c r="L552" s="129"/>
      <c r="M552" t="s">
        <v>351</v>
      </c>
      <c r="N552" s="129"/>
      <c r="O552" s="129"/>
      <c r="P552" s="129"/>
      <c r="Q552" s="129"/>
      <c r="R552" s="129"/>
      <c r="S552" s="129"/>
      <c r="T552" s="129"/>
      <c r="U552" s="129"/>
      <c r="V552" s="141"/>
      <c r="W552" s="139"/>
      <c r="X552" s="129"/>
      <c r="Y552" s="129"/>
      <c r="Z552" s="129"/>
      <c r="AA552" s="129"/>
      <c r="AB552" s="129"/>
      <c r="AC552" s="115"/>
      <c r="AD552" s="129"/>
      <c r="AE552" s="149"/>
      <c r="AF552" s="129"/>
      <c r="AG552" s="129"/>
      <c r="AH552" s="129"/>
    </row>
    <row r="553" spans="3:34" x14ac:dyDescent="0.35">
      <c r="C553" s="129"/>
      <c r="D553" s="129"/>
      <c r="E553" s="129"/>
      <c r="F553" s="129"/>
      <c r="G553" s="129"/>
      <c r="H553" s="129"/>
      <c r="I553" s="129"/>
      <c r="J553" s="129"/>
      <c r="K553" s="110"/>
      <c r="L553" s="129"/>
      <c r="M553" t="s">
        <v>351</v>
      </c>
      <c r="N553" s="129"/>
      <c r="O553" s="129"/>
      <c r="P553" s="129"/>
      <c r="Q553" s="129"/>
      <c r="R553" s="129"/>
      <c r="S553" s="129"/>
      <c r="T553" s="129"/>
      <c r="U553" s="129"/>
      <c r="V553" s="141"/>
      <c r="W553" s="139"/>
      <c r="X553" s="129"/>
      <c r="Y553" s="129"/>
      <c r="Z553" s="129"/>
      <c r="AA553" s="129"/>
      <c r="AB553" s="129"/>
      <c r="AC553" s="115"/>
      <c r="AD553" s="129"/>
      <c r="AE553" s="149"/>
      <c r="AF553" s="129"/>
      <c r="AG553" s="129"/>
      <c r="AH553" s="129"/>
    </row>
    <row r="554" spans="3:34" x14ac:dyDescent="0.35">
      <c r="C554" s="129"/>
      <c r="D554" s="129"/>
      <c r="E554" s="129"/>
      <c r="F554" s="129"/>
      <c r="G554" s="129"/>
      <c r="H554" s="129"/>
      <c r="I554" s="129"/>
      <c r="J554" s="129"/>
      <c r="K554" s="110"/>
      <c r="L554" s="129"/>
      <c r="M554" t="s">
        <v>351</v>
      </c>
      <c r="N554" s="129"/>
      <c r="O554" s="129"/>
      <c r="P554" s="129"/>
      <c r="Q554" s="129"/>
      <c r="R554" s="129"/>
      <c r="S554" s="129"/>
      <c r="T554" s="129"/>
      <c r="U554" s="129"/>
      <c r="V554" s="141"/>
      <c r="W554" s="139"/>
      <c r="X554" s="129"/>
      <c r="Y554" s="129"/>
      <c r="Z554" s="129"/>
      <c r="AA554" s="129"/>
      <c r="AB554" s="129"/>
      <c r="AC554" s="115"/>
      <c r="AD554" s="129"/>
      <c r="AE554" s="149"/>
      <c r="AF554" s="129"/>
      <c r="AG554" s="129"/>
      <c r="AH554" s="129"/>
    </row>
    <row r="555" spans="3:34" x14ac:dyDescent="0.35">
      <c r="C555" s="129"/>
      <c r="D555" s="129"/>
      <c r="E555" s="129"/>
      <c r="F555" s="129"/>
      <c r="G555" s="129"/>
      <c r="H555" s="129"/>
      <c r="I555" s="129"/>
      <c r="J555" s="129"/>
      <c r="K555" s="110"/>
      <c r="L555" s="129"/>
      <c r="M555" t="s">
        <v>351</v>
      </c>
      <c r="N555" s="129"/>
      <c r="O555" s="129"/>
      <c r="P555" s="129"/>
      <c r="Q555" s="129"/>
      <c r="R555" s="129"/>
      <c r="S555" s="129"/>
      <c r="T555" s="129"/>
      <c r="U555" s="129"/>
      <c r="V555" s="141"/>
      <c r="W555" s="139"/>
      <c r="X555" s="129"/>
      <c r="Y555" s="129"/>
      <c r="Z555" s="129"/>
      <c r="AA555" s="129"/>
      <c r="AB555" s="129"/>
      <c r="AC555" s="115"/>
      <c r="AD555" s="129"/>
      <c r="AE555" s="149"/>
      <c r="AF555" s="129"/>
      <c r="AG555" s="129"/>
      <c r="AH555" s="129"/>
    </row>
    <row r="556" spans="3:34" x14ac:dyDescent="0.35">
      <c r="C556" s="129"/>
      <c r="D556" s="129"/>
      <c r="E556" s="129"/>
      <c r="F556" s="129"/>
      <c r="G556" s="129"/>
      <c r="H556" s="129"/>
      <c r="I556" s="129"/>
      <c r="J556" s="129"/>
      <c r="K556" s="110"/>
      <c r="L556" s="129"/>
      <c r="M556" t="s">
        <v>351</v>
      </c>
      <c r="N556" s="129"/>
      <c r="O556" s="129"/>
      <c r="P556" s="129"/>
      <c r="Q556" s="129"/>
      <c r="R556" s="129"/>
      <c r="S556" s="129"/>
      <c r="T556" s="129"/>
      <c r="U556" s="129"/>
      <c r="V556" s="141"/>
      <c r="W556" s="139"/>
      <c r="X556" s="129"/>
      <c r="Y556" s="129"/>
      <c r="Z556" s="129"/>
      <c r="AA556" s="129"/>
      <c r="AB556" s="129"/>
      <c r="AC556" s="115"/>
      <c r="AD556" s="129"/>
      <c r="AE556" s="149"/>
      <c r="AF556" s="129"/>
      <c r="AG556" s="129"/>
      <c r="AH556" s="129"/>
    </row>
    <row r="557" spans="3:34" x14ac:dyDescent="0.35">
      <c r="C557" s="129"/>
      <c r="D557" s="129"/>
      <c r="E557" s="129"/>
      <c r="F557" s="129"/>
      <c r="G557" s="129"/>
      <c r="H557" s="129"/>
      <c r="I557" s="129"/>
      <c r="J557" s="129"/>
      <c r="K557" s="110"/>
      <c r="L557" s="129"/>
      <c r="M557" t="s">
        <v>351</v>
      </c>
      <c r="N557" s="129"/>
      <c r="O557" s="129"/>
      <c r="P557" s="129"/>
      <c r="Q557" s="129"/>
      <c r="R557" s="129"/>
      <c r="S557" s="129"/>
      <c r="T557" s="129"/>
      <c r="U557" s="129"/>
      <c r="V557" s="141"/>
      <c r="W557" s="139"/>
      <c r="X557" s="129"/>
      <c r="Y557" s="129"/>
      <c r="Z557" s="129"/>
      <c r="AA557" s="129"/>
      <c r="AB557" s="129"/>
      <c r="AC557" s="115"/>
      <c r="AD557" s="129"/>
      <c r="AE557" s="149"/>
      <c r="AF557" s="129"/>
      <c r="AG557" s="129"/>
      <c r="AH557" s="129"/>
    </row>
    <row r="558" spans="3:34" x14ac:dyDescent="0.35">
      <c r="C558" s="129"/>
      <c r="D558" s="129"/>
      <c r="E558" s="129"/>
      <c r="F558" s="129"/>
      <c r="G558" s="129"/>
      <c r="H558" s="129"/>
      <c r="I558" s="129"/>
      <c r="J558" s="129"/>
      <c r="K558" s="110"/>
      <c r="L558" s="129"/>
      <c r="M558" t="s">
        <v>351</v>
      </c>
      <c r="N558" s="129"/>
      <c r="O558" s="129"/>
      <c r="P558" s="129"/>
      <c r="Q558" s="129"/>
      <c r="R558" s="129"/>
      <c r="S558" s="129"/>
      <c r="T558" s="129"/>
      <c r="U558" s="129"/>
      <c r="V558" s="141"/>
      <c r="W558" s="139"/>
      <c r="X558" s="129"/>
      <c r="Y558" s="129"/>
      <c r="Z558" s="129"/>
      <c r="AA558" s="129"/>
      <c r="AB558" s="129"/>
      <c r="AC558" s="115"/>
      <c r="AD558" s="129"/>
      <c r="AE558" s="149"/>
      <c r="AF558" s="129"/>
      <c r="AG558" s="129"/>
      <c r="AH558" s="129"/>
    </row>
    <row r="559" spans="3:34" x14ac:dyDescent="0.35">
      <c r="C559" s="129"/>
      <c r="D559" s="129"/>
      <c r="E559" s="129"/>
      <c r="F559" s="129"/>
      <c r="G559" s="129"/>
      <c r="H559" s="129"/>
      <c r="I559" s="129"/>
      <c r="J559" s="129"/>
      <c r="K559" s="110"/>
      <c r="L559" s="129"/>
      <c r="M559" t="s">
        <v>351</v>
      </c>
      <c r="N559" s="129"/>
      <c r="O559" s="129"/>
      <c r="P559" s="129"/>
      <c r="Q559" s="129"/>
      <c r="R559" s="129"/>
      <c r="S559" s="129"/>
      <c r="T559" s="129"/>
      <c r="U559" s="129"/>
      <c r="V559" s="141"/>
      <c r="W559" s="139"/>
      <c r="X559" s="129"/>
      <c r="Y559" s="129"/>
      <c r="Z559" s="129"/>
      <c r="AA559" s="129"/>
      <c r="AB559" s="129"/>
      <c r="AC559" s="115"/>
      <c r="AD559" s="129"/>
      <c r="AE559" s="149"/>
      <c r="AF559" s="129"/>
      <c r="AG559" s="129"/>
      <c r="AH559" s="129"/>
    </row>
    <row r="560" spans="3:34" x14ac:dyDescent="0.35">
      <c r="C560" s="129"/>
      <c r="D560" s="129"/>
      <c r="E560" s="129"/>
      <c r="F560" s="129"/>
      <c r="G560" s="129"/>
      <c r="H560" s="129"/>
      <c r="I560" s="129"/>
      <c r="J560" s="129"/>
      <c r="K560" s="110"/>
      <c r="L560" s="129"/>
      <c r="M560" t="s">
        <v>351</v>
      </c>
      <c r="N560" s="129"/>
      <c r="O560" s="129"/>
      <c r="P560" s="129"/>
      <c r="Q560" s="129"/>
      <c r="R560" s="129"/>
      <c r="S560" s="129"/>
      <c r="T560" s="129"/>
      <c r="U560" s="129"/>
      <c r="V560" s="141"/>
      <c r="W560" s="139"/>
      <c r="X560" s="129"/>
      <c r="Y560" s="129"/>
      <c r="Z560" s="129"/>
      <c r="AA560" s="129"/>
      <c r="AB560" s="129"/>
      <c r="AC560" s="115"/>
      <c r="AD560" s="129"/>
      <c r="AE560" s="149"/>
      <c r="AF560" s="129"/>
      <c r="AG560" s="129"/>
      <c r="AH560" s="129"/>
    </row>
    <row r="561" spans="3:34" x14ac:dyDescent="0.35">
      <c r="C561" s="129"/>
      <c r="D561" s="129"/>
      <c r="E561" s="129"/>
      <c r="F561" s="129"/>
      <c r="G561" s="129"/>
      <c r="H561" s="129"/>
      <c r="I561" s="129"/>
      <c r="J561" s="129"/>
      <c r="K561" s="110"/>
      <c r="L561" s="129"/>
      <c r="M561" t="s">
        <v>351</v>
      </c>
      <c r="N561" s="129"/>
      <c r="O561" s="129"/>
      <c r="P561" s="129"/>
      <c r="Q561" s="129"/>
      <c r="R561" s="129"/>
      <c r="S561" s="129"/>
      <c r="T561" s="129"/>
      <c r="U561" s="129"/>
      <c r="V561" s="141"/>
      <c r="W561" s="139"/>
      <c r="X561" s="129"/>
      <c r="Y561" s="129"/>
      <c r="Z561" s="129"/>
      <c r="AA561" s="129"/>
      <c r="AB561" s="129"/>
      <c r="AC561" s="115"/>
      <c r="AD561" s="129"/>
      <c r="AE561" s="149"/>
      <c r="AF561" s="129"/>
      <c r="AG561" s="129"/>
      <c r="AH561" s="129"/>
    </row>
    <row r="562" spans="3:34" x14ac:dyDescent="0.35">
      <c r="C562" s="129"/>
      <c r="D562" s="129"/>
      <c r="E562" s="129"/>
      <c r="F562" s="129"/>
      <c r="G562" s="129"/>
      <c r="H562" s="129"/>
      <c r="I562" s="129"/>
      <c r="J562" s="129"/>
      <c r="K562" s="110"/>
      <c r="L562" s="129"/>
      <c r="M562" t="s">
        <v>351</v>
      </c>
      <c r="N562" s="129"/>
      <c r="O562" s="129"/>
      <c r="P562" s="129"/>
      <c r="Q562" s="129"/>
      <c r="R562" s="129"/>
      <c r="S562" s="129"/>
      <c r="T562" s="129"/>
      <c r="U562" s="129"/>
      <c r="V562" s="141"/>
      <c r="W562" s="139"/>
      <c r="X562" s="129"/>
      <c r="Y562" s="129"/>
      <c r="Z562" s="129"/>
      <c r="AA562" s="129"/>
      <c r="AB562" s="129"/>
      <c r="AC562" s="115"/>
      <c r="AD562" s="129"/>
      <c r="AE562" s="149"/>
      <c r="AF562" s="129"/>
      <c r="AG562" s="129"/>
      <c r="AH562" s="129"/>
    </row>
    <row r="563" spans="3:34" x14ac:dyDescent="0.35">
      <c r="C563" s="129"/>
      <c r="D563" s="129"/>
      <c r="E563" s="129"/>
      <c r="F563" s="129"/>
      <c r="G563" s="129"/>
      <c r="H563" s="129"/>
      <c r="I563" s="129"/>
      <c r="J563" s="129"/>
      <c r="K563" s="110"/>
      <c r="L563" s="129"/>
      <c r="M563" t="s">
        <v>351</v>
      </c>
      <c r="N563" s="129"/>
      <c r="O563" s="129"/>
      <c r="P563" s="129"/>
      <c r="Q563" s="129"/>
      <c r="R563" s="129"/>
      <c r="S563" s="129"/>
      <c r="T563" s="129"/>
      <c r="U563" s="129"/>
      <c r="V563" s="141"/>
      <c r="W563" s="139"/>
      <c r="X563" s="129"/>
      <c r="Y563" s="129"/>
      <c r="Z563" s="129"/>
      <c r="AA563" s="129"/>
      <c r="AB563" s="129"/>
      <c r="AC563" s="115"/>
      <c r="AD563" s="129"/>
      <c r="AE563" s="149"/>
      <c r="AF563" s="129"/>
      <c r="AG563" s="129"/>
      <c r="AH563" s="129"/>
    </row>
    <row r="564" spans="3:34" x14ac:dyDescent="0.35">
      <c r="C564" s="129"/>
      <c r="D564" s="129"/>
      <c r="E564" s="129"/>
      <c r="F564" s="129"/>
      <c r="G564" s="129"/>
      <c r="H564" s="129"/>
      <c r="I564" s="129"/>
      <c r="J564" s="129"/>
      <c r="K564" s="110"/>
      <c r="L564" s="129"/>
      <c r="M564" t="s">
        <v>351</v>
      </c>
      <c r="N564" s="129"/>
      <c r="O564" s="129"/>
      <c r="P564" s="129"/>
      <c r="Q564" s="129"/>
      <c r="R564" s="129"/>
      <c r="S564" s="129"/>
      <c r="T564" s="129"/>
      <c r="U564" s="129"/>
      <c r="V564" s="141"/>
      <c r="W564" s="139"/>
      <c r="X564" s="129"/>
      <c r="Y564" s="129"/>
      <c r="Z564" s="129"/>
      <c r="AA564" s="129"/>
      <c r="AB564" s="129"/>
      <c r="AC564" s="115"/>
      <c r="AD564" s="129"/>
      <c r="AE564" s="149"/>
      <c r="AF564" s="129"/>
      <c r="AG564" s="129"/>
      <c r="AH564" s="129"/>
    </row>
    <row r="565" spans="3:34" x14ac:dyDescent="0.35">
      <c r="C565" s="129"/>
      <c r="D565" s="129"/>
      <c r="E565" s="129"/>
      <c r="F565" s="129"/>
      <c r="G565" s="129"/>
      <c r="H565" s="129"/>
      <c r="I565" s="129"/>
      <c r="J565" s="129"/>
      <c r="K565" s="110"/>
      <c r="L565" s="129"/>
      <c r="M565" t="s">
        <v>351</v>
      </c>
      <c r="N565" s="129"/>
      <c r="O565" s="129"/>
      <c r="P565" s="129"/>
      <c r="Q565" s="129"/>
      <c r="R565" s="129"/>
      <c r="S565" s="129"/>
      <c r="T565" s="129"/>
      <c r="U565" s="129"/>
      <c r="V565" s="141"/>
      <c r="W565" s="139"/>
      <c r="X565" s="129"/>
      <c r="Y565" s="129"/>
      <c r="Z565" s="129"/>
      <c r="AA565" s="129"/>
      <c r="AB565" s="129"/>
      <c r="AC565" s="115"/>
      <c r="AD565" s="129"/>
      <c r="AE565" s="149"/>
      <c r="AF565" s="129"/>
      <c r="AG565" s="129"/>
      <c r="AH565" s="129"/>
    </row>
    <row r="566" spans="3:34" x14ac:dyDescent="0.35">
      <c r="C566" s="129"/>
      <c r="D566" s="129"/>
      <c r="E566" s="129"/>
      <c r="F566" s="129"/>
      <c r="G566" s="129"/>
      <c r="H566" s="129"/>
      <c r="I566" s="129"/>
      <c r="J566" s="129"/>
      <c r="K566" s="110"/>
      <c r="L566" s="129"/>
      <c r="M566" t="s">
        <v>351</v>
      </c>
      <c r="N566" s="129"/>
      <c r="O566" s="129"/>
      <c r="P566" s="129"/>
      <c r="Q566" s="129"/>
      <c r="R566" s="129"/>
      <c r="S566" s="129"/>
      <c r="T566" s="129"/>
      <c r="U566" s="129"/>
      <c r="V566" s="141"/>
      <c r="W566" s="139"/>
      <c r="X566" s="129"/>
      <c r="Y566" s="129"/>
      <c r="Z566" s="129"/>
      <c r="AA566" s="129"/>
      <c r="AB566" s="129"/>
      <c r="AC566" s="115"/>
      <c r="AD566" s="129"/>
      <c r="AE566" s="149"/>
      <c r="AF566" s="129"/>
      <c r="AG566" s="129"/>
      <c r="AH566" s="129"/>
    </row>
    <row r="567" spans="3:34" x14ac:dyDescent="0.35">
      <c r="C567" s="129"/>
      <c r="D567" s="129"/>
      <c r="E567" s="129"/>
      <c r="F567" s="129"/>
      <c r="G567" s="129"/>
      <c r="H567" s="129"/>
      <c r="I567" s="129"/>
      <c r="J567" s="129"/>
      <c r="K567" s="110"/>
      <c r="L567" s="129"/>
      <c r="M567" t="s">
        <v>351</v>
      </c>
      <c r="N567" s="129"/>
      <c r="O567" s="129"/>
      <c r="P567" s="129"/>
      <c r="Q567" s="129"/>
      <c r="R567" s="129"/>
      <c r="S567" s="129"/>
      <c r="T567" s="129"/>
      <c r="U567" s="129"/>
      <c r="V567" s="141"/>
      <c r="W567" s="139"/>
      <c r="X567" s="129"/>
      <c r="Y567" s="129"/>
      <c r="Z567" s="129"/>
      <c r="AA567" s="129"/>
      <c r="AB567" s="129"/>
      <c r="AC567" s="115"/>
      <c r="AD567" s="129"/>
      <c r="AE567" s="149"/>
      <c r="AF567" s="129"/>
      <c r="AG567" s="129"/>
      <c r="AH567" s="129"/>
    </row>
    <row r="568" spans="3:34" x14ac:dyDescent="0.35">
      <c r="C568" s="129"/>
      <c r="D568" s="129"/>
      <c r="E568" s="129"/>
      <c r="F568" s="129"/>
      <c r="G568" s="129"/>
      <c r="H568" s="129"/>
      <c r="I568" s="129"/>
      <c r="J568" s="129"/>
      <c r="K568" s="110"/>
      <c r="L568" s="129"/>
      <c r="M568" t="s">
        <v>351</v>
      </c>
      <c r="N568" s="129"/>
      <c r="O568" s="129"/>
      <c r="P568" s="129"/>
      <c r="Q568" s="129"/>
      <c r="R568" s="129"/>
      <c r="S568" s="129"/>
      <c r="T568" s="129"/>
      <c r="U568" s="129"/>
      <c r="V568" s="141"/>
      <c r="W568" s="139"/>
      <c r="X568" s="129"/>
      <c r="Y568" s="129"/>
      <c r="Z568" s="129"/>
      <c r="AA568" s="129"/>
      <c r="AB568" s="129"/>
      <c r="AC568" s="115"/>
      <c r="AD568" s="129"/>
      <c r="AE568" s="149"/>
      <c r="AF568" s="129"/>
      <c r="AG568" s="129"/>
      <c r="AH568" s="129"/>
    </row>
    <row r="569" spans="3:34" x14ac:dyDescent="0.35">
      <c r="C569" s="129"/>
      <c r="D569" s="129"/>
      <c r="E569" s="129"/>
      <c r="F569" s="129"/>
      <c r="G569" s="129"/>
      <c r="H569" s="129"/>
      <c r="I569" s="129"/>
      <c r="J569" s="129"/>
      <c r="K569" s="110"/>
      <c r="L569" s="129"/>
      <c r="M569" t="s">
        <v>351</v>
      </c>
      <c r="N569" s="129"/>
      <c r="O569" s="129"/>
      <c r="P569" s="129"/>
      <c r="Q569" s="129"/>
      <c r="R569" s="129"/>
      <c r="S569" s="129"/>
      <c r="T569" s="129"/>
      <c r="U569" s="129"/>
      <c r="V569" s="141"/>
      <c r="W569" s="139"/>
      <c r="X569" s="129"/>
      <c r="Y569" s="129"/>
      <c r="Z569" s="129"/>
      <c r="AA569" s="129"/>
      <c r="AB569" s="129"/>
      <c r="AC569" s="115"/>
      <c r="AD569" s="129"/>
      <c r="AE569" s="149"/>
      <c r="AF569" s="129"/>
      <c r="AG569" s="129"/>
      <c r="AH569" s="129"/>
    </row>
    <row r="570" spans="3:34" x14ac:dyDescent="0.35">
      <c r="C570" s="129"/>
      <c r="D570" s="129"/>
      <c r="E570" s="129"/>
      <c r="F570" s="129"/>
      <c r="G570" s="129"/>
      <c r="H570" s="129"/>
      <c r="I570" s="129"/>
      <c r="J570" s="129"/>
      <c r="K570" s="110"/>
      <c r="L570" s="129"/>
      <c r="M570" t="s">
        <v>351</v>
      </c>
      <c r="N570" s="129"/>
      <c r="O570" s="129"/>
      <c r="P570" s="129"/>
      <c r="Q570" s="129"/>
      <c r="R570" s="129"/>
      <c r="S570" s="129"/>
      <c r="T570" s="129"/>
      <c r="U570" s="129"/>
      <c r="V570" s="141"/>
      <c r="W570" s="139"/>
      <c r="X570" s="129"/>
      <c r="Y570" s="129"/>
      <c r="Z570" s="129"/>
      <c r="AA570" s="129"/>
      <c r="AB570" s="129"/>
      <c r="AC570" s="115"/>
      <c r="AD570" s="129"/>
      <c r="AE570" s="149"/>
      <c r="AF570" s="129"/>
      <c r="AG570" s="129"/>
      <c r="AH570" s="129"/>
    </row>
    <row r="571" spans="3:34" x14ac:dyDescent="0.35">
      <c r="C571" s="129"/>
      <c r="D571" s="129"/>
      <c r="E571" s="129"/>
      <c r="F571" s="129"/>
      <c r="G571" s="129"/>
      <c r="H571" s="129"/>
      <c r="I571" s="129"/>
      <c r="J571" s="129"/>
      <c r="K571" s="110"/>
      <c r="L571" s="129"/>
      <c r="M571" t="s">
        <v>351</v>
      </c>
      <c r="N571" s="129"/>
      <c r="O571" s="129"/>
      <c r="P571" s="129"/>
      <c r="Q571" s="129"/>
      <c r="R571" s="129"/>
      <c r="S571" s="129"/>
      <c r="T571" s="129"/>
      <c r="U571" s="129"/>
      <c r="V571" s="141"/>
      <c r="W571" s="139"/>
      <c r="X571" s="129"/>
      <c r="Y571" s="129"/>
      <c r="Z571" s="129"/>
      <c r="AA571" s="129"/>
      <c r="AB571" s="129"/>
      <c r="AC571" s="115"/>
      <c r="AD571" s="129"/>
      <c r="AE571" s="149"/>
      <c r="AF571" s="129"/>
      <c r="AG571" s="129"/>
      <c r="AH571" s="129"/>
    </row>
    <row r="572" spans="3:34" x14ac:dyDescent="0.35">
      <c r="C572" s="129"/>
      <c r="D572" s="129"/>
      <c r="E572" s="129"/>
      <c r="F572" s="129"/>
      <c r="G572" s="129"/>
      <c r="H572" s="129"/>
      <c r="I572" s="129"/>
      <c r="J572" s="129"/>
      <c r="K572" s="110"/>
      <c r="L572" s="129"/>
      <c r="M572" t="s">
        <v>351</v>
      </c>
      <c r="N572" s="129"/>
      <c r="O572" s="129"/>
      <c r="P572" s="129"/>
      <c r="Q572" s="129"/>
      <c r="R572" s="129"/>
      <c r="S572" s="129"/>
      <c r="T572" s="129"/>
      <c r="U572" s="129"/>
      <c r="V572" s="141"/>
      <c r="W572" s="139"/>
      <c r="X572" s="129"/>
      <c r="Y572" s="129"/>
      <c r="Z572" s="129"/>
      <c r="AA572" s="129"/>
      <c r="AB572" s="129"/>
      <c r="AC572" s="115"/>
      <c r="AD572" s="129"/>
      <c r="AE572" s="149"/>
      <c r="AF572" s="129"/>
      <c r="AG572" s="129"/>
      <c r="AH572" s="129"/>
    </row>
    <row r="573" spans="3:34" x14ac:dyDescent="0.35">
      <c r="C573" s="129"/>
      <c r="D573" s="129"/>
      <c r="E573" s="129"/>
      <c r="F573" s="129"/>
      <c r="G573" s="129"/>
      <c r="H573" s="129"/>
      <c r="I573" s="129"/>
      <c r="J573" s="129"/>
      <c r="K573" s="110"/>
      <c r="L573" s="129"/>
      <c r="M573" t="s">
        <v>351</v>
      </c>
      <c r="N573" s="129"/>
      <c r="O573" s="129"/>
      <c r="P573" s="129"/>
      <c r="Q573" s="129"/>
      <c r="R573" s="129"/>
      <c r="S573" s="129"/>
      <c r="T573" s="129"/>
      <c r="U573" s="129"/>
      <c r="V573" s="141"/>
      <c r="W573" s="139"/>
      <c r="X573" s="129"/>
      <c r="Y573" s="129"/>
      <c r="Z573" s="129"/>
      <c r="AA573" s="129"/>
      <c r="AB573" s="129"/>
      <c r="AC573" s="115"/>
      <c r="AD573" s="129"/>
      <c r="AE573" s="149"/>
      <c r="AF573" s="129"/>
      <c r="AG573" s="129"/>
      <c r="AH573" s="129"/>
    </row>
    <row r="574" spans="3:34" x14ac:dyDescent="0.35">
      <c r="C574" s="129"/>
      <c r="D574" s="129"/>
      <c r="E574" s="129"/>
      <c r="F574" s="129"/>
      <c r="G574" s="129"/>
      <c r="H574" s="129"/>
      <c r="I574" s="129"/>
      <c r="J574" s="129"/>
      <c r="K574" s="110"/>
      <c r="L574" s="129"/>
      <c r="M574" t="s">
        <v>351</v>
      </c>
      <c r="N574" s="129"/>
      <c r="O574" s="129"/>
      <c r="P574" s="129"/>
      <c r="Q574" s="129"/>
      <c r="R574" s="129"/>
      <c r="S574" s="129"/>
      <c r="T574" s="129"/>
      <c r="U574" s="129"/>
      <c r="V574" s="141"/>
      <c r="W574" s="139"/>
      <c r="X574" s="129"/>
      <c r="Y574" s="129"/>
      <c r="Z574" s="129"/>
      <c r="AA574" s="129"/>
      <c r="AB574" s="129"/>
      <c r="AC574" s="115"/>
      <c r="AD574" s="129"/>
      <c r="AE574" s="149"/>
      <c r="AF574" s="129"/>
      <c r="AG574" s="129"/>
      <c r="AH574" s="129"/>
    </row>
    <row r="575" spans="3:34" x14ac:dyDescent="0.35">
      <c r="C575" s="129"/>
      <c r="D575" s="129"/>
      <c r="E575" s="129"/>
      <c r="F575" s="129"/>
      <c r="G575" s="129"/>
      <c r="H575" s="129"/>
      <c r="I575" s="129"/>
      <c r="J575" s="129"/>
      <c r="K575" s="110"/>
      <c r="L575" s="129"/>
      <c r="M575" t="s">
        <v>351</v>
      </c>
      <c r="N575" s="129"/>
      <c r="O575" s="129"/>
      <c r="P575" s="129"/>
      <c r="Q575" s="129"/>
      <c r="R575" s="129"/>
      <c r="S575" s="129"/>
      <c r="T575" s="129"/>
      <c r="U575" s="129"/>
      <c r="V575" s="141"/>
      <c r="W575" s="139"/>
      <c r="X575" s="129"/>
      <c r="Y575" s="129"/>
      <c r="Z575" s="129"/>
      <c r="AA575" s="129"/>
      <c r="AB575" s="129"/>
      <c r="AC575" s="115"/>
      <c r="AD575" s="129"/>
      <c r="AE575" s="149"/>
      <c r="AF575" s="129"/>
      <c r="AG575" s="129"/>
      <c r="AH575" s="129"/>
    </row>
    <row r="576" spans="3:34" x14ac:dyDescent="0.35">
      <c r="C576" s="129"/>
      <c r="D576" s="129"/>
      <c r="E576" s="129"/>
      <c r="F576" s="129"/>
      <c r="G576" s="129"/>
      <c r="H576" s="129"/>
      <c r="I576" s="129"/>
      <c r="J576" s="129"/>
      <c r="K576" s="110"/>
      <c r="L576" s="129"/>
      <c r="M576" t="s">
        <v>351</v>
      </c>
      <c r="N576" s="129"/>
      <c r="O576" s="129"/>
      <c r="P576" s="129"/>
      <c r="Q576" s="129"/>
      <c r="R576" s="129"/>
      <c r="S576" s="129"/>
      <c r="T576" s="129"/>
      <c r="U576" s="129"/>
      <c r="V576" s="141"/>
      <c r="W576" s="139"/>
      <c r="X576" s="129"/>
      <c r="Y576" s="129"/>
      <c r="Z576" s="129"/>
      <c r="AA576" s="129"/>
      <c r="AB576" s="129"/>
      <c r="AC576" s="115"/>
      <c r="AD576" s="129"/>
      <c r="AE576" s="149"/>
      <c r="AF576" s="129"/>
      <c r="AG576" s="129"/>
      <c r="AH576" s="129"/>
    </row>
    <row r="577" spans="3:34" x14ac:dyDescent="0.35">
      <c r="C577" s="129"/>
      <c r="D577" s="129"/>
      <c r="E577" s="129"/>
      <c r="F577" s="129"/>
      <c r="G577" s="129"/>
      <c r="H577" s="129"/>
      <c r="I577" s="129"/>
      <c r="J577" s="129"/>
      <c r="K577" s="110"/>
      <c r="L577" s="129"/>
      <c r="M577" t="s">
        <v>351</v>
      </c>
      <c r="N577" s="129"/>
      <c r="O577" s="129"/>
      <c r="P577" s="129"/>
      <c r="Q577" s="129"/>
      <c r="R577" s="129"/>
      <c r="S577" s="129"/>
      <c r="T577" s="129"/>
      <c r="U577" s="129"/>
      <c r="V577" s="141"/>
      <c r="W577" s="139"/>
      <c r="X577" s="129"/>
      <c r="Y577" s="129"/>
      <c r="Z577" s="129"/>
      <c r="AA577" s="129"/>
      <c r="AB577" s="129"/>
      <c r="AC577" s="115"/>
      <c r="AD577" s="129"/>
      <c r="AE577" s="149"/>
      <c r="AF577" s="129"/>
      <c r="AG577" s="129"/>
      <c r="AH577" s="129"/>
    </row>
    <row r="578" spans="3:34" x14ac:dyDescent="0.35">
      <c r="C578" s="129"/>
      <c r="D578" s="129"/>
      <c r="E578" s="129"/>
      <c r="F578" s="129"/>
      <c r="G578" s="129"/>
      <c r="H578" s="129"/>
      <c r="I578" s="129"/>
      <c r="J578" s="129"/>
      <c r="K578" s="110"/>
      <c r="L578" s="129"/>
      <c r="M578" t="s">
        <v>351</v>
      </c>
      <c r="N578" s="129"/>
      <c r="O578" s="129"/>
      <c r="P578" s="129"/>
      <c r="Q578" s="129"/>
      <c r="R578" s="129"/>
      <c r="S578" s="129"/>
      <c r="T578" s="129"/>
      <c r="U578" s="129"/>
      <c r="V578" s="141"/>
      <c r="W578" s="139"/>
      <c r="X578" s="129"/>
      <c r="Y578" s="129"/>
      <c r="Z578" s="129"/>
      <c r="AA578" s="129"/>
      <c r="AB578" s="129"/>
      <c r="AC578" s="115"/>
      <c r="AD578" s="129"/>
      <c r="AE578" s="149"/>
      <c r="AF578" s="129"/>
      <c r="AG578" s="129"/>
      <c r="AH578" s="129"/>
    </row>
    <row r="579" spans="3:34" x14ac:dyDescent="0.35">
      <c r="C579" s="129"/>
      <c r="D579" s="129"/>
      <c r="E579" s="129"/>
      <c r="F579" s="129"/>
      <c r="G579" s="129"/>
      <c r="H579" s="129"/>
      <c r="I579" s="129"/>
      <c r="J579" s="129"/>
      <c r="K579" s="110"/>
      <c r="L579" s="129"/>
      <c r="M579" t="s">
        <v>351</v>
      </c>
      <c r="N579" s="129"/>
      <c r="O579" s="129"/>
      <c r="P579" s="129"/>
      <c r="Q579" s="129"/>
      <c r="R579" s="129"/>
      <c r="S579" s="129"/>
      <c r="T579" s="129"/>
      <c r="U579" s="129"/>
      <c r="V579" s="141"/>
      <c r="W579" s="139"/>
      <c r="X579" s="129"/>
      <c r="Y579" s="129"/>
      <c r="Z579" s="129"/>
      <c r="AA579" s="129"/>
      <c r="AB579" s="129"/>
      <c r="AC579" s="115"/>
      <c r="AD579" s="129"/>
      <c r="AE579" s="149"/>
      <c r="AF579" s="129"/>
      <c r="AG579" s="129"/>
      <c r="AH579" s="129"/>
    </row>
    <row r="580" spans="3:34" x14ac:dyDescent="0.35">
      <c r="C580" s="129"/>
      <c r="D580" s="129"/>
      <c r="E580" s="129"/>
      <c r="F580" s="129"/>
      <c r="G580" s="129"/>
      <c r="H580" s="129"/>
      <c r="I580" s="129"/>
      <c r="J580" s="129"/>
      <c r="K580" s="110"/>
      <c r="L580" s="129"/>
      <c r="M580" t="s">
        <v>351</v>
      </c>
      <c r="N580" s="129"/>
      <c r="O580" s="129"/>
      <c r="P580" s="129"/>
      <c r="Q580" s="129"/>
      <c r="R580" s="129"/>
      <c r="S580" s="129"/>
      <c r="T580" s="129"/>
      <c r="U580" s="129"/>
      <c r="V580" s="141"/>
      <c r="W580" s="139"/>
      <c r="X580" s="129"/>
      <c r="Y580" s="129"/>
      <c r="Z580" s="129"/>
      <c r="AA580" s="129"/>
      <c r="AB580" s="129"/>
      <c r="AC580" s="115"/>
      <c r="AD580" s="129"/>
      <c r="AE580" s="149"/>
      <c r="AF580" s="129"/>
      <c r="AG580" s="129"/>
      <c r="AH580" s="129"/>
    </row>
    <row r="581" spans="3:34" x14ac:dyDescent="0.35">
      <c r="C581" s="129"/>
      <c r="D581" s="129"/>
      <c r="E581" s="129"/>
      <c r="F581" s="129"/>
      <c r="G581" s="129"/>
      <c r="H581" s="129"/>
      <c r="I581" s="129"/>
      <c r="J581" s="129"/>
      <c r="K581" s="110"/>
      <c r="L581" s="129"/>
      <c r="M581" t="s">
        <v>351</v>
      </c>
      <c r="N581" s="129"/>
      <c r="O581" s="129"/>
      <c r="P581" s="129"/>
      <c r="Q581" s="129"/>
      <c r="R581" s="129"/>
      <c r="S581" s="129"/>
      <c r="T581" s="129"/>
      <c r="U581" s="129"/>
      <c r="V581" s="141"/>
      <c r="W581" s="139"/>
      <c r="X581" s="129"/>
      <c r="Y581" s="129"/>
      <c r="Z581" s="129"/>
      <c r="AA581" s="129"/>
      <c r="AB581" s="129"/>
      <c r="AC581" s="115"/>
      <c r="AD581" s="129"/>
      <c r="AE581" s="149"/>
      <c r="AF581" s="129"/>
      <c r="AG581" s="129"/>
      <c r="AH581" s="129"/>
    </row>
    <row r="582" spans="3:34" x14ac:dyDescent="0.35">
      <c r="C582" s="129"/>
      <c r="D582" s="129"/>
      <c r="E582" s="129"/>
      <c r="F582" s="129"/>
      <c r="G582" s="129"/>
      <c r="H582" s="129"/>
      <c r="I582" s="129"/>
      <c r="J582" s="129"/>
      <c r="K582" s="110"/>
      <c r="L582" s="129"/>
      <c r="M582" t="s">
        <v>351</v>
      </c>
      <c r="N582" s="129"/>
      <c r="O582" s="129"/>
      <c r="P582" s="129"/>
      <c r="Q582" s="129"/>
      <c r="R582" s="129"/>
      <c r="S582" s="129"/>
      <c r="T582" s="129"/>
      <c r="U582" s="129"/>
      <c r="V582" s="141"/>
      <c r="W582" s="139"/>
      <c r="X582" s="129"/>
      <c r="Y582" s="129"/>
      <c r="Z582" s="129"/>
      <c r="AA582" s="129"/>
      <c r="AB582" s="129"/>
      <c r="AC582" s="115"/>
      <c r="AD582" s="129"/>
      <c r="AE582" s="149"/>
      <c r="AF582" s="129"/>
      <c r="AG582" s="129"/>
      <c r="AH582" s="129"/>
    </row>
    <row r="583" spans="3:34" x14ac:dyDescent="0.35">
      <c r="C583" s="129"/>
      <c r="D583" s="129"/>
      <c r="E583" s="129"/>
      <c r="F583" s="129"/>
      <c r="G583" s="129"/>
      <c r="H583" s="129"/>
      <c r="I583" s="129"/>
      <c r="J583" s="129"/>
      <c r="K583" s="110"/>
      <c r="L583" s="129"/>
      <c r="M583" t="s">
        <v>351</v>
      </c>
      <c r="N583" s="129"/>
      <c r="O583" s="129"/>
      <c r="P583" s="129"/>
      <c r="Q583" s="129"/>
      <c r="R583" s="129"/>
      <c r="S583" s="129"/>
      <c r="T583" s="129"/>
      <c r="U583" s="129"/>
      <c r="V583" s="141"/>
      <c r="W583" s="139"/>
      <c r="X583" s="129"/>
      <c r="Y583" s="129"/>
      <c r="Z583" s="129"/>
      <c r="AA583" s="129"/>
      <c r="AB583" s="129"/>
      <c r="AC583" s="115"/>
      <c r="AD583" s="129"/>
      <c r="AE583" s="149"/>
      <c r="AF583" s="129"/>
      <c r="AG583" s="129"/>
      <c r="AH583" s="129"/>
    </row>
    <row r="584" spans="3:34" x14ac:dyDescent="0.35">
      <c r="C584" s="129"/>
      <c r="D584" s="129"/>
      <c r="E584" s="129"/>
      <c r="F584" s="129"/>
      <c r="G584" s="129"/>
      <c r="H584" s="129"/>
      <c r="I584" s="129"/>
      <c r="J584" s="129"/>
      <c r="K584" s="110"/>
      <c r="L584" s="129"/>
      <c r="M584" t="s">
        <v>351</v>
      </c>
      <c r="N584" s="129"/>
      <c r="O584" s="129"/>
      <c r="P584" s="129"/>
      <c r="Q584" s="129"/>
      <c r="R584" s="129"/>
      <c r="S584" s="129"/>
      <c r="T584" s="129"/>
      <c r="U584" s="129"/>
      <c r="V584" s="141"/>
      <c r="W584" s="139"/>
      <c r="X584" s="129"/>
      <c r="Y584" s="129"/>
      <c r="Z584" s="129"/>
      <c r="AA584" s="129"/>
      <c r="AB584" s="129"/>
      <c r="AC584" s="115"/>
      <c r="AD584" s="129"/>
      <c r="AE584" s="149"/>
      <c r="AF584" s="129"/>
      <c r="AG584" s="129"/>
      <c r="AH584" s="129"/>
    </row>
    <row r="585" spans="3:34" x14ac:dyDescent="0.35">
      <c r="C585" s="129"/>
      <c r="D585" s="129"/>
      <c r="E585" s="129"/>
      <c r="F585" s="129"/>
      <c r="G585" s="129"/>
      <c r="H585" s="129"/>
      <c r="I585" s="129"/>
      <c r="J585" s="129"/>
      <c r="K585" s="110"/>
      <c r="L585" s="129"/>
      <c r="M585" t="s">
        <v>351</v>
      </c>
      <c r="N585" s="129"/>
      <c r="O585" s="129"/>
      <c r="P585" s="129"/>
      <c r="Q585" s="129"/>
      <c r="R585" s="129"/>
      <c r="S585" s="129"/>
      <c r="T585" s="129"/>
      <c r="U585" s="129"/>
      <c r="V585" s="141"/>
      <c r="W585" s="139"/>
      <c r="X585" s="129"/>
      <c r="Y585" s="129"/>
      <c r="Z585" s="129"/>
      <c r="AA585" s="129"/>
      <c r="AB585" s="129"/>
      <c r="AC585" s="115"/>
      <c r="AD585" s="129"/>
      <c r="AE585" s="149"/>
      <c r="AF585" s="129"/>
      <c r="AG585" s="129"/>
      <c r="AH585" s="129"/>
    </row>
    <row r="586" spans="3:34" x14ac:dyDescent="0.35">
      <c r="C586" s="129"/>
      <c r="D586" s="129"/>
      <c r="E586" s="129"/>
      <c r="F586" s="129"/>
      <c r="G586" s="129"/>
      <c r="H586" s="129"/>
      <c r="I586" s="129"/>
      <c r="J586" s="129"/>
      <c r="K586" s="110"/>
      <c r="L586" s="129"/>
      <c r="M586" t="s">
        <v>351</v>
      </c>
      <c r="N586" s="129"/>
      <c r="O586" s="129"/>
      <c r="P586" s="129"/>
      <c r="Q586" s="129"/>
      <c r="R586" s="129"/>
      <c r="S586" s="129"/>
      <c r="T586" s="129"/>
      <c r="U586" s="129"/>
      <c r="V586" s="141"/>
      <c r="W586" s="139"/>
      <c r="X586" s="129"/>
      <c r="Y586" s="129"/>
      <c r="Z586" s="129"/>
      <c r="AA586" s="129"/>
      <c r="AB586" s="129"/>
      <c r="AC586" s="115"/>
      <c r="AD586" s="129"/>
      <c r="AE586" s="149"/>
      <c r="AF586" s="129"/>
      <c r="AG586" s="129"/>
      <c r="AH586" s="129"/>
    </row>
    <row r="587" spans="3:34" x14ac:dyDescent="0.35">
      <c r="C587" s="129"/>
      <c r="D587" s="129"/>
      <c r="E587" s="129"/>
      <c r="F587" s="129"/>
      <c r="G587" s="129"/>
      <c r="H587" s="129"/>
      <c r="I587" s="129"/>
      <c r="J587" s="129"/>
      <c r="K587" s="110"/>
      <c r="L587" s="129"/>
      <c r="M587" t="s">
        <v>351</v>
      </c>
      <c r="N587" s="129"/>
      <c r="O587" s="129"/>
      <c r="P587" s="129"/>
      <c r="Q587" s="129"/>
      <c r="R587" s="129"/>
      <c r="S587" s="129"/>
      <c r="T587" s="129"/>
      <c r="U587" s="129"/>
      <c r="V587" s="141"/>
      <c r="W587" s="139"/>
      <c r="X587" s="129"/>
      <c r="Y587" s="129"/>
      <c r="Z587" s="129"/>
      <c r="AA587" s="129"/>
      <c r="AB587" s="129"/>
      <c r="AC587" s="115"/>
      <c r="AD587" s="129"/>
      <c r="AE587" s="149"/>
      <c r="AF587" s="129"/>
      <c r="AG587" s="129"/>
      <c r="AH587" s="129"/>
    </row>
    <row r="588" spans="3:34" x14ac:dyDescent="0.35">
      <c r="C588" s="129"/>
      <c r="D588" s="129"/>
      <c r="E588" s="129"/>
      <c r="F588" s="129"/>
      <c r="G588" s="129"/>
      <c r="H588" s="129"/>
      <c r="I588" s="129"/>
      <c r="J588" s="129"/>
      <c r="K588" s="110"/>
      <c r="L588" s="129"/>
      <c r="M588" t="s">
        <v>351</v>
      </c>
      <c r="N588" s="129"/>
      <c r="O588" s="129"/>
      <c r="P588" s="129"/>
      <c r="Q588" s="129"/>
      <c r="R588" s="129"/>
      <c r="S588" s="129"/>
      <c r="T588" s="129"/>
      <c r="U588" s="129"/>
      <c r="V588" s="141"/>
      <c r="W588" s="139"/>
      <c r="X588" s="129"/>
      <c r="Y588" s="129"/>
      <c r="Z588" s="129"/>
      <c r="AA588" s="129"/>
      <c r="AB588" s="129"/>
      <c r="AC588" s="115"/>
      <c r="AD588" s="129"/>
      <c r="AE588" s="149"/>
      <c r="AF588" s="129"/>
      <c r="AG588" s="129"/>
      <c r="AH588" s="129"/>
    </row>
    <row r="589" spans="3:34" x14ac:dyDescent="0.35">
      <c r="C589" s="129"/>
      <c r="D589" s="129"/>
      <c r="E589" s="129"/>
      <c r="F589" s="129"/>
      <c r="G589" s="129"/>
      <c r="H589" s="129"/>
      <c r="I589" s="129"/>
      <c r="J589" s="129"/>
      <c r="K589" s="110"/>
      <c r="L589" s="129"/>
      <c r="M589" t="s">
        <v>351</v>
      </c>
      <c r="N589" s="129"/>
      <c r="O589" s="129"/>
      <c r="P589" s="129"/>
      <c r="Q589" s="129"/>
      <c r="R589" s="129"/>
      <c r="S589" s="129"/>
      <c r="T589" s="129"/>
      <c r="U589" s="129"/>
      <c r="V589" s="141"/>
      <c r="W589" s="139"/>
      <c r="X589" s="129"/>
      <c r="Y589" s="129"/>
      <c r="Z589" s="129"/>
      <c r="AA589" s="129"/>
      <c r="AB589" s="129"/>
      <c r="AC589" s="115"/>
      <c r="AD589" s="129"/>
      <c r="AE589" s="149"/>
      <c r="AF589" s="129"/>
      <c r="AG589" s="129"/>
      <c r="AH589" s="129"/>
    </row>
    <row r="590" spans="3:34" x14ac:dyDescent="0.35">
      <c r="C590" s="129"/>
      <c r="D590" s="129"/>
      <c r="E590" s="129"/>
      <c r="F590" s="129"/>
      <c r="G590" s="129"/>
      <c r="H590" s="129"/>
      <c r="I590" s="129"/>
      <c r="J590" s="129"/>
      <c r="K590" s="110"/>
      <c r="L590" s="129"/>
      <c r="M590" t="s">
        <v>351</v>
      </c>
      <c r="N590" s="129"/>
      <c r="O590" s="129"/>
      <c r="P590" s="129"/>
      <c r="Q590" s="129"/>
      <c r="R590" s="129"/>
      <c r="S590" s="129"/>
      <c r="T590" s="129"/>
      <c r="U590" s="129"/>
      <c r="V590" s="141"/>
      <c r="W590" s="139"/>
      <c r="X590" s="129"/>
      <c r="Y590" s="129"/>
      <c r="Z590" s="129"/>
      <c r="AA590" s="129"/>
      <c r="AB590" s="129"/>
      <c r="AC590" s="115"/>
      <c r="AD590" s="129"/>
      <c r="AE590" s="149"/>
      <c r="AF590" s="129"/>
      <c r="AG590" s="129"/>
      <c r="AH590" s="129"/>
    </row>
    <row r="591" spans="3:34" x14ac:dyDescent="0.35">
      <c r="C591" s="129"/>
      <c r="D591" s="129"/>
      <c r="E591" s="129"/>
      <c r="F591" s="129"/>
      <c r="G591" s="129"/>
      <c r="H591" s="129"/>
      <c r="I591" s="129"/>
      <c r="J591" s="129"/>
      <c r="K591" s="110"/>
      <c r="L591" s="129"/>
      <c r="M591" t="s">
        <v>351</v>
      </c>
      <c r="N591" s="129"/>
      <c r="O591" s="129"/>
      <c r="P591" s="129"/>
      <c r="Q591" s="129"/>
      <c r="R591" s="129"/>
      <c r="S591" s="129"/>
      <c r="T591" s="129"/>
      <c r="U591" s="129"/>
      <c r="V591" s="141"/>
      <c r="W591" s="139"/>
      <c r="X591" s="129"/>
      <c r="Y591" s="129"/>
      <c r="Z591" s="129"/>
      <c r="AA591" s="129"/>
      <c r="AB591" s="129"/>
      <c r="AC591" s="115"/>
      <c r="AD591" s="129"/>
      <c r="AE591" s="149"/>
      <c r="AF591" s="129"/>
      <c r="AG591" s="129"/>
      <c r="AH591" s="129"/>
    </row>
    <row r="592" spans="3:34" x14ac:dyDescent="0.35">
      <c r="C592" s="129"/>
      <c r="D592" s="129"/>
      <c r="E592" s="129"/>
      <c r="F592" s="129"/>
      <c r="G592" s="129"/>
      <c r="H592" s="129"/>
      <c r="I592" s="129"/>
      <c r="J592" s="129"/>
      <c r="K592" s="110"/>
      <c r="L592" s="129"/>
      <c r="M592" t="s">
        <v>351</v>
      </c>
      <c r="N592" s="129"/>
      <c r="O592" s="129"/>
      <c r="P592" s="129"/>
      <c r="Q592" s="129"/>
      <c r="R592" s="129"/>
      <c r="S592" s="129"/>
      <c r="T592" s="129"/>
      <c r="U592" s="129"/>
      <c r="V592" s="141"/>
      <c r="W592" s="139"/>
      <c r="X592" s="129"/>
      <c r="Y592" s="129"/>
      <c r="Z592" s="129"/>
      <c r="AA592" s="129"/>
      <c r="AB592" s="129"/>
      <c r="AC592" s="115"/>
      <c r="AD592" s="129"/>
      <c r="AE592" s="149"/>
      <c r="AF592" s="129"/>
      <c r="AG592" s="129"/>
      <c r="AH592" s="129"/>
    </row>
    <row r="593" spans="3:34" x14ac:dyDescent="0.35">
      <c r="C593" s="129"/>
      <c r="D593" s="129"/>
      <c r="E593" s="129"/>
      <c r="F593" s="129"/>
      <c r="G593" s="129"/>
      <c r="H593" s="129"/>
      <c r="I593" s="129"/>
      <c r="J593" s="129"/>
      <c r="K593" s="110"/>
      <c r="L593" s="129"/>
      <c r="M593" t="s">
        <v>351</v>
      </c>
      <c r="N593" s="129"/>
      <c r="O593" s="129"/>
      <c r="P593" s="129"/>
      <c r="Q593" s="129"/>
      <c r="R593" s="129"/>
      <c r="S593" s="129"/>
      <c r="T593" s="129"/>
      <c r="U593" s="129"/>
      <c r="V593" s="141"/>
      <c r="W593" s="139"/>
      <c r="X593" s="129"/>
      <c r="Y593" s="129"/>
      <c r="Z593" s="129"/>
      <c r="AA593" s="129"/>
      <c r="AB593" s="129"/>
      <c r="AC593" s="115"/>
      <c r="AD593" s="129"/>
      <c r="AE593" s="149"/>
      <c r="AF593" s="129"/>
      <c r="AG593" s="129"/>
      <c r="AH593" s="129"/>
    </row>
    <row r="594" spans="3:34" x14ac:dyDescent="0.35">
      <c r="C594" s="129"/>
      <c r="D594" s="129"/>
      <c r="E594" s="129"/>
      <c r="F594" s="129"/>
      <c r="G594" s="129"/>
      <c r="H594" s="129"/>
      <c r="I594" s="129"/>
      <c r="J594" s="129"/>
      <c r="K594" s="110"/>
      <c r="L594" s="129"/>
      <c r="M594" t="s">
        <v>351</v>
      </c>
      <c r="N594" s="129"/>
      <c r="O594" s="129"/>
      <c r="P594" s="129"/>
      <c r="Q594" s="129"/>
      <c r="R594" s="129"/>
      <c r="S594" s="129"/>
      <c r="T594" s="129"/>
      <c r="U594" s="129"/>
      <c r="V594" s="141"/>
      <c r="W594" s="139"/>
      <c r="X594" s="129"/>
      <c r="Y594" s="129"/>
      <c r="Z594" s="129"/>
      <c r="AA594" s="129"/>
      <c r="AB594" s="129"/>
      <c r="AC594" s="115"/>
      <c r="AD594" s="129"/>
      <c r="AE594" s="149"/>
      <c r="AF594" s="129"/>
      <c r="AG594" s="129"/>
      <c r="AH594" s="129"/>
    </row>
    <row r="595" spans="3:34" x14ac:dyDescent="0.35">
      <c r="C595" s="129"/>
      <c r="D595" s="129"/>
      <c r="E595" s="129"/>
      <c r="F595" s="129"/>
      <c r="G595" s="129"/>
      <c r="H595" s="129"/>
      <c r="I595" s="129"/>
      <c r="J595" s="129"/>
      <c r="K595" s="110"/>
      <c r="L595" s="129"/>
      <c r="M595" t="s">
        <v>351</v>
      </c>
      <c r="N595" s="129"/>
      <c r="O595" s="129"/>
      <c r="P595" s="129"/>
      <c r="Q595" s="129"/>
      <c r="R595" s="129"/>
      <c r="S595" s="129"/>
      <c r="T595" s="129"/>
      <c r="U595" s="129"/>
      <c r="V595" s="141"/>
      <c r="W595" s="139"/>
      <c r="X595" s="129"/>
      <c r="Y595" s="129"/>
      <c r="Z595" s="129"/>
      <c r="AA595" s="129"/>
      <c r="AB595" s="129"/>
      <c r="AC595" s="115"/>
      <c r="AD595" s="129"/>
      <c r="AE595" s="149"/>
      <c r="AF595" s="129"/>
      <c r="AG595" s="129"/>
      <c r="AH595" s="129"/>
    </row>
    <row r="596" spans="3:34" x14ac:dyDescent="0.35">
      <c r="C596" s="129"/>
      <c r="D596" s="129"/>
      <c r="E596" s="129"/>
      <c r="F596" s="129"/>
      <c r="G596" s="129"/>
      <c r="H596" s="129"/>
      <c r="I596" s="129"/>
      <c r="J596" s="129"/>
      <c r="K596" s="110"/>
      <c r="L596" s="129"/>
      <c r="M596" t="s">
        <v>351</v>
      </c>
      <c r="N596" s="129"/>
      <c r="O596" s="129"/>
      <c r="P596" s="129"/>
      <c r="Q596" s="129"/>
      <c r="R596" s="129"/>
      <c r="S596" s="129"/>
      <c r="T596" s="129"/>
      <c r="U596" s="129"/>
      <c r="V596" s="141"/>
      <c r="W596" s="139"/>
      <c r="X596" s="129"/>
      <c r="Y596" s="129"/>
      <c r="Z596" s="129"/>
      <c r="AA596" s="129"/>
      <c r="AB596" s="129"/>
      <c r="AC596" s="115"/>
      <c r="AD596" s="129"/>
      <c r="AE596" s="149"/>
      <c r="AF596" s="129"/>
      <c r="AG596" s="129"/>
      <c r="AH596" s="129"/>
    </row>
    <row r="597" spans="3:34" x14ac:dyDescent="0.35">
      <c r="C597" s="129"/>
      <c r="D597" s="129"/>
      <c r="E597" s="129"/>
      <c r="F597" s="129"/>
      <c r="G597" s="129"/>
      <c r="H597" s="129"/>
      <c r="I597" s="129"/>
      <c r="J597" s="129"/>
      <c r="K597" s="110"/>
      <c r="L597" s="129"/>
      <c r="M597" t="s">
        <v>351</v>
      </c>
      <c r="N597" s="129"/>
      <c r="O597" s="129"/>
      <c r="P597" s="129"/>
      <c r="Q597" s="129"/>
      <c r="R597" s="129"/>
      <c r="S597" s="129"/>
      <c r="T597" s="129"/>
      <c r="U597" s="129"/>
      <c r="V597" s="141"/>
      <c r="W597" s="139"/>
      <c r="X597" s="129"/>
      <c r="Y597" s="129"/>
      <c r="Z597" s="129"/>
      <c r="AA597" s="129"/>
      <c r="AB597" s="129"/>
      <c r="AC597" s="115"/>
      <c r="AD597" s="129"/>
      <c r="AE597" s="149"/>
      <c r="AF597" s="129"/>
      <c r="AG597" s="129"/>
      <c r="AH597" s="129"/>
    </row>
    <row r="598" spans="3:34" x14ac:dyDescent="0.35">
      <c r="C598" s="129"/>
      <c r="D598" s="129"/>
      <c r="E598" s="129"/>
      <c r="F598" s="129"/>
      <c r="G598" s="129"/>
      <c r="H598" s="129"/>
      <c r="I598" s="129"/>
      <c r="J598" s="129"/>
      <c r="K598" s="110"/>
      <c r="L598" s="129"/>
      <c r="M598" t="s">
        <v>351</v>
      </c>
      <c r="N598" s="129"/>
      <c r="O598" s="129"/>
      <c r="P598" s="129"/>
      <c r="Q598" s="129"/>
      <c r="R598" s="129"/>
      <c r="S598" s="129"/>
      <c r="T598" s="129"/>
      <c r="U598" s="129"/>
      <c r="V598" s="141"/>
      <c r="W598" s="139"/>
      <c r="X598" s="129"/>
      <c r="Y598" s="129"/>
      <c r="Z598" s="129"/>
      <c r="AA598" s="129"/>
      <c r="AB598" s="129"/>
      <c r="AC598" s="115"/>
      <c r="AD598" s="129"/>
      <c r="AE598" s="149"/>
      <c r="AF598" s="129"/>
      <c r="AG598" s="129"/>
      <c r="AH598" s="129"/>
    </row>
    <row r="599" spans="3:34" x14ac:dyDescent="0.35">
      <c r="C599" s="129"/>
      <c r="D599" s="129"/>
      <c r="E599" s="129"/>
      <c r="F599" s="129"/>
      <c r="G599" s="129"/>
      <c r="H599" s="129"/>
      <c r="I599" s="129"/>
      <c r="J599" s="129"/>
      <c r="K599" s="110"/>
      <c r="L599" s="129"/>
      <c r="M599" t="s">
        <v>351</v>
      </c>
      <c r="N599" s="129"/>
      <c r="O599" s="129"/>
      <c r="P599" s="129"/>
      <c r="Q599" s="129"/>
      <c r="R599" s="129"/>
      <c r="S599" s="129"/>
      <c r="T599" s="129"/>
      <c r="U599" s="129"/>
      <c r="V599" s="141"/>
      <c r="W599" s="139"/>
      <c r="X599" s="129"/>
      <c r="Y599" s="129"/>
      <c r="Z599" s="129"/>
      <c r="AA599" s="129"/>
      <c r="AB599" s="129"/>
      <c r="AC599" s="115"/>
      <c r="AD599" s="129"/>
      <c r="AE599" s="149"/>
      <c r="AF599" s="129"/>
      <c r="AG599" s="129"/>
      <c r="AH599" s="129"/>
    </row>
    <row r="600" spans="3:34" x14ac:dyDescent="0.35">
      <c r="C600" s="129"/>
      <c r="D600" s="129"/>
      <c r="E600" s="129"/>
      <c r="F600" s="129"/>
      <c r="G600" s="129"/>
      <c r="H600" s="129"/>
      <c r="I600" s="129"/>
      <c r="J600" s="129"/>
      <c r="K600" s="110"/>
      <c r="L600" s="129"/>
      <c r="M600" t="s">
        <v>351</v>
      </c>
      <c r="N600" s="129"/>
      <c r="O600" s="129"/>
      <c r="P600" s="129"/>
      <c r="Q600" s="129"/>
      <c r="R600" s="129"/>
      <c r="S600" s="129"/>
      <c r="T600" s="129"/>
      <c r="U600" s="129"/>
      <c r="V600" s="141"/>
      <c r="W600" s="139"/>
      <c r="X600" s="129"/>
      <c r="Y600" s="129"/>
      <c r="Z600" s="129"/>
      <c r="AA600" s="129"/>
      <c r="AB600" s="129"/>
      <c r="AC600" s="115"/>
      <c r="AD600" s="129"/>
      <c r="AE600" s="149"/>
      <c r="AF600" s="129"/>
      <c r="AG600" s="129"/>
      <c r="AH600" s="129"/>
    </row>
    <row r="601" spans="3:34" x14ac:dyDescent="0.35">
      <c r="C601" s="129"/>
      <c r="D601" s="129"/>
      <c r="E601" s="129"/>
      <c r="F601" s="129"/>
      <c r="G601" s="129"/>
      <c r="H601" s="129"/>
      <c r="I601" s="129"/>
      <c r="J601" s="129"/>
      <c r="K601" s="110"/>
      <c r="L601" s="129"/>
      <c r="M601" t="s">
        <v>351</v>
      </c>
      <c r="N601" s="129"/>
      <c r="O601" s="129"/>
      <c r="P601" s="129"/>
      <c r="Q601" s="129"/>
      <c r="R601" s="129"/>
      <c r="S601" s="129"/>
      <c r="T601" s="129"/>
      <c r="U601" s="129"/>
      <c r="V601" s="141"/>
      <c r="W601" s="139"/>
      <c r="X601" s="129"/>
      <c r="Y601" s="129"/>
      <c r="Z601" s="129"/>
      <c r="AA601" s="129"/>
      <c r="AB601" s="129"/>
      <c r="AC601" s="115"/>
      <c r="AD601" s="129"/>
      <c r="AE601" s="149"/>
      <c r="AF601" s="129"/>
      <c r="AG601" s="129"/>
      <c r="AH601" s="129"/>
    </row>
    <row r="602" spans="3:34" x14ac:dyDescent="0.35">
      <c r="C602" s="129"/>
      <c r="D602" s="129"/>
      <c r="E602" s="129"/>
      <c r="F602" s="129"/>
      <c r="G602" s="129"/>
      <c r="H602" s="129"/>
      <c r="I602" s="129"/>
      <c r="J602" s="129"/>
      <c r="K602" s="110"/>
      <c r="L602" s="129"/>
      <c r="M602" t="s">
        <v>351</v>
      </c>
      <c r="N602" s="129"/>
      <c r="O602" s="129"/>
      <c r="P602" s="129"/>
      <c r="Q602" s="129"/>
      <c r="R602" s="129"/>
      <c r="S602" s="129"/>
      <c r="T602" s="129"/>
      <c r="U602" s="129"/>
      <c r="V602" s="141"/>
      <c r="W602" s="139"/>
      <c r="X602" s="129"/>
      <c r="Y602" s="129"/>
      <c r="Z602" s="129"/>
      <c r="AA602" s="129"/>
      <c r="AB602" s="129"/>
      <c r="AC602" s="115"/>
      <c r="AD602" s="129"/>
      <c r="AE602" s="149"/>
      <c r="AF602" s="129"/>
      <c r="AG602" s="129"/>
      <c r="AH602" s="129"/>
    </row>
    <row r="603" spans="3:34" x14ac:dyDescent="0.35">
      <c r="C603" s="129"/>
      <c r="D603" s="129"/>
      <c r="E603" s="129"/>
      <c r="F603" s="129"/>
      <c r="G603" s="129"/>
      <c r="H603" s="129"/>
      <c r="I603" s="129"/>
      <c r="J603" s="129"/>
      <c r="K603" s="110"/>
      <c r="L603" s="129"/>
      <c r="M603" t="s">
        <v>351</v>
      </c>
      <c r="N603" s="129"/>
      <c r="O603" s="129"/>
      <c r="P603" s="129"/>
      <c r="Q603" s="129"/>
      <c r="R603" s="129"/>
      <c r="S603" s="129"/>
      <c r="T603" s="129"/>
      <c r="U603" s="129"/>
      <c r="V603" s="141"/>
      <c r="W603" s="139"/>
      <c r="X603" s="129"/>
      <c r="Y603" s="129"/>
      <c r="Z603" s="129"/>
      <c r="AA603" s="129"/>
      <c r="AB603" s="129"/>
      <c r="AC603" s="115"/>
      <c r="AD603" s="129"/>
      <c r="AE603" s="149"/>
      <c r="AF603" s="129"/>
      <c r="AG603" s="129"/>
      <c r="AH603" s="129"/>
    </row>
    <row r="604" spans="3:34" x14ac:dyDescent="0.35">
      <c r="C604" s="129"/>
      <c r="D604" s="129"/>
      <c r="E604" s="129"/>
      <c r="F604" s="129"/>
      <c r="G604" s="129"/>
      <c r="H604" s="129"/>
      <c r="I604" s="129"/>
      <c r="J604" s="129"/>
      <c r="K604" s="110"/>
      <c r="L604" s="129"/>
      <c r="M604" t="s">
        <v>351</v>
      </c>
      <c r="N604" s="129"/>
      <c r="O604" s="129"/>
      <c r="P604" s="129"/>
      <c r="Q604" s="129"/>
      <c r="R604" s="129"/>
      <c r="S604" s="129"/>
      <c r="T604" s="129"/>
      <c r="U604" s="129"/>
      <c r="V604" s="141"/>
      <c r="W604" s="139"/>
      <c r="X604" s="129"/>
      <c r="Y604" s="129"/>
      <c r="Z604" s="129"/>
      <c r="AA604" s="129"/>
      <c r="AB604" s="129"/>
      <c r="AC604" s="115"/>
      <c r="AD604" s="129"/>
      <c r="AE604" s="149"/>
      <c r="AF604" s="129"/>
      <c r="AG604" s="129"/>
      <c r="AH604" s="129"/>
    </row>
    <row r="605" spans="3:34" x14ac:dyDescent="0.35">
      <c r="C605" s="129"/>
      <c r="D605" s="129"/>
      <c r="E605" s="129"/>
      <c r="F605" s="129"/>
      <c r="G605" s="129"/>
      <c r="H605" s="129"/>
      <c r="I605" s="129"/>
      <c r="J605" s="129"/>
      <c r="K605" s="110"/>
      <c r="L605" s="129"/>
      <c r="M605" t="s">
        <v>351</v>
      </c>
      <c r="N605" s="129"/>
      <c r="O605" s="129"/>
      <c r="P605" s="129"/>
      <c r="Q605" s="129"/>
      <c r="R605" s="129"/>
      <c r="S605" s="129"/>
      <c r="T605" s="129"/>
      <c r="U605" s="129"/>
      <c r="V605" s="141"/>
      <c r="W605" s="139"/>
      <c r="X605" s="129"/>
      <c r="Y605" s="129"/>
      <c r="Z605" s="129"/>
      <c r="AA605" s="129"/>
      <c r="AB605" s="129"/>
      <c r="AC605" s="115"/>
      <c r="AD605" s="129"/>
      <c r="AE605" s="149"/>
      <c r="AF605" s="129"/>
      <c r="AG605" s="129"/>
      <c r="AH605" s="129"/>
    </row>
    <row r="606" spans="3:34" x14ac:dyDescent="0.35">
      <c r="C606" s="129"/>
      <c r="D606" s="129"/>
      <c r="E606" s="129"/>
      <c r="F606" s="129"/>
      <c r="G606" s="129"/>
      <c r="H606" s="129"/>
      <c r="I606" s="129"/>
      <c r="J606" s="129"/>
      <c r="K606" s="110"/>
      <c r="L606" s="129"/>
      <c r="M606" t="s">
        <v>351</v>
      </c>
      <c r="N606" s="129"/>
      <c r="O606" s="129"/>
      <c r="P606" s="129"/>
      <c r="Q606" s="129"/>
      <c r="R606" s="129"/>
      <c r="S606" s="129"/>
      <c r="T606" s="129"/>
      <c r="U606" s="129"/>
      <c r="V606" s="141"/>
      <c r="W606" s="139"/>
      <c r="X606" s="129"/>
      <c r="Y606" s="129"/>
      <c r="Z606" s="129"/>
      <c r="AA606" s="129"/>
      <c r="AB606" s="129"/>
      <c r="AC606" s="115"/>
      <c r="AD606" s="129"/>
      <c r="AE606" s="149"/>
      <c r="AF606" s="129"/>
      <c r="AG606" s="129"/>
      <c r="AH606" s="129"/>
    </row>
    <row r="607" spans="3:34" x14ac:dyDescent="0.35">
      <c r="C607" s="129"/>
      <c r="D607" s="129"/>
      <c r="E607" s="129"/>
      <c r="F607" s="129"/>
      <c r="G607" s="129"/>
      <c r="H607" s="129"/>
      <c r="I607" s="129"/>
      <c r="J607" s="129"/>
      <c r="K607" s="110"/>
      <c r="L607" s="129"/>
      <c r="M607" t="s">
        <v>351</v>
      </c>
      <c r="N607" s="129"/>
      <c r="O607" s="129"/>
      <c r="P607" s="129"/>
      <c r="Q607" s="129"/>
      <c r="R607" s="129"/>
      <c r="S607" s="129"/>
      <c r="T607" s="129"/>
      <c r="U607" s="129"/>
      <c r="V607" s="141"/>
      <c r="W607" s="139"/>
      <c r="X607" s="129"/>
      <c r="Y607" s="129"/>
      <c r="Z607" s="129"/>
      <c r="AA607" s="129"/>
      <c r="AB607" s="129"/>
      <c r="AC607" s="115"/>
      <c r="AD607" s="129"/>
      <c r="AE607" s="149"/>
      <c r="AF607" s="129"/>
      <c r="AG607" s="129"/>
      <c r="AH607" s="129"/>
    </row>
    <row r="608" spans="3:34" x14ac:dyDescent="0.35">
      <c r="C608" s="129"/>
      <c r="D608" s="129"/>
      <c r="E608" s="129"/>
      <c r="F608" s="129"/>
      <c r="G608" s="129"/>
      <c r="H608" s="129"/>
      <c r="I608" s="129"/>
      <c r="J608" s="129"/>
      <c r="K608" s="110"/>
      <c r="L608" s="129"/>
      <c r="M608" t="s">
        <v>351</v>
      </c>
      <c r="N608" s="129"/>
      <c r="O608" s="129"/>
      <c r="P608" s="129"/>
      <c r="Q608" s="129"/>
      <c r="R608" s="129"/>
      <c r="S608" s="129"/>
      <c r="T608" s="129"/>
      <c r="U608" s="129"/>
      <c r="V608" s="141"/>
      <c r="W608" s="139"/>
      <c r="X608" s="129"/>
      <c r="Y608" s="129"/>
      <c r="Z608" s="129"/>
      <c r="AA608" s="129"/>
      <c r="AB608" s="129"/>
      <c r="AC608" s="115"/>
      <c r="AD608" s="129"/>
      <c r="AE608" s="149"/>
      <c r="AF608" s="129"/>
      <c r="AG608" s="129"/>
      <c r="AH608" s="129"/>
    </row>
    <row r="609" spans="3:34" x14ac:dyDescent="0.35">
      <c r="C609" s="129"/>
      <c r="D609" s="129"/>
      <c r="E609" s="129"/>
      <c r="F609" s="129"/>
      <c r="G609" s="129"/>
      <c r="H609" s="129"/>
      <c r="I609" s="129"/>
      <c r="J609" s="129"/>
      <c r="K609" s="110"/>
      <c r="L609" s="129"/>
      <c r="M609" t="s">
        <v>351</v>
      </c>
      <c r="N609" s="129"/>
      <c r="O609" s="129"/>
      <c r="P609" s="129"/>
      <c r="Q609" s="129"/>
      <c r="R609" s="129"/>
      <c r="S609" s="129"/>
      <c r="T609" s="129"/>
      <c r="U609" s="129"/>
      <c r="V609" s="141"/>
      <c r="W609" s="139"/>
      <c r="X609" s="129"/>
      <c r="Y609" s="129"/>
      <c r="Z609" s="129"/>
      <c r="AA609" s="129"/>
      <c r="AB609" s="129"/>
      <c r="AC609" s="115"/>
      <c r="AD609" s="129"/>
      <c r="AE609" s="149"/>
      <c r="AF609" s="129"/>
      <c r="AG609" s="129"/>
      <c r="AH609" s="129"/>
    </row>
    <row r="610" spans="3:34" x14ac:dyDescent="0.35">
      <c r="C610" s="129"/>
      <c r="D610" s="129"/>
      <c r="E610" s="129"/>
      <c r="F610" s="129"/>
      <c r="G610" s="129"/>
      <c r="H610" s="129"/>
      <c r="I610" s="129"/>
      <c r="J610" s="129"/>
      <c r="K610" s="110"/>
      <c r="L610" s="129"/>
      <c r="M610" t="s">
        <v>351</v>
      </c>
      <c r="N610" s="129"/>
      <c r="O610" s="129"/>
      <c r="P610" s="129"/>
      <c r="Q610" s="129"/>
      <c r="R610" s="129"/>
      <c r="S610" s="129"/>
      <c r="T610" s="129"/>
      <c r="U610" s="129"/>
      <c r="V610" s="141"/>
      <c r="W610" s="139"/>
      <c r="X610" s="129"/>
      <c r="Y610" s="129"/>
      <c r="Z610" s="129"/>
      <c r="AA610" s="129"/>
      <c r="AB610" s="129"/>
      <c r="AC610" s="115"/>
      <c r="AD610" s="129"/>
      <c r="AE610" s="149"/>
      <c r="AF610" s="129"/>
      <c r="AG610" s="129"/>
      <c r="AH610" s="129"/>
    </row>
    <row r="611" spans="3:34" x14ac:dyDescent="0.35">
      <c r="C611" s="129"/>
      <c r="D611" s="129"/>
      <c r="E611" s="129"/>
      <c r="F611" s="129"/>
      <c r="G611" s="129"/>
      <c r="H611" s="129"/>
      <c r="I611" s="129"/>
      <c r="J611" s="129"/>
      <c r="K611" s="110"/>
      <c r="L611" s="129"/>
      <c r="M611" t="s">
        <v>351</v>
      </c>
      <c r="N611" s="129"/>
      <c r="O611" s="129"/>
      <c r="P611" s="129"/>
      <c r="Q611" s="129"/>
      <c r="R611" s="129"/>
      <c r="S611" s="129"/>
      <c r="T611" s="129"/>
      <c r="U611" s="129"/>
      <c r="V611" s="141"/>
      <c r="W611" s="139"/>
      <c r="X611" s="129"/>
      <c r="Y611" s="129"/>
      <c r="Z611" s="129"/>
      <c r="AA611" s="129"/>
      <c r="AB611" s="129"/>
      <c r="AC611" s="115"/>
      <c r="AD611" s="129"/>
      <c r="AE611" s="149"/>
      <c r="AF611" s="129"/>
      <c r="AG611" s="129"/>
      <c r="AH611" s="129"/>
    </row>
    <row r="612" spans="3:34" x14ac:dyDescent="0.35">
      <c r="C612" s="129"/>
      <c r="D612" s="129"/>
      <c r="E612" s="129"/>
      <c r="F612" s="129"/>
      <c r="G612" s="129"/>
      <c r="H612" s="129"/>
      <c r="I612" s="129"/>
      <c r="J612" s="129"/>
      <c r="K612" s="110"/>
      <c r="L612" s="129"/>
      <c r="M612" t="s">
        <v>351</v>
      </c>
      <c r="N612" s="129"/>
      <c r="O612" s="129"/>
      <c r="P612" s="129"/>
      <c r="Q612" s="129"/>
      <c r="R612" s="129"/>
      <c r="S612" s="129"/>
      <c r="T612" s="129"/>
      <c r="U612" s="129"/>
      <c r="V612" s="141"/>
      <c r="W612" s="139"/>
      <c r="X612" s="129"/>
      <c r="Y612" s="129"/>
      <c r="Z612" s="129"/>
      <c r="AA612" s="129"/>
      <c r="AB612" s="129"/>
      <c r="AC612" s="115"/>
      <c r="AD612" s="129"/>
      <c r="AE612" s="149"/>
      <c r="AF612" s="129"/>
      <c r="AG612" s="129"/>
      <c r="AH612" s="129"/>
    </row>
    <row r="613" spans="3:34" x14ac:dyDescent="0.35">
      <c r="C613" s="129"/>
      <c r="D613" s="129"/>
      <c r="E613" s="129"/>
      <c r="F613" s="129"/>
      <c r="G613" s="129"/>
      <c r="H613" s="129"/>
      <c r="I613" s="129"/>
      <c r="J613" s="129"/>
      <c r="K613" s="110"/>
      <c r="L613" s="129"/>
      <c r="M613" t="s">
        <v>351</v>
      </c>
      <c r="N613" s="129"/>
      <c r="O613" s="129"/>
      <c r="P613" s="129"/>
      <c r="Q613" s="129"/>
      <c r="R613" s="129"/>
      <c r="S613" s="129"/>
      <c r="T613" s="129"/>
      <c r="U613" s="129"/>
      <c r="V613" s="141"/>
      <c r="W613" s="139"/>
      <c r="X613" s="129"/>
      <c r="Y613" s="129"/>
      <c r="Z613" s="129"/>
      <c r="AA613" s="129"/>
      <c r="AB613" s="129"/>
      <c r="AC613" s="115"/>
      <c r="AD613" s="129"/>
      <c r="AE613" s="149"/>
      <c r="AF613" s="129"/>
      <c r="AG613" s="129"/>
      <c r="AH613" s="129"/>
    </row>
    <row r="614" spans="3:34" x14ac:dyDescent="0.35">
      <c r="C614" s="129"/>
      <c r="D614" s="129"/>
      <c r="E614" s="129"/>
      <c r="F614" s="129"/>
      <c r="G614" s="129"/>
      <c r="H614" s="129"/>
      <c r="I614" s="129"/>
      <c r="J614" s="129"/>
      <c r="K614" s="110"/>
      <c r="L614" s="129"/>
      <c r="M614" t="s">
        <v>351</v>
      </c>
      <c r="N614" s="129"/>
      <c r="O614" s="129"/>
      <c r="P614" s="129"/>
      <c r="Q614" s="129"/>
      <c r="R614" s="129"/>
      <c r="S614" s="129"/>
      <c r="T614" s="129"/>
      <c r="U614" s="129"/>
      <c r="V614" s="141"/>
      <c r="W614" s="139"/>
      <c r="X614" s="129"/>
      <c r="Y614" s="129"/>
      <c r="Z614" s="129"/>
      <c r="AA614" s="129"/>
      <c r="AB614" s="129"/>
      <c r="AC614" s="115"/>
      <c r="AD614" s="129"/>
      <c r="AE614" s="149"/>
      <c r="AF614" s="129"/>
      <c r="AG614" s="129"/>
      <c r="AH614" s="129"/>
    </row>
    <row r="615" spans="3:34" x14ac:dyDescent="0.35">
      <c r="C615" s="129"/>
      <c r="D615" s="129"/>
      <c r="E615" s="129"/>
      <c r="F615" s="129"/>
      <c r="G615" s="129"/>
      <c r="H615" s="129"/>
      <c r="I615" s="129"/>
      <c r="J615" s="129"/>
      <c r="K615" s="110"/>
      <c r="L615" s="129"/>
      <c r="M615" t="s">
        <v>351</v>
      </c>
      <c r="N615" s="129"/>
      <c r="O615" s="129"/>
      <c r="P615" s="129"/>
      <c r="Q615" s="129"/>
      <c r="R615" s="129"/>
      <c r="S615" s="129"/>
      <c r="T615" s="129"/>
      <c r="U615" s="129"/>
      <c r="V615" s="141"/>
      <c r="W615" s="139"/>
      <c r="X615" s="129"/>
      <c r="Y615" s="129"/>
      <c r="Z615" s="129"/>
      <c r="AA615" s="129"/>
      <c r="AB615" s="129"/>
      <c r="AC615" s="115"/>
      <c r="AD615" s="129"/>
      <c r="AE615" s="149"/>
      <c r="AF615" s="129"/>
      <c r="AG615" s="129"/>
      <c r="AH615" s="129"/>
    </row>
    <row r="616" spans="3:34" x14ac:dyDescent="0.35">
      <c r="C616" s="129"/>
      <c r="D616" s="129"/>
      <c r="E616" s="129"/>
      <c r="F616" s="129"/>
      <c r="G616" s="129"/>
      <c r="H616" s="129"/>
      <c r="I616" s="129"/>
      <c r="J616" s="129"/>
      <c r="K616" s="110"/>
      <c r="L616" s="129"/>
      <c r="M616" t="s">
        <v>351</v>
      </c>
      <c r="N616" s="129"/>
      <c r="O616" s="129"/>
      <c r="P616" s="129"/>
      <c r="Q616" s="129"/>
      <c r="R616" s="129"/>
      <c r="S616" s="129"/>
      <c r="T616" s="129"/>
      <c r="U616" s="129"/>
      <c r="V616" s="141"/>
      <c r="W616" s="139"/>
      <c r="X616" s="129"/>
      <c r="Y616" s="129"/>
      <c r="Z616" s="129"/>
      <c r="AA616" s="129"/>
      <c r="AB616" s="129"/>
      <c r="AC616" s="115"/>
      <c r="AD616" s="129"/>
      <c r="AE616" s="149"/>
      <c r="AF616" s="129"/>
      <c r="AG616" s="129"/>
      <c r="AH616" s="129"/>
    </row>
    <row r="617" spans="3:34" x14ac:dyDescent="0.35">
      <c r="C617" s="129"/>
      <c r="D617" s="129"/>
      <c r="E617" s="129"/>
      <c r="F617" s="129"/>
      <c r="G617" s="129"/>
      <c r="H617" s="129"/>
      <c r="I617" s="129"/>
      <c r="J617" s="129"/>
      <c r="K617" s="110"/>
      <c r="L617" s="129"/>
      <c r="M617" t="s">
        <v>351</v>
      </c>
      <c r="N617" s="129"/>
      <c r="O617" s="129"/>
      <c r="P617" s="129"/>
      <c r="Q617" s="129"/>
      <c r="R617" s="129"/>
      <c r="S617" s="129"/>
      <c r="T617" s="129"/>
      <c r="U617" s="129"/>
      <c r="V617" s="141"/>
      <c r="W617" s="139"/>
      <c r="X617" s="129"/>
      <c r="Y617" s="129"/>
      <c r="Z617" s="129"/>
      <c r="AA617" s="129"/>
      <c r="AB617" s="129"/>
      <c r="AC617" s="115"/>
      <c r="AD617" s="129"/>
      <c r="AE617" s="149"/>
      <c r="AF617" s="129"/>
      <c r="AG617" s="129"/>
      <c r="AH617" s="129"/>
    </row>
    <row r="618" spans="3:34" x14ac:dyDescent="0.35">
      <c r="C618" s="129"/>
      <c r="D618" s="129"/>
      <c r="E618" s="129"/>
      <c r="F618" s="129"/>
      <c r="G618" s="129"/>
      <c r="H618" s="129"/>
      <c r="I618" s="129"/>
      <c r="J618" s="129"/>
      <c r="K618" s="110"/>
      <c r="L618" s="129"/>
      <c r="M618" t="s">
        <v>351</v>
      </c>
      <c r="N618" s="129"/>
      <c r="O618" s="129"/>
      <c r="P618" s="129"/>
      <c r="Q618" s="129"/>
      <c r="R618" s="129"/>
      <c r="S618" s="129"/>
      <c r="T618" s="129"/>
      <c r="U618" s="129"/>
      <c r="V618" s="141"/>
      <c r="W618" s="139"/>
      <c r="X618" s="129"/>
      <c r="Y618" s="129"/>
      <c r="Z618" s="129"/>
      <c r="AA618" s="129"/>
      <c r="AB618" s="129"/>
      <c r="AC618" s="115"/>
      <c r="AD618" s="129"/>
      <c r="AE618" s="149"/>
      <c r="AF618" s="129"/>
      <c r="AG618" s="129"/>
      <c r="AH618" s="129"/>
    </row>
    <row r="619" spans="3:34" x14ac:dyDescent="0.35">
      <c r="C619" s="129"/>
      <c r="D619" s="129"/>
      <c r="E619" s="129"/>
      <c r="F619" s="129"/>
      <c r="G619" s="129"/>
      <c r="H619" s="129"/>
      <c r="I619" s="129"/>
      <c r="J619" s="129"/>
      <c r="K619" s="110"/>
      <c r="L619" s="129"/>
      <c r="M619" t="s">
        <v>351</v>
      </c>
      <c r="N619" s="129"/>
      <c r="O619" s="129"/>
      <c r="P619" s="129"/>
      <c r="Q619" s="129"/>
      <c r="R619" s="129"/>
      <c r="S619" s="129"/>
      <c r="T619" s="129"/>
      <c r="U619" s="129"/>
      <c r="V619" s="141"/>
      <c r="W619" s="139"/>
      <c r="X619" s="129"/>
      <c r="Y619" s="129"/>
      <c r="Z619" s="129"/>
      <c r="AA619" s="129"/>
      <c r="AB619" s="129"/>
      <c r="AC619" s="115"/>
      <c r="AD619" s="129"/>
      <c r="AE619" s="149"/>
      <c r="AF619" s="129"/>
      <c r="AG619" s="129"/>
      <c r="AH619" s="129"/>
    </row>
    <row r="620" spans="3:34" x14ac:dyDescent="0.35">
      <c r="C620" s="129"/>
      <c r="D620" s="129"/>
      <c r="E620" s="129"/>
      <c r="F620" s="129"/>
      <c r="G620" s="129"/>
      <c r="H620" s="129"/>
      <c r="I620" s="129"/>
      <c r="J620" s="129"/>
      <c r="K620" s="110"/>
      <c r="L620" s="129"/>
      <c r="M620" t="s">
        <v>351</v>
      </c>
      <c r="N620" s="129"/>
      <c r="O620" s="129"/>
      <c r="P620" s="129"/>
      <c r="Q620" s="129"/>
      <c r="R620" s="129"/>
      <c r="S620" s="129"/>
      <c r="T620" s="129"/>
      <c r="U620" s="129"/>
      <c r="V620" s="141"/>
      <c r="W620" s="139"/>
      <c r="X620" s="129"/>
      <c r="Y620" s="129"/>
      <c r="Z620" s="129"/>
      <c r="AA620" s="129"/>
      <c r="AB620" s="129"/>
      <c r="AC620" s="115"/>
      <c r="AD620" s="129"/>
      <c r="AE620" s="149"/>
      <c r="AF620" s="129"/>
      <c r="AG620" s="129"/>
      <c r="AH620" s="129"/>
    </row>
    <row r="621" spans="3:34" x14ac:dyDescent="0.35">
      <c r="C621" s="129"/>
      <c r="D621" s="129"/>
      <c r="E621" s="129"/>
      <c r="F621" s="129"/>
      <c r="G621" s="129"/>
      <c r="H621" s="129"/>
      <c r="I621" s="129"/>
      <c r="J621" s="129"/>
      <c r="K621" s="110"/>
      <c r="L621" s="129"/>
      <c r="M621" t="s">
        <v>351</v>
      </c>
      <c r="N621" s="129"/>
      <c r="O621" s="129"/>
      <c r="P621" s="129"/>
      <c r="Q621" s="129"/>
      <c r="R621" s="129"/>
      <c r="S621" s="129"/>
      <c r="T621" s="129"/>
      <c r="U621" s="129"/>
      <c r="V621" s="141"/>
      <c r="W621" s="139"/>
      <c r="X621" s="129"/>
      <c r="Y621" s="129"/>
      <c r="Z621" s="129"/>
      <c r="AA621" s="129"/>
      <c r="AB621" s="129"/>
      <c r="AC621" s="115"/>
      <c r="AD621" s="129"/>
      <c r="AE621" s="149"/>
      <c r="AF621" s="129"/>
      <c r="AG621" s="129"/>
      <c r="AH621" s="129"/>
    </row>
    <row r="622" spans="3:34" x14ac:dyDescent="0.35">
      <c r="C622" s="129"/>
      <c r="D622" s="129"/>
      <c r="E622" s="129"/>
      <c r="F622" s="129"/>
      <c r="G622" s="129"/>
      <c r="H622" s="129"/>
      <c r="I622" s="129"/>
      <c r="J622" s="129"/>
      <c r="K622" s="110"/>
      <c r="L622" s="129"/>
      <c r="M622" t="s">
        <v>351</v>
      </c>
      <c r="N622" s="129"/>
      <c r="O622" s="129"/>
      <c r="P622" s="129"/>
      <c r="Q622" s="129"/>
      <c r="R622" s="129"/>
      <c r="S622" s="129"/>
      <c r="T622" s="129"/>
      <c r="U622" s="129"/>
      <c r="V622" s="141"/>
      <c r="W622" s="139"/>
      <c r="X622" s="129"/>
      <c r="Y622" s="129"/>
      <c r="Z622" s="129"/>
      <c r="AA622" s="129"/>
      <c r="AB622" s="129"/>
      <c r="AC622" s="115"/>
      <c r="AD622" s="129"/>
      <c r="AE622" s="149"/>
      <c r="AF622" s="129"/>
      <c r="AG622" s="129"/>
      <c r="AH622" s="129"/>
    </row>
    <row r="623" spans="3:34" x14ac:dyDescent="0.35">
      <c r="C623" s="129"/>
      <c r="D623" s="129"/>
      <c r="E623" s="129"/>
      <c r="F623" s="129"/>
      <c r="G623" s="129"/>
      <c r="H623" s="129"/>
      <c r="I623" s="129"/>
      <c r="J623" s="129"/>
      <c r="K623" s="110"/>
      <c r="L623" s="129"/>
      <c r="M623" t="s">
        <v>351</v>
      </c>
      <c r="N623" s="129"/>
      <c r="O623" s="129"/>
      <c r="P623" s="129"/>
      <c r="Q623" s="129"/>
      <c r="R623" s="129"/>
      <c r="S623" s="129"/>
      <c r="T623" s="129"/>
      <c r="U623" s="129"/>
      <c r="V623" s="141"/>
      <c r="W623" s="139"/>
      <c r="X623" s="129"/>
      <c r="Y623" s="129"/>
      <c r="Z623" s="129"/>
      <c r="AA623" s="129"/>
      <c r="AB623" s="129"/>
      <c r="AC623" s="115"/>
      <c r="AD623" s="129"/>
      <c r="AE623" s="149"/>
      <c r="AF623" s="129"/>
      <c r="AG623" s="129"/>
      <c r="AH623" s="129"/>
    </row>
    <row r="624" spans="3:34" x14ac:dyDescent="0.35">
      <c r="C624" s="129"/>
      <c r="D624" s="129"/>
      <c r="E624" s="129"/>
      <c r="F624" s="129"/>
      <c r="G624" s="129"/>
      <c r="H624" s="129"/>
      <c r="I624" s="129"/>
      <c r="J624" s="129"/>
      <c r="K624" s="110"/>
      <c r="L624" s="129"/>
      <c r="M624" t="s">
        <v>351</v>
      </c>
      <c r="N624" s="129"/>
      <c r="O624" s="129"/>
      <c r="P624" s="129"/>
      <c r="Q624" s="129"/>
      <c r="R624" s="129"/>
      <c r="S624" s="129"/>
      <c r="T624" s="129"/>
      <c r="U624" s="129"/>
      <c r="V624" s="141"/>
      <c r="W624" s="139"/>
      <c r="X624" s="129"/>
      <c r="Y624" s="129"/>
      <c r="Z624" s="129"/>
      <c r="AA624" s="129"/>
      <c r="AB624" s="129"/>
      <c r="AC624" s="115"/>
      <c r="AD624" s="129"/>
      <c r="AE624" s="149"/>
      <c r="AF624" s="129"/>
      <c r="AG624" s="129"/>
      <c r="AH624" s="129"/>
    </row>
    <row r="625" spans="3:34" x14ac:dyDescent="0.35">
      <c r="C625" s="129"/>
      <c r="D625" s="129"/>
      <c r="E625" s="129"/>
      <c r="F625" s="129"/>
      <c r="G625" s="129"/>
      <c r="H625" s="129"/>
      <c r="I625" s="129"/>
      <c r="J625" s="129"/>
      <c r="K625" s="110"/>
      <c r="L625" s="129"/>
      <c r="M625" t="s">
        <v>351</v>
      </c>
      <c r="N625" s="129"/>
      <c r="O625" s="129"/>
      <c r="P625" s="129"/>
      <c r="Q625" s="129"/>
      <c r="R625" s="129"/>
      <c r="S625" s="129"/>
      <c r="T625" s="129"/>
      <c r="U625" s="129"/>
      <c r="V625" s="141"/>
      <c r="W625" s="139"/>
      <c r="X625" s="129"/>
      <c r="Y625" s="129"/>
      <c r="Z625" s="129"/>
      <c r="AA625" s="129"/>
      <c r="AB625" s="129"/>
      <c r="AC625" s="115"/>
      <c r="AD625" s="129"/>
      <c r="AE625" s="149"/>
      <c r="AF625" s="129"/>
      <c r="AG625" s="129"/>
      <c r="AH625" s="129"/>
    </row>
    <row r="626" spans="3:34" x14ac:dyDescent="0.35">
      <c r="C626" s="129"/>
      <c r="D626" s="129"/>
      <c r="E626" s="129"/>
      <c r="F626" s="129"/>
      <c r="G626" s="129"/>
      <c r="H626" s="129"/>
      <c r="I626" s="129"/>
      <c r="J626" s="129"/>
      <c r="K626" s="110"/>
      <c r="L626" s="129"/>
      <c r="M626" t="s">
        <v>351</v>
      </c>
      <c r="N626" s="129"/>
      <c r="O626" s="129"/>
      <c r="P626" s="129"/>
      <c r="Q626" s="129"/>
      <c r="R626" s="129"/>
      <c r="S626" s="129"/>
      <c r="T626" s="129"/>
      <c r="U626" s="129"/>
      <c r="V626" s="141"/>
      <c r="W626" s="139"/>
      <c r="X626" s="129"/>
      <c r="Y626" s="129"/>
      <c r="Z626" s="129"/>
      <c r="AA626" s="129"/>
      <c r="AB626" s="129"/>
      <c r="AC626" s="115"/>
      <c r="AD626" s="129"/>
      <c r="AE626" s="149"/>
      <c r="AF626" s="129"/>
      <c r="AG626" s="129"/>
      <c r="AH626" s="129"/>
    </row>
    <row r="627" spans="3:34" x14ac:dyDescent="0.35">
      <c r="C627" s="129"/>
      <c r="D627" s="129"/>
      <c r="E627" s="129"/>
      <c r="F627" s="129"/>
      <c r="G627" s="129"/>
      <c r="H627" s="129"/>
      <c r="I627" s="129"/>
      <c r="J627" s="129"/>
      <c r="K627" s="110"/>
      <c r="L627" s="129"/>
      <c r="M627" t="s">
        <v>351</v>
      </c>
      <c r="N627" s="129"/>
      <c r="O627" s="129"/>
      <c r="P627" s="129"/>
      <c r="Q627" s="129"/>
      <c r="R627" s="129"/>
      <c r="S627" s="129"/>
      <c r="T627" s="129"/>
      <c r="U627" s="129"/>
      <c r="V627" s="141"/>
      <c r="W627" s="139"/>
      <c r="X627" s="129"/>
      <c r="Y627" s="129"/>
      <c r="Z627" s="129"/>
      <c r="AA627" s="129"/>
      <c r="AB627" s="129"/>
      <c r="AC627" s="115"/>
      <c r="AD627" s="129"/>
      <c r="AE627" s="149"/>
      <c r="AF627" s="129"/>
      <c r="AG627" s="129"/>
      <c r="AH627" s="129"/>
    </row>
    <row r="628" spans="3:34" x14ac:dyDescent="0.35">
      <c r="C628" s="129"/>
      <c r="D628" s="129"/>
      <c r="E628" s="129"/>
      <c r="F628" s="129"/>
      <c r="G628" s="129"/>
      <c r="H628" s="129"/>
      <c r="I628" s="129"/>
      <c r="J628" s="129"/>
      <c r="K628" s="110"/>
      <c r="L628" s="129"/>
      <c r="M628" t="s">
        <v>351</v>
      </c>
      <c r="N628" s="129"/>
      <c r="O628" s="129"/>
      <c r="P628" s="129"/>
      <c r="Q628" s="129"/>
      <c r="R628" s="129"/>
      <c r="S628" s="129"/>
      <c r="T628" s="129"/>
      <c r="U628" s="129"/>
      <c r="V628" s="141"/>
      <c r="W628" s="139"/>
      <c r="X628" s="129"/>
      <c r="Y628" s="129"/>
      <c r="Z628" s="129"/>
      <c r="AA628" s="129"/>
      <c r="AB628" s="129"/>
      <c r="AC628" s="115"/>
      <c r="AD628" s="129"/>
      <c r="AE628" s="149"/>
      <c r="AF628" s="129"/>
      <c r="AG628" s="129"/>
      <c r="AH628" s="129"/>
    </row>
    <row r="629" spans="3:34" x14ac:dyDescent="0.35">
      <c r="C629" s="129"/>
      <c r="D629" s="129"/>
      <c r="E629" s="129"/>
      <c r="F629" s="129"/>
      <c r="G629" s="129"/>
      <c r="H629" s="129"/>
      <c r="I629" s="129"/>
      <c r="J629" s="129"/>
      <c r="K629" s="110"/>
      <c r="L629" s="129"/>
      <c r="M629" t="s">
        <v>351</v>
      </c>
      <c r="N629" s="129"/>
      <c r="O629" s="129"/>
      <c r="P629" s="129"/>
      <c r="Q629" s="129"/>
      <c r="R629" s="129"/>
      <c r="S629" s="129"/>
      <c r="T629" s="129"/>
      <c r="U629" s="129"/>
      <c r="V629" s="141"/>
      <c r="W629" s="139"/>
      <c r="X629" s="129"/>
      <c r="Y629" s="129"/>
      <c r="Z629" s="129"/>
      <c r="AA629" s="129"/>
      <c r="AB629" s="129"/>
      <c r="AC629" s="115"/>
      <c r="AD629" s="129"/>
      <c r="AE629" s="149"/>
      <c r="AF629" s="129"/>
      <c r="AG629" s="129"/>
      <c r="AH629" s="129"/>
    </row>
    <row r="630" spans="3:34" x14ac:dyDescent="0.35">
      <c r="C630" s="129"/>
      <c r="D630" s="129"/>
      <c r="E630" s="129"/>
      <c r="F630" s="129"/>
      <c r="G630" s="129"/>
      <c r="H630" s="129"/>
      <c r="I630" s="129"/>
      <c r="J630" s="129"/>
      <c r="K630" s="110"/>
      <c r="L630" s="129"/>
      <c r="M630" t="s">
        <v>351</v>
      </c>
      <c r="N630" s="129"/>
      <c r="O630" s="129"/>
      <c r="P630" s="129"/>
      <c r="Q630" s="129"/>
      <c r="R630" s="129"/>
      <c r="S630" s="129"/>
      <c r="T630" s="129"/>
      <c r="U630" s="129"/>
      <c r="V630" s="141"/>
      <c r="W630" s="139"/>
      <c r="X630" s="129"/>
      <c r="Y630" s="129"/>
      <c r="Z630" s="129"/>
      <c r="AA630" s="129"/>
      <c r="AB630" s="129"/>
      <c r="AC630" s="115"/>
      <c r="AD630" s="129"/>
      <c r="AE630" s="149"/>
      <c r="AF630" s="129"/>
      <c r="AG630" s="129"/>
      <c r="AH630" s="129"/>
    </row>
    <row r="631" spans="3:34" x14ac:dyDescent="0.35">
      <c r="C631" s="129"/>
      <c r="D631" s="129"/>
      <c r="E631" s="129"/>
      <c r="F631" s="129"/>
      <c r="G631" s="129"/>
      <c r="H631" s="129"/>
      <c r="I631" s="129"/>
      <c r="J631" s="129"/>
      <c r="K631" s="110"/>
      <c r="L631" s="129"/>
      <c r="M631" t="s">
        <v>351</v>
      </c>
      <c r="N631" s="129"/>
      <c r="O631" s="129"/>
      <c r="P631" s="129"/>
      <c r="Q631" s="129"/>
      <c r="R631" s="129"/>
      <c r="S631" s="129"/>
      <c r="T631" s="129"/>
      <c r="U631" s="129"/>
      <c r="V631" s="141"/>
      <c r="W631" s="139"/>
      <c r="X631" s="129"/>
      <c r="Y631" s="129"/>
      <c r="Z631" s="129"/>
      <c r="AA631" s="129"/>
      <c r="AB631" s="129"/>
      <c r="AC631" s="115"/>
      <c r="AD631" s="129"/>
      <c r="AE631" s="149"/>
      <c r="AF631" s="129"/>
      <c r="AG631" s="129"/>
      <c r="AH631" s="129"/>
    </row>
    <row r="632" spans="3:34" x14ac:dyDescent="0.35">
      <c r="C632" s="129"/>
      <c r="D632" s="129"/>
      <c r="E632" s="129"/>
      <c r="F632" s="129"/>
      <c r="G632" s="129"/>
      <c r="H632" s="129"/>
      <c r="I632" s="129"/>
      <c r="J632" s="129"/>
      <c r="K632" s="110"/>
      <c r="L632" s="129"/>
      <c r="M632" t="s">
        <v>351</v>
      </c>
      <c r="N632" s="129"/>
      <c r="O632" s="129"/>
      <c r="P632" s="129"/>
      <c r="Q632" s="129"/>
      <c r="R632" s="129"/>
      <c r="S632" s="129"/>
      <c r="T632" s="129"/>
      <c r="U632" s="129"/>
      <c r="V632" s="141"/>
      <c r="W632" s="139"/>
      <c r="X632" s="129"/>
      <c r="Y632" s="129"/>
      <c r="Z632" s="129"/>
      <c r="AA632" s="129"/>
      <c r="AB632" s="129"/>
      <c r="AC632" s="115"/>
      <c r="AD632" s="129"/>
      <c r="AE632" s="149"/>
      <c r="AF632" s="129"/>
      <c r="AG632" s="129"/>
      <c r="AH632" s="129"/>
    </row>
    <row r="633" spans="3:34" x14ac:dyDescent="0.35">
      <c r="C633" s="129"/>
      <c r="D633" s="129"/>
      <c r="E633" s="129"/>
      <c r="F633" s="129"/>
      <c r="G633" s="129"/>
      <c r="H633" s="129"/>
      <c r="I633" s="129"/>
      <c r="J633" s="129"/>
      <c r="K633" s="110"/>
      <c r="L633" s="129"/>
      <c r="M633" t="s">
        <v>351</v>
      </c>
      <c r="N633" s="129"/>
      <c r="O633" s="129"/>
      <c r="P633" s="129"/>
      <c r="Q633" s="129"/>
      <c r="R633" s="129"/>
      <c r="S633" s="129"/>
      <c r="T633" s="129"/>
      <c r="U633" s="129"/>
      <c r="V633" s="141"/>
      <c r="W633" s="139"/>
      <c r="X633" s="129"/>
      <c r="Y633" s="129"/>
      <c r="Z633" s="129"/>
      <c r="AA633" s="129"/>
      <c r="AB633" s="129"/>
      <c r="AC633" s="115"/>
      <c r="AD633" s="129"/>
      <c r="AE633" s="149"/>
      <c r="AF633" s="129"/>
      <c r="AG633" s="129"/>
      <c r="AH633" s="129"/>
    </row>
    <row r="634" spans="3:34" x14ac:dyDescent="0.35">
      <c r="C634" s="129"/>
      <c r="D634" s="129"/>
      <c r="E634" s="129"/>
      <c r="F634" s="129"/>
      <c r="G634" s="129"/>
      <c r="H634" s="129"/>
      <c r="I634" s="129"/>
      <c r="J634" s="129"/>
      <c r="K634" s="110"/>
      <c r="L634" s="129"/>
      <c r="M634" t="s">
        <v>351</v>
      </c>
      <c r="N634" s="129"/>
      <c r="O634" s="129"/>
      <c r="P634" s="129"/>
      <c r="Q634" s="129"/>
      <c r="R634" s="129"/>
      <c r="S634" s="129"/>
      <c r="T634" s="129"/>
      <c r="U634" s="129"/>
      <c r="V634" s="141"/>
      <c r="W634" s="139"/>
      <c r="X634" s="129"/>
      <c r="Y634" s="129"/>
      <c r="Z634" s="129"/>
      <c r="AA634" s="129"/>
      <c r="AB634" s="129"/>
      <c r="AC634" s="115"/>
      <c r="AD634" s="129"/>
      <c r="AE634" s="149"/>
      <c r="AF634" s="129"/>
      <c r="AG634" s="129"/>
      <c r="AH634" s="129"/>
    </row>
    <row r="635" spans="3:34" x14ac:dyDescent="0.35">
      <c r="C635" s="129"/>
      <c r="D635" s="129"/>
      <c r="E635" s="129"/>
      <c r="F635" s="129"/>
      <c r="G635" s="129"/>
      <c r="H635" s="129"/>
      <c r="I635" s="129"/>
      <c r="J635" s="129"/>
      <c r="K635" s="110"/>
      <c r="L635" s="129"/>
      <c r="M635" t="s">
        <v>351</v>
      </c>
      <c r="N635" s="129"/>
      <c r="O635" s="129"/>
      <c r="P635" s="129"/>
      <c r="Q635" s="129"/>
      <c r="R635" s="129"/>
      <c r="S635" s="129"/>
      <c r="T635" s="129"/>
      <c r="U635" s="129"/>
      <c r="V635" s="141"/>
      <c r="W635" s="139"/>
      <c r="X635" s="129"/>
      <c r="Y635" s="129"/>
      <c r="Z635" s="129"/>
      <c r="AA635" s="129"/>
      <c r="AB635" s="129"/>
      <c r="AC635" s="115"/>
      <c r="AD635" s="129"/>
      <c r="AE635" s="149"/>
      <c r="AF635" s="129"/>
      <c r="AG635" s="129"/>
      <c r="AH635" s="129"/>
    </row>
    <row r="636" spans="3:34" x14ac:dyDescent="0.35">
      <c r="C636" s="129"/>
      <c r="D636" s="129"/>
      <c r="E636" s="129"/>
      <c r="F636" s="129"/>
      <c r="G636" s="129"/>
      <c r="H636" s="129"/>
      <c r="I636" s="129"/>
      <c r="J636" s="129"/>
      <c r="K636" s="110"/>
      <c r="L636" s="129"/>
      <c r="M636" t="s">
        <v>351</v>
      </c>
      <c r="N636" s="129"/>
      <c r="O636" s="129"/>
      <c r="P636" s="129"/>
      <c r="Q636" s="129"/>
      <c r="R636" s="129"/>
      <c r="S636" s="129"/>
      <c r="T636" s="129"/>
      <c r="U636" s="129"/>
      <c r="V636" s="141"/>
      <c r="W636" s="139"/>
      <c r="X636" s="129"/>
      <c r="Y636" s="129"/>
      <c r="Z636" s="129"/>
      <c r="AA636" s="129"/>
      <c r="AB636" s="129"/>
      <c r="AC636" s="115"/>
      <c r="AD636" s="129"/>
      <c r="AE636" s="149"/>
      <c r="AF636" s="129"/>
      <c r="AG636" s="129"/>
      <c r="AH636" s="129"/>
    </row>
    <row r="637" spans="3:34" x14ac:dyDescent="0.35">
      <c r="C637" s="129"/>
      <c r="D637" s="129"/>
      <c r="E637" s="129"/>
      <c r="F637" s="129"/>
      <c r="G637" s="129"/>
      <c r="H637" s="129"/>
      <c r="I637" s="129"/>
      <c r="J637" s="129"/>
      <c r="K637" s="110"/>
      <c r="L637" s="129"/>
      <c r="M637" t="s">
        <v>351</v>
      </c>
      <c r="N637" s="129"/>
      <c r="O637" s="129"/>
      <c r="P637" s="129"/>
      <c r="Q637" s="129"/>
      <c r="R637" s="129"/>
      <c r="S637" s="129"/>
      <c r="T637" s="129"/>
      <c r="U637" s="129"/>
      <c r="V637" s="141"/>
      <c r="W637" s="139"/>
      <c r="X637" s="129"/>
      <c r="Y637" s="129"/>
      <c r="Z637" s="129"/>
      <c r="AA637" s="129"/>
      <c r="AB637" s="129"/>
      <c r="AC637" s="115"/>
      <c r="AD637" s="129"/>
      <c r="AE637" s="149"/>
      <c r="AF637" s="129"/>
      <c r="AG637" s="129"/>
      <c r="AH637" s="129"/>
    </row>
    <row r="638" spans="3:34" x14ac:dyDescent="0.35">
      <c r="C638" s="129"/>
      <c r="D638" s="129"/>
      <c r="E638" s="129"/>
      <c r="F638" s="129"/>
      <c r="G638" s="129"/>
      <c r="H638" s="129"/>
      <c r="I638" s="129"/>
      <c r="J638" s="129"/>
      <c r="K638" s="110"/>
      <c r="L638" s="129"/>
      <c r="M638" t="s">
        <v>351</v>
      </c>
      <c r="N638" s="129"/>
      <c r="O638" s="129"/>
      <c r="P638" s="129"/>
      <c r="Q638" s="129"/>
      <c r="R638" s="129"/>
      <c r="S638" s="129"/>
      <c r="T638" s="129"/>
      <c r="U638" s="129"/>
      <c r="V638" s="141"/>
      <c r="W638" s="139"/>
      <c r="X638" s="129"/>
      <c r="Y638" s="129"/>
      <c r="Z638" s="129"/>
      <c r="AA638" s="129"/>
      <c r="AB638" s="129"/>
      <c r="AC638" s="115"/>
      <c r="AD638" s="129"/>
      <c r="AE638" s="149"/>
      <c r="AF638" s="129"/>
      <c r="AG638" s="129"/>
      <c r="AH638" s="129"/>
    </row>
    <row r="639" spans="3:34" x14ac:dyDescent="0.35">
      <c r="C639" s="129"/>
      <c r="D639" s="129"/>
      <c r="E639" s="129"/>
      <c r="F639" s="129"/>
      <c r="G639" s="129"/>
      <c r="H639" s="129"/>
      <c r="I639" s="129"/>
      <c r="J639" s="129"/>
      <c r="K639" s="110"/>
      <c r="L639" s="129"/>
      <c r="M639" t="s">
        <v>351</v>
      </c>
      <c r="N639" s="129"/>
      <c r="O639" s="129"/>
      <c r="P639" s="129"/>
      <c r="Q639" s="129"/>
      <c r="R639" s="129"/>
      <c r="S639" s="129"/>
      <c r="T639" s="129"/>
      <c r="U639" s="129"/>
      <c r="V639" s="141"/>
      <c r="W639" s="139"/>
      <c r="X639" s="129"/>
      <c r="Y639" s="129"/>
      <c r="Z639" s="129"/>
      <c r="AA639" s="129"/>
      <c r="AB639" s="129"/>
      <c r="AC639" s="115"/>
      <c r="AD639" s="129"/>
      <c r="AE639" s="149"/>
      <c r="AF639" s="129"/>
      <c r="AG639" s="129"/>
      <c r="AH639" s="129"/>
    </row>
    <row r="640" spans="3:34" x14ac:dyDescent="0.35">
      <c r="C640" s="129"/>
      <c r="D640" s="129"/>
      <c r="E640" s="129"/>
      <c r="F640" s="129"/>
      <c r="G640" s="129"/>
      <c r="H640" s="129"/>
      <c r="I640" s="129"/>
      <c r="J640" s="129"/>
      <c r="K640" s="110"/>
      <c r="L640" s="129"/>
      <c r="M640" t="s">
        <v>351</v>
      </c>
      <c r="N640" s="129"/>
      <c r="O640" s="129"/>
      <c r="P640" s="129"/>
      <c r="Q640" s="129"/>
      <c r="R640" s="129"/>
      <c r="S640" s="129"/>
      <c r="T640" s="129"/>
      <c r="U640" s="129"/>
      <c r="V640" s="141"/>
      <c r="W640" s="139"/>
      <c r="X640" s="129"/>
      <c r="Y640" s="129"/>
      <c r="Z640" s="129"/>
      <c r="AA640" s="129"/>
      <c r="AB640" s="129"/>
      <c r="AC640" s="115"/>
      <c r="AD640" s="129"/>
      <c r="AE640" s="149"/>
      <c r="AF640" s="129"/>
      <c r="AG640" s="129"/>
      <c r="AH640" s="129"/>
    </row>
    <row r="641" spans="3:34" x14ac:dyDescent="0.35">
      <c r="C641" s="129"/>
      <c r="D641" s="129"/>
      <c r="E641" s="129"/>
      <c r="F641" s="129"/>
      <c r="G641" s="129"/>
      <c r="H641" s="129"/>
      <c r="I641" s="129"/>
      <c r="J641" s="129"/>
      <c r="K641" s="110"/>
      <c r="L641" s="129"/>
      <c r="M641" t="s">
        <v>351</v>
      </c>
      <c r="N641" s="129"/>
      <c r="O641" s="129"/>
      <c r="P641" s="129"/>
      <c r="Q641" s="129"/>
      <c r="R641" s="129"/>
      <c r="S641" s="129"/>
      <c r="T641" s="129"/>
      <c r="U641" s="129"/>
      <c r="V641" s="141"/>
      <c r="W641" s="139"/>
      <c r="X641" s="129"/>
      <c r="Y641" s="129"/>
      <c r="Z641" s="129"/>
      <c r="AA641" s="129"/>
      <c r="AB641" s="129"/>
      <c r="AC641" s="115"/>
      <c r="AD641" s="129"/>
      <c r="AE641" s="149"/>
      <c r="AF641" s="129"/>
      <c r="AG641" s="129"/>
      <c r="AH641" s="129"/>
    </row>
    <row r="642" spans="3:34" x14ac:dyDescent="0.35">
      <c r="C642" s="129"/>
      <c r="D642" s="129"/>
      <c r="E642" s="129"/>
      <c r="F642" s="129"/>
      <c r="G642" s="129"/>
      <c r="H642" s="129"/>
      <c r="I642" s="129"/>
      <c r="J642" s="129"/>
      <c r="K642" s="110"/>
      <c r="L642" s="129"/>
      <c r="M642" t="s">
        <v>351</v>
      </c>
      <c r="N642" s="129"/>
      <c r="O642" s="129"/>
      <c r="P642" s="129"/>
      <c r="Q642" s="129"/>
      <c r="R642" s="129"/>
      <c r="S642" s="129"/>
      <c r="T642" s="129"/>
      <c r="U642" s="129"/>
      <c r="V642" s="141"/>
      <c r="W642" s="139"/>
      <c r="X642" s="129"/>
      <c r="Y642" s="129"/>
      <c r="Z642" s="129"/>
      <c r="AA642" s="129"/>
      <c r="AB642" s="129"/>
      <c r="AC642" s="115"/>
      <c r="AD642" s="129"/>
      <c r="AE642" s="149"/>
      <c r="AF642" s="129"/>
      <c r="AG642" s="129"/>
      <c r="AH642" s="129"/>
    </row>
    <row r="643" spans="3:34" x14ac:dyDescent="0.35">
      <c r="C643" s="129"/>
      <c r="D643" s="129"/>
      <c r="E643" s="129"/>
      <c r="F643" s="129"/>
      <c r="G643" s="129"/>
      <c r="H643" s="129"/>
      <c r="I643" s="129"/>
      <c r="J643" s="129"/>
      <c r="K643" s="110"/>
      <c r="L643" s="129"/>
      <c r="M643" t="s">
        <v>351</v>
      </c>
      <c r="N643" s="129"/>
      <c r="O643" s="129"/>
      <c r="P643" s="129"/>
      <c r="Q643" s="129"/>
      <c r="R643" s="129"/>
      <c r="S643" s="129"/>
      <c r="T643" s="129"/>
      <c r="U643" s="129"/>
      <c r="V643" s="141"/>
      <c r="W643" s="139"/>
      <c r="X643" s="129"/>
      <c r="Y643" s="129"/>
      <c r="Z643" s="129"/>
      <c r="AA643" s="129"/>
      <c r="AB643" s="129"/>
      <c r="AC643" s="115"/>
      <c r="AD643" s="129"/>
      <c r="AE643" s="149"/>
      <c r="AF643" s="129"/>
      <c r="AG643" s="129"/>
      <c r="AH643" s="129"/>
    </row>
    <row r="644" spans="3:34" x14ac:dyDescent="0.35">
      <c r="C644" s="129"/>
      <c r="D644" s="129"/>
      <c r="E644" s="129"/>
      <c r="F644" s="129"/>
      <c r="G644" s="129"/>
      <c r="H644" s="129"/>
      <c r="I644" s="129"/>
      <c r="J644" s="129"/>
      <c r="K644" s="110"/>
      <c r="L644" s="129"/>
      <c r="M644" t="s">
        <v>351</v>
      </c>
      <c r="N644" s="129"/>
      <c r="O644" s="129"/>
      <c r="P644" s="129"/>
      <c r="Q644" s="129"/>
      <c r="R644" s="129"/>
      <c r="S644" s="129"/>
      <c r="T644" s="129"/>
      <c r="U644" s="129"/>
      <c r="V644" s="141"/>
      <c r="W644" s="139"/>
      <c r="X644" s="129"/>
      <c r="Y644" s="129"/>
      <c r="Z644" s="129"/>
      <c r="AA644" s="129"/>
      <c r="AB644" s="129"/>
      <c r="AC644" s="115"/>
      <c r="AD644" s="129"/>
      <c r="AE644" s="149"/>
      <c r="AF644" s="129"/>
      <c r="AG644" s="129"/>
      <c r="AH644" s="129"/>
    </row>
    <row r="645" spans="3:34" x14ac:dyDescent="0.35">
      <c r="C645" s="129"/>
      <c r="D645" s="129"/>
      <c r="E645" s="129"/>
      <c r="F645" s="129"/>
      <c r="G645" s="129"/>
      <c r="H645" s="129"/>
      <c r="I645" s="129"/>
      <c r="J645" s="129"/>
      <c r="K645" s="110"/>
      <c r="L645" s="129"/>
      <c r="M645" t="s">
        <v>351</v>
      </c>
      <c r="N645" s="129"/>
      <c r="O645" s="129"/>
      <c r="P645" s="129"/>
      <c r="Q645" s="129"/>
      <c r="R645" s="129"/>
      <c r="S645" s="129"/>
      <c r="T645" s="129"/>
      <c r="U645" s="129"/>
      <c r="V645" s="141"/>
      <c r="W645" s="139"/>
      <c r="X645" s="129"/>
      <c r="Y645" s="129"/>
      <c r="Z645" s="129"/>
      <c r="AA645" s="129"/>
      <c r="AB645" s="129"/>
      <c r="AC645" s="115"/>
      <c r="AD645" s="129"/>
      <c r="AE645" s="149"/>
      <c r="AF645" s="129"/>
      <c r="AG645" s="129"/>
      <c r="AH645" s="129"/>
    </row>
    <row r="646" spans="3:34" x14ac:dyDescent="0.35">
      <c r="C646" s="129"/>
      <c r="D646" s="129"/>
      <c r="E646" s="129"/>
      <c r="F646" s="129"/>
      <c r="G646" s="129"/>
      <c r="H646" s="129"/>
      <c r="I646" s="129"/>
      <c r="J646" s="129"/>
      <c r="K646" s="110"/>
      <c r="L646" s="129"/>
      <c r="M646" t="s">
        <v>351</v>
      </c>
      <c r="N646" s="129"/>
      <c r="O646" s="129"/>
      <c r="P646" s="129"/>
      <c r="Q646" s="129"/>
      <c r="R646" s="129"/>
      <c r="S646" s="129"/>
      <c r="T646" s="129"/>
      <c r="U646" s="129"/>
      <c r="V646" s="141"/>
      <c r="W646" s="139"/>
      <c r="X646" s="129"/>
      <c r="Y646" s="129"/>
      <c r="Z646" s="129"/>
      <c r="AA646" s="129"/>
      <c r="AB646" s="129"/>
      <c r="AC646" s="115"/>
      <c r="AD646" s="129"/>
      <c r="AE646" s="149"/>
      <c r="AF646" s="129"/>
      <c r="AG646" s="129"/>
      <c r="AH646" s="129"/>
    </row>
    <row r="647" spans="3:34" x14ac:dyDescent="0.35">
      <c r="C647" s="129"/>
      <c r="D647" s="129"/>
      <c r="E647" s="129"/>
      <c r="F647" s="129"/>
      <c r="G647" s="129"/>
      <c r="H647" s="129"/>
      <c r="I647" s="129"/>
      <c r="J647" s="129"/>
      <c r="K647" s="110"/>
      <c r="L647" s="129"/>
      <c r="M647" t="s">
        <v>351</v>
      </c>
      <c r="N647" s="129"/>
      <c r="O647" s="129"/>
      <c r="P647" s="129"/>
      <c r="Q647" s="129"/>
      <c r="R647" s="129"/>
      <c r="S647" s="129"/>
      <c r="T647" s="129"/>
      <c r="U647" s="129"/>
      <c r="V647" s="141"/>
      <c r="W647" s="139"/>
      <c r="X647" s="129"/>
      <c r="Y647" s="129"/>
      <c r="Z647" s="129"/>
      <c r="AA647" s="129"/>
      <c r="AB647" s="129"/>
      <c r="AC647" s="115"/>
      <c r="AD647" s="129"/>
      <c r="AE647" s="149"/>
      <c r="AF647" s="129"/>
      <c r="AG647" s="129"/>
      <c r="AH647" s="129"/>
    </row>
    <row r="648" spans="3:34" x14ac:dyDescent="0.35">
      <c r="C648" s="129"/>
      <c r="D648" s="129"/>
      <c r="E648" s="129"/>
      <c r="F648" s="129"/>
      <c r="G648" s="129"/>
      <c r="H648" s="129"/>
      <c r="I648" s="129"/>
      <c r="J648" s="129"/>
      <c r="K648" s="110"/>
      <c r="L648" s="129"/>
      <c r="M648" t="s">
        <v>351</v>
      </c>
      <c r="N648" s="129"/>
      <c r="O648" s="129"/>
      <c r="P648" s="129"/>
      <c r="Q648" s="129"/>
      <c r="R648" s="129"/>
      <c r="S648" s="129"/>
      <c r="T648" s="129"/>
      <c r="U648" s="129"/>
      <c r="V648" s="141"/>
      <c r="W648" s="139"/>
      <c r="X648" s="129"/>
      <c r="Y648" s="129"/>
      <c r="Z648" s="129"/>
      <c r="AA648" s="129"/>
      <c r="AB648" s="129"/>
      <c r="AC648" s="115"/>
      <c r="AD648" s="129"/>
      <c r="AE648" s="149"/>
      <c r="AF648" s="129"/>
      <c r="AG648" s="129"/>
      <c r="AH648" s="129"/>
    </row>
    <row r="649" spans="3:34" x14ac:dyDescent="0.35">
      <c r="C649" s="129"/>
      <c r="D649" s="129"/>
      <c r="E649" s="129"/>
      <c r="F649" s="129"/>
      <c r="G649" s="129"/>
      <c r="H649" s="129"/>
      <c r="I649" s="129"/>
      <c r="J649" s="129"/>
      <c r="K649" s="110"/>
      <c r="L649" s="129"/>
      <c r="M649" t="s">
        <v>351</v>
      </c>
      <c r="N649" s="129"/>
      <c r="O649" s="129"/>
      <c r="P649" s="129"/>
      <c r="Q649" s="129"/>
      <c r="R649" s="129"/>
      <c r="S649" s="129"/>
      <c r="T649" s="129"/>
      <c r="U649" s="129"/>
      <c r="V649" s="141"/>
      <c r="W649" s="139"/>
      <c r="X649" s="129"/>
      <c r="Y649" s="129"/>
      <c r="Z649" s="129"/>
      <c r="AA649" s="129"/>
      <c r="AB649" s="129"/>
      <c r="AC649" s="115"/>
      <c r="AD649" s="129"/>
      <c r="AE649" s="149"/>
      <c r="AF649" s="129"/>
      <c r="AG649" s="129"/>
      <c r="AH649" s="129"/>
    </row>
    <row r="650" spans="3:34" x14ac:dyDescent="0.35">
      <c r="C650" s="129"/>
      <c r="D650" s="129"/>
      <c r="E650" s="129"/>
      <c r="F650" s="129"/>
      <c r="G650" s="129"/>
      <c r="H650" s="129"/>
      <c r="I650" s="129"/>
      <c r="J650" s="129"/>
      <c r="K650" s="110"/>
      <c r="L650" s="129"/>
      <c r="M650" t="s">
        <v>351</v>
      </c>
      <c r="N650" s="129"/>
      <c r="O650" s="129"/>
      <c r="P650" s="129"/>
      <c r="Q650" s="129"/>
      <c r="R650" s="129"/>
      <c r="S650" s="129"/>
      <c r="T650" s="129"/>
      <c r="U650" s="129"/>
      <c r="V650" s="141"/>
      <c r="W650" s="139"/>
      <c r="X650" s="129"/>
      <c r="Y650" s="129"/>
      <c r="Z650" s="129"/>
      <c r="AA650" s="129"/>
      <c r="AB650" s="129"/>
      <c r="AC650" s="115"/>
      <c r="AD650" s="129"/>
      <c r="AE650" s="149"/>
      <c r="AF650" s="129"/>
      <c r="AG650" s="129"/>
      <c r="AH650" s="129"/>
    </row>
    <row r="651" spans="3:34" x14ac:dyDescent="0.35">
      <c r="C651" s="129"/>
      <c r="D651" s="129"/>
      <c r="E651" s="129"/>
      <c r="F651" s="129"/>
      <c r="G651" s="129"/>
      <c r="H651" s="129"/>
      <c r="I651" s="129"/>
      <c r="J651" s="129"/>
      <c r="K651" s="110"/>
      <c r="L651" s="129"/>
      <c r="M651" t="s">
        <v>351</v>
      </c>
      <c r="N651" s="129"/>
      <c r="O651" s="129"/>
      <c r="P651" s="129"/>
      <c r="Q651" s="129"/>
      <c r="R651" s="129"/>
      <c r="S651" s="129"/>
      <c r="T651" s="129"/>
      <c r="U651" s="129"/>
      <c r="V651" s="141"/>
      <c r="W651" s="139"/>
      <c r="X651" s="129"/>
      <c r="Y651" s="129"/>
      <c r="Z651" s="129"/>
      <c r="AA651" s="129"/>
      <c r="AB651" s="129"/>
      <c r="AC651" s="115"/>
      <c r="AD651" s="129"/>
      <c r="AE651" s="149"/>
      <c r="AF651" s="129"/>
      <c r="AG651" s="129"/>
      <c r="AH651" s="129"/>
    </row>
    <row r="652" spans="3:34" x14ac:dyDescent="0.35">
      <c r="C652" s="129"/>
      <c r="D652" s="129"/>
      <c r="E652" s="129"/>
      <c r="F652" s="129"/>
      <c r="G652" s="129"/>
      <c r="H652" s="129"/>
      <c r="I652" s="129"/>
      <c r="J652" s="129"/>
      <c r="K652" s="110"/>
      <c r="L652" s="129"/>
      <c r="M652" t="s">
        <v>351</v>
      </c>
      <c r="N652" s="129"/>
      <c r="O652" s="129"/>
      <c r="P652" s="129"/>
      <c r="Q652" s="129"/>
      <c r="R652" s="129"/>
      <c r="S652" s="129"/>
      <c r="T652" s="129"/>
      <c r="U652" s="129"/>
      <c r="V652" s="141"/>
      <c r="W652" s="139"/>
      <c r="X652" s="129"/>
      <c r="Y652" s="129"/>
      <c r="Z652" s="129"/>
      <c r="AA652" s="129"/>
      <c r="AB652" s="129"/>
      <c r="AC652" s="115"/>
      <c r="AD652" s="129"/>
      <c r="AE652" s="149"/>
      <c r="AF652" s="129"/>
      <c r="AG652" s="129"/>
      <c r="AH652" s="129"/>
    </row>
    <row r="653" spans="3:34" x14ac:dyDescent="0.35">
      <c r="C653" s="129"/>
      <c r="D653" s="129"/>
      <c r="E653" s="129"/>
      <c r="F653" s="129"/>
      <c r="G653" s="129"/>
      <c r="H653" s="129"/>
      <c r="I653" s="129"/>
      <c r="J653" s="129"/>
      <c r="K653" s="110"/>
      <c r="L653" s="129"/>
      <c r="M653" t="s">
        <v>351</v>
      </c>
      <c r="N653" s="129"/>
      <c r="O653" s="129"/>
      <c r="P653" s="129"/>
      <c r="Q653" s="129"/>
      <c r="R653" s="129"/>
      <c r="S653" s="129"/>
      <c r="T653" s="129"/>
      <c r="U653" s="129"/>
      <c r="V653" s="141"/>
      <c r="W653" s="139"/>
      <c r="X653" s="129"/>
      <c r="Y653" s="129"/>
      <c r="Z653" s="129"/>
      <c r="AA653" s="129"/>
      <c r="AB653" s="129"/>
      <c r="AC653" s="115"/>
      <c r="AD653" s="129"/>
      <c r="AE653" s="149"/>
      <c r="AF653" s="129"/>
      <c r="AG653" s="129"/>
      <c r="AH653" s="129"/>
    </row>
    <row r="654" spans="3:34" x14ac:dyDescent="0.35">
      <c r="C654" s="129"/>
      <c r="D654" s="129"/>
      <c r="E654" s="129"/>
      <c r="F654" s="129"/>
      <c r="G654" s="129"/>
      <c r="H654" s="129"/>
      <c r="I654" s="129"/>
      <c r="J654" s="129"/>
      <c r="K654" s="110"/>
      <c r="L654" s="129"/>
      <c r="M654" t="s">
        <v>351</v>
      </c>
      <c r="N654" s="129"/>
      <c r="O654" s="129"/>
      <c r="P654" s="129"/>
      <c r="Q654" s="129"/>
      <c r="R654" s="129"/>
      <c r="S654" s="129"/>
      <c r="T654" s="129"/>
      <c r="U654" s="129"/>
      <c r="V654" s="141"/>
      <c r="W654" s="139"/>
      <c r="X654" s="129"/>
      <c r="Y654" s="129"/>
      <c r="Z654" s="129"/>
      <c r="AA654" s="129"/>
      <c r="AB654" s="129"/>
      <c r="AC654" s="115"/>
      <c r="AD654" s="129"/>
      <c r="AE654" s="149"/>
      <c r="AF654" s="129"/>
      <c r="AG654" s="129"/>
      <c r="AH654" s="129"/>
    </row>
    <row r="655" spans="3:34" x14ac:dyDescent="0.35">
      <c r="C655" s="129"/>
      <c r="D655" s="129"/>
      <c r="E655" s="129"/>
      <c r="F655" s="129"/>
      <c r="G655" s="129"/>
      <c r="H655" s="129"/>
      <c r="I655" s="129"/>
      <c r="J655" s="129"/>
      <c r="K655" s="110"/>
      <c r="L655" s="129"/>
      <c r="M655" t="s">
        <v>351</v>
      </c>
      <c r="N655" s="129"/>
      <c r="O655" s="129"/>
      <c r="P655" s="129"/>
      <c r="Q655" s="129"/>
      <c r="R655" s="129"/>
      <c r="S655" s="129"/>
      <c r="T655" s="129"/>
      <c r="U655" s="129"/>
      <c r="V655" s="141"/>
      <c r="W655" s="139"/>
      <c r="X655" s="129"/>
      <c r="Y655" s="129"/>
      <c r="Z655" s="129"/>
      <c r="AA655" s="129"/>
      <c r="AB655" s="129"/>
      <c r="AC655" s="115"/>
      <c r="AD655" s="129"/>
      <c r="AE655" s="149"/>
      <c r="AF655" s="129"/>
      <c r="AG655" s="129"/>
      <c r="AH655" s="129"/>
    </row>
    <row r="656" spans="3:34" x14ac:dyDescent="0.35">
      <c r="C656" s="129"/>
      <c r="D656" s="129"/>
      <c r="E656" s="129"/>
      <c r="F656" s="129"/>
      <c r="G656" s="129"/>
      <c r="H656" s="129"/>
      <c r="I656" s="129"/>
      <c r="J656" s="129"/>
      <c r="K656" s="110"/>
      <c r="L656" s="129"/>
      <c r="M656" t="s">
        <v>351</v>
      </c>
      <c r="N656" s="129"/>
      <c r="O656" s="129"/>
      <c r="P656" s="129"/>
      <c r="Q656" s="129"/>
      <c r="R656" s="129"/>
      <c r="S656" s="129"/>
      <c r="T656" s="129"/>
      <c r="U656" s="129"/>
      <c r="V656" s="141"/>
      <c r="W656" s="139"/>
      <c r="X656" s="129"/>
      <c r="Y656" s="129"/>
      <c r="Z656" s="129"/>
      <c r="AA656" s="129"/>
      <c r="AB656" s="129"/>
      <c r="AC656" s="115"/>
      <c r="AD656" s="129"/>
      <c r="AE656" s="149"/>
      <c r="AF656" s="129"/>
      <c r="AG656" s="129"/>
      <c r="AH656" s="129"/>
    </row>
    <row r="657" spans="3:34" x14ac:dyDescent="0.35">
      <c r="C657" s="129"/>
      <c r="D657" s="129"/>
      <c r="E657" s="129"/>
      <c r="F657" s="129"/>
      <c r="G657" s="129"/>
      <c r="H657" s="129"/>
      <c r="I657" s="129"/>
      <c r="J657" s="129"/>
      <c r="K657" s="110"/>
      <c r="L657" s="129"/>
      <c r="M657" t="s">
        <v>351</v>
      </c>
      <c r="N657" s="129"/>
      <c r="O657" s="129"/>
      <c r="P657" s="129"/>
      <c r="Q657" s="129"/>
      <c r="R657" s="129"/>
      <c r="S657" s="129"/>
      <c r="T657" s="129"/>
      <c r="U657" s="129"/>
      <c r="V657" s="141"/>
      <c r="W657" s="139"/>
      <c r="X657" s="129"/>
      <c r="Y657" s="129"/>
      <c r="Z657" s="129"/>
      <c r="AA657" s="129"/>
      <c r="AB657" s="129"/>
      <c r="AC657" s="115"/>
      <c r="AD657" s="129"/>
      <c r="AE657" s="149"/>
      <c r="AF657" s="129"/>
      <c r="AG657" s="129"/>
      <c r="AH657" s="129"/>
    </row>
    <row r="658" spans="3:34" x14ac:dyDescent="0.35">
      <c r="C658" s="129"/>
      <c r="D658" s="129"/>
      <c r="E658" s="129"/>
      <c r="F658" s="129"/>
      <c r="G658" s="129"/>
      <c r="H658" s="129"/>
      <c r="I658" s="129"/>
      <c r="J658" s="129"/>
      <c r="K658" s="110"/>
      <c r="L658" s="129"/>
      <c r="M658" t="s">
        <v>351</v>
      </c>
      <c r="N658" s="129"/>
      <c r="O658" s="129"/>
      <c r="P658" s="129"/>
      <c r="Q658" s="129"/>
      <c r="R658" s="129"/>
      <c r="S658" s="129"/>
      <c r="T658" s="129"/>
      <c r="U658" s="129"/>
      <c r="V658" s="141"/>
      <c r="W658" s="139"/>
      <c r="X658" s="129"/>
      <c r="Y658" s="129"/>
      <c r="Z658" s="129"/>
      <c r="AA658" s="129"/>
      <c r="AB658" s="129"/>
      <c r="AC658" s="115"/>
      <c r="AD658" s="129"/>
      <c r="AE658" s="149"/>
      <c r="AF658" s="129"/>
      <c r="AG658" s="129"/>
      <c r="AH658" s="129"/>
    </row>
    <row r="659" spans="3:34" x14ac:dyDescent="0.35">
      <c r="C659" s="129"/>
      <c r="D659" s="129"/>
      <c r="E659" s="129"/>
      <c r="F659" s="129"/>
      <c r="G659" s="129"/>
      <c r="H659" s="129"/>
      <c r="I659" s="129"/>
      <c r="J659" s="129"/>
      <c r="K659" s="110"/>
      <c r="L659" s="129"/>
      <c r="M659" t="s">
        <v>351</v>
      </c>
      <c r="N659" s="129"/>
      <c r="O659" s="129"/>
      <c r="P659" s="129"/>
      <c r="Q659" s="129"/>
      <c r="R659" s="129"/>
      <c r="S659" s="129"/>
      <c r="T659" s="129"/>
      <c r="U659" s="129"/>
      <c r="V659" s="141"/>
      <c r="W659" s="139"/>
      <c r="X659" s="129"/>
      <c r="Y659" s="129"/>
      <c r="Z659" s="129"/>
      <c r="AA659" s="129"/>
      <c r="AB659" s="129"/>
      <c r="AC659" s="115"/>
      <c r="AD659" s="129"/>
      <c r="AE659" s="149"/>
      <c r="AF659" s="129"/>
      <c r="AG659" s="129"/>
      <c r="AH659" s="129"/>
    </row>
    <row r="660" spans="3:34" x14ac:dyDescent="0.35">
      <c r="C660" s="129"/>
      <c r="D660" s="129"/>
      <c r="E660" s="129"/>
      <c r="F660" s="129"/>
      <c r="G660" s="129"/>
      <c r="H660" s="129"/>
      <c r="I660" s="129"/>
      <c r="J660" s="129"/>
      <c r="K660" s="110"/>
      <c r="L660" s="129"/>
      <c r="M660" t="s">
        <v>351</v>
      </c>
      <c r="N660" s="129"/>
      <c r="O660" s="129"/>
      <c r="P660" s="129"/>
      <c r="Q660" s="129"/>
      <c r="R660" s="129"/>
      <c r="S660" s="129"/>
      <c r="T660" s="129"/>
      <c r="U660" s="129"/>
      <c r="V660" s="141"/>
      <c r="W660" s="139"/>
      <c r="X660" s="129"/>
      <c r="Y660" s="129"/>
      <c r="Z660" s="129"/>
      <c r="AA660" s="129"/>
      <c r="AB660" s="129"/>
      <c r="AC660" s="115"/>
      <c r="AD660" s="129"/>
      <c r="AE660" s="149"/>
      <c r="AF660" s="129"/>
      <c r="AG660" s="129"/>
      <c r="AH660" s="129"/>
    </row>
    <row r="661" spans="3:34" x14ac:dyDescent="0.35">
      <c r="C661" s="129"/>
      <c r="D661" s="129"/>
      <c r="E661" s="129"/>
      <c r="F661" s="129"/>
      <c r="G661" s="129"/>
      <c r="H661" s="129"/>
      <c r="I661" s="129"/>
      <c r="J661" s="129"/>
      <c r="K661" s="110"/>
      <c r="L661" s="129"/>
      <c r="M661" t="s">
        <v>351</v>
      </c>
      <c r="N661" s="129"/>
      <c r="O661" s="129"/>
      <c r="P661" s="129"/>
      <c r="Q661" s="129"/>
      <c r="R661" s="129"/>
      <c r="S661" s="129"/>
      <c r="T661" s="129"/>
      <c r="U661" s="129"/>
      <c r="V661" s="141"/>
      <c r="W661" s="139"/>
      <c r="X661" s="129"/>
      <c r="Y661" s="129"/>
      <c r="Z661" s="129"/>
      <c r="AA661" s="129"/>
      <c r="AB661" s="129"/>
      <c r="AC661" s="115"/>
      <c r="AD661" s="129"/>
      <c r="AE661" s="149"/>
      <c r="AF661" s="129"/>
      <c r="AG661" s="129"/>
      <c r="AH661" s="129"/>
    </row>
    <row r="662" spans="3:34" x14ac:dyDescent="0.35">
      <c r="C662" s="129"/>
      <c r="D662" s="129"/>
      <c r="E662" s="129"/>
      <c r="F662" s="129"/>
      <c r="G662" s="129"/>
      <c r="H662" s="129"/>
      <c r="I662" s="129"/>
      <c r="J662" s="129"/>
      <c r="K662" s="110"/>
      <c r="L662" s="129"/>
      <c r="M662" t="s">
        <v>351</v>
      </c>
      <c r="N662" s="129"/>
      <c r="O662" s="129"/>
      <c r="P662" s="129"/>
      <c r="Q662" s="129"/>
      <c r="R662" s="129"/>
      <c r="S662" s="129"/>
      <c r="T662" s="129"/>
      <c r="U662" s="129"/>
      <c r="V662" s="141"/>
      <c r="W662" s="139"/>
      <c r="X662" s="129"/>
      <c r="Y662" s="129"/>
      <c r="Z662" s="129"/>
      <c r="AA662" s="129"/>
      <c r="AB662" s="129"/>
      <c r="AC662" s="115"/>
      <c r="AD662" s="129"/>
      <c r="AE662" s="149"/>
      <c r="AF662" s="129"/>
      <c r="AG662" s="129"/>
      <c r="AH662" s="129"/>
    </row>
    <row r="663" spans="3:34" x14ac:dyDescent="0.35">
      <c r="C663" s="129"/>
      <c r="D663" s="129"/>
      <c r="E663" s="129"/>
      <c r="F663" s="129"/>
      <c r="G663" s="129"/>
      <c r="H663" s="129"/>
      <c r="I663" s="129"/>
      <c r="J663" s="129"/>
      <c r="K663" s="110"/>
      <c r="L663" s="129"/>
      <c r="M663" t="s">
        <v>351</v>
      </c>
      <c r="N663" s="129"/>
      <c r="O663" s="129"/>
      <c r="P663" s="129"/>
      <c r="Q663" s="129"/>
      <c r="R663" s="129"/>
      <c r="S663" s="129"/>
      <c r="T663" s="129"/>
      <c r="U663" s="129"/>
      <c r="V663" s="141"/>
      <c r="W663" s="139"/>
      <c r="X663" s="129"/>
      <c r="Y663" s="129"/>
      <c r="Z663" s="129"/>
      <c r="AA663" s="129"/>
      <c r="AB663" s="129"/>
      <c r="AC663" s="115"/>
      <c r="AD663" s="129"/>
      <c r="AE663" s="149"/>
      <c r="AF663" s="129"/>
      <c r="AG663" s="129"/>
      <c r="AH663" s="129"/>
    </row>
    <row r="664" spans="3:34" x14ac:dyDescent="0.35">
      <c r="C664" s="129"/>
      <c r="D664" s="129"/>
      <c r="E664" s="129"/>
      <c r="F664" s="129"/>
      <c r="G664" s="129"/>
      <c r="H664" s="129"/>
      <c r="I664" s="129"/>
      <c r="J664" s="129"/>
      <c r="K664" s="110"/>
      <c r="L664" s="129"/>
      <c r="M664" t="s">
        <v>351</v>
      </c>
      <c r="N664" s="129"/>
      <c r="O664" s="129"/>
      <c r="P664" s="129"/>
      <c r="Q664" s="129"/>
      <c r="R664" s="129"/>
      <c r="S664" s="129"/>
      <c r="T664" s="129"/>
      <c r="U664" s="129"/>
      <c r="V664" s="141"/>
      <c r="W664" s="139"/>
      <c r="X664" s="129"/>
      <c r="Y664" s="129"/>
      <c r="Z664" s="129"/>
      <c r="AA664" s="129"/>
      <c r="AB664" s="129"/>
      <c r="AC664" s="115"/>
      <c r="AD664" s="129"/>
      <c r="AE664" s="149"/>
      <c r="AF664" s="129"/>
      <c r="AG664" s="129"/>
      <c r="AH664" s="129"/>
    </row>
    <row r="665" spans="3:34" x14ac:dyDescent="0.35">
      <c r="C665" s="129"/>
      <c r="D665" s="129"/>
      <c r="E665" s="129"/>
      <c r="F665" s="129"/>
      <c r="G665" s="129"/>
      <c r="H665" s="129"/>
      <c r="I665" s="129"/>
      <c r="J665" s="129"/>
      <c r="K665" s="110"/>
      <c r="L665" s="129"/>
      <c r="M665" t="s">
        <v>351</v>
      </c>
      <c r="N665" s="129"/>
      <c r="O665" s="129"/>
      <c r="P665" s="129"/>
      <c r="Q665" s="129"/>
      <c r="R665" s="129"/>
      <c r="S665" s="129"/>
      <c r="T665" s="129"/>
      <c r="U665" s="129"/>
      <c r="V665" s="141"/>
      <c r="W665" s="139"/>
      <c r="X665" s="129"/>
      <c r="Y665" s="129"/>
      <c r="Z665" s="129"/>
      <c r="AA665" s="129"/>
      <c r="AB665" s="129"/>
      <c r="AC665" s="115"/>
      <c r="AD665" s="129"/>
      <c r="AE665" s="149"/>
      <c r="AF665" s="129"/>
      <c r="AG665" s="129"/>
      <c r="AH665" s="129"/>
    </row>
    <row r="666" spans="3:34" x14ac:dyDescent="0.35">
      <c r="C666" s="129"/>
      <c r="D666" s="129"/>
      <c r="E666" s="129"/>
      <c r="F666" s="129"/>
      <c r="G666" s="129"/>
      <c r="H666" s="129"/>
      <c r="I666" s="129"/>
      <c r="J666" s="129"/>
      <c r="K666" s="110"/>
      <c r="L666" s="129"/>
      <c r="M666" t="s">
        <v>351</v>
      </c>
      <c r="N666" s="129"/>
      <c r="O666" s="129"/>
      <c r="P666" s="129"/>
      <c r="Q666" s="129"/>
      <c r="R666" s="129"/>
      <c r="S666" s="129"/>
      <c r="T666" s="129"/>
      <c r="U666" s="129"/>
      <c r="V666" s="141"/>
      <c r="W666" s="139"/>
      <c r="X666" s="129"/>
      <c r="Y666" s="129"/>
      <c r="Z666" s="129"/>
      <c r="AA666" s="129"/>
      <c r="AB666" s="129"/>
      <c r="AC666" s="115"/>
      <c r="AD666" s="129"/>
      <c r="AE666" s="149"/>
      <c r="AF666" s="129"/>
      <c r="AG666" s="129"/>
      <c r="AH666" s="129"/>
    </row>
    <row r="667" spans="3:34" x14ac:dyDescent="0.35">
      <c r="C667" s="129"/>
      <c r="D667" s="129"/>
      <c r="E667" s="129"/>
      <c r="F667" s="129"/>
      <c r="G667" s="129"/>
      <c r="H667" s="129"/>
      <c r="I667" s="129"/>
      <c r="J667" s="129"/>
      <c r="K667" s="110"/>
      <c r="L667" s="129"/>
      <c r="M667" t="s">
        <v>351</v>
      </c>
      <c r="N667" s="129"/>
      <c r="O667" s="129"/>
      <c r="P667" s="129"/>
      <c r="Q667" s="129"/>
      <c r="R667" s="129"/>
      <c r="S667" s="129"/>
      <c r="T667" s="129"/>
      <c r="U667" s="129"/>
      <c r="V667" s="141"/>
      <c r="W667" s="139"/>
      <c r="X667" s="129"/>
      <c r="Y667" s="129"/>
      <c r="Z667" s="129"/>
      <c r="AA667" s="129"/>
      <c r="AB667" s="129"/>
      <c r="AC667" s="115"/>
      <c r="AD667" s="129"/>
      <c r="AE667" s="149"/>
      <c r="AF667" s="129"/>
      <c r="AG667" s="129"/>
      <c r="AH667" s="129"/>
    </row>
    <row r="668" spans="3:34" x14ac:dyDescent="0.35">
      <c r="C668" s="129"/>
      <c r="D668" s="129"/>
      <c r="E668" s="129"/>
      <c r="F668" s="129"/>
      <c r="G668" s="129"/>
      <c r="H668" s="129"/>
      <c r="I668" s="129"/>
      <c r="J668" s="129"/>
      <c r="K668" s="110"/>
      <c r="L668" s="129"/>
      <c r="M668" t="s">
        <v>351</v>
      </c>
      <c r="N668" s="129"/>
      <c r="O668" s="129"/>
      <c r="P668" s="129"/>
      <c r="Q668" s="129"/>
      <c r="R668" s="129"/>
      <c r="S668" s="129"/>
      <c r="T668" s="129"/>
      <c r="U668" s="129"/>
      <c r="V668" s="141"/>
      <c r="W668" s="139"/>
      <c r="X668" s="129"/>
      <c r="Y668" s="129"/>
      <c r="Z668" s="129"/>
      <c r="AA668" s="129"/>
      <c r="AB668" s="129"/>
      <c r="AC668" s="115"/>
      <c r="AD668" s="129"/>
      <c r="AE668" s="149"/>
      <c r="AF668" s="129"/>
      <c r="AG668" s="129"/>
      <c r="AH668" s="129"/>
    </row>
    <row r="669" spans="3:34" x14ac:dyDescent="0.35">
      <c r="C669" s="129"/>
      <c r="D669" s="129"/>
      <c r="E669" s="129"/>
      <c r="F669" s="129"/>
      <c r="G669" s="129"/>
      <c r="H669" s="129"/>
      <c r="I669" s="129"/>
      <c r="J669" s="129"/>
      <c r="K669" s="110"/>
      <c r="L669" s="129"/>
      <c r="M669" t="s">
        <v>351</v>
      </c>
      <c r="N669" s="129"/>
      <c r="O669" s="129"/>
      <c r="P669" s="129"/>
      <c r="Q669" s="129"/>
      <c r="R669" s="129"/>
      <c r="S669" s="129"/>
      <c r="T669" s="129"/>
      <c r="U669" s="129"/>
      <c r="V669" s="141"/>
      <c r="W669" s="139"/>
      <c r="X669" s="129"/>
      <c r="Y669" s="129"/>
      <c r="Z669" s="129"/>
      <c r="AA669" s="129"/>
      <c r="AB669" s="129"/>
      <c r="AC669" s="115"/>
      <c r="AD669" s="129"/>
      <c r="AE669" s="149"/>
      <c r="AF669" s="129"/>
      <c r="AG669" s="129"/>
      <c r="AH669" s="129"/>
    </row>
    <row r="670" spans="3:34" x14ac:dyDescent="0.35">
      <c r="C670" s="129"/>
      <c r="D670" s="129"/>
      <c r="E670" s="129"/>
      <c r="F670" s="129"/>
      <c r="G670" s="129"/>
      <c r="H670" s="129"/>
      <c r="I670" s="129"/>
      <c r="J670" s="129"/>
      <c r="K670" s="110"/>
      <c r="L670" s="129"/>
      <c r="M670" t="s">
        <v>351</v>
      </c>
      <c r="N670" s="129"/>
      <c r="O670" s="129"/>
      <c r="P670" s="129"/>
      <c r="Q670" s="129"/>
      <c r="R670" s="129"/>
      <c r="S670" s="129"/>
      <c r="T670" s="129"/>
      <c r="U670" s="129"/>
      <c r="V670" s="141"/>
      <c r="W670" s="139"/>
      <c r="X670" s="129"/>
      <c r="Y670" s="129"/>
      <c r="Z670" s="129"/>
      <c r="AA670" s="129"/>
      <c r="AB670" s="129"/>
      <c r="AC670" s="115"/>
      <c r="AD670" s="129"/>
      <c r="AE670" s="149"/>
      <c r="AF670" s="129"/>
      <c r="AG670" s="129"/>
      <c r="AH670" s="129"/>
    </row>
    <row r="671" spans="3:34" x14ac:dyDescent="0.35">
      <c r="C671" s="129"/>
      <c r="D671" s="129"/>
      <c r="E671" s="129"/>
      <c r="F671" s="129"/>
      <c r="G671" s="129"/>
      <c r="H671" s="129"/>
      <c r="I671" s="129"/>
      <c r="J671" s="129"/>
      <c r="K671" s="110"/>
      <c r="L671" s="129"/>
      <c r="M671" t="s">
        <v>351</v>
      </c>
      <c r="N671" s="129"/>
      <c r="O671" s="129"/>
      <c r="P671" s="129"/>
      <c r="Q671" s="129"/>
      <c r="R671" s="129"/>
      <c r="S671" s="129"/>
      <c r="T671" s="129"/>
      <c r="U671" s="129"/>
      <c r="V671" s="141"/>
      <c r="W671" s="139"/>
      <c r="X671" s="129"/>
      <c r="Y671" s="129"/>
      <c r="Z671" s="129"/>
      <c r="AA671" s="129"/>
      <c r="AB671" s="129"/>
      <c r="AC671" s="115"/>
      <c r="AD671" s="129"/>
      <c r="AE671" s="149"/>
      <c r="AF671" s="129"/>
      <c r="AG671" s="129"/>
      <c r="AH671" s="129"/>
    </row>
    <row r="672" spans="3:34" x14ac:dyDescent="0.35">
      <c r="C672" s="129"/>
      <c r="D672" s="129"/>
      <c r="E672" s="129"/>
      <c r="F672" s="129"/>
      <c r="G672" s="129"/>
      <c r="H672" s="129"/>
      <c r="I672" s="129"/>
      <c r="J672" s="129"/>
      <c r="K672" s="110"/>
      <c r="L672" s="129"/>
      <c r="M672" t="s">
        <v>351</v>
      </c>
      <c r="N672" s="129"/>
      <c r="O672" s="129"/>
      <c r="P672" s="129"/>
      <c r="Q672" s="129"/>
      <c r="R672" s="129"/>
      <c r="S672" s="129"/>
      <c r="T672" s="129"/>
      <c r="U672" s="129"/>
      <c r="V672" s="141"/>
      <c r="W672" s="139"/>
      <c r="X672" s="129"/>
      <c r="Y672" s="129"/>
      <c r="Z672" s="129"/>
      <c r="AA672" s="129"/>
      <c r="AB672" s="129"/>
      <c r="AC672" s="115"/>
      <c r="AD672" s="129"/>
      <c r="AE672" s="149"/>
      <c r="AF672" s="129"/>
      <c r="AG672" s="129"/>
      <c r="AH672" s="129"/>
    </row>
    <row r="673" spans="3:34" x14ac:dyDescent="0.35">
      <c r="C673" s="129"/>
      <c r="D673" s="129"/>
      <c r="E673" s="129"/>
      <c r="F673" s="129"/>
      <c r="G673" s="129"/>
      <c r="H673" s="129"/>
      <c r="I673" s="129"/>
      <c r="J673" s="129"/>
      <c r="K673" s="110"/>
      <c r="L673" s="129"/>
      <c r="M673" t="s">
        <v>351</v>
      </c>
      <c r="N673" s="129"/>
      <c r="O673" s="129"/>
      <c r="P673" s="129"/>
      <c r="Q673" s="129"/>
      <c r="R673" s="129"/>
      <c r="S673" s="129"/>
      <c r="T673" s="129"/>
      <c r="U673" s="129"/>
      <c r="V673" s="141"/>
      <c r="W673" s="139"/>
      <c r="X673" s="129"/>
      <c r="Y673" s="129"/>
      <c r="Z673" s="129"/>
      <c r="AA673" s="129"/>
      <c r="AB673" s="129"/>
      <c r="AC673" s="115"/>
      <c r="AD673" s="129"/>
      <c r="AE673" s="149"/>
      <c r="AF673" s="129"/>
      <c r="AG673" s="129"/>
      <c r="AH673" s="129"/>
    </row>
    <row r="674" spans="3:34" x14ac:dyDescent="0.35">
      <c r="C674" s="129"/>
      <c r="D674" s="129"/>
      <c r="E674" s="129"/>
      <c r="F674" s="129"/>
      <c r="G674" s="129"/>
      <c r="H674" s="129"/>
      <c r="I674" s="129"/>
      <c r="J674" s="129"/>
      <c r="K674" s="110"/>
      <c r="L674" s="129"/>
      <c r="M674" t="s">
        <v>351</v>
      </c>
      <c r="N674" s="129"/>
      <c r="O674" s="129"/>
      <c r="P674" s="129"/>
      <c r="Q674" s="129"/>
      <c r="R674" s="129"/>
      <c r="S674" s="129"/>
      <c r="T674" s="129"/>
      <c r="U674" s="129"/>
      <c r="V674" s="141"/>
      <c r="W674" s="139"/>
      <c r="X674" s="129"/>
      <c r="Y674" s="129"/>
      <c r="Z674" s="129"/>
      <c r="AA674" s="129"/>
      <c r="AB674" s="129"/>
      <c r="AC674" s="115"/>
      <c r="AD674" s="129"/>
      <c r="AE674" s="149"/>
      <c r="AF674" s="129"/>
      <c r="AG674" s="129"/>
      <c r="AH674" s="129"/>
    </row>
    <row r="675" spans="3:34" x14ac:dyDescent="0.35">
      <c r="C675" s="129"/>
      <c r="D675" s="129"/>
      <c r="E675" s="129"/>
      <c r="F675" s="129"/>
      <c r="G675" s="129"/>
      <c r="H675" s="129"/>
      <c r="I675" s="129"/>
      <c r="J675" s="129"/>
      <c r="K675" s="110"/>
      <c r="L675" s="129"/>
      <c r="M675" t="s">
        <v>351</v>
      </c>
      <c r="N675" s="129"/>
      <c r="O675" s="129"/>
      <c r="P675" s="129"/>
      <c r="Q675" s="129"/>
      <c r="R675" s="129"/>
      <c r="S675" s="129"/>
      <c r="T675" s="129"/>
      <c r="U675" s="129"/>
      <c r="V675" s="141"/>
      <c r="W675" s="139"/>
      <c r="X675" s="129"/>
      <c r="Y675" s="129"/>
      <c r="Z675" s="129"/>
      <c r="AA675" s="129"/>
      <c r="AB675" s="129"/>
      <c r="AC675" s="115"/>
      <c r="AD675" s="129"/>
      <c r="AE675" s="149"/>
      <c r="AF675" s="129"/>
      <c r="AG675" s="129"/>
      <c r="AH675" s="129"/>
    </row>
    <row r="676" spans="3:34" x14ac:dyDescent="0.35">
      <c r="C676" s="129"/>
      <c r="D676" s="129"/>
      <c r="E676" s="129"/>
      <c r="F676" s="129"/>
      <c r="G676" s="129"/>
      <c r="H676" s="129"/>
      <c r="I676" s="129"/>
      <c r="J676" s="129"/>
      <c r="K676" s="110"/>
      <c r="L676" s="129"/>
      <c r="M676" t="s">
        <v>351</v>
      </c>
      <c r="N676" s="129"/>
      <c r="O676" s="129"/>
      <c r="P676" s="129"/>
      <c r="Q676" s="129"/>
      <c r="R676" s="129"/>
      <c r="S676" s="129"/>
      <c r="T676" s="129"/>
      <c r="U676" s="129"/>
      <c r="V676" s="141"/>
      <c r="W676" s="139"/>
      <c r="X676" s="129"/>
      <c r="Y676" s="129"/>
      <c r="Z676" s="129"/>
      <c r="AA676" s="129"/>
      <c r="AB676" s="129"/>
      <c r="AC676" s="115"/>
      <c r="AD676" s="129"/>
      <c r="AE676" s="149"/>
      <c r="AF676" s="129"/>
      <c r="AG676" s="129"/>
      <c r="AH676" s="129"/>
    </row>
    <row r="677" spans="3:34" x14ac:dyDescent="0.35">
      <c r="C677" s="129"/>
      <c r="D677" s="129"/>
      <c r="E677" s="129"/>
      <c r="F677" s="129"/>
      <c r="G677" s="129"/>
      <c r="H677" s="129"/>
      <c r="I677" s="129"/>
      <c r="J677" s="129"/>
      <c r="K677" s="110"/>
      <c r="L677" s="129"/>
      <c r="M677" t="s">
        <v>351</v>
      </c>
      <c r="N677" s="129"/>
      <c r="O677" s="129"/>
      <c r="P677" s="129"/>
      <c r="Q677" s="129"/>
      <c r="R677" s="129"/>
      <c r="S677" s="129"/>
      <c r="T677" s="129"/>
      <c r="U677" s="129"/>
      <c r="V677" s="141"/>
      <c r="W677" s="139"/>
      <c r="X677" s="129"/>
      <c r="Y677" s="129"/>
      <c r="Z677" s="129"/>
      <c r="AA677" s="129"/>
      <c r="AB677" s="129"/>
      <c r="AC677" s="115"/>
      <c r="AD677" s="129"/>
      <c r="AE677" s="149"/>
      <c r="AF677" s="129"/>
      <c r="AG677" s="129"/>
      <c r="AH677" s="129"/>
    </row>
    <row r="678" spans="3:34" x14ac:dyDescent="0.35">
      <c r="C678" s="129"/>
      <c r="D678" s="129"/>
      <c r="E678" s="129"/>
      <c r="F678" s="129"/>
      <c r="G678" s="129"/>
      <c r="H678" s="129"/>
      <c r="I678" s="129"/>
      <c r="J678" s="129"/>
      <c r="K678" s="110"/>
      <c r="L678" s="129"/>
      <c r="M678" t="s">
        <v>351</v>
      </c>
      <c r="N678" s="129"/>
      <c r="O678" s="129"/>
      <c r="P678" s="129"/>
      <c r="Q678" s="129"/>
      <c r="R678" s="129"/>
      <c r="S678" s="129"/>
      <c r="T678" s="129"/>
      <c r="U678" s="129"/>
      <c r="V678" s="141"/>
      <c r="W678" s="139"/>
      <c r="X678" s="129"/>
      <c r="Y678" s="129"/>
      <c r="Z678" s="129"/>
      <c r="AA678" s="129"/>
      <c r="AB678" s="129"/>
      <c r="AC678" s="115"/>
      <c r="AD678" s="129"/>
      <c r="AE678" s="149"/>
      <c r="AF678" s="129"/>
      <c r="AG678" s="129"/>
      <c r="AH678" s="129"/>
    </row>
    <row r="679" spans="3:34" x14ac:dyDescent="0.35">
      <c r="C679" s="129"/>
      <c r="D679" s="129"/>
      <c r="E679" s="129"/>
      <c r="F679" s="129"/>
      <c r="G679" s="129"/>
      <c r="H679" s="129"/>
      <c r="I679" s="129"/>
      <c r="J679" s="129"/>
      <c r="K679" s="110"/>
      <c r="L679" s="129"/>
      <c r="M679" t="s">
        <v>351</v>
      </c>
      <c r="N679" s="129"/>
      <c r="O679" s="129"/>
      <c r="P679" s="129"/>
      <c r="Q679" s="129"/>
      <c r="R679" s="129"/>
      <c r="S679" s="129"/>
      <c r="T679" s="129"/>
      <c r="U679" s="129"/>
      <c r="V679" s="141"/>
      <c r="W679" s="139"/>
      <c r="X679" s="129"/>
      <c r="Y679" s="129"/>
      <c r="Z679" s="129"/>
      <c r="AA679" s="129"/>
      <c r="AB679" s="129"/>
      <c r="AC679" s="115"/>
      <c r="AD679" s="129"/>
      <c r="AE679" s="149"/>
      <c r="AF679" s="129"/>
      <c r="AG679" s="129"/>
      <c r="AH679" s="129"/>
    </row>
    <row r="680" spans="3:34" x14ac:dyDescent="0.35">
      <c r="C680" s="129"/>
      <c r="D680" s="129"/>
      <c r="E680" s="129"/>
      <c r="F680" s="129"/>
      <c r="G680" s="129"/>
      <c r="H680" s="129"/>
      <c r="I680" s="129"/>
      <c r="J680" s="129"/>
      <c r="K680" s="110"/>
      <c r="L680" s="129"/>
      <c r="M680" t="s">
        <v>351</v>
      </c>
      <c r="N680" s="129"/>
      <c r="O680" s="129"/>
      <c r="P680" s="129"/>
      <c r="Q680" s="129"/>
      <c r="R680" s="129"/>
      <c r="S680" s="129"/>
      <c r="T680" s="129"/>
      <c r="U680" s="129"/>
      <c r="V680" s="141"/>
      <c r="W680" s="139"/>
      <c r="X680" s="129"/>
      <c r="Y680" s="129"/>
      <c r="Z680" s="129"/>
      <c r="AA680" s="129"/>
      <c r="AB680" s="129"/>
      <c r="AC680" s="115"/>
      <c r="AD680" s="129"/>
      <c r="AE680" s="149"/>
      <c r="AF680" s="129"/>
      <c r="AG680" s="129"/>
      <c r="AH680" s="129"/>
    </row>
    <row r="681" spans="3:34" x14ac:dyDescent="0.35">
      <c r="C681" s="129"/>
      <c r="D681" s="129"/>
      <c r="E681" s="129"/>
      <c r="F681" s="129"/>
      <c r="G681" s="129"/>
      <c r="H681" s="129"/>
      <c r="I681" s="129"/>
      <c r="J681" s="129"/>
      <c r="K681" s="110"/>
      <c r="L681" s="129"/>
      <c r="M681" t="s">
        <v>351</v>
      </c>
      <c r="N681" s="129"/>
      <c r="O681" s="129"/>
      <c r="P681" s="129"/>
      <c r="Q681" s="129"/>
      <c r="R681" s="129"/>
      <c r="S681" s="129"/>
      <c r="T681" s="129"/>
      <c r="U681" s="129"/>
      <c r="V681" s="141"/>
      <c r="W681" s="139"/>
      <c r="X681" s="129"/>
      <c r="Y681" s="129"/>
      <c r="Z681" s="129"/>
      <c r="AA681" s="129"/>
      <c r="AB681" s="129"/>
      <c r="AC681" s="115"/>
      <c r="AD681" s="129"/>
      <c r="AE681" s="149"/>
      <c r="AF681" s="129"/>
      <c r="AG681" s="129"/>
      <c r="AH681" s="129"/>
    </row>
    <row r="682" spans="3:34" x14ac:dyDescent="0.35">
      <c r="C682" s="129"/>
      <c r="D682" s="129"/>
      <c r="E682" s="129"/>
      <c r="F682" s="129"/>
      <c r="G682" s="129"/>
      <c r="H682" s="129"/>
      <c r="I682" s="129"/>
      <c r="J682" s="129"/>
      <c r="K682" s="110"/>
      <c r="L682" s="129"/>
      <c r="M682" t="s">
        <v>351</v>
      </c>
      <c r="N682" s="129"/>
      <c r="O682" s="129"/>
      <c r="P682" s="129"/>
      <c r="Q682" s="129"/>
      <c r="R682" s="129"/>
      <c r="S682" s="129"/>
      <c r="T682" s="129"/>
      <c r="U682" s="129"/>
      <c r="V682" s="141"/>
      <c r="W682" s="139"/>
      <c r="X682" s="129"/>
      <c r="Y682" s="129"/>
      <c r="Z682" s="129"/>
      <c r="AA682" s="129"/>
      <c r="AB682" s="129"/>
      <c r="AC682" s="115"/>
      <c r="AD682" s="129"/>
      <c r="AE682" s="149"/>
      <c r="AF682" s="129"/>
      <c r="AG682" s="129"/>
      <c r="AH682" s="129"/>
    </row>
    <row r="683" spans="3:34" x14ac:dyDescent="0.35">
      <c r="C683" s="129"/>
      <c r="D683" s="129"/>
      <c r="E683" s="129"/>
      <c r="F683" s="129"/>
      <c r="G683" s="129"/>
      <c r="H683" s="129"/>
      <c r="I683" s="129"/>
      <c r="J683" s="129"/>
      <c r="K683" s="110"/>
      <c r="L683" s="129"/>
      <c r="M683" t="s">
        <v>351</v>
      </c>
      <c r="N683" s="129"/>
      <c r="O683" s="129"/>
      <c r="P683" s="129"/>
      <c r="Q683" s="129"/>
      <c r="R683" s="129"/>
      <c r="S683" s="129"/>
      <c r="T683" s="129"/>
      <c r="U683" s="129"/>
      <c r="V683" s="141"/>
      <c r="W683" s="139"/>
      <c r="X683" s="129"/>
      <c r="Y683" s="129"/>
      <c r="Z683" s="129"/>
      <c r="AA683" s="129"/>
      <c r="AB683" s="129"/>
      <c r="AC683" s="115"/>
      <c r="AD683" s="129"/>
      <c r="AE683" s="149"/>
      <c r="AF683" s="129"/>
      <c r="AG683" s="129"/>
      <c r="AH683" s="129"/>
    </row>
    <row r="684" spans="3:34" x14ac:dyDescent="0.35">
      <c r="C684" s="129"/>
      <c r="D684" s="129"/>
      <c r="E684" s="129"/>
      <c r="F684" s="129"/>
      <c r="G684" s="129"/>
      <c r="H684" s="129"/>
      <c r="I684" s="129"/>
      <c r="J684" s="129"/>
      <c r="K684" s="110"/>
      <c r="L684" s="129"/>
      <c r="M684" t="s">
        <v>351</v>
      </c>
      <c r="N684" s="129"/>
      <c r="O684" s="129"/>
      <c r="P684" s="129"/>
      <c r="Q684" s="129"/>
      <c r="R684" s="129"/>
      <c r="S684" s="129"/>
      <c r="T684" s="129"/>
      <c r="U684" s="129"/>
      <c r="V684" s="141"/>
      <c r="W684" s="139"/>
      <c r="X684" s="129"/>
      <c r="Y684" s="129"/>
      <c r="Z684" s="129"/>
      <c r="AA684" s="129"/>
      <c r="AB684" s="129"/>
      <c r="AC684" s="115"/>
      <c r="AD684" s="129"/>
      <c r="AE684" s="149"/>
      <c r="AF684" s="129"/>
      <c r="AG684" s="129"/>
      <c r="AH684" s="129"/>
    </row>
    <row r="685" spans="3:34" x14ac:dyDescent="0.35">
      <c r="C685" s="129"/>
      <c r="D685" s="129"/>
      <c r="E685" s="129"/>
      <c r="F685" s="129"/>
      <c r="G685" s="129"/>
      <c r="H685" s="129"/>
      <c r="I685" s="129"/>
      <c r="J685" s="129"/>
      <c r="K685" s="110"/>
      <c r="L685" s="129"/>
      <c r="M685" t="s">
        <v>351</v>
      </c>
      <c r="N685" s="129"/>
      <c r="O685" s="129"/>
      <c r="P685" s="129"/>
      <c r="Q685" s="129"/>
      <c r="R685" s="129"/>
      <c r="S685" s="129"/>
      <c r="T685" s="129"/>
      <c r="U685" s="129"/>
      <c r="V685" s="141"/>
      <c r="W685" s="139"/>
      <c r="X685" s="129"/>
      <c r="Y685" s="129"/>
      <c r="Z685" s="129"/>
      <c r="AA685" s="129"/>
      <c r="AB685" s="129"/>
      <c r="AC685" s="115"/>
      <c r="AD685" s="129"/>
      <c r="AE685" s="149"/>
      <c r="AF685" s="129"/>
      <c r="AG685" s="129"/>
      <c r="AH685" s="129"/>
    </row>
    <row r="686" spans="3:34" x14ac:dyDescent="0.35">
      <c r="C686" s="129"/>
      <c r="D686" s="129"/>
      <c r="E686" s="129"/>
      <c r="F686" s="129"/>
      <c r="G686" s="129"/>
      <c r="H686" s="129"/>
      <c r="I686" s="129"/>
      <c r="J686" s="129"/>
      <c r="K686" s="110"/>
      <c r="L686" s="129"/>
      <c r="M686" t="s">
        <v>351</v>
      </c>
      <c r="N686" s="129"/>
      <c r="O686" s="129"/>
      <c r="P686" s="129"/>
      <c r="Q686" s="129"/>
      <c r="R686" s="129"/>
      <c r="S686" s="129"/>
      <c r="T686" s="129"/>
      <c r="U686" s="129"/>
      <c r="V686" s="141"/>
      <c r="W686" s="139"/>
      <c r="X686" s="129"/>
      <c r="Y686" s="129"/>
      <c r="Z686" s="129"/>
      <c r="AA686" s="129"/>
      <c r="AB686" s="129"/>
      <c r="AC686" s="115"/>
      <c r="AD686" s="129"/>
      <c r="AE686" s="149"/>
      <c r="AF686" s="129"/>
      <c r="AG686" s="129"/>
      <c r="AH686" s="129"/>
    </row>
    <row r="687" spans="3:34" x14ac:dyDescent="0.35">
      <c r="C687" s="129"/>
      <c r="D687" s="129"/>
      <c r="E687" s="129"/>
      <c r="F687" s="129"/>
      <c r="G687" s="129"/>
      <c r="H687" s="129"/>
      <c r="I687" s="129"/>
      <c r="J687" s="129"/>
      <c r="K687" s="110"/>
      <c r="L687" s="129"/>
      <c r="M687" t="s">
        <v>351</v>
      </c>
      <c r="N687" s="129"/>
      <c r="O687" s="129"/>
      <c r="P687" s="129"/>
      <c r="Q687" s="129"/>
      <c r="R687" s="129"/>
      <c r="S687" s="129"/>
      <c r="T687" s="129"/>
      <c r="U687" s="129"/>
      <c r="V687" s="141"/>
      <c r="W687" s="139"/>
      <c r="X687" s="129"/>
      <c r="Y687" s="129"/>
      <c r="Z687" s="129"/>
      <c r="AA687" s="129"/>
      <c r="AB687" s="129"/>
      <c r="AC687" s="115"/>
      <c r="AD687" s="129"/>
      <c r="AE687" s="149"/>
      <c r="AF687" s="129"/>
      <c r="AG687" s="129"/>
      <c r="AH687" s="129"/>
    </row>
    <row r="688" spans="3:34" x14ac:dyDescent="0.35">
      <c r="C688" s="129"/>
      <c r="D688" s="129"/>
      <c r="E688" s="129"/>
      <c r="F688" s="129"/>
      <c r="G688" s="129"/>
      <c r="H688" s="129"/>
      <c r="I688" s="129"/>
      <c r="J688" s="129"/>
      <c r="K688" s="110"/>
      <c r="L688" s="129"/>
      <c r="M688" t="s">
        <v>351</v>
      </c>
      <c r="N688" s="129"/>
      <c r="O688" s="129"/>
      <c r="P688" s="129"/>
      <c r="Q688" s="129"/>
      <c r="R688" s="129"/>
      <c r="S688" s="129"/>
      <c r="T688" s="129"/>
      <c r="U688" s="129"/>
      <c r="V688" s="141"/>
      <c r="W688" s="139"/>
      <c r="X688" s="129"/>
      <c r="Y688" s="129"/>
      <c r="Z688" s="129"/>
      <c r="AA688" s="129"/>
      <c r="AB688" s="129"/>
      <c r="AC688" s="115"/>
      <c r="AD688" s="129"/>
      <c r="AE688" s="149"/>
      <c r="AF688" s="129"/>
      <c r="AG688" s="129"/>
      <c r="AH688" s="129"/>
    </row>
    <row r="689" spans="3:34" x14ac:dyDescent="0.35">
      <c r="C689" s="129"/>
      <c r="D689" s="129"/>
      <c r="E689" s="129"/>
      <c r="F689" s="129"/>
      <c r="G689" s="129"/>
      <c r="H689" s="129"/>
      <c r="I689" s="129"/>
      <c r="J689" s="129"/>
      <c r="K689" s="110"/>
      <c r="L689" s="129"/>
      <c r="M689" t="s">
        <v>351</v>
      </c>
      <c r="N689" s="129"/>
      <c r="O689" s="129"/>
      <c r="P689" s="129"/>
      <c r="Q689" s="129"/>
      <c r="R689" s="129"/>
      <c r="S689" s="129"/>
      <c r="T689" s="129"/>
      <c r="U689" s="129"/>
      <c r="V689" s="141"/>
      <c r="W689" s="139"/>
      <c r="X689" s="129"/>
      <c r="Y689" s="129"/>
      <c r="Z689" s="129"/>
      <c r="AA689" s="129"/>
      <c r="AB689" s="129"/>
      <c r="AC689" s="115"/>
      <c r="AD689" s="129"/>
      <c r="AE689" s="149"/>
      <c r="AF689" s="129"/>
      <c r="AG689" s="129"/>
      <c r="AH689" s="129"/>
    </row>
    <row r="690" spans="3:34" x14ac:dyDescent="0.35">
      <c r="C690" s="129"/>
      <c r="D690" s="129"/>
      <c r="E690" s="129"/>
      <c r="F690" s="129"/>
      <c r="G690" s="129"/>
      <c r="H690" s="129"/>
      <c r="I690" s="129"/>
      <c r="J690" s="129"/>
      <c r="K690" s="110"/>
      <c r="L690" s="129"/>
      <c r="M690" t="s">
        <v>351</v>
      </c>
      <c r="N690" s="129"/>
      <c r="O690" s="129"/>
      <c r="P690" s="129"/>
      <c r="Q690" s="129"/>
      <c r="R690" s="129"/>
      <c r="S690" s="129"/>
      <c r="T690" s="129"/>
      <c r="U690" s="129"/>
      <c r="V690" s="141"/>
      <c r="W690" s="139"/>
      <c r="X690" s="129"/>
      <c r="Y690" s="129"/>
      <c r="Z690" s="129"/>
      <c r="AA690" s="129"/>
      <c r="AB690" s="129"/>
      <c r="AC690" s="115"/>
      <c r="AD690" s="129"/>
      <c r="AE690" s="149"/>
      <c r="AF690" s="129"/>
      <c r="AG690" s="129"/>
      <c r="AH690" s="129"/>
    </row>
    <row r="691" spans="3:34" x14ac:dyDescent="0.35">
      <c r="C691" s="129"/>
      <c r="D691" s="129"/>
      <c r="E691" s="129"/>
      <c r="F691" s="129"/>
      <c r="G691" s="129"/>
      <c r="H691" s="129"/>
      <c r="I691" s="129"/>
      <c r="J691" s="129"/>
      <c r="K691" s="110"/>
      <c r="L691" s="129"/>
      <c r="M691" t="s">
        <v>351</v>
      </c>
      <c r="N691" s="129"/>
      <c r="O691" s="129"/>
      <c r="P691" s="129"/>
      <c r="Q691" s="129"/>
      <c r="R691" s="129"/>
      <c r="S691" s="129"/>
      <c r="T691" s="129"/>
      <c r="U691" s="129"/>
      <c r="V691" s="141"/>
      <c r="W691" s="139"/>
      <c r="X691" s="129"/>
      <c r="Y691" s="129"/>
      <c r="Z691" s="129"/>
      <c r="AA691" s="129"/>
      <c r="AB691" s="129"/>
      <c r="AC691" s="115"/>
      <c r="AD691" s="129"/>
      <c r="AE691" s="149"/>
      <c r="AF691" s="129"/>
      <c r="AG691" s="129"/>
      <c r="AH691" s="129"/>
    </row>
    <row r="692" spans="3:34" x14ac:dyDescent="0.35">
      <c r="C692" s="129"/>
      <c r="D692" s="129"/>
      <c r="E692" s="129"/>
      <c r="F692" s="129"/>
      <c r="G692" s="129"/>
      <c r="H692" s="129"/>
      <c r="I692" s="129"/>
      <c r="J692" s="129"/>
      <c r="K692" s="110"/>
      <c r="L692" s="129"/>
      <c r="M692" t="s">
        <v>351</v>
      </c>
      <c r="N692" s="129"/>
      <c r="O692" s="129"/>
      <c r="P692" s="129"/>
      <c r="Q692" s="129"/>
      <c r="R692" s="129"/>
      <c r="S692" s="129"/>
      <c r="T692" s="129"/>
      <c r="U692" s="129"/>
      <c r="V692" s="141"/>
      <c r="W692" s="139"/>
      <c r="X692" s="129"/>
      <c r="Y692" s="129"/>
      <c r="Z692" s="129"/>
      <c r="AA692" s="129"/>
      <c r="AB692" s="129"/>
      <c r="AC692" s="115"/>
      <c r="AD692" s="129"/>
      <c r="AE692" s="149"/>
      <c r="AF692" s="129"/>
      <c r="AG692" s="129"/>
      <c r="AH692" s="129"/>
    </row>
    <row r="693" spans="3:34" x14ac:dyDescent="0.35">
      <c r="C693" s="129"/>
      <c r="D693" s="129"/>
      <c r="E693" s="129"/>
      <c r="F693" s="129"/>
      <c r="G693" s="129"/>
      <c r="H693" s="129"/>
      <c r="I693" s="129"/>
      <c r="J693" s="129"/>
      <c r="K693" s="110"/>
      <c r="L693" s="129"/>
      <c r="M693" t="s">
        <v>351</v>
      </c>
      <c r="N693" s="129"/>
      <c r="O693" s="129"/>
      <c r="P693" s="129"/>
      <c r="Q693" s="129"/>
      <c r="R693" s="129"/>
      <c r="S693" s="129"/>
      <c r="T693" s="129"/>
      <c r="U693" s="129"/>
      <c r="V693" s="141"/>
      <c r="W693" s="139"/>
      <c r="X693" s="129"/>
      <c r="Y693" s="129"/>
      <c r="Z693" s="129"/>
      <c r="AA693" s="129"/>
      <c r="AB693" s="129"/>
      <c r="AC693" s="115"/>
      <c r="AD693" s="129"/>
      <c r="AE693" s="149"/>
      <c r="AF693" s="129"/>
      <c r="AG693" s="129"/>
      <c r="AH693" s="129"/>
    </row>
    <row r="694" spans="3:34" x14ac:dyDescent="0.35">
      <c r="C694" s="129"/>
      <c r="D694" s="129"/>
      <c r="E694" s="129"/>
      <c r="F694" s="129"/>
      <c r="G694" s="129"/>
      <c r="H694" s="129"/>
      <c r="I694" s="129"/>
      <c r="J694" s="129"/>
      <c r="K694" s="110"/>
      <c r="L694" s="129"/>
      <c r="M694" t="s">
        <v>351</v>
      </c>
      <c r="N694" s="129"/>
      <c r="O694" s="129"/>
      <c r="P694" s="129"/>
      <c r="Q694" s="129"/>
      <c r="R694" s="129"/>
      <c r="S694" s="129"/>
      <c r="T694" s="129"/>
      <c r="U694" s="129"/>
      <c r="V694" s="141"/>
      <c r="W694" s="139"/>
      <c r="X694" s="129"/>
      <c r="Y694" s="129"/>
      <c r="Z694" s="129"/>
      <c r="AA694" s="129"/>
      <c r="AB694" s="129"/>
      <c r="AC694" s="115"/>
      <c r="AD694" s="129"/>
      <c r="AE694" s="149"/>
      <c r="AF694" s="129"/>
      <c r="AG694" s="129"/>
      <c r="AH694" s="129"/>
    </row>
    <row r="695" spans="3:34" x14ac:dyDescent="0.35">
      <c r="C695" s="129"/>
      <c r="D695" s="129"/>
      <c r="E695" s="129"/>
      <c r="F695" s="129"/>
      <c r="G695" s="129"/>
      <c r="H695" s="129"/>
      <c r="I695" s="129"/>
      <c r="J695" s="129"/>
      <c r="K695" s="110"/>
      <c r="L695" s="129"/>
      <c r="M695" t="s">
        <v>351</v>
      </c>
      <c r="N695" s="129"/>
      <c r="O695" s="129"/>
      <c r="P695" s="129"/>
      <c r="Q695" s="129"/>
      <c r="R695" s="129"/>
      <c r="S695" s="129"/>
      <c r="T695" s="129"/>
      <c r="U695" s="129"/>
      <c r="V695" s="141"/>
      <c r="W695" s="139"/>
      <c r="X695" s="129"/>
      <c r="Y695" s="129"/>
      <c r="Z695" s="129"/>
      <c r="AA695" s="129"/>
      <c r="AB695" s="129"/>
      <c r="AC695" s="115"/>
      <c r="AD695" s="129"/>
      <c r="AE695" s="149"/>
      <c r="AF695" s="129"/>
      <c r="AG695" s="129"/>
      <c r="AH695" s="129"/>
    </row>
    <row r="696" spans="3:34" x14ac:dyDescent="0.35">
      <c r="C696" s="129"/>
      <c r="D696" s="129"/>
      <c r="E696" s="129"/>
      <c r="F696" s="129"/>
      <c r="G696" s="129"/>
      <c r="H696" s="129"/>
      <c r="I696" s="129"/>
      <c r="J696" s="129"/>
      <c r="K696" s="110"/>
      <c r="L696" s="129"/>
      <c r="M696" t="s">
        <v>351</v>
      </c>
      <c r="N696" s="129"/>
      <c r="O696" s="129"/>
      <c r="P696" s="129"/>
      <c r="Q696" s="129"/>
      <c r="R696" s="129"/>
      <c r="S696" s="129"/>
      <c r="T696" s="129"/>
      <c r="U696" s="129"/>
      <c r="V696" s="141"/>
      <c r="W696" s="139"/>
      <c r="X696" s="129"/>
      <c r="Y696" s="129"/>
      <c r="Z696" s="129"/>
      <c r="AA696" s="129"/>
      <c r="AB696" s="129"/>
      <c r="AC696" s="115"/>
      <c r="AD696" s="129"/>
      <c r="AE696" s="149"/>
      <c r="AF696" s="129"/>
      <c r="AG696" s="129"/>
      <c r="AH696" s="129"/>
    </row>
    <row r="697" spans="3:34" x14ac:dyDescent="0.35">
      <c r="C697" s="129"/>
      <c r="D697" s="129"/>
      <c r="E697" s="129"/>
      <c r="F697" s="129"/>
      <c r="G697" s="129"/>
      <c r="H697" s="129"/>
      <c r="I697" s="129"/>
      <c r="J697" s="129"/>
      <c r="K697" s="110"/>
      <c r="L697" s="129"/>
      <c r="M697" t="s">
        <v>351</v>
      </c>
      <c r="N697" s="129"/>
      <c r="O697" s="129"/>
      <c r="P697" s="129"/>
      <c r="Q697" s="129"/>
      <c r="R697" s="129"/>
      <c r="S697" s="129"/>
      <c r="T697" s="129"/>
      <c r="U697" s="129"/>
      <c r="V697" s="141"/>
      <c r="W697" s="139"/>
      <c r="X697" s="129"/>
      <c r="Y697" s="129"/>
      <c r="Z697" s="129"/>
      <c r="AA697" s="129"/>
      <c r="AB697" s="129"/>
      <c r="AC697" s="115"/>
      <c r="AD697" s="129"/>
      <c r="AE697" s="149"/>
      <c r="AF697" s="129"/>
      <c r="AG697" s="129"/>
      <c r="AH697" s="129"/>
    </row>
    <row r="698" spans="3:34" x14ac:dyDescent="0.35">
      <c r="C698" s="129"/>
      <c r="D698" s="129"/>
      <c r="E698" s="129"/>
      <c r="F698" s="129"/>
      <c r="G698" s="129"/>
      <c r="H698" s="129"/>
      <c r="I698" s="129"/>
      <c r="J698" s="129"/>
      <c r="K698" s="110"/>
      <c r="L698" s="129"/>
      <c r="M698" t="s">
        <v>351</v>
      </c>
      <c r="N698" s="129"/>
      <c r="O698" s="129"/>
      <c r="P698" s="129"/>
      <c r="Q698" s="129"/>
      <c r="R698" s="129"/>
      <c r="S698" s="129"/>
      <c r="T698" s="129"/>
      <c r="U698" s="129"/>
      <c r="V698" s="141"/>
      <c r="W698" s="139"/>
      <c r="X698" s="129"/>
      <c r="Y698" s="129"/>
      <c r="Z698" s="129"/>
      <c r="AA698" s="129"/>
      <c r="AB698" s="129"/>
      <c r="AC698" s="115"/>
      <c r="AD698" s="129"/>
      <c r="AE698" s="149"/>
      <c r="AF698" s="129"/>
      <c r="AG698" s="129"/>
      <c r="AH698" s="129"/>
    </row>
    <row r="699" spans="3:34" x14ac:dyDescent="0.35">
      <c r="C699" s="129"/>
      <c r="D699" s="129"/>
      <c r="E699" s="129"/>
      <c r="F699" s="129"/>
      <c r="G699" s="129"/>
      <c r="H699" s="129"/>
      <c r="I699" s="129"/>
      <c r="J699" s="129"/>
      <c r="K699" s="110"/>
      <c r="L699" s="129"/>
      <c r="M699" t="s">
        <v>351</v>
      </c>
      <c r="N699" s="129"/>
      <c r="O699" s="129"/>
      <c r="P699" s="129"/>
      <c r="Q699" s="129"/>
      <c r="R699" s="129"/>
      <c r="S699" s="129"/>
      <c r="T699" s="129"/>
      <c r="U699" s="129"/>
      <c r="V699" s="141"/>
      <c r="W699" s="139"/>
      <c r="X699" s="129"/>
      <c r="Y699" s="129"/>
      <c r="Z699" s="129"/>
      <c r="AA699" s="129"/>
      <c r="AB699" s="129"/>
      <c r="AC699" s="115"/>
      <c r="AD699" s="129"/>
      <c r="AE699" s="149"/>
      <c r="AF699" s="129"/>
      <c r="AG699" s="129"/>
      <c r="AH699" s="129"/>
    </row>
    <row r="700" spans="3:34" x14ac:dyDescent="0.35">
      <c r="C700" s="129"/>
      <c r="D700" s="129"/>
      <c r="E700" s="129"/>
      <c r="F700" s="129"/>
      <c r="G700" s="129"/>
      <c r="H700" s="129"/>
      <c r="I700" s="129"/>
      <c r="J700" s="129"/>
      <c r="K700" s="110"/>
      <c r="L700" s="129"/>
      <c r="M700" t="s">
        <v>351</v>
      </c>
      <c r="N700" s="129"/>
      <c r="O700" s="129"/>
      <c r="P700" s="129"/>
      <c r="Q700" s="129"/>
      <c r="R700" s="129"/>
      <c r="S700" s="129"/>
      <c r="T700" s="129"/>
      <c r="U700" s="129"/>
      <c r="V700" s="141"/>
      <c r="W700" s="139"/>
      <c r="X700" s="129"/>
      <c r="Y700" s="129"/>
      <c r="Z700" s="129"/>
      <c r="AA700" s="129"/>
      <c r="AB700" s="129"/>
      <c r="AC700" s="115"/>
      <c r="AD700" s="129"/>
      <c r="AE700" s="149"/>
      <c r="AF700" s="129"/>
      <c r="AG700" s="129"/>
      <c r="AH700" s="129"/>
    </row>
    <row r="701" spans="3:34" x14ac:dyDescent="0.35">
      <c r="C701" s="129"/>
      <c r="D701" s="129"/>
      <c r="E701" s="129"/>
      <c r="F701" s="129"/>
      <c r="G701" s="129"/>
      <c r="H701" s="129"/>
      <c r="I701" s="129"/>
      <c r="J701" s="129"/>
      <c r="K701" s="110"/>
      <c r="L701" s="129"/>
      <c r="M701" t="s">
        <v>351</v>
      </c>
      <c r="N701" s="129"/>
      <c r="O701" s="129"/>
      <c r="P701" s="129"/>
      <c r="Q701" s="129"/>
      <c r="R701" s="129"/>
      <c r="S701" s="129"/>
      <c r="T701" s="129"/>
      <c r="U701" s="129"/>
      <c r="V701" s="141"/>
      <c r="W701" s="139"/>
      <c r="X701" s="129"/>
      <c r="Y701" s="129"/>
      <c r="Z701" s="129"/>
      <c r="AA701" s="129"/>
      <c r="AB701" s="129"/>
      <c r="AC701" s="115"/>
      <c r="AD701" s="129"/>
      <c r="AE701" s="149"/>
      <c r="AF701" s="129"/>
      <c r="AG701" s="129"/>
      <c r="AH701" s="129"/>
    </row>
    <row r="702" spans="3:34" x14ac:dyDescent="0.35">
      <c r="C702" s="129"/>
      <c r="D702" s="129"/>
      <c r="E702" s="129"/>
      <c r="F702" s="129"/>
      <c r="G702" s="129"/>
      <c r="H702" s="129"/>
      <c r="I702" s="129"/>
      <c r="J702" s="129"/>
      <c r="K702" s="110"/>
      <c r="L702" s="129"/>
      <c r="M702" t="s">
        <v>351</v>
      </c>
      <c r="N702" s="129"/>
      <c r="O702" s="129"/>
      <c r="P702" s="129"/>
      <c r="Q702" s="129"/>
      <c r="R702" s="129"/>
      <c r="S702" s="129"/>
      <c r="T702" s="129"/>
      <c r="U702" s="129"/>
      <c r="V702" s="141"/>
      <c r="W702" s="139"/>
      <c r="X702" s="129"/>
      <c r="Y702" s="129"/>
      <c r="Z702" s="129"/>
      <c r="AA702" s="129"/>
      <c r="AB702" s="129"/>
      <c r="AC702" s="115"/>
      <c r="AD702" s="129"/>
      <c r="AE702" s="149"/>
      <c r="AF702" s="129"/>
      <c r="AG702" s="129"/>
      <c r="AH702" s="129"/>
    </row>
    <row r="703" spans="3:34" x14ac:dyDescent="0.35">
      <c r="C703" s="129"/>
      <c r="D703" s="129"/>
      <c r="E703" s="129"/>
      <c r="F703" s="129"/>
      <c r="G703" s="129"/>
      <c r="H703" s="129"/>
      <c r="I703" s="129"/>
      <c r="J703" s="129"/>
      <c r="K703" s="110"/>
      <c r="L703" s="129"/>
      <c r="M703" t="s">
        <v>351</v>
      </c>
      <c r="N703" s="129"/>
      <c r="O703" s="129"/>
      <c r="P703" s="129"/>
      <c r="Q703" s="129"/>
      <c r="R703" s="129"/>
      <c r="S703" s="129"/>
      <c r="T703" s="129"/>
      <c r="U703" s="129"/>
      <c r="V703" s="141"/>
      <c r="W703" s="139"/>
      <c r="X703" s="129"/>
      <c r="Y703" s="129"/>
      <c r="Z703" s="129"/>
      <c r="AA703" s="129"/>
      <c r="AB703" s="129"/>
      <c r="AC703" s="115"/>
      <c r="AD703" s="129"/>
      <c r="AE703" s="149"/>
      <c r="AF703" s="129"/>
      <c r="AG703" s="129"/>
      <c r="AH703" s="129"/>
    </row>
    <row r="704" spans="3:34" x14ac:dyDescent="0.35">
      <c r="C704" s="129"/>
      <c r="D704" s="129"/>
      <c r="E704" s="129"/>
      <c r="F704" s="129"/>
      <c r="G704" s="129"/>
      <c r="H704" s="129"/>
      <c r="I704" s="129"/>
      <c r="J704" s="129"/>
      <c r="K704" s="110"/>
      <c r="L704" s="129"/>
      <c r="M704" t="s">
        <v>351</v>
      </c>
      <c r="N704" s="129"/>
      <c r="O704" s="129"/>
      <c r="P704" s="129"/>
      <c r="Q704" s="129"/>
      <c r="R704" s="129"/>
      <c r="S704" s="129"/>
      <c r="T704" s="129"/>
      <c r="U704" s="129"/>
      <c r="V704" s="141"/>
      <c r="W704" s="139"/>
      <c r="X704" s="129"/>
      <c r="Y704" s="129"/>
      <c r="Z704" s="129"/>
      <c r="AA704" s="129"/>
      <c r="AB704" s="129"/>
      <c r="AC704" s="115"/>
      <c r="AD704" s="129"/>
      <c r="AE704" s="149"/>
      <c r="AF704" s="129"/>
      <c r="AG704" s="129"/>
      <c r="AH704" s="129"/>
    </row>
    <row r="705" spans="3:34" x14ac:dyDescent="0.35">
      <c r="C705" s="129"/>
      <c r="D705" s="129"/>
      <c r="E705" s="129"/>
      <c r="F705" s="129"/>
      <c r="G705" s="129"/>
      <c r="H705" s="129"/>
      <c r="I705" s="129"/>
      <c r="J705" s="129"/>
      <c r="K705" s="110"/>
      <c r="L705" s="129"/>
      <c r="M705" t="s">
        <v>351</v>
      </c>
      <c r="N705" s="129"/>
      <c r="O705" s="129"/>
      <c r="P705" s="129"/>
      <c r="Q705" s="129"/>
      <c r="R705" s="129"/>
      <c r="S705" s="129"/>
      <c r="T705" s="129"/>
      <c r="U705" s="129"/>
      <c r="V705" s="141"/>
      <c r="W705" s="139"/>
      <c r="X705" s="129"/>
      <c r="Y705" s="129"/>
      <c r="Z705" s="129"/>
      <c r="AA705" s="129"/>
      <c r="AB705" s="129"/>
      <c r="AC705" s="115"/>
      <c r="AD705" s="129"/>
      <c r="AE705" s="149"/>
      <c r="AF705" s="129"/>
      <c r="AG705" s="129"/>
      <c r="AH705" s="129"/>
    </row>
    <row r="706" spans="3:34" x14ac:dyDescent="0.35">
      <c r="C706" s="129"/>
      <c r="D706" s="129"/>
      <c r="E706" s="129"/>
      <c r="F706" s="129"/>
      <c r="G706" s="129"/>
      <c r="H706" s="129"/>
      <c r="I706" s="129"/>
      <c r="J706" s="129"/>
      <c r="K706" s="110"/>
      <c r="L706" s="129"/>
      <c r="M706" t="s">
        <v>351</v>
      </c>
      <c r="N706" s="129"/>
      <c r="O706" s="129"/>
      <c r="P706" s="129"/>
      <c r="Q706" s="129"/>
      <c r="R706" s="129"/>
      <c r="S706" s="129"/>
      <c r="T706" s="129"/>
      <c r="U706" s="129"/>
      <c r="V706" s="141"/>
      <c r="W706" s="139"/>
      <c r="X706" s="129"/>
      <c r="Y706" s="129"/>
      <c r="Z706" s="129"/>
      <c r="AA706" s="129"/>
      <c r="AB706" s="129"/>
      <c r="AC706" s="115"/>
      <c r="AD706" s="129"/>
      <c r="AE706" s="149"/>
      <c r="AF706" s="129"/>
      <c r="AG706" s="129"/>
      <c r="AH706" s="129"/>
    </row>
    <row r="707" spans="3:34" x14ac:dyDescent="0.35">
      <c r="C707" s="129"/>
      <c r="D707" s="129"/>
      <c r="E707" s="129"/>
      <c r="F707" s="129"/>
      <c r="G707" s="129"/>
      <c r="H707" s="129"/>
      <c r="I707" s="129"/>
      <c r="J707" s="129"/>
      <c r="K707" s="110"/>
      <c r="L707" s="129"/>
      <c r="M707" t="s">
        <v>351</v>
      </c>
      <c r="N707" s="129"/>
      <c r="O707" s="129"/>
      <c r="P707" s="129"/>
      <c r="Q707" s="129"/>
      <c r="R707" s="129"/>
      <c r="S707" s="129"/>
      <c r="T707" s="129"/>
      <c r="U707" s="129"/>
      <c r="V707" s="141"/>
      <c r="W707" s="139"/>
      <c r="X707" s="129"/>
      <c r="Y707" s="129"/>
      <c r="Z707" s="129"/>
      <c r="AA707" s="129"/>
      <c r="AB707" s="129"/>
      <c r="AC707" s="115"/>
      <c r="AD707" s="129"/>
      <c r="AE707" s="149"/>
      <c r="AF707" s="129"/>
      <c r="AG707" s="129"/>
      <c r="AH707" s="129"/>
    </row>
    <row r="708" spans="3:34" x14ac:dyDescent="0.35">
      <c r="C708" s="129"/>
      <c r="D708" s="129"/>
      <c r="E708" s="129"/>
      <c r="F708" s="129"/>
      <c r="G708" s="129"/>
      <c r="H708" s="129"/>
      <c r="I708" s="129"/>
      <c r="J708" s="129"/>
      <c r="K708" s="110"/>
      <c r="L708" s="129"/>
      <c r="M708" t="s">
        <v>351</v>
      </c>
      <c r="N708" s="129"/>
      <c r="O708" s="129"/>
      <c r="P708" s="129"/>
      <c r="Q708" s="129"/>
      <c r="R708" s="129"/>
      <c r="S708" s="129"/>
      <c r="T708" s="129"/>
      <c r="U708" s="129"/>
      <c r="V708" s="141"/>
      <c r="W708" s="139"/>
      <c r="X708" s="129"/>
      <c r="Y708" s="129"/>
      <c r="Z708" s="129"/>
      <c r="AA708" s="129"/>
      <c r="AB708" s="129"/>
      <c r="AC708" s="115"/>
      <c r="AD708" s="129"/>
      <c r="AE708" s="149"/>
      <c r="AF708" s="129"/>
      <c r="AG708" s="129"/>
      <c r="AH708" s="129"/>
    </row>
    <row r="709" spans="3:34" x14ac:dyDescent="0.35">
      <c r="C709" s="129"/>
      <c r="D709" s="129"/>
      <c r="E709" s="129"/>
      <c r="F709" s="129"/>
      <c r="G709" s="129"/>
      <c r="H709" s="129"/>
      <c r="I709" s="129"/>
      <c r="J709" s="129"/>
      <c r="K709" s="110"/>
      <c r="L709" s="129"/>
      <c r="M709" t="s">
        <v>351</v>
      </c>
      <c r="N709" s="129"/>
      <c r="O709" s="129"/>
      <c r="P709" s="129"/>
      <c r="Q709" s="129"/>
      <c r="R709" s="129"/>
      <c r="S709" s="129"/>
      <c r="T709" s="129"/>
      <c r="U709" s="129"/>
      <c r="V709" s="141"/>
      <c r="W709" s="139"/>
      <c r="X709" s="129"/>
      <c r="Y709" s="129"/>
      <c r="Z709" s="129"/>
      <c r="AA709" s="129"/>
      <c r="AB709" s="129"/>
      <c r="AC709" s="115"/>
      <c r="AD709" s="129"/>
      <c r="AE709" s="149"/>
      <c r="AF709" s="129"/>
      <c r="AG709" s="129"/>
      <c r="AH709" s="129"/>
    </row>
    <row r="710" spans="3:34" x14ac:dyDescent="0.35">
      <c r="C710" s="129"/>
      <c r="D710" s="129"/>
      <c r="E710" s="129"/>
      <c r="F710" s="129"/>
      <c r="G710" s="129"/>
      <c r="H710" s="129"/>
      <c r="I710" s="129"/>
      <c r="J710" s="129"/>
      <c r="K710" s="110"/>
      <c r="L710" s="129"/>
      <c r="M710" t="s">
        <v>351</v>
      </c>
      <c r="N710" s="129"/>
      <c r="O710" s="129"/>
      <c r="P710" s="129"/>
      <c r="Q710" s="129"/>
      <c r="R710" s="129"/>
      <c r="S710" s="129"/>
      <c r="T710" s="129"/>
      <c r="U710" s="129"/>
      <c r="V710" s="141"/>
      <c r="W710" s="139"/>
      <c r="X710" s="129"/>
      <c r="Y710" s="129"/>
      <c r="Z710" s="129"/>
      <c r="AA710" s="129"/>
      <c r="AB710" s="129"/>
      <c r="AC710" s="115"/>
      <c r="AD710" s="129"/>
      <c r="AE710" s="149"/>
      <c r="AF710" s="129"/>
      <c r="AG710" s="129"/>
      <c r="AH710" s="129"/>
    </row>
    <row r="711" spans="3:34" x14ac:dyDescent="0.35">
      <c r="C711" s="129"/>
      <c r="D711" s="129"/>
      <c r="E711" s="129"/>
      <c r="F711" s="129"/>
      <c r="G711" s="129"/>
      <c r="H711" s="129"/>
      <c r="I711" s="129"/>
      <c r="J711" s="129"/>
      <c r="K711" s="110"/>
      <c r="L711" s="129"/>
      <c r="M711" t="s">
        <v>351</v>
      </c>
      <c r="N711" s="129"/>
      <c r="O711" s="129"/>
      <c r="P711" s="129"/>
      <c r="Q711" s="129"/>
      <c r="R711" s="129"/>
      <c r="S711" s="129"/>
      <c r="T711" s="129"/>
      <c r="U711" s="129"/>
      <c r="V711" s="141"/>
      <c r="W711" s="139"/>
      <c r="X711" s="129"/>
      <c r="Y711" s="129"/>
      <c r="Z711" s="129"/>
      <c r="AA711" s="129"/>
      <c r="AB711" s="129"/>
      <c r="AC711" s="115"/>
      <c r="AD711" s="129"/>
      <c r="AE711" s="149"/>
      <c r="AF711" s="129"/>
      <c r="AG711" s="129"/>
      <c r="AH711" s="129"/>
    </row>
    <row r="712" spans="3:34" x14ac:dyDescent="0.35">
      <c r="C712" s="129"/>
      <c r="D712" s="129"/>
      <c r="E712" s="129"/>
      <c r="F712" s="129"/>
      <c r="G712" s="129"/>
      <c r="H712" s="129"/>
      <c r="I712" s="129"/>
      <c r="J712" s="129"/>
      <c r="K712" s="110"/>
      <c r="L712" s="129"/>
      <c r="M712" t="s">
        <v>351</v>
      </c>
      <c r="N712" s="129"/>
      <c r="O712" s="129"/>
      <c r="P712" s="129"/>
      <c r="Q712" s="129"/>
      <c r="R712" s="129"/>
      <c r="S712" s="129"/>
      <c r="T712" s="129"/>
      <c r="U712" s="129"/>
      <c r="V712" s="141"/>
      <c r="W712" s="139"/>
      <c r="X712" s="129"/>
      <c r="Y712" s="129"/>
      <c r="Z712" s="129"/>
      <c r="AA712" s="129"/>
      <c r="AB712" s="129"/>
      <c r="AC712" s="115"/>
      <c r="AD712" s="129"/>
      <c r="AE712" s="149"/>
      <c r="AF712" s="129"/>
      <c r="AG712" s="129"/>
      <c r="AH712" s="129"/>
    </row>
    <row r="713" spans="3:34" x14ac:dyDescent="0.35">
      <c r="C713" s="129"/>
      <c r="D713" s="129"/>
      <c r="E713" s="129"/>
      <c r="F713" s="129"/>
      <c r="G713" s="129"/>
      <c r="H713" s="129"/>
      <c r="I713" s="129"/>
      <c r="J713" s="129"/>
      <c r="K713" s="110"/>
      <c r="L713" s="129"/>
      <c r="M713" t="s">
        <v>351</v>
      </c>
      <c r="N713" s="129"/>
      <c r="O713" s="129"/>
      <c r="P713" s="129"/>
      <c r="Q713" s="129"/>
      <c r="R713" s="129"/>
      <c r="S713" s="129"/>
      <c r="T713" s="129"/>
      <c r="U713" s="129"/>
      <c r="V713" s="141"/>
      <c r="W713" s="139"/>
      <c r="X713" s="129"/>
      <c r="Y713" s="129"/>
      <c r="Z713" s="129"/>
      <c r="AA713" s="129"/>
      <c r="AB713" s="129"/>
      <c r="AC713" s="115"/>
      <c r="AD713" s="129"/>
      <c r="AE713" s="149"/>
      <c r="AF713" s="129"/>
      <c r="AG713" s="129"/>
      <c r="AH713" s="129"/>
    </row>
    <row r="714" spans="3:34" x14ac:dyDescent="0.35">
      <c r="C714" s="129"/>
      <c r="D714" s="129"/>
      <c r="E714" s="129"/>
      <c r="F714" s="129"/>
      <c r="G714" s="129"/>
      <c r="H714" s="129"/>
      <c r="I714" s="129"/>
      <c r="J714" s="129"/>
      <c r="K714" s="110"/>
      <c r="L714" s="129"/>
      <c r="M714" t="s">
        <v>351</v>
      </c>
      <c r="N714" s="129"/>
      <c r="O714" s="129"/>
      <c r="P714" s="129"/>
      <c r="Q714" s="129"/>
      <c r="R714" s="129"/>
      <c r="S714" s="129"/>
      <c r="T714" s="129"/>
      <c r="U714" s="129"/>
      <c r="V714" s="141"/>
      <c r="W714" s="139"/>
      <c r="X714" s="129"/>
      <c r="Y714" s="129"/>
      <c r="Z714" s="129"/>
      <c r="AA714" s="129"/>
      <c r="AB714" s="129"/>
      <c r="AC714" s="115"/>
      <c r="AD714" s="129"/>
      <c r="AE714" s="149"/>
      <c r="AF714" s="129"/>
      <c r="AG714" s="129"/>
      <c r="AH714" s="129"/>
    </row>
    <row r="715" spans="3:34" x14ac:dyDescent="0.35">
      <c r="C715" s="129"/>
      <c r="D715" s="129"/>
      <c r="E715" s="129"/>
      <c r="F715" s="129"/>
      <c r="G715" s="129"/>
      <c r="H715" s="129"/>
      <c r="I715" s="129"/>
      <c r="J715" s="129"/>
      <c r="K715" s="110"/>
      <c r="L715" s="129"/>
      <c r="M715" t="s">
        <v>351</v>
      </c>
      <c r="N715" s="129"/>
      <c r="O715" s="129"/>
      <c r="P715" s="129"/>
      <c r="Q715" s="129"/>
      <c r="R715" s="129"/>
      <c r="S715" s="129"/>
      <c r="T715" s="129"/>
      <c r="U715" s="129"/>
      <c r="V715" s="141"/>
      <c r="W715" s="139"/>
      <c r="X715" s="129"/>
      <c r="Y715" s="129"/>
      <c r="Z715" s="129"/>
      <c r="AA715" s="129"/>
      <c r="AB715" s="129"/>
      <c r="AC715" s="115"/>
      <c r="AD715" s="129"/>
      <c r="AE715" s="149"/>
      <c r="AF715" s="129"/>
      <c r="AG715" s="129"/>
      <c r="AH715" s="129"/>
    </row>
    <row r="716" spans="3:34" x14ac:dyDescent="0.35">
      <c r="C716" s="129"/>
      <c r="D716" s="129"/>
      <c r="E716" s="129"/>
      <c r="F716" s="129"/>
      <c r="G716" s="129"/>
      <c r="H716" s="129"/>
      <c r="I716" s="129"/>
      <c r="J716" s="129"/>
      <c r="K716" s="110"/>
      <c r="L716" s="129"/>
      <c r="M716" t="s">
        <v>351</v>
      </c>
      <c r="N716" s="129"/>
      <c r="O716" s="129"/>
      <c r="P716" s="129"/>
      <c r="Q716" s="129"/>
      <c r="R716" s="129"/>
      <c r="S716" s="129"/>
      <c r="T716" s="129"/>
      <c r="U716" s="129"/>
      <c r="V716" s="141"/>
      <c r="W716" s="139"/>
      <c r="X716" s="129"/>
      <c r="Y716" s="129"/>
      <c r="Z716" s="129"/>
      <c r="AA716" s="129"/>
      <c r="AB716" s="129"/>
      <c r="AC716" s="115"/>
      <c r="AD716" s="129"/>
      <c r="AE716" s="149"/>
      <c r="AF716" s="129"/>
      <c r="AG716" s="129"/>
      <c r="AH716" s="129"/>
    </row>
    <row r="717" spans="3:34" x14ac:dyDescent="0.35">
      <c r="C717" s="129"/>
      <c r="D717" s="129"/>
      <c r="E717" s="129"/>
      <c r="F717" s="129"/>
      <c r="G717" s="129"/>
      <c r="H717" s="129"/>
      <c r="I717" s="129"/>
      <c r="J717" s="129"/>
      <c r="K717" s="110"/>
      <c r="L717" s="129"/>
      <c r="M717" t="s">
        <v>351</v>
      </c>
      <c r="N717" s="129"/>
      <c r="O717" s="129"/>
      <c r="P717" s="129"/>
      <c r="Q717" s="129"/>
      <c r="R717" s="129"/>
      <c r="S717" s="129"/>
      <c r="T717" s="129"/>
      <c r="U717" s="129"/>
      <c r="V717" s="141"/>
      <c r="W717" s="139"/>
      <c r="X717" s="129"/>
      <c r="Y717" s="129"/>
      <c r="Z717" s="129"/>
      <c r="AA717" s="129"/>
      <c r="AB717" s="129"/>
      <c r="AC717" s="115"/>
      <c r="AD717" s="129"/>
      <c r="AE717" s="149"/>
      <c r="AF717" s="129"/>
      <c r="AG717" s="129"/>
      <c r="AH717" s="129"/>
    </row>
    <row r="718" spans="3:34" x14ac:dyDescent="0.35">
      <c r="C718" s="129"/>
      <c r="D718" s="129"/>
      <c r="E718" s="129"/>
      <c r="F718" s="129"/>
      <c r="G718" s="129"/>
      <c r="H718" s="129"/>
      <c r="I718" s="129"/>
      <c r="J718" s="129"/>
      <c r="K718" s="110"/>
      <c r="L718" s="129"/>
      <c r="M718" t="s">
        <v>351</v>
      </c>
      <c r="N718" s="129"/>
      <c r="O718" s="129"/>
      <c r="P718" s="129"/>
      <c r="Q718" s="129"/>
      <c r="R718" s="129"/>
      <c r="S718" s="129"/>
      <c r="T718" s="129"/>
      <c r="U718" s="129"/>
      <c r="V718" s="141"/>
      <c r="W718" s="139"/>
      <c r="X718" s="129"/>
      <c r="Y718" s="129"/>
      <c r="Z718" s="129"/>
      <c r="AA718" s="129"/>
      <c r="AB718" s="129"/>
      <c r="AC718" s="115"/>
      <c r="AD718" s="129"/>
      <c r="AE718" s="149"/>
      <c r="AF718" s="129"/>
      <c r="AG718" s="129"/>
      <c r="AH718" s="129"/>
    </row>
    <row r="719" spans="3:34" x14ac:dyDescent="0.35">
      <c r="C719" s="129"/>
      <c r="D719" s="129"/>
      <c r="E719" s="129"/>
      <c r="F719" s="129"/>
      <c r="G719" s="129"/>
      <c r="H719" s="129"/>
      <c r="I719" s="129"/>
      <c r="J719" s="129"/>
      <c r="K719" s="110"/>
      <c r="L719" s="129"/>
      <c r="M719" t="s">
        <v>351</v>
      </c>
      <c r="N719" s="129"/>
      <c r="O719" s="129"/>
      <c r="P719" s="129"/>
      <c r="Q719" s="129"/>
      <c r="R719" s="129"/>
      <c r="S719" s="129"/>
      <c r="T719" s="129"/>
      <c r="U719" s="129"/>
      <c r="V719" s="141"/>
      <c r="W719" s="139"/>
      <c r="X719" s="129"/>
      <c r="Y719" s="129"/>
      <c r="Z719" s="129"/>
      <c r="AA719" s="129"/>
      <c r="AB719" s="129"/>
      <c r="AC719" s="115"/>
      <c r="AD719" s="129"/>
      <c r="AE719" s="149"/>
      <c r="AF719" s="129"/>
      <c r="AG719" s="129"/>
      <c r="AH719" s="129"/>
    </row>
    <row r="720" spans="3:34" x14ac:dyDescent="0.35">
      <c r="C720" s="129"/>
      <c r="D720" s="129"/>
      <c r="E720" s="129"/>
      <c r="F720" s="129"/>
      <c r="G720" s="129"/>
      <c r="H720" s="129"/>
      <c r="I720" s="129"/>
      <c r="J720" s="129"/>
      <c r="K720" s="110"/>
      <c r="L720" s="129"/>
      <c r="M720" t="s">
        <v>351</v>
      </c>
      <c r="N720" s="129"/>
      <c r="O720" s="129"/>
      <c r="P720" s="129"/>
      <c r="Q720" s="129"/>
      <c r="R720" s="129"/>
      <c r="S720" s="129"/>
      <c r="T720" s="129"/>
      <c r="U720" s="129"/>
      <c r="V720" s="141"/>
      <c r="W720" s="139"/>
      <c r="X720" s="129"/>
      <c r="Y720" s="129"/>
      <c r="Z720" s="129"/>
      <c r="AA720" s="129"/>
      <c r="AB720" s="129"/>
      <c r="AC720" s="115"/>
      <c r="AD720" s="129"/>
      <c r="AE720" s="149"/>
      <c r="AF720" s="129"/>
      <c r="AG720" s="129"/>
      <c r="AH720" s="129"/>
    </row>
    <row r="721" spans="3:34" x14ac:dyDescent="0.35">
      <c r="C721" s="129"/>
      <c r="D721" s="129"/>
      <c r="E721" s="129"/>
      <c r="F721" s="129"/>
      <c r="G721" s="129"/>
      <c r="H721" s="129"/>
      <c r="I721" s="129"/>
      <c r="J721" s="129"/>
      <c r="K721" s="110"/>
      <c r="L721" s="129"/>
      <c r="M721" t="s">
        <v>351</v>
      </c>
      <c r="N721" s="129"/>
      <c r="O721" s="129"/>
      <c r="P721" s="129"/>
      <c r="Q721" s="129"/>
      <c r="R721" s="129"/>
      <c r="S721" s="129"/>
      <c r="T721" s="129"/>
      <c r="U721" s="129"/>
      <c r="V721" s="141"/>
      <c r="W721" s="139"/>
      <c r="X721" s="129"/>
      <c r="Y721" s="129"/>
      <c r="Z721" s="129"/>
      <c r="AA721" s="129"/>
      <c r="AB721" s="129"/>
      <c r="AC721" s="115"/>
      <c r="AD721" s="129"/>
      <c r="AE721" s="149"/>
      <c r="AF721" s="129"/>
      <c r="AG721" s="129"/>
      <c r="AH721" s="129"/>
    </row>
    <row r="722" spans="3:34" x14ac:dyDescent="0.35">
      <c r="C722" s="129"/>
      <c r="D722" s="129"/>
      <c r="E722" s="129"/>
      <c r="F722" s="129"/>
      <c r="G722" s="129"/>
      <c r="H722" s="129"/>
      <c r="I722" s="129"/>
      <c r="J722" s="129"/>
      <c r="K722" s="110"/>
      <c r="L722" s="129"/>
      <c r="M722" t="s">
        <v>351</v>
      </c>
      <c r="N722" s="129"/>
      <c r="O722" s="129"/>
      <c r="P722" s="129"/>
      <c r="Q722" s="129"/>
      <c r="R722" s="129"/>
      <c r="S722" s="129"/>
      <c r="T722" s="129"/>
      <c r="U722" s="129"/>
      <c r="V722" s="141"/>
      <c r="W722" s="139"/>
      <c r="X722" s="129"/>
      <c r="Y722" s="129"/>
      <c r="Z722" s="129"/>
      <c r="AA722" s="129"/>
      <c r="AB722" s="129"/>
      <c r="AC722" s="115"/>
      <c r="AD722" s="129"/>
      <c r="AE722" s="149"/>
      <c r="AF722" s="129"/>
      <c r="AG722" s="129"/>
      <c r="AH722" s="129"/>
    </row>
    <row r="723" spans="3:34" x14ac:dyDescent="0.35">
      <c r="C723" s="129"/>
      <c r="D723" s="129"/>
      <c r="E723" s="129"/>
      <c r="F723" s="129"/>
      <c r="G723" s="129"/>
      <c r="H723" s="129"/>
      <c r="I723" s="129"/>
      <c r="J723" s="129"/>
      <c r="K723" s="110"/>
      <c r="L723" s="129"/>
      <c r="M723" t="s">
        <v>351</v>
      </c>
      <c r="N723" s="129"/>
      <c r="O723" s="129"/>
      <c r="P723" s="129"/>
      <c r="Q723" s="129"/>
      <c r="R723" s="129"/>
      <c r="S723" s="129"/>
      <c r="T723" s="129"/>
      <c r="U723" s="129"/>
      <c r="V723" s="141"/>
      <c r="W723" s="139"/>
      <c r="X723" s="129"/>
      <c r="Y723" s="129"/>
      <c r="Z723" s="129"/>
      <c r="AA723" s="129"/>
      <c r="AB723" s="129"/>
      <c r="AC723" s="115"/>
      <c r="AD723" s="129"/>
      <c r="AE723" s="149"/>
      <c r="AF723" s="129"/>
      <c r="AG723" s="129"/>
      <c r="AH723" s="129"/>
    </row>
    <row r="724" spans="3:34" x14ac:dyDescent="0.35">
      <c r="C724" s="129"/>
      <c r="D724" s="129"/>
      <c r="E724" s="129"/>
      <c r="F724" s="129"/>
      <c r="G724" s="129"/>
      <c r="H724" s="129"/>
      <c r="I724" s="129"/>
      <c r="J724" s="129"/>
      <c r="K724" s="110"/>
      <c r="L724" s="129"/>
      <c r="M724" t="s">
        <v>351</v>
      </c>
      <c r="N724" s="129"/>
      <c r="O724" s="129"/>
      <c r="P724" s="129"/>
      <c r="Q724" s="129"/>
      <c r="R724" s="129"/>
      <c r="S724" s="129"/>
      <c r="T724" s="129"/>
      <c r="U724" s="129"/>
      <c r="V724" s="141"/>
      <c r="W724" s="139"/>
      <c r="X724" s="129"/>
      <c r="Y724" s="129"/>
      <c r="Z724" s="129"/>
      <c r="AA724" s="129"/>
      <c r="AB724" s="129"/>
      <c r="AC724" s="115"/>
      <c r="AD724" s="129"/>
      <c r="AE724" s="149"/>
      <c r="AF724" s="129"/>
      <c r="AG724" s="129"/>
      <c r="AH724" s="129"/>
    </row>
    <row r="725" spans="3:34" x14ac:dyDescent="0.35">
      <c r="C725" s="129"/>
      <c r="D725" s="129"/>
      <c r="E725" s="129"/>
      <c r="F725" s="129"/>
      <c r="G725" s="129"/>
      <c r="H725" s="129"/>
      <c r="I725" s="129"/>
      <c r="J725" s="129"/>
      <c r="K725" s="110"/>
      <c r="L725" s="129"/>
      <c r="M725" t="s">
        <v>351</v>
      </c>
      <c r="N725" s="129"/>
      <c r="O725" s="129"/>
      <c r="P725" s="129"/>
      <c r="Q725" s="129"/>
      <c r="R725" s="129"/>
      <c r="S725" s="129"/>
      <c r="T725" s="129"/>
      <c r="U725" s="129"/>
      <c r="V725" s="141"/>
      <c r="W725" s="139"/>
      <c r="X725" s="129"/>
      <c r="Y725" s="129"/>
      <c r="Z725" s="129"/>
      <c r="AA725" s="129"/>
      <c r="AB725" s="129"/>
      <c r="AC725" s="115"/>
      <c r="AD725" s="129"/>
      <c r="AE725" s="149"/>
      <c r="AF725" s="129"/>
      <c r="AG725" s="129"/>
      <c r="AH725" s="129"/>
    </row>
    <row r="726" spans="3:34" x14ac:dyDescent="0.35">
      <c r="C726" s="129"/>
      <c r="D726" s="129"/>
      <c r="E726" s="129"/>
      <c r="F726" s="129"/>
      <c r="G726" s="129"/>
      <c r="H726" s="129"/>
      <c r="I726" s="129"/>
      <c r="J726" s="129"/>
      <c r="K726" s="110"/>
      <c r="L726" s="129"/>
      <c r="M726" t="s">
        <v>351</v>
      </c>
      <c r="N726" s="129"/>
      <c r="O726" s="129"/>
      <c r="P726" s="129"/>
      <c r="Q726" s="129"/>
      <c r="R726" s="129"/>
      <c r="S726" s="129"/>
      <c r="T726" s="129"/>
      <c r="U726" s="129"/>
      <c r="V726" s="141"/>
      <c r="W726" s="139"/>
      <c r="X726" s="129"/>
      <c r="Y726" s="129"/>
      <c r="Z726" s="129"/>
      <c r="AA726" s="129"/>
      <c r="AB726" s="129"/>
      <c r="AC726" s="115"/>
      <c r="AD726" s="129"/>
      <c r="AE726" s="149"/>
      <c r="AF726" s="129"/>
      <c r="AG726" s="129"/>
      <c r="AH726" s="129"/>
    </row>
    <row r="727" spans="3:34" x14ac:dyDescent="0.35">
      <c r="C727" s="129"/>
      <c r="D727" s="129"/>
      <c r="E727" s="129"/>
      <c r="F727" s="129"/>
      <c r="G727" s="129"/>
      <c r="H727" s="129"/>
      <c r="I727" s="129"/>
      <c r="J727" s="129"/>
      <c r="K727" s="110"/>
      <c r="L727" s="129"/>
      <c r="M727" t="s">
        <v>351</v>
      </c>
      <c r="N727" s="129"/>
      <c r="O727" s="129"/>
      <c r="P727" s="129"/>
      <c r="Q727" s="129"/>
      <c r="R727" s="129"/>
      <c r="S727" s="129"/>
      <c r="T727" s="129"/>
      <c r="U727" s="129"/>
      <c r="V727" s="141"/>
      <c r="W727" s="139"/>
      <c r="X727" s="129"/>
      <c r="Y727" s="129"/>
      <c r="Z727" s="129"/>
      <c r="AA727" s="129"/>
      <c r="AB727" s="129"/>
      <c r="AC727" s="115"/>
      <c r="AD727" s="129"/>
      <c r="AE727" s="149"/>
      <c r="AF727" s="129"/>
      <c r="AG727" s="129"/>
      <c r="AH727" s="129"/>
    </row>
    <row r="728" spans="3:34" x14ac:dyDescent="0.35">
      <c r="C728" s="129"/>
      <c r="D728" s="129"/>
      <c r="E728" s="129"/>
      <c r="F728" s="129"/>
      <c r="G728" s="129"/>
      <c r="H728" s="129"/>
      <c r="I728" s="129"/>
      <c r="J728" s="129"/>
      <c r="K728" s="110"/>
      <c r="L728" s="129"/>
      <c r="M728" t="s">
        <v>351</v>
      </c>
      <c r="N728" s="129"/>
      <c r="O728" s="129"/>
      <c r="P728" s="129"/>
      <c r="Q728" s="129"/>
      <c r="R728" s="129"/>
      <c r="S728" s="129"/>
      <c r="T728" s="129"/>
      <c r="U728" s="129"/>
      <c r="V728" s="141"/>
      <c r="W728" s="139"/>
      <c r="X728" s="129"/>
      <c r="Y728" s="129"/>
      <c r="Z728" s="129"/>
      <c r="AA728" s="129"/>
      <c r="AB728" s="129"/>
      <c r="AC728" s="115"/>
      <c r="AD728" s="129"/>
      <c r="AE728" s="149"/>
      <c r="AF728" s="129"/>
      <c r="AG728" s="129"/>
      <c r="AH728" s="129"/>
    </row>
    <row r="729" spans="3:34" x14ac:dyDescent="0.35">
      <c r="C729" s="129"/>
      <c r="D729" s="129"/>
      <c r="E729" s="129"/>
      <c r="F729" s="129"/>
      <c r="G729" s="129"/>
      <c r="H729" s="129"/>
      <c r="I729" s="129"/>
      <c r="J729" s="129"/>
      <c r="K729" s="110"/>
      <c r="L729" s="129"/>
      <c r="M729" t="s">
        <v>351</v>
      </c>
      <c r="N729" s="129"/>
      <c r="O729" s="129"/>
      <c r="P729" s="129"/>
      <c r="Q729" s="129"/>
      <c r="R729" s="129"/>
      <c r="S729" s="129"/>
      <c r="T729" s="129"/>
      <c r="U729" s="129"/>
      <c r="V729" s="141"/>
      <c r="W729" s="139"/>
      <c r="X729" s="129"/>
      <c r="Y729" s="129"/>
      <c r="Z729" s="129"/>
      <c r="AA729" s="129"/>
      <c r="AB729" s="129"/>
      <c r="AC729" s="115"/>
      <c r="AD729" s="129"/>
      <c r="AE729" s="149"/>
      <c r="AF729" s="129"/>
      <c r="AG729" s="129"/>
      <c r="AH729" s="129"/>
    </row>
    <row r="730" spans="3:34" x14ac:dyDescent="0.35">
      <c r="C730" s="129"/>
      <c r="D730" s="129"/>
      <c r="E730" s="129"/>
      <c r="F730" s="129"/>
      <c r="G730" s="129"/>
      <c r="H730" s="129"/>
      <c r="I730" s="129"/>
      <c r="J730" s="129"/>
      <c r="K730" s="110"/>
      <c r="L730" s="129"/>
      <c r="M730" t="s">
        <v>351</v>
      </c>
      <c r="N730" s="129"/>
      <c r="O730" s="129"/>
      <c r="P730" s="129"/>
      <c r="Q730" s="129"/>
      <c r="R730" s="129"/>
      <c r="S730" s="129"/>
      <c r="T730" s="129"/>
      <c r="U730" s="129"/>
      <c r="V730" s="141"/>
      <c r="W730" s="139"/>
      <c r="X730" s="129"/>
      <c r="Y730" s="129"/>
      <c r="Z730" s="129"/>
      <c r="AA730" s="129"/>
      <c r="AB730" s="129"/>
      <c r="AC730" s="115"/>
      <c r="AD730" s="129"/>
      <c r="AE730" s="149"/>
      <c r="AF730" s="129"/>
      <c r="AG730" s="129"/>
      <c r="AH730" s="129"/>
    </row>
    <row r="731" spans="3:34" x14ac:dyDescent="0.35">
      <c r="C731" s="129"/>
      <c r="D731" s="129"/>
      <c r="E731" s="129"/>
      <c r="F731" s="129"/>
      <c r="G731" s="129"/>
      <c r="H731" s="129"/>
      <c r="I731" s="129"/>
      <c r="J731" s="129"/>
      <c r="K731" s="110"/>
      <c r="L731" s="129"/>
      <c r="M731" t="s">
        <v>351</v>
      </c>
      <c r="N731" s="129"/>
      <c r="O731" s="129"/>
      <c r="P731" s="129"/>
      <c r="Q731" s="129"/>
      <c r="R731" s="129"/>
      <c r="S731" s="129"/>
      <c r="T731" s="129"/>
      <c r="U731" s="129"/>
      <c r="V731" s="141"/>
      <c r="W731" s="139"/>
      <c r="X731" s="129"/>
      <c r="Y731" s="129"/>
      <c r="Z731" s="129"/>
      <c r="AA731" s="129"/>
      <c r="AB731" s="129"/>
      <c r="AC731" s="115"/>
      <c r="AD731" s="129"/>
      <c r="AE731" s="149"/>
      <c r="AF731" s="129"/>
      <c r="AG731" s="129"/>
      <c r="AH731" s="129"/>
    </row>
    <row r="732" spans="3:34" x14ac:dyDescent="0.35">
      <c r="C732" s="129"/>
      <c r="D732" s="129"/>
      <c r="E732" s="129"/>
      <c r="F732" s="129"/>
      <c r="G732" s="129"/>
      <c r="H732" s="129"/>
      <c r="I732" s="129"/>
      <c r="J732" s="129"/>
      <c r="K732" s="110"/>
      <c r="L732" s="129"/>
      <c r="M732" t="s">
        <v>351</v>
      </c>
      <c r="N732" s="129"/>
      <c r="O732" s="129"/>
      <c r="P732" s="129"/>
      <c r="Q732" s="129"/>
      <c r="R732" s="129"/>
      <c r="S732" s="129"/>
      <c r="T732" s="129"/>
      <c r="U732" s="129"/>
      <c r="V732" s="141"/>
      <c r="W732" s="139"/>
      <c r="X732" s="129"/>
      <c r="Y732" s="129"/>
      <c r="Z732" s="129"/>
      <c r="AA732" s="129"/>
      <c r="AB732" s="129"/>
      <c r="AC732" s="115"/>
      <c r="AD732" s="129"/>
      <c r="AE732" s="149"/>
      <c r="AF732" s="129"/>
      <c r="AG732" s="129"/>
      <c r="AH732" s="129"/>
    </row>
    <row r="733" spans="3:34" x14ac:dyDescent="0.35">
      <c r="C733" s="129"/>
      <c r="D733" s="129"/>
      <c r="E733" s="129"/>
      <c r="F733" s="129"/>
      <c r="G733" s="129"/>
      <c r="H733" s="129"/>
      <c r="I733" s="129"/>
      <c r="J733" s="129"/>
      <c r="K733" s="110"/>
      <c r="L733" s="129"/>
      <c r="M733" t="s">
        <v>351</v>
      </c>
      <c r="N733" s="129"/>
      <c r="O733" s="129"/>
      <c r="P733" s="129"/>
      <c r="Q733" s="129"/>
      <c r="R733" s="129"/>
      <c r="S733" s="129"/>
      <c r="T733" s="129"/>
      <c r="U733" s="129"/>
      <c r="V733" s="141"/>
      <c r="W733" s="139"/>
      <c r="X733" s="129"/>
      <c r="Y733" s="129"/>
      <c r="Z733" s="129"/>
      <c r="AA733" s="129"/>
      <c r="AB733" s="129"/>
      <c r="AC733" s="115"/>
      <c r="AD733" s="129"/>
      <c r="AE733" s="149"/>
      <c r="AF733" s="129"/>
      <c r="AG733" s="129"/>
      <c r="AH733" s="129"/>
    </row>
    <row r="734" spans="3:34" x14ac:dyDescent="0.35">
      <c r="C734" s="129"/>
      <c r="D734" s="129"/>
      <c r="E734" s="129"/>
      <c r="F734" s="129"/>
      <c r="G734" s="129"/>
      <c r="H734" s="129"/>
      <c r="I734" s="129"/>
      <c r="J734" s="129"/>
      <c r="K734" s="110"/>
      <c r="L734" s="129"/>
      <c r="M734" t="s">
        <v>351</v>
      </c>
      <c r="N734" s="129"/>
      <c r="O734" s="129"/>
      <c r="P734" s="129"/>
      <c r="Q734" s="129"/>
      <c r="R734" s="129"/>
      <c r="S734" s="129"/>
      <c r="T734" s="129"/>
      <c r="U734" s="129"/>
      <c r="V734" s="141"/>
      <c r="W734" s="139"/>
      <c r="X734" s="129"/>
      <c r="Y734" s="129"/>
      <c r="Z734" s="129"/>
      <c r="AA734" s="129"/>
      <c r="AB734" s="129"/>
      <c r="AC734" s="115"/>
      <c r="AD734" s="129"/>
      <c r="AE734" s="149"/>
      <c r="AF734" s="129"/>
      <c r="AG734" s="129"/>
      <c r="AH734" s="129"/>
    </row>
    <row r="735" spans="3:34" x14ac:dyDescent="0.35">
      <c r="C735" s="129"/>
      <c r="D735" s="129"/>
      <c r="E735" s="129"/>
      <c r="F735" s="129"/>
      <c r="G735" s="129"/>
      <c r="H735" s="129"/>
      <c r="I735" s="129"/>
      <c r="J735" s="129"/>
      <c r="K735" s="110"/>
      <c r="L735" s="129"/>
      <c r="M735" t="s">
        <v>351</v>
      </c>
      <c r="N735" s="129"/>
      <c r="O735" s="129"/>
      <c r="P735" s="129"/>
      <c r="Q735" s="129"/>
      <c r="R735" s="129"/>
      <c r="S735" s="129"/>
      <c r="T735" s="129"/>
      <c r="U735" s="129"/>
      <c r="V735" s="141"/>
      <c r="W735" s="139"/>
      <c r="X735" s="129"/>
      <c r="Y735" s="129"/>
      <c r="Z735" s="129"/>
      <c r="AA735" s="129"/>
      <c r="AB735" s="129"/>
      <c r="AC735" s="115"/>
      <c r="AD735" s="129"/>
      <c r="AE735" s="149"/>
      <c r="AF735" s="129"/>
      <c r="AG735" s="129"/>
      <c r="AH735" s="129"/>
    </row>
    <row r="736" spans="3:34" x14ac:dyDescent="0.35">
      <c r="C736" s="129"/>
      <c r="D736" s="129"/>
      <c r="E736" s="129"/>
      <c r="F736" s="129"/>
      <c r="G736" s="129"/>
      <c r="H736" s="129"/>
      <c r="I736" s="129"/>
      <c r="J736" s="129"/>
      <c r="K736" s="110"/>
      <c r="L736" s="129"/>
      <c r="M736" t="s">
        <v>351</v>
      </c>
      <c r="N736" s="129"/>
      <c r="O736" s="129"/>
      <c r="P736" s="129"/>
      <c r="Q736" s="129"/>
      <c r="R736" s="129"/>
      <c r="S736" s="129"/>
      <c r="T736" s="129"/>
      <c r="U736" s="129"/>
      <c r="V736" s="141"/>
      <c r="W736" s="139"/>
      <c r="X736" s="129"/>
      <c r="Y736" s="129"/>
      <c r="Z736" s="129"/>
      <c r="AA736" s="129"/>
      <c r="AB736" s="129"/>
      <c r="AC736" s="115"/>
      <c r="AD736" s="129"/>
      <c r="AE736" s="149"/>
      <c r="AF736" s="129"/>
      <c r="AG736" s="129"/>
      <c r="AH736" s="129"/>
    </row>
    <row r="737" spans="3:34" x14ac:dyDescent="0.35">
      <c r="C737" s="129"/>
      <c r="D737" s="129"/>
      <c r="E737" s="129"/>
      <c r="F737" s="129"/>
      <c r="G737" s="129"/>
      <c r="H737" s="129"/>
      <c r="I737" s="129"/>
      <c r="J737" s="129"/>
      <c r="K737" s="110"/>
      <c r="L737" s="129"/>
      <c r="M737" t="s">
        <v>351</v>
      </c>
      <c r="N737" s="129"/>
      <c r="O737" s="129"/>
      <c r="P737" s="129"/>
      <c r="Q737" s="129"/>
      <c r="R737" s="129"/>
      <c r="S737" s="129"/>
      <c r="T737" s="129"/>
      <c r="U737" s="129"/>
      <c r="V737" s="141"/>
      <c r="W737" s="139"/>
      <c r="X737" s="129"/>
      <c r="Y737" s="129"/>
      <c r="Z737" s="129"/>
      <c r="AA737" s="129"/>
      <c r="AB737" s="129"/>
      <c r="AC737" s="115"/>
      <c r="AD737" s="129"/>
      <c r="AE737" s="149"/>
      <c r="AF737" s="129"/>
      <c r="AG737" s="129"/>
      <c r="AH737" s="129"/>
    </row>
    <row r="738" spans="3:34" x14ac:dyDescent="0.35">
      <c r="C738" s="129"/>
      <c r="D738" s="129"/>
      <c r="E738" s="129"/>
      <c r="F738" s="129"/>
      <c r="G738" s="129"/>
      <c r="H738" s="129"/>
      <c r="I738" s="129"/>
      <c r="J738" s="129"/>
      <c r="K738" s="110"/>
      <c r="L738" s="129"/>
      <c r="M738" t="s">
        <v>351</v>
      </c>
      <c r="N738" s="129"/>
      <c r="O738" s="129"/>
      <c r="P738" s="129"/>
      <c r="Q738" s="129"/>
      <c r="R738" s="129"/>
      <c r="S738" s="129"/>
      <c r="T738" s="129"/>
      <c r="U738" s="129"/>
      <c r="V738" s="141"/>
      <c r="W738" s="139"/>
      <c r="X738" s="129"/>
      <c r="Y738" s="129"/>
      <c r="Z738" s="129"/>
      <c r="AA738" s="129"/>
      <c r="AB738" s="129"/>
      <c r="AC738" s="115"/>
      <c r="AD738" s="129"/>
      <c r="AE738" s="149"/>
      <c r="AF738" s="129"/>
      <c r="AG738" s="129"/>
      <c r="AH738" s="129"/>
    </row>
    <row r="739" spans="3:34" x14ac:dyDescent="0.35">
      <c r="C739" s="129"/>
      <c r="D739" s="129"/>
      <c r="E739" s="129"/>
      <c r="F739" s="129"/>
      <c r="G739" s="129"/>
      <c r="H739" s="129"/>
      <c r="I739" s="129"/>
      <c r="J739" s="129"/>
      <c r="K739" s="110"/>
      <c r="L739" s="129"/>
      <c r="M739" t="s">
        <v>351</v>
      </c>
      <c r="N739" s="129"/>
      <c r="O739" s="129"/>
      <c r="P739" s="129"/>
      <c r="Q739" s="129"/>
      <c r="R739" s="129"/>
      <c r="S739" s="129"/>
      <c r="T739" s="129"/>
      <c r="U739" s="129"/>
      <c r="V739" s="141"/>
      <c r="W739" s="139"/>
      <c r="X739" s="129"/>
      <c r="Y739" s="129"/>
      <c r="Z739" s="129"/>
      <c r="AA739" s="129"/>
      <c r="AB739" s="129"/>
      <c r="AC739" s="115"/>
      <c r="AD739" s="129"/>
      <c r="AE739" s="149"/>
      <c r="AF739" s="129"/>
      <c r="AG739" s="129"/>
      <c r="AH739" s="129"/>
    </row>
    <row r="740" spans="3:34" x14ac:dyDescent="0.35">
      <c r="C740" s="129"/>
      <c r="D740" s="129"/>
      <c r="E740" s="129"/>
      <c r="F740" s="129"/>
      <c r="G740" s="129"/>
      <c r="H740" s="129"/>
      <c r="I740" s="129"/>
      <c r="J740" s="129"/>
      <c r="K740" s="110"/>
      <c r="L740" s="129"/>
      <c r="M740" t="s">
        <v>351</v>
      </c>
      <c r="N740" s="129"/>
      <c r="O740" s="129"/>
      <c r="P740" s="129"/>
      <c r="Q740" s="129"/>
      <c r="R740" s="129"/>
      <c r="S740" s="129"/>
      <c r="T740" s="129"/>
      <c r="U740" s="129"/>
      <c r="V740" s="141"/>
      <c r="W740" s="139"/>
      <c r="X740" s="129"/>
      <c r="Y740" s="129"/>
      <c r="Z740" s="129"/>
      <c r="AA740" s="129"/>
      <c r="AB740" s="129"/>
      <c r="AC740" s="115"/>
      <c r="AD740" s="129"/>
      <c r="AE740" s="149"/>
      <c r="AF740" s="129"/>
      <c r="AG740" s="129"/>
      <c r="AH740" s="129"/>
    </row>
    <row r="741" spans="3:34" x14ac:dyDescent="0.35">
      <c r="C741" s="129"/>
      <c r="D741" s="129"/>
      <c r="E741" s="129"/>
      <c r="F741" s="129"/>
      <c r="G741" s="129"/>
      <c r="H741" s="129"/>
      <c r="I741" s="129"/>
      <c r="J741" s="129"/>
      <c r="K741" s="110"/>
      <c r="L741" s="129"/>
      <c r="M741" t="s">
        <v>351</v>
      </c>
      <c r="N741" s="129"/>
      <c r="O741" s="129"/>
      <c r="P741" s="129"/>
      <c r="Q741" s="129"/>
      <c r="R741" s="129"/>
      <c r="S741" s="129"/>
      <c r="T741" s="129"/>
      <c r="U741" s="129"/>
      <c r="V741" s="141"/>
      <c r="W741" s="139"/>
      <c r="X741" s="129"/>
      <c r="Y741" s="129"/>
      <c r="Z741" s="129"/>
      <c r="AA741" s="129"/>
      <c r="AB741" s="129"/>
      <c r="AC741" s="115"/>
      <c r="AD741" s="129"/>
      <c r="AE741" s="149"/>
      <c r="AF741" s="129"/>
      <c r="AG741" s="129"/>
      <c r="AH741" s="129"/>
    </row>
    <row r="742" spans="3:34" x14ac:dyDescent="0.35">
      <c r="C742" s="129"/>
      <c r="D742" s="129"/>
      <c r="E742" s="129"/>
      <c r="F742" s="129"/>
      <c r="G742" s="129"/>
      <c r="H742" s="129"/>
      <c r="I742" s="129"/>
      <c r="J742" s="129"/>
      <c r="K742" s="110"/>
      <c r="L742" s="129"/>
      <c r="M742" t="s">
        <v>351</v>
      </c>
      <c r="N742" s="129"/>
      <c r="O742" s="129"/>
      <c r="P742" s="129"/>
      <c r="Q742" s="129"/>
      <c r="R742" s="129"/>
      <c r="S742" s="129"/>
      <c r="T742" s="129"/>
      <c r="U742" s="129"/>
      <c r="V742" s="141"/>
      <c r="W742" s="139"/>
      <c r="X742" s="129"/>
      <c r="Y742" s="129"/>
      <c r="Z742" s="129"/>
      <c r="AA742" s="129"/>
      <c r="AB742" s="129"/>
      <c r="AC742" s="115"/>
      <c r="AD742" s="129"/>
      <c r="AE742" s="149"/>
      <c r="AF742" s="129"/>
      <c r="AG742" s="129"/>
      <c r="AH742" s="129"/>
    </row>
    <row r="743" spans="3:34" x14ac:dyDescent="0.35">
      <c r="C743" s="129"/>
      <c r="D743" s="129"/>
      <c r="E743" s="129"/>
      <c r="F743" s="129"/>
      <c r="G743" s="129"/>
      <c r="H743" s="129"/>
      <c r="I743" s="129"/>
      <c r="J743" s="129"/>
      <c r="K743" s="110"/>
      <c r="L743" s="129"/>
      <c r="M743" t="s">
        <v>351</v>
      </c>
      <c r="N743" s="129"/>
      <c r="O743" s="129"/>
      <c r="P743" s="129"/>
      <c r="Q743" s="129"/>
      <c r="R743" s="129"/>
      <c r="S743" s="129"/>
      <c r="T743" s="129"/>
      <c r="U743" s="129"/>
      <c r="V743" s="141"/>
      <c r="W743" s="139"/>
      <c r="X743" s="129"/>
      <c r="Y743" s="129"/>
      <c r="Z743" s="129"/>
      <c r="AA743" s="129"/>
      <c r="AB743" s="129"/>
      <c r="AC743" s="115"/>
      <c r="AD743" s="129"/>
      <c r="AE743" s="149"/>
      <c r="AF743" s="129"/>
      <c r="AG743" s="129"/>
      <c r="AH743" s="129"/>
    </row>
    <row r="744" spans="3:34" x14ac:dyDescent="0.35">
      <c r="C744" s="129"/>
      <c r="D744" s="129"/>
      <c r="E744" s="129"/>
      <c r="F744" s="129"/>
      <c r="G744" s="129"/>
      <c r="H744" s="129"/>
      <c r="I744" s="129"/>
      <c r="J744" s="129"/>
      <c r="K744" s="110"/>
      <c r="L744" s="129"/>
      <c r="M744" t="s">
        <v>351</v>
      </c>
      <c r="N744" s="129"/>
      <c r="O744" s="129"/>
      <c r="P744" s="129"/>
      <c r="Q744" s="129"/>
      <c r="R744" s="129"/>
      <c r="S744" s="129"/>
      <c r="T744" s="129"/>
      <c r="U744" s="129"/>
      <c r="V744" s="141"/>
      <c r="W744" s="139"/>
      <c r="X744" s="129"/>
      <c r="Y744" s="129"/>
      <c r="Z744" s="129"/>
      <c r="AA744" s="129"/>
      <c r="AB744" s="129"/>
      <c r="AC744" s="115"/>
      <c r="AD744" s="129"/>
      <c r="AE744" s="149"/>
      <c r="AF744" s="129"/>
      <c r="AG744" s="129"/>
      <c r="AH744" s="129"/>
    </row>
    <row r="745" spans="3:34" x14ac:dyDescent="0.35">
      <c r="C745" s="129"/>
      <c r="D745" s="129"/>
      <c r="E745" s="129"/>
      <c r="F745" s="129"/>
      <c r="G745" s="129"/>
      <c r="H745" s="129"/>
      <c r="I745" s="129"/>
      <c r="J745" s="129"/>
      <c r="K745" s="110"/>
      <c r="L745" s="129"/>
      <c r="M745" t="s">
        <v>351</v>
      </c>
      <c r="N745" s="129"/>
      <c r="O745" s="129"/>
      <c r="P745" s="129"/>
      <c r="Q745" s="129"/>
      <c r="R745" s="129"/>
      <c r="S745" s="129"/>
      <c r="T745" s="129"/>
      <c r="U745" s="129"/>
      <c r="V745" s="141"/>
      <c r="W745" s="139"/>
      <c r="X745" s="129"/>
      <c r="Y745" s="129"/>
      <c r="Z745" s="129"/>
      <c r="AA745" s="129"/>
      <c r="AB745" s="129"/>
      <c r="AC745" s="115"/>
      <c r="AD745" s="129"/>
      <c r="AE745" s="149"/>
      <c r="AF745" s="129"/>
      <c r="AG745" s="129"/>
      <c r="AH745" s="129"/>
    </row>
    <row r="746" spans="3:34" x14ac:dyDescent="0.35">
      <c r="C746" s="129"/>
      <c r="D746" s="129"/>
      <c r="E746" s="129"/>
      <c r="F746" s="129"/>
      <c r="G746" s="129"/>
      <c r="H746" s="129"/>
      <c r="I746" s="129"/>
      <c r="J746" s="129"/>
      <c r="K746" s="110"/>
      <c r="L746" s="129"/>
      <c r="M746" t="s">
        <v>351</v>
      </c>
      <c r="N746" s="129"/>
      <c r="O746" s="129"/>
      <c r="P746" s="129"/>
      <c r="Q746" s="129"/>
      <c r="R746" s="129"/>
      <c r="S746" s="129"/>
      <c r="T746" s="129"/>
      <c r="U746" s="129"/>
      <c r="V746" s="141"/>
      <c r="W746" s="139"/>
      <c r="X746" s="129"/>
      <c r="Y746" s="129"/>
      <c r="Z746" s="129"/>
      <c r="AA746" s="129"/>
      <c r="AB746" s="129"/>
      <c r="AC746" s="115"/>
      <c r="AD746" s="129"/>
      <c r="AE746" s="149"/>
      <c r="AF746" s="129"/>
      <c r="AG746" s="129"/>
      <c r="AH746" s="129"/>
    </row>
    <row r="747" spans="3:34" x14ac:dyDescent="0.35">
      <c r="C747" s="129"/>
      <c r="D747" s="129"/>
      <c r="E747" s="129"/>
      <c r="F747" s="129"/>
      <c r="G747" s="129"/>
      <c r="H747" s="129"/>
      <c r="I747" s="129"/>
      <c r="J747" s="129"/>
      <c r="K747" s="110"/>
      <c r="L747" s="129"/>
      <c r="M747" t="s">
        <v>351</v>
      </c>
      <c r="N747" s="129"/>
      <c r="O747" s="129"/>
      <c r="P747" s="129"/>
      <c r="Q747" s="129"/>
      <c r="R747" s="129"/>
      <c r="S747" s="129"/>
      <c r="T747" s="129"/>
      <c r="U747" s="129"/>
      <c r="V747" s="141"/>
      <c r="W747" s="139"/>
      <c r="X747" s="129"/>
      <c r="Y747" s="129"/>
      <c r="Z747" s="129"/>
      <c r="AA747" s="129"/>
      <c r="AB747" s="129"/>
      <c r="AC747" s="115"/>
      <c r="AD747" s="129"/>
      <c r="AE747" s="149"/>
      <c r="AF747" s="129"/>
      <c r="AG747" s="129"/>
      <c r="AH747" s="129"/>
    </row>
    <row r="748" spans="3:34" x14ac:dyDescent="0.35">
      <c r="C748" s="129"/>
      <c r="D748" s="129"/>
      <c r="E748" s="129"/>
      <c r="F748" s="129"/>
      <c r="G748" s="129"/>
      <c r="H748" s="129"/>
      <c r="I748" s="129"/>
      <c r="J748" s="129"/>
      <c r="K748" s="110"/>
      <c r="L748" s="129"/>
      <c r="M748" t="s">
        <v>351</v>
      </c>
      <c r="N748" s="129"/>
      <c r="O748" s="129"/>
      <c r="P748" s="129"/>
      <c r="Q748" s="129"/>
      <c r="R748" s="129"/>
      <c r="S748" s="129"/>
      <c r="T748" s="129"/>
      <c r="U748" s="129"/>
      <c r="V748" s="141"/>
      <c r="W748" s="139"/>
      <c r="X748" s="129"/>
      <c r="Y748" s="129"/>
      <c r="Z748" s="129"/>
      <c r="AA748" s="129"/>
      <c r="AB748" s="129"/>
      <c r="AC748" s="115"/>
      <c r="AD748" s="129"/>
      <c r="AE748" s="149"/>
      <c r="AF748" s="129"/>
      <c r="AG748" s="129"/>
      <c r="AH748" s="129"/>
    </row>
    <row r="749" spans="3:34" x14ac:dyDescent="0.35">
      <c r="C749" s="129"/>
      <c r="D749" s="129"/>
      <c r="E749" s="129"/>
      <c r="F749" s="129"/>
      <c r="G749" s="129"/>
      <c r="H749" s="129"/>
      <c r="I749" s="129"/>
      <c r="J749" s="129"/>
      <c r="K749" s="110"/>
      <c r="L749" s="129"/>
      <c r="M749" t="s">
        <v>351</v>
      </c>
      <c r="N749" s="129"/>
      <c r="O749" s="129"/>
      <c r="P749" s="129"/>
      <c r="Q749" s="129"/>
      <c r="R749" s="129"/>
      <c r="S749" s="129"/>
      <c r="T749" s="129"/>
      <c r="U749" s="129"/>
      <c r="V749" s="141"/>
      <c r="W749" s="139"/>
      <c r="X749" s="129"/>
      <c r="Y749" s="129"/>
      <c r="Z749" s="129"/>
      <c r="AA749" s="129"/>
      <c r="AB749" s="129"/>
      <c r="AC749" s="115"/>
      <c r="AD749" s="129"/>
      <c r="AE749" s="149"/>
      <c r="AF749" s="129"/>
      <c r="AG749" s="129"/>
      <c r="AH749" s="129"/>
    </row>
    <row r="750" spans="3:34" x14ac:dyDescent="0.35">
      <c r="C750" s="129"/>
      <c r="D750" s="129"/>
      <c r="E750" s="129"/>
      <c r="F750" s="129"/>
      <c r="G750" s="129"/>
      <c r="H750" s="129"/>
      <c r="I750" s="129"/>
      <c r="J750" s="129"/>
      <c r="K750" s="110"/>
      <c r="L750" s="129"/>
      <c r="M750" t="s">
        <v>351</v>
      </c>
      <c r="N750" s="129"/>
      <c r="O750" s="129"/>
      <c r="P750" s="129"/>
      <c r="Q750" s="129"/>
      <c r="R750" s="129"/>
      <c r="S750" s="129"/>
      <c r="T750" s="129"/>
      <c r="U750" s="129"/>
      <c r="V750" s="141"/>
      <c r="W750" s="139"/>
      <c r="X750" s="129"/>
      <c r="Y750" s="129"/>
      <c r="Z750" s="129"/>
      <c r="AA750" s="129"/>
      <c r="AB750" s="129"/>
      <c r="AC750" s="115"/>
      <c r="AD750" s="129"/>
      <c r="AE750" s="149"/>
      <c r="AF750" s="129"/>
      <c r="AG750" s="129"/>
      <c r="AH750" s="129"/>
    </row>
    <row r="751" spans="3:34" x14ac:dyDescent="0.35">
      <c r="C751" s="129"/>
      <c r="D751" s="129"/>
      <c r="E751" s="129"/>
      <c r="F751" s="129"/>
      <c r="G751" s="129"/>
      <c r="H751" s="129"/>
      <c r="I751" s="129"/>
      <c r="J751" s="129"/>
      <c r="K751" s="110"/>
      <c r="L751" s="129"/>
      <c r="M751" t="s">
        <v>351</v>
      </c>
      <c r="N751" s="129"/>
      <c r="O751" s="129"/>
      <c r="P751" s="129"/>
      <c r="Q751" s="129"/>
      <c r="R751" s="129"/>
      <c r="S751" s="129"/>
      <c r="T751" s="129"/>
      <c r="U751" s="129"/>
      <c r="V751" s="141"/>
      <c r="W751" s="139"/>
      <c r="X751" s="129"/>
      <c r="Y751" s="129"/>
      <c r="Z751" s="129"/>
      <c r="AA751" s="129"/>
      <c r="AB751" s="129"/>
      <c r="AC751" s="115"/>
      <c r="AD751" s="129"/>
      <c r="AE751" s="149"/>
      <c r="AF751" s="129"/>
      <c r="AG751" s="129"/>
      <c r="AH751" s="129"/>
    </row>
    <row r="752" spans="3:34" x14ac:dyDescent="0.35">
      <c r="C752" s="129"/>
      <c r="D752" s="129"/>
      <c r="E752" s="129"/>
      <c r="F752" s="129"/>
      <c r="G752" s="129"/>
      <c r="H752" s="129"/>
      <c r="I752" s="129"/>
      <c r="J752" s="129"/>
      <c r="K752" s="110"/>
      <c r="L752" s="129"/>
      <c r="M752" t="s">
        <v>351</v>
      </c>
      <c r="N752" s="129"/>
      <c r="O752" s="129"/>
      <c r="P752" s="129"/>
      <c r="Q752" s="129"/>
      <c r="R752" s="129"/>
      <c r="S752" s="129"/>
      <c r="T752" s="129"/>
      <c r="U752" s="129"/>
      <c r="V752" s="141"/>
      <c r="W752" s="139"/>
      <c r="X752" s="129"/>
      <c r="Y752" s="129"/>
      <c r="Z752" s="129"/>
      <c r="AA752" s="129"/>
      <c r="AB752" s="129"/>
      <c r="AC752" s="115"/>
      <c r="AD752" s="129"/>
      <c r="AE752" s="149"/>
      <c r="AF752" s="129"/>
      <c r="AG752" s="129"/>
      <c r="AH752" s="129"/>
    </row>
    <row r="753" spans="3:34" x14ac:dyDescent="0.35">
      <c r="C753" s="129"/>
      <c r="D753" s="129"/>
      <c r="E753" s="129"/>
      <c r="F753" s="129"/>
      <c r="G753" s="129"/>
      <c r="H753" s="129"/>
      <c r="I753" s="129"/>
      <c r="J753" s="129"/>
      <c r="K753" s="110"/>
      <c r="L753" s="129"/>
      <c r="M753" t="s">
        <v>351</v>
      </c>
      <c r="N753" s="129"/>
      <c r="O753" s="129"/>
      <c r="P753" s="129"/>
      <c r="Q753" s="129"/>
      <c r="R753" s="129"/>
      <c r="S753" s="129"/>
      <c r="T753" s="129"/>
      <c r="U753" s="129"/>
      <c r="V753" s="141"/>
      <c r="W753" s="139"/>
      <c r="X753" s="129"/>
      <c r="Y753" s="129"/>
      <c r="Z753" s="129"/>
      <c r="AA753" s="129"/>
      <c r="AB753" s="129"/>
      <c r="AC753" s="115"/>
      <c r="AD753" s="129"/>
      <c r="AE753" s="149"/>
      <c r="AF753" s="129"/>
      <c r="AG753" s="129"/>
      <c r="AH753" s="129"/>
    </row>
    <row r="754" spans="3:34" x14ac:dyDescent="0.35">
      <c r="C754" s="129"/>
      <c r="D754" s="129"/>
      <c r="E754" s="129"/>
      <c r="F754" s="129"/>
      <c r="G754" s="129"/>
      <c r="H754" s="129"/>
      <c r="I754" s="129"/>
      <c r="J754" s="129"/>
      <c r="K754" s="110"/>
      <c r="L754" s="129"/>
      <c r="M754" t="s">
        <v>351</v>
      </c>
      <c r="N754" s="129"/>
      <c r="O754" s="129"/>
      <c r="P754" s="129"/>
      <c r="Q754" s="129"/>
      <c r="R754" s="129"/>
      <c r="S754" s="129"/>
      <c r="T754" s="129"/>
      <c r="U754" s="129"/>
      <c r="V754" s="141"/>
      <c r="W754" s="139"/>
      <c r="X754" s="129"/>
      <c r="Y754" s="129"/>
      <c r="Z754" s="129"/>
      <c r="AA754" s="129"/>
      <c r="AB754" s="129"/>
      <c r="AC754" s="115"/>
      <c r="AD754" s="129"/>
      <c r="AE754" s="149"/>
      <c r="AF754" s="129"/>
      <c r="AG754" s="129"/>
      <c r="AH754" s="129"/>
    </row>
    <row r="755" spans="3:34" x14ac:dyDescent="0.35">
      <c r="C755" s="129"/>
      <c r="D755" s="129"/>
      <c r="E755" s="129"/>
      <c r="F755" s="129"/>
      <c r="G755" s="129"/>
      <c r="H755" s="129"/>
      <c r="I755" s="129"/>
      <c r="J755" s="129"/>
      <c r="K755" s="110"/>
      <c r="L755" s="129"/>
      <c r="M755" t="s">
        <v>351</v>
      </c>
      <c r="N755" s="129"/>
      <c r="O755" s="129"/>
      <c r="P755" s="129"/>
      <c r="Q755" s="129"/>
      <c r="R755" s="129"/>
      <c r="S755" s="129"/>
      <c r="T755" s="129"/>
      <c r="U755" s="129"/>
      <c r="V755" s="141"/>
      <c r="W755" s="139"/>
      <c r="X755" s="129"/>
      <c r="Y755" s="129"/>
      <c r="Z755" s="129"/>
      <c r="AA755" s="129"/>
      <c r="AB755" s="129"/>
      <c r="AC755" s="115"/>
      <c r="AD755" s="129"/>
      <c r="AE755" s="149"/>
      <c r="AF755" s="129"/>
      <c r="AG755" s="129"/>
      <c r="AH755" s="129"/>
    </row>
    <row r="756" spans="3:34" x14ac:dyDescent="0.35">
      <c r="C756" s="129"/>
      <c r="D756" s="129"/>
      <c r="E756" s="129"/>
      <c r="F756" s="129"/>
      <c r="G756" s="129"/>
      <c r="H756" s="129"/>
      <c r="I756" s="129"/>
      <c r="J756" s="129"/>
      <c r="K756" s="110"/>
      <c r="L756" s="129"/>
      <c r="M756" t="s">
        <v>351</v>
      </c>
      <c r="N756" s="129"/>
      <c r="O756" s="129"/>
      <c r="P756" s="129"/>
      <c r="Q756" s="129"/>
      <c r="R756" s="129"/>
      <c r="S756" s="129"/>
      <c r="T756" s="129"/>
      <c r="U756" s="129"/>
      <c r="V756" s="141"/>
      <c r="W756" s="139"/>
      <c r="X756" s="129"/>
      <c r="Y756" s="129"/>
      <c r="Z756" s="129"/>
      <c r="AA756" s="129"/>
      <c r="AB756" s="129"/>
      <c r="AC756" s="115"/>
      <c r="AD756" s="129"/>
      <c r="AE756" s="149"/>
      <c r="AF756" s="129"/>
      <c r="AG756" s="129"/>
      <c r="AH756" s="129"/>
    </row>
    <row r="757" spans="3:34" x14ac:dyDescent="0.35">
      <c r="C757" s="129"/>
      <c r="D757" s="129"/>
      <c r="E757" s="129"/>
      <c r="F757" s="129"/>
      <c r="G757" s="129"/>
      <c r="H757" s="129"/>
      <c r="I757" s="129"/>
      <c r="J757" s="129"/>
      <c r="K757" s="110"/>
      <c r="L757" s="129"/>
      <c r="M757" t="s">
        <v>351</v>
      </c>
      <c r="N757" s="129"/>
      <c r="O757" s="129"/>
      <c r="P757" s="129"/>
      <c r="Q757" s="129"/>
      <c r="R757" s="129"/>
      <c r="S757" s="129"/>
      <c r="T757" s="129"/>
      <c r="U757" s="129"/>
      <c r="V757" s="141"/>
      <c r="W757" s="139"/>
      <c r="X757" s="129"/>
      <c r="Y757" s="129"/>
      <c r="Z757" s="129"/>
      <c r="AA757" s="129"/>
      <c r="AB757" s="129"/>
      <c r="AC757" s="115"/>
      <c r="AD757" s="129"/>
      <c r="AE757" s="149"/>
      <c r="AF757" s="129"/>
      <c r="AG757" s="129"/>
      <c r="AH757" s="129"/>
    </row>
    <row r="758" spans="3:34" x14ac:dyDescent="0.35">
      <c r="C758" s="129"/>
      <c r="D758" s="129"/>
      <c r="E758" s="129"/>
      <c r="F758" s="129"/>
      <c r="G758" s="129"/>
      <c r="H758" s="129"/>
      <c r="I758" s="129"/>
      <c r="J758" s="129"/>
      <c r="K758" s="110"/>
      <c r="L758" s="129"/>
      <c r="M758" t="s">
        <v>351</v>
      </c>
      <c r="N758" s="129"/>
      <c r="O758" s="129"/>
      <c r="P758" s="129"/>
      <c r="Q758" s="129"/>
      <c r="R758" s="129"/>
      <c r="S758" s="129"/>
      <c r="T758" s="129"/>
      <c r="U758" s="129"/>
      <c r="V758" s="141"/>
      <c r="W758" s="139"/>
      <c r="X758" s="129"/>
      <c r="Y758" s="129"/>
      <c r="Z758" s="129"/>
      <c r="AA758" s="129"/>
      <c r="AB758" s="129"/>
      <c r="AC758" s="115"/>
      <c r="AD758" s="129"/>
      <c r="AE758" s="149"/>
      <c r="AF758" s="129"/>
      <c r="AG758" s="129"/>
      <c r="AH758" s="129"/>
    </row>
    <row r="759" spans="3:34" x14ac:dyDescent="0.35">
      <c r="C759" s="129"/>
      <c r="D759" s="129"/>
      <c r="E759" s="129"/>
      <c r="F759" s="129"/>
      <c r="G759" s="129"/>
      <c r="H759" s="129"/>
      <c r="I759" s="129"/>
      <c r="J759" s="129"/>
      <c r="K759" s="110"/>
      <c r="L759" s="129"/>
      <c r="M759" t="s">
        <v>351</v>
      </c>
      <c r="N759" s="129"/>
      <c r="O759" s="129"/>
      <c r="P759" s="129"/>
      <c r="Q759" s="129"/>
      <c r="R759" s="129"/>
      <c r="S759" s="129"/>
      <c r="T759" s="129"/>
      <c r="U759" s="129"/>
      <c r="V759" s="141"/>
      <c r="W759" s="139"/>
      <c r="X759" s="129"/>
      <c r="Y759" s="129"/>
      <c r="Z759" s="129"/>
      <c r="AA759" s="129"/>
      <c r="AB759" s="129"/>
      <c r="AC759" s="115"/>
      <c r="AD759" s="129"/>
      <c r="AE759" s="149"/>
      <c r="AF759" s="129"/>
      <c r="AG759" s="129"/>
      <c r="AH759" s="129"/>
    </row>
    <row r="760" spans="3:34" x14ac:dyDescent="0.35">
      <c r="C760" s="129"/>
      <c r="D760" s="129"/>
      <c r="E760" s="129"/>
      <c r="F760" s="129"/>
      <c r="G760" s="129"/>
      <c r="H760" s="129"/>
      <c r="I760" s="129"/>
      <c r="J760" s="129"/>
      <c r="K760" s="110"/>
      <c r="L760" s="129"/>
      <c r="M760" t="s">
        <v>351</v>
      </c>
      <c r="N760" s="129"/>
      <c r="O760" s="129"/>
      <c r="P760" s="129"/>
      <c r="Q760" s="129"/>
      <c r="R760" s="129"/>
      <c r="S760" s="129"/>
      <c r="T760" s="129"/>
      <c r="U760" s="129"/>
      <c r="V760" s="141"/>
      <c r="W760" s="139"/>
      <c r="X760" s="129"/>
      <c r="Y760" s="129"/>
      <c r="Z760" s="129"/>
      <c r="AA760" s="129"/>
      <c r="AB760" s="129"/>
      <c r="AC760" s="115"/>
      <c r="AD760" s="129"/>
      <c r="AE760" s="149"/>
      <c r="AF760" s="129"/>
      <c r="AG760" s="129"/>
      <c r="AH760" s="129"/>
    </row>
    <row r="761" spans="3:34" x14ac:dyDescent="0.35">
      <c r="C761" s="129"/>
      <c r="D761" s="129"/>
      <c r="E761" s="129"/>
      <c r="F761" s="129"/>
      <c r="G761" s="129"/>
      <c r="H761" s="129"/>
      <c r="I761" s="129"/>
      <c r="J761" s="129"/>
      <c r="K761" s="110"/>
      <c r="L761" s="129"/>
      <c r="M761" t="s">
        <v>351</v>
      </c>
      <c r="N761" s="129"/>
      <c r="O761" s="129"/>
      <c r="P761" s="129"/>
      <c r="Q761" s="129"/>
      <c r="R761" s="129"/>
      <c r="S761" s="129"/>
      <c r="T761" s="129"/>
      <c r="U761" s="129"/>
      <c r="V761" s="141"/>
      <c r="W761" s="139"/>
      <c r="X761" s="129"/>
      <c r="Y761" s="129"/>
      <c r="Z761" s="129"/>
      <c r="AA761" s="129"/>
      <c r="AB761" s="129"/>
      <c r="AC761" s="115"/>
      <c r="AD761" s="129"/>
      <c r="AE761" s="149"/>
      <c r="AF761" s="129"/>
      <c r="AG761" s="129"/>
      <c r="AH761" s="129"/>
    </row>
    <row r="762" spans="3:34" x14ac:dyDescent="0.35">
      <c r="C762" s="129"/>
      <c r="D762" s="129"/>
      <c r="E762" s="129"/>
      <c r="F762" s="129"/>
      <c r="G762" s="129"/>
      <c r="H762" s="129"/>
      <c r="I762" s="129"/>
      <c r="J762" s="129"/>
      <c r="K762" s="110"/>
      <c r="L762" s="129"/>
      <c r="M762" t="s">
        <v>351</v>
      </c>
      <c r="N762" s="129"/>
      <c r="O762" s="129"/>
      <c r="P762" s="129"/>
      <c r="Q762" s="129"/>
      <c r="R762" s="129"/>
      <c r="S762" s="129"/>
      <c r="T762" s="129"/>
      <c r="U762" s="129"/>
      <c r="V762" s="141"/>
      <c r="W762" s="139"/>
      <c r="X762" s="129"/>
      <c r="Y762" s="129"/>
      <c r="Z762" s="129"/>
      <c r="AA762" s="129"/>
      <c r="AB762" s="129"/>
      <c r="AC762" s="115"/>
      <c r="AD762" s="129"/>
      <c r="AE762" s="149"/>
      <c r="AF762" s="129"/>
      <c r="AG762" s="129"/>
      <c r="AH762" s="129"/>
    </row>
    <row r="763" spans="3:34" x14ac:dyDescent="0.35">
      <c r="C763" s="129"/>
      <c r="D763" s="129"/>
      <c r="E763" s="129"/>
      <c r="F763" s="129"/>
      <c r="G763" s="129"/>
      <c r="H763" s="129"/>
      <c r="I763" s="129"/>
      <c r="J763" s="129"/>
      <c r="K763" s="110"/>
      <c r="L763" s="129"/>
      <c r="M763" t="s">
        <v>351</v>
      </c>
      <c r="N763" s="129"/>
      <c r="O763" s="129"/>
      <c r="P763" s="129"/>
      <c r="Q763" s="129"/>
      <c r="R763" s="129"/>
      <c r="S763" s="129"/>
      <c r="T763" s="129"/>
      <c r="U763" s="129"/>
      <c r="V763" s="141"/>
      <c r="W763" s="139"/>
      <c r="X763" s="129"/>
      <c r="Y763" s="129"/>
      <c r="Z763" s="129"/>
      <c r="AA763" s="129"/>
      <c r="AB763" s="129"/>
      <c r="AC763" s="115"/>
      <c r="AD763" s="129"/>
      <c r="AE763" s="149"/>
      <c r="AF763" s="129"/>
      <c r="AG763" s="129"/>
      <c r="AH763" s="129"/>
    </row>
    <row r="764" spans="3:34" x14ac:dyDescent="0.35">
      <c r="C764" s="129"/>
      <c r="D764" s="129"/>
      <c r="E764" s="129"/>
      <c r="F764" s="129"/>
      <c r="G764" s="129"/>
      <c r="H764" s="129"/>
      <c r="I764" s="129"/>
      <c r="J764" s="129"/>
      <c r="K764" s="110"/>
      <c r="L764" s="129"/>
      <c r="M764" t="s">
        <v>351</v>
      </c>
      <c r="N764" s="129"/>
      <c r="O764" s="129"/>
      <c r="P764" s="129"/>
      <c r="Q764" s="129"/>
      <c r="R764" s="129"/>
      <c r="S764" s="129"/>
      <c r="T764" s="129"/>
      <c r="U764" s="129"/>
      <c r="V764" s="141"/>
      <c r="W764" s="139"/>
      <c r="X764" s="129"/>
      <c r="Y764" s="129"/>
      <c r="Z764" s="129"/>
      <c r="AA764" s="129"/>
      <c r="AB764" s="129"/>
      <c r="AC764" s="115"/>
      <c r="AD764" s="129"/>
      <c r="AE764" s="149"/>
      <c r="AF764" s="129"/>
      <c r="AG764" s="129"/>
      <c r="AH764" s="129"/>
    </row>
    <row r="765" spans="3:34" x14ac:dyDescent="0.35">
      <c r="C765" s="129"/>
      <c r="D765" s="129"/>
      <c r="E765" s="129"/>
      <c r="F765" s="129"/>
      <c r="G765" s="129"/>
      <c r="H765" s="129"/>
      <c r="I765" s="129"/>
      <c r="J765" s="129"/>
      <c r="K765" s="110"/>
      <c r="L765" s="129"/>
      <c r="M765" t="s">
        <v>351</v>
      </c>
      <c r="N765" s="129"/>
      <c r="O765" s="129"/>
      <c r="P765" s="129"/>
      <c r="Q765" s="129"/>
      <c r="R765" s="129"/>
      <c r="S765" s="129"/>
      <c r="T765" s="129"/>
      <c r="U765" s="129"/>
      <c r="V765" s="141"/>
      <c r="W765" s="139"/>
      <c r="X765" s="129"/>
      <c r="Y765" s="129"/>
      <c r="Z765" s="129"/>
      <c r="AA765" s="129"/>
      <c r="AB765" s="129"/>
      <c r="AC765" s="115"/>
      <c r="AD765" s="129"/>
      <c r="AE765" s="149"/>
      <c r="AF765" s="129"/>
      <c r="AG765" s="129"/>
      <c r="AH765" s="129"/>
    </row>
    <row r="766" spans="3:34" x14ac:dyDescent="0.35">
      <c r="C766" s="129"/>
      <c r="D766" s="129"/>
      <c r="E766" s="129"/>
      <c r="F766" s="129"/>
      <c r="G766" s="129"/>
      <c r="H766" s="129"/>
      <c r="I766" s="129"/>
      <c r="J766" s="129"/>
      <c r="K766" s="110"/>
      <c r="L766" s="129"/>
      <c r="M766" t="s">
        <v>351</v>
      </c>
      <c r="N766" s="129"/>
      <c r="O766" s="129"/>
      <c r="P766" s="129"/>
      <c r="Q766" s="129"/>
      <c r="R766" s="129"/>
      <c r="S766" s="129"/>
      <c r="T766" s="129"/>
      <c r="U766" s="129"/>
      <c r="V766" s="141"/>
      <c r="W766" s="139"/>
      <c r="X766" s="129"/>
      <c r="Y766" s="129"/>
      <c r="Z766" s="129"/>
      <c r="AA766" s="129"/>
      <c r="AB766" s="129"/>
      <c r="AC766" s="115"/>
      <c r="AD766" s="129"/>
      <c r="AE766" s="149"/>
      <c r="AF766" s="129"/>
      <c r="AG766" s="129"/>
      <c r="AH766" s="129"/>
    </row>
    <row r="767" spans="3:34" x14ac:dyDescent="0.35">
      <c r="C767" s="129"/>
      <c r="D767" s="129"/>
      <c r="E767" s="129"/>
      <c r="F767" s="129"/>
      <c r="G767" s="129"/>
      <c r="H767" s="129"/>
      <c r="I767" s="129"/>
      <c r="J767" s="129"/>
      <c r="K767" s="110"/>
      <c r="L767" s="129"/>
      <c r="M767" t="s">
        <v>351</v>
      </c>
      <c r="N767" s="129"/>
      <c r="O767" s="129"/>
      <c r="P767" s="129"/>
      <c r="Q767" s="129"/>
      <c r="R767" s="129"/>
      <c r="S767" s="129"/>
      <c r="T767" s="129"/>
      <c r="U767" s="129"/>
      <c r="V767" s="141"/>
      <c r="W767" s="139"/>
      <c r="X767" s="129"/>
      <c r="Y767" s="129"/>
      <c r="Z767" s="129"/>
      <c r="AA767" s="129"/>
      <c r="AB767" s="129"/>
      <c r="AC767" s="115"/>
      <c r="AD767" s="129"/>
      <c r="AE767" s="149"/>
      <c r="AF767" s="129"/>
      <c r="AG767" s="129"/>
      <c r="AH767" s="129"/>
    </row>
    <row r="768" spans="3:34" x14ac:dyDescent="0.35">
      <c r="C768" s="129"/>
      <c r="D768" s="129"/>
      <c r="E768" s="129"/>
      <c r="F768" s="129"/>
      <c r="G768" s="129"/>
      <c r="H768" s="129"/>
      <c r="I768" s="129"/>
      <c r="J768" s="129"/>
      <c r="K768" s="110"/>
      <c r="L768" s="129"/>
      <c r="M768" t="s">
        <v>351</v>
      </c>
      <c r="N768" s="129"/>
      <c r="O768" s="129"/>
      <c r="P768" s="129"/>
      <c r="Q768" s="129"/>
      <c r="R768" s="129"/>
      <c r="S768" s="129"/>
      <c r="T768" s="129"/>
      <c r="U768" s="129"/>
      <c r="V768" s="141"/>
      <c r="W768" s="139"/>
      <c r="X768" s="129"/>
      <c r="Y768" s="129"/>
      <c r="Z768" s="129"/>
      <c r="AA768" s="129"/>
      <c r="AB768" s="129"/>
      <c r="AC768" s="115"/>
      <c r="AD768" s="129"/>
      <c r="AE768" s="149"/>
      <c r="AF768" s="129"/>
      <c r="AG768" s="129"/>
      <c r="AH768" s="129"/>
    </row>
    <row r="769" spans="3:34" x14ac:dyDescent="0.35">
      <c r="C769" s="129"/>
      <c r="D769" s="129"/>
      <c r="E769" s="129"/>
      <c r="F769" s="129"/>
      <c r="G769" s="129"/>
      <c r="H769" s="129"/>
      <c r="I769" s="129"/>
      <c r="J769" s="129"/>
      <c r="K769" s="110"/>
      <c r="L769" s="129"/>
      <c r="M769" t="s">
        <v>351</v>
      </c>
      <c r="N769" s="129"/>
      <c r="O769" s="129"/>
      <c r="P769" s="129"/>
      <c r="Q769" s="129"/>
      <c r="R769" s="129"/>
      <c r="S769" s="129"/>
      <c r="T769" s="129"/>
      <c r="U769" s="129"/>
      <c r="V769" s="141"/>
      <c r="W769" s="139"/>
      <c r="X769" s="129"/>
      <c r="Y769" s="129"/>
      <c r="Z769" s="129"/>
      <c r="AA769" s="129"/>
      <c r="AB769" s="129"/>
      <c r="AC769" s="115"/>
      <c r="AD769" s="129"/>
      <c r="AE769" s="149"/>
      <c r="AF769" s="129"/>
      <c r="AG769" s="129"/>
      <c r="AH769" s="129"/>
    </row>
    <row r="770" spans="3:34" x14ac:dyDescent="0.35">
      <c r="C770" s="129"/>
      <c r="D770" s="129"/>
      <c r="E770" s="129"/>
      <c r="F770" s="129"/>
      <c r="G770" s="129"/>
      <c r="H770" s="129"/>
      <c r="I770" s="129"/>
      <c r="J770" s="129"/>
      <c r="K770" s="110"/>
      <c r="L770" s="129"/>
      <c r="M770" t="s">
        <v>351</v>
      </c>
      <c r="N770" s="129"/>
      <c r="O770" s="129"/>
      <c r="P770" s="129"/>
      <c r="Q770" s="129"/>
      <c r="R770" s="129"/>
      <c r="S770" s="129"/>
      <c r="T770" s="129"/>
      <c r="U770" s="129"/>
      <c r="V770" s="141"/>
      <c r="W770" s="139"/>
      <c r="X770" s="129"/>
      <c r="Y770" s="129"/>
      <c r="Z770" s="129"/>
      <c r="AA770" s="129"/>
      <c r="AB770" s="129"/>
      <c r="AC770" s="115"/>
      <c r="AD770" s="129"/>
      <c r="AE770" s="149"/>
      <c r="AF770" s="129"/>
      <c r="AG770" s="129"/>
      <c r="AH770" s="129"/>
    </row>
    <row r="771" spans="3:34" x14ac:dyDescent="0.35">
      <c r="C771" s="129"/>
      <c r="D771" s="129"/>
      <c r="E771" s="129"/>
      <c r="F771" s="129"/>
      <c r="G771" s="129"/>
      <c r="H771" s="129"/>
      <c r="I771" s="129"/>
      <c r="J771" s="129"/>
      <c r="K771" s="110"/>
      <c r="L771" s="129"/>
      <c r="M771" t="s">
        <v>351</v>
      </c>
      <c r="N771" s="129"/>
      <c r="O771" s="129"/>
      <c r="P771" s="129"/>
      <c r="Q771" s="129"/>
      <c r="R771" s="129"/>
      <c r="S771" s="129"/>
      <c r="T771" s="129"/>
      <c r="U771" s="129"/>
      <c r="V771" s="141"/>
      <c r="W771" s="139"/>
      <c r="X771" s="129"/>
      <c r="Y771" s="129"/>
      <c r="Z771" s="129"/>
      <c r="AA771" s="129"/>
      <c r="AB771" s="129"/>
      <c r="AC771" s="115"/>
      <c r="AD771" s="129"/>
      <c r="AE771" s="149"/>
      <c r="AF771" s="129"/>
      <c r="AG771" s="129"/>
      <c r="AH771" s="129"/>
    </row>
    <row r="772" spans="3:34" x14ac:dyDescent="0.35">
      <c r="C772" s="129"/>
      <c r="D772" s="129"/>
      <c r="E772" s="129"/>
      <c r="F772" s="129"/>
      <c r="G772" s="129"/>
      <c r="H772" s="129"/>
      <c r="I772" s="129"/>
      <c r="J772" s="129"/>
      <c r="K772" s="110"/>
      <c r="L772" s="129"/>
      <c r="M772" t="s">
        <v>351</v>
      </c>
      <c r="N772" s="129"/>
      <c r="O772" s="129"/>
      <c r="P772" s="129"/>
      <c r="Q772" s="129"/>
      <c r="R772" s="129"/>
      <c r="S772" s="129"/>
      <c r="T772" s="129"/>
      <c r="U772" s="129"/>
      <c r="V772" s="141"/>
      <c r="W772" s="139"/>
      <c r="X772" s="129"/>
      <c r="Y772" s="129"/>
      <c r="Z772" s="129"/>
      <c r="AA772" s="129"/>
      <c r="AB772" s="129"/>
      <c r="AC772" s="115"/>
      <c r="AD772" s="129"/>
      <c r="AE772" s="149"/>
      <c r="AF772" s="129"/>
      <c r="AG772" s="129"/>
      <c r="AH772" s="129"/>
    </row>
    <row r="773" spans="3:34" x14ac:dyDescent="0.35">
      <c r="C773" s="129"/>
      <c r="D773" s="129"/>
      <c r="E773" s="129"/>
      <c r="F773" s="129"/>
      <c r="G773" s="129"/>
      <c r="H773" s="129"/>
      <c r="I773" s="129"/>
      <c r="J773" s="129"/>
      <c r="K773" s="110"/>
      <c r="L773" s="129"/>
      <c r="M773" t="s">
        <v>351</v>
      </c>
      <c r="N773" s="129"/>
      <c r="O773" s="129"/>
      <c r="P773" s="129"/>
      <c r="Q773" s="129"/>
      <c r="R773" s="129"/>
      <c r="S773" s="129"/>
      <c r="T773" s="129"/>
      <c r="U773" s="129"/>
      <c r="V773" s="141"/>
      <c r="W773" s="139"/>
      <c r="X773" s="129"/>
      <c r="Y773" s="129"/>
      <c r="Z773" s="129"/>
      <c r="AA773" s="129"/>
      <c r="AB773" s="129"/>
      <c r="AC773" s="115"/>
      <c r="AD773" s="129"/>
      <c r="AE773" s="149"/>
      <c r="AF773" s="129"/>
      <c r="AG773" s="129"/>
      <c r="AH773" s="129"/>
    </row>
    <row r="774" spans="3:34" x14ac:dyDescent="0.35">
      <c r="C774" s="129"/>
      <c r="D774" s="129"/>
      <c r="E774" s="129"/>
      <c r="F774" s="129"/>
      <c r="G774" s="129"/>
      <c r="H774" s="129"/>
      <c r="I774" s="129"/>
      <c r="J774" s="129"/>
      <c r="K774" s="110"/>
      <c r="L774" s="129"/>
      <c r="M774" t="s">
        <v>351</v>
      </c>
      <c r="N774" s="129"/>
      <c r="O774" s="129"/>
      <c r="P774" s="129"/>
      <c r="Q774" s="129"/>
      <c r="R774" s="129"/>
      <c r="S774" s="129"/>
      <c r="T774" s="129"/>
      <c r="U774" s="129"/>
      <c r="V774" s="141"/>
      <c r="W774" s="139"/>
      <c r="X774" s="129"/>
      <c r="Y774" s="129"/>
      <c r="Z774" s="129"/>
      <c r="AA774" s="129"/>
      <c r="AB774" s="129"/>
      <c r="AC774" s="115"/>
      <c r="AD774" s="129"/>
      <c r="AE774" s="149"/>
      <c r="AF774" s="129"/>
      <c r="AG774" s="129"/>
      <c r="AH774" s="129"/>
    </row>
    <row r="775" spans="3:34" x14ac:dyDescent="0.35">
      <c r="C775" s="129"/>
      <c r="D775" s="129"/>
      <c r="E775" s="129"/>
      <c r="F775" s="129"/>
      <c r="G775" s="129"/>
      <c r="H775" s="129"/>
      <c r="I775" s="129"/>
      <c r="J775" s="129"/>
      <c r="K775" s="110"/>
      <c r="L775" s="129"/>
      <c r="M775" t="s">
        <v>351</v>
      </c>
      <c r="N775" s="129"/>
      <c r="O775" s="129"/>
      <c r="P775" s="129"/>
      <c r="Q775" s="129"/>
      <c r="R775" s="129"/>
      <c r="S775" s="129"/>
      <c r="T775" s="129"/>
      <c r="U775" s="129"/>
      <c r="V775" s="141"/>
      <c r="W775" s="139"/>
      <c r="X775" s="129"/>
      <c r="Y775" s="129"/>
      <c r="Z775" s="129"/>
      <c r="AA775" s="129"/>
      <c r="AB775" s="129"/>
      <c r="AC775" s="115"/>
      <c r="AD775" s="129"/>
      <c r="AE775" s="149"/>
      <c r="AF775" s="129"/>
      <c r="AG775" s="129"/>
      <c r="AH775" s="129"/>
    </row>
    <row r="776" spans="3:34" x14ac:dyDescent="0.35">
      <c r="C776" s="129"/>
      <c r="D776" s="129"/>
      <c r="E776" s="129"/>
      <c r="F776" s="129"/>
      <c r="G776" s="129"/>
      <c r="H776" s="129"/>
      <c r="I776" s="129"/>
      <c r="J776" s="129"/>
      <c r="K776" s="110"/>
      <c r="L776" s="129"/>
      <c r="M776" t="s">
        <v>351</v>
      </c>
      <c r="N776" s="129"/>
      <c r="O776" s="129"/>
      <c r="P776" s="129"/>
      <c r="Q776" s="129"/>
      <c r="R776" s="129"/>
      <c r="S776" s="129"/>
      <c r="T776" s="129"/>
      <c r="U776" s="129"/>
      <c r="V776" s="141"/>
      <c r="W776" s="139"/>
      <c r="X776" s="129"/>
      <c r="Y776" s="129"/>
      <c r="Z776" s="129"/>
      <c r="AA776" s="129"/>
      <c r="AB776" s="129"/>
      <c r="AC776" s="115"/>
      <c r="AD776" s="129"/>
      <c r="AE776" s="149"/>
      <c r="AF776" s="129"/>
      <c r="AG776" s="129"/>
      <c r="AH776" s="129"/>
    </row>
    <row r="777" spans="3:34" x14ac:dyDescent="0.35">
      <c r="C777" s="129"/>
      <c r="D777" s="129"/>
      <c r="E777" s="129"/>
      <c r="F777" s="129"/>
      <c r="G777" s="129"/>
      <c r="H777" s="129"/>
      <c r="I777" s="129"/>
      <c r="J777" s="129"/>
      <c r="K777" s="110"/>
      <c r="L777" s="129"/>
      <c r="M777" t="s">
        <v>351</v>
      </c>
      <c r="N777" s="129"/>
      <c r="O777" s="129"/>
      <c r="P777" s="129"/>
      <c r="Q777" s="129"/>
      <c r="R777" s="129"/>
      <c r="S777" s="129"/>
      <c r="T777" s="129"/>
      <c r="U777" s="129"/>
      <c r="V777" s="141"/>
      <c r="W777" s="139"/>
      <c r="X777" s="129"/>
      <c r="Y777" s="129"/>
      <c r="Z777" s="129"/>
      <c r="AA777" s="129"/>
      <c r="AB777" s="129"/>
      <c r="AC777" s="115"/>
      <c r="AD777" s="129"/>
      <c r="AE777" s="149"/>
      <c r="AF777" s="129"/>
      <c r="AG777" s="129"/>
      <c r="AH777" s="129"/>
    </row>
    <row r="778" spans="3:34" x14ac:dyDescent="0.35">
      <c r="C778" s="129"/>
      <c r="D778" s="129"/>
      <c r="E778" s="129"/>
      <c r="F778" s="129"/>
      <c r="G778" s="129"/>
      <c r="H778" s="129"/>
      <c r="I778" s="129"/>
      <c r="J778" s="129"/>
      <c r="K778" s="110"/>
      <c r="L778" s="129"/>
      <c r="M778" t="s">
        <v>351</v>
      </c>
      <c r="N778" s="129"/>
      <c r="O778" s="129"/>
      <c r="P778" s="129"/>
      <c r="Q778" s="129"/>
      <c r="R778" s="129"/>
      <c r="S778" s="129"/>
      <c r="T778" s="129"/>
      <c r="U778" s="129"/>
      <c r="V778" s="141"/>
      <c r="W778" s="139"/>
      <c r="X778" s="129"/>
      <c r="Y778" s="129"/>
      <c r="Z778" s="129"/>
      <c r="AA778" s="129"/>
      <c r="AB778" s="129"/>
      <c r="AC778" s="115"/>
      <c r="AD778" s="129"/>
      <c r="AE778" s="149"/>
      <c r="AF778" s="129"/>
      <c r="AG778" s="129"/>
      <c r="AH778" s="129"/>
    </row>
    <row r="779" spans="3:34" x14ac:dyDescent="0.35">
      <c r="C779" s="129"/>
      <c r="D779" s="129"/>
      <c r="E779" s="129"/>
      <c r="F779" s="129"/>
      <c r="G779" s="129"/>
      <c r="H779" s="129"/>
      <c r="I779" s="129"/>
      <c r="J779" s="129"/>
      <c r="K779" s="110"/>
      <c r="L779" s="129"/>
      <c r="M779" t="s">
        <v>351</v>
      </c>
      <c r="N779" s="129"/>
      <c r="O779" s="129"/>
      <c r="P779" s="129"/>
      <c r="Q779" s="129"/>
      <c r="R779" s="129"/>
      <c r="S779" s="129"/>
      <c r="T779" s="129"/>
      <c r="U779" s="129"/>
      <c r="V779" s="141"/>
      <c r="W779" s="139"/>
      <c r="X779" s="129"/>
      <c r="Y779" s="129"/>
      <c r="Z779" s="129"/>
      <c r="AA779" s="129"/>
      <c r="AB779" s="129"/>
      <c r="AC779" s="115"/>
      <c r="AD779" s="129"/>
      <c r="AE779" s="149"/>
      <c r="AF779" s="129"/>
      <c r="AG779" s="129"/>
      <c r="AH779" s="129"/>
    </row>
    <row r="780" spans="3:34" x14ac:dyDescent="0.35">
      <c r="C780" s="129"/>
      <c r="D780" s="129"/>
      <c r="E780" s="129"/>
      <c r="F780" s="129"/>
      <c r="G780" s="129"/>
      <c r="H780" s="129"/>
      <c r="I780" s="129"/>
      <c r="J780" s="129"/>
      <c r="K780" s="110"/>
      <c r="L780" s="129"/>
      <c r="M780" t="s">
        <v>351</v>
      </c>
      <c r="N780" s="129"/>
      <c r="O780" s="129"/>
      <c r="P780" s="129"/>
      <c r="Q780" s="129"/>
      <c r="R780" s="129"/>
      <c r="S780" s="129"/>
      <c r="T780" s="129"/>
      <c r="U780" s="129"/>
      <c r="V780" s="141"/>
      <c r="W780" s="139"/>
      <c r="X780" s="129"/>
      <c r="Y780" s="129"/>
      <c r="Z780" s="129"/>
      <c r="AA780" s="129"/>
      <c r="AB780" s="129"/>
      <c r="AC780" s="115"/>
      <c r="AD780" s="129"/>
      <c r="AE780" s="149"/>
      <c r="AF780" s="129"/>
      <c r="AG780" s="129"/>
      <c r="AH780" s="129"/>
    </row>
    <row r="781" spans="3:34" x14ac:dyDescent="0.35">
      <c r="C781" s="129"/>
      <c r="D781" s="129"/>
      <c r="E781" s="129"/>
      <c r="F781" s="129"/>
      <c r="G781" s="129"/>
      <c r="H781" s="129"/>
      <c r="I781" s="129"/>
      <c r="J781" s="129"/>
      <c r="K781" s="110"/>
      <c r="L781" s="129"/>
      <c r="M781" t="s">
        <v>351</v>
      </c>
      <c r="N781" s="129"/>
      <c r="O781" s="129"/>
      <c r="P781" s="129"/>
      <c r="Q781" s="129"/>
      <c r="R781" s="129"/>
      <c r="S781" s="129"/>
      <c r="T781" s="129"/>
      <c r="U781" s="129"/>
      <c r="V781" s="141"/>
      <c r="W781" s="139"/>
      <c r="X781" s="129"/>
      <c r="Y781" s="129"/>
      <c r="Z781" s="129"/>
      <c r="AA781" s="129"/>
      <c r="AB781" s="129"/>
      <c r="AC781" s="115"/>
      <c r="AD781" s="129"/>
      <c r="AE781" s="149"/>
      <c r="AF781" s="129"/>
      <c r="AG781" s="129"/>
      <c r="AH781" s="129"/>
    </row>
    <row r="782" spans="3:34" x14ac:dyDescent="0.35">
      <c r="C782" s="129"/>
      <c r="D782" s="129"/>
      <c r="E782" s="129"/>
      <c r="F782" s="129"/>
      <c r="G782" s="129"/>
      <c r="H782" s="129"/>
      <c r="I782" s="129"/>
      <c r="J782" s="129"/>
      <c r="K782" s="110"/>
      <c r="L782" s="129"/>
      <c r="M782" t="s">
        <v>351</v>
      </c>
      <c r="N782" s="129"/>
      <c r="O782" s="129"/>
      <c r="P782" s="129"/>
      <c r="Q782" s="129"/>
      <c r="R782" s="129"/>
      <c r="S782" s="129"/>
      <c r="T782" s="129"/>
      <c r="U782" s="129"/>
      <c r="V782" s="141"/>
      <c r="W782" s="139"/>
      <c r="X782" s="129"/>
      <c r="Y782" s="129"/>
      <c r="Z782" s="129"/>
      <c r="AA782" s="129"/>
      <c r="AB782" s="129"/>
      <c r="AC782" s="115"/>
      <c r="AD782" s="129"/>
      <c r="AE782" s="149"/>
      <c r="AF782" s="129"/>
      <c r="AG782" s="129"/>
      <c r="AH782" s="129"/>
    </row>
    <row r="783" spans="3:34" x14ac:dyDescent="0.35">
      <c r="C783" s="129"/>
      <c r="D783" s="129"/>
      <c r="E783" s="129"/>
      <c r="F783" s="129"/>
      <c r="G783" s="129"/>
      <c r="H783" s="129"/>
      <c r="I783" s="129"/>
      <c r="J783" s="129"/>
      <c r="K783" s="110"/>
      <c r="L783" s="129"/>
      <c r="M783" t="s">
        <v>351</v>
      </c>
      <c r="N783" s="129"/>
      <c r="O783" s="129"/>
      <c r="P783" s="129"/>
      <c r="Q783" s="129"/>
      <c r="R783" s="129"/>
      <c r="S783" s="129"/>
      <c r="T783" s="129"/>
      <c r="U783" s="129"/>
      <c r="V783" s="141"/>
      <c r="W783" s="139"/>
      <c r="X783" s="129"/>
      <c r="Y783" s="129"/>
      <c r="Z783" s="129"/>
      <c r="AA783" s="129"/>
      <c r="AB783" s="129"/>
      <c r="AC783" s="115"/>
      <c r="AD783" s="129"/>
      <c r="AE783" s="149"/>
      <c r="AF783" s="129"/>
      <c r="AG783" s="129"/>
      <c r="AH783" s="129"/>
    </row>
    <row r="784" spans="3:34" x14ac:dyDescent="0.35">
      <c r="C784" s="129"/>
      <c r="D784" s="129"/>
      <c r="E784" s="129"/>
      <c r="F784" s="129"/>
      <c r="G784" s="129"/>
      <c r="H784" s="129"/>
      <c r="I784" s="129"/>
      <c r="J784" s="129"/>
      <c r="K784" s="110"/>
      <c r="L784" s="129"/>
      <c r="M784" t="s">
        <v>351</v>
      </c>
      <c r="N784" s="129"/>
      <c r="O784" s="129"/>
      <c r="P784" s="129"/>
      <c r="Q784" s="129"/>
      <c r="R784" s="129"/>
      <c r="S784" s="129"/>
      <c r="T784" s="129"/>
      <c r="U784" s="129"/>
      <c r="V784" s="141"/>
      <c r="W784" s="139"/>
      <c r="X784" s="129"/>
      <c r="Y784" s="129"/>
      <c r="Z784" s="129"/>
      <c r="AA784" s="129"/>
      <c r="AB784" s="129"/>
      <c r="AC784" s="115"/>
      <c r="AD784" s="129"/>
      <c r="AE784" s="149"/>
      <c r="AF784" s="129"/>
      <c r="AG784" s="129"/>
      <c r="AH784" s="129"/>
    </row>
    <row r="785" spans="3:34" x14ac:dyDescent="0.35">
      <c r="C785" s="129"/>
      <c r="D785" s="129"/>
      <c r="E785" s="129"/>
      <c r="F785" s="129"/>
      <c r="G785" s="129"/>
      <c r="H785" s="129"/>
      <c r="I785" s="129"/>
      <c r="J785" s="129"/>
      <c r="K785" s="110"/>
      <c r="L785" s="129"/>
      <c r="M785" t="s">
        <v>351</v>
      </c>
      <c r="N785" s="129"/>
      <c r="O785" s="129"/>
      <c r="P785" s="129"/>
      <c r="Q785" s="129"/>
      <c r="R785" s="129"/>
      <c r="S785" s="129"/>
      <c r="T785" s="129"/>
      <c r="U785" s="129"/>
      <c r="V785" s="141"/>
      <c r="W785" s="139"/>
      <c r="X785" s="129"/>
      <c r="Y785" s="129"/>
      <c r="Z785" s="129"/>
      <c r="AA785" s="129"/>
      <c r="AB785" s="129"/>
      <c r="AC785" s="115"/>
      <c r="AD785" s="129"/>
      <c r="AE785" s="149"/>
      <c r="AF785" s="129"/>
      <c r="AG785" s="129"/>
      <c r="AH785" s="129"/>
    </row>
    <row r="786" spans="3:34" x14ac:dyDescent="0.35">
      <c r="C786" s="129"/>
      <c r="D786" s="129"/>
      <c r="E786" s="129"/>
      <c r="F786" s="129"/>
      <c r="G786" s="129"/>
      <c r="H786" s="129"/>
      <c r="I786" s="129"/>
      <c r="J786" s="129"/>
      <c r="K786" s="110"/>
      <c r="L786" s="129"/>
      <c r="M786" t="s">
        <v>351</v>
      </c>
      <c r="N786" s="129"/>
      <c r="O786" s="129"/>
      <c r="P786" s="129"/>
      <c r="Q786" s="129"/>
      <c r="R786" s="129"/>
      <c r="S786" s="129"/>
      <c r="T786" s="129"/>
      <c r="U786" s="129"/>
      <c r="V786" s="141"/>
      <c r="W786" s="139"/>
      <c r="X786" s="129"/>
      <c r="Y786" s="129"/>
      <c r="Z786" s="129"/>
      <c r="AA786" s="129"/>
      <c r="AB786" s="129"/>
      <c r="AC786" s="115"/>
      <c r="AD786" s="129"/>
      <c r="AE786" s="149"/>
      <c r="AF786" s="129"/>
      <c r="AG786" s="129"/>
      <c r="AH786" s="129"/>
    </row>
    <row r="787" spans="3:34" x14ac:dyDescent="0.35">
      <c r="C787" s="129"/>
      <c r="D787" s="129"/>
      <c r="E787" s="129"/>
      <c r="F787" s="129"/>
      <c r="G787" s="129"/>
      <c r="H787" s="129"/>
      <c r="I787" s="129"/>
      <c r="J787" s="129"/>
      <c r="K787" s="110"/>
      <c r="L787" s="129"/>
      <c r="M787" t="s">
        <v>351</v>
      </c>
      <c r="N787" s="129"/>
      <c r="O787" s="129"/>
      <c r="P787" s="129"/>
      <c r="Q787" s="129"/>
      <c r="R787" s="129"/>
      <c r="S787" s="129"/>
      <c r="T787" s="129"/>
      <c r="U787" s="129"/>
      <c r="V787" s="141"/>
      <c r="W787" s="139"/>
      <c r="X787" s="129"/>
      <c r="Y787" s="129"/>
      <c r="Z787" s="129"/>
      <c r="AA787" s="129"/>
      <c r="AB787" s="129"/>
      <c r="AC787" s="115"/>
      <c r="AD787" s="129"/>
      <c r="AE787" s="149"/>
      <c r="AF787" s="129"/>
      <c r="AG787" s="129"/>
      <c r="AH787" s="129"/>
    </row>
    <row r="788" spans="3:34" x14ac:dyDescent="0.35">
      <c r="C788" s="129"/>
      <c r="D788" s="129"/>
      <c r="E788" s="129"/>
      <c r="F788" s="129"/>
      <c r="G788" s="129"/>
      <c r="H788" s="129"/>
      <c r="I788" s="129"/>
      <c r="J788" s="129"/>
      <c r="K788" s="110"/>
      <c r="L788" s="129"/>
      <c r="M788" t="s">
        <v>351</v>
      </c>
      <c r="N788" s="129"/>
      <c r="O788" s="129"/>
      <c r="P788" s="129"/>
      <c r="Q788" s="129"/>
      <c r="R788" s="129"/>
      <c r="S788" s="129"/>
      <c r="T788" s="129"/>
      <c r="U788" s="129"/>
      <c r="V788" s="141"/>
      <c r="W788" s="139"/>
      <c r="X788" s="129"/>
      <c r="Y788" s="129"/>
      <c r="Z788" s="129"/>
      <c r="AA788" s="129"/>
      <c r="AB788" s="129"/>
      <c r="AC788" s="115"/>
      <c r="AD788" s="129"/>
      <c r="AE788" s="149"/>
      <c r="AF788" s="129"/>
      <c r="AG788" s="129"/>
      <c r="AH788" s="129"/>
    </row>
    <row r="789" spans="3:34" x14ac:dyDescent="0.35">
      <c r="C789" s="129"/>
      <c r="D789" s="129"/>
      <c r="E789" s="129"/>
      <c r="F789" s="129"/>
      <c r="G789" s="129"/>
      <c r="H789" s="129"/>
      <c r="I789" s="129"/>
      <c r="J789" s="129"/>
      <c r="K789" s="110"/>
      <c r="L789" s="129"/>
      <c r="M789" t="s">
        <v>351</v>
      </c>
      <c r="N789" s="129"/>
      <c r="O789" s="129"/>
      <c r="P789" s="129"/>
      <c r="Q789" s="129"/>
      <c r="R789" s="129"/>
      <c r="S789" s="129"/>
      <c r="T789" s="129"/>
      <c r="U789" s="129"/>
      <c r="V789" s="141"/>
      <c r="W789" s="139"/>
      <c r="X789" s="129"/>
      <c r="Y789" s="129"/>
      <c r="Z789" s="129"/>
      <c r="AA789" s="129"/>
      <c r="AB789" s="129"/>
      <c r="AC789" s="115"/>
      <c r="AD789" s="129"/>
      <c r="AE789" s="149"/>
      <c r="AF789" s="129"/>
      <c r="AG789" s="129"/>
      <c r="AH789" s="129"/>
    </row>
    <row r="790" spans="3:34" x14ac:dyDescent="0.35">
      <c r="C790" s="129"/>
      <c r="D790" s="129"/>
      <c r="E790" s="129"/>
      <c r="F790" s="129"/>
      <c r="G790" s="129"/>
      <c r="H790" s="129"/>
      <c r="I790" s="129"/>
      <c r="J790" s="129"/>
      <c r="K790" s="110"/>
      <c r="L790" s="129"/>
      <c r="M790" t="s">
        <v>351</v>
      </c>
      <c r="N790" s="129"/>
      <c r="O790" s="129"/>
      <c r="P790" s="129"/>
      <c r="Q790" s="129"/>
      <c r="R790" s="129"/>
      <c r="S790" s="129"/>
      <c r="T790" s="129"/>
      <c r="U790" s="129"/>
      <c r="V790" s="141"/>
      <c r="W790" s="139"/>
      <c r="X790" s="129"/>
      <c r="Y790" s="129"/>
      <c r="Z790" s="129"/>
      <c r="AA790" s="129"/>
      <c r="AB790" s="129"/>
      <c r="AC790" s="115"/>
      <c r="AD790" s="129"/>
      <c r="AE790" s="149"/>
      <c r="AF790" s="129"/>
      <c r="AG790" s="129"/>
      <c r="AH790" s="129"/>
    </row>
    <row r="791" spans="3:34" x14ac:dyDescent="0.35">
      <c r="C791" s="129"/>
      <c r="D791" s="129"/>
      <c r="E791" s="129"/>
      <c r="F791" s="129"/>
      <c r="G791" s="129"/>
      <c r="H791" s="129"/>
      <c r="I791" s="129"/>
      <c r="J791" s="129"/>
      <c r="K791" s="110"/>
      <c r="L791" s="129"/>
      <c r="M791" t="s">
        <v>351</v>
      </c>
      <c r="N791" s="129"/>
      <c r="O791" s="129"/>
      <c r="P791" s="129"/>
      <c r="Q791" s="129"/>
      <c r="R791" s="129"/>
      <c r="S791" s="129"/>
      <c r="T791" s="129"/>
      <c r="U791" s="129"/>
      <c r="V791" s="141"/>
      <c r="W791" s="139"/>
      <c r="X791" s="129"/>
      <c r="Y791" s="129"/>
      <c r="Z791" s="129"/>
      <c r="AA791" s="129"/>
      <c r="AB791" s="129"/>
      <c r="AC791" s="115"/>
      <c r="AD791" s="129"/>
      <c r="AE791" s="149"/>
      <c r="AF791" s="129"/>
      <c r="AG791" s="129"/>
      <c r="AH791" s="129"/>
    </row>
    <row r="792" spans="3:34" x14ac:dyDescent="0.35">
      <c r="C792" s="129"/>
      <c r="D792" s="129"/>
      <c r="E792" s="129"/>
      <c r="F792" s="129"/>
      <c r="G792" s="129"/>
      <c r="H792" s="129"/>
      <c r="I792" s="129"/>
      <c r="J792" s="129"/>
      <c r="K792" s="110"/>
      <c r="L792" s="129"/>
      <c r="M792" t="s">
        <v>351</v>
      </c>
      <c r="N792" s="129"/>
      <c r="O792" s="129"/>
      <c r="P792" s="129"/>
      <c r="Q792" s="129"/>
      <c r="R792" s="129"/>
      <c r="S792" s="129"/>
      <c r="T792" s="129"/>
      <c r="U792" s="129"/>
      <c r="V792" s="141"/>
      <c r="W792" s="139"/>
      <c r="X792" s="129"/>
      <c r="Y792" s="129"/>
      <c r="Z792" s="129"/>
      <c r="AA792" s="129"/>
      <c r="AB792" s="129"/>
      <c r="AC792" s="115"/>
      <c r="AD792" s="129"/>
      <c r="AE792" s="149"/>
      <c r="AF792" s="129"/>
      <c r="AG792" s="129"/>
      <c r="AH792" s="129"/>
    </row>
    <row r="793" spans="3:34" x14ac:dyDescent="0.35">
      <c r="C793" s="129"/>
      <c r="D793" s="129"/>
      <c r="E793" s="129"/>
      <c r="F793" s="129"/>
      <c r="G793" s="129"/>
      <c r="H793" s="129"/>
      <c r="I793" s="129"/>
      <c r="J793" s="129"/>
      <c r="K793" s="110"/>
      <c r="L793" s="129"/>
      <c r="M793" t="s">
        <v>351</v>
      </c>
      <c r="N793" s="129"/>
      <c r="O793" s="129"/>
      <c r="P793" s="129"/>
      <c r="Q793" s="129"/>
      <c r="R793" s="129"/>
      <c r="S793" s="129"/>
      <c r="T793" s="129"/>
      <c r="U793" s="129"/>
      <c r="V793" s="141"/>
      <c r="W793" s="139"/>
      <c r="X793" s="129"/>
      <c r="Y793" s="129"/>
      <c r="Z793" s="129"/>
      <c r="AA793" s="129"/>
      <c r="AB793" s="129"/>
      <c r="AC793" s="115"/>
      <c r="AD793" s="129"/>
      <c r="AE793" s="149"/>
      <c r="AF793" s="129"/>
      <c r="AG793" s="129"/>
      <c r="AH793" s="129"/>
    </row>
    <row r="794" spans="3:34" x14ac:dyDescent="0.35">
      <c r="C794" s="129"/>
      <c r="D794" s="129"/>
      <c r="E794" s="129"/>
      <c r="F794" s="129"/>
      <c r="G794" s="129"/>
      <c r="H794" s="129"/>
      <c r="I794" s="129"/>
      <c r="J794" s="129"/>
      <c r="K794" s="110"/>
      <c r="L794" s="129"/>
      <c r="M794" t="s">
        <v>351</v>
      </c>
      <c r="N794" s="129"/>
      <c r="O794" s="129"/>
      <c r="P794" s="129"/>
      <c r="Q794" s="129"/>
      <c r="R794" s="129"/>
      <c r="S794" s="129"/>
      <c r="T794" s="129"/>
      <c r="U794" s="129"/>
      <c r="V794" s="141"/>
      <c r="W794" s="139"/>
      <c r="X794" s="129"/>
      <c r="Y794" s="129"/>
      <c r="Z794" s="129"/>
      <c r="AA794" s="129"/>
      <c r="AB794" s="129"/>
      <c r="AC794" s="115"/>
      <c r="AD794" s="129"/>
      <c r="AE794" s="149"/>
      <c r="AF794" s="129"/>
      <c r="AG794" s="129"/>
      <c r="AH794" s="129"/>
    </row>
    <row r="795" spans="3:34" x14ac:dyDescent="0.35">
      <c r="C795" s="129"/>
      <c r="D795" s="129"/>
      <c r="E795" s="129"/>
      <c r="F795" s="129"/>
      <c r="G795" s="129"/>
      <c r="H795" s="129"/>
      <c r="I795" s="129"/>
      <c r="J795" s="129"/>
      <c r="K795" s="110"/>
      <c r="L795" s="129"/>
      <c r="M795" t="s">
        <v>351</v>
      </c>
      <c r="N795" s="129"/>
      <c r="O795" s="129"/>
      <c r="P795" s="129"/>
      <c r="Q795" s="129"/>
      <c r="R795" s="129"/>
      <c r="S795" s="129"/>
      <c r="T795" s="129"/>
      <c r="U795" s="129"/>
      <c r="V795" s="141"/>
      <c r="W795" s="139"/>
      <c r="X795" s="129"/>
      <c r="Y795" s="129"/>
      <c r="Z795" s="129"/>
      <c r="AA795" s="129"/>
      <c r="AB795" s="129"/>
      <c r="AC795" s="115"/>
      <c r="AD795" s="129"/>
      <c r="AE795" s="149"/>
      <c r="AF795" s="129"/>
      <c r="AG795" s="129"/>
      <c r="AH795" s="129"/>
    </row>
    <row r="796" spans="3:34" x14ac:dyDescent="0.35">
      <c r="C796" s="129"/>
      <c r="D796" s="129"/>
      <c r="E796" s="129"/>
      <c r="F796" s="129"/>
      <c r="G796" s="129"/>
      <c r="H796" s="129"/>
      <c r="I796" s="129"/>
      <c r="J796" s="129"/>
      <c r="K796" s="110"/>
      <c r="L796" s="129"/>
      <c r="M796" t="s">
        <v>351</v>
      </c>
      <c r="N796" s="129"/>
      <c r="O796" s="129"/>
      <c r="P796" s="129"/>
      <c r="Q796" s="129"/>
      <c r="R796" s="129"/>
      <c r="S796" s="129"/>
      <c r="T796" s="129"/>
      <c r="U796" s="129"/>
      <c r="V796" s="141"/>
      <c r="W796" s="139"/>
      <c r="X796" s="129"/>
      <c r="Y796" s="129"/>
      <c r="Z796" s="129"/>
      <c r="AA796" s="129"/>
      <c r="AB796" s="129"/>
      <c r="AC796" s="115"/>
      <c r="AD796" s="129"/>
      <c r="AE796" s="149"/>
      <c r="AF796" s="129"/>
      <c r="AG796" s="129"/>
      <c r="AH796" s="129"/>
    </row>
    <row r="797" spans="3:34" x14ac:dyDescent="0.35">
      <c r="C797" s="129"/>
      <c r="D797" s="129"/>
      <c r="E797" s="129"/>
      <c r="F797" s="129"/>
      <c r="G797" s="129"/>
      <c r="H797" s="129"/>
      <c r="I797" s="129"/>
      <c r="J797" s="129"/>
      <c r="K797" s="110"/>
      <c r="L797" s="129"/>
      <c r="M797" t="s">
        <v>351</v>
      </c>
      <c r="N797" s="129"/>
      <c r="O797" s="129"/>
      <c r="P797" s="129"/>
      <c r="Q797" s="129"/>
      <c r="R797" s="129"/>
      <c r="S797" s="129"/>
      <c r="T797" s="129"/>
      <c r="U797" s="129"/>
      <c r="V797" s="141"/>
      <c r="W797" s="139"/>
      <c r="X797" s="129"/>
      <c r="Y797" s="129"/>
      <c r="Z797" s="129"/>
      <c r="AA797" s="129"/>
      <c r="AB797" s="129"/>
      <c r="AC797" s="115"/>
      <c r="AD797" s="129"/>
      <c r="AE797" s="149"/>
      <c r="AF797" s="129"/>
      <c r="AG797" s="129"/>
      <c r="AH797" s="129"/>
    </row>
    <row r="798" spans="3:34" x14ac:dyDescent="0.35">
      <c r="C798" s="129"/>
      <c r="D798" s="129"/>
      <c r="E798" s="129"/>
      <c r="F798" s="129"/>
      <c r="G798" s="129"/>
      <c r="H798" s="129"/>
      <c r="I798" s="129"/>
      <c r="J798" s="129"/>
      <c r="K798" s="110"/>
      <c r="L798" s="129"/>
      <c r="M798" t="s">
        <v>351</v>
      </c>
      <c r="N798" s="129"/>
      <c r="O798" s="129"/>
      <c r="P798" s="129"/>
      <c r="Q798" s="129"/>
      <c r="R798" s="129"/>
      <c r="S798" s="129"/>
      <c r="T798" s="129"/>
      <c r="U798" s="129"/>
      <c r="V798" s="141"/>
      <c r="W798" s="139"/>
      <c r="X798" s="129"/>
      <c r="Y798" s="129"/>
      <c r="Z798" s="129"/>
      <c r="AA798" s="129"/>
      <c r="AB798" s="129"/>
      <c r="AC798" s="115"/>
      <c r="AD798" s="129"/>
      <c r="AE798" s="149"/>
      <c r="AF798" s="129"/>
      <c r="AG798" s="129"/>
      <c r="AH798" s="129"/>
    </row>
    <row r="799" spans="3:34" x14ac:dyDescent="0.35">
      <c r="C799" s="129"/>
      <c r="D799" s="129"/>
      <c r="E799" s="129"/>
      <c r="F799" s="129"/>
      <c r="G799" s="129"/>
      <c r="H799" s="129"/>
      <c r="I799" s="129"/>
      <c r="J799" s="129"/>
      <c r="K799" s="110"/>
      <c r="L799" s="129"/>
      <c r="M799" t="s">
        <v>351</v>
      </c>
      <c r="N799" s="129"/>
      <c r="O799" s="129"/>
      <c r="P799" s="129"/>
      <c r="Q799" s="129"/>
      <c r="R799" s="129"/>
      <c r="S799" s="129"/>
      <c r="T799" s="129"/>
      <c r="U799" s="129"/>
      <c r="V799" s="141"/>
      <c r="W799" s="139"/>
      <c r="X799" s="129"/>
      <c r="Y799" s="129"/>
      <c r="Z799" s="129"/>
      <c r="AA799" s="129"/>
      <c r="AB799" s="129"/>
      <c r="AC799" s="115"/>
      <c r="AD799" s="129"/>
      <c r="AE799" s="149"/>
      <c r="AF799" s="129"/>
      <c r="AG799" s="129"/>
      <c r="AH799" s="129"/>
    </row>
    <row r="800" spans="3:34" x14ac:dyDescent="0.35">
      <c r="C800" s="129"/>
      <c r="D800" s="129"/>
      <c r="E800" s="129"/>
      <c r="F800" s="129"/>
      <c r="G800" s="129"/>
      <c r="H800" s="129"/>
      <c r="I800" s="129"/>
      <c r="J800" s="129"/>
      <c r="K800" s="110"/>
      <c r="L800" s="129"/>
      <c r="M800" t="s">
        <v>351</v>
      </c>
      <c r="N800" s="129"/>
      <c r="O800" s="129"/>
      <c r="P800" s="129"/>
      <c r="Q800" s="129"/>
      <c r="R800" s="129"/>
      <c r="S800" s="129"/>
      <c r="T800" s="129"/>
      <c r="U800" s="129"/>
      <c r="V800" s="141"/>
      <c r="W800" s="139"/>
      <c r="X800" s="129"/>
      <c r="Y800" s="129"/>
      <c r="Z800" s="129"/>
      <c r="AA800" s="129"/>
      <c r="AB800" s="129"/>
      <c r="AC800" s="115"/>
      <c r="AD800" s="129"/>
      <c r="AE800" s="149"/>
      <c r="AF800" s="129"/>
      <c r="AG800" s="129"/>
      <c r="AH800" s="129"/>
    </row>
    <row r="801" spans="3:34" x14ac:dyDescent="0.35">
      <c r="C801" s="129"/>
      <c r="D801" s="129"/>
      <c r="E801" s="129"/>
      <c r="F801" s="129"/>
      <c r="G801" s="129"/>
      <c r="H801" s="129"/>
      <c r="I801" s="129"/>
      <c r="J801" s="129"/>
      <c r="K801" s="110"/>
      <c r="L801" s="129"/>
      <c r="M801" t="s">
        <v>351</v>
      </c>
      <c r="N801" s="129"/>
      <c r="O801" s="129"/>
      <c r="P801" s="129"/>
      <c r="Q801" s="129"/>
      <c r="R801" s="129"/>
      <c r="S801" s="129"/>
      <c r="T801" s="129"/>
      <c r="U801" s="129"/>
      <c r="V801" s="141"/>
      <c r="W801" s="139"/>
      <c r="X801" s="129"/>
      <c r="Y801" s="129"/>
      <c r="Z801" s="129"/>
      <c r="AA801" s="129"/>
      <c r="AB801" s="129"/>
      <c r="AC801" s="115"/>
      <c r="AD801" s="129"/>
      <c r="AE801" s="149"/>
      <c r="AF801" s="129"/>
      <c r="AG801" s="129"/>
      <c r="AH801" s="129"/>
    </row>
    <row r="802" spans="3:34" x14ac:dyDescent="0.35">
      <c r="C802" s="129"/>
      <c r="D802" s="129"/>
      <c r="E802" s="129"/>
      <c r="F802" s="129"/>
      <c r="G802" s="129"/>
      <c r="H802" s="129"/>
      <c r="I802" s="129"/>
      <c r="J802" s="129"/>
      <c r="K802" s="110"/>
      <c r="L802" s="129"/>
      <c r="M802" t="s">
        <v>351</v>
      </c>
      <c r="N802" s="129"/>
      <c r="O802" s="129"/>
      <c r="P802" s="129"/>
      <c r="Q802" s="129"/>
      <c r="R802" s="129"/>
      <c r="S802" s="129"/>
      <c r="T802" s="129"/>
      <c r="U802" s="129"/>
      <c r="V802" s="141"/>
      <c r="W802" s="139"/>
      <c r="X802" s="129"/>
      <c r="Y802" s="129"/>
      <c r="Z802" s="129"/>
      <c r="AA802" s="129"/>
      <c r="AB802" s="129"/>
      <c r="AC802" s="115"/>
      <c r="AD802" s="129"/>
      <c r="AE802" s="149"/>
      <c r="AF802" s="129"/>
      <c r="AG802" s="129"/>
      <c r="AH802" s="129"/>
    </row>
    <row r="803" spans="3:34" x14ac:dyDescent="0.35">
      <c r="C803" s="129"/>
      <c r="D803" s="129"/>
      <c r="E803" s="129"/>
      <c r="F803" s="129"/>
      <c r="G803" s="129"/>
      <c r="H803" s="129"/>
      <c r="I803" s="129"/>
      <c r="J803" s="129"/>
      <c r="K803" s="110"/>
      <c r="L803" s="129"/>
      <c r="M803" t="s">
        <v>351</v>
      </c>
      <c r="N803" s="129"/>
      <c r="O803" s="129"/>
      <c r="P803" s="129"/>
      <c r="Q803" s="129"/>
      <c r="R803" s="129"/>
      <c r="S803" s="129"/>
      <c r="T803" s="129"/>
      <c r="U803" s="129"/>
      <c r="V803" s="141"/>
      <c r="W803" s="139"/>
      <c r="X803" s="129"/>
      <c r="Y803" s="129"/>
      <c r="Z803" s="129"/>
      <c r="AA803" s="129"/>
      <c r="AB803" s="129"/>
      <c r="AC803" s="115"/>
      <c r="AD803" s="129"/>
      <c r="AE803" s="149"/>
      <c r="AF803" s="129"/>
      <c r="AG803" s="129"/>
      <c r="AH803" s="129"/>
    </row>
    <row r="804" spans="3:34" x14ac:dyDescent="0.35">
      <c r="C804" s="129"/>
      <c r="D804" s="129"/>
      <c r="E804" s="129"/>
      <c r="F804" s="129"/>
      <c r="G804" s="129"/>
      <c r="H804" s="129"/>
      <c r="I804" s="129"/>
      <c r="J804" s="129"/>
      <c r="K804" s="110"/>
      <c r="L804" s="129"/>
      <c r="M804" t="s">
        <v>351</v>
      </c>
      <c r="N804" s="129"/>
      <c r="O804" s="129"/>
      <c r="P804" s="129"/>
      <c r="Q804" s="129"/>
      <c r="R804" s="129"/>
      <c r="S804" s="129"/>
      <c r="T804" s="129"/>
      <c r="U804" s="129"/>
      <c r="V804" s="141"/>
      <c r="W804" s="139"/>
      <c r="X804" s="129"/>
      <c r="Y804" s="129"/>
      <c r="Z804" s="129"/>
      <c r="AA804" s="129"/>
      <c r="AB804" s="129"/>
      <c r="AC804" s="115"/>
      <c r="AD804" s="129"/>
      <c r="AE804" s="149"/>
      <c r="AF804" s="129"/>
      <c r="AG804" s="129"/>
      <c r="AH804" s="129"/>
    </row>
    <row r="805" spans="3:34" x14ac:dyDescent="0.35">
      <c r="C805" s="129"/>
      <c r="D805" s="129"/>
      <c r="E805" s="129"/>
      <c r="F805" s="129"/>
      <c r="G805" s="129"/>
      <c r="H805" s="129"/>
      <c r="I805" s="129"/>
      <c r="J805" s="129"/>
      <c r="K805" s="110"/>
      <c r="L805" s="129"/>
      <c r="M805" t="s">
        <v>351</v>
      </c>
      <c r="N805" s="129"/>
      <c r="O805" s="129"/>
      <c r="P805" s="129"/>
      <c r="Q805" s="129"/>
      <c r="R805" s="129"/>
      <c r="S805" s="129"/>
      <c r="T805" s="129"/>
      <c r="U805" s="129"/>
      <c r="V805" s="141"/>
      <c r="W805" s="139"/>
      <c r="X805" s="129"/>
      <c r="Y805" s="129"/>
      <c r="Z805" s="129"/>
      <c r="AA805" s="129"/>
      <c r="AB805" s="129"/>
      <c r="AC805" s="115"/>
      <c r="AD805" s="129"/>
      <c r="AE805" s="149"/>
      <c r="AF805" s="129"/>
      <c r="AG805" s="129"/>
      <c r="AH805" s="129"/>
    </row>
    <row r="806" spans="3:34" x14ac:dyDescent="0.35">
      <c r="C806" s="129"/>
      <c r="D806" s="129"/>
      <c r="E806" s="129"/>
      <c r="F806" s="129"/>
      <c r="G806" s="129"/>
      <c r="H806" s="129"/>
      <c r="I806" s="129"/>
      <c r="J806" s="129"/>
      <c r="K806" s="110"/>
      <c r="L806" s="129"/>
      <c r="M806" t="s">
        <v>351</v>
      </c>
      <c r="N806" s="129"/>
      <c r="O806" s="129"/>
      <c r="P806" s="129"/>
      <c r="Q806" s="129"/>
      <c r="R806" s="129"/>
      <c r="S806" s="129"/>
      <c r="T806" s="129"/>
      <c r="U806" s="129"/>
      <c r="V806" s="141"/>
      <c r="W806" s="139"/>
      <c r="X806" s="129"/>
      <c r="Y806" s="129"/>
      <c r="Z806" s="129"/>
      <c r="AA806" s="129"/>
      <c r="AB806" s="129"/>
      <c r="AC806" s="115"/>
      <c r="AD806" s="129"/>
      <c r="AE806" s="149"/>
      <c r="AF806" s="129"/>
      <c r="AG806" s="129"/>
      <c r="AH806" s="129"/>
    </row>
    <row r="807" spans="3:34" x14ac:dyDescent="0.35">
      <c r="C807" s="129"/>
      <c r="D807" s="129"/>
      <c r="E807" s="129"/>
      <c r="F807" s="129"/>
      <c r="G807" s="129"/>
      <c r="H807" s="129"/>
      <c r="I807" s="129"/>
      <c r="J807" s="129"/>
      <c r="K807" s="110"/>
      <c r="L807" s="129"/>
      <c r="M807" t="s">
        <v>351</v>
      </c>
      <c r="N807" s="129"/>
      <c r="O807" s="129"/>
      <c r="P807" s="129"/>
      <c r="Q807" s="129"/>
      <c r="R807" s="129"/>
      <c r="S807" s="129"/>
      <c r="T807" s="129"/>
      <c r="U807" s="129"/>
      <c r="V807" s="141"/>
      <c r="W807" s="139"/>
      <c r="X807" s="129"/>
      <c r="Y807" s="129"/>
      <c r="Z807" s="129"/>
      <c r="AA807" s="129"/>
      <c r="AB807" s="129"/>
      <c r="AC807" s="115"/>
      <c r="AD807" s="129"/>
      <c r="AE807" s="149"/>
      <c r="AF807" s="129"/>
      <c r="AG807" s="129"/>
      <c r="AH807" s="129"/>
    </row>
    <row r="808" spans="3:34" x14ac:dyDescent="0.35">
      <c r="C808" s="129"/>
      <c r="D808" s="129"/>
      <c r="E808" s="129"/>
      <c r="F808" s="129"/>
      <c r="G808" s="129"/>
      <c r="H808" s="129"/>
      <c r="I808" s="129"/>
      <c r="J808" s="129"/>
      <c r="K808" s="110"/>
      <c r="L808" s="129"/>
      <c r="M808" t="s">
        <v>351</v>
      </c>
      <c r="N808" s="129"/>
      <c r="O808" s="129"/>
      <c r="P808" s="129"/>
      <c r="Q808" s="129"/>
      <c r="R808" s="129"/>
      <c r="S808" s="129"/>
      <c r="T808" s="129"/>
      <c r="U808" s="129"/>
      <c r="V808" s="141"/>
      <c r="W808" s="139"/>
      <c r="X808" s="129"/>
      <c r="Y808" s="129"/>
      <c r="Z808" s="129"/>
      <c r="AA808" s="129"/>
      <c r="AB808" s="129"/>
      <c r="AC808" s="115"/>
      <c r="AD808" s="129"/>
      <c r="AE808" s="149"/>
      <c r="AF808" s="129"/>
      <c r="AG808" s="129"/>
      <c r="AH808" s="129"/>
    </row>
    <row r="809" spans="3:34" x14ac:dyDescent="0.35">
      <c r="C809" s="129"/>
      <c r="D809" s="129"/>
      <c r="E809" s="129"/>
      <c r="F809" s="129"/>
      <c r="G809" s="129"/>
      <c r="H809" s="129"/>
      <c r="I809" s="129"/>
      <c r="J809" s="129"/>
      <c r="K809" s="110"/>
      <c r="L809" s="129"/>
      <c r="M809" t="s">
        <v>351</v>
      </c>
      <c r="N809" s="129"/>
      <c r="O809" s="129"/>
      <c r="P809" s="129"/>
      <c r="Q809" s="129"/>
      <c r="R809" s="129"/>
      <c r="S809" s="129"/>
      <c r="T809" s="129"/>
      <c r="U809" s="129"/>
      <c r="V809" s="141"/>
      <c r="W809" s="139"/>
      <c r="X809" s="129"/>
      <c r="Y809" s="129"/>
      <c r="Z809" s="129"/>
      <c r="AA809" s="129"/>
      <c r="AB809" s="129"/>
      <c r="AC809" s="115"/>
      <c r="AD809" s="129"/>
      <c r="AE809" s="149"/>
      <c r="AF809" s="129"/>
      <c r="AG809" s="129"/>
      <c r="AH809" s="129"/>
    </row>
    <row r="810" spans="3:34" x14ac:dyDescent="0.35">
      <c r="C810" s="129"/>
      <c r="D810" s="129"/>
      <c r="E810" s="129"/>
      <c r="F810" s="129"/>
      <c r="G810" s="129"/>
      <c r="H810" s="129"/>
      <c r="I810" s="129"/>
      <c r="J810" s="129"/>
      <c r="K810" s="110"/>
      <c r="L810" s="129"/>
      <c r="M810" t="s">
        <v>351</v>
      </c>
      <c r="N810" s="129"/>
      <c r="O810" s="129"/>
      <c r="P810" s="129"/>
      <c r="Q810" s="129"/>
      <c r="R810" s="129"/>
      <c r="S810" s="129"/>
      <c r="T810" s="129"/>
      <c r="U810" s="129"/>
      <c r="V810" s="141"/>
      <c r="W810" s="139"/>
      <c r="X810" s="129"/>
      <c r="Y810" s="129"/>
      <c r="Z810" s="129"/>
      <c r="AA810" s="129"/>
      <c r="AB810" s="129"/>
      <c r="AC810" s="115"/>
      <c r="AD810" s="129"/>
      <c r="AE810" s="149"/>
      <c r="AF810" s="129"/>
      <c r="AG810" s="129"/>
      <c r="AH810" s="129"/>
    </row>
    <row r="811" spans="3:34" x14ac:dyDescent="0.35">
      <c r="C811" s="129"/>
      <c r="D811" s="129"/>
      <c r="E811" s="129"/>
      <c r="F811" s="129"/>
      <c r="G811" s="129"/>
      <c r="H811" s="129"/>
      <c r="I811" s="129"/>
      <c r="J811" s="129"/>
      <c r="K811" s="110"/>
      <c r="L811" s="129"/>
      <c r="M811" t="s">
        <v>351</v>
      </c>
      <c r="N811" s="129"/>
      <c r="O811" s="129"/>
      <c r="P811" s="129"/>
      <c r="Q811" s="129"/>
      <c r="R811" s="129"/>
      <c r="S811" s="129"/>
      <c r="T811" s="129"/>
      <c r="U811" s="129"/>
      <c r="V811" s="141"/>
      <c r="W811" s="139"/>
      <c r="X811" s="129"/>
      <c r="Y811" s="129"/>
      <c r="Z811" s="129"/>
      <c r="AA811" s="129"/>
      <c r="AB811" s="129"/>
      <c r="AC811" s="115"/>
      <c r="AD811" s="129"/>
      <c r="AE811" s="149"/>
      <c r="AF811" s="129"/>
      <c r="AG811" s="129"/>
      <c r="AH811" s="129"/>
    </row>
    <row r="812" spans="3:34" x14ac:dyDescent="0.35">
      <c r="C812" s="129"/>
      <c r="D812" s="129"/>
      <c r="E812" s="129"/>
      <c r="F812" s="129"/>
      <c r="G812" s="129"/>
      <c r="H812" s="129"/>
      <c r="I812" s="129"/>
      <c r="J812" s="129"/>
      <c r="K812" s="110"/>
      <c r="L812" s="129"/>
      <c r="M812" t="s">
        <v>351</v>
      </c>
      <c r="N812" s="129"/>
      <c r="O812" s="129"/>
      <c r="P812" s="129"/>
      <c r="Q812" s="129"/>
      <c r="R812" s="129"/>
      <c r="S812" s="129"/>
      <c r="T812" s="129"/>
      <c r="U812" s="129"/>
      <c r="V812" s="141"/>
      <c r="W812" s="139"/>
      <c r="X812" s="129"/>
      <c r="Y812" s="129"/>
      <c r="Z812" s="129"/>
      <c r="AA812" s="129"/>
      <c r="AB812" s="129"/>
      <c r="AC812" s="115"/>
      <c r="AD812" s="129"/>
      <c r="AE812" s="149"/>
      <c r="AF812" s="129"/>
      <c r="AG812" s="129"/>
      <c r="AH812" s="129"/>
    </row>
    <row r="813" spans="3:34" x14ac:dyDescent="0.35">
      <c r="C813" s="129"/>
      <c r="D813" s="129"/>
      <c r="E813" s="129"/>
      <c r="F813" s="129"/>
      <c r="G813" s="129"/>
      <c r="H813" s="129"/>
      <c r="I813" s="129"/>
      <c r="J813" s="129"/>
      <c r="K813" s="110"/>
      <c r="L813" s="129"/>
      <c r="M813" t="s">
        <v>351</v>
      </c>
      <c r="N813" s="129"/>
      <c r="O813" s="129"/>
      <c r="P813" s="129"/>
      <c r="Q813" s="129"/>
      <c r="R813" s="129"/>
      <c r="S813" s="129"/>
      <c r="T813" s="129"/>
      <c r="U813" s="129"/>
      <c r="V813" s="141"/>
      <c r="W813" s="139"/>
      <c r="X813" s="129"/>
      <c r="Y813" s="129"/>
      <c r="Z813" s="129"/>
      <c r="AA813" s="129"/>
      <c r="AB813" s="129"/>
      <c r="AC813" s="115"/>
      <c r="AD813" s="129"/>
      <c r="AE813" s="149"/>
      <c r="AF813" s="129"/>
      <c r="AG813" s="129"/>
      <c r="AH813" s="129"/>
    </row>
    <row r="814" spans="3:34" x14ac:dyDescent="0.35">
      <c r="C814" s="129"/>
      <c r="D814" s="129"/>
      <c r="E814" s="129"/>
      <c r="F814" s="129"/>
      <c r="G814" s="129"/>
      <c r="H814" s="129"/>
      <c r="I814" s="129"/>
      <c r="J814" s="129"/>
      <c r="K814" s="110"/>
      <c r="L814" s="129"/>
      <c r="M814" t="s">
        <v>351</v>
      </c>
      <c r="N814" s="129"/>
      <c r="O814" s="129"/>
      <c r="P814" s="129"/>
      <c r="Q814" s="129"/>
      <c r="R814" s="129"/>
      <c r="S814" s="129"/>
      <c r="T814" s="129"/>
      <c r="U814" s="129"/>
      <c r="V814" s="141"/>
      <c r="W814" s="139"/>
      <c r="X814" s="129"/>
      <c r="Y814" s="129"/>
      <c r="Z814" s="129"/>
      <c r="AA814" s="129"/>
      <c r="AB814" s="129"/>
      <c r="AC814" s="115"/>
      <c r="AD814" s="129"/>
      <c r="AE814" s="149"/>
      <c r="AF814" s="129"/>
      <c r="AG814" s="129"/>
      <c r="AH814" s="129"/>
    </row>
    <row r="815" spans="3:34" x14ac:dyDescent="0.35">
      <c r="C815" s="129"/>
      <c r="D815" s="129"/>
      <c r="E815" s="129"/>
      <c r="F815" s="129"/>
      <c r="G815" s="129"/>
      <c r="H815" s="129"/>
      <c r="I815" s="129"/>
      <c r="J815" s="129"/>
      <c r="K815" s="110"/>
      <c r="L815" s="129"/>
      <c r="M815" t="s">
        <v>351</v>
      </c>
      <c r="N815" s="129"/>
      <c r="O815" s="129"/>
      <c r="P815" s="129"/>
      <c r="Q815" s="129"/>
      <c r="R815" s="129"/>
      <c r="S815" s="129"/>
      <c r="T815" s="129"/>
      <c r="U815" s="129"/>
      <c r="V815" s="141"/>
      <c r="W815" s="139"/>
      <c r="X815" s="129"/>
      <c r="Y815" s="129"/>
      <c r="Z815" s="129"/>
      <c r="AA815" s="129"/>
      <c r="AB815" s="129"/>
      <c r="AC815" s="115"/>
      <c r="AD815" s="129"/>
      <c r="AE815" s="149"/>
      <c r="AF815" s="129"/>
      <c r="AG815" s="129"/>
      <c r="AH815" s="129"/>
    </row>
    <row r="816" spans="3:34" x14ac:dyDescent="0.35">
      <c r="C816" s="129"/>
      <c r="D816" s="129"/>
      <c r="E816" s="129"/>
      <c r="F816" s="129"/>
      <c r="G816" s="129"/>
      <c r="H816" s="129"/>
      <c r="I816" s="129"/>
      <c r="J816" s="129"/>
      <c r="K816" s="110"/>
      <c r="L816" s="129"/>
      <c r="M816" t="s">
        <v>351</v>
      </c>
      <c r="N816" s="129"/>
      <c r="O816" s="129"/>
      <c r="P816" s="129"/>
      <c r="Q816" s="129"/>
      <c r="R816" s="129"/>
      <c r="S816" s="129"/>
      <c r="T816" s="129"/>
      <c r="U816" s="129"/>
      <c r="V816" s="141"/>
      <c r="W816" s="139"/>
      <c r="X816" s="129"/>
      <c r="Y816" s="129"/>
      <c r="Z816" s="129"/>
      <c r="AA816" s="129"/>
      <c r="AB816" s="129"/>
      <c r="AC816" s="115"/>
      <c r="AD816" s="129"/>
      <c r="AE816" s="149"/>
      <c r="AF816" s="129"/>
      <c r="AG816" s="129"/>
      <c r="AH816" s="129"/>
    </row>
    <row r="817" spans="3:34" x14ac:dyDescent="0.35">
      <c r="C817" s="129"/>
      <c r="D817" s="129"/>
      <c r="E817" s="129"/>
      <c r="F817" s="129"/>
      <c r="G817" s="129"/>
      <c r="H817" s="129"/>
      <c r="I817" s="129"/>
      <c r="J817" s="129"/>
      <c r="K817" s="110"/>
      <c r="L817" s="129"/>
      <c r="M817" t="s">
        <v>351</v>
      </c>
      <c r="N817" s="129"/>
      <c r="O817" s="129"/>
      <c r="P817" s="129"/>
      <c r="Q817" s="129"/>
      <c r="R817" s="129"/>
      <c r="S817" s="129"/>
      <c r="T817" s="129"/>
      <c r="U817" s="129"/>
      <c r="V817" s="141"/>
      <c r="W817" s="139"/>
      <c r="X817" s="129"/>
      <c r="Y817" s="129"/>
      <c r="Z817" s="129"/>
      <c r="AA817" s="129"/>
      <c r="AB817" s="129"/>
      <c r="AC817" s="115"/>
      <c r="AD817" s="129"/>
      <c r="AE817" s="149"/>
      <c r="AF817" s="129"/>
      <c r="AG817" s="129"/>
      <c r="AH817" s="129"/>
    </row>
    <row r="818" spans="3:34" x14ac:dyDescent="0.35">
      <c r="C818" s="129"/>
      <c r="D818" s="129"/>
      <c r="E818" s="129"/>
      <c r="F818" s="129"/>
      <c r="G818" s="129"/>
      <c r="H818" s="129"/>
      <c r="I818" s="129"/>
      <c r="J818" s="129"/>
      <c r="K818" s="110"/>
      <c r="L818" s="129"/>
      <c r="M818" t="s">
        <v>351</v>
      </c>
      <c r="N818" s="129"/>
      <c r="O818" s="129"/>
      <c r="P818" s="129"/>
      <c r="Q818" s="129"/>
      <c r="R818" s="129"/>
      <c r="S818" s="129"/>
      <c r="T818" s="129"/>
      <c r="U818" s="129"/>
      <c r="V818" s="141"/>
      <c r="W818" s="139"/>
      <c r="X818" s="129"/>
      <c r="Y818" s="129"/>
      <c r="Z818" s="129"/>
      <c r="AA818" s="129"/>
      <c r="AB818" s="129"/>
      <c r="AC818" s="115"/>
      <c r="AD818" s="129"/>
      <c r="AE818" s="149"/>
      <c r="AF818" s="129"/>
      <c r="AG818" s="129"/>
      <c r="AH818" s="129"/>
    </row>
    <row r="819" spans="3:34" x14ac:dyDescent="0.35">
      <c r="C819" s="129"/>
      <c r="D819" s="129"/>
      <c r="E819" s="129"/>
      <c r="F819" s="129"/>
      <c r="G819" s="129"/>
      <c r="H819" s="129"/>
      <c r="I819" s="129"/>
      <c r="J819" s="129"/>
      <c r="K819" s="110"/>
      <c r="L819" s="129"/>
      <c r="M819" t="s">
        <v>351</v>
      </c>
      <c r="N819" s="129"/>
      <c r="O819" s="129"/>
      <c r="P819" s="129"/>
      <c r="Q819" s="129"/>
      <c r="R819" s="129"/>
      <c r="S819" s="129"/>
      <c r="T819" s="129"/>
      <c r="U819" s="129"/>
      <c r="V819" s="141"/>
      <c r="W819" s="139"/>
      <c r="X819" s="129"/>
      <c r="Y819" s="129"/>
      <c r="Z819" s="129"/>
      <c r="AA819" s="129"/>
      <c r="AB819" s="129"/>
      <c r="AC819" s="115"/>
      <c r="AD819" s="129"/>
      <c r="AE819" s="149"/>
      <c r="AF819" s="129"/>
      <c r="AG819" s="129"/>
      <c r="AH819" s="129"/>
    </row>
    <row r="820" spans="3:34" x14ac:dyDescent="0.35">
      <c r="C820" s="129"/>
      <c r="D820" s="129"/>
      <c r="E820" s="129"/>
      <c r="F820" s="129"/>
      <c r="G820" s="129"/>
      <c r="H820" s="129"/>
      <c r="I820" s="129"/>
      <c r="J820" s="129"/>
      <c r="K820" s="110"/>
      <c r="L820" s="129"/>
      <c r="M820" t="s">
        <v>351</v>
      </c>
      <c r="N820" s="129"/>
      <c r="O820" s="129"/>
      <c r="P820" s="129"/>
      <c r="Q820" s="129"/>
      <c r="R820" s="129"/>
      <c r="S820" s="129"/>
      <c r="T820" s="129"/>
      <c r="U820" s="129"/>
      <c r="V820" s="141"/>
      <c r="W820" s="139"/>
      <c r="X820" s="129"/>
      <c r="Y820" s="129"/>
      <c r="Z820" s="129"/>
      <c r="AA820" s="129"/>
      <c r="AB820" s="129"/>
      <c r="AC820" s="115"/>
      <c r="AD820" s="129"/>
      <c r="AE820" s="149"/>
      <c r="AF820" s="129"/>
      <c r="AG820" s="129"/>
      <c r="AH820" s="129"/>
    </row>
    <row r="821" spans="3:34" x14ac:dyDescent="0.35">
      <c r="C821" s="129"/>
      <c r="D821" s="129"/>
      <c r="E821" s="129"/>
      <c r="F821" s="129"/>
      <c r="G821" s="129"/>
      <c r="H821" s="129"/>
      <c r="I821" s="129"/>
      <c r="J821" s="129"/>
      <c r="K821" s="110"/>
      <c r="L821" s="129"/>
      <c r="M821" t="s">
        <v>351</v>
      </c>
      <c r="N821" s="129"/>
      <c r="O821" s="129"/>
      <c r="P821" s="129"/>
      <c r="Q821" s="129"/>
      <c r="R821" s="129"/>
      <c r="S821" s="129"/>
      <c r="T821" s="129"/>
      <c r="U821" s="129"/>
      <c r="V821" s="141"/>
      <c r="W821" s="139"/>
      <c r="X821" s="129"/>
      <c r="Y821" s="129"/>
      <c r="Z821" s="129"/>
      <c r="AA821" s="129"/>
      <c r="AB821" s="129"/>
      <c r="AC821" s="115"/>
      <c r="AD821" s="129"/>
      <c r="AE821" s="149"/>
      <c r="AF821" s="129"/>
      <c r="AG821" s="129"/>
      <c r="AH821" s="129"/>
    </row>
    <row r="822" spans="3:34" x14ac:dyDescent="0.35">
      <c r="C822" s="129"/>
      <c r="D822" s="129"/>
      <c r="E822" s="129"/>
      <c r="F822" s="129"/>
      <c r="G822" s="129"/>
      <c r="H822" s="129"/>
      <c r="I822" s="129"/>
      <c r="J822" s="129"/>
      <c r="K822" s="110"/>
      <c r="L822" s="129"/>
      <c r="M822" t="s">
        <v>351</v>
      </c>
      <c r="N822" s="129"/>
      <c r="O822" s="129"/>
      <c r="P822" s="129"/>
      <c r="Q822" s="129"/>
      <c r="R822" s="129"/>
      <c r="S822" s="129"/>
      <c r="T822" s="129"/>
      <c r="U822" s="129"/>
      <c r="V822" s="141"/>
      <c r="W822" s="139"/>
      <c r="X822" s="129"/>
      <c r="Y822" s="129"/>
      <c r="Z822" s="129"/>
      <c r="AA822" s="129"/>
      <c r="AB822" s="129"/>
      <c r="AC822" s="115"/>
      <c r="AD822" s="129"/>
      <c r="AE822" s="149"/>
      <c r="AF822" s="129"/>
      <c r="AG822" s="129"/>
      <c r="AH822" s="129"/>
    </row>
    <row r="823" spans="3:34" x14ac:dyDescent="0.35">
      <c r="C823" s="129"/>
      <c r="D823" s="129"/>
      <c r="E823" s="129"/>
      <c r="F823" s="129"/>
      <c r="G823" s="129"/>
      <c r="H823" s="129"/>
      <c r="I823" s="129"/>
      <c r="J823" s="129"/>
      <c r="K823" s="110"/>
      <c r="L823" s="129"/>
      <c r="M823" t="s">
        <v>351</v>
      </c>
      <c r="N823" s="129"/>
      <c r="O823" s="129"/>
      <c r="P823" s="129"/>
      <c r="Q823" s="129"/>
      <c r="R823" s="129"/>
      <c r="S823" s="129"/>
      <c r="T823" s="129"/>
      <c r="U823" s="129"/>
      <c r="V823" s="141"/>
      <c r="W823" s="139"/>
      <c r="X823" s="129"/>
      <c r="Y823" s="129"/>
      <c r="Z823" s="129"/>
      <c r="AA823" s="129"/>
      <c r="AB823" s="129"/>
      <c r="AC823" s="115"/>
      <c r="AD823" s="129"/>
      <c r="AE823" s="149"/>
      <c r="AF823" s="129"/>
      <c r="AG823" s="129"/>
      <c r="AH823" s="129"/>
    </row>
    <row r="824" spans="3:34" x14ac:dyDescent="0.35">
      <c r="C824" s="129"/>
      <c r="D824" s="129"/>
      <c r="E824" s="129"/>
      <c r="F824" s="129"/>
      <c r="G824" s="129"/>
      <c r="H824" s="129"/>
      <c r="I824" s="129"/>
      <c r="J824" s="129"/>
      <c r="K824" s="110"/>
      <c r="L824" s="129"/>
      <c r="M824" t="s">
        <v>351</v>
      </c>
      <c r="N824" s="129"/>
      <c r="O824" s="129"/>
      <c r="P824" s="129"/>
      <c r="Q824" s="129"/>
      <c r="R824" s="129"/>
      <c r="S824" s="129"/>
      <c r="T824" s="129"/>
      <c r="U824" s="129"/>
      <c r="V824" s="141"/>
      <c r="W824" s="139"/>
      <c r="X824" s="129"/>
      <c r="Y824" s="129"/>
      <c r="Z824" s="129"/>
      <c r="AA824" s="129"/>
      <c r="AB824" s="129"/>
      <c r="AC824" s="115"/>
      <c r="AD824" s="129"/>
      <c r="AE824" s="149"/>
      <c r="AF824" s="129"/>
      <c r="AG824" s="129"/>
      <c r="AH824" s="129"/>
    </row>
    <row r="825" spans="3:34" x14ac:dyDescent="0.35">
      <c r="C825" s="129"/>
      <c r="D825" s="129"/>
      <c r="E825" s="129"/>
      <c r="F825" s="129"/>
      <c r="G825" s="129"/>
      <c r="H825" s="129"/>
      <c r="I825" s="129"/>
      <c r="J825" s="129"/>
      <c r="K825" s="110"/>
      <c r="L825" s="129"/>
      <c r="M825" t="s">
        <v>351</v>
      </c>
      <c r="N825" s="129"/>
      <c r="O825" s="129"/>
      <c r="P825" s="129"/>
      <c r="Q825" s="129"/>
      <c r="R825" s="129"/>
      <c r="S825" s="129"/>
      <c r="T825" s="129"/>
      <c r="U825" s="129"/>
      <c r="V825" s="141"/>
      <c r="W825" s="139"/>
      <c r="X825" s="129"/>
      <c r="Y825" s="129"/>
      <c r="Z825" s="129"/>
      <c r="AA825" s="129"/>
      <c r="AB825" s="129"/>
      <c r="AC825" s="115"/>
      <c r="AD825" s="129"/>
      <c r="AE825" s="149"/>
      <c r="AF825" s="129"/>
      <c r="AG825" s="129"/>
      <c r="AH825" s="129"/>
    </row>
    <row r="826" spans="3:34" x14ac:dyDescent="0.35">
      <c r="C826" s="129"/>
      <c r="D826" s="129"/>
      <c r="E826" s="129"/>
      <c r="F826" s="129"/>
      <c r="G826" s="129"/>
      <c r="H826" s="129"/>
      <c r="I826" s="129"/>
      <c r="J826" s="129"/>
      <c r="K826" s="110"/>
      <c r="L826" s="129"/>
      <c r="M826" t="s">
        <v>351</v>
      </c>
      <c r="N826" s="129"/>
      <c r="O826" s="129"/>
      <c r="P826" s="129"/>
      <c r="Q826" s="129"/>
      <c r="R826" s="129"/>
      <c r="S826" s="129"/>
      <c r="T826" s="129"/>
      <c r="U826" s="129"/>
      <c r="V826" s="141"/>
      <c r="W826" s="139"/>
      <c r="X826" s="129"/>
      <c r="Y826" s="129"/>
      <c r="Z826" s="129"/>
      <c r="AA826" s="129"/>
      <c r="AB826" s="129"/>
      <c r="AC826" s="115"/>
      <c r="AD826" s="129"/>
      <c r="AE826" s="149"/>
      <c r="AF826" s="129"/>
      <c r="AG826" s="129"/>
      <c r="AH826" s="129"/>
    </row>
    <row r="827" spans="3:34" x14ac:dyDescent="0.35">
      <c r="C827" s="129"/>
      <c r="D827" s="129"/>
      <c r="E827" s="129"/>
      <c r="F827" s="129"/>
      <c r="G827" s="129"/>
      <c r="H827" s="129"/>
      <c r="I827" s="129"/>
      <c r="J827" s="129"/>
      <c r="K827" s="110"/>
      <c r="L827" s="129"/>
      <c r="M827" t="s">
        <v>351</v>
      </c>
      <c r="N827" s="129"/>
      <c r="O827" s="129"/>
      <c r="P827" s="129"/>
      <c r="Q827" s="129"/>
      <c r="R827" s="129"/>
      <c r="S827" s="129"/>
      <c r="T827" s="129"/>
      <c r="U827" s="129"/>
      <c r="V827" s="141"/>
      <c r="W827" s="139"/>
      <c r="X827" s="129"/>
      <c r="Y827" s="129"/>
      <c r="Z827" s="129"/>
      <c r="AA827" s="129"/>
      <c r="AB827" s="129"/>
      <c r="AC827" s="115"/>
      <c r="AD827" s="129"/>
      <c r="AE827" s="149"/>
      <c r="AF827" s="129"/>
      <c r="AG827" s="129"/>
      <c r="AH827" s="129"/>
    </row>
    <row r="828" spans="3:34" x14ac:dyDescent="0.35">
      <c r="C828" s="129"/>
      <c r="D828" s="129"/>
      <c r="E828" s="129"/>
      <c r="F828" s="129"/>
      <c r="G828" s="129"/>
      <c r="H828" s="129"/>
      <c r="I828" s="129"/>
      <c r="J828" s="129"/>
      <c r="K828" s="110"/>
      <c r="L828" s="129"/>
      <c r="M828" t="s">
        <v>351</v>
      </c>
      <c r="N828" s="129"/>
      <c r="O828" s="129"/>
      <c r="P828" s="129"/>
      <c r="Q828" s="129"/>
      <c r="R828" s="129"/>
      <c r="S828" s="129"/>
      <c r="T828" s="129"/>
      <c r="U828" s="129"/>
      <c r="V828" s="141"/>
      <c r="W828" s="139"/>
      <c r="X828" s="129"/>
      <c r="Y828" s="129"/>
      <c r="Z828" s="129"/>
      <c r="AA828" s="129"/>
      <c r="AB828" s="129"/>
      <c r="AC828" s="115"/>
      <c r="AD828" s="129"/>
      <c r="AE828" s="149"/>
      <c r="AF828" s="129"/>
      <c r="AG828" s="129"/>
      <c r="AH828" s="129"/>
    </row>
    <row r="829" spans="3:34" x14ac:dyDescent="0.35">
      <c r="C829" s="129"/>
      <c r="D829" s="129"/>
      <c r="E829" s="129"/>
      <c r="F829" s="129"/>
      <c r="G829" s="129"/>
      <c r="H829" s="129"/>
      <c r="I829" s="129"/>
      <c r="J829" s="129"/>
      <c r="K829" s="110"/>
      <c r="L829" s="129"/>
      <c r="M829" t="s">
        <v>351</v>
      </c>
      <c r="N829" s="129"/>
      <c r="O829" s="129"/>
      <c r="P829" s="129"/>
      <c r="Q829" s="129"/>
      <c r="R829" s="129"/>
      <c r="S829" s="129"/>
      <c r="T829" s="129"/>
      <c r="U829" s="129"/>
      <c r="V829" s="141"/>
      <c r="W829" s="139"/>
      <c r="X829" s="129"/>
      <c r="Y829" s="129"/>
      <c r="Z829" s="129"/>
      <c r="AA829" s="129"/>
      <c r="AB829" s="129"/>
      <c r="AC829" s="115"/>
      <c r="AD829" s="129"/>
      <c r="AE829" s="149"/>
      <c r="AF829" s="129"/>
      <c r="AG829" s="129"/>
      <c r="AH829" s="129"/>
    </row>
    <row r="830" spans="3:34" x14ac:dyDescent="0.35">
      <c r="C830" s="129"/>
      <c r="D830" s="129"/>
      <c r="E830" s="129"/>
      <c r="F830" s="129"/>
      <c r="G830" s="129"/>
      <c r="H830" s="129"/>
      <c r="I830" s="129"/>
      <c r="J830" s="129"/>
      <c r="K830" s="110"/>
      <c r="L830" s="129"/>
      <c r="M830" t="s">
        <v>351</v>
      </c>
      <c r="N830" s="129"/>
      <c r="O830" s="129"/>
      <c r="P830" s="129"/>
      <c r="Q830" s="129"/>
      <c r="R830" s="129"/>
      <c r="S830" s="129"/>
      <c r="T830" s="129"/>
      <c r="U830" s="129"/>
      <c r="V830" s="141"/>
      <c r="W830" s="139"/>
      <c r="X830" s="129"/>
      <c r="Y830" s="129"/>
      <c r="Z830" s="129"/>
      <c r="AA830" s="129"/>
      <c r="AB830" s="129"/>
      <c r="AC830" s="115"/>
      <c r="AD830" s="129"/>
      <c r="AE830" s="149"/>
      <c r="AF830" s="129"/>
      <c r="AG830" s="129"/>
      <c r="AH830" s="129"/>
    </row>
    <row r="831" spans="3:34" x14ac:dyDescent="0.35">
      <c r="C831" s="129"/>
      <c r="D831" s="129"/>
      <c r="E831" s="129"/>
      <c r="F831" s="129"/>
      <c r="G831" s="129"/>
      <c r="H831" s="129"/>
      <c r="I831" s="129"/>
      <c r="J831" s="129"/>
      <c r="K831" s="110"/>
      <c r="L831" s="129"/>
      <c r="M831" t="s">
        <v>351</v>
      </c>
      <c r="N831" s="129"/>
      <c r="O831" s="129"/>
      <c r="P831" s="129"/>
      <c r="Q831" s="129"/>
      <c r="R831" s="129"/>
      <c r="S831" s="129"/>
      <c r="T831" s="129"/>
      <c r="U831" s="129"/>
      <c r="V831" s="141"/>
      <c r="W831" s="139"/>
      <c r="X831" s="129"/>
      <c r="Y831" s="129"/>
      <c r="Z831" s="129"/>
      <c r="AA831" s="129"/>
      <c r="AB831" s="129"/>
      <c r="AC831" s="115"/>
      <c r="AD831" s="129"/>
      <c r="AE831" s="149"/>
      <c r="AF831" s="129"/>
      <c r="AG831" s="129"/>
      <c r="AH831" s="129"/>
    </row>
    <row r="832" spans="3:34" x14ac:dyDescent="0.35">
      <c r="C832" s="129"/>
      <c r="D832" s="129"/>
      <c r="E832" s="129"/>
      <c r="F832" s="129"/>
      <c r="G832" s="129"/>
      <c r="H832" s="129"/>
      <c r="I832" s="129"/>
      <c r="J832" s="129"/>
      <c r="K832" s="110"/>
      <c r="L832" s="129"/>
      <c r="M832" t="s">
        <v>351</v>
      </c>
      <c r="N832" s="129"/>
      <c r="O832" s="129"/>
      <c r="P832" s="129"/>
      <c r="Q832" s="129"/>
      <c r="R832" s="129"/>
      <c r="S832" s="129"/>
      <c r="T832" s="129"/>
      <c r="U832" s="129"/>
      <c r="V832" s="141"/>
      <c r="W832" s="139"/>
      <c r="X832" s="129"/>
      <c r="Y832" s="129"/>
      <c r="Z832" s="129"/>
      <c r="AA832" s="129"/>
      <c r="AB832" s="129"/>
      <c r="AC832" s="115"/>
      <c r="AD832" s="129"/>
      <c r="AE832" s="149"/>
      <c r="AF832" s="129"/>
      <c r="AG832" s="129"/>
      <c r="AH832" s="129"/>
    </row>
    <row r="833" spans="3:34" x14ac:dyDescent="0.35">
      <c r="C833" s="129"/>
      <c r="D833" s="129"/>
      <c r="E833" s="129"/>
      <c r="F833" s="129"/>
      <c r="G833" s="129"/>
      <c r="H833" s="129"/>
      <c r="I833" s="129"/>
      <c r="J833" s="129"/>
      <c r="K833" s="110"/>
      <c r="L833" s="129"/>
      <c r="M833" t="s">
        <v>351</v>
      </c>
      <c r="N833" s="129"/>
      <c r="O833" s="129"/>
      <c r="P833" s="129"/>
      <c r="Q833" s="129"/>
      <c r="R833" s="129"/>
      <c r="S833" s="129"/>
      <c r="T833" s="129"/>
      <c r="U833" s="129"/>
      <c r="V833" s="141"/>
      <c r="W833" s="139"/>
      <c r="X833" s="129"/>
      <c r="Y833" s="129"/>
      <c r="Z833" s="129"/>
      <c r="AA833" s="129"/>
      <c r="AB833" s="129"/>
      <c r="AC833" s="115"/>
      <c r="AD833" s="129"/>
      <c r="AE833" s="149"/>
      <c r="AF833" s="129"/>
      <c r="AG833" s="129"/>
      <c r="AH833" s="129"/>
    </row>
    <row r="834" spans="3:34" x14ac:dyDescent="0.35">
      <c r="C834" s="129"/>
      <c r="D834" s="129"/>
      <c r="E834" s="129"/>
      <c r="F834" s="129"/>
      <c r="G834" s="129"/>
      <c r="H834" s="129"/>
      <c r="I834" s="129"/>
      <c r="J834" s="129"/>
      <c r="K834" s="110"/>
      <c r="L834" s="129"/>
      <c r="M834" t="s">
        <v>351</v>
      </c>
      <c r="N834" s="129"/>
      <c r="O834" s="129"/>
      <c r="P834" s="129"/>
      <c r="Q834" s="129"/>
      <c r="R834" s="129"/>
      <c r="S834" s="129"/>
      <c r="T834" s="129"/>
      <c r="U834" s="129"/>
      <c r="V834" s="141"/>
      <c r="W834" s="139"/>
      <c r="X834" s="129"/>
      <c r="Y834" s="129"/>
      <c r="Z834" s="129"/>
      <c r="AA834" s="129"/>
      <c r="AB834" s="129"/>
      <c r="AC834" s="115"/>
      <c r="AD834" s="129"/>
      <c r="AE834" s="149"/>
      <c r="AF834" s="129"/>
      <c r="AG834" s="129"/>
      <c r="AH834" s="129"/>
    </row>
    <row r="835" spans="3:34" x14ac:dyDescent="0.35">
      <c r="C835" s="129"/>
      <c r="D835" s="129"/>
      <c r="E835" s="129"/>
      <c r="F835" s="129"/>
      <c r="G835" s="129"/>
      <c r="H835" s="129"/>
      <c r="I835" s="129"/>
      <c r="J835" s="129"/>
      <c r="K835" s="110"/>
      <c r="L835" s="129"/>
      <c r="M835" t="s">
        <v>351</v>
      </c>
      <c r="N835" s="129"/>
      <c r="O835" s="129"/>
      <c r="P835" s="129"/>
      <c r="Q835" s="129"/>
      <c r="R835" s="129"/>
      <c r="S835" s="129"/>
      <c r="T835" s="129"/>
      <c r="U835" s="129"/>
      <c r="V835" s="141"/>
      <c r="W835" s="139"/>
      <c r="X835" s="129"/>
      <c r="Y835" s="129"/>
      <c r="Z835" s="129"/>
      <c r="AA835" s="129"/>
      <c r="AB835" s="129"/>
      <c r="AC835" s="115"/>
      <c r="AD835" s="129"/>
      <c r="AE835" s="149"/>
      <c r="AF835" s="129"/>
      <c r="AG835" s="129"/>
      <c r="AH835" s="129"/>
    </row>
    <row r="836" spans="3:34" x14ac:dyDescent="0.35">
      <c r="C836" s="129"/>
      <c r="D836" s="129"/>
      <c r="E836" s="129"/>
      <c r="F836" s="129"/>
      <c r="G836" s="129"/>
      <c r="H836" s="129"/>
      <c r="I836" s="129"/>
      <c r="J836" s="129"/>
      <c r="K836" s="110"/>
      <c r="L836" s="129"/>
      <c r="M836" t="s">
        <v>351</v>
      </c>
      <c r="N836" s="129"/>
      <c r="O836" s="129"/>
      <c r="P836" s="129"/>
      <c r="Q836" s="129"/>
      <c r="R836" s="129"/>
      <c r="S836" s="129"/>
      <c r="T836" s="129"/>
      <c r="U836" s="129"/>
      <c r="V836" s="141"/>
      <c r="W836" s="139"/>
      <c r="X836" s="129"/>
      <c r="Y836" s="129"/>
      <c r="Z836" s="129"/>
      <c r="AA836" s="129"/>
      <c r="AB836" s="129"/>
      <c r="AC836" s="115"/>
      <c r="AD836" s="129"/>
      <c r="AE836" s="149"/>
      <c r="AF836" s="129"/>
      <c r="AG836" s="129"/>
      <c r="AH836" s="129"/>
    </row>
    <row r="837" spans="3:34" x14ac:dyDescent="0.35">
      <c r="C837" s="129"/>
      <c r="D837" s="129"/>
      <c r="E837" s="129"/>
      <c r="F837" s="129"/>
      <c r="G837" s="129"/>
      <c r="H837" s="129"/>
      <c r="I837" s="129"/>
      <c r="J837" s="129"/>
      <c r="K837" s="110"/>
      <c r="L837" s="129"/>
      <c r="M837" t="s">
        <v>351</v>
      </c>
      <c r="N837" s="129"/>
      <c r="O837" s="129"/>
      <c r="P837" s="129"/>
      <c r="Q837" s="129"/>
      <c r="R837" s="129"/>
      <c r="S837" s="129"/>
      <c r="T837" s="129"/>
      <c r="U837" s="129"/>
      <c r="V837" s="141"/>
      <c r="W837" s="139"/>
      <c r="X837" s="129"/>
      <c r="Y837" s="129"/>
      <c r="Z837" s="129"/>
      <c r="AA837" s="129"/>
      <c r="AB837" s="129"/>
      <c r="AC837" s="115"/>
      <c r="AD837" s="129"/>
      <c r="AE837" s="149"/>
      <c r="AF837" s="129"/>
      <c r="AG837" s="129"/>
      <c r="AH837" s="129"/>
    </row>
    <row r="838" spans="3:34" x14ac:dyDescent="0.35">
      <c r="C838" s="129"/>
      <c r="D838" s="129"/>
      <c r="E838" s="129"/>
      <c r="F838" s="129"/>
      <c r="G838" s="129"/>
      <c r="H838" s="129"/>
      <c r="I838" s="129"/>
      <c r="J838" s="129"/>
      <c r="K838" s="110"/>
      <c r="L838" s="129"/>
      <c r="M838" t="s">
        <v>351</v>
      </c>
      <c r="N838" s="129"/>
      <c r="O838" s="129"/>
      <c r="P838" s="129"/>
      <c r="Q838" s="129"/>
      <c r="R838" s="129"/>
      <c r="S838" s="129"/>
      <c r="T838" s="129"/>
      <c r="U838" s="129"/>
      <c r="V838" s="141"/>
      <c r="W838" s="139"/>
      <c r="X838" s="129"/>
      <c r="Y838" s="129"/>
      <c r="Z838" s="129"/>
      <c r="AA838" s="129"/>
      <c r="AB838" s="129"/>
      <c r="AC838" s="115"/>
      <c r="AD838" s="129"/>
      <c r="AE838" s="149"/>
      <c r="AF838" s="129"/>
      <c r="AG838" s="129"/>
      <c r="AH838" s="129"/>
    </row>
    <row r="839" spans="3:34" x14ac:dyDescent="0.35">
      <c r="C839" s="129"/>
      <c r="D839" s="129"/>
      <c r="E839" s="129"/>
      <c r="F839" s="129"/>
      <c r="G839" s="129"/>
      <c r="H839" s="129"/>
      <c r="I839" s="129"/>
      <c r="J839" s="129"/>
      <c r="K839" s="110"/>
      <c r="L839" s="129"/>
      <c r="M839" t="s">
        <v>351</v>
      </c>
      <c r="N839" s="129"/>
      <c r="O839" s="129"/>
      <c r="P839" s="129"/>
      <c r="Q839" s="129"/>
      <c r="R839" s="129"/>
      <c r="S839" s="129"/>
      <c r="T839" s="129"/>
      <c r="U839" s="129"/>
      <c r="V839" s="141"/>
      <c r="W839" s="139"/>
      <c r="X839" s="129"/>
      <c r="Y839" s="129"/>
      <c r="Z839" s="129"/>
      <c r="AA839" s="129"/>
      <c r="AB839" s="129"/>
      <c r="AC839" s="115"/>
      <c r="AD839" s="129"/>
      <c r="AE839" s="149"/>
      <c r="AF839" s="129"/>
      <c r="AG839" s="129"/>
      <c r="AH839" s="129"/>
    </row>
    <row r="840" spans="3:34" x14ac:dyDescent="0.35">
      <c r="C840" s="129"/>
      <c r="D840" s="129"/>
      <c r="E840" s="129"/>
      <c r="F840" s="129"/>
      <c r="G840" s="129"/>
      <c r="H840" s="129"/>
      <c r="I840" s="129"/>
      <c r="J840" s="129"/>
      <c r="K840" s="110"/>
      <c r="L840" s="129"/>
      <c r="M840" t="s">
        <v>351</v>
      </c>
      <c r="N840" s="129"/>
      <c r="O840" s="129"/>
      <c r="P840" s="129"/>
      <c r="Q840" s="129"/>
      <c r="R840" s="129"/>
      <c r="S840" s="129"/>
      <c r="T840" s="129"/>
      <c r="U840" s="129"/>
      <c r="V840" s="141"/>
      <c r="W840" s="139"/>
      <c r="X840" s="129"/>
      <c r="Y840" s="129"/>
      <c r="Z840" s="129"/>
      <c r="AA840" s="129"/>
      <c r="AB840" s="129"/>
      <c r="AC840" s="115"/>
      <c r="AD840" s="129"/>
      <c r="AE840" s="149"/>
      <c r="AF840" s="129"/>
      <c r="AG840" s="129"/>
      <c r="AH840" s="129"/>
    </row>
    <row r="841" spans="3:34" x14ac:dyDescent="0.35">
      <c r="C841" s="129"/>
      <c r="D841" s="129"/>
      <c r="E841" s="129"/>
      <c r="F841" s="129"/>
      <c r="G841" s="129"/>
      <c r="H841" s="129"/>
      <c r="I841" s="129"/>
      <c r="J841" s="129"/>
      <c r="K841" s="110"/>
      <c r="L841" s="129"/>
      <c r="M841" t="s">
        <v>351</v>
      </c>
      <c r="N841" s="129"/>
      <c r="O841" s="129"/>
      <c r="P841" s="129"/>
      <c r="Q841" s="129"/>
      <c r="R841" s="129"/>
      <c r="S841" s="129"/>
      <c r="T841" s="129"/>
      <c r="U841" s="129"/>
      <c r="V841" s="141"/>
      <c r="W841" s="139"/>
      <c r="X841" s="129"/>
      <c r="Y841" s="129"/>
      <c r="Z841" s="129"/>
      <c r="AA841" s="129"/>
      <c r="AB841" s="129"/>
      <c r="AC841" s="115"/>
      <c r="AD841" s="129"/>
      <c r="AE841" s="149"/>
      <c r="AF841" s="129"/>
      <c r="AG841" s="129"/>
      <c r="AH841" s="129"/>
    </row>
    <row r="842" spans="3:34" x14ac:dyDescent="0.35">
      <c r="C842" s="129"/>
      <c r="D842" s="129"/>
      <c r="E842" s="129"/>
      <c r="F842" s="129"/>
      <c r="G842" s="129"/>
      <c r="H842" s="129"/>
      <c r="I842" s="129"/>
      <c r="J842" s="129"/>
      <c r="K842" s="110"/>
      <c r="L842" s="129"/>
      <c r="M842" t="s">
        <v>351</v>
      </c>
      <c r="N842" s="129"/>
      <c r="O842" s="129"/>
      <c r="P842" s="129"/>
      <c r="Q842" s="129"/>
      <c r="R842" s="129"/>
      <c r="S842" s="129"/>
      <c r="T842" s="129"/>
      <c r="U842" s="129"/>
      <c r="V842" s="141"/>
      <c r="W842" s="139"/>
      <c r="X842" s="129"/>
      <c r="Y842" s="129"/>
      <c r="Z842" s="129"/>
      <c r="AA842" s="129"/>
      <c r="AB842" s="129"/>
      <c r="AC842" s="115"/>
      <c r="AD842" s="129"/>
      <c r="AE842" s="149"/>
      <c r="AF842" s="129"/>
      <c r="AG842" s="129"/>
      <c r="AH842" s="129"/>
    </row>
    <row r="843" spans="3:34" x14ac:dyDescent="0.35">
      <c r="C843" s="129"/>
      <c r="D843" s="129"/>
      <c r="E843" s="129"/>
      <c r="F843" s="129"/>
      <c r="G843" s="129"/>
      <c r="H843" s="129"/>
      <c r="I843" s="129"/>
      <c r="J843" s="129"/>
      <c r="K843" s="110"/>
      <c r="L843" s="129"/>
      <c r="M843" t="s">
        <v>351</v>
      </c>
      <c r="N843" s="129"/>
      <c r="O843" s="129"/>
      <c r="P843" s="129"/>
      <c r="Q843" s="129"/>
      <c r="R843" s="129"/>
      <c r="S843" s="129"/>
      <c r="T843" s="129"/>
      <c r="U843" s="129"/>
      <c r="V843" s="141"/>
      <c r="W843" s="139"/>
      <c r="X843" s="129"/>
      <c r="Y843" s="129"/>
      <c r="Z843" s="129"/>
      <c r="AA843" s="129"/>
      <c r="AB843" s="129"/>
      <c r="AC843" s="115"/>
      <c r="AD843" s="129"/>
      <c r="AE843" s="149"/>
      <c r="AF843" s="129"/>
      <c r="AG843" s="129"/>
      <c r="AH843" s="129"/>
    </row>
    <row r="844" spans="3:34" x14ac:dyDescent="0.35">
      <c r="C844" s="129"/>
      <c r="D844" s="129"/>
      <c r="E844" s="129"/>
      <c r="F844" s="129"/>
      <c r="G844" s="129"/>
      <c r="H844" s="129"/>
      <c r="I844" s="129"/>
      <c r="J844" s="129"/>
      <c r="K844" s="110"/>
      <c r="L844" s="129"/>
      <c r="M844" t="s">
        <v>351</v>
      </c>
      <c r="N844" s="129"/>
      <c r="O844" s="129"/>
      <c r="P844" s="129"/>
      <c r="Q844" s="129"/>
      <c r="R844" s="129"/>
      <c r="S844" s="129"/>
      <c r="T844" s="129"/>
      <c r="U844" s="129"/>
      <c r="V844" s="141"/>
      <c r="W844" s="139"/>
      <c r="X844" s="129"/>
      <c r="Y844" s="129"/>
      <c r="Z844" s="129"/>
      <c r="AA844" s="129"/>
      <c r="AB844" s="129"/>
      <c r="AC844" s="115"/>
      <c r="AD844" s="129"/>
      <c r="AE844" s="149"/>
      <c r="AF844" s="129"/>
      <c r="AG844" s="129"/>
      <c r="AH844" s="129"/>
    </row>
    <row r="845" spans="3:34" x14ac:dyDescent="0.35">
      <c r="C845" s="129"/>
      <c r="D845" s="129"/>
      <c r="E845" s="129"/>
      <c r="F845" s="129"/>
      <c r="G845" s="129"/>
      <c r="H845" s="129"/>
      <c r="I845" s="129"/>
      <c r="J845" s="129"/>
      <c r="K845" s="110"/>
      <c r="L845" s="129"/>
      <c r="M845" t="s">
        <v>351</v>
      </c>
      <c r="N845" s="129"/>
      <c r="O845" s="129"/>
      <c r="P845" s="129"/>
      <c r="Q845" s="129"/>
      <c r="R845" s="129"/>
      <c r="S845" s="129"/>
      <c r="T845" s="129"/>
      <c r="U845" s="129"/>
      <c r="V845" s="141"/>
      <c r="W845" s="139"/>
      <c r="X845" s="129"/>
      <c r="Y845" s="129"/>
      <c r="Z845" s="129"/>
      <c r="AA845" s="129"/>
      <c r="AB845" s="129"/>
      <c r="AC845" s="115"/>
      <c r="AD845" s="129"/>
      <c r="AE845" s="149"/>
      <c r="AF845" s="129"/>
      <c r="AG845" s="129"/>
      <c r="AH845" s="129"/>
    </row>
    <row r="846" spans="3:34" x14ac:dyDescent="0.35">
      <c r="C846" s="129"/>
      <c r="D846" s="129"/>
      <c r="E846" s="129"/>
      <c r="F846" s="129"/>
      <c r="G846" s="129"/>
      <c r="H846" s="129"/>
      <c r="I846" s="129"/>
      <c r="J846" s="129"/>
      <c r="K846" s="110"/>
      <c r="L846" s="129"/>
      <c r="M846" t="s">
        <v>351</v>
      </c>
      <c r="N846" s="129"/>
      <c r="O846" s="129"/>
      <c r="P846" s="129"/>
      <c r="Q846" s="129"/>
      <c r="R846" s="129"/>
      <c r="S846" s="129"/>
      <c r="T846" s="129"/>
      <c r="U846" s="129"/>
      <c r="V846" s="141"/>
      <c r="W846" s="139"/>
      <c r="X846" s="129"/>
      <c r="Y846" s="129"/>
      <c r="Z846" s="129"/>
      <c r="AA846" s="129"/>
      <c r="AB846" s="129"/>
      <c r="AC846" s="115"/>
      <c r="AD846" s="129"/>
      <c r="AE846" s="149"/>
      <c r="AF846" s="129"/>
      <c r="AG846" s="129"/>
      <c r="AH846" s="129"/>
    </row>
    <row r="847" spans="3:34" x14ac:dyDescent="0.35">
      <c r="C847" s="129"/>
      <c r="D847" s="129"/>
      <c r="E847" s="129"/>
      <c r="F847" s="129"/>
      <c r="G847" s="129"/>
      <c r="H847" s="129"/>
      <c r="I847" s="129"/>
      <c r="J847" s="129"/>
      <c r="K847" s="110"/>
      <c r="L847" s="129"/>
      <c r="M847" t="s">
        <v>351</v>
      </c>
      <c r="N847" s="129"/>
      <c r="O847" s="129"/>
      <c r="P847" s="129"/>
      <c r="Q847" s="129"/>
      <c r="R847" s="129"/>
      <c r="S847" s="129"/>
      <c r="T847" s="129"/>
      <c r="U847" s="129"/>
      <c r="V847" s="141"/>
      <c r="W847" s="139"/>
      <c r="X847" s="129"/>
      <c r="Y847" s="129"/>
      <c r="Z847" s="129"/>
      <c r="AA847" s="129"/>
      <c r="AB847" s="129"/>
      <c r="AC847" s="115"/>
      <c r="AD847" s="129"/>
      <c r="AE847" s="149"/>
      <c r="AF847" s="129"/>
      <c r="AG847" s="129"/>
      <c r="AH847" s="129"/>
    </row>
    <row r="848" spans="3:34" x14ac:dyDescent="0.35">
      <c r="C848" s="129"/>
      <c r="D848" s="129"/>
      <c r="E848" s="129"/>
      <c r="F848" s="129"/>
      <c r="G848" s="129"/>
      <c r="H848" s="129"/>
      <c r="I848" s="129"/>
      <c r="J848" s="129"/>
      <c r="K848" s="110"/>
      <c r="L848" s="129"/>
      <c r="M848" t="s">
        <v>351</v>
      </c>
      <c r="N848" s="129"/>
      <c r="O848" s="129"/>
      <c r="P848" s="129"/>
      <c r="Q848" s="129"/>
      <c r="R848" s="129"/>
      <c r="S848" s="129"/>
      <c r="T848" s="129"/>
      <c r="U848" s="129"/>
      <c r="V848" s="141"/>
      <c r="W848" s="139"/>
      <c r="X848" s="129"/>
      <c r="Y848" s="129"/>
      <c r="Z848" s="129"/>
      <c r="AA848" s="129"/>
      <c r="AB848" s="129"/>
      <c r="AC848" s="115"/>
      <c r="AD848" s="129"/>
      <c r="AE848" s="149"/>
      <c r="AF848" s="129"/>
      <c r="AG848" s="129"/>
      <c r="AH848" s="129"/>
    </row>
    <row r="849" spans="3:34" x14ac:dyDescent="0.35">
      <c r="C849" s="129"/>
      <c r="D849" s="129"/>
      <c r="E849" s="129"/>
      <c r="F849" s="129"/>
      <c r="G849" s="129"/>
      <c r="H849" s="129"/>
      <c r="I849" s="129"/>
      <c r="J849" s="129"/>
      <c r="K849" s="110"/>
      <c r="L849" s="129"/>
      <c r="M849" t="s">
        <v>351</v>
      </c>
      <c r="N849" s="129"/>
      <c r="O849" s="129"/>
      <c r="P849" s="129"/>
      <c r="Q849" s="129"/>
      <c r="R849" s="129"/>
      <c r="S849" s="129"/>
      <c r="T849" s="129"/>
      <c r="U849" s="129"/>
      <c r="V849" s="141"/>
      <c r="W849" s="139"/>
      <c r="X849" s="129"/>
      <c r="Y849" s="129"/>
      <c r="Z849" s="129"/>
      <c r="AA849" s="129"/>
      <c r="AB849" s="129"/>
      <c r="AC849" s="115"/>
      <c r="AD849" s="129"/>
      <c r="AE849" s="149"/>
      <c r="AF849" s="129"/>
      <c r="AG849" s="129"/>
      <c r="AH849" s="129"/>
    </row>
    <row r="850" spans="3:34" x14ac:dyDescent="0.35">
      <c r="C850" s="129"/>
      <c r="D850" s="129"/>
      <c r="E850" s="129"/>
      <c r="F850" s="129"/>
      <c r="G850" s="129"/>
      <c r="H850" s="129"/>
      <c r="I850" s="129"/>
      <c r="J850" s="129"/>
      <c r="K850" s="110"/>
      <c r="L850" s="129"/>
      <c r="M850" t="s">
        <v>351</v>
      </c>
      <c r="N850" s="129"/>
      <c r="O850" s="129"/>
      <c r="P850" s="129"/>
      <c r="Q850" s="129"/>
      <c r="R850" s="129"/>
      <c r="S850" s="129"/>
      <c r="T850" s="129"/>
      <c r="U850" s="129"/>
      <c r="V850" s="141"/>
      <c r="W850" s="139"/>
      <c r="X850" s="129"/>
      <c r="Y850" s="129"/>
      <c r="Z850" s="129"/>
      <c r="AA850" s="129"/>
      <c r="AB850" s="129"/>
      <c r="AC850" s="115"/>
      <c r="AD850" s="129"/>
      <c r="AE850" s="149"/>
      <c r="AF850" s="129"/>
      <c r="AG850" s="129"/>
      <c r="AH850" s="129"/>
    </row>
    <row r="851" spans="3:34" x14ac:dyDescent="0.35">
      <c r="C851" s="129"/>
      <c r="D851" s="129"/>
      <c r="E851" s="129"/>
      <c r="F851" s="129"/>
      <c r="G851" s="129"/>
      <c r="H851" s="129"/>
      <c r="I851" s="129"/>
      <c r="J851" s="129"/>
      <c r="K851" s="110"/>
      <c r="L851" s="129"/>
      <c r="M851" t="s">
        <v>351</v>
      </c>
      <c r="N851" s="129"/>
      <c r="O851" s="129"/>
      <c r="P851" s="129"/>
      <c r="Q851" s="129"/>
      <c r="R851" s="129"/>
      <c r="S851" s="129"/>
      <c r="T851" s="129"/>
      <c r="U851" s="129"/>
      <c r="V851" s="141"/>
      <c r="W851" s="139"/>
      <c r="X851" s="129"/>
      <c r="Y851" s="129"/>
      <c r="Z851" s="129"/>
      <c r="AA851" s="129"/>
      <c r="AB851" s="129"/>
      <c r="AC851" s="115"/>
      <c r="AD851" s="129"/>
      <c r="AE851" s="149"/>
      <c r="AF851" s="129"/>
      <c r="AG851" s="129"/>
      <c r="AH851" s="129"/>
    </row>
    <row r="852" spans="3:34" x14ac:dyDescent="0.35">
      <c r="C852" s="129"/>
      <c r="D852" s="129"/>
      <c r="E852" s="129"/>
      <c r="F852" s="129"/>
      <c r="G852" s="129"/>
      <c r="H852" s="129"/>
      <c r="I852" s="129"/>
      <c r="J852" s="129"/>
      <c r="K852" s="110"/>
      <c r="L852" s="129"/>
      <c r="M852" t="s">
        <v>351</v>
      </c>
      <c r="N852" s="129"/>
      <c r="O852" s="129"/>
      <c r="P852" s="129"/>
      <c r="Q852" s="129"/>
      <c r="R852" s="129"/>
      <c r="S852" s="129"/>
      <c r="T852" s="129"/>
      <c r="U852" s="129"/>
      <c r="V852" s="141"/>
      <c r="W852" s="139"/>
      <c r="X852" s="129"/>
      <c r="Y852" s="129"/>
      <c r="Z852" s="129"/>
      <c r="AA852" s="129"/>
      <c r="AB852" s="129"/>
      <c r="AC852" s="115"/>
      <c r="AD852" s="129"/>
      <c r="AE852" s="149"/>
      <c r="AF852" s="129"/>
      <c r="AG852" s="129"/>
      <c r="AH852" s="129"/>
    </row>
    <row r="853" spans="3:34" x14ac:dyDescent="0.35">
      <c r="C853" s="129"/>
      <c r="D853" s="129"/>
      <c r="E853" s="129"/>
      <c r="F853" s="129"/>
      <c r="G853" s="129"/>
      <c r="H853" s="129"/>
      <c r="I853" s="129"/>
      <c r="J853" s="129"/>
      <c r="K853" s="110"/>
      <c r="L853" s="129"/>
      <c r="M853" t="s">
        <v>351</v>
      </c>
      <c r="N853" s="129"/>
      <c r="O853" s="129"/>
      <c r="P853" s="129"/>
      <c r="Q853" s="129"/>
      <c r="R853" s="129"/>
      <c r="S853" s="129"/>
      <c r="T853" s="129"/>
      <c r="U853" s="129"/>
      <c r="V853" s="141"/>
      <c r="W853" s="139"/>
      <c r="X853" s="129"/>
      <c r="Y853" s="129"/>
      <c r="Z853" s="129"/>
      <c r="AA853" s="129"/>
      <c r="AB853" s="129"/>
      <c r="AC853" s="115"/>
      <c r="AD853" s="129"/>
      <c r="AE853" s="149"/>
      <c r="AF853" s="129"/>
      <c r="AG853" s="129"/>
      <c r="AH853" s="129"/>
    </row>
    <row r="854" spans="3:34" x14ac:dyDescent="0.35">
      <c r="C854" s="129"/>
      <c r="D854" s="129"/>
      <c r="E854" s="129"/>
      <c r="F854" s="129"/>
      <c r="G854" s="129"/>
      <c r="H854" s="129"/>
      <c r="I854" s="129"/>
      <c r="J854" s="129"/>
      <c r="K854" s="110"/>
      <c r="L854" s="129"/>
      <c r="M854" t="s">
        <v>351</v>
      </c>
      <c r="N854" s="129"/>
      <c r="O854" s="129"/>
      <c r="P854" s="129"/>
      <c r="Q854" s="129"/>
      <c r="R854" s="129"/>
      <c r="S854" s="129"/>
      <c r="T854" s="129"/>
      <c r="U854" s="129"/>
      <c r="V854" s="141"/>
      <c r="W854" s="139"/>
      <c r="X854" s="129"/>
      <c r="Y854" s="129"/>
      <c r="Z854" s="129"/>
      <c r="AA854" s="129"/>
      <c r="AB854" s="129"/>
      <c r="AC854" s="115"/>
      <c r="AD854" s="129"/>
      <c r="AE854" s="149"/>
      <c r="AF854" s="129"/>
      <c r="AG854" s="129"/>
      <c r="AH854" s="129"/>
    </row>
    <row r="855" spans="3:34" x14ac:dyDescent="0.35">
      <c r="C855" s="129"/>
      <c r="D855" s="129"/>
      <c r="E855" s="129"/>
      <c r="F855" s="129"/>
      <c r="G855" s="129"/>
      <c r="H855" s="129"/>
      <c r="I855" s="129"/>
      <c r="J855" s="129"/>
      <c r="K855" s="110"/>
      <c r="L855" s="129"/>
      <c r="M855" t="s">
        <v>351</v>
      </c>
      <c r="N855" s="129"/>
      <c r="O855" s="129"/>
      <c r="P855" s="129"/>
      <c r="Q855" s="129"/>
      <c r="R855" s="129"/>
      <c r="S855" s="129"/>
      <c r="T855" s="129"/>
      <c r="U855" s="129"/>
      <c r="V855" s="141"/>
      <c r="W855" s="139"/>
      <c r="X855" s="129"/>
      <c r="Y855" s="129"/>
      <c r="Z855" s="129"/>
      <c r="AA855" s="129"/>
      <c r="AB855" s="129"/>
      <c r="AC855" s="115"/>
      <c r="AD855" s="129"/>
      <c r="AE855" s="149"/>
      <c r="AF855" s="129"/>
      <c r="AG855" s="129"/>
      <c r="AH855" s="129"/>
    </row>
    <row r="856" spans="3:34" x14ac:dyDescent="0.35">
      <c r="C856" s="129"/>
      <c r="D856" s="129"/>
      <c r="E856" s="129"/>
      <c r="F856" s="129"/>
      <c r="G856" s="129"/>
      <c r="H856" s="129"/>
      <c r="I856" s="129"/>
      <c r="J856" s="129"/>
      <c r="K856" s="110"/>
      <c r="L856" s="129"/>
      <c r="M856" t="s">
        <v>351</v>
      </c>
      <c r="N856" s="129"/>
      <c r="O856" s="129"/>
      <c r="P856" s="129"/>
      <c r="Q856" s="129"/>
      <c r="R856" s="129"/>
      <c r="S856" s="129"/>
      <c r="T856" s="129"/>
      <c r="U856" s="129"/>
      <c r="V856" s="141"/>
      <c r="W856" s="139"/>
      <c r="X856" s="129"/>
      <c r="Y856" s="129"/>
      <c r="Z856" s="129"/>
      <c r="AA856" s="129"/>
      <c r="AB856" s="129"/>
      <c r="AC856" s="115"/>
      <c r="AD856" s="129"/>
      <c r="AE856" s="149"/>
      <c r="AF856" s="129"/>
      <c r="AG856" s="129"/>
      <c r="AH856" s="129"/>
    </row>
    <row r="857" spans="3:34" x14ac:dyDescent="0.35">
      <c r="C857" s="129"/>
      <c r="D857" s="129"/>
      <c r="E857" s="129"/>
      <c r="F857" s="129"/>
      <c r="G857" s="129"/>
      <c r="H857" s="129"/>
      <c r="I857" s="129"/>
      <c r="J857" s="129"/>
      <c r="K857" s="110"/>
      <c r="L857" s="129"/>
      <c r="M857" t="s">
        <v>351</v>
      </c>
      <c r="N857" s="129"/>
      <c r="O857" s="129"/>
      <c r="P857" s="129"/>
      <c r="Q857" s="129"/>
      <c r="R857" s="129"/>
      <c r="S857" s="129"/>
      <c r="T857" s="129"/>
      <c r="U857" s="129"/>
      <c r="V857" s="141"/>
      <c r="W857" s="139"/>
      <c r="X857" s="129"/>
      <c r="Y857" s="129"/>
      <c r="Z857" s="129"/>
      <c r="AA857" s="129"/>
      <c r="AB857" s="129"/>
      <c r="AC857" s="115"/>
      <c r="AD857" s="129"/>
      <c r="AE857" s="149"/>
      <c r="AF857" s="129"/>
      <c r="AG857" s="129"/>
      <c r="AH857" s="129"/>
    </row>
    <row r="858" spans="3:34" x14ac:dyDescent="0.35">
      <c r="C858" s="129"/>
      <c r="D858" s="129"/>
      <c r="E858" s="129"/>
      <c r="F858" s="129"/>
      <c r="G858" s="129"/>
      <c r="H858" s="129"/>
      <c r="I858" s="129"/>
      <c r="J858" s="129"/>
      <c r="K858" s="110"/>
      <c r="L858" s="129"/>
      <c r="M858" t="s">
        <v>351</v>
      </c>
      <c r="N858" s="129"/>
      <c r="O858" s="129"/>
      <c r="P858" s="129"/>
      <c r="Q858" s="129"/>
      <c r="R858" s="129"/>
      <c r="S858" s="129"/>
      <c r="T858" s="129"/>
      <c r="U858" s="129"/>
      <c r="V858" s="141"/>
      <c r="W858" s="139"/>
      <c r="X858" s="129"/>
      <c r="Y858" s="129"/>
      <c r="Z858" s="129"/>
      <c r="AA858" s="129"/>
      <c r="AB858" s="129"/>
      <c r="AC858" s="115"/>
      <c r="AD858" s="129"/>
      <c r="AE858" s="149"/>
      <c r="AF858" s="129"/>
      <c r="AG858" s="129"/>
      <c r="AH858" s="129"/>
    </row>
    <row r="859" spans="3:34" x14ac:dyDescent="0.35">
      <c r="C859" s="129"/>
      <c r="D859" s="129"/>
      <c r="E859" s="129"/>
      <c r="F859" s="129"/>
      <c r="G859" s="129"/>
      <c r="H859" s="129"/>
      <c r="I859" s="129"/>
      <c r="J859" s="129"/>
      <c r="K859" s="110"/>
      <c r="L859" s="129"/>
      <c r="M859" t="s">
        <v>351</v>
      </c>
      <c r="N859" s="129"/>
      <c r="O859" s="129"/>
      <c r="P859" s="129"/>
      <c r="Q859" s="129"/>
      <c r="R859" s="129"/>
      <c r="S859" s="129"/>
      <c r="T859" s="129"/>
      <c r="U859" s="129"/>
      <c r="V859" s="141"/>
      <c r="W859" s="139"/>
      <c r="X859" s="129"/>
      <c r="Y859" s="129"/>
      <c r="Z859" s="129"/>
      <c r="AA859" s="129"/>
      <c r="AB859" s="129"/>
      <c r="AC859" s="115"/>
      <c r="AD859" s="129"/>
      <c r="AE859" s="149"/>
      <c r="AF859" s="129"/>
      <c r="AG859" s="129"/>
      <c r="AH859" s="129"/>
    </row>
    <row r="860" spans="3:34" x14ac:dyDescent="0.35">
      <c r="C860" s="129"/>
      <c r="D860" s="129"/>
      <c r="E860" s="129"/>
      <c r="F860" s="129"/>
      <c r="G860" s="129"/>
      <c r="H860" s="129"/>
      <c r="I860" s="129"/>
      <c r="J860" s="129"/>
      <c r="K860" s="110"/>
      <c r="L860" s="129"/>
      <c r="M860" t="s">
        <v>351</v>
      </c>
      <c r="N860" s="129"/>
      <c r="O860" s="129"/>
      <c r="P860" s="129"/>
      <c r="Q860" s="129"/>
      <c r="R860" s="129"/>
      <c r="S860" s="129"/>
      <c r="T860" s="129"/>
      <c r="U860" s="129"/>
      <c r="V860" s="141"/>
      <c r="W860" s="139"/>
      <c r="X860" s="129"/>
      <c r="Y860" s="129"/>
      <c r="Z860" s="129"/>
      <c r="AA860" s="129"/>
      <c r="AB860" s="129"/>
      <c r="AC860" s="115"/>
      <c r="AD860" s="129"/>
      <c r="AE860" s="149"/>
      <c r="AF860" s="129"/>
      <c r="AG860" s="129"/>
      <c r="AH860" s="129"/>
    </row>
    <row r="861" spans="3:34" x14ac:dyDescent="0.35">
      <c r="C861" s="129"/>
      <c r="D861" s="129"/>
      <c r="E861" s="129"/>
      <c r="F861" s="129"/>
      <c r="G861" s="129"/>
      <c r="H861" s="129"/>
      <c r="I861" s="129"/>
      <c r="J861" s="129"/>
      <c r="K861" s="110"/>
      <c r="L861" s="129"/>
      <c r="M861" t="s">
        <v>351</v>
      </c>
      <c r="N861" s="129"/>
      <c r="O861" s="129"/>
      <c r="P861" s="129"/>
      <c r="Q861" s="129"/>
      <c r="R861" s="129"/>
      <c r="S861" s="129"/>
      <c r="T861" s="129"/>
      <c r="U861" s="129"/>
      <c r="V861" s="141"/>
      <c r="W861" s="139"/>
      <c r="X861" s="129"/>
      <c r="Y861" s="129"/>
      <c r="Z861" s="129"/>
      <c r="AA861" s="129"/>
      <c r="AB861" s="129"/>
      <c r="AC861" s="115"/>
      <c r="AD861" s="129"/>
      <c r="AE861" s="149"/>
      <c r="AF861" s="129"/>
      <c r="AG861" s="129"/>
      <c r="AH861" s="129"/>
    </row>
    <row r="862" spans="3:34" x14ac:dyDescent="0.35">
      <c r="C862" s="129"/>
      <c r="D862" s="129"/>
      <c r="E862" s="129"/>
      <c r="F862" s="129"/>
      <c r="G862" s="129"/>
      <c r="H862" s="129"/>
      <c r="I862" s="129"/>
      <c r="J862" s="129"/>
      <c r="K862" s="110"/>
      <c r="L862" s="129"/>
      <c r="M862" t="s">
        <v>351</v>
      </c>
      <c r="N862" s="129"/>
      <c r="O862" s="129"/>
      <c r="P862" s="129"/>
      <c r="Q862" s="129"/>
      <c r="R862" s="129"/>
      <c r="S862" s="129"/>
      <c r="T862" s="129"/>
      <c r="U862" s="129"/>
      <c r="V862" s="141"/>
      <c r="W862" s="139"/>
      <c r="X862" s="129"/>
      <c r="Y862" s="129"/>
      <c r="Z862" s="129"/>
      <c r="AA862" s="129"/>
      <c r="AB862" s="129"/>
      <c r="AC862" s="115"/>
      <c r="AD862" s="129"/>
      <c r="AE862" s="149"/>
      <c r="AF862" s="129"/>
      <c r="AG862" s="129"/>
      <c r="AH862" s="129"/>
    </row>
    <row r="863" spans="3:34" x14ac:dyDescent="0.35">
      <c r="C863" s="129"/>
      <c r="D863" s="129"/>
      <c r="E863" s="129"/>
      <c r="F863" s="129"/>
      <c r="G863" s="129"/>
      <c r="H863" s="129"/>
      <c r="I863" s="129"/>
      <c r="J863" s="129"/>
      <c r="K863" s="110"/>
      <c r="L863" s="129"/>
      <c r="M863" t="s">
        <v>351</v>
      </c>
      <c r="N863" s="129"/>
      <c r="O863" s="129"/>
      <c r="P863" s="129"/>
      <c r="Q863" s="129"/>
      <c r="R863" s="129"/>
      <c r="S863" s="129"/>
      <c r="T863" s="129"/>
      <c r="U863" s="129"/>
      <c r="V863" s="141"/>
      <c r="W863" s="139"/>
      <c r="X863" s="129"/>
      <c r="Y863" s="129"/>
      <c r="Z863" s="129"/>
      <c r="AA863" s="129"/>
      <c r="AB863" s="129"/>
      <c r="AC863" s="115"/>
      <c r="AD863" s="129"/>
      <c r="AE863" s="149"/>
      <c r="AF863" s="129"/>
      <c r="AG863" s="129"/>
      <c r="AH863" s="129"/>
    </row>
    <row r="864" spans="3:34" x14ac:dyDescent="0.35">
      <c r="C864" s="129"/>
      <c r="D864" s="129"/>
      <c r="E864" s="129"/>
      <c r="F864" s="129"/>
      <c r="G864" s="129"/>
      <c r="H864" s="129"/>
      <c r="I864" s="129"/>
      <c r="J864" s="129"/>
      <c r="K864" s="110"/>
      <c r="L864" s="129"/>
      <c r="M864" t="s">
        <v>351</v>
      </c>
      <c r="N864" s="129"/>
      <c r="O864" s="129"/>
      <c r="P864" s="129"/>
      <c r="Q864" s="129"/>
      <c r="R864" s="129"/>
      <c r="S864" s="129"/>
      <c r="T864" s="129"/>
      <c r="U864" s="129"/>
      <c r="V864" s="141"/>
      <c r="W864" s="139"/>
      <c r="X864" s="129"/>
      <c r="Y864" s="129"/>
      <c r="Z864" s="129"/>
      <c r="AA864" s="129"/>
      <c r="AB864" s="129"/>
      <c r="AC864" s="115"/>
      <c r="AD864" s="129"/>
      <c r="AE864" s="149"/>
      <c r="AF864" s="129"/>
      <c r="AG864" s="129"/>
      <c r="AH864" s="129"/>
    </row>
    <row r="865" spans="3:34" x14ac:dyDescent="0.35">
      <c r="C865" s="129"/>
      <c r="D865" s="129"/>
      <c r="E865" s="129"/>
      <c r="F865" s="129"/>
      <c r="G865" s="129"/>
      <c r="H865" s="129"/>
      <c r="I865" s="129"/>
      <c r="J865" s="129"/>
      <c r="K865" s="110"/>
      <c r="L865" s="129"/>
      <c r="M865" t="s">
        <v>351</v>
      </c>
      <c r="N865" s="129"/>
      <c r="O865" s="129"/>
      <c r="P865" s="129"/>
      <c r="Q865" s="129"/>
      <c r="R865" s="129"/>
      <c r="S865" s="129"/>
      <c r="T865" s="129"/>
      <c r="U865" s="129"/>
      <c r="V865" s="141"/>
      <c r="W865" s="139"/>
      <c r="X865" s="129"/>
      <c r="Y865" s="129"/>
      <c r="Z865" s="129"/>
      <c r="AA865" s="129"/>
      <c r="AB865" s="129"/>
      <c r="AC865" s="115"/>
      <c r="AD865" s="129"/>
      <c r="AE865" s="149"/>
      <c r="AF865" s="129"/>
      <c r="AG865" s="129"/>
      <c r="AH865" s="129"/>
    </row>
    <row r="866" spans="3:34" x14ac:dyDescent="0.35">
      <c r="C866" s="129"/>
      <c r="D866" s="129"/>
      <c r="E866" s="129"/>
      <c r="F866" s="129"/>
      <c r="G866" s="129"/>
      <c r="H866" s="129"/>
      <c r="I866" s="129"/>
      <c r="J866" s="129"/>
      <c r="K866" s="110"/>
      <c r="L866" s="129"/>
      <c r="M866" t="s">
        <v>351</v>
      </c>
      <c r="N866" s="129"/>
      <c r="O866" s="129"/>
      <c r="P866" s="129"/>
      <c r="Q866" s="129"/>
      <c r="R866" s="129"/>
      <c r="S866" s="129"/>
      <c r="T866" s="129"/>
      <c r="U866" s="129"/>
      <c r="V866" s="141"/>
      <c r="W866" s="139"/>
      <c r="X866" s="129"/>
      <c r="Y866" s="129"/>
      <c r="Z866" s="129"/>
      <c r="AA866" s="129"/>
      <c r="AB866" s="129"/>
      <c r="AC866" s="115"/>
      <c r="AD866" s="129"/>
      <c r="AE866" s="149"/>
      <c r="AF866" s="129"/>
      <c r="AG866" s="129"/>
      <c r="AH866" s="129"/>
    </row>
    <row r="867" spans="3:34" x14ac:dyDescent="0.35">
      <c r="C867" s="129"/>
      <c r="D867" s="129"/>
      <c r="E867" s="129"/>
      <c r="F867" s="129"/>
      <c r="G867" s="129"/>
      <c r="H867" s="129"/>
      <c r="I867" s="129"/>
      <c r="J867" s="129"/>
      <c r="K867" s="110"/>
      <c r="L867" s="129"/>
      <c r="M867" t="s">
        <v>351</v>
      </c>
      <c r="N867" s="129"/>
      <c r="O867" s="129"/>
      <c r="P867" s="129"/>
      <c r="Q867" s="129"/>
      <c r="R867" s="129"/>
      <c r="S867" s="129"/>
      <c r="T867" s="129"/>
      <c r="U867" s="129"/>
      <c r="V867" s="141"/>
      <c r="W867" s="139"/>
      <c r="X867" s="129"/>
      <c r="Y867" s="129"/>
      <c r="Z867" s="129"/>
      <c r="AA867" s="129"/>
      <c r="AB867" s="129"/>
      <c r="AC867" s="115"/>
      <c r="AD867" s="129"/>
      <c r="AE867" s="149"/>
      <c r="AF867" s="129"/>
      <c r="AG867" s="129"/>
      <c r="AH867" s="129"/>
    </row>
    <row r="868" spans="3:34" x14ac:dyDescent="0.35">
      <c r="C868" s="129"/>
      <c r="D868" s="129"/>
      <c r="E868" s="129"/>
      <c r="F868" s="129"/>
      <c r="G868" s="129"/>
      <c r="H868" s="129"/>
      <c r="I868" s="129"/>
      <c r="J868" s="129"/>
      <c r="K868" s="110"/>
      <c r="L868" s="129"/>
      <c r="M868" t="s">
        <v>351</v>
      </c>
      <c r="N868" s="129"/>
      <c r="O868" s="129"/>
      <c r="P868" s="129"/>
      <c r="Q868" s="129"/>
      <c r="R868" s="129"/>
      <c r="S868" s="129"/>
      <c r="T868" s="129"/>
      <c r="U868" s="129"/>
      <c r="V868" s="141"/>
      <c r="W868" s="139"/>
      <c r="X868" s="129"/>
      <c r="Y868" s="129"/>
      <c r="Z868" s="129"/>
      <c r="AA868" s="129"/>
      <c r="AB868" s="129"/>
      <c r="AC868" s="115"/>
      <c r="AD868" s="129"/>
      <c r="AE868" s="149"/>
      <c r="AF868" s="129"/>
      <c r="AG868" s="129"/>
      <c r="AH868" s="129"/>
    </row>
    <row r="869" spans="3:34" x14ac:dyDescent="0.35">
      <c r="C869" s="129"/>
      <c r="D869" s="129"/>
      <c r="E869" s="129"/>
      <c r="F869" s="129"/>
      <c r="G869" s="129"/>
      <c r="H869" s="129"/>
      <c r="I869" s="129"/>
      <c r="J869" s="129"/>
      <c r="K869" s="110"/>
      <c r="L869" s="129"/>
      <c r="M869" t="s">
        <v>351</v>
      </c>
      <c r="N869" s="129"/>
      <c r="O869" s="129"/>
      <c r="P869" s="129"/>
      <c r="Q869" s="129"/>
      <c r="R869" s="129"/>
      <c r="S869" s="129"/>
      <c r="T869" s="129"/>
      <c r="U869" s="129"/>
      <c r="V869" s="141"/>
      <c r="W869" s="139"/>
      <c r="X869" s="129"/>
      <c r="Y869" s="129"/>
      <c r="Z869" s="129"/>
      <c r="AA869" s="129"/>
      <c r="AB869" s="129"/>
      <c r="AC869" s="115"/>
      <c r="AD869" s="129"/>
      <c r="AE869" s="149"/>
      <c r="AF869" s="129"/>
      <c r="AG869" s="129"/>
      <c r="AH869" s="129"/>
    </row>
    <row r="870" spans="3:34" x14ac:dyDescent="0.35">
      <c r="C870" s="129"/>
      <c r="D870" s="129"/>
      <c r="E870" s="129"/>
      <c r="F870" s="129"/>
      <c r="G870" s="129"/>
      <c r="H870" s="129"/>
      <c r="I870" s="129"/>
      <c r="J870" s="129"/>
      <c r="K870" s="110"/>
      <c r="L870" s="129"/>
      <c r="M870" t="s">
        <v>351</v>
      </c>
      <c r="N870" s="129"/>
      <c r="O870" s="129"/>
      <c r="P870" s="129"/>
      <c r="Q870" s="129"/>
      <c r="R870" s="129"/>
      <c r="S870" s="129"/>
      <c r="T870" s="129"/>
      <c r="U870" s="129"/>
      <c r="V870" s="141"/>
      <c r="W870" s="139"/>
      <c r="X870" s="129"/>
      <c r="Y870" s="129"/>
      <c r="Z870" s="129"/>
      <c r="AA870" s="129"/>
      <c r="AB870" s="129"/>
      <c r="AC870" s="115"/>
      <c r="AD870" s="129"/>
      <c r="AE870" s="149"/>
      <c r="AF870" s="129"/>
      <c r="AG870" s="129"/>
      <c r="AH870" s="129"/>
    </row>
    <row r="871" spans="3:34" x14ac:dyDescent="0.35">
      <c r="C871" s="129"/>
      <c r="D871" s="129"/>
      <c r="E871" s="129"/>
      <c r="F871" s="129"/>
      <c r="G871" s="129"/>
      <c r="H871" s="129"/>
      <c r="I871" s="129"/>
      <c r="J871" s="129"/>
      <c r="K871" s="110"/>
      <c r="L871" s="129"/>
      <c r="M871" t="s">
        <v>351</v>
      </c>
      <c r="N871" s="129"/>
      <c r="O871" s="129"/>
      <c r="P871" s="129"/>
      <c r="Q871" s="129"/>
      <c r="R871" s="129"/>
      <c r="S871" s="129"/>
      <c r="T871" s="129"/>
      <c r="U871" s="129"/>
      <c r="V871" s="141"/>
      <c r="W871" s="139"/>
      <c r="X871" s="129"/>
      <c r="Y871" s="129"/>
      <c r="Z871" s="129"/>
      <c r="AA871" s="129"/>
      <c r="AB871" s="129"/>
      <c r="AC871" s="115"/>
      <c r="AD871" s="129"/>
      <c r="AE871" s="149"/>
      <c r="AF871" s="129"/>
      <c r="AG871" s="129"/>
      <c r="AH871" s="129"/>
    </row>
    <row r="872" spans="3:34" x14ac:dyDescent="0.35">
      <c r="C872" s="129"/>
      <c r="D872" s="129"/>
      <c r="E872" s="129"/>
      <c r="F872" s="129"/>
      <c r="G872" s="129"/>
      <c r="H872" s="129"/>
      <c r="I872" s="129"/>
      <c r="J872" s="129"/>
      <c r="K872" s="110"/>
      <c r="L872" s="129"/>
      <c r="M872" t="s">
        <v>351</v>
      </c>
      <c r="N872" s="129"/>
      <c r="O872" s="129"/>
      <c r="P872" s="129"/>
      <c r="Q872" s="129"/>
      <c r="R872" s="129"/>
      <c r="S872" s="129"/>
      <c r="T872" s="129"/>
      <c r="U872" s="129"/>
      <c r="V872" s="141"/>
      <c r="W872" s="139"/>
      <c r="X872" s="129"/>
      <c r="Y872" s="129"/>
      <c r="Z872" s="129"/>
      <c r="AA872" s="129"/>
      <c r="AB872" s="129"/>
      <c r="AC872" s="115"/>
      <c r="AD872" s="129"/>
      <c r="AE872" s="149"/>
      <c r="AF872" s="129"/>
      <c r="AG872" s="129"/>
      <c r="AH872" s="129"/>
    </row>
    <row r="873" spans="3:34" x14ac:dyDescent="0.35">
      <c r="C873" s="129"/>
      <c r="D873" s="129"/>
      <c r="E873" s="129"/>
      <c r="F873" s="129"/>
      <c r="G873" s="129"/>
      <c r="H873" s="129"/>
      <c r="I873" s="129"/>
      <c r="J873" s="129"/>
      <c r="K873" s="110"/>
      <c r="L873" s="129"/>
      <c r="M873" t="s">
        <v>351</v>
      </c>
      <c r="N873" s="129"/>
      <c r="O873" s="129"/>
      <c r="P873" s="129"/>
      <c r="Q873" s="129"/>
      <c r="R873" s="129"/>
      <c r="S873" s="129"/>
      <c r="T873" s="129"/>
      <c r="U873" s="129"/>
      <c r="V873" s="141"/>
      <c r="W873" s="139"/>
      <c r="X873" s="129"/>
      <c r="Y873" s="129"/>
      <c r="Z873" s="129"/>
      <c r="AA873" s="129"/>
      <c r="AB873" s="129"/>
      <c r="AC873" s="115"/>
      <c r="AD873" s="129"/>
      <c r="AE873" s="149"/>
      <c r="AF873" s="129"/>
      <c r="AG873" s="129"/>
      <c r="AH873" s="129"/>
    </row>
    <row r="874" spans="3:34" x14ac:dyDescent="0.35">
      <c r="C874" s="129"/>
      <c r="D874" s="129"/>
      <c r="E874" s="129"/>
      <c r="F874" s="129"/>
      <c r="G874" s="129"/>
      <c r="H874" s="129"/>
      <c r="I874" s="129"/>
      <c r="J874" s="129"/>
      <c r="K874" s="110"/>
      <c r="L874" s="129"/>
      <c r="M874" t="s">
        <v>351</v>
      </c>
      <c r="N874" s="129"/>
      <c r="O874" s="129"/>
      <c r="P874" s="129"/>
      <c r="Q874" s="129"/>
      <c r="R874" s="129"/>
      <c r="S874" s="129"/>
      <c r="T874" s="129"/>
      <c r="U874" s="129"/>
      <c r="V874" s="141"/>
      <c r="W874" s="139"/>
      <c r="X874" s="129"/>
      <c r="Y874" s="129"/>
      <c r="Z874" s="129"/>
      <c r="AA874" s="129"/>
      <c r="AB874" s="129"/>
      <c r="AC874" s="115"/>
      <c r="AD874" s="129"/>
      <c r="AE874" s="149"/>
      <c r="AF874" s="129"/>
      <c r="AG874" s="129"/>
      <c r="AH874" s="129"/>
    </row>
    <row r="875" spans="3:34" x14ac:dyDescent="0.35">
      <c r="C875" s="129"/>
      <c r="D875" s="129"/>
      <c r="E875" s="129"/>
      <c r="F875" s="129"/>
      <c r="G875" s="129"/>
      <c r="H875" s="129"/>
      <c r="I875" s="129"/>
      <c r="J875" s="129"/>
      <c r="K875" s="110"/>
      <c r="L875" s="129"/>
      <c r="M875" t="s">
        <v>351</v>
      </c>
      <c r="N875" s="129"/>
      <c r="O875" s="129"/>
      <c r="P875" s="129"/>
      <c r="Q875" s="129"/>
      <c r="R875" s="129"/>
      <c r="S875" s="129"/>
      <c r="T875" s="129"/>
      <c r="U875" s="129"/>
      <c r="V875" s="141"/>
      <c r="W875" s="139"/>
      <c r="X875" s="129"/>
      <c r="Y875" s="129"/>
      <c r="Z875" s="129"/>
      <c r="AA875" s="129"/>
      <c r="AB875" s="129"/>
      <c r="AC875" s="115"/>
      <c r="AD875" s="129"/>
      <c r="AE875" s="149"/>
      <c r="AF875" s="129"/>
      <c r="AG875" s="129"/>
      <c r="AH875" s="129"/>
    </row>
    <row r="876" spans="3:34" x14ac:dyDescent="0.35">
      <c r="C876" s="129"/>
      <c r="D876" s="129"/>
      <c r="E876" s="129"/>
      <c r="F876" s="129"/>
      <c r="G876" s="129"/>
      <c r="H876" s="129"/>
      <c r="I876" s="129"/>
      <c r="J876" s="129"/>
      <c r="K876" s="110"/>
      <c r="L876" s="129"/>
      <c r="M876" t="s">
        <v>351</v>
      </c>
      <c r="N876" s="129"/>
      <c r="O876" s="129"/>
      <c r="P876" s="129"/>
      <c r="Q876" s="129"/>
      <c r="R876" s="129"/>
      <c r="S876" s="129"/>
      <c r="T876" s="129"/>
      <c r="U876" s="129"/>
      <c r="V876" s="141"/>
      <c r="W876" s="139"/>
      <c r="X876" s="129"/>
      <c r="Y876" s="129"/>
      <c r="Z876" s="129"/>
      <c r="AA876" s="129"/>
      <c r="AB876" s="129"/>
      <c r="AC876" s="115"/>
      <c r="AD876" s="129"/>
      <c r="AE876" s="149"/>
      <c r="AF876" s="129"/>
      <c r="AG876" s="129"/>
      <c r="AH876" s="129"/>
    </row>
    <row r="877" spans="3:34" x14ac:dyDescent="0.35">
      <c r="C877" s="129"/>
      <c r="D877" s="129"/>
      <c r="E877" s="129"/>
      <c r="F877" s="129"/>
      <c r="G877" s="129"/>
      <c r="H877" s="129"/>
      <c r="I877" s="129"/>
      <c r="J877" s="129"/>
      <c r="K877" s="110"/>
      <c r="L877" s="129"/>
      <c r="M877" t="s">
        <v>351</v>
      </c>
      <c r="N877" s="129"/>
      <c r="O877" s="129"/>
      <c r="P877" s="129"/>
      <c r="Q877" s="129"/>
      <c r="R877" s="129"/>
      <c r="S877" s="129"/>
      <c r="T877" s="129"/>
      <c r="U877" s="129"/>
      <c r="V877" s="141"/>
      <c r="W877" s="139"/>
      <c r="X877" s="129"/>
      <c r="Y877" s="129"/>
      <c r="Z877" s="129"/>
      <c r="AA877" s="129"/>
      <c r="AB877" s="129"/>
      <c r="AC877" s="115"/>
      <c r="AD877" s="129"/>
      <c r="AE877" s="149"/>
      <c r="AF877" s="129"/>
      <c r="AG877" s="129"/>
      <c r="AH877" s="129"/>
    </row>
    <row r="878" spans="3:34" x14ac:dyDescent="0.35">
      <c r="C878" s="129"/>
      <c r="D878" s="129"/>
      <c r="E878" s="129"/>
      <c r="F878" s="129"/>
      <c r="G878" s="129"/>
      <c r="H878" s="129"/>
      <c r="I878" s="129"/>
      <c r="J878" s="129"/>
      <c r="K878" s="110"/>
      <c r="L878" s="129"/>
      <c r="M878" t="s">
        <v>351</v>
      </c>
      <c r="N878" s="129"/>
      <c r="O878" s="129"/>
      <c r="P878" s="129"/>
      <c r="Q878" s="129"/>
      <c r="R878" s="129"/>
      <c r="S878" s="129"/>
      <c r="T878" s="129"/>
      <c r="U878" s="129"/>
      <c r="V878" s="141"/>
      <c r="W878" s="139"/>
      <c r="X878" s="129"/>
      <c r="Y878" s="129"/>
      <c r="Z878" s="129"/>
      <c r="AA878" s="129"/>
      <c r="AB878" s="129"/>
      <c r="AC878" s="115"/>
      <c r="AD878" s="129"/>
      <c r="AE878" s="149"/>
      <c r="AF878" s="129"/>
      <c r="AG878" s="129"/>
      <c r="AH878" s="129"/>
    </row>
    <row r="879" spans="3:34" x14ac:dyDescent="0.35">
      <c r="C879" s="129"/>
      <c r="D879" s="129"/>
      <c r="E879" s="129"/>
      <c r="F879" s="129"/>
      <c r="G879" s="129"/>
      <c r="H879" s="129"/>
      <c r="I879" s="129"/>
      <c r="J879" s="129"/>
      <c r="K879" s="110"/>
      <c r="L879" s="129"/>
      <c r="M879" t="s">
        <v>351</v>
      </c>
      <c r="N879" s="129"/>
      <c r="O879" s="129"/>
      <c r="P879" s="129"/>
      <c r="Q879" s="129"/>
      <c r="R879" s="129"/>
      <c r="S879" s="129"/>
      <c r="T879" s="129"/>
      <c r="U879" s="129"/>
      <c r="V879" s="141"/>
      <c r="W879" s="139"/>
      <c r="X879" s="129"/>
      <c r="Y879" s="129"/>
      <c r="Z879" s="129"/>
      <c r="AA879" s="129"/>
      <c r="AB879" s="129"/>
      <c r="AC879" s="115"/>
      <c r="AD879" s="129"/>
      <c r="AE879" s="149"/>
      <c r="AF879" s="129"/>
      <c r="AG879" s="129"/>
      <c r="AH879" s="129"/>
    </row>
    <row r="880" spans="3:34" x14ac:dyDescent="0.35">
      <c r="C880" s="129"/>
      <c r="D880" s="129"/>
      <c r="E880" s="129"/>
      <c r="F880" s="129"/>
      <c r="G880" s="129"/>
      <c r="H880" s="129"/>
      <c r="I880" s="129"/>
      <c r="J880" s="129"/>
      <c r="K880" s="110"/>
      <c r="L880" s="129"/>
      <c r="M880" t="s">
        <v>351</v>
      </c>
      <c r="N880" s="129"/>
      <c r="O880" s="129"/>
      <c r="P880" s="129"/>
      <c r="Q880" s="129"/>
      <c r="R880" s="129"/>
      <c r="S880" s="129"/>
      <c r="T880" s="129"/>
      <c r="U880" s="129"/>
      <c r="V880" s="141"/>
      <c r="W880" s="139"/>
      <c r="X880" s="129"/>
      <c r="Y880" s="129"/>
      <c r="Z880" s="129"/>
      <c r="AA880" s="129"/>
      <c r="AB880" s="129"/>
      <c r="AC880" s="115"/>
      <c r="AD880" s="129"/>
      <c r="AE880" s="149"/>
      <c r="AF880" s="129"/>
      <c r="AG880" s="129"/>
      <c r="AH880" s="129"/>
    </row>
    <row r="881" spans="3:34" x14ac:dyDescent="0.35">
      <c r="C881" s="129"/>
      <c r="D881" s="129"/>
      <c r="E881" s="129"/>
      <c r="F881" s="129"/>
      <c r="G881" s="129"/>
      <c r="H881" s="129"/>
      <c r="I881" s="129"/>
      <c r="J881" s="129"/>
      <c r="K881" s="110"/>
      <c r="L881" s="129"/>
      <c r="M881" t="s">
        <v>351</v>
      </c>
      <c r="N881" s="129"/>
      <c r="O881" s="129"/>
      <c r="P881" s="129"/>
      <c r="Q881" s="129"/>
      <c r="R881" s="129"/>
      <c r="S881" s="129"/>
      <c r="T881" s="129"/>
      <c r="U881" s="129"/>
      <c r="V881" s="141"/>
      <c r="W881" s="139"/>
      <c r="X881" s="129"/>
      <c r="Y881" s="129"/>
      <c r="Z881" s="129"/>
      <c r="AA881" s="129"/>
      <c r="AB881" s="129"/>
      <c r="AC881" s="115"/>
      <c r="AD881" s="129"/>
      <c r="AE881" s="149"/>
      <c r="AF881" s="129"/>
      <c r="AG881" s="129"/>
      <c r="AH881" s="129"/>
    </row>
    <row r="882" spans="3:34" x14ac:dyDescent="0.35">
      <c r="C882" s="129"/>
      <c r="D882" s="129"/>
      <c r="E882" s="129"/>
      <c r="F882" s="129"/>
      <c r="G882" s="129"/>
      <c r="H882" s="129"/>
      <c r="I882" s="129"/>
      <c r="J882" s="129"/>
      <c r="K882" s="110"/>
      <c r="L882" s="129"/>
      <c r="M882" t="s">
        <v>351</v>
      </c>
      <c r="N882" s="129"/>
      <c r="O882" s="129"/>
      <c r="P882" s="129"/>
      <c r="Q882" s="129"/>
      <c r="R882" s="129"/>
      <c r="S882" s="129"/>
      <c r="T882" s="129"/>
      <c r="U882" s="129"/>
      <c r="V882" s="141"/>
      <c r="W882" s="139"/>
      <c r="X882" s="129"/>
      <c r="Y882" s="129"/>
      <c r="Z882" s="129"/>
      <c r="AA882" s="129"/>
      <c r="AB882" s="129"/>
      <c r="AC882" s="115"/>
      <c r="AD882" s="129"/>
      <c r="AE882" s="149"/>
      <c r="AF882" s="129"/>
      <c r="AG882" s="129"/>
      <c r="AH882" s="129"/>
    </row>
    <row r="883" spans="3:34" x14ac:dyDescent="0.35">
      <c r="C883" s="129"/>
      <c r="D883" s="129"/>
      <c r="E883" s="129"/>
      <c r="F883" s="129"/>
      <c r="G883" s="129"/>
      <c r="H883" s="129"/>
      <c r="I883" s="129"/>
      <c r="J883" s="129"/>
      <c r="K883" s="110"/>
      <c r="L883" s="129"/>
      <c r="M883" t="s">
        <v>351</v>
      </c>
      <c r="N883" s="129"/>
      <c r="O883" s="129"/>
      <c r="P883" s="129"/>
      <c r="Q883" s="129"/>
      <c r="R883" s="129"/>
      <c r="S883" s="129"/>
      <c r="T883" s="129"/>
      <c r="U883" s="129"/>
      <c r="V883" s="141"/>
      <c r="W883" s="139"/>
      <c r="X883" s="129"/>
      <c r="Y883" s="129"/>
      <c r="Z883" s="129"/>
      <c r="AA883" s="129"/>
      <c r="AB883" s="129"/>
      <c r="AC883" s="115"/>
      <c r="AD883" s="129"/>
      <c r="AE883" s="149"/>
      <c r="AF883" s="129"/>
      <c r="AG883" s="129"/>
      <c r="AH883" s="129"/>
    </row>
    <row r="884" spans="3:34" x14ac:dyDescent="0.35">
      <c r="C884" s="129"/>
      <c r="D884" s="129"/>
      <c r="E884" s="129"/>
      <c r="F884" s="129"/>
      <c r="G884" s="129"/>
      <c r="H884" s="129"/>
      <c r="I884" s="129"/>
      <c r="J884" s="129"/>
      <c r="K884" s="110"/>
      <c r="L884" s="129"/>
      <c r="M884" t="s">
        <v>351</v>
      </c>
      <c r="N884" s="129"/>
      <c r="O884" s="129"/>
      <c r="P884" s="129"/>
      <c r="Q884" s="129"/>
      <c r="R884" s="129"/>
      <c r="S884" s="129"/>
      <c r="T884" s="129"/>
      <c r="U884" s="129"/>
      <c r="V884" s="141"/>
      <c r="W884" s="139"/>
      <c r="X884" s="129"/>
      <c r="Y884" s="129"/>
      <c r="Z884" s="129"/>
      <c r="AA884" s="129"/>
      <c r="AB884" s="129"/>
      <c r="AC884" s="115"/>
      <c r="AD884" s="129"/>
      <c r="AE884" s="149"/>
      <c r="AF884" s="129"/>
      <c r="AG884" s="129"/>
      <c r="AH884" s="129"/>
    </row>
    <row r="885" spans="3:34" x14ac:dyDescent="0.35">
      <c r="C885" s="129"/>
      <c r="D885" s="129"/>
      <c r="E885" s="129"/>
      <c r="F885" s="129"/>
      <c r="G885" s="129"/>
      <c r="H885" s="129"/>
      <c r="I885" s="129"/>
      <c r="J885" s="129"/>
      <c r="K885" s="110"/>
      <c r="L885" s="129"/>
      <c r="M885" t="s">
        <v>351</v>
      </c>
      <c r="N885" s="129"/>
      <c r="O885" s="129"/>
      <c r="P885" s="129"/>
      <c r="Q885" s="129"/>
      <c r="R885" s="129"/>
      <c r="S885" s="129"/>
      <c r="T885" s="129"/>
      <c r="U885" s="129"/>
      <c r="V885" s="141"/>
      <c r="W885" s="139"/>
      <c r="X885" s="129"/>
      <c r="Y885" s="129"/>
      <c r="Z885" s="129"/>
      <c r="AA885" s="129"/>
      <c r="AB885" s="129"/>
      <c r="AC885" s="115"/>
      <c r="AD885" s="129"/>
      <c r="AE885" s="149"/>
      <c r="AF885" s="129"/>
      <c r="AG885" s="129"/>
      <c r="AH885" s="129"/>
    </row>
    <row r="886" spans="3:34" x14ac:dyDescent="0.35">
      <c r="C886" s="129"/>
      <c r="D886" s="129"/>
      <c r="E886" s="129"/>
      <c r="F886" s="129"/>
      <c r="G886" s="129"/>
      <c r="H886" s="129"/>
      <c r="I886" s="129"/>
      <c r="J886" s="129"/>
      <c r="K886" s="110"/>
      <c r="L886" s="129"/>
      <c r="M886" t="s">
        <v>351</v>
      </c>
      <c r="N886" s="129"/>
      <c r="O886" s="129"/>
      <c r="P886" s="129"/>
      <c r="Q886" s="129"/>
      <c r="R886" s="129"/>
      <c r="S886" s="129"/>
      <c r="T886" s="129"/>
      <c r="U886" s="129"/>
      <c r="V886" s="141"/>
      <c r="W886" s="139"/>
      <c r="X886" s="129"/>
      <c r="Y886" s="129"/>
      <c r="Z886" s="129"/>
      <c r="AA886" s="129"/>
      <c r="AB886" s="129"/>
      <c r="AC886" s="115"/>
      <c r="AD886" s="129"/>
      <c r="AE886" s="149"/>
      <c r="AF886" s="129"/>
      <c r="AG886" s="129"/>
      <c r="AH886" s="129"/>
    </row>
    <row r="887" spans="3:34" x14ac:dyDescent="0.35">
      <c r="C887" s="129"/>
      <c r="D887" s="129"/>
      <c r="E887" s="129"/>
      <c r="F887" s="129"/>
      <c r="G887" s="129"/>
      <c r="H887" s="129"/>
      <c r="I887" s="129"/>
      <c r="J887" s="129"/>
      <c r="K887" s="110"/>
      <c r="L887" s="129"/>
      <c r="M887" t="s">
        <v>351</v>
      </c>
      <c r="N887" s="129"/>
      <c r="O887" s="129"/>
      <c r="P887" s="129"/>
      <c r="Q887" s="129"/>
      <c r="R887" s="129"/>
      <c r="S887" s="129"/>
      <c r="T887" s="129"/>
      <c r="U887" s="129"/>
      <c r="V887" s="141"/>
      <c r="W887" s="139"/>
      <c r="X887" s="129"/>
      <c r="Y887" s="129"/>
      <c r="Z887" s="129"/>
      <c r="AA887" s="129"/>
      <c r="AB887" s="129"/>
      <c r="AC887" s="115"/>
      <c r="AD887" s="129"/>
      <c r="AE887" s="149"/>
      <c r="AF887" s="129"/>
      <c r="AG887" s="129"/>
      <c r="AH887" s="129"/>
    </row>
    <row r="888" spans="3:34" x14ac:dyDescent="0.35">
      <c r="C888" s="129"/>
      <c r="D888" s="129"/>
      <c r="E888" s="129"/>
      <c r="F888" s="129"/>
      <c r="G888" s="129"/>
      <c r="H888" s="129"/>
      <c r="I888" s="129"/>
      <c r="J888" s="129"/>
      <c r="K888" s="110"/>
      <c r="L888" s="129"/>
      <c r="M888" t="s">
        <v>351</v>
      </c>
      <c r="N888" s="129"/>
      <c r="O888" s="129"/>
      <c r="P888" s="129"/>
      <c r="Q888" s="129"/>
      <c r="R888" s="129"/>
      <c r="S888" s="129"/>
      <c r="T888" s="129"/>
      <c r="U888" s="129"/>
      <c r="V888" s="141"/>
      <c r="W888" s="139"/>
      <c r="X888" s="129"/>
      <c r="Y888" s="129"/>
      <c r="Z888" s="129"/>
      <c r="AA888" s="129"/>
      <c r="AB888" s="129"/>
      <c r="AC888" s="115"/>
      <c r="AD888" s="129"/>
      <c r="AE888" s="149"/>
      <c r="AF888" s="129"/>
      <c r="AG888" s="129"/>
      <c r="AH888" s="129"/>
    </row>
    <row r="889" spans="3:34" x14ac:dyDescent="0.35">
      <c r="C889" s="129"/>
      <c r="D889" s="129"/>
      <c r="E889" s="129"/>
      <c r="F889" s="129"/>
      <c r="G889" s="129"/>
      <c r="H889" s="129"/>
      <c r="I889" s="129"/>
      <c r="J889" s="129"/>
      <c r="K889" s="110"/>
      <c r="L889" s="129"/>
      <c r="M889" t="s">
        <v>351</v>
      </c>
      <c r="N889" s="129"/>
      <c r="O889" s="129"/>
      <c r="P889" s="129"/>
      <c r="Q889" s="129"/>
      <c r="R889" s="129"/>
      <c r="S889" s="129"/>
      <c r="T889" s="129"/>
      <c r="U889" s="129"/>
      <c r="V889" s="141"/>
      <c r="W889" s="139"/>
      <c r="X889" s="129"/>
      <c r="Y889" s="129"/>
      <c r="Z889" s="129"/>
      <c r="AA889" s="129"/>
      <c r="AB889" s="129"/>
      <c r="AC889" s="115"/>
      <c r="AD889" s="129"/>
      <c r="AE889" s="149"/>
      <c r="AF889" s="129"/>
      <c r="AG889" s="129"/>
      <c r="AH889" s="129"/>
    </row>
    <row r="890" spans="3:34" x14ac:dyDescent="0.35">
      <c r="C890" s="129"/>
      <c r="D890" s="129"/>
      <c r="E890" s="129"/>
      <c r="F890" s="129"/>
      <c r="G890" s="129"/>
      <c r="H890" s="129"/>
      <c r="I890" s="129"/>
      <c r="J890" s="129"/>
      <c r="K890" s="110"/>
      <c r="L890" s="129"/>
      <c r="M890" t="s">
        <v>351</v>
      </c>
      <c r="N890" s="129"/>
      <c r="O890" s="129"/>
      <c r="P890" s="129"/>
      <c r="Q890" s="129"/>
      <c r="R890" s="129"/>
      <c r="S890" s="129"/>
      <c r="T890" s="129"/>
      <c r="U890" s="129"/>
      <c r="V890" s="141"/>
      <c r="W890" s="139"/>
      <c r="X890" s="129"/>
      <c r="Y890" s="129"/>
      <c r="Z890" s="129"/>
      <c r="AA890" s="129"/>
      <c r="AB890" s="129"/>
      <c r="AC890" s="115"/>
      <c r="AD890" s="129"/>
      <c r="AE890" s="149"/>
      <c r="AF890" s="129"/>
      <c r="AG890" s="129"/>
      <c r="AH890" s="129"/>
    </row>
    <row r="891" spans="3:34" x14ac:dyDescent="0.35">
      <c r="C891" s="129"/>
      <c r="D891" s="129"/>
      <c r="E891" s="129"/>
      <c r="F891" s="129"/>
      <c r="G891" s="129"/>
      <c r="H891" s="129"/>
      <c r="I891" s="129"/>
      <c r="J891" s="129"/>
      <c r="K891" s="110"/>
      <c r="L891" s="129"/>
      <c r="M891" t="s">
        <v>351</v>
      </c>
      <c r="N891" s="129"/>
      <c r="O891" s="129"/>
      <c r="P891" s="129"/>
      <c r="Q891" s="129"/>
      <c r="R891" s="129"/>
      <c r="S891" s="129"/>
      <c r="T891" s="129"/>
      <c r="U891" s="129"/>
      <c r="V891" s="141"/>
      <c r="W891" s="139"/>
      <c r="X891" s="129"/>
      <c r="Y891" s="129"/>
      <c r="Z891" s="129"/>
      <c r="AA891" s="129"/>
      <c r="AB891" s="129"/>
      <c r="AC891" s="115"/>
      <c r="AD891" s="129"/>
      <c r="AE891" s="149"/>
      <c r="AF891" s="129"/>
      <c r="AG891" s="129"/>
      <c r="AH891" s="129"/>
    </row>
    <row r="892" spans="3:34" x14ac:dyDescent="0.35">
      <c r="C892" s="129"/>
      <c r="D892" s="129"/>
      <c r="E892" s="129"/>
      <c r="F892" s="129"/>
      <c r="G892" s="129"/>
      <c r="H892" s="129"/>
      <c r="I892" s="129"/>
      <c r="J892" s="129"/>
      <c r="K892" s="110"/>
      <c r="L892" s="129"/>
      <c r="M892" t="s">
        <v>351</v>
      </c>
      <c r="N892" s="129"/>
      <c r="O892" s="129"/>
      <c r="P892" s="129"/>
      <c r="Q892" s="129"/>
      <c r="R892" s="129"/>
      <c r="S892" s="129"/>
      <c r="T892" s="129"/>
      <c r="U892" s="129"/>
      <c r="V892" s="141"/>
      <c r="W892" s="139"/>
      <c r="X892" s="129"/>
      <c r="Y892" s="129"/>
      <c r="Z892" s="129"/>
      <c r="AA892" s="129"/>
      <c r="AB892" s="129"/>
      <c r="AC892" s="115"/>
      <c r="AD892" s="129"/>
      <c r="AE892" s="149"/>
      <c r="AF892" s="129"/>
      <c r="AG892" s="129"/>
      <c r="AH892" s="129"/>
    </row>
    <row r="893" spans="3:34" x14ac:dyDescent="0.35">
      <c r="C893" s="129"/>
      <c r="D893" s="129"/>
      <c r="E893" s="129"/>
      <c r="F893" s="129"/>
      <c r="G893" s="129"/>
      <c r="H893" s="129"/>
      <c r="I893" s="129"/>
      <c r="J893" s="129"/>
      <c r="K893" s="110"/>
      <c r="L893" s="129"/>
      <c r="M893" t="s">
        <v>351</v>
      </c>
      <c r="N893" s="129"/>
      <c r="O893" s="129"/>
      <c r="P893" s="129"/>
      <c r="Q893" s="129"/>
      <c r="R893" s="129"/>
      <c r="S893" s="129"/>
      <c r="T893" s="129"/>
      <c r="U893" s="129"/>
      <c r="V893" s="141"/>
      <c r="W893" s="139"/>
      <c r="X893" s="129"/>
      <c r="Y893" s="129"/>
      <c r="Z893" s="129"/>
      <c r="AA893" s="129"/>
      <c r="AB893" s="129"/>
      <c r="AC893" s="115"/>
      <c r="AD893" s="129"/>
      <c r="AE893" s="149"/>
      <c r="AF893" s="129"/>
      <c r="AG893" s="129"/>
      <c r="AH893" s="129"/>
    </row>
    <row r="894" spans="3:34" x14ac:dyDescent="0.35">
      <c r="C894" s="129"/>
      <c r="D894" s="129"/>
      <c r="E894" s="129"/>
      <c r="F894" s="129"/>
      <c r="G894" s="129"/>
      <c r="H894" s="129"/>
      <c r="I894" s="129"/>
      <c r="J894" s="129"/>
      <c r="K894" s="110"/>
      <c r="L894" s="129"/>
      <c r="M894" t="s">
        <v>351</v>
      </c>
      <c r="N894" s="129"/>
      <c r="O894" s="129"/>
      <c r="P894" s="129"/>
      <c r="Q894" s="129"/>
      <c r="R894" s="129"/>
      <c r="S894" s="129"/>
      <c r="T894" s="129"/>
      <c r="U894" s="129"/>
      <c r="V894" s="141"/>
      <c r="W894" s="139"/>
      <c r="X894" s="129"/>
      <c r="Y894" s="129"/>
      <c r="Z894" s="129"/>
      <c r="AA894" s="129"/>
      <c r="AB894" s="129"/>
      <c r="AC894" s="115"/>
      <c r="AD894" s="129"/>
      <c r="AE894" s="149"/>
      <c r="AF894" s="129"/>
      <c r="AG894" s="129"/>
      <c r="AH894" s="129"/>
    </row>
    <row r="895" spans="3:34" x14ac:dyDescent="0.35">
      <c r="C895" s="129"/>
      <c r="D895" s="129"/>
      <c r="E895" s="129"/>
      <c r="F895" s="129"/>
      <c r="G895" s="129"/>
      <c r="H895" s="129"/>
      <c r="I895" s="129"/>
      <c r="J895" s="129"/>
      <c r="K895" s="110"/>
      <c r="L895" s="129"/>
      <c r="M895" t="s">
        <v>351</v>
      </c>
      <c r="N895" s="129"/>
      <c r="O895" s="129"/>
      <c r="P895" s="129"/>
      <c r="Q895" s="129"/>
      <c r="R895" s="129"/>
      <c r="S895" s="129"/>
      <c r="T895" s="129"/>
      <c r="U895" s="129"/>
      <c r="V895" s="141"/>
      <c r="W895" s="139"/>
      <c r="X895" s="129"/>
      <c r="Y895" s="129"/>
      <c r="Z895" s="129"/>
      <c r="AA895" s="129"/>
      <c r="AB895" s="129"/>
      <c r="AC895" s="115"/>
      <c r="AD895" s="129"/>
      <c r="AE895" s="149"/>
      <c r="AF895" s="129"/>
      <c r="AG895" s="129"/>
      <c r="AH895" s="129"/>
    </row>
    <row r="896" spans="3:34" x14ac:dyDescent="0.35">
      <c r="C896" s="129"/>
      <c r="D896" s="129"/>
      <c r="E896" s="129"/>
      <c r="F896" s="129"/>
      <c r="G896" s="129"/>
      <c r="H896" s="129"/>
      <c r="I896" s="129"/>
      <c r="J896" s="129"/>
      <c r="K896" s="110"/>
      <c r="L896" s="129"/>
      <c r="M896" t="s">
        <v>351</v>
      </c>
      <c r="N896" s="129"/>
      <c r="O896" s="129"/>
      <c r="P896" s="129"/>
      <c r="Q896" s="129"/>
      <c r="R896" s="129"/>
      <c r="S896" s="129"/>
      <c r="T896" s="129"/>
      <c r="U896" s="129"/>
      <c r="V896" s="141"/>
      <c r="W896" s="139"/>
      <c r="X896" s="129"/>
      <c r="Y896" s="129"/>
      <c r="Z896" s="129"/>
      <c r="AA896" s="129"/>
      <c r="AB896" s="129"/>
      <c r="AC896" s="115"/>
      <c r="AD896" s="129"/>
      <c r="AE896" s="149"/>
      <c r="AF896" s="129"/>
      <c r="AG896" s="129"/>
      <c r="AH896" s="129"/>
    </row>
    <row r="897" spans="3:34" x14ac:dyDescent="0.35">
      <c r="C897" s="129"/>
      <c r="D897" s="129"/>
      <c r="E897" s="129"/>
      <c r="F897" s="129"/>
      <c r="G897" s="129"/>
      <c r="H897" s="129"/>
      <c r="I897" s="129"/>
      <c r="J897" s="129"/>
      <c r="K897" s="110"/>
      <c r="L897" s="129"/>
      <c r="M897" t="s">
        <v>351</v>
      </c>
      <c r="N897" s="129"/>
      <c r="O897" s="129"/>
      <c r="P897" s="129"/>
      <c r="Q897" s="129"/>
      <c r="R897" s="129"/>
      <c r="S897" s="129"/>
      <c r="T897" s="129"/>
      <c r="U897" s="129"/>
      <c r="V897" s="141"/>
      <c r="W897" s="139"/>
      <c r="X897" s="129"/>
      <c r="Y897" s="129"/>
      <c r="Z897" s="129"/>
      <c r="AA897" s="129"/>
      <c r="AB897" s="129"/>
      <c r="AC897" s="115"/>
      <c r="AD897" s="129"/>
      <c r="AE897" s="149"/>
      <c r="AF897" s="129"/>
      <c r="AG897" s="129"/>
      <c r="AH897" s="129"/>
    </row>
    <row r="898" spans="3:34" x14ac:dyDescent="0.35">
      <c r="C898" s="129"/>
      <c r="D898" s="129"/>
      <c r="E898" s="129"/>
      <c r="F898" s="129"/>
      <c r="G898" s="129"/>
      <c r="H898" s="129"/>
      <c r="I898" s="129"/>
      <c r="J898" s="129"/>
      <c r="K898" s="110"/>
      <c r="L898" s="129"/>
      <c r="M898" t="s">
        <v>351</v>
      </c>
      <c r="N898" s="129"/>
      <c r="O898" s="129"/>
      <c r="P898" s="129"/>
      <c r="Q898" s="129"/>
      <c r="R898" s="129"/>
      <c r="S898" s="129"/>
      <c r="T898" s="129"/>
      <c r="U898" s="129"/>
      <c r="V898" s="141"/>
      <c r="W898" s="139"/>
      <c r="X898" s="129"/>
      <c r="Y898" s="129"/>
      <c r="Z898" s="129"/>
      <c r="AA898" s="129"/>
      <c r="AB898" s="129"/>
      <c r="AC898" s="115"/>
      <c r="AD898" s="129"/>
      <c r="AE898" s="149"/>
      <c r="AF898" s="129"/>
      <c r="AG898" s="129"/>
      <c r="AH898" s="129"/>
    </row>
    <row r="899" spans="3:34" x14ac:dyDescent="0.35">
      <c r="C899" s="129"/>
      <c r="D899" s="129"/>
      <c r="E899" s="129"/>
      <c r="F899" s="129"/>
      <c r="G899" s="129"/>
      <c r="H899" s="129"/>
      <c r="I899" s="129"/>
      <c r="J899" s="129"/>
      <c r="K899" s="110"/>
      <c r="L899" s="129"/>
      <c r="M899" t="s">
        <v>351</v>
      </c>
      <c r="N899" s="129"/>
      <c r="O899" s="129"/>
      <c r="P899" s="129"/>
      <c r="Q899" s="129"/>
      <c r="R899" s="129"/>
      <c r="S899" s="129"/>
      <c r="T899" s="129"/>
      <c r="U899" s="129"/>
      <c r="V899" s="141"/>
      <c r="W899" s="139"/>
      <c r="X899" s="129"/>
      <c r="Y899" s="129"/>
      <c r="Z899" s="129"/>
      <c r="AA899" s="129"/>
      <c r="AB899" s="129"/>
      <c r="AC899" s="115"/>
      <c r="AD899" s="129"/>
      <c r="AE899" s="149"/>
      <c r="AF899" s="129"/>
      <c r="AG899" s="129"/>
      <c r="AH899" s="129"/>
    </row>
    <row r="900" spans="3:34" x14ac:dyDescent="0.35">
      <c r="C900" s="129"/>
      <c r="D900" s="129"/>
      <c r="E900" s="129"/>
      <c r="F900" s="129"/>
      <c r="G900" s="129"/>
      <c r="H900" s="129"/>
      <c r="I900" s="129"/>
      <c r="J900" s="129"/>
      <c r="K900" s="110"/>
      <c r="L900" s="129"/>
      <c r="M900" t="s">
        <v>351</v>
      </c>
      <c r="N900" s="129"/>
      <c r="O900" s="129"/>
      <c r="P900" s="129"/>
      <c r="Q900" s="129"/>
      <c r="R900" s="129"/>
      <c r="S900" s="129"/>
      <c r="T900" s="129"/>
      <c r="U900" s="129"/>
      <c r="V900" s="141"/>
      <c r="W900" s="139"/>
      <c r="X900" s="129"/>
      <c r="Y900" s="129"/>
      <c r="Z900" s="129"/>
      <c r="AA900" s="129"/>
      <c r="AB900" s="129"/>
      <c r="AC900" s="115"/>
      <c r="AD900" s="129"/>
      <c r="AE900" s="149"/>
      <c r="AF900" s="129"/>
      <c r="AG900" s="129"/>
      <c r="AH900" s="129"/>
    </row>
    <row r="901" spans="3:34" x14ac:dyDescent="0.35">
      <c r="C901" s="129"/>
      <c r="D901" s="129"/>
      <c r="E901" s="129"/>
      <c r="F901" s="129"/>
      <c r="G901" s="129"/>
      <c r="H901" s="129"/>
      <c r="I901" s="129"/>
      <c r="J901" s="129"/>
      <c r="K901" s="110"/>
      <c r="L901" s="129"/>
      <c r="M901" t="s">
        <v>351</v>
      </c>
      <c r="N901" s="129"/>
      <c r="O901" s="129"/>
      <c r="P901" s="129"/>
      <c r="Q901" s="129"/>
      <c r="R901" s="129"/>
      <c r="S901" s="129"/>
      <c r="T901" s="129"/>
      <c r="U901" s="129"/>
      <c r="V901" s="141"/>
      <c r="W901" s="139"/>
      <c r="X901" s="129"/>
      <c r="Y901" s="129"/>
      <c r="Z901" s="129"/>
      <c r="AA901" s="129"/>
      <c r="AB901" s="129"/>
      <c r="AC901" s="115"/>
      <c r="AD901" s="129"/>
      <c r="AE901" s="149"/>
      <c r="AF901" s="129"/>
      <c r="AG901" s="129"/>
      <c r="AH901" s="129"/>
    </row>
    <row r="902" spans="3:34" x14ac:dyDescent="0.35">
      <c r="C902" s="129"/>
      <c r="D902" s="129"/>
      <c r="E902" s="129"/>
      <c r="F902" s="129"/>
      <c r="G902" s="129"/>
      <c r="H902" s="129"/>
      <c r="I902" s="129"/>
      <c r="J902" s="129"/>
      <c r="K902" s="110"/>
      <c r="L902" s="129"/>
      <c r="M902" t="s">
        <v>351</v>
      </c>
      <c r="N902" s="129"/>
      <c r="O902" s="129"/>
      <c r="P902" s="129"/>
      <c r="Q902" s="129"/>
      <c r="R902" s="129"/>
      <c r="S902" s="129"/>
      <c r="T902" s="129"/>
      <c r="U902" s="129"/>
      <c r="V902" s="141"/>
      <c r="W902" s="139"/>
      <c r="X902" s="129"/>
      <c r="Y902" s="129"/>
      <c r="Z902" s="129"/>
      <c r="AA902" s="129"/>
      <c r="AB902" s="129"/>
      <c r="AC902" s="115"/>
      <c r="AD902" s="129"/>
      <c r="AE902" s="149"/>
      <c r="AF902" s="129"/>
      <c r="AG902" s="129"/>
      <c r="AH902" s="129"/>
    </row>
    <row r="903" spans="3:34" x14ac:dyDescent="0.35">
      <c r="C903" s="129"/>
      <c r="D903" s="129"/>
      <c r="E903" s="129"/>
      <c r="F903" s="129"/>
      <c r="G903" s="129"/>
      <c r="H903" s="129"/>
      <c r="I903" s="129"/>
      <c r="J903" s="129"/>
      <c r="K903" s="110"/>
      <c r="L903" s="129"/>
      <c r="M903" t="s">
        <v>351</v>
      </c>
      <c r="N903" s="129"/>
      <c r="O903" s="129"/>
      <c r="P903" s="129"/>
      <c r="Q903" s="129"/>
      <c r="R903" s="129"/>
      <c r="S903" s="129"/>
      <c r="T903" s="129"/>
      <c r="U903" s="129"/>
      <c r="V903" s="141"/>
      <c r="W903" s="139"/>
      <c r="X903" s="129"/>
      <c r="Y903" s="129"/>
      <c r="Z903" s="129"/>
      <c r="AA903" s="129"/>
      <c r="AB903" s="129"/>
      <c r="AC903" s="115"/>
      <c r="AD903" s="129"/>
      <c r="AE903" s="149"/>
      <c r="AF903" s="129"/>
      <c r="AG903" s="129"/>
      <c r="AH903" s="129"/>
    </row>
    <row r="904" spans="3:34" x14ac:dyDescent="0.35">
      <c r="C904" s="129"/>
      <c r="D904" s="129"/>
      <c r="E904" s="129"/>
      <c r="F904" s="129"/>
      <c r="G904" s="129"/>
      <c r="H904" s="129"/>
      <c r="I904" s="129"/>
      <c r="J904" s="129"/>
      <c r="K904" s="110"/>
      <c r="L904" s="129"/>
      <c r="M904" t="s">
        <v>351</v>
      </c>
      <c r="N904" s="129"/>
      <c r="O904" s="129"/>
      <c r="P904" s="129"/>
      <c r="Q904" s="129"/>
      <c r="R904" s="129"/>
      <c r="S904" s="129"/>
      <c r="T904" s="129"/>
      <c r="U904" s="129"/>
      <c r="V904" s="141"/>
      <c r="W904" s="139"/>
      <c r="X904" s="129"/>
      <c r="Y904" s="129"/>
      <c r="Z904" s="129"/>
      <c r="AA904" s="129"/>
      <c r="AB904" s="129"/>
      <c r="AC904" s="115"/>
      <c r="AD904" s="129"/>
      <c r="AE904" s="149"/>
      <c r="AF904" s="129"/>
      <c r="AG904" s="129"/>
      <c r="AH904" s="129"/>
    </row>
    <row r="905" spans="3:34" x14ac:dyDescent="0.35">
      <c r="C905" s="129"/>
      <c r="D905" s="129"/>
      <c r="E905" s="129"/>
      <c r="F905" s="129"/>
      <c r="G905" s="129"/>
      <c r="H905" s="129"/>
      <c r="I905" s="129"/>
      <c r="J905" s="129"/>
      <c r="K905" s="110"/>
      <c r="L905" s="129"/>
      <c r="M905" t="s">
        <v>351</v>
      </c>
      <c r="N905" s="129"/>
      <c r="O905" s="129"/>
      <c r="P905" s="129"/>
      <c r="Q905" s="129"/>
      <c r="R905" s="129"/>
      <c r="S905" s="129"/>
      <c r="T905" s="129"/>
      <c r="U905" s="129"/>
      <c r="V905" s="141"/>
      <c r="W905" s="139"/>
      <c r="X905" s="129"/>
      <c r="Y905" s="129"/>
      <c r="Z905" s="129"/>
      <c r="AA905" s="129"/>
      <c r="AB905" s="129"/>
      <c r="AC905" s="115"/>
      <c r="AD905" s="129"/>
      <c r="AE905" s="149"/>
      <c r="AF905" s="129"/>
      <c r="AG905" s="129"/>
      <c r="AH905" s="129"/>
    </row>
    <row r="906" spans="3:34" x14ac:dyDescent="0.35">
      <c r="C906" s="129"/>
      <c r="D906" s="129"/>
      <c r="E906" s="129"/>
      <c r="F906" s="129"/>
      <c r="G906" s="129"/>
      <c r="H906" s="129"/>
      <c r="I906" s="129"/>
      <c r="J906" s="129"/>
      <c r="K906" s="110"/>
      <c r="L906" s="129"/>
      <c r="M906" t="s">
        <v>351</v>
      </c>
      <c r="N906" s="129"/>
      <c r="O906" s="129"/>
      <c r="P906" s="129"/>
      <c r="Q906" s="129"/>
      <c r="R906" s="129"/>
      <c r="S906" s="129"/>
      <c r="T906" s="129"/>
      <c r="U906" s="129"/>
      <c r="V906" s="141"/>
      <c r="W906" s="139"/>
      <c r="X906" s="129"/>
      <c r="Y906" s="129"/>
      <c r="Z906" s="129"/>
      <c r="AA906" s="129"/>
      <c r="AB906" s="129"/>
      <c r="AC906" s="115"/>
      <c r="AD906" s="129"/>
      <c r="AE906" s="149"/>
      <c r="AF906" s="129"/>
      <c r="AG906" s="129"/>
      <c r="AH906" s="129"/>
    </row>
    <row r="907" spans="3:34" x14ac:dyDescent="0.35">
      <c r="C907" s="129"/>
      <c r="D907" s="129"/>
      <c r="E907" s="129"/>
      <c r="F907" s="129"/>
      <c r="G907" s="129"/>
      <c r="H907" s="129"/>
      <c r="I907" s="129"/>
      <c r="J907" s="129"/>
      <c r="K907" s="110"/>
      <c r="L907" s="129"/>
      <c r="M907" t="s">
        <v>351</v>
      </c>
      <c r="N907" s="129"/>
      <c r="O907" s="129"/>
      <c r="P907" s="129"/>
      <c r="Q907" s="129"/>
      <c r="R907" s="129"/>
      <c r="S907" s="129"/>
      <c r="T907" s="129"/>
      <c r="U907" s="129"/>
      <c r="V907" s="141"/>
      <c r="W907" s="139"/>
      <c r="X907" s="129"/>
      <c r="Y907" s="129"/>
      <c r="Z907" s="129"/>
      <c r="AA907" s="129"/>
      <c r="AB907" s="129"/>
      <c r="AC907" s="115"/>
      <c r="AD907" s="129"/>
      <c r="AE907" s="149"/>
      <c r="AF907" s="129"/>
      <c r="AG907" s="129"/>
      <c r="AH907" s="129"/>
    </row>
    <row r="908" spans="3:34" x14ac:dyDescent="0.35">
      <c r="C908" s="129"/>
      <c r="D908" s="129"/>
      <c r="E908" s="129"/>
      <c r="F908" s="129"/>
      <c r="G908" s="129"/>
      <c r="H908" s="129"/>
      <c r="I908" s="129"/>
      <c r="J908" s="129"/>
      <c r="K908" s="110"/>
      <c r="L908" s="129"/>
      <c r="M908" t="s">
        <v>351</v>
      </c>
      <c r="N908" s="129"/>
      <c r="O908" s="129"/>
      <c r="P908" s="129"/>
      <c r="Q908" s="129"/>
      <c r="R908" s="129"/>
      <c r="S908" s="129"/>
      <c r="T908" s="129"/>
      <c r="U908" s="129"/>
      <c r="V908" s="141"/>
      <c r="W908" s="139"/>
      <c r="X908" s="129"/>
      <c r="Y908" s="129"/>
      <c r="Z908" s="129"/>
      <c r="AA908" s="129"/>
      <c r="AB908" s="129"/>
      <c r="AC908" s="115"/>
      <c r="AD908" s="129"/>
      <c r="AE908" s="149"/>
      <c r="AF908" s="129"/>
      <c r="AG908" s="129"/>
      <c r="AH908" s="129"/>
    </row>
    <row r="909" spans="3:34" x14ac:dyDescent="0.35">
      <c r="C909" s="129"/>
      <c r="D909" s="129"/>
      <c r="E909" s="129"/>
      <c r="F909" s="129"/>
      <c r="G909" s="129"/>
      <c r="H909" s="129"/>
      <c r="I909" s="129"/>
      <c r="J909" s="129"/>
      <c r="K909" s="110"/>
      <c r="L909" s="129"/>
      <c r="M909" t="s">
        <v>351</v>
      </c>
      <c r="N909" s="129"/>
      <c r="O909" s="129"/>
      <c r="P909" s="129"/>
      <c r="Q909" s="129"/>
      <c r="R909" s="129"/>
      <c r="S909" s="129"/>
      <c r="T909" s="129"/>
      <c r="U909" s="129"/>
      <c r="V909" s="141"/>
      <c r="W909" s="139"/>
      <c r="X909" s="129"/>
      <c r="Y909" s="129"/>
      <c r="Z909" s="129"/>
      <c r="AA909" s="129"/>
      <c r="AB909" s="129"/>
      <c r="AC909" s="115"/>
      <c r="AD909" s="129"/>
      <c r="AE909" s="149"/>
      <c r="AF909" s="129"/>
      <c r="AG909" s="129"/>
      <c r="AH909" s="129"/>
    </row>
    <row r="910" spans="3:34" x14ac:dyDescent="0.35">
      <c r="C910" s="129"/>
      <c r="D910" s="129"/>
      <c r="E910" s="129"/>
      <c r="F910" s="129"/>
      <c r="G910" s="129"/>
      <c r="H910" s="129"/>
      <c r="I910" s="129"/>
      <c r="J910" s="129"/>
      <c r="K910" s="110"/>
      <c r="L910" s="129"/>
      <c r="M910" t="s">
        <v>351</v>
      </c>
      <c r="N910" s="129"/>
      <c r="O910" s="129"/>
      <c r="P910" s="129"/>
      <c r="Q910" s="129"/>
      <c r="R910" s="129"/>
      <c r="S910" s="129"/>
      <c r="T910" s="129"/>
      <c r="U910" s="129"/>
      <c r="V910" s="141"/>
      <c r="W910" s="139"/>
      <c r="X910" s="129"/>
      <c r="Y910" s="129"/>
      <c r="Z910" s="129"/>
      <c r="AA910" s="129"/>
      <c r="AB910" s="129"/>
      <c r="AC910" s="115"/>
      <c r="AD910" s="129"/>
      <c r="AE910" s="149"/>
      <c r="AF910" s="129"/>
      <c r="AG910" s="129"/>
      <c r="AH910" s="129"/>
    </row>
    <row r="911" spans="3:34" x14ac:dyDescent="0.35">
      <c r="C911" s="129"/>
      <c r="D911" s="129"/>
      <c r="E911" s="129"/>
      <c r="F911" s="129"/>
      <c r="G911" s="129"/>
      <c r="H911" s="129"/>
      <c r="I911" s="129"/>
      <c r="J911" s="129"/>
      <c r="K911" s="110"/>
      <c r="L911" s="129"/>
      <c r="M911" t="s">
        <v>351</v>
      </c>
      <c r="N911" s="129"/>
      <c r="O911" s="129"/>
      <c r="P911" s="129"/>
      <c r="Q911" s="129"/>
      <c r="R911" s="129"/>
      <c r="S911" s="129"/>
      <c r="T911" s="129"/>
      <c r="U911" s="129"/>
      <c r="V911" s="141"/>
      <c r="W911" s="139"/>
      <c r="X911" s="129"/>
      <c r="Y911" s="129"/>
      <c r="Z911" s="129"/>
      <c r="AA911" s="129"/>
      <c r="AB911" s="129"/>
      <c r="AC911" s="115"/>
      <c r="AD911" s="129"/>
      <c r="AE911" s="149"/>
      <c r="AF911" s="129"/>
      <c r="AG911" s="129"/>
      <c r="AH911" s="129"/>
    </row>
    <row r="912" spans="3:34" x14ac:dyDescent="0.35">
      <c r="C912" s="129"/>
      <c r="D912" s="129"/>
      <c r="E912" s="129"/>
      <c r="F912" s="129"/>
      <c r="G912" s="129"/>
      <c r="H912" s="129"/>
      <c r="I912" s="129"/>
      <c r="J912" s="129"/>
      <c r="K912" s="110"/>
      <c r="L912" s="129"/>
      <c r="M912" t="s">
        <v>351</v>
      </c>
      <c r="N912" s="129"/>
      <c r="O912" s="129"/>
      <c r="P912" s="129"/>
      <c r="Q912" s="129"/>
      <c r="R912" s="129"/>
      <c r="S912" s="129"/>
      <c r="T912" s="129"/>
      <c r="U912" s="129"/>
      <c r="V912" s="141"/>
      <c r="W912" s="139"/>
      <c r="X912" s="129"/>
      <c r="Y912" s="129"/>
      <c r="Z912" s="129"/>
      <c r="AA912" s="129"/>
      <c r="AB912" s="129"/>
      <c r="AC912" s="115"/>
      <c r="AD912" s="129"/>
      <c r="AE912" s="149"/>
      <c r="AF912" s="129"/>
      <c r="AG912" s="129"/>
      <c r="AH912" s="129"/>
    </row>
    <row r="913" spans="3:34" x14ac:dyDescent="0.35">
      <c r="C913" s="129"/>
      <c r="D913" s="129"/>
      <c r="E913" s="129"/>
      <c r="F913" s="129"/>
      <c r="G913" s="129"/>
      <c r="H913" s="129"/>
      <c r="I913" s="129"/>
      <c r="J913" s="129"/>
      <c r="K913" s="110"/>
      <c r="L913" s="129"/>
      <c r="M913" t="s">
        <v>351</v>
      </c>
      <c r="N913" s="129"/>
      <c r="O913" s="129"/>
      <c r="P913" s="129"/>
      <c r="Q913" s="129"/>
      <c r="R913" s="129"/>
      <c r="S913" s="129"/>
      <c r="T913" s="129"/>
      <c r="U913" s="129"/>
      <c r="V913" s="141"/>
      <c r="W913" s="139"/>
      <c r="X913" s="129"/>
      <c r="Y913" s="129"/>
      <c r="Z913" s="129"/>
      <c r="AA913" s="129"/>
      <c r="AB913" s="129"/>
      <c r="AC913" s="115"/>
      <c r="AD913" s="129"/>
      <c r="AE913" s="149"/>
      <c r="AF913" s="129"/>
      <c r="AG913" s="129"/>
      <c r="AH913" s="129"/>
    </row>
    <row r="914" spans="3:34" x14ac:dyDescent="0.35">
      <c r="C914" s="129"/>
      <c r="D914" s="129"/>
      <c r="E914" s="129"/>
      <c r="F914" s="129"/>
      <c r="G914" s="129"/>
      <c r="H914" s="129"/>
      <c r="I914" s="129"/>
      <c r="J914" s="129"/>
      <c r="K914" s="110"/>
      <c r="L914" s="129"/>
      <c r="M914" t="s">
        <v>351</v>
      </c>
      <c r="N914" s="129"/>
      <c r="O914" s="129"/>
      <c r="P914" s="129"/>
      <c r="Q914" s="129"/>
      <c r="R914" s="129"/>
      <c r="S914" s="129"/>
      <c r="T914" s="129"/>
      <c r="U914" s="129"/>
      <c r="V914" s="141"/>
      <c r="W914" s="139"/>
      <c r="X914" s="129"/>
      <c r="Y914" s="129"/>
      <c r="Z914" s="129"/>
      <c r="AA914" s="129"/>
      <c r="AB914" s="129"/>
      <c r="AC914" s="115"/>
      <c r="AD914" s="129"/>
      <c r="AE914" s="149"/>
      <c r="AF914" s="129"/>
      <c r="AG914" s="129"/>
      <c r="AH914" s="129"/>
    </row>
    <row r="915" spans="3:34" x14ac:dyDescent="0.35">
      <c r="C915" s="129"/>
      <c r="D915" s="129"/>
      <c r="E915" s="129"/>
      <c r="F915" s="129"/>
      <c r="G915" s="129"/>
      <c r="H915" s="129"/>
      <c r="I915" s="129"/>
      <c r="J915" s="129"/>
      <c r="K915" s="110"/>
      <c r="L915" s="129"/>
      <c r="M915" t="s">
        <v>351</v>
      </c>
      <c r="N915" s="129"/>
      <c r="O915" s="129"/>
      <c r="P915" s="129"/>
      <c r="Q915" s="129"/>
      <c r="R915" s="129"/>
      <c r="S915" s="129"/>
      <c r="T915" s="129"/>
      <c r="U915" s="129"/>
      <c r="V915" s="141"/>
      <c r="W915" s="139"/>
      <c r="X915" s="129"/>
      <c r="Y915" s="129"/>
      <c r="Z915" s="129"/>
      <c r="AA915" s="129"/>
      <c r="AB915" s="129"/>
      <c r="AC915" s="115"/>
      <c r="AD915" s="129"/>
      <c r="AE915" s="149"/>
      <c r="AF915" s="129"/>
      <c r="AG915" s="129"/>
      <c r="AH915" s="129"/>
    </row>
    <row r="916" spans="3:34" x14ac:dyDescent="0.35">
      <c r="C916" s="129"/>
      <c r="D916" s="129"/>
      <c r="E916" s="129"/>
      <c r="F916" s="129"/>
      <c r="G916" s="129"/>
      <c r="H916" s="129"/>
      <c r="I916" s="129"/>
      <c r="J916" s="129"/>
      <c r="K916" s="110"/>
      <c r="L916" s="129"/>
      <c r="M916" t="s">
        <v>351</v>
      </c>
      <c r="N916" s="129"/>
      <c r="O916" s="129"/>
      <c r="P916" s="129"/>
      <c r="Q916" s="129"/>
      <c r="R916" s="129"/>
      <c r="S916" s="129"/>
      <c r="T916" s="129"/>
      <c r="U916" s="129"/>
      <c r="V916" s="141"/>
      <c r="W916" s="139"/>
      <c r="X916" s="129"/>
      <c r="Y916" s="129"/>
      <c r="Z916" s="129"/>
      <c r="AA916" s="129"/>
      <c r="AB916" s="129"/>
      <c r="AC916" s="115"/>
      <c r="AD916" s="129"/>
      <c r="AE916" s="149"/>
      <c r="AF916" s="129"/>
      <c r="AG916" s="129"/>
      <c r="AH916" s="129"/>
    </row>
    <row r="917" spans="3:34" x14ac:dyDescent="0.35">
      <c r="C917" s="129"/>
      <c r="D917" s="129"/>
      <c r="E917" s="129"/>
      <c r="F917" s="129"/>
      <c r="G917" s="129"/>
      <c r="H917" s="129"/>
      <c r="I917" s="129"/>
      <c r="J917" s="129"/>
      <c r="K917" s="110"/>
      <c r="L917" s="129"/>
      <c r="M917" t="s">
        <v>351</v>
      </c>
      <c r="N917" s="129"/>
      <c r="O917" s="129"/>
      <c r="P917" s="129"/>
      <c r="Q917" s="129"/>
      <c r="R917" s="129"/>
      <c r="S917" s="129"/>
      <c r="T917" s="129"/>
      <c r="U917" s="129"/>
      <c r="V917" s="141"/>
      <c r="W917" s="139"/>
      <c r="X917" s="129"/>
      <c r="Y917" s="129"/>
      <c r="Z917" s="129"/>
      <c r="AA917" s="129"/>
      <c r="AB917" s="129"/>
      <c r="AC917" s="115"/>
      <c r="AD917" s="129"/>
      <c r="AE917" s="149"/>
      <c r="AF917" s="129"/>
      <c r="AG917" s="129"/>
      <c r="AH917" s="129"/>
    </row>
    <row r="918" spans="3:34" x14ac:dyDescent="0.35">
      <c r="C918" s="129"/>
      <c r="D918" s="129"/>
      <c r="E918" s="129"/>
      <c r="F918" s="129"/>
      <c r="G918" s="129"/>
      <c r="H918" s="129"/>
      <c r="I918" s="129"/>
      <c r="J918" s="129"/>
      <c r="K918" s="110"/>
      <c r="L918" s="129"/>
      <c r="M918" t="s">
        <v>351</v>
      </c>
      <c r="N918" s="129"/>
      <c r="O918" s="129"/>
      <c r="P918" s="129"/>
      <c r="Q918" s="129"/>
      <c r="R918" s="129"/>
      <c r="S918" s="129"/>
      <c r="T918" s="129"/>
      <c r="U918" s="129"/>
      <c r="V918" s="141"/>
      <c r="W918" s="139"/>
      <c r="X918" s="129"/>
      <c r="Y918" s="129"/>
      <c r="Z918" s="129"/>
      <c r="AA918" s="129"/>
      <c r="AB918" s="129"/>
      <c r="AC918" s="115"/>
      <c r="AD918" s="129"/>
      <c r="AE918" s="149"/>
      <c r="AF918" s="129"/>
      <c r="AG918" s="129"/>
      <c r="AH918" s="129"/>
    </row>
    <row r="919" spans="3:34" x14ac:dyDescent="0.35">
      <c r="C919" s="129"/>
      <c r="D919" s="129"/>
      <c r="E919" s="129"/>
      <c r="F919" s="129"/>
      <c r="G919" s="129"/>
      <c r="H919" s="129"/>
      <c r="I919" s="129"/>
      <c r="J919" s="129"/>
      <c r="K919" s="110"/>
      <c r="L919" s="129"/>
      <c r="M919" t="s">
        <v>351</v>
      </c>
      <c r="N919" s="129"/>
      <c r="O919" s="129"/>
      <c r="P919" s="129"/>
      <c r="Q919" s="129"/>
      <c r="R919" s="129"/>
      <c r="S919" s="129"/>
      <c r="T919" s="129"/>
      <c r="U919" s="129"/>
      <c r="V919" s="141"/>
      <c r="W919" s="139"/>
      <c r="X919" s="129"/>
      <c r="Y919" s="129"/>
      <c r="Z919" s="129"/>
      <c r="AA919" s="129"/>
      <c r="AB919" s="129"/>
      <c r="AC919" s="115"/>
      <c r="AD919" s="129"/>
      <c r="AE919" s="149"/>
      <c r="AF919" s="129"/>
      <c r="AG919" s="129"/>
      <c r="AH919" s="129"/>
    </row>
    <row r="920" spans="3:34" x14ac:dyDescent="0.35">
      <c r="C920" s="129"/>
      <c r="D920" s="129"/>
      <c r="E920" s="129"/>
      <c r="F920" s="129"/>
      <c r="G920" s="129"/>
      <c r="H920" s="129"/>
      <c r="I920" s="129"/>
      <c r="J920" s="129"/>
      <c r="K920" s="110"/>
      <c r="L920" s="129"/>
      <c r="M920" t="s">
        <v>351</v>
      </c>
      <c r="N920" s="129"/>
      <c r="O920" s="129"/>
      <c r="P920" s="129"/>
      <c r="Q920" s="129"/>
      <c r="R920" s="129"/>
      <c r="S920" s="129"/>
      <c r="T920" s="129"/>
      <c r="U920" s="129"/>
      <c r="V920" s="141"/>
      <c r="W920" s="139"/>
      <c r="X920" s="129"/>
      <c r="Y920" s="129"/>
      <c r="Z920" s="129"/>
      <c r="AA920" s="129"/>
      <c r="AB920" s="129"/>
      <c r="AC920" s="115"/>
      <c r="AD920" s="129"/>
      <c r="AE920" s="149"/>
      <c r="AF920" s="129"/>
      <c r="AG920" s="129"/>
      <c r="AH920" s="129"/>
    </row>
    <row r="921" spans="3:34" x14ac:dyDescent="0.35">
      <c r="C921" s="129"/>
      <c r="D921" s="129"/>
      <c r="E921" s="129"/>
      <c r="F921" s="129"/>
      <c r="G921" s="129"/>
      <c r="H921" s="129"/>
      <c r="I921" s="129"/>
      <c r="J921" s="129"/>
      <c r="K921" s="110"/>
      <c r="L921" s="129"/>
      <c r="M921" t="s">
        <v>351</v>
      </c>
      <c r="N921" s="129"/>
      <c r="O921" s="129"/>
      <c r="P921" s="129"/>
      <c r="Q921" s="129"/>
      <c r="R921" s="129"/>
      <c r="S921" s="129"/>
      <c r="T921" s="129"/>
      <c r="U921" s="129"/>
      <c r="V921" s="141"/>
      <c r="W921" s="139"/>
      <c r="X921" s="129"/>
      <c r="Y921" s="129"/>
      <c r="Z921" s="129"/>
      <c r="AA921" s="129"/>
      <c r="AB921" s="129"/>
      <c r="AC921" s="115"/>
      <c r="AD921" s="129"/>
      <c r="AE921" s="149"/>
      <c r="AF921" s="129"/>
      <c r="AG921" s="129"/>
      <c r="AH921" s="129"/>
    </row>
    <row r="922" spans="3:34" x14ac:dyDescent="0.35">
      <c r="C922" s="129"/>
      <c r="D922" s="129"/>
      <c r="E922" s="129"/>
      <c r="F922" s="129"/>
      <c r="G922" s="129"/>
      <c r="H922" s="129"/>
      <c r="I922" s="129"/>
      <c r="J922" s="129"/>
      <c r="K922" s="110"/>
      <c r="L922" s="129"/>
      <c r="M922" t="s">
        <v>351</v>
      </c>
      <c r="N922" s="129"/>
      <c r="O922" s="129"/>
      <c r="P922" s="129"/>
      <c r="Q922" s="129"/>
      <c r="R922" s="129"/>
      <c r="S922" s="129"/>
      <c r="T922" s="129"/>
      <c r="U922" s="129"/>
      <c r="V922" s="141"/>
      <c r="W922" s="139"/>
      <c r="X922" s="129"/>
      <c r="Y922" s="129"/>
      <c r="Z922" s="129"/>
      <c r="AA922" s="129"/>
      <c r="AB922" s="129"/>
      <c r="AC922" s="115"/>
      <c r="AD922" s="129"/>
      <c r="AE922" s="149"/>
      <c r="AF922" s="129"/>
      <c r="AG922" s="129"/>
      <c r="AH922" s="129"/>
    </row>
    <row r="923" spans="3:34" x14ac:dyDescent="0.35">
      <c r="C923" s="129"/>
      <c r="D923" s="129"/>
      <c r="E923" s="129"/>
      <c r="F923" s="129"/>
      <c r="G923" s="129"/>
      <c r="H923" s="129"/>
      <c r="I923" s="129"/>
      <c r="J923" s="129"/>
      <c r="K923" s="110"/>
      <c r="L923" s="129"/>
      <c r="M923" t="s">
        <v>351</v>
      </c>
      <c r="N923" s="129"/>
      <c r="O923" s="129"/>
      <c r="P923" s="129"/>
      <c r="Q923" s="129"/>
      <c r="R923" s="129"/>
      <c r="S923" s="129"/>
      <c r="T923" s="129"/>
      <c r="U923" s="129"/>
      <c r="V923" s="141"/>
      <c r="W923" s="139"/>
      <c r="X923" s="129"/>
      <c r="Y923" s="129"/>
      <c r="Z923" s="129"/>
      <c r="AA923" s="129"/>
      <c r="AB923" s="129"/>
      <c r="AC923" s="115"/>
      <c r="AD923" s="129"/>
      <c r="AE923" s="149"/>
      <c r="AF923" s="129"/>
      <c r="AG923" s="129"/>
      <c r="AH923" s="129"/>
    </row>
    <row r="924" spans="3:34" x14ac:dyDescent="0.35">
      <c r="C924" s="129"/>
      <c r="D924" s="129"/>
      <c r="E924" s="129"/>
      <c r="F924" s="129"/>
      <c r="G924" s="129"/>
      <c r="H924" s="129"/>
      <c r="I924" s="129"/>
      <c r="J924" s="129"/>
      <c r="K924" s="110"/>
      <c r="L924" s="129"/>
      <c r="M924" t="s">
        <v>351</v>
      </c>
      <c r="N924" s="129"/>
      <c r="O924" s="129"/>
      <c r="P924" s="129"/>
      <c r="Q924" s="129"/>
      <c r="R924" s="129"/>
      <c r="S924" s="129"/>
      <c r="T924" s="129"/>
      <c r="U924" s="129"/>
      <c r="V924" s="141"/>
      <c r="W924" s="139"/>
      <c r="X924" s="129"/>
      <c r="Y924" s="129"/>
      <c r="Z924" s="129"/>
      <c r="AA924" s="129"/>
      <c r="AB924" s="129"/>
      <c r="AC924" s="115"/>
      <c r="AD924" s="129"/>
      <c r="AE924" s="149"/>
      <c r="AF924" s="129"/>
      <c r="AG924" s="129"/>
      <c r="AH924" s="129"/>
    </row>
    <row r="925" spans="3:34" x14ac:dyDescent="0.35">
      <c r="C925" s="129"/>
      <c r="D925" s="129"/>
      <c r="E925" s="129"/>
      <c r="F925" s="129"/>
      <c r="G925" s="129"/>
      <c r="H925" s="129"/>
      <c r="I925" s="129"/>
      <c r="J925" s="129"/>
      <c r="K925" s="110"/>
      <c r="L925" s="129"/>
      <c r="M925" t="s">
        <v>351</v>
      </c>
      <c r="N925" s="129"/>
      <c r="O925" s="129"/>
      <c r="P925" s="129"/>
      <c r="Q925" s="129"/>
      <c r="R925" s="129"/>
      <c r="S925" s="129"/>
      <c r="T925" s="129"/>
      <c r="U925" s="129"/>
      <c r="V925" s="141"/>
      <c r="W925" s="139"/>
      <c r="X925" s="129"/>
      <c r="Y925" s="129"/>
      <c r="Z925" s="129"/>
      <c r="AA925" s="129"/>
      <c r="AB925" s="129"/>
      <c r="AC925" s="115"/>
      <c r="AD925" s="129"/>
      <c r="AE925" s="149"/>
      <c r="AF925" s="129"/>
      <c r="AG925" s="129"/>
      <c r="AH925" s="129"/>
    </row>
    <row r="926" spans="3:34" x14ac:dyDescent="0.35">
      <c r="C926" s="129"/>
      <c r="D926" s="129"/>
      <c r="E926" s="129"/>
      <c r="F926" s="129"/>
      <c r="G926" s="129"/>
      <c r="H926" s="129"/>
      <c r="I926" s="129"/>
      <c r="J926" s="129"/>
      <c r="K926" s="110"/>
      <c r="L926" s="129"/>
      <c r="M926" t="s">
        <v>351</v>
      </c>
      <c r="N926" s="129"/>
      <c r="O926" s="129"/>
      <c r="P926" s="129"/>
      <c r="Q926" s="129"/>
      <c r="R926" s="129"/>
      <c r="S926" s="129"/>
      <c r="T926" s="129"/>
      <c r="U926" s="129"/>
      <c r="V926" s="141"/>
      <c r="W926" s="139"/>
      <c r="X926" s="129"/>
      <c r="Y926" s="129"/>
      <c r="Z926" s="129"/>
      <c r="AA926" s="129"/>
      <c r="AB926" s="129"/>
      <c r="AC926" s="115"/>
      <c r="AD926" s="129"/>
      <c r="AE926" s="149"/>
      <c r="AF926" s="129"/>
      <c r="AG926" s="129"/>
      <c r="AH926" s="129"/>
    </row>
    <row r="927" spans="3:34" x14ac:dyDescent="0.35">
      <c r="C927" s="129"/>
      <c r="D927" s="129"/>
      <c r="E927" s="129"/>
      <c r="F927" s="129"/>
      <c r="G927" s="129"/>
      <c r="H927" s="129"/>
      <c r="I927" s="129"/>
      <c r="J927" s="129"/>
      <c r="K927" s="110"/>
      <c r="L927" s="129"/>
      <c r="M927" t="s">
        <v>351</v>
      </c>
      <c r="N927" s="129"/>
      <c r="O927" s="129"/>
      <c r="P927" s="129"/>
      <c r="Q927" s="129"/>
      <c r="R927" s="129"/>
      <c r="S927" s="129"/>
      <c r="T927" s="129"/>
      <c r="U927" s="129"/>
      <c r="V927" s="141"/>
      <c r="W927" s="139"/>
      <c r="X927" s="129"/>
      <c r="Y927" s="129"/>
      <c r="Z927" s="129"/>
      <c r="AA927" s="129"/>
      <c r="AB927" s="129"/>
      <c r="AC927" s="115"/>
      <c r="AD927" s="129"/>
      <c r="AE927" s="149"/>
      <c r="AF927" s="129"/>
      <c r="AG927" s="129"/>
      <c r="AH927" s="129"/>
    </row>
    <row r="928" spans="3:34" x14ac:dyDescent="0.35">
      <c r="C928" s="129"/>
      <c r="D928" s="129"/>
      <c r="E928" s="129"/>
      <c r="F928" s="129"/>
      <c r="G928" s="129"/>
      <c r="H928" s="129"/>
      <c r="I928" s="129"/>
      <c r="J928" s="129"/>
      <c r="K928" s="110"/>
      <c r="L928" s="129"/>
      <c r="M928" t="s">
        <v>351</v>
      </c>
      <c r="N928" s="129"/>
      <c r="O928" s="129"/>
      <c r="P928" s="129"/>
      <c r="Q928" s="129"/>
      <c r="R928" s="129"/>
      <c r="S928" s="129"/>
      <c r="T928" s="129"/>
      <c r="U928" s="129"/>
      <c r="V928" s="141"/>
      <c r="W928" s="139"/>
      <c r="X928" s="129"/>
      <c r="Y928" s="129"/>
      <c r="Z928" s="129"/>
      <c r="AA928" s="129"/>
      <c r="AB928" s="129"/>
      <c r="AC928" s="115"/>
      <c r="AD928" s="129"/>
      <c r="AE928" s="149"/>
      <c r="AF928" s="129"/>
      <c r="AG928" s="129"/>
      <c r="AH928" s="129"/>
    </row>
    <row r="929" spans="3:34" x14ac:dyDescent="0.35">
      <c r="C929" s="129"/>
      <c r="D929" s="129"/>
      <c r="E929" s="129"/>
      <c r="F929" s="129"/>
      <c r="G929" s="129"/>
      <c r="H929" s="129"/>
      <c r="I929" s="129"/>
      <c r="J929" s="129"/>
      <c r="K929" s="110"/>
      <c r="L929" s="129"/>
      <c r="M929" t="s">
        <v>351</v>
      </c>
      <c r="N929" s="129"/>
      <c r="O929" s="129"/>
      <c r="P929" s="129"/>
      <c r="Q929" s="129"/>
      <c r="R929" s="129"/>
      <c r="S929" s="129"/>
      <c r="T929" s="129"/>
      <c r="U929" s="129"/>
      <c r="V929" s="141"/>
      <c r="W929" s="139"/>
      <c r="X929" s="129"/>
      <c r="Y929" s="129"/>
      <c r="Z929" s="129"/>
      <c r="AA929" s="129"/>
      <c r="AB929" s="129"/>
      <c r="AC929" s="115"/>
      <c r="AD929" s="129"/>
      <c r="AE929" s="149"/>
      <c r="AF929" s="129"/>
      <c r="AG929" s="129"/>
      <c r="AH929" s="129"/>
    </row>
    <row r="930" spans="3:34" x14ac:dyDescent="0.35">
      <c r="C930" s="129"/>
      <c r="D930" s="129"/>
      <c r="E930" s="129"/>
      <c r="F930" s="129"/>
      <c r="G930" s="129"/>
      <c r="H930" s="129"/>
      <c r="I930" s="129"/>
      <c r="J930" s="129"/>
      <c r="K930" s="110"/>
      <c r="L930" s="129"/>
      <c r="M930" t="s">
        <v>351</v>
      </c>
      <c r="N930" s="129"/>
      <c r="O930" s="129"/>
      <c r="P930" s="129"/>
      <c r="Q930" s="129"/>
      <c r="R930" s="129"/>
      <c r="S930" s="129"/>
      <c r="T930" s="129"/>
      <c r="U930" s="129"/>
      <c r="V930" s="141"/>
      <c r="W930" s="139"/>
      <c r="X930" s="129"/>
      <c r="Y930" s="129"/>
      <c r="Z930" s="129"/>
      <c r="AA930" s="129"/>
      <c r="AB930" s="129"/>
      <c r="AC930" s="115"/>
      <c r="AD930" s="129"/>
      <c r="AE930" s="149"/>
      <c r="AF930" s="129"/>
      <c r="AG930" s="129"/>
      <c r="AH930" s="129"/>
    </row>
    <row r="931" spans="3:34" x14ac:dyDescent="0.35">
      <c r="C931" s="129"/>
      <c r="D931" s="129"/>
      <c r="E931" s="129"/>
      <c r="F931" s="129"/>
      <c r="G931" s="129"/>
      <c r="H931" s="129"/>
      <c r="I931" s="129"/>
      <c r="J931" s="129"/>
      <c r="K931" s="110"/>
      <c r="L931" s="129"/>
      <c r="M931" t="s">
        <v>351</v>
      </c>
      <c r="N931" s="129"/>
      <c r="O931" s="129"/>
      <c r="P931" s="129"/>
      <c r="Q931" s="129"/>
      <c r="R931" s="129"/>
      <c r="S931" s="129"/>
      <c r="T931" s="129"/>
      <c r="U931" s="129"/>
      <c r="V931" s="141"/>
      <c r="W931" s="139"/>
      <c r="X931" s="129"/>
      <c r="Y931" s="129"/>
      <c r="Z931" s="129"/>
      <c r="AA931" s="129"/>
      <c r="AB931" s="129"/>
      <c r="AC931" s="115"/>
      <c r="AD931" s="129"/>
      <c r="AE931" s="149"/>
      <c r="AF931" s="129"/>
      <c r="AG931" s="129"/>
      <c r="AH931" s="129"/>
    </row>
    <row r="932" spans="3:34" x14ac:dyDescent="0.35">
      <c r="C932" s="129"/>
      <c r="D932" s="129"/>
      <c r="E932" s="129"/>
      <c r="F932" s="129"/>
      <c r="G932" s="129"/>
      <c r="H932" s="129"/>
      <c r="I932" s="129"/>
      <c r="J932" s="129"/>
      <c r="K932" s="110"/>
      <c r="L932" s="129"/>
      <c r="M932" t="s">
        <v>351</v>
      </c>
      <c r="N932" s="129"/>
      <c r="O932" s="129"/>
      <c r="P932" s="129"/>
      <c r="Q932" s="129"/>
      <c r="R932" s="129"/>
      <c r="S932" s="129"/>
      <c r="T932" s="129"/>
      <c r="U932" s="129"/>
      <c r="V932" s="141"/>
      <c r="W932" s="139"/>
      <c r="X932" s="129"/>
      <c r="Y932" s="129"/>
      <c r="Z932" s="129"/>
      <c r="AA932" s="129"/>
      <c r="AB932" s="129"/>
      <c r="AC932" s="115"/>
      <c r="AD932" s="129"/>
      <c r="AE932" s="149"/>
      <c r="AF932" s="129"/>
      <c r="AG932" s="129"/>
      <c r="AH932" s="129"/>
    </row>
    <row r="933" spans="3:34" x14ac:dyDescent="0.35">
      <c r="C933" s="129"/>
      <c r="D933" s="129"/>
      <c r="E933" s="129"/>
      <c r="F933" s="129"/>
      <c r="G933" s="129"/>
      <c r="H933" s="129"/>
      <c r="I933" s="129"/>
      <c r="J933" s="129"/>
      <c r="K933" s="110"/>
      <c r="L933" s="129"/>
      <c r="M933" t="s">
        <v>351</v>
      </c>
      <c r="N933" s="129"/>
      <c r="O933" s="129"/>
      <c r="P933" s="129"/>
      <c r="Q933" s="129"/>
      <c r="R933" s="129"/>
      <c r="S933" s="129"/>
      <c r="T933" s="129"/>
      <c r="U933" s="129"/>
      <c r="V933" s="141"/>
      <c r="W933" s="139"/>
      <c r="X933" s="129"/>
      <c r="Y933" s="129"/>
      <c r="Z933" s="129"/>
      <c r="AA933" s="129"/>
      <c r="AB933" s="129"/>
      <c r="AC933" s="115"/>
      <c r="AD933" s="129"/>
      <c r="AE933" s="149"/>
      <c r="AF933" s="129"/>
      <c r="AG933" s="129"/>
      <c r="AH933" s="129"/>
    </row>
    <row r="934" spans="3:34" x14ac:dyDescent="0.35">
      <c r="C934" s="129"/>
      <c r="D934" s="129"/>
      <c r="E934" s="129"/>
      <c r="F934" s="129"/>
      <c r="G934" s="129"/>
      <c r="H934" s="129"/>
      <c r="I934" s="129"/>
      <c r="J934" s="129"/>
      <c r="K934" s="110"/>
      <c r="L934" s="129"/>
      <c r="M934" t="s">
        <v>351</v>
      </c>
      <c r="N934" s="129"/>
      <c r="O934" s="129"/>
      <c r="P934" s="129"/>
      <c r="Q934" s="129"/>
      <c r="R934" s="129"/>
      <c r="S934" s="129"/>
      <c r="T934" s="129"/>
      <c r="U934" s="129"/>
      <c r="V934" s="141"/>
      <c r="W934" s="139"/>
      <c r="X934" s="129"/>
      <c r="Y934" s="129"/>
      <c r="Z934" s="129"/>
      <c r="AA934" s="129"/>
      <c r="AB934" s="129"/>
      <c r="AC934" s="115"/>
      <c r="AD934" s="129"/>
      <c r="AE934" s="149"/>
      <c r="AF934" s="129"/>
      <c r="AG934" s="129"/>
      <c r="AH934" s="129"/>
    </row>
    <row r="935" spans="3:34" x14ac:dyDescent="0.35">
      <c r="C935" s="129"/>
      <c r="D935" s="129"/>
      <c r="E935" s="129"/>
      <c r="F935" s="129"/>
      <c r="G935" s="129"/>
      <c r="H935" s="129"/>
      <c r="I935" s="129"/>
      <c r="J935" s="129"/>
      <c r="K935" s="110"/>
      <c r="L935" s="129"/>
      <c r="M935" t="s">
        <v>351</v>
      </c>
      <c r="N935" s="129"/>
      <c r="O935" s="129"/>
      <c r="P935" s="129"/>
      <c r="Q935" s="129"/>
      <c r="R935" s="129"/>
      <c r="S935" s="129"/>
      <c r="T935" s="129"/>
      <c r="U935" s="129"/>
      <c r="V935" s="141"/>
      <c r="W935" s="139"/>
      <c r="X935" s="129"/>
      <c r="Y935" s="129"/>
      <c r="Z935" s="129"/>
      <c r="AA935" s="129"/>
      <c r="AB935" s="129"/>
      <c r="AC935" s="115"/>
      <c r="AD935" s="129"/>
      <c r="AE935" s="149"/>
      <c r="AF935" s="129"/>
      <c r="AG935" s="129"/>
      <c r="AH935" s="129"/>
    </row>
    <row r="936" spans="3:34" x14ac:dyDescent="0.35">
      <c r="C936" s="129"/>
      <c r="D936" s="129"/>
      <c r="E936" s="129"/>
      <c r="F936" s="129"/>
      <c r="G936" s="129"/>
      <c r="H936" s="129"/>
      <c r="I936" s="129"/>
      <c r="J936" s="129"/>
      <c r="K936" s="110"/>
      <c r="L936" s="129"/>
      <c r="M936" t="s">
        <v>351</v>
      </c>
      <c r="N936" s="129"/>
      <c r="O936" s="129"/>
      <c r="P936" s="129"/>
      <c r="Q936" s="129"/>
      <c r="R936" s="129"/>
      <c r="S936" s="129"/>
      <c r="T936" s="129"/>
      <c r="U936" s="129"/>
      <c r="V936" s="141"/>
      <c r="W936" s="139"/>
      <c r="X936" s="129"/>
      <c r="Y936" s="129"/>
      <c r="Z936" s="129"/>
      <c r="AA936" s="129"/>
      <c r="AB936" s="129"/>
      <c r="AC936" s="115"/>
      <c r="AD936" s="129"/>
      <c r="AE936" s="149"/>
      <c r="AF936" s="129"/>
      <c r="AG936" s="129"/>
      <c r="AH936" s="129"/>
    </row>
    <row r="937" spans="3:34" x14ac:dyDescent="0.35">
      <c r="C937" s="129"/>
      <c r="D937" s="129"/>
      <c r="E937" s="129"/>
      <c r="F937" s="129"/>
      <c r="G937" s="129"/>
      <c r="H937" s="129"/>
      <c r="I937" s="129"/>
      <c r="J937" s="129"/>
      <c r="K937" s="110"/>
      <c r="L937" s="129"/>
      <c r="M937" t="s">
        <v>351</v>
      </c>
      <c r="N937" s="129"/>
      <c r="O937" s="129"/>
      <c r="P937" s="129"/>
      <c r="Q937" s="129"/>
      <c r="R937" s="129"/>
      <c r="S937" s="129"/>
      <c r="T937" s="129"/>
      <c r="U937" s="129"/>
      <c r="V937" s="141"/>
      <c r="W937" s="139"/>
      <c r="X937" s="129"/>
      <c r="Y937" s="129"/>
      <c r="Z937" s="129"/>
      <c r="AA937" s="129"/>
      <c r="AB937" s="129"/>
      <c r="AC937" s="115"/>
      <c r="AD937" s="129"/>
      <c r="AE937" s="149"/>
      <c r="AF937" s="129"/>
      <c r="AG937" s="129"/>
      <c r="AH937" s="129"/>
    </row>
    <row r="938" spans="3:34" x14ac:dyDescent="0.35">
      <c r="C938" s="129"/>
      <c r="D938" s="129"/>
      <c r="E938" s="129"/>
      <c r="F938" s="129"/>
      <c r="G938" s="129"/>
      <c r="H938" s="129"/>
      <c r="I938" s="129"/>
      <c r="J938" s="129"/>
      <c r="K938" s="110"/>
      <c r="L938" s="129"/>
      <c r="M938" t="s">
        <v>351</v>
      </c>
      <c r="N938" s="129"/>
      <c r="O938" s="129"/>
      <c r="P938" s="129"/>
      <c r="Q938" s="129"/>
      <c r="R938" s="129"/>
      <c r="S938" s="129"/>
      <c r="T938" s="129"/>
      <c r="U938" s="129"/>
      <c r="V938" s="141"/>
      <c r="W938" s="139"/>
      <c r="X938" s="129"/>
      <c r="Y938" s="129"/>
      <c r="Z938" s="129"/>
      <c r="AA938" s="129"/>
      <c r="AB938" s="129"/>
      <c r="AC938" s="115"/>
      <c r="AD938" s="129"/>
      <c r="AE938" s="149"/>
      <c r="AF938" s="129"/>
      <c r="AG938" s="129"/>
      <c r="AH938" s="129"/>
    </row>
    <row r="939" spans="3:34" x14ac:dyDescent="0.35">
      <c r="C939" s="129"/>
      <c r="D939" s="129"/>
      <c r="E939" s="129"/>
      <c r="F939" s="129"/>
      <c r="G939" s="129"/>
      <c r="H939" s="129"/>
      <c r="I939" s="129"/>
      <c r="J939" s="129"/>
      <c r="K939" s="110"/>
      <c r="L939" s="129"/>
      <c r="M939" t="s">
        <v>351</v>
      </c>
      <c r="N939" s="129"/>
      <c r="O939" s="129"/>
      <c r="P939" s="129"/>
      <c r="Q939" s="129"/>
      <c r="R939" s="129"/>
      <c r="S939" s="129"/>
      <c r="T939" s="129"/>
      <c r="U939" s="129"/>
      <c r="V939" s="141"/>
      <c r="W939" s="139"/>
      <c r="X939" s="129"/>
      <c r="Y939" s="129"/>
      <c r="Z939" s="129"/>
      <c r="AA939" s="129"/>
      <c r="AB939" s="129"/>
      <c r="AC939" s="115"/>
      <c r="AD939" s="129"/>
      <c r="AE939" s="149"/>
      <c r="AF939" s="129"/>
      <c r="AG939" s="129"/>
      <c r="AH939" s="129"/>
    </row>
    <row r="940" spans="3:34" x14ac:dyDescent="0.35">
      <c r="C940" s="129"/>
      <c r="D940" s="129"/>
      <c r="E940" s="129"/>
      <c r="F940" s="129"/>
      <c r="G940" s="129"/>
      <c r="H940" s="129"/>
      <c r="I940" s="129"/>
      <c r="J940" s="129"/>
      <c r="K940" s="110"/>
      <c r="L940" s="129"/>
      <c r="M940" t="s">
        <v>351</v>
      </c>
      <c r="N940" s="129"/>
      <c r="O940" s="129"/>
      <c r="P940" s="129"/>
      <c r="Q940" s="129"/>
      <c r="R940" s="129"/>
      <c r="S940" s="129"/>
      <c r="T940" s="129"/>
      <c r="U940" s="129"/>
      <c r="V940" s="141"/>
      <c r="W940" s="139"/>
      <c r="X940" s="129"/>
      <c r="Y940" s="129"/>
      <c r="Z940" s="129"/>
      <c r="AA940" s="129"/>
      <c r="AB940" s="129"/>
      <c r="AC940" s="115"/>
      <c r="AD940" s="129"/>
      <c r="AE940" s="149"/>
      <c r="AF940" s="129"/>
      <c r="AG940" s="129"/>
      <c r="AH940" s="129"/>
    </row>
    <row r="941" spans="3:34" x14ac:dyDescent="0.35">
      <c r="C941" s="129"/>
      <c r="D941" s="129"/>
      <c r="E941" s="129"/>
      <c r="F941" s="129"/>
      <c r="G941" s="129"/>
      <c r="H941" s="129"/>
      <c r="I941" s="129"/>
      <c r="J941" s="129"/>
      <c r="K941" s="110"/>
      <c r="L941" s="129"/>
      <c r="M941" t="s">
        <v>351</v>
      </c>
      <c r="N941" s="129"/>
      <c r="O941" s="129"/>
      <c r="P941" s="129"/>
      <c r="Q941" s="129"/>
      <c r="R941" s="129"/>
      <c r="S941" s="129"/>
      <c r="T941" s="129"/>
      <c r="U941" s="129"/>
      <c r="V941" s="141"/>
      <c r="W941" s="139"/>
      <c r="X941" s="129"/>
      <c r="Y941" s="129"/>
      <c r="Z941" s="129"/>
      <c r="AA941" s="129"/>
      <c r="AB941" s="129"/>
      <c r="AC941" s="115"/>
      <c r="AD941" s="129"/>
      <c r="AE941" s="149"/>
      <c r="AF941" s="129"/>
      <c r="AG941" s="129"/>
      <c r="AH941" s="129"/>
    </row>
    <row r="942" spans="3:34" x14ac:dyDescent="0.35">
      <c r="C942" s="129"/>
      <c r="D942" s="129"/>
      <c r="E942" s="129"/>
      <c r="F942" s="129"/>
      <c r="G942" s="129"/>
      <c r="H942" s="129"/>
      <c r="I942" s="129"/>
      <c r="J942" s="129"/>
      <c r="K942" s="110"/>
      <c r="L942" s="129"/>
      <c r="M942" t="s">
        <v>351</v>
      </c>
      <c r="N942" s="129"/>
      <c r="O942" s="129"/>
      <c r="P942" s="129"/>
      <c r="Q942" s="129"/>
      <c r="R942" s="129"/>
      <c r="S942" s="129"/>
      <c r="T942" s="129"/>
      <c r="U942" s="129"/>
      <c r="V942" s="141"/>
      <c r="W942" s="139"/>
      <c r="X942" s="129"/>
      <c r="Y942" s="129"/>
      <c r="Z942" s="129"/>
      <c r="AA942" s="129"/>
      <c r="AB942" s="129"/>
      <c r="AC942" s="115"/>
      <c r="AD942" s="129"/>
      <c r="AE942" s="149"/>
      <c r="AF942" s="129"/>
      <c r="AG942" s="129"/>
      <c r="AH942" s="129"/>
    </row>
    <row r="943" spans="3:34" x14ac:dyDescent="0.35">
      <c r="C943" s="129"/>
      <c r="D943" s="129"/>
      <c r="E943" s="129"/>
      <c r="F943" s="129"/>
      <c r="G943" s="129"/>
      <c r="H943" s="129"/>
      <c r="I943" s="129"/>
      <c r="J943" s="129"/>
      <c r="K943" s="110"/>
      <c r="L943" s="129"/>
      <c r="M943" t="s">
        <v>351</v>
      </c>
      <c r="N943" s="129"/>
      <c r="O943" s="129"/>
      <c r="P943" s="129"/>
      <c r="Q943" s="129"/>
      <c r="R943" s="129"/>
      <c r="S943" s="129"/>
      <c r="T943" s="129"/>
      <c r="U943" s="129"/>
      <c r="V943" s="141"/>
      <c r="W943" s="139"/>
      <c r="X943" s="129"/>
      <c r="Y943" s="129"/>
      <c r="Z943" s="129"/>
      <c r="AA943" s="129"/>
      <c r="AB943" s="129"/>
      <c r="AC943" s="115"/>
      <c r="AD943" s="129"/>
      <c r="AE943" s="149"/>
      <c r="AF943" s="129"/>
      <c r="AG943" s="129"/>
      <c r="AH943" s="129"/>
    </row>
    <row r="944" spans="3:34" x14ac:dyDescent="0.35">
      <c r="C944" s="129"/>
      <c r="D944" s="129"/>
      <c r="E944" s="129"/>
      <c r="F944" s="129"/>
      <c r="G944" s="129"/>
      <c r="H944" s="129"/>
      <c r="I944" s="129"/>
      <c r="J944" s="129"/>
      <c r="K944" s="110"/>
      <c r="L944" s="129"/>
      <c r="M944" t="s">
        <v>351</v>
      </c>
      <c r="N944" s="129"/>
      <c r="O944" s="129"/>
      <c r="P944" s="129"/>
      <c r="Q944" s="129"/>
      <c r="R944" s="129"/>
      <c r="S944" s="129"/>
      <c r="T944" s="129"/>
      <c r="U944" s="129"/>
      <c r="V944" s="141"/>
      <c r="W944" s="139"/>
      <c r="X944" s="129"/>
      <c r="Y944" s="129"/>
      <c r="Z944" s="129"/>
      <c r="AA944" s="129"/>
      <c r="AB944" s="129"/>
      <c r="AC944" s="115"/>
      <c r="AD944" s="129"/>
      <c r="AE944" s="149"/>
      <c r="AF944" s="129"/>
      <c r="AG944" s="129"/>
      <c r="AH944" s="129"/>
    </row>
    <row r="945" spans="3:34" x14ac:dyDescent="0.35">
      <c r="C945" s="129"/>
      <c r="D945" s="129"/>
      <c r="E945" s="129"/>
      <c r="F945" s="129"/>
      <c r="G945" s="129"/>
      <c r="H945" s="129"/>
      <c r="I945" s="129"/>
      <c r="J945" s="129"/>
      <c r="K945" s="110"/>
      <c r="L945" s="129"/>
      <c r="M945" t="s">
        <v>351</v>
      </c>
      <c r="N945" s="129"/>
      <c r="O945" s="129"/>
      <c r="P945" s="129"/>
      <c r="Q945" s="129"/>
      <c r="R945" s="129"/>
      <c r="S945" s="129"/>
      <c r="T945" s="129"/>
      <c r="U945" s="129"/>
      <c r="V945" s="141"/>
      <c r="W945" s="139"/>
      <c r="X945" s="129"/>
      <c r="Y945" s="129"/>
      <c r="Z945" s="129"/>
      <c r="AA945" s="129"/>
      <c r="AB945" s="129"/>
      <c r="AC945" s="115"/>
      <c r="AD945" s="129"/>
      <c r="AE945" s="149"/>
      <c r="AF945" s="129"/>
      <c r="AG945" s="129"/>
      <c r="AH945" s="129"/>
    </row>
    <row r="946" spans="3:34" x14ac:dyDescent="0.35">
      <c r="C946" s="129"/>
      <c r="D946" s="129"/>
      <c r="E946" s="129"/>
      <c r="F946" s="129"/>
      <c r="G946" s="129"/>
      <c r="H946" s="129"/>
      <c r="I946" s="129"/>
      <c r="J946" s="129"/>
      <c r="K946" s="110"/>
      <c r="L946" s="129"/>
      <c r="M946" t="s">
        <v>351</v>
      </c>
      <c r="N946" s="129"/>
      <c r="O946" s="129"/>
      <c r="P946" s="129"/>
      <c r="Q946" s="129"/>
      <c r="R946" s="129"/>
      <c r="S946" s="129"/>
      <c r="T946" s="129"/>
      <c r="U946" s="129"/>
      <c r="V946" s="141"/>
      <c r="W946" s="139"/>
      <c r="X946" s="129"/>
      <c r="Y946" s="129"/>
      <c r="Z946" s="129"/>
      <c r="AA946" s="129"/>
      <c r="AB946" s="129"/>
      <c r="AC946" s="115"/>
      <c r="AD946" s="129"/>
      <c r="AE946" s="149"/>
      <c r="AF946" s="129"/>
      <c r="AG946" s="129"/>
      <c r="AH946" s="129"/>
    </row>
    <row r="947" spans="3:34" x14ac:dyDescent="0.35">
      <c r="C947" s="129"/>
      <c r="D947" s="129"/>
      <c r="E947" s="129"/>
      <c r="F947" s="129"/>
      <c r="G947" s="129"/>
      <c r="H947" s="129"/>
      <c r="I947" s="129"/>
      <c r="J947" s="129"/>
      <c r="K947" s="110"/>
      <c r="L947" s="129"/>
      <c r="M947" t="s">
        <v>351</v>
      </c>
      <c r="N947" s="129"/>
      <c r="O947" s="129"/>
      <c r="P947" s="129"/>
      <c r="Q947" s="129"/>
      <c r="R947" s="129"/>
      <c r="S947" s="129"/>
      <c r="T947" s="129"/>
      <c r="U947" s="129"/>
      <c r="V947" s="141"/>
      <c r="W947" s="139"/>
      <c r="X947" s="129"/>
      <c r="Y947" s="129"/>
      <c r="Z947" s="129"/>
      <c r="AA947" s="129"/>
      <c r="AB947" s="129"/>
      <c r="AC947" s="115"/>
      <c r="AD947" s="129"/>
      <c r="AE947" s="149"/>
      <c r="AF947" s="129"/>
      <c r="AG947" s="129"/>
      <c r="AH947" s="129"/>
    </row>
    <row r="948" spans="3:34" x14ac:dyDescent="0.35">
      <c r="C948" s="129"/>
      <c r="D948" s="129"/>
      <c r="E948" s="129"/>
      <c r="F948" s="129"/>
      <c r="G948" s="129"/>
      <c r="H948" s="129"/>
      <c r="I948" s="129"/>
      <c r="J948" s="129"/>
      <c r="K948" s="110"/>
      <c r="L948" s="129"/>
      <c r="M948" t="s">
        <v>351</v>
      </c>
      <c r="N948" s="129"/>
      <c r="O948" s="129"/>
      <c r="P948" s="129"/>
      <c r="Q948" s="129"/>
      <c r="R948" s="129"/>
      <c r="S948" s="129"/>
      <c r="T948" s="129"/>
      <c r="U948" s="129"/>
      <c r="V948" s="141"/>
      <c r="W948" s="139"/>
      <c r="X948" s="129"/>
      <c r="Y948" s="129"/>
      <c r="Z948" s="129"/>
      <c r="AA948" s="129"/>
      <c r="AB948" s="129"/>
      <c r="AC948" s="115"/>
      <c r="AD948" s="129"/>
      <c r="AE948" s="149"/>
      <c r="AF948" s="129"/>
      <c r="AG948" s="129"/>
      <c r="AH948" s="129"/>
    </row>
    <row r="949" spans="3:34" x14ac:dyDescent="0.35">
      <c r="C949" s="129"/>
      <c r="D949" s="129"/>
      <c r="E949" s="129"/>
      <c r="F949" s="129"/>
      <c r="G949" s="129"/>
      <c r="H949" s="129"/>
      <c r="I949" s="129"/>
      <c r="J949" s="129"/>
      <c r="K949" s="110"/>
      <c r="L949" s="129"/>
      <c r="M949" t="s">
        <v>351</v>
      </c>
      <c r="N949" s="129"/>
      <c r="O949" s="129"/>
      <c r="P949" s="129"/>
      <c r="Q949" s="129"/>
      <c r="R949" s="129"/>
      <c r="S949" s="129"/>
      <c r="T949" s="129"/>
      <c r="U949" s="129"/>
      <c r="V949" s="141"/>
      <c r="W949" s="139"/>
      <c r="X949" s="129"/>
      <c r="Y949" s="129"/>
      <c r="Z949" s="129"/>
      <c r="AA949" s="129"/>
      <c r="AB949" s="129"/>
      <c r="AC949" s="115"/>
      <c r="AD949" s="129"/>
      <c r="AE949" s="149"/>
      <c r="AF949" s="129"/>
      <c r="AG949" s="129"/>
      <c r="AH949" s="129"/>
    </row>
    <row r="950" spans="3:34" x14ac:dyDescent="0.35">
      <c r="C950" s="129"/>
      <c r="D950" s="129"/>
      <c r="E950" s="129"/>
      <c r="F950" s="129"/>
      <c r="G950" s="129"/>
      <c r="H950" s="129"/>
      <c r="I950" s="129"/>
      <c r="J950" s="129"/>
      <c r="K950" s="110"/>
      <c r="L950" s="129"/>
      <c r="M950" t="s">
        <v>351</v>
      </c>
      <c r="N950" s="129"/>
      <c r="O950" s="129"/>
      <c r="P950" s="129"/>
      <c r="Q950" s="129"/>
      <c r="R950" s="129"/>
      <c r="S950" s="129"/>
      <c r="T950" s="129"/>
      <c r="U950" s="129"/>
      <c r="V950" s="141"/>
      <c r="W950" s="139"/>
      <c r="X950" s="129"/>
      <c r="Y950" s="129"/>
      <c r="Z950" s="129"/>
      <c r="AA950" s="129"/>
      <c r="AB950" s="129"/>
      <c r="AC950" s="115"/>
      <c r="AD950" s="129"/>
      <c r="AE950" s="149"/>
      <c r="AF950" s="129"/>
      <c r="AG950" s="129"/>
      <c r="AH950" s="129"/>
    </row>
    <row r="951" spans="3:34" x14ac:dyDescent="0.35">
      <c r="C951" s="129"/>
      <c r="D951" s="129"/>
      <c r="E951" s="129"/>
      <c r="F951" s="129"/>
      <c r="G951" s="129"/>
      <c r="H951" s="129"/>
      <c r="I951" s="129"/>
      <c r="J951" s="129"/>
      <c r="K951" s="110"/>
      <c r="L951" s="129"/>
      <c r="M951" t="s">
        <v>351</v>
      </c>
      <c r="N951" s="129"/>
      <c r="O951" s="129"/>
      <c r="P951" s="129"/>
      <c r="Q951" s="129"/>
      <c r="R951" s="129"/>
      <c r="S951" s="129"/>
      <c r="T951" s="129"/>
      <c r="U951" s="129"/>
      <c r="V951" s="141"/>
      <c r="W951" s="139"/>
      <c r="X951" s="129"/>
      <c r="Y951" s="129"/>
      <c r="Z951" s="129"/>
      <c r="AA951" s="129"/>
      <c r="AB951" s="129"/>
      <c r="AC951" s="115"/>
      <c r="AD951" s="129"/>
      <c r="AE951" s="149"/>
      <c r="AF951" s="129"/>
      <c r="AG951" s="129"/>
      <c r="AH951" s="129"/>
    </row>
    <row r="952" spans="3:34" x14ac:dyDescent="0.35">
      <c r="C952" s="129"/>
      <c r="D952" s="129"/>
      <c r="E952" s="129"/>
      <c r="F952" s="129"/>
      <c r="G952" s="129"/>
      <c r="H952" s="129"/>
      <c r="I952" s="129"/>
      <c r="J952" s="129"/>
      <c r="K952" s="110"/>
      <c r="L952" s="129"/>
      <c r="M952" t="s">
        <v>351</v>
      </c>
      <c r="N952" s="129"/>
      <c r="O952" s="129"/>
      <c r="P952" s="129"/>
      <c r="Q952" s="129"/>
      <c r="R952" s="129"/>
      <c r="S952" s="129"/>
      <c r="T952" s="129"/>
      <c r="U952" s="129"/>
      <c r="V952" s="141"/>
      <c r="W952" s="139"/>
      <c r="X952" s="129"/>
      <c r="Y952" s="129"/>
      <c r="Z952" s="129"/>
      <c r="AA952" s="129"/>
      <c r="AB952" s="129"/>
      <c r="AC952" s="115"/>
      <c r="AD952" s="129"/>
      <c r="AE952" s="149"/>
      <c r="AF952" s="129"/>
      <c r="AG952" s="129"/>
      <c r="AH952" s="129"/>
    </row>
    <row r="953" spans="3:34" x14ac:dyDescent="0.35">
      <c r="C953" s="129"/>
      <c r="D953" s="129"/>
      <c r="E953" s="129"/>
      <c r="F953" s="129"/>
      <c r="G953" s="129"/>
      <c r="H953" s="129"/>
      <c r="I953" s="129"/>
      <c r="J953" s="129"/>
      <c r="K953" s="110"/>
      <c r="L953" s="129"/>
      <c r="M953" t="s">
        <v>351</v>
      </c>
      <c r="N953" s="129"/>
      <c r="O953" s="129"/>
      <c r="P953" s="129"/>
      <c r="Q953" s="129"/>
      <c r="R953" s="129"/>
      <c r="S953" s="129"/>
      <c r="T953" s="129"/>
      <c r="U953" s="129"/>
      <c r="V953" s="141"/>
      <c r="W953" s="139"/>
      <c r="X953" s="129"/>
      <c r="Y953" s="129"/>
      <c r="Z953" s="129"/>
      <c r="AA953" s="129"/>
      <c r="AB953" s="129"/>
      <c r="AC953" s="115"/>
      <c r="AD953" s="129"/>
      <c r="AE953" s="149"/>
      <c r="AF953" s="129"/>
      <c r="AG953" s="129"/>
      <c r="AH953" s="129"/>
    </row>
    <row r="954" spans="3:34" x14ac:dyDescent="0.35">
      <c r="C954" s="129"/>
      <c r="D954" s="129"/>
      <c r="E954" s="129"/>
      <c r="F954" s="129"/>
      <c r="G954" s="129"/>
      <c r="H954" s="129"/>
      <c r="I954" s="129"/>
      <c r="J954" s="129"/>
      <c r="K954" s="110"/>
      <c r="L954" s="129"/>
      <c r="M954" t="s">
        <v>351</v>
      </c>
      <c r="N954" s="129"/>
      <c r="O954" s="129"/>
      <c r="P954" s="129"/>
      <c r="Q954" s="129"/>
      <c r="R954" s="129"/>
      <c r="S954" s="129"/>
      <c r="T954" s="129"/>
      <c r="U954" s="129"/>
      <c r="V954" s="141"/>
      <c r="W954" s="139"/>
      <c r="X954" s="129"/>
      <c r="Y954" s="129"/>
      <c r="Z954" s="129"/>
      <c r="AA954" s="129"/>
      <c r="AB954" s="129"/>
      <c r="AC954" s="115"/>
      <c r="AD954" s="129"/>
      <c r="AE954" s="149"/>
      <c r="AF954" s="129"/>
      <c r="AG954" s="129"/>
      <c r="AH954" s="129"/>
    </row>
    <row r="955" spans="3:34" x14ac:dyDescent="0.35">
      <c r="C955" s="129"/>
      <c r="D955" s="129"/>
      <c r="E955" s="129"/>
      <c r="F955" s="129"/>
      <c r="G955" s="129"/>
      <c r="H955" s="129"/>
      <c r="I955" s="129"/>
      <c r="J955" s="129"/>
      <c r="K955" s="110"/>
      <c r="L955" s="129"/>
      <c r="M955" t="s">
        <v>351</v>
      </c>
      <c r="N955" s="129"/>
      <c r="O955" s="129"/>
      <c r="P955" s="129"/>
      <c r="Q955" s="129"/>
      <c r="R955" s="129"/>
      <c r="S955" s="129"/>
      <c r="T955" s="129"/>
      <c r="U955" s="129"/>
      <c r="V955" s="141"/>
      <c r="W955" s="139"/>
      <c r="X955" s="129"/>
      <c r="Y955" s="129"/>
      <c r="Z955" s="129"/>
      <c r="AA955" s="129"/>
      <c r="AB955" s="129"/>
      <c r="AC955" s="115"/>
      <c r="AD955" s="129"/>
      <c r="AE955" s="149"/>
      <c r="AF955" s="129"/>
      <c r="AG955" s="129"/>
      <c r="AH955" s="129"/>
    </row>
    <row r="956" spans="3:34" x14ac:dyDescent="0.35">
      <c r="C956" s="129"/>
      <c r="D956" s="129"/>
      <c r="E956" s="129"/>
      <c r="F956" s="129"/>
      <c r="G956" s="129"/>
      <c r="H956" s="129"/>
      <c r="I956" s="129"/>
      <c r="J956" s="129"/>
      <c r="K956" s="110"/>
      <c r="L956" s="129"/>
      <c r="M956" t="s">
        <v>351</v>
      </c>
      <c r="N956" s="129"/>
      <c r="O956" s="129"/>
      <c r="P956" s="129"/>
      <c r="Q956" s="129"/>
      <c r="R956" s="129"/>
      <c r="S956" s="129"/>
      <c r="T956" s="129"/>
      <c r="U956" s="129"/>
      <c r="V956" s="141"/>
      <c r="W956" s="139"/>
      <c r="X956" s="129"/>
      <c r="Y956" s="129"/>
      <c r="Z956" s="129"/>
      <c r="AA956" s="129"/>
      <c r="AB956" s="129"/>
      <c r="AC956" s="115"/>
      <c r="AD956" s="129"/>
      <c r="AE956" s="149"/>
      <c r="AF956" s="129"/>
      <c r="AG956" s="129"/>
      <c r="AH956" s="129"/>
    </row>
    <row r="957" spans="3:34" x14ac:dyDescent="0.35">
      <c r="C957" s="129"/>
      <c r="D957" s="129"/>
      <c r="E957" s="129"/>
      <c r="F957" s="129"/>
      <c r="G957" s="129"/>
      <c r="H957" s="129"/>
      <c r="I957" s="129"/>
      <c r="J957" s="129"/>
      <c r="K957" s="110"/>
      <c r="L957" s="129"/>
      <c r="M957" t="s">
        <v>351</v>
      </c>
      <c r="N957" s="129"/>
      <c r="O957" s="129"/>
      <c r="P957" s="129"/>
      <c r="Q957" s="129"/>
      <c r="R957" s="129"/>
      <c r="S957" s="129"/>
      <c r="T957" s="129"/>
      <c r="U957" s="129"/>
      <c r="V957" s="141"/>
      <c r="W957" s="139"/>
      <c r="X957" s="129"/>
      <c r="Y957" s="129"/>
      <c r="Z957" s="129"/>
      <c r="AA957" s="129"/>
      <c r="AB957" s="129"/>
      <c r="AC957" s="115"/>
      <c r="AD957" s="129"/>
      <c r="AE957" s="149"/>
      <c r="AF957" s="129"/>
      <c r="AG957" s="129"/>
      <c r="AH957" s="129"/>
    </row>
    <row r="958" spans="3:34" x14ac:dyDescent="0.35">
      <c r="C958" s="129"/>
      <c r="D958" s="129"/>
      <c r="E958" s="129"/>
      <c r="F958" s="129"/>
      <c r="G958" s="129"/>
      <c r="H958" s="129"/>
      <c r="I958" s="129"/>
      <c r="J958" s="129"/>
      <c r="K958" s="110"/>
      <c r="L958" s="129"/>
      <c r="M958" t="s">
        <v>351</v>
      </c>
      <c r="N958" s="129"/>
      <c r="O958" s="129"/>
      <c r="P958" s="129"/>
      <c r="Q958" s="129"/>
      <c r="R958" s="129"/>
      <c r="S958" s="129"/>
      <c r="T958" s="129"/>
      <c r="U958" s="129"/>
      <c r="V958" s="141"/>
      <c r="W958" s="139"/>
      <c r="X958" s="129"/>
      <c r="Y958" s="129"/>
      <c r="Z958" s="129"/>
      <c r="AA958" s="129"/>
      <c r="AB958" s="129"/>
      <c r="AC958" s="115"/>
      <c r="AD958" s="129"/>
      <c r="AE958" s="149"/>
      <c r="AF958" s="129"/>
      <c r="AG958" s="129"/>
      <c r="AH958" s="129"/>
    </row>
    <row r="959" spans="3:34" x14ac:dyDescent="0.35">
      <c r="C959" s="129"/>
      <c r="D959" s="129"/>
      <c r="E959" s="129"/>
      <c r="F959" s="129"/>
      <c r="G959" s="129"/>
      <c r="H959" s="129"/>
      <c r="I959" s="129"/>
      <c r="J959" s="129"/>
      <c r="K959" s="110"/>
      <c r="L959" s="129"/>
      <c r="M959" t="s">
        <v>351</v>
      </c>
      <c r="N959" s="129"/>
      <c r="O959" s="129"/>
      <c r="P959" s="129"/>
      <c r="Q959" s="129"/>
      <c r="R959" s="129"/>
      <c r="S959" s="129"/>
      <c r="T959" s="129"/>
      <c r="U959" s="129"/>
      <c r="V959" s="141"/>
      <c r="W959" s="139"/>
      <c r="X959" s="129"/>
      <c r="Y959" s="129"/>
      <c r="Z959" s="129"/>
      <c r="AA959" s="129"/>
      <c r="AB959" s="129"/>
      <c r="AC959" s="115"/>
      <c r="AD959" s="129"/>
      <c r="AE959" s="149"/>
      <c r="AF959" s="129"/>
      <c r="AG959" s="129"/>
      <c r="AH959" s="129"/>
    </row>
    <row r="960" spans="3:34" x14ac:dyDescent="0.35">
      <c r="C960" s="129"/>
      <c r="D960" s="129"/>
      <c r="E960" s="129"/>
      <c r="F960" s="129"/>
      <c r="G960" s="129"/>
      <c r="H960" s="129"/>
      <c r="I960" s="129"/>
      <c r="J960" s="129"/>
      <c r="K960" s="110"/>
      <c r="L960" s="129"/>
      <c r="M960" t="s">
        <v>351</v>
      </c>
      <c r="N960" s="129"/>
      <c r="O960" s="129"/>
      <c r="P960" s="129"/>
      <c r="Q960" s="129"/>
      <c r="R960" s="129"/>
      <c r="S960" s="129"/>
      <c r="T960" s="129"/>
      <c r="U960" s="129"/>
      <c r="V960" s="141"/>
      <c r="W960" s="139"/>
      <c r="X960" s="129"/>
      <c r="Y960" s="129"/>
      <c r="Z960" s="129"/>
      <c r="AA960" s="129"/>
      <c r="AB960" s="129"/>
      <c r="AC960" s="115"/>
      <c r="AD960" s="129"/>
      <c r="AE960" s="149"/>
      <c r="AF960" s="129"/>
      <c r="AG960" s="129"/>
      <c r="AH960" s="129"/>
    </row>
    <row r="961" spans="3:34" x14ac:dyDescent="0.35">
      <c r="C961" s="129"/>
      <c r="D961" s="129"/>
      <c r="E961" s="129"/>
      <c r="F961" s="129"/>
      <c r="G961" s="129"/>
      <c r="H961" s="129"/>
      <c r="I961" s="129"/>
      <c r="J961" s="129"/>
      <c r="K961" s="110"/>
      <c r="L961" s="129"/>
      <c r="M961" t="s">
        <v>351</v>
      </c>
      <c r="N961" s="129"/>
      <c r="O961" s="129"/>
      <c r="P961" s="129"/>
      <c r="Q961" s="129"/>
      <c r="R961" s="129"/>
      <c r="S961" s="129"/>
      <c r="T961" s="129"/>
      <c r="U961" s="129"/>
      <c r="V961" s="141"/>
      <c r="W961" s="139"/>
      <c r="X961" s="129"/>
      <c r="Y961" s="129"/>
      <c r="Z961" s="129"/>
      <c r="AA961" s="129"/>
      <c r="AB961" s="129"/>
      <c r="AC961" s="115"/>
      <c r="AD961" s="129"/>
      <c r="AE961" s="149"/>
      <c r="AF961" s="129"/>
      <c r="AG961" s="129"/>
      <c r="AH961" s="129"/>
    </row>
    <row r="962" spans="3:34" x14ac:dyDescent="0.35">
      <c r="C962" s="129"/>
      <c r="D962" s="129"/>
      <c r="E962" s="129"/>
      <c r="F962" s="129"/>
      <c r="G962" s="129"/>
      <c r="H962" s="129"/>
      <c r="I962" s="129"/>
      <c r="J962" s="129"/>
      <c r="K962" s="110"/>
      <c r="L962" s="129"/>
      <c r="M962" t="s">
        <v>351</v>
      </c>
      <c r="N962" s="129"/>
      <c r="O962" s="129"/>
      <c r="P962" s="129"/>
      <c r="Q962" s="129"/>
      <c r="R962" s="129"/>
      <c r="S962" s="129"/>
      <c r="T962" s="129"/>
      <c r="U962" s="129"/>
      <c r="V962" s="141"/>
      <c r="W962" s="139"/>
      <c r="X962" s="129"/>
      <c r="Y962" s="129"/>
      <c r="Z962" s="129"/>
      <c r="AA962" s="129"/>
      <c r="AB962" s="129"/>
      <c r="AC962" s="115"/>
      <c r="AD962" s="129"/>
      <c r="AE962" s="149"/>
      <c r="AF962" s="129"/>
      <c r="AG962" s="129"/>
      <c r="AH962" s="129"/>
    </row>
    <row r="963" spans="3:34" x14ac:dyDescent="0.35">
      <c r="C963" s="129"/>
      <c r="D963" s="129"/>
      <c r="E963" s="129"/>
      <c r="F963" s="129"/>
      <c r="G963" s="129"/>
      <c r="H963" s="129"/>
      <c r="I963" s="129"/>
      <c r="J963" s="129"/>
      <c r="K963" s="110"/>
      <c r="L963" s="129"/>
      <c r="M963" t="s">
        <v>351</v>
      </c>
      <c r="N963" s="129"/>
      <c r="O963" s="129"/>
      <c r="P963" s="129"/>
      <c r="Q963" s="129"/>
      <c r="R963" s="129"/>
      <c r="S963" s="129"/>
      <c r="T963" s="129"/>
      <c r="U963" s="129"/>
      <c r="V963" s="141"/>
      <c r="W963" s="139"/>
      <c r="X963" s="129"/>
      <c r="Y963" s="129"/>
      <c r="Z963" s="129"/>
      <c r="AA963" s="129"/>
      <c r="AB963" s="129"/>
      <c r="AC963" s="115"/>
      <c r="AD963" s="129"/>
      <c r="AE963" s="149"/>
      <c r="AF963" s="129"/>
      <c r="AG963" s="129"/>
      <c r="AH963" s="129"/>
    </row>
    <row r="964" spans="3:34" x14ac:dyDescent="0.35">
      <c r="C964" s="129"/>
      <c r="D964" s="129"/>
      <c r="E964" s="129"/>
      <c r="F964" s="129"/>
      <c r="G964" s="129"/>
      <c r="H964" s="129"/>
      <c r="I964" s="129"/>
      <c r="J964" s="129"/>
      <c r="K964" s="110"/>
      <c r="L964" s="129"/>
      <c r="M964" t="s">
        <v>351</v>
      </c>
      <c r="N964" s="129"/>
      <c r="O964" s="129"/>
      <c r="P964" s="129"/>
      <c r="Q964" s="129"/>
      <c r="R964" s="129"/>
      <c r="S964" s="129"/>
      <c r="T964" s="129"/>
      <c r="U964" s="129"/>
      <c r="V964" s="141"/>
      <c r="W964" s="139"/>
      <c r="X964" s="129"/>
      <c r="Y964" s="129"/>
      <c r="Z964" s="129"/>
      <c r="AA964" s="129"/>
      <c r="AB964" s="129"/>
      <c r="AC964" s="115"/>
      <c r="AD964" s="129"/>
      <c r="AE964" s="149"/>
      <c r="AF964" s="129"/>
      <c r="AG964" s="129"/>
      <c r="AH964" s="129"/>
    </row>
    <row r="965" spans="3:34" x14ac:dyDescent="0.35">
      <c r="C965" s="129"/>
      <c r="D965" s="129"/>
      <c r="E965" s="129"/>
      <c r="F965" s="129"/>
      <c r="G965" s="129"/>
      <c r="H965" s="129"/>
      <c r="I965" s="129"/>
      <c r="J965" s="129"/>
      <c r="K965" s="110"/>
      <c r="L965" s="129"/>
      <c r="M965" t="s">
        <v>351</v>
      </c>
      <c r="N965" s="129"/>
      <c r="O965" s="129"/>
      <c r="P965" s="129"/>
      <c r="Q965" s="129"/>
      <c r="R965" s="129"/>
      <c r="S965" s="129"/>
      <c r="T965" s="129"/>
      <c r="U965" s="129"/>
      <c r="V965" s="141"/>
      <c r="W965" s="139"/>
      <c r="X965" s="129"/>
      <c r="Y965" s="129"/>
      <c r="Z965" s="129"/>
      <c r="AA965" s="129"/>
      <c r="AB965" s="129"/>
      <c r="AC965" s="115"/>
      <c r="AD965" s="129"/>
      <c r="AE965" s="149"/>
      <c r="AF965" s="129"/>
      <c r="AG965" s="129"/>
      <c r="AH965" s="129"/>
    </row>
    <row r="966" spans="3:34" x14ac:dyDescent="0.35">
      <c r="C966" s="129"/>
      <c r="D966" s="129"/>
      <c r="E966" s="129"/>
      <c r="F966" s="129"/>
      <c r="G966" s="129"/>
      <c r="H966" s="129"/>
      <c r="I966" s="129"/>
      <c r="J966" s="129"/>
      <c r="K966" s="110"/>
      <c r="L966" s="129"/>
      <c r="M966" t="s">
        <v>351</v>
      </c>
      <c r="N966" s="129"/>
      <c r="O966" s="129"/>
      <c r="P966" s="129"/>
      <c r="Q966" s="129"/>
      <c r="R966" s="129"/>
      <c r="S966" s="129"/>
      <c r="T966" s="129"/>
      <c r="U966" s="129"/>
      <c r="V966" s="141"/>
      <c r="W966" s="139"/>
      <c r="X966" s="129"/>
      <c r="Y966" s="129"/>
      <c r="Z966" s="129"/>
      <c r="AA966" s="129"/>
      <c r="AB966" s="129"/>
      <c r="AC966" s="115"/>
      <c r="AD966" s="129"/>
      <c r="AE966" s="149"/>
      <c r="AF966" s="129"/>
      <c r="AG966" s="129"/>
      <c r="AH966" s="129"/>
    </row>
    <row r="967" spans="3:34" x14ac:dyDescent="0.35">
      <c r="C967" s="129"/>
      <c r="D967" s="129"/>
      <c r="E967" s="129"/>
      <c r="F967" s="129"/>
      <c r="G967" s="129"/>
      <c r="H967" s="129"/>
      <c r="I967" s="129"/>
      <c r="J967" s="129"/>
      <c r="K967" s="110"/>
      <c r="L967" s="129"/>
      <c r="M967" t="s">
        <v>351</v>
      </c>
      <c r="N967" s="129"/>
      <c r="O967" s="129"/>
      <c r="P967" s="129"/>
      <c r="Q967" s="129"/>
      <c r="R967" s="129"/>
      <c r="S967" s="129"/>
      <c r="T967" s="129"/>
      <c r="U967" s="129"/>
      <c r="V967" s="141"/>
      <c r="W967" s="139"/>
      <c r="X967" s="129"/>
      <c r="Y967" s="129"/>
      <c r="Z967" s="129"/>
      <c r="AA967" s="129"/>
      <c r="AB967" s="129"/>
      <c r="AC967" s="115"/>
      <c r="AD967" s="129"/>
      <c r="AE967" s="149"/>
      <c r="AF967" s="129"/>
      <c r="AG967" s="129"/>
      <c r="AH967" s="129"/>
    </row>
    <row r="968" spans="3:34" x14ac:dyDescent="0.35">
      <c r="C968" s="129"/>
      <c r="D968" s="129"/>
      <c r="E968" s="129"/>
      <c r="F968" s="129"/>
      <c r="G968" s="129"/>
      <c r="H968" s="129"/>
      <c r="I968" s="129"/>
      <c r="J968" s="129"/>
      <c r="K968" s="110"/>
      <c r="L968" s="129"/>
      <c r="M968" t="s">
        <v>351</v>
      </c>
      <c r="N968" s="129"/>
      <c r="O968" s="129"/>
      <c r="P968" s="129"/>
      <c r="Q968" s="129"/>
      <c r="R968" s="129"/>
      <c r="S968" s="129"/>
      <c r="T968" s="129"/>
      <c r="U968" s="129"/>
      <c r="V968" s="141"/>
      <c r="W968" s="139"/>
      <c r="X968" s="129"/>
      <c r="Y968" s="129"/>
      <c r="Z968" s="129"/>
      <c r="AA968" s="129"/>
      <c r="AB968" s="129"/>
      <c r="AC968" s="115"/>
      <c r="AD968" s="129"/>
      <c r="AE968" s="149"/>
      <c r="AF968" s="129"/>
      <c r="AG968" s="129"/>
      <c r="AH968" s="129"/>
    </row>
    <row r="969" spans="3:34" x14ac:dyDescent="0.35">
      <c r="C969" s="129"/>
      <c r="D969" s="129"/>
      <c r="E969" s="129"/>
      <c r="F969" s="129"/>
      <c r="G969" s="129"/>
      <c r="H969" s="129"/>
      <c r="I969" s="129"/>
      <c r="J969" s="129"/>
      <c r="K969" s="110"/>
      <c r="L969" s="129"/>
      <c r="M969" t="s">
        <v>351</v>
      </c>
      <c r="N969" s="129"/>
      <c r="O969" s="129"/>
      <c r="P969" s="129"/>
      <c r="Q969" s="129"/>
      <c r="R969" s="129"/>
      <c r="S969" s="129"/>
      <c r="T969" s="129"/>
      <c r="U969" s="129"/>
      <c r="V969" s="141"/>
      <c r="W969" s="139"/>
      <c r="X969" s="129"/>
      <c r="Y969" s="129"/>
      <c r="Z969" s="129"/>
      <c r="AA969" s="129"/>
      <c r="AB969" s="129"/>
      <c r="AC969" s="115"/>
      <c r="AD969" s="129"/>
      <c r="AE969" s="149"/>
      <c r="AF969" s="129"/>
      <c r="AG969" s="129"/>
      <c r="AH969" s="129"/>
    </row>
    <row r="970" spans="3:34" x14ac:dyDescent="0.35">
      <c r="C970" s="129"/>
      <c r="D970" s="129"/>
      <c r="E970" s="129"/>
      <c r="F970" s="129"/>
      <c r="G970" s="129"/>
      <c r="H970" s="129"/>
      <c r="I970" s="129"/>
      <c r="J970" s="129"/>
      <c r="K970" s="110"/>
      <c r="L970" s="129"/>
      <c r="M970" t="s">
        <v>351</v>
      </c>
      <c r="N970" s="129"/>
      <c r="O970" s="129"/>
      <c r="P970" s="129"/>
      <c r="Q970" s="129"/>
      <c r="R970" s="129"/>
      <c r="S970" s="129"/>
      <c r="T970" s="129"/>
      <c r="U970" s="129"/>
      <c r="V970" s="141"/>
      <c r="W970" s="139"/>
      <c r="X970" s="129"/>
      <c r="Y970" s="129"/>
      <c r="Z970" s="129"/>
      <c r="AA970" s="129"/>
      <c r="AB970" s="129"/>
      <c r="AC970" s="115"/>
      <c r="AD970" s="129"/>
      <c r="AE970" s="149"/>
      <c r="AF970" s="129"/>
      <c r="AG970" s="129"/>
      <c r="AH970" s="129"/>
    </row>
    <row r="971" spans="3:34" x14ac:dyDescent="0.35">
      <c r="C971" s="129"/>
      <c r="D971" s="129"/>
      <c r="E971" s="129"/>
      <c r="F971" s="129"/>
      <c r="G971" s="129"/>
      <c r="H971" s="129"/>
      <c r="I971" s="129"/>
      <c r="J971" s="129"/>
      <c r="K971" s="110"/>
      <c r="L971" s="129"/>
      <c r="M971" t="s">
        <v>351</v>
      </c>
      <c r="N971" s="129"/>
      <c r="O971" s="129"/>
      <c r="P971" s="129"/>
      <c r="Q971" s="129"/>
      <c r="R971" s="129"/>
      <c r="S971" s="129"/>
      <c r="T971" s="129"/>
      <c r="U971" s="129"/>
      <c r="V971" s="141"/>
      <c r="W971" s="139"/>
      <c r="X971" s="129"/>
      <c r="Y971" s="129"/>
      <c r="Z971" s="129"/>
      <c r="AA971" s="129"/>
      <c r="AB971" s="129"/>
      <c r="AC971" s="115"/>
      <c r="AD971" s="129"/>
      <c r="AE971" s="149"/>
      <c r="AF971" s="129"/>
      <c r="AG971" s="129"/>
      <c r="AH971" s="129"/>
    </row>
    <row r="972" spans="3:34" x14ac:dyDescent="0.35">
      <c r="C972" s="129"/>
      <c r="D972" s="129"/>
      <c r="E972" s="129"/>
      <c r="F972" s="129"/>
      <c r="G972" s="129"/>
      <c r="H972" s="129"/>
      <c r="I972" s="129"/>
      <c r="J972" s="129"/>
      <c r="K972" s="110"/>
      <c r="L972" s="129"/>
      <c r="M972" t="s">
        <v>351</v>
      </c>
      <c r="N972" s="129"/>
      <c r="O972" s="129"/>
      <c r="P972" s="129"/>
      <c r="Q972" s="129"/>
      <c r="R972" s="129"/>
      <c r="S972" s="129"/>
      <c r="T972" s="129"/>
      <c r="U972" s="129"/>
      <c r="V972" s="141"/>
      <c r="W972" s="139"/>
      <c r="X972" s="129"/>
      <c r="Y972" s="129"/>
      <c r="Z972" s="129"/>
      <c r="AA972" s="129"/>
      <c r="AB972" s="129"/>
      <c r="AC972" s="115"/>
      <c r="AD972" s="129"/>
      <c r="AE972" s="149"/>
      <c r="AF972" s="129"/>
      <c r="AG972" s="129"/>
      <c r="AH972" s="129"/>
    </row>
    <row r="973" spans="3:34" x14ac:dyDescent="0.35">
      <c r="C973" s="129"/>
      <c r="D973" s="129"/>
      <c r="E973" s="129"/>
      <c r="F973" s="129"/>
      <c r="G973" s="129"/>
      <c r="H973" s="129"/>
      <c r="I973" s="129"/>
      <c r="J973" s="129"/>
      <c r="K973" s="110"/>
      <c r="L973" s="129"/>
      <c r="M973" t="s">
        <v>351</v>
      </c>
      <c r="N973" s="129"/>
      <c r="O973" s="129"/>
      <c r="P973" s="129"/>
      <c r="Q973" s="129"/>
      <c r="R973" s="129"/>
      <c r="S973" s="129"/>
      <c r="T973" s="129"/>
      <c r="U973" s="129"/>
      <c r="V973" s="141"/>
      <c r="W973" s="139"/>
      <c r="X973" s="129"/>
      <c r="Y973" s="129"/>
      <c r="Z973" s="129"/>
      <c r="AA973" s="129"/>
      <c r="AB973" s="129"/>
      <c r="AC973" s="115"/>
      <c r="AD973" s="129"/>
      <c r="AE973" s="149"/>
      <c r="AF973" s="129"/>
      <c r="AG973" s="129"/>
      <c r="AH973" s="129"/>
    </row>
    <row r="974" spans="3:34" x14ac:dyDescent="0.35">
      <c r="C974" s="129"/>
      <c r="D974" s="129"/>
      <c r="E974" s="129"/>
      <c r="F974" s="129"/>
      <c r="G974" s="129"/>
      <c r="H974" s="129"/>
      <c r="I974" s="129"/>
      <c r="J974" s="129"/>
      <c r="K974" s="110"/>
      <c r="L974" s="129"/>
      <c r="M974" t="s">
        <v>351</v>
      </c>
      <c r="N974" s="129"/>
      <c r="O974" s="129"/>
      <c r="P974" s="129"/>
      <c r="Q974" s="129"/>
      <c r="R974" s="129"/>
      <c r="S974" s="129"/>
      <c r="T974" s="129"/>
      <c r="U974" s="129"/>
      <c r="V974" s="141"/>
      <c r="W974" s="139"/>
      <c r="X974" s="129"/>
      <c r="Y974" s="129"/>
      <c r="Z974" s="129"/>
      <c r="AA974" s="129"/>
      <c r="AB974" s="129"/>
      <c r="AC974" s="115"/>
      <c r="AD974" s="129"/>
      <c r="AE974" s="149"/>
      <c r="AF974" s="129"/>
      <c r="AG974" s="129"/>
      <c r="AH974" s="129"/>
    </row>
    <row r="975" spans="3:34" x14ac:dyDescent="0.35">
      <c r="C975" s="129"/>
      <c r="D975" s="129"/>
      <c r="E975" s="129"/>
      <c r="F975" s="129"/>
      <c r="G975" s="129"/>
      <c r="H975" s="129"/>
      <c r="I975" s="129"/>
      <c r="J975" s="129"/>
      <c r="K975" s="110"/>
      <c r="L975" s="129"/>
      <c r="M975" t="s">
        <v>351</v>
      </c>
      <c r="N975" s="129"/>
      <c r="O975" s="129"/>
      <c r="P975" s="129"/>
      <c r="Q975" s="129"/>
      <c r="R975" s="129"/>
      <c r="S975" s="129"/>
      <c r="T975" s="129"/>
      <c r="U975" s="129"/>
      <c r="V975" s="141"/>
      <c r="W975" s="139"/>
      <c r="X975" s="129"/>
      <c r="Y975" s="129"/>
      <c r="Z975" s="129"/>
      <c r="AA975" s="129"/>
      <c r="AB975" s="129"/>
      <c r="AC975" s="115"/>
      <c r="AD975" s="129"/>
      <c r="AE975" s="149"/>
      <c r="AF975" s="129"/>
      <c r="AG975" s="129"/>
      <c r="AH975" s="129"/>
    </row>
    <row r="976" spans="3:34" x14ac:dyDescent="0.35">
      <c r="C976" s="129"/>
      <c r="D976" s="129"/>
      <c r="E976" s="129"/>
      <c r="F976" s="129"/>
      <c r="G976" s="129"/>
      <c r="H976" s="129"/>
      <c r="I976" s="129"/>
      <c r="J976" s="129"/>
      <c r="K976" s="110"/>
      <c r="L976" s="129"/>
      <c r="M976" t="s">
        <v>351</v>
      </c>
      <c r="N976" s="129"/>
      <c r="O976" s="129"/>
      <c r="P976" s="129"/>
      <c r="Q976" s="129"/>
      <c r="R976" s="129"/>
      <c r="S976" s="129"/>
      <c r="T976" s="129"/>
      <c r="U976" s="129"/>
      <c r="V976" s="141"/>
      <c r="W976" s="139"/>
      <c r="X976" s="129"/>
      <c r="Y976" s="129"/>
      <c r="Z976" s="129"/>
      <c r="AA976" s="129"/>
      <c r="AB976" s="129"/>
      <c r="AC976" s="115"/>
      <c r="AD976" s="129"/>
      <c r="AE976" s="149"/>
      <c r="AF976" s="129"/>
      <c r="AG976" s="129"/>
      <c r="AH976" s="129"/>
    </row>
    <row r="977" spans="3:34" x14ac:dyDescent="0.35">
      <c r="C977" s="129"/>
      <c r="D977" s="129"/>
      <c r="E977" s="129"/>
      <c r="F977" s="129"/>
      <c r="G977" s="129"/>
      <c r="H977" s="129"/>
      <c r="I977" s="129"/>
      <c r="J977" s="129"/>
      <c r="K977" s="110"/>
      <c r="L977" s="129"/>
      <c r="M977" t="s">
        <v>351</v>
      </c>
      <c r="N977" s="129"/>
      <c r="O977" s="129"/>
      <c r="P977" s="129"/>
      <c r="Q977" s="129"/>
      <c r="R977" s="129"/>
      <c r="S977" s="129"/>
      <c r="T977" s="129"/>
      <c r="U977" s="129"/>
      <c r="V977" s="141"/>
      <c r="W977" s="139"/>
      <c r="X977" s="129"/>
      <c r="Y977" s="129"/>
      <c r="Z977" s="129"/>
      <c r="AA977" s="129"/>
      <c r="AB977" s="129"/>
      <c r="AC977" s="115"/>
      <c r="AD977" s="129"/>
      <c r="AE977" s="149"/>
      <c r="AF977" s="129"/>
      <c r="AG977" s="129"/>
      <c r="AH977" s="129"/>
    </row>
    <row r="978" spans="3:34" x14ac:dyDescent="0.35">
      <c r="C978" s="129"/>
      <c r="D978" s="129"/>
      <c r="E978" s="129"/>
      <c r="F978" s="129"/>
      <c r="G978" s="129"/>
      <c r="H978" s="129"/>
      <c r="I978" s="129"/>
      <c r="J978" s="129"/>
      <c r="K978" s="110"/>
      <c r="L978" s="129"/>
      <c r="M978" t="s">
        <v>351</v>
      </c>
      <c r="N978" s="129"/>
      <c r="O978" s="129"/>
      <c r="P978" s="129"/>
      <c r="Q978" s="129"/>
      <c r="R978" s="129"/>
      <c r="S978" s="129"/>
      <c r="T978" s="129"/>
      <c r="U978" s="129"/>
      <c r="V978" s="141"/>
      <c r="W978" s="139"/>
      <c r="X978" s="129"/>
      <c r="Y978" s="129"/>
      <c r="Z978" s="129"/>
      <c r="AA978" s="129"/>
      <c r="AB978" s="129"/>
      <c r="AC978" s="115"/>
      <c r="AD978" s="129"/>
      <c r="AE978" s="149"/>
      <c r="AF978" s="129"/>
      <c r="AG978" s="129"/>
      <c r="AH978" s="129"/>
    </row>
    <row r="979" spans="3:34" x14ac:dyDescent="0.35">
      <c r="C979" s="129"/>
      <c r="D979" s="129"/>
      <c r="E979" s="129"/>
      <c r="F979" s="129"/>
      <c r="G979" s="129"/>
      <c r="H979" s="129"/>
      <c r="I979" s="129"/>
      <c r="J979" s="129"/>
      <c r="K979" s="110"/>
      <c r="L979" s="129"/>
      <c r="M979" t="s">
        <v>351</v>
      </c>
      <c r="N979" s="129"/>
      <c r="O979" s="129"/>
      <c r="P979" s="129"/>
      <c r="Q979" s="129"/>
      <c r="R979" s="129"/>
      <c r="S979" s="129"/>
      <c r="T979" s="129"/>
      <c r="U979" s="129"/>
      <c r="V979" s="141"/>
      <c r="W979" s="139"/>
      <c r="X979" s="129"/>
      <c r="Y979" s="129"/>
      <c r="Z979" s="129"/>
      <c r="AA979" s="129"/>
      <c r="AB979" s="129"/>
      <c r="AC979" s="115"/>
      <c r="AD979" s="129"/>
      <c r="AE979" s="149"/>
      <c r="AF979" s="129"/>
      <c r="AG979" s="129"/>
      <c r="AH979" s="129"/>
    </row>
    <row r="980" spans="3:34" x14ac:dyDescent="0.35">
      <c r="C980" s="129"/>
      <c r="D980" s="129"/>
      <c r="E980" s="129"/>
      <c r="F980" s="129"/>
      <c r="G980" s="129"/>
      <c r="H980" s="129"/>
      <c r="I980" s="129"/>
      <c r="J980" s="129"/>
      <c r="K980" s="110"/>
      <c r="L980" s="129"/>
      <c r="M980" t="s">
        <v>351</v>
      </c>
      <c r="N980" s="129"/>
      <c r="O980" s="129"/>
      <c r="P980" s="129"/>
      <c r="Q980" s="129"/>
      <c r="R980" s="129"/>
      <c r="S980" s="129"/>
      <c r="T980" s="129"/>
      <c r="U980" s="129"/>
      <c r="V980" s="141"/>
      <c r="W980" s="139"/>
      <c r="X980" s="129"/>
      <c r="Y980" s="129"/>
      <c r="Z980" s="129"/>
      <c r="AA980" s="129"/>
      <c r="AB980" s="129"/>
      <c r="AC980" s="115"/>
      <c r="AD980" s="129"/>
      <c r="AE980" s="149"/>
      <c r="AF980" s="129"/>
      <c r="AG980" s="129"/>
      <c r="AH980" s="129"/>
    </row>
    <row r="981" spans="3:34" x14ac:dyDescent="0.35">
      <c r="C981" s="129"/>
      <c r="D981" s="129"/>
      <c r="E981" s="129"/>
      <c r="F981" s="129"/>
      <c r="G981" s="129"/>
      <c r="H981" s="129"/>
      <c r="I981" s="129"/>
      <c r="J981" s="129"/>
      <c r="K981" s="110"/>
      <c r="L981" s="129"/>
      <c r="M981" t="s">
        <v>351</v>
      </c>
      <c r="N981" s="129"/>
      <c r="O981" s="129"/>
      <c r="P981" s="129"/>
      <c r="Q981" s="129"/>
      <c r="R981" s="129"/>
      <c r="S981" s="129"/>
      <c r="T981" s="129"/>
      <c r="U981" s="129"/>
      <c r="V981" s="141"/>
      <c r="W981" s="139"/>
      <c r="X981" s="129"/>
      <c r="Y981" s="129"/>
      <c r="Z981" s="129"/>
      <c r="AA981" s="129"/>
      <c r="AB981" s="129"/>
      <c r="AC981" s="115"/>
      <c r="AD981" s="129"/>
      <c r="AE981" s="149"/>
      <c r="AF981" s="129"/>
      <c r="AG981" s="129"/>
      <c r="AH981" s="129"/>
    </row>
    <row r="982" spans="3:34" x14ac:dyDescent="0.35">
      <c r="C982" s="129"/>
      <c r="D982" s="129"/>
      <c r="E982" s="129"/>
      <c r="F982" s="129"/>
      <c r="G982" s="129"/>
      <c r="H982" s="129"/>
      <c r="I982" s="129"/>
      <c r="J982" s="129"/>
      <c r="K982" s="110"/>
      <c r="L982" s="129"/>
      <c r="M982" t="s">
        <v>351</v>
      </c>
      <c r="N982" s="129"/>
      <c r="O982" s="129"/>
      <c r="P982" s="129"/>
      <c r="Q982" s="129"/>
      <c r="R982" s="129"/>
      <c r="S982" s="129"/>
      <c r="T982" s="129"/>
      <c r="U982" s="129"/>
      <c r="V982" s="141"/>
      <c r="W982" s="139"/>
      <c r="X982" s="129"/>
      <c r="Y982" s="129"/>
      <c r="Z982" s="129"/>
      <c r="AA982" s="129"/>
      <c r="AB982" s="129"/>
      <c r="AC982" s="115"/>
      <c r="AD982" s="129"/>
      <c r="AE982" s="149"/>
      <c r="AF982" s="129"/>
      <c r="AG982" s="129"/>
      <c r="AH982" s="129"/>
    </row>
    <row r="983" spans="3:34" x14ac:dyDescent="0.35">
      <c r="C983" s="129"/>
      <c r="D983" s="129"/>
      <c r="E983" s="129"/>
      <c r="F983" s="129"/>
      <c r="G983" s="129"/>
      <c r="H983" s="129"/>
      <c r="I983" s="129"/>
      <c r="J983" s="129"/>
      <c r="K983" s="110"/>
      <c r="L983" s="129"/>
      <c r="M983" t="s">
        <v>351</v>
      </c>
      <c r="N983" s="129"/>
      <c r="O983" s="129"/>
      <c r="P983" s="129"/>
      <c r="Q983" s="129"/>
      <c r="R983" s="129"/>
      <c r="S983" s="129"/>
      <c r="T983" s="129"/>
      <c r="U983" s="129"/>
      <c r="V983" s="141"/>
      <c r="W983" s="139"/>
      <c r="X983" s="129"/>
      <c r="Y983" s="129"/>
      <c r="Z983" s="129"/>
      <c r="AA983" s="129"/>
      <c r="AB983" s="129"/>
      <c r="AC983" s="115"/>
      <c r="AD983" s="129"/>
      <c r="AE983" s="149"/>
      <c r="AF983" s="129"/>
      <c r="AG983" s="129"/>
      <c r="AH983" s="129"/>
    </row>
    <row r="984" spans="3:34" x14ac:dyDescent="0.35">
      <c r="C984" s="129"/>
      <c r="D984" s="129"/>
      <c r="E984" s="129"/>
      <c r="F984" s="129"/>
      <c r="G984" s="129"/>
      <c r="H984" s="129"/>
      <c r="I984" s="129"/>
      <c r="J984" s="129"/>
      <c r="K984" s="110"/>
      <c r="L984" s="129"/>
      <c r="M984" t="s">
        <v>351</v>
      </c>
      <c r="N984" s="129"/>
      <c r="O984" s="129"/>
      <c r="P984" s="129"/>
      <c r="Q984" s="129"/>
      <c r="R984" s="129"/>
      <c r="S984" s="129"/>
      <c r="T984" s="129"/>
      <c r="U984" s="129"/>
      <c r="V984" s="141"/>
      <c r="W984" s="139"/>
      <c r="X984" s="129"/>
      <c r="Y984" s="129"/>
      <c r="Z984" s="129"/>
      <c r="AA984" s="129"/>
      <c r="AB984" s="129"/>
      <c r="AC984" s="115"/>
      <c r="AD984" s="129"/>
      <c r="AE984" s="149"/>
      <c r="AF984" s="129"/>
      <c r="AG984" s="129"/>
      <c r="AH984" s="129"/>
    </row>
    <row r="985" spans="3:34" x14ac:dyDescent="0.35">
      <c r="C985" s="129"/>
      <c r="D985" s="129"/>
      <c r="E985" s="129"/>
      <c r="F985" s="129"/>
      <c r="G985" s="129"/>
      <c r="H985" s="129"/>
      <c r="I985" s="129"/>
      <c r="J985" s="129"/>
      <c r="K985" s="110"/>
      <c r="L985" s="129"/>
      <c r="M985" t="s">
        <v>351</v>
      </c>
      <c r="N985" s="129"/>
      <c r="O985" s="129"/>
      <c r="P985" s="129"/>
      <c r="Q985" s="129"/>
      <c r="R985" s="129"/>
      <c r="S985" s="129"/>
      <c r="T985" s="129"/>
      <c r="U985" s="129"/>
      <c r="V985" s="141"/>
      <c r="W985" s="139"/>
      <c r="X985" s="129"/>
      <c r="Y985" s="129"/>
      <c r="Z985" s="129"/>
      <c r="AA985" s="129"/>
      <c r="AB985" s="129"/>
      <c r="AC985" s="115"/>
      <c r="AD985" s="129"/>
      <c r="AE985" s="149"/>
      <c r="AF985" s="129"/>
      <c r="AG985" s="129"/>
      <c r="AH985" s="129"/>
    </row>
    <row r="986" spans="3:34" x14ac:dyDescent="0.35">
      <c r="C986" s="129"/>
      <c r="D986" s="129"/>
      <c r="E986" s="129"/>
      <c r="F986" s="129"/>
      <c r="G986" s="129"/>
      <c r="H986" s="129"/>
      <c r="I986" s="129"/>
      <c r="J986" s="129"/>
      <c r="K986" s="110"/>
      <c r="L986" s="129"/>
      <c r="M986" t="s">
        <v>351</v>
      </c>
      <c r="N986" s="129"/>
      <c r="O986" s="129"/>
      <c r="P986" s="129"/>
      <c r="Q986" s="129"/>
      <c r="R986" s="129"/>
      <c r="S986" s="129"/>
      <c r="T986" s="129"/>
      <c r="U986" s="129"/>
      <c r="V986" s="141"/>
      <c r="W986" s="139"/>
      <c r="X986" s="129"/>
      <c r="Y986" s="129"/>
      <c r="Z986" s="129"/>
      <c r="AA986" s="129"/>
      <c r="AB986" s="129"/>
      <c r="AC986" s="115"/>
      <c r="AD986" s="129"/>
      <c r="AE986" s="149"/>
      <c r="AF986" s="129"/>
      <c r="AG986" s="129"/>
      <c r="AH986" s="129"/>
    </row>
    <row r="987" spans="3:34" x14ac:dyDescent="0.35">
      <c r="C987" s="129"/>
      <c r="D987" s="129"/>
      <c r="E987" s="129"/>
      <c r="F987" s="129"/>
      <c r="G987" s="129"/>
      <c r="H987" s="129"/>
      <c r="I987" s="129"/>
      <c r="J987" s="129"/>
      <c r="K987" s="110"/>
      <c r="L987" s="129"/>
      <c r="M987" t="s">
        <v>351</v>
      </c>
      <c r="N987" s="129"/>
      <c r="O987" s="129"/>
      <c r="P987" s="129"/>
      <c r="Q987" s="129"/>
      <c r="R987" s="129"/>
      <c r="S987" s="129"/>
      <c r="T987" s="129"/>
      <c r="U987" s="129"/>
      <c r="V987" s="141"/>
      <c r="W987" s="139"/>
      <c r="X987" s="129"/>
      <c r="Y987" s="129"/>
      <c r="Z987" s="129"/>
      <c r="AA987" s="129"/>
      <c r="AB987" s="129"/>
      <c r="AC987" s="115"/>
      <c r="AD987" s="129"/>
      <c r="AE987" s="149"/>
      <c r="AF987" s="129"/>
      <c r="AG987" s="129"/>
      <c r="AH987" s="129"/>
    </row>
    <row r="988" spans="3:34" x14ac:dyDescent="0.35">
      <c r="C988" s="129"/>
      <c r="D988" s="129"/>
      <c r="E988" s="129"/>
      <c r="F988" s="129"/>
      <c r="G988" s="129"/>
      <c r="H988" s="129"/>
      <c r="I988" s="129"/>
      <c r="J988" s="129"/>
      <c r="K988" s="110"/>
      <c r="L988" s="129"/>
      <c r="M988" t="s">
        <v>351</v>
      </c>
      <c r="N988" s="129"/>
      <c r="O988" s="129"/>
      <c r="P988" s="129"/>
      <c r="Q988" s="129"/>
      <c r="R988" s="129"/>
      <c r="S988" s="129"/>
      <c r="T988" s="129"/>
      <c r="U988" s="129"/>
      <c r="V988" s="141"/>
      <c r="W988" s="139"/>
      <c r="X988" s="129"/>
      <c r="Y988" s="129"/>
      <c r="Z988" s="129"/>
      <c r="AA988" s="129"/>
      <c r="AB988" s="129"/>
      <c r="AC988" s="115"/>
      <c r="AD988" s="129"/>
      <c r="AE988" s="149"/>
      <c r="AF988" s="129"/>
      <c r="AG988" s="129"/>
      <c r="AH988" s="129"/>
    </row>
    <row r="989" spans="3:34" x14ac:dyDescent="0.35">
      <c r="C989" s="129"/>
      <c r="D989" s="129"/>
      <c r="E989" s="129"/>
      <c r="F989" s="129"/>
      <c r="G989" s="129"/>
      <c r="H989" s="129"/>
      <c r="I989" s="129"/>
      <c r="J989" s="129"/>
      <c r="K989" s="110"/>
      <c r="L989" s="129"/>
      <c r="M989" t="s">
        <v>351</v>
      </c>
      <c r="N989" s="129"/>
      <c r="O989" s="129"/>
      <c r="P989" s="129"/>
      <c r="Q989" s="129"/>
      <c r="R989" s="129"/>
      <c r="S989" s="129"/>
      <c r="T989" s="129"/>
      <c r="U989" s="129"/>
      <c r="V989" s="141"/>
      <c r="W989" s="139"/>
      <c r="X989" s="129"/>
      <c r="Y989" s="129"/>
      <c r="Z989" s="129"/>
      <c r="AA989" s="129"/>
      <c r="AB989" s="129"/>
      <c r="AC989" s="115"/>
      <c r="AD989" s="129"/>
      <c r="AE989" s="149"/>
      <c r="AF989" s="129"/>
      <c r="AG989" s="129"/>
      <c r="AH989" s="129"/>
    </row>
    <row r="990" spans="3:34" x14ac:dyDescent="0.35">
      <c r="C990" s="129"/>
      <c r="D990" s="129"/>
      <c r="E990" s="129"/>
      <c r="F990" s="129"/>
      <c r="G990" s="129"/>
      <c r="H990" s="129"/>
      <c r="I990" s="129"/>
      <c r="J990" s="129"/>
      <c r="K990" s="110"/>
      <c r="L990" s="129"/>
      <c r="M990" t="s">
        <v>351</v>
      </c>
      <c r="N990" s="129"/>
      <c r="O990" s="129"/>
      <c r="P990" s="129"/>
      <c r="Q990" s="129"/>
      <c r="R990" s="129"/>
      <c r="S990" s="129"/>
      <c r="T990" s="129"/>
      <c r="U990" s="129"/>
      <c r="V990" s="141"/>
      <c r="W990" s="139"/>
      <c r="X990" s="129"/>
      <c r="Y990" s="129"/>
      <c r="Z990" s="129"/>
      <c r="AA990" s="129"/>
      <c r="AB990" s="129"/>
      <c r="AC990" s="115"/>
      <c r="AD990" s="129"/>
      <c r="AE990" s="149"/>
      <c r="AF990" s="129"/>
      <c r="AG990" s="129"/>
      <c r="AH990" s="129"/>
    </row>
    <row r="991" spans="3:34" x14ac:dyDescent="0.35">
      <c r="C991" s="129"/>
      <c r="D991" s="129"/>
      <c r="E991" s="129"/>
      <c r="F991" s="129"/>
      <c r="G991" s="129"/>
      <c r="H991" s="129"/>
      <c r="I991" s="129"/>
      <c r="J991" s="129"/>
      <c r="K991" s="110"/>
      <c r="L991" s="129"/>
      <c r="M991" t="s">
        <v>351</v>
      </c>
      <c r="N991" s="129"/>
      <c r="O991" s="129"/>
      <c r="P991" s="129"/>
      <c r="Q991" s="129"/>
      <c r="R991" s="129"/>
      <c r="S991" s="129"/>
      <c r="T991" s="129"/>
      <c r="U991" s="129"/>
      <c r="V991" s="141"/>
      <c r="W991" s="139"/>
      <c r="X991" s="129"/>
      <c r="Y991" s="129"/>
      <c r="Z991" s="129"/>
      <c r="AA991" s="129"/>
      <c r="AB991" s="129"/>
      <c r="AC991" s="115"/>
      <c r="AD991" s="129"/>
      <c r="AE991" s="149"/>
      <c r="AF991" s="129"/>
      <c r="AG991" s="129"/>
      <c r="AH991" s="129"/>
    </row>
    <row r="992" spans="3:34" x14ac:dyDescent="0.35">
      <c r="C992" s="129"/>
      <c r="D992" s="129"/>
      <c r="E992" s="129"/>
      <c r="F992" s="129"/>
      <c r="G992" s="129"/>
      <c r="H992" s="129"/>
      <c r="I992" s="129"/>
      <c r="J992" s="129"/>
      <c r="K992" s="110"/>
      <c r="L992" s="129"/>
      <c r="M992" t="s">
        <v>351</v>
      </c>
      <c r="N992" s="129"/>
      <c r="O992" s="129"/>
      <c r="P992" s="129"/>
      <c r="Q992" s="129"/>
      <c r="R992" s="129"/>
      <c r="S992" s="129"/>
      <c r="T992" s="129"/>
      <c r="U992" s="129"/>
      <c r="V992" s="141"/>
      <c r="W992" s="139"/>
      <c r="X992" s="129"/>
      <c r="Y992" s="129"/>
      <c r="Z992" s="129"/>
      <c r="AA992" s="129"/>
      <c r="AB992" s="129"/>
      <c r="AC992" s="115"/>
      <c r="AD992" s="129"/>
      <c r="AE992" s="149"/>
      <c r="AF992" s="129"/>
      <c r="AG992" s="129"/>
      <c r="AH992" s="129"/>
    </row>
    <row r="993" spans="3:34" x14ac:dyDescent="0.35">
      <c r="C993" s="129"/>
      <c r="D993" s="129"/>
      <c r="E993" s="129"/>
      <c r="F993" s="129"/>
      <c r="G993" s="129"/>
      <c r="H993" s="129"/>
      <c r="I993" s="129"/>
      <c r="J993" s="129"/>
      <c r="K993" s="110"/>
      <c r="L993" s="129"/>
      <c r="M993" t="s">
        <v>351</v>
      </c>
      <c r="N993" s="129"/>
      <c r="O993" s="129"/>
      <c r="P993" s="129"/>
      <c r="Q993" s="129"/>
      <c r="R993" s="129"/>
      <c r="S993" s="129"/>
      <c r="T993" s="129"/>
      <c r="U993" s="129"/>
      <c r="V993" s="141"/>
      <c r="W993" s="139"/>
      <c r="X993" s="129"/>
      <c r="Y993" s="129"/>
      <c r="Z993" s="129"/>
      <c r="AA993" s="129"/>
      <c r="AB993" s="129"/>
      <c r="AC993" s="115"/>
      <c r="AD993" s="129"/>
      <c r="AE993" s="149"/>
      <c r="AF993" s="129"/>
      <c r="AG993" s="129"/>
      <c r="AH993" s="129"/>
    </row>
    <row r="994" spans="3:34" x14ac:dyDescent="0.35">
      <c r="C994" s="129"/>
      <c r="D994" s="129"/>
      <c r="E994" s="129"/>
      <c r="F994" s="129"/>
      <c r="G994" s="129"/>
      <c r="H994" s="129"/>
      <c r="I994" s="129"/>
      <c r="J994" s="129"/>
      <c r="K994" s="110"/>
      <c r="L994" s="129"/>
      <c r="M994" t="s">
        <v>351</v>
      </c>
      <c r="N994" s="129"/>
      <c r="O994" s="129"/>
      <c r="P994" s="129"/>
      <c r="Q994" s="129"/>
      <c r="R994" s="129"/>
      <c r="S994" s="129"/>
      <c r="T994" s="129"/>
      <c r="U994" s="129"/>
      <c r="V994" s="141"/>
      <c r="W994" s="139"/>
      <c r="X994" s="129"/>
      <c r="Y994" s="129"/>
      <c r="Z994" s="129"/>
      <c r="AA994" s="129"/>
      <c r="AB994" s="129"/>
      <c r="AC994" s="115"/>
      <c r="AD994" s="129"/>
      <c r="AE994" s="149"/>
      <c r="AF994" s="129"/>
      <c r="AG994" s="129"/>
      <c r="AH994" s="129"/>
    </row>
    <row r="995" spans="3:34" x14ac:dyDescent="0.35">
      <c r="C995" s="129"/>
      <c r="D995" s="129"/>
      <c r="E995" s="129"/>
      <c r="F995" s="129"/>
      <c r="G995" s="129"/>
      <c r="H995" s="129"/>
      <c r="I995" s="129"/>
      <c r="J995" s="129"/>
      <c r="K995" s="110"/>
      <c r="L995" s="129"/>
      <c r="M995" t="s">
        <v>351</v>
      </c>
      <c r="N995" s="129"/>
      <c r="O995" s="129"/>
      <c r="P995" s="129"/>
      <c r="Q995" s="129"/>
      <c r="R995" s="129"/>
      <c r="S995" s="129"/>
      <c r="T995" s="129"/>
      <c r="U995" s="129"/>
      <c r="V995" s="141"/>
      <c r="W995" s="139"/>
      <c r="X995" s="129"/>
      <c r="Y995" s="129"/>
      <c r="Z995" s="129"/>
      <c r="AA995" s="129"/>
      <c r="AB995" s="129"/>
      <c r="AC995" s="115"/>
      <c r="AD995" s="129"/>
      <c r="AE995" s="149"/>
      <c r="AF995" s="129"/>
      <c r="AG995" s="129"/>
      <c r="AH995" s="129"/>
    </row>
    <row r="996" spans="3:34" x14ac:dyDescent="0.35">
      <c r="C996" s="129"/>
      <c r="D996" s="129"/>
      <c r="E996" s="129"/>
      <c r="F996" s="129"/>
      <c r="G996" s="129"/>
      <c r="H996" s="129"/>
      <c r="I996" s="129"/>
      <c r="J996" s="129"/>
      <c r="K996" s="110"/>
      <c r="L996" s="129"/>
      <c r="M996" t="s">
        <v>351</v>
      </c>
      <c r="N996" s="129"/>
      <c r="O996" s="129"/>
      <c r="P996" s="129"/>
      <c r="Q996" s="129"/>
      <c r="R996" s="129"/>
      <c r="S996" s="129"/>
      <c r="T996" s="129"/>
      <c r="U996" s="129"/>
      <c r="V996" s="141"/>
      <c r="W996" s="139"/>
      <c r="X996" s="129"/>
      <c r="Y996" s="129"/>
      <c r="Z996" s="129"/>
      <c r="AA996" s="129"/>
      <c r="AB996" s="129"/>
      <c r="AC996" s="115"/>
      <c r="AD996" s="129"/>
      <c r="AE996" s="149"/>
      <c r="AF996" s="129"/>
      <c r="AG996" s="129"/>
      <c r="AH996" s="129"/>
    </row>
    <row r="997" spans="3:34" x14ac:dyDescent="0.35">
      <c r="C997" s="129"/>
      <c r="D997" s="129"/>
      <c r="E997" s="129"/>
      <c r="F997" s="129"/>
      <c r="G997" s="129"/>
      <c r="H997" s="129"/>
      <c r="I997" s="129"/>
      <c r="J997" s="129"/>
      <c r="K997" s="110"/>
      <c r="L997" s="129"/>
      <c r="M997" t="s">
        <v>351</v>
      </c>
      <c r="N997" s="129"/>
      <c r="O997" s="129"/>
      <c r="P997" s="129"/>
      <c r="Q997" s="129"/>
      <c r="R997" s="129"/>
      <c r="S997" s="129"/>
      <c r="T997" s="129"/>
      <c r="U997" s="129"/>
      <c r="V997" s="141"/>
      <c r="W997" s="139"/>
      <c r="X997" s="129"/>
      <c r="Y997" s="129"/>
      <c r="Z997" s="129"/>
      <c r="AA997" s="129"/>
      <c r="AB997" s="129"/>
      <c r="AC997" s="115"/>
      <c r="AD997" s="129"/>
      <c r="AE997" s="149"/>
      <c r="AF997" s="129"/>
      <c r="AG997" s="129"/>
      <c r="AH997" s="129"/>
    </row>
    <row r="998" spans="3:34" x14ac:dyDescent="0.35">
      <c r="C998" s="129"/>
      <c r="D998" s="129"/>
      <c r="E998" s="129"/>
      <c r="F998" s="129"/>
      <c r="G998" s="129"/>
      <c r="H998" s="129"/>
      <c r="I998" s="129"/>
      <c r="J998" s="129"/>
      <c r="K998" s="110"/>
      <c r="L998" s="129"/>
      <c r="M998" t="s">
        <v>351</v>
      </c>
      <c r="N998" s="129"/>
      <c r="O998" s="129"/>
      <c r="P998" s="129"/>
      <c r="Q998" s="129"/>
      <c r="R998" s="129"/>
      <c r="S998" s="129"/>
      <c r="T998" s="129"/>
      <c r="U998" s="129"/>
      <c r="V998" s="141"/>
      <c r="W998" s="139"/>
      <c r="X998" s="129"/>
      <c r="Y998" s="129"/>
      <c r="Z998" s="129"/>
      <c r="AA998" s="129"/>
      <c r="AB998" s="129"/>
      <c r="AC998" s="115"/>
      <c r="AD998" s="129"/>
      <c r="AE998" s="149"/>
      <c r="AF998" s="129"/>
      <c r="AG998" s="129"/>
      <c r="AH998" s="129"/>
    </row>
    <row r="999" spans="3:34" x14ac:dyDescent="0.35">
      <c r="C999" s="129"/>
      <c r="D999" s="129"/>
      <c r="E999" s="129"/>
      <c r="F999" s="129"/>
      <c r="G999" s="129"/>
      <c r="H999" s="129"/>
      <c r="I999" s="129"/>
      <c r="J999" s="129"/>
      <c r="K999" s="110"/>
      <c r="L999" s="129"/>
      <c r="M999" t="s">
        <v>351</v>
      </c>
      <c r="N999" s="129"/>
      <c r="O999" s="129"/>
      <c r="P999" s="129"/>
      <c r="Q999" s="129"/>
      <c r="R999" s="129"/>
      <c r="S999" s="129"/>
      <c r="T999" s="129"/>
      <c r="U999" s="129"/>
      <c r="V999" s="141"/>
      <c r="W999" s="139"/>
      <c r="X999" s="129"/>
      <c r="Y999" s="129"/>
      <c r="Z999" s="129"/>
      <c r="AA999" s="129"/>
      <c r="AB999" s="129"/>
      <c r="AC999" s="115"/>
      <c r="AD999" s="129"/>
      <c r="AE999" s="149"/>
      <c r="AF999" s="129"/>
      <c r="AG999" s="129"/>
      <c r="AH999" s="129"/>
    </row>
    <row r="1000" spans="3:34" x14ac:dyDescent="0.35">
      <c r="C1000" s="129"/>
      <c r="D1000" s="129"/>
      <c r="E1000" s="129"/>
      <c r="F1000" s="129"/>
      <c r="G1000" s="129"/>
      <c r="H1000" s="129"/>
      <c r="I1000" s="129"/>
      <c r="J1000" s="129"/>
      <c r="K1000" s="110"/>
      <c r="L1000" s="129"/>
      <c r="M1000" t="s">
        <v>351</v>
      </c>
      <c r="N1000" s="129"/>
      <c r="O1000" s="129"/>
      <c r="P1000" s="129"/>
      <c r="Q1000" s="129"/>
      <c r="R1000" s="129"/>
      <c r="S1000" s="129"/>
      <c r="T1000" s="129"/>
      <c r="U1000" s="129"/>
      <c r="V1000" s="141"/>
      <c r="W1000" s="139"/>
      <c r="X1000" s="129"/>
      <c r="Y1000" s="129"/>
      <c r="Z1000" s="129"/>
      <c r="AA1000" s="129"/>
      <c r="AB1000" s="129"/>
      <c r="AC1000" s="115"/>
      <c r="AD1000" s="129"/>
      <c r="AE1000" s="149"/>
      <c r="AF1000" s="129"/>
      <c r="AG1000" s="129"/>
      <c r="AH1000" s="129"/>
    </row>
    <row r="1001" spans="3:34" x14ac:dyDescent="0.35">
      <c r="C1001" s="129"/>
      <c r="D1001" s="129"/>
      <c r="E1001" s="129"/>
      <c r="F1001" s="129"/>
      <c r="G1001" s="129"/>
      <c r="H1001" s="129"/>
      <c r="I1001" s="129"/>
      <c r="J1001" s="129"/>
      <c r="K1001" s="110"/>
      <c r="L1001" s="129"/>
      <c r="M1001" t="s">
        <v>351</v>
      </c>
      <c r="N1001" s="129"/>
      <c r="O1001" s="129"/>
      <c r="P1001" s="129"/>
      <c r="Q1001" s="129"/>
      <c r="R1001" s="129"/>
      <c r="S1001" s="129"/>
      <c r="T1001" s="129"/>
      <c r="U1001" s="129"/>
      <c r="V1001" s="141"/>
      <c r="W1001" s="139"/>
      <c r="X1001" s="129"/>
      <c r="Y1001" s="129"/>
      <c r="Z1001" s="129"/>
      <c r="AA1001" s="129"/>
      <c r="AB1001" s="129"/>
      <c r="AC1001" s="115"/>
      <c r="AD1001" s="129"/>
      <c r="AE1001" s="149"/>
      <c r="AF1001" s="129"/>
      <c r="AG1001" s="129"/>
      <c r="AH1001" s="129"/>
    </row>
    <row r="1002" spans="3:34" x14ac:dyDescent="0.35">
      <c r="C1002" s="129"/>
      <c r="D1002" s="129"/>
      <c r="E1002" s="129"/>
      <c r="F1002" s="129"/>
      <c r="G1002" s="129"/>
      <c r="H1002" s="129"/>
      <c r="I1002" s="129"/>
      <c r="J1002" s="129"/>
      <c r="K1002" s="110"/>
      <c r="L1002" s="129"/>
      <c r="M1002" t="s">
        <v>351</v>
      </c>
      <c r="N1002" s="129"/>
      <c r="O1002" s="129"/>
      <c r="P1002" s="129"/>
      <c r="Q1002" s="129"/>
      <c r="R1002" s="129"/>
      <c r="S1002" s="129"/>
      <c r="T1002" s="129"/>
      <c r="U1002" s="129"/>
      <c r="V1002" s="141"/>
      <c r="W1002" s="139"/>
      <c r="X1002" s="129"/>
      <c r="Y1002" s="129"/>
      <c r="Z1002" s="129"/>
      <c r="AA1002" s="129"/>
      <c r="AB1002" s="129"/>
      <c r="AC1002" s="115"/>
      <c r="AD1002" s="129"/>
      <c r="AE1002" s="149"/>
      <c r="AF1002" s="129"/>
      <c r="AG1002" s="129"/>
      <c r="AH1002" s="129"/>
    </row>
    <row r="1003" spans="3:34" x14ac:dyDescent="0.35">
      <c r="C1003" s="129"/>
      <c r="D1003" s="129"/>
      <c r="E1003" s="129"/>
      <c r="F1003" s="129"/>
      <c r="G1003" s="129"/>
      <c r="H1003" s="129"/>
      <c r="I1003" s="129"/>
      <c r="J1003" s="129"/>
      <c r="K1003" s="110"/>
      <c r="L1003" s="129"/>
      <c r="M1003" t="s">
        <v>351</v>
      </c>
      <c r="N1003" s="129"/>
      <c r="O1003" s="129"/>
      <c r="P1003" s="129"/>
      <c r="Q1003" s="129"/>
      <c r="R1003" s="129"/>
      <c r="S1003" s="129"/>
      <c r="T1003" s="129"/>
      <c r="U1003" s="129"/>
      <c r="V1003" s="141"/>
      <c r="W1003" s="139"/>
      <c r="X1003" s="129"/>
      <c r="Y1003" s="129"/>
      <c r="Z1003" s="129"/>
      <c r="AA1003" s="129"/>
      <c r="AB1003" s="129"/>
      <c r="AC1003" s="115"/>
      <c r="AD1003" s="129"/>
      <c r="AE1003" s="149"/>
      <c r="AF1003" s="129"/>
      <c r="AG1003" s="129"/>
      <c r="AH1003" s="129"/>
    </row>
    <row r="1004" spans="3:34" x14ac:dyDescent="0.35">
      <c r="C1004" s="129"/>
      <c r="D1004" s="129"/>
      <c r="E1004" s="129"/>
      <c r="F1004" s="129"/>
      <c r="G1004" s="129"/>
      <c r="H1004" s="129"/>
      <c r="I1004" s="129"/>
      <c r="J1004" s="129"/>
      <c r="K1004" s="110"/>
      <c r="L1004" s="129"/>
      <c r="M1004" t="s">
        <v>351</v>
      </c>
      <c r="N1004" s="129"/>
      <c r="O1004" s="129"/>
      <c r="P1004" s="129"/>
      <c r="Q1004" s="129"/>
      <c r="R1004" s="129"/>
      <c r="S1004" s="129"/>
      <c r="T1004" s="129"/>
      <c r="U1004" s="129"/>
      <c r="V1004" s="141"/>
      <c r="W1004" s="139"/>
      <c r="X1004" s="129"/>
      <c r="Y1004" s="129"/>
      <c r="Z1004" s="129"/>
      <c r="AA1004" s="129"/>
      <c r="AB1004" s="129"/>
      <c r="AC1004" s="115"/>
      <c r="AD1004" s="129"/>
      <c r="AE1004" s="149"/>
      <c r="AF1004" s="129"/>
      <c r="AG1004" s="129"/>
      <c r="AH1004" s="129"/>
    </row>
    <row r="1005" spans="3:34" x14ac:dyDescent="0.35">
      <c r="C1005" s="129"/>
      <c r="D1005" s="129"/>
      <c r="E1005" s="129"/>
      <c r="F1005" s="129"/>
      <c r="G1005" s="129"/>
      <c r="H1005" s="129"/>
      <c r="I1005" s="129"/>
      <c r="J1005" s="129"/>
      <c r="K1005" s="110"/>
      <c r="L1005" s="129"/>
      <c r="M1005" t="s">
        <v>351</v>
      </c>
      <c r="N1005" s="129"/>
      <c r="O1005" s="129"/>
      <c r="P1005" s="129"/>
      <c r="Q1005" s="129"/>
      <c r="R1005" s="129"/>
      <c r="S1005" s="129"/>
      <c r="T1005" s="129"/>
      <c r="U1005" s="129"/>
      <c r="V1005" s="141"/>
      <c r="W1005" s="139"/>
      <c r="X1005" s="129"/>
      <c r="Y1005" s="129"/>
      <c r="Z1005" s="129"/>
      <c r="AA1005" s="129"/>
      <c r="AB1005" s="129"/>
      <c r="AC1005" s="115"/>
      <c r="AD1005" s="129"/>
      <c r="AE1005" s="149"/>
      <c r="AF1005" s="129"/>
      <c r="AG1005" s="129"/>
      <c r="AH1005" s="129"/>
    </row>
    <row r="1006" spans="3:34" x14ac:dyDescent="0.35">
      <c r="C1006" s="129"/>
      <c r="D1006" s="129"/>
      <c r="E1006" s="129"/>
      <c r="F1006" s="129"/>
      <c r="G1006" s="129"/>
      <c r="H1006" s="129"/>
      <c r="I1006" s="129"/>
      <c r="J1006" s="129"/>
      <c r="K1006" s="110"/>
      <c r="L1006" s="129"/>
      <c r="M1006" t="s">
        <v>351</v>
      </c>
      <c r="N1006" s="129"/>
      <c r="O1006" s="129"/>
      <c r="P1006" s="129"/>
      <c r="Q1006" s="129"/>
      <c r="R1006" s="129"/>
      <c r="S1006" s="129"/>
      <c r="T1006" s="129"/>
      <c r="U1006" s="129"/>
      <c r="V1006" s="141"/>
      <c r="W1006" s="139"/>
      <c r="X1006" s="129"/>
      <c r="Y1006" s="129"/>
      <c r="Z1006" s="129"/>
      <c r="AA1006" s="129"/>
      <c r="AB1006" s="129"/>
      <c r="AC1006" s="115"/>
      <c r="AD1006" s="129"/>
      <c r="AE1006" s="149"/>
      <c r="AF1006" s="129"/>
      <c r="AG1006" s="129"/>
      <c r="AH1006" s="129"/>
    </row>
    <row r="1007" spans="3:34" x14ac:dyDescent="0.35">
      <c r="C1007" s="129"/>
      <c r="D1007" s="129"/>
      <c r="E1007" s="129"/>
      <c r="F1007" s="129"/>
      <c r="G1007" s="129"/>
      <c r="H1007" s="129"/>
      <c r="I1007" s="129"/>
      <c r="J1007" s="129"/>
      <c r="K1007" s="110"/>
      <c r="L1007" s="129"/>
      <c r="M1007" t="s">
        <v>351</v>
      </c>
      <c r="N1007" s="129"/>
      <c r="O1007" s="129"/>
      <c r="P1007" s="129"/>
      <c r="Q1007" s="129"/>
      <c r="R1007" s="129"/>
      <c r="S1007" s="129"/>
      <c r="T1007" s="129"/>
      <c r="U1007" s="129"/>
      <c r="V1007" s="141"/>
      <c r="W1007" s="139"/>
      <c r="X1007" s="129"/>
      <c r="Y1007" s="129"/>
      <c r="Z1007" s="129"/>
      <c r="AA1007" s="129"/>
      <c r="AB1007" s="129"/>
      <c r="AC1007" s="115"/>
      <c r="AD1007" s="129"/>
      <c r="AE1007" s="149"/>
      <c r="AF1007" s="129"/>
      <c r="AG1007" s="129"/>
      <c r="AH1007" s="129"/>
    </row>
    <row r="1008" spans="3:34" x14ac:dyDescent="0.35">
      <c r="C1008" s="129"/>
      <c r="D1008" s="129"/>
      <c r="E1008" s="129"/>
      <c r="F1008" s="129"/>
      <c r="G1008" s="129"/>
      <c r="H1008" s="129"/>
      <c r="I1008" s="129"/>
      <c r="J1008" s="129"/>
      <c r="K1008" s="110"/>
      <c r="L1008" s="129"/>
      <c r="M1008" t="s">
        <v>351</v>
      </c>
      <c r="N1008" s="129"/>
      <c r="O1008" s="129"/>
      <c r="P1008" s="129"/>
      <c r="Q1008" s="129"/>
      <c r="R1008" s="129"/>
      <c r="S1008" s="129"/>
      <c r="T1008" s="129"/>
      <c r="U1008" s="129"/>
      <c r="V1008" s="141"/>
      <c r="W1008" s="139"/>
      <c r="X1008" s="129"/>
      <c r="Y1008" s="129"/>
      <c r="Z1008" s="129"/>
      <c r="AA1008" s="129"/>
      <c r="AB1008" s="129"/>
      <c r="AC1008" s="115"/>
      <c r="AD1008" s="129"/>
      <c r="AE1008" s="149"/>
      <c r="AF1008" s="129"/>
      <c r="AG1008" s="129"/>
      <c r="AH1008" s="129"/>
    </row>
    <row r="1009" spans="3:34" x14ac:dyDescent="0.35">
      <c r="C1009" s="129"/>
      <c r="D1009" s="129"/>
      <c r="E1009" s="129"/>
      <c r="F1009" s="129"/>
      <c r="G1009" s="129"/>
      <c r="H1009" s="129"/>
      <c r="I1009" s="129"/>
      <c r="J1009" s="129"/>
      <c r="K1009" s="110"/>
      <c r="L1009" s="129"/>
      <c r="M1009" t="s">
        <v>351</v>
      </c>
      <c r="N1009" s="129"/>
      <c r="O1009" s="129"/>
      <c r="P1009" s="129"/>
      <c r="Q1009" s="129"/>
      <c r="R1009" s="129"/>
      <c r="S1009" s="129"/>
      <c r="T1009" s="129"/>
      <c r="U1009" s="129"/>
      <c r="V1009" s="141"/>
      <c r="W1009" s="139"/>
      <c r="X1009" s="129"/>
      <c r="Y1009" s="129"/>
      <c r="Z1009" s="129"/>
      <c r="AA1009" s="129"/>
      <c r="AB1009" s="129"/>
      <c r="AC1009" s="115"/>
      <c r="AD1009" s="129"/>
      <c r="AE1009" s="149"/>
      <c r="AF1009" s="129"/>
      <c r="AG1009" s="129"/>
      <c r="AH1009" s="129"/>
    </row>
    <row r="1010" spans="3:34" x14ac:dyDescent="0.35">
      <c r="C1010" s="129"/>
      <c r="D1010" s="129"/>
      <c r="E1010" s="129"/>
      <c r="F1010" s="129"/>
      <c r="G1010" s="129"/>
      <c r="H1010" s="129"/>
      <c r="I1010" s="129"/>
      <c r="J1010" s="129"/>
      <c r="K1010" s="110"/>
      <c r="L1010" s="129"/>
      <c r="M1010" t="s">
        <v>351</v>
      </c>
      <c r="N1010" s="129"/>
      <c r="O1010" s="129"/>
      <c r="P1010" s="129"/>
      <c r="Q1010" s="129"/>
      <c r="R1010" s="129"/>
      <c r="S1010" s="129"/>
      <c r="T1010" s="129"/>
      <c r="U1010" s="129"/>
      <c r="V1010" s="141"/>
      <c r="W1010" s="139"/>
      <c r="X1010" s="129"/>
      <c r="Y1010" s="129"/>
      <c r="Z1010" s="129"/>
      <c r="AA1010" s="129"/>
      <c r="AB1010" s="129"/>
      <c r="AC1010" s="115"/>
      <c r="AD1010" s="129"/>
      <c r="AE1010" s="149"/>
      <c r="AF1010" s="129"/>
      <c r="AG1010" s="129"/>
      <c r="AH1010" s="129"/>
    </row>
    <row r="1011" spans="3:34" x14ac:dyDescent="0.35">
      <c r="C1011" s="129"/>
      <c r="D1011" s="129"/>
      <c r="E1011" s="129"/>
      <c r="F1011" s="129"/>
      <c r="G1011" s="129"/>
      <c r="H1011" s="129"/>
      <c r="I1011" s="129"/>
      <c r="J1011" s="129"/>
      <c r="K1011" s="110"/>
      <c r="L1011" s="129"/>
      <c r="M1011" t="s">
        <v>351</v>
      </c>
      <c r="N1011" s="129"/>
      <c r="O1011" s="129"/>
      <c r="P1011" s="129"/>
      <c r="Q1011" s="129"/>
      <c r="R1011" s="129"/>
      <c r="S1011" s="129"/>
      <c r="T1011" s="129"/>
      <c r="U1011" s="129"/>
      <c r="V1011" s="141"/>
      <c r="W1011" s="139"/>
      <c r="X1011" s="129"/>
      <c r="Y1011" s="129"/>
      <c r="Z1011" s="129"/>
      <c r="AA1011" s="129"/>
      <c r="AB1011" s="129"/>
      <c r="AC1011" s="115"/>
      <c r="AD1011" s="129"/>
      <c r="AE1011" s="149"/>
      <c r="AF1011" s="129"/>
      <c r="AG1011" s="129"/>
      <c r="AH1011" s="129"/>
    </row>
    <row r="1012" spans="3:34" x14ac:dyDescent="0.35">
      <c r="C1012" s="129"/>
      <c r="D1012" s="129"/>
      <c r="E1012" s="129"/>
      <c r="F1012" s="129"/>
      <c r="G1012" s="129"/>
      <c r="H1012" s="129"/>
      <c r="I1012" s="129"/>
      <c r="J1012" s="129"/>
      <c r="K1012" s="110"/>
      <c r="L1012" s="129"/>
      <c r="M1012" t="s">
        <v>351</v>
      </c>
      <c r="N1012" s="129"/>
      <c r="O1012" s="129"/>
      <c r="P1012" s="129"/>
      <c r="Q1012" s="129"/>
      <c r="R1012" s="129"/>
      <c r="S1012" s="129"/>
      <c r="T1012" s="129"/>
      <c r="U1012" s="129"/>
      <c r="V1012" s="141"/>
      <c r="W1012" s="139"/>
      <c r="X1012" s="129"/>
      <c r="Y1012" s="129"/>
      <c r="Z1012" s="129"/>
      <c r="AA1012" s="129"/>
      <c r="AB1012" s="129"/>
      <c r="AC1012" s="115"/>
      <c r="AD1012" s="129"/>
      <c r="AE1012" s="149"/>
      <c r="AF1012" s="129"/>
      <c r="AG1012" s="129"/>
      <c r="AH1012" s="129"/>
    </row>
    <row r="1013" spans="3:34" x14ac:dyDescent="0.35">
      <c r="C1013" s="129"/>
      <c r="D1013" s="129"/>
      <c r="E1013" s="129"/>
      <c r="F1013" s="129"/>
      <c r="G1013" s="129"/>
      <c r="H1013" s="129"/>
      <c r="I1013" s="129"/>
      <c r="J1013" s="129"/>
      <c r="K1013" s="110"/>
      <c r="L1013" s="129"/>
      <c r="M1013" t="s">
        <v>351</v>
      </c>
      <c r="N1013" s="129"/>
      <c r="O1013" s="129"/>
      <c r="P1013" s="129"/>
      <c r="Q1013" s="129"/>
      <c r="R1013" s="129"/>
      <c r="S1013" s="129"/>
      <c r="T1013" s="129"/>
      <c r="U1013" s="129"/>
      <c r="V1013" s="141"/>
      <c r="W1013" s="139"/>
      <c r="X1013" s="129"/>
      <c r="Y1013" s="129"/>
      <c r="Z1013" s="129"/>
      <c r="AA1013" s="129"/>
      <c r="AB1013" s="129"/>
      <c r="AC1013" s="115"/>
      <c r="AD1013" s="129"/>
      <c r="AE1013" s="149"/>
      <c r="AF1013" s="129"/>
      <c r="AG1013" s="129"/>
      <c r="AH1013" s="129"/>
    </row>
    <row r="1014" spans="3:34" x14ac:dyDescent="0.35">
      <c r="C1014" s="129"/>
      <c r="D1014" s="129"/>
      <c r="E1014" s="129"/>
      <c r="F1014" s="129"/>
      <c r="G1014" s="129"/>
      <c r="H1014" s="129"/>
      <c r="I1014" s="129"/>
      <c r="J1014" s="129"/>
      <c r="K1014" s="110"/>
      <c r="L1014" s="129"/>
      <c r="M1014" t="s">
        <v>351</v>
      </c>
      <c r="N1014" s="129"/>
      <c r="O1014" s="129"/>
      <c r="P1014" s="129"/>
      <c r="Q1014" s="129"/>
      <c r="R1014" s="129"/>
      <c r="S1014" s="129"/>
      <c r="T1014" s="129"/>
      <c r="U1014" s="129"/>
      <c r="V1014" s="141"/>
      <c r="W1014" s="139"/>
      <c r="X1014" s="129"/>
      <c r="Y1014" s="129"/>
      <c r="Z1014" s="129"/>
      <c r="AA1014" s="129"/>
      <c r="AB1014" s="129"/>
      <c r="AC1014" s="115"/>
      <c r="AD1014" s="129"/>
      <c r="AE1014" s="149"/>
      <c r="AF1014" s="129"/>
      <c r="AG1014" s="129"/>
      <c r="AH1014" s="129"/>
    </row>
    <row r="1015" spans="3:34" x14ac:dyDescent="0.35">
      <c r="C1015" s="129"/>
      <c r="D1015" s="129"/>
      <c r="E1015" s="129"/>
      <c r="F1015" s="129"/>
      <c r="G1015" s="129"/>
      <c r="H1015" s="129"/>
      <c r="I1015" s="129"/>
      <c r="J1015" s="129"/>
      <c r="K1015" s="110"/>
      <c r="L1015" s="129"/>
      <c r="M1015" t="s">
        <v>351</v>
      </c>
      <c r="N1015" s="129"/>
      <c r="O1015" s="129"/>
      <c r="P1015" s="129"/>
      <c r="Q1015" s="129"/>
      <c r="R1015" s="129"/>
      <c r="S1015" s="129"/>
      <c r="T1015" s="129"/>
      <c r="U1015" s="129"/>
      <c r="V1015" s="141"/>
      <c r="W1015" s="139"/>
      <c r="X1015" s="129"/>
      <c r="Y1015" s="129"/>
      <c r="Z1015" s="129"/>
      <c r="AA1015" s="129"/>
      <c r="AB1015" s="129"/>
      <c r="AC1015" s="115"/>
      <c r="AD1015" s="129"/>
      <c r="AE1015" s="149"/>
      <c r="AF1015" s="129"/>
      <c r="AG1015" s="129"/>
      <c r="AH1015" s="129"/>
    </row>
    <row r="1016" spans="3:34" x14ac:dyDescent="0.35">
      <c r="C1016" s="129"/>
      <c r="D1016" s="129"/>
      <c r="E1016" s="129"/>
      <c r="F1016" s="129"/>
      <c r="G1016" s="129"/>
      <c r="H1016" s="129"/>
      <c r="I1016" s="129"/>
      <c r="J1016" s="129"/>
      <c r="K1016" s="110"/>
      <c r="L1016" s="129"/>
      <c r="M1016" t="s">
        <v>351</v>
      </c>
      <c r="N1016" s="129"/>
      <c r="O1016" s="129"/>
      <c r="P1016" s="129"/>
      <c r="Q1016" s="129"/>
      <c r="R1016" s="129"/>
      <c r="S1016" s="129"/>
      <c r="T1016" s="129"/>
      <c r="U1016" s="129"/>
      <c r="V1016" s="141"/>
      <c r="W1016" s="139"/>
      <c r="X1016" s="129"/>
      <c r="Y1016" s="129"/>
      <c r="Z1016" s="129"/>
      <c r="AA1016" s="129"/>
      <c r="AB1016" s="129"/>
      <c r="AC1016" s="115"/>
      <c r="AD1016" s="129"/>
      <c r="AE1016" s="149"/>
      <c r="AF1016" s="129"/>
      <c r="AG1016" s="129"/>
      <c r="AH1016" s="129"/>
    </row>
    <row r="1017" spans="3:34" x14ac:dyDescent="0.35">
      <c r="C1017" s="129"/>
      <c r="D1017" s="129"/>
      <c r="E1017" s="129"/>
      <c r="F1017" s="129"/>
      <c r="G1017" s="129"/>
      <c r="H1017" s="129"/>
      <c r="I1017" s="129"/>
      <c r="J1017" s="129"/>
      <c r="K1017" s="110"/>
      <c r="L1017" s="129"/>
      <c r="M1017" t="s">
        <v>351</v>
      </c>
      <c r="N1017" s="129"/>
      <c r="O1017" s="129"/>
      <c r="P1017" s="129"/>
      <c r="Q1017" s="129"/>
      <c r="R1017" s="129"/>
      <c r="S1017" s="129"/>
      <c r="T1017" s="129"/>
      <c r="U1017" s="129"/>
      <c r="V1017" s="141"/>
      <c r="W1017" s="139"/>
      <c r="X1017" s="129"/>
      <c r="Y1017" s="129"/>
      <c r="Z1017" s="129"/>
      <c r="AA1017" s="129"/>
      <c r="AB1017" s="129"/>
      <c r="AC1017" s="115"/>
      <c r="AD1017" s="129"/>
      <c r="AE1017" s="149"/>
      <c r="AF1017" s="129"/>
      <c r="AG1017" s="129"/>
      <c r="AH1017" s="129"/>
    </row>
    <row r="1018" spans="3:34" x14ac:dyDescent="0.35">
      <c r="C1018" s="129"/>
      <c r="D1018" s="129"/>
      <c r="E1018" s="129"/>
      <c r="F1018" s="129"/>
      <c r="G1018" s="129"/>
      <c r="H1018" s="129"/>
      <c r="I1018" s="129"/>
      <c r="J1018" s="129"/>
      <c r="K1018" s="110"/>
      <c r="L1018" s="129"/>
      <c r="M1018" t="s">
        <v>351</v>
      </c>
      <c r="N1018" s="129"/>
      <c r="O1018" s="129"/>
      <c r="P1018" s="129"/>
      <c r="Q1018" s="129"/>
      <c r="R1018" s="129"/>
      <c r="S1018" s="129"/>
      <c r="T1018" s="129"/>
      <c r="U1018" s="129"/>
      <c r="V1018" s="141"/>
      <c r="W1018" s="139"/>
      <c r="X1018" s="129"/>
      <c r="Y1018" s="129"/>
      <c r="Z1018" s="129"/>
      <c r="AA1018" s="129"/>
      <c r="AB1018" s="129"/>
      <c r="AC1018" s="115"/>
      <c r="AD1018" s="129"/>
      <c r="AE1018" s="149"/>
      <c r="AF1018" s="129"/>
      <c r="AG1018" s="129"/>
      <c r="AH1018" s="129"/>
    </row>
    <row r="1019" spans="3:34" x14ac:dyDescent="0.35">
      <c r="C1019" s="129"/>
      <c r="D1019" s="129"/>
      <c r="E1019" s="129"/>
      <c r="F1019" s="129"/>
      <c r="G1019" s="129"/>
      <c r="H1019" s="129"/>
      <c r="I1019" s="129"/>
      <c r="J1019" s="129"/>
      <c r="K1019" s="110"/>
      <c r="L1019" s="129"/>
      <c r="M1019" t="s">
        <v>351</v>
      </c>
      <c r="N1019" s="129"/>
      <c r="O1019" s="129"/>
      <c r="P1019" s="129"/>
      <c r="Q1019" s="129"/>
      <c r="R1019" s="129"/>
      <c r="S1019" s="129"/>
      <c r="T1019" s="129"/>
      <c r="U1019" s="129"/>
      <c r="V1019" s="141"/>
      <c r="W1019" s="139"/>
      <c r="X1019" s="129"/>
      <c r="Y1019" s="129"/>
      <c r="Z1019" s="129"/>
      <c r="AA1019" s="129"/>
      <c r="AB1019" s="129"/>
      <c r="AC1019" s="115"/>
      <c r="AD1019" s="129"/>
      <c r="AE1019" s="149"/>
      <c r="AF1019" s="129"/>
      <c r="AG1019" s="129"/>
      <c r="AH1019" s="129"/>
    </row>
    <row r="1020" spans="3:34" x14ac:dyDescent="0.35">
      <c r="C1020" s="129"/>
      <c r="D1020" s="129"/>
      <c r="E1020" s="129"/>
      <c r="F1020" s="129"/>
      <c r="G1020" s="129"/>
      <c r="H1020" s="129"/>
      <c r="I1020" s="129"/>
      <c r="J1020" s="129"/>
      <c r="K1020" s="110"/>
      <c r="L1020" s="129"/>
      <c r="M1020" t="s">
        <v>351</v>
      </c>
      <c r="N1020" s="129"/>
      <c r="O1020" s="129"/>
      <c r="P1020" s="129"/>
      <c r="Q1020" s="129"/>
      <c r="R1020" s="129"/>
      <c r="S1020" s="129"/>
      <c r="T1020" s="129"/>
      <c r="U1020" s="129"/>
      <c r="V1020" s="141"/>
      <c r="W1020" s="139"/>
      <c r="X1020" s="129"/>
      <c r="Y1020" s="129"/>
      <c r="Z1020" s="129"/>
      <c r="AA1020" s="129"/>
      <c r="AB1020" s="129"/>
      <c r="AC1020" s="115"/>
      <c r="AD1020" s="129"/>
      <c r="AE1020" s="149"/>
      <c r="AF1020" s="129"/>
      <c r="AG1020" s="129"/>
      <c r="AH1020" s="129"/>
    </row>
    <row r="1021" spans="3:34" x14ac:dyDescent="0.35">
      <c r="C1021" s="129"/>
      <c r="D1021" s="129"/>
      <c r="E1021" s="129"/>
      <c r="F1021" s="129"/>
      <c r="G1021" s="129"/>
      <c r="H1021" s="129"/>
      <c r="I1021" s="129"/>
      <c r="J1021" s="129"/>
      <c r="K1021" s="110"/>
      <c r="L1021" s="129"/>
      <c r="M1021" t="s">
        <v>351</v>
      </c>
      <c r="N1021" s="129"/>
      <c r="O1021" s="129"/>
      <c r="P1021" s="129"/>
      <c r="Q1021" s="129"/>
      <c r="R1021" s="129"/>
      <c r="S1021" s="129"/>
      <c r="T1021" s="129"/>
      <c r="U1021" s="129"/>
      <c r="V1021" s="141"/>
      <c r="W1021" s="139"/>
      <c r="X1021" s="129"/>
      <c r="Y1021" s="129"/>
      <c r="Z1021" s="129"/>
      <c r="AA1021" s="129"/>
      <c r="AB1021" s="129"/>
      <c r="AC1021" s="115"/>
      <c r="AD1021" s="129"/>
      <c r="AE1021" s="149"/>
      <c r="AF1021" s="129"/>
      <c r="AG1021" s="129"/>
      <c r="AH1021" s="129"/>
    </row>
    <row r="1022" spans="3:34" x14ac:dyDescent="0.35">
      <c r="C1022" s="129"/>
      <c r="D1022" s="129"/>
      <c r="E1022" s="129"/>
      <c r="F1022" s="129"/>
      <c r="G1022" s="129"/>
      <c r="H1022" s="129"/>
      <c r="I1022" s="129"/>
      <c r="J1022" s="129"/>
      <c r="K1022" s="110"/>
      <c r="L1022" s="129"/>
      <c r="M1022" t="s">
        <v>351</v>
      </c>
      <c r="N1022" s="129"/>
      <c r="O1022" s="129"/>
      <c r="P1022" s="129"/>
      <c r="Q1022" s="129"/>
      <c r="R1022" s="129"/>
      <c r="S1022" s="129"/>
      <c r="T1022" s="129"/>
      <c r="U1022" s="129"/>
      <c r="V1022" s="141"/>
      <c r="W1022" s="139"/>
      <c r="X1022" s="129"/>
      <c r="Y1022" s="129"/>
      <c r="Z1022" s="129"/>
      <c r="AA1022" s="129"/>
      <c r="AB1022" s="129"/>
      <c r="AC1022" s="115"/>
      <c r="AD1022" s="129"/>
      <c r="AE1022" s="149"/>
      <c r="AF1022" s="129"/>
      <c r="AG1022" s="129"/>
      <c r="AH1022" s="129"/>
    </row>
    <row r="1023" spans="3:34" x14ac:dyDescent="0.35">
      <c r="C1023" s="129"/>
      <c r="D1023" s="129"/>
      <c r="E1023" s="129"/>
      <c r="F1023" s="129"/>
      <c r="G1023" s="129"/>
      <c r="H1023" s="129"/>
      <c r="I1023" s="129"/>
      <c r="J1023" s="129"/>
      <c r="K1023" s="110"/>
      <c r="L1023" s="129"/>
      <c r="M1023" t="s">
        <v>351</v>
      </c>
      <c r="N1023" s="129"/>
      <c r="O1023" s="129"/>
      <c r="P1023" s="129"/>
      <c r="Q1023" s="129"/>
      <c r="R1023" s="129"/>
      <c r="S1023" s="129"/>
      <c r="T1023" s="129"/>
      <c r="U1023" s="129"/>
      <c r="V1023" s="141"/>
      <c r="W1023" s="139"/>
      <c r="X1023" s="129"/>
      <c r="Y1023" s="129"/>
      <c r="Z1023" s="129"/>
      <c r="AA1023" s="129"/>
      <c r="AB1023" s="129"/>
      <c r="AC1023" s="115"/>
      <c r="AD1023" s="129"/>
      <c r="AE1023" s="149"/>
      <c r="AF1023" s="129"/>
      <c r="AG1023" s="129"/>
      <c r="AH1023" s="129"/>
    </row>
    <row r="1024" spans="3:34" x14ac:dyDescent="0.35">
      <c r="C1024" s="129"/>
      <c r="D1024" s="129"/>
      <c r="E1024" s="129"/>
      <c r="F1024" s="129"/>
      <c r="G1024" s="129"/>
      <c r="H1024" s="129"/>
      <c r="I1024" s="129"/>
      <c r="J1024" s="129"/>
      <c r="K1024" s="110"/>
      <c r="L1024" s="129"/>
      <c r="M1024" t="s">
        <v>351</v>
      </c>
      <c r="N1024" s="129"/>
      <c r="O1024" s="129"/>
      <c r="P1024" s="129"/>
      <c r="Q1024" s="129"/>
      <c r="R1024" s="129"/>
      <c r="S1024" s="129"/>
      <c r="T1024" s="129"/>
      <c r="U1024" s="129"/>
      <c r="V1024" s="141"/>
      <c r="W1024" s="139"/>
      <c r="X1024" s="129"/>
      <c r="Y1024" s="129"/>
      <c r="Z1024" s="129"/>
      <c r="AA1024" s="129"/>
      <c r="AB1024" s="129"/>
      <c r="AC1024" s="115"/>
      <c r="AD1024" s="129"/>
      <c r="AE1024" s="149"/>
      <c r="AF1024" s="129"/>
      <c r="AG1024" s="129"/>
      <c r="AH1024" s="129"/>
    </row>
  </sheetData>
  <phoneticPr fontId="7" type="noConversion"/>
  <conditionalFormatting sqref="K4:K1024">
    <cfRule type="containsText" dxfId="29" priority="3" operator="containsText" text="Final">
      <formula>NOT(ISERROR(SEARCH("Final",K4)))</formula>
    </cfRule>
    <cfRule type="cellIs" dxfId="28" priority="4" operator="equal">
      <formula>"Issue"</formula>
    </cfRule>
    <cfRule type="containsText" dxfId="27" priority="5" operator="containsText" text="Unchecked">
      <formula>NOT(ISERROR(SEARCH("Unchecked",K4)))</formula>
    </cfRule>
    <cfRule type="containsText" dxfId="26" priority="6" operator="containsText" text="Placeholder">
      <formula>NOT(ISERROR(SEARCH("Placeholder",K4)))</formula>
    </cfRule>
    <cfRule type="containsText" dxfId="25" priority="7" operator="containsText" text="Incomplete">
      <formula>NOT(ISERROR(SEARCH("Incomplete",K4)))</formula>
    </cfRule>
  </conditionalFormatting>
  <conditionalFormatting sqref="M4:M1024 Q4:Q1024">
    <cfRule type="containsText" dxfId="24" priority="1" operator="containsText" text="Yes">
      <formula>NOT(ISERROR(SEARCH("Yes",M4)))</formula>
    </cfRule>
    <cfRule type="containsText" dxfId="23" priority="2" operator="containsText" text="No">
      <formula>NOT(ISERROR(SEARCH("No",M4)))</formula>
    </cfRule>
  </conditionalFormatting>
  <conditionalFormatting sqref="T1025:U1139 T4:T1024">
    <cfRule type="containsText" dxfId="22" priority="10" operator="containsText" text="Yes">
      <formula>NOT(ISERROR(SEARCH("Yes",T4)))</formula>
    </cfRule>
    <cfRule type="containsText" dxfId="21" priority="11" operator="containsText" text="Partial">
      <formula>NOT(ISERROR(SEARCH("Partial",T4)))</formula>
    </cfRule>
    <cfRule type="containsText" dxfId="20" priority="12" operator="containsText" text="No">
      <formula>NOT(ISERROR(SEARCH("No",T4)))</formula>
    </cfRule>
  </conditionalFormatting>
  <dataValidations count="3">
    <dataValidation type="list" allowBlank="1" showInputMessage="1" showErrorMessage="1" sqref="T4:T1024" xr:uid="{53345D3A-0A02-4868-967E-D4F7391CC496}">
      <formula1>"Yes, Partial, No"</formula1>
    </dataValidation>
    <dataValidation type="list" allowBlank="1" showInputMessage="1" showErrorMessage="1" sqref="M4:M1024 Q4:Q1024" xr:uid="{8EBA07D1-EED5-4F80-B5D4-CF1268FD35A0}">
      <formula1>"Yes, No"</formula1>
    </dataValidation>
    <dataValidation type="list" allowBlank="1" showInputMessage="1" showErrorMessage="1" sqref="K4:K1024" xr:uid="{3E5CCFEB-7597-41E7-BA76-F4F4B84B0CE6}">
      <formula1>"Final, Unchecked, Placeholder, Incomplete, Issue"</formula1>
    </dataValidation>
  </dataValidations>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9">
        <x14:dataValidation type="list" allowBlank="1" showInputMessage="1" showErrorMessage="1" xr:uid="{FA956249-4982-48C9-AE8B-A495D71F8F1D}">
          <x14:formula1>
            <xm:f>MATERIALS!$A$2:$A$500</xm:f>
          </x14:formula1>
          <xm:sqref>N8:N10 N266 N24:N26 N46 N54 N80:N85 N94:N96 N107:N108 N119 N122 N130 N35:N37 N139 N133 N148 N142 N157 N151 N166 N160 N173:N175 N184:N186 N195:N197 N205 N230 N233 N241 N244 N252 N255 N263 N169</xm:sqref>
        </x14:dataValidation>
        <x14:dataValidation type="list" allowBlank="1" showInputMessage="1" showErrorMessage="1" xr:uid="{B59E507B-4E28-47DF-A995-E31A235E84D6}">
          <x14:formula1>
            <xm:f>'RAW GWP FOSSIL'!$A$2:$A$1048576</xm:f>
          </x14:formula1>
          <xm:sqref>N61 N28 N72 N92:N93 N109 N115 N11 N135 N144 N153 N162 N182:N183 N171:N172 N193:N194 N211 N218 N225:N226 N126 N237 N248 N140 N131 N149 N120 N97 N158 N167 N176 N187 N198 N213 N220 N231 N242 N253 N264 N268 N206 N86 N74 N66 N55 N47 N30 N19 N124 N235 N246 N257 N259</xm:sqref>
        </x14:dataValidation>
        <x14:dataValidation type="list" allowBlank="1" showInputMessage="1" showErrorMessage="1" xr:uid="{896AEB6D-D4EC-4B68-82C7-D0DE9CC6890D}">
          <x14:formula1>
            <xm:f>'SCENARIO ASSUMPTIONS'!$H$6:$H$21</xm:f>
          </x14:formula1>
          <xm:sqref>C4:C1024</xm:sqref>
        </x14:dataValidation>
        <x14:dataValidation type="list" allowBlank="1" showInputMessage="1" showErrorMessage="1" xr:uid="{2B6F192F-873D-4350-9DB3-19E76909FA57}">
          <x14:formula1>
            <xm:f>'SCENARIO ASSUMPTIONS'!$J$6:$J$21</xm:f>
          </x14:formula1>
          <xm:sqref>D4:D1024</xm:sqref>
        </x14:dataValidation>
        <x14:dataValidation type="list" allowBlank="1" showInputMessage="1" showErrorMessage="1" xr:uid="{BB4737BC-4703-4F0E-8C12-D5551961071A}">
          <x14:formula1>
            <xm:f>'SCENARIO ASSUMPTIONS'!$L$6:$L$21</xm:f>
          </x14:formula1>
          <xm:sqref>E4:E1024</xm:sqref>
        </x14:dataValidation>
        <x14:dataValidation type="list" allowBlank="1" showInputMessage="1" showErrorMessage="1" xr:uid="{E334CA98-E8BA-42FD-9750-6FBEB6B8D419}">
          <x14:formula1>
            <xm:f>'SCENARIO ASSUMPTIONS'!$F$6:$F$21</xm:f>
          </x14:formula1>
          <xm:sqref>P4:P1024</xm:sqref>
        </x14:dataValidation>
        <x14:dataValidation type="list" allowBlank="1" showInputMessage="1" showErrorMessage="1" xr:uid="{1A74BD22-16A0-49D0-9137-DA7C762D1BB3}">
          <x14:formula1>
            <xm:f>'SCENARIO ASSUMPTIONS'!$R$6:$R$21</xm:f>
          </x14:formula1>
          <xm:sqref>F4:F1024</xm:sqref>
        </x14:dataValidation>
        <x14:dataValidation type="list" allowBlank="1" showInputMessage="1" showErrorMessage="1" xr:uid="{661A1865-AA58-4FDE-9BA5-85F1C6FEBAD7}">
          <x14:formula1>
            <xm:f>'SCENARIO ASSUMPTIONS'!$N$6:$N$21</xm:f>
          </x14:formula1>
          <xm:sqref>O4:O1024</xm:sqref>
        </x14:dataValidation>
        <x14:dataValidation type="list" allowBlank="1" showInputMessage="1" showErrorMessage="1" xr:uid="{884E3190-2BA5-4740-8A46-A35585AC94E4}">
          <x14:formula1>
            <xm:f>'SCENARIO ASSUMPTIONS'!$V$6:$V$21</xm:f>
          </x14:formula1>
          <xm:sqref>J4:J1024</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2D2E61-CF97-4E26-941D-504B1AD748C4}">
  <sheetPr codeName="Sheet15">
    <tabColor theme="5" tint="-0.249977111117893"/>
  </sheetPr>
  <dimension ref="A1:BO501"/>
  <sheetViews>
    <sheetView workbookViewId="0">
      <selection activeCell="C16" sqref="C16"/>
    </sheetView>
  </sheetViews>
  <sheetFormatPr defaultRowHeight="14.5" x14ac:dyDescent="0.35"/>
  <cols>
    <col min="1" max="1" width="18.36328125" bestFit="1" customWidth="1"/>
    <col min="2" max="2" width="13.453125" customWidth="1"/>
    <col min="3" max="3" width="21.1796875" bestFit="1" customWidth="1"/>
    <col min="4" max="4" width="12.6328125" bestFit="1" customWidth="1"/>
    <col min="5" max="5" width="18.1796875" style="12" customWidth="1"/>
    <col min="6" max="67" width="8.7265625" style="13"/>
  </cols>
  <sheetData>
    <row r="1" spans="1:5" ht="63" x14ac:dyDescent="0.35">
      <c r="A1" s="7" t="s">
        <v>0</v>
      </c>
      <c r="B1" s="7" t="s">
        <v>440</v>
      </c>
      <c r="C1" s="7" t="s">
        <v>441</v>
      </c>
      <c r="D1" s="7" t="s">
        <v>2</v>
      </c>
      <c r="E1" s="7" t="s">
        <v>356</v>
      </c>
    </row>
    <row r="2" spans="1:5" x14ac:dyDescent="0.35">
      <c r="A2" s="24" t="s">
        <v>3</v>
      </c>
      <c r="B2" s="80">
        <v>510</v>
      </c>
      <c r="C2" s="80">
        <v>0.26300000000000001</v>
      </c>
      <c r="D2" s="39" t="s">
        <v>4</v>
      </c>
      <c r="E2" s="114">
        <v>0.13</v>
      </c>
    </row>
    <row r="3" spans="1:5" x14ac:dyDescent="0.35">
      <c r="A3" s="24" t="s">
        <v>32</v>
      </c>
      <c r="B3" s="80">
        <v>7800</v>
      </c>
      <c r="C3" s="80">
        <v>2.71</v>
      </c>
      <c r="D3" s="39" t="s">
        <v>4</v>
      </c>
      <c r="E3" s="114">
        <v>50</v>
      </c>
    </row>
    <row r="4" spans="1:5" x14ac:dyDescent="0.35">
      <c r="A4" s="24" t="s">
        <v>33</v>
      </c>
      <c r="B4" s="80">
        <v>80</v>
      </c>
      <c r="C4" s="80">
        <v>1.25</v>
      </c>
      <c r="D4" s="39" t="s">
        <v>344</v>
      </c>
      <c r="E4" s="114">
        <v>3.5000000000000003E-2</v>
      </c>
    </row>
    <row r="5" spans="1:5" x14ac:dyDescent="0.35">
      <c r="A5" s="24" t="s">
        <v>28</v>
      </c>
      <c r="B5" s="80">
        <v>32</v>
      </c>
      <c r="C5" s="80">
        <v>3.089</v>
      </c>
      <c r="D5" s="39" t="s">
        <v>344</v>
      </c>
      <c r="E5" s="114">
        <v>2.1999999999999999E-2</v>
      </c>
    </row>
    <row r="6" spans="1:5" x14ac:dyDescent="0.35">
      <c r="A6" s="24" t="s">
        <v>29</v>
      </c>
      <c r="B6" s="107">
        <v>0</v>
      </c>
      <c r="C6" s="80">
        <v>4.2</v>
      </c>
      <c r="D6" s="39" t="s">
        <v>470</v>
      </c>
      <c r="E6" s="114">
        <v>0.3</v>
      </c>
    </row>
    <row r="7" spans="1:5" x14ac:dyDescent="0.35">
      <c r="A7" s="24" t="s">
        <v>355</v>
      </c>
      <c r="B7" s="80">
        <v>1.2</v>
      </c>
      <c r="C7" s="107">
        <v>0</v>
      </c>
      <c r="D7" s="39" t="s">
        <v>334</v>
      </c>
      <c r="E7" s="114">
        <v>2.5000000000000001E-2</v>
      </c>
    </row>
    <row r="8" spans="1:5" x14ac:dyDescent="0.35">
      <c r="A8" s="24" t="s">
        <v>349</v>
      </c>
      <c r="B8" s="80">
        <v>615</v>
      </c>
      <c r="C8" s="80">
        <v>0</v>
      </c>
      <c r="D8" s="39" t="s">
        <v>347</v>
      </c>
      <c r="E8" s="114">
        <v>0.19</v>
      </c>
    </row>
    <row r="9" spans="1:5" x14ac:dyDescent="0.35">
      <c r="A9" s="24" t="s">
        <v>285</v>
      </c>
      <c r="B9" s="107">
        <v>2000</v>
      </c>
      <c r="C9" s="107">
        <v>0.21099999999999999</v>
      </c>
      <c r="D9" s="39" t="s">
        <v>346</v>
      </c>
      <c r="E9" s="114">
        <v>0.77</v>
      </c>
    </row>
    <row r="10" spans="1:5" x14ac:dyDescent="0.35">
      <c r="A10" s="24" t="s">
        <v>27</v>
      </c>
      <c r="B10" s="80">
        <v>600</v>
      </c>
      <c r="C10" s="80">
        <v>0.45500000000000002</v>
      </c>
      <c r="D10" s="39" t="s">
        <v>4</v>
      </c>
      <c r="E10" s="114">
        <v>0.13</v>
      </c>
    </row>
    <row r="11" spans="1:5" x14ac:dyDescent="0.35">
      <c r="A11" s="24" t="s">
        <v>442</v>
      </c>
      <c r="B11" s="80">
        <v>25</v>
      </c>
      <c r="C11" s="80">
        <v>3.69</v>
      </c>
      <c r="D11" s="39" t="s">
        <v>344</v>
      </c>
      <c r="E11" s="114">
        <v>3.5000000000000003E-2</v>
      </c>
    </row>
    <row r="12" spans="1:5" x14ac:dyDescent="0.35">
      <c r="A12" s="24" t="s">
        <v>449</v>
      </c>
      <c r="B12" s="80">
        <v>2400</v>
      </c>
      <c r="C12" s="80">
        <v>0.10299999999999999</v>
      </c>
      <c r="D12" s="39" t="s">
        <v>4</v>
      </c>
      <c r="E12" s="114">
        <v>4</v>
      </c>
    </row>
    <row r="13" spans="1:5" x14ac:dyDescent="0.35">
      <c r="A13" s="24" t="s">
        <v>446</v>
      </c>
      <c r="B13" s="80">
        <v>7800</v>
      </c>
      <c r="C13" s="80">
        <v>1.72</v>
      </c>
      <c r="D13" s="39" t="s">
        <v>4</v>
      </c>
      <c r="E13" s="108">
        <v>0</v>
      </c>
    </row>
    <row r="14" spans="1:5" x14ac:dyDescent="0.35">
      <c r="A14" s="24" t="s">
        <v>447</v>
      </c>
      <c r="B14" s="80"/>
      <c r="C14" s="80">
        <v>1.85</v>
      </c>
      <c r="D14" s="39" t="s">
        <v>334</v>
      </c>
      <c r="E14" s="108">
        <v>0</v>
      </c>
    </row>
    <row r="15" spans="1:5" x14ac:dyDescent="0.35">
      <c r="A15" s="160" t="s">
        <v>566</v>
      </c>
      <c r="B15" s="39"/>
      <c r="C15" s="39">
        <v>1</v>
      </c>
      <c r="D15" s="39"/>
      <c r="E15" s="40">
        <v>0</v>
      </c>
    </row>
    <row r="16" spans="1:5" x14ac:dyDescent="0.35">
      <c r="A16" s="24"/>
      <c r="B16" s="39"/>
      <c r="C16" s="39"/>
      <c r="D16" s="39"/>
      <c r="E16" s="40"/>
    </row>
    <row r="17" spans="1:5" x14ac:dyDescent="0.35">
      <c r="A17" s="24"/>
      <c r="B17" s="39"/>
      <c r="C17" s="39"/>
      <c r="D17" s="39"/>
      <c r="E17" s="40"/>
    </row>
    <row r="18" spans="1:5" x14ac:dyDescent="0.35">
      <c r="A18" s="24"/>
      <c r="B18" s="39"/>
      <c r="C18" s="39"/>
      <c r="D18" s="39"/>
      <c r="E18" s="40"/>
    </row>
    <row r="19" spans="1:5" x14ac:dyDescent="0.35">
      <c r="A19" s="24"/>
      <c r="B19" s="14"/>
      <c r="C19" s="14"/>
      <c r="D19" s="39"/>
      <c r="E19" s="41"/>
    </row>
    <row r="20" spans="1:5" x14ac:dyDescent="0.35">
      <c r="A20" s="24"/>
      <c r="B20" s="39"/>
      <c r="C20" s="39"/>
      <c r="D20" s="39"/>
      <c r="E20" s="40"/>
    </row>
    <row r="21" spans="1:5" x14ac:dyDescent="0.35">
      <c r="A21" s="24"/>
      <c r="B21" s="39"/>
      <c r="C21" s="39"/>
      <c r="D21" s="39"/>
      <c r="E21" s="40"/>
    </row>
    <row r="22" spans="1:5" x14ac:dyDescent="0.35">
      <c r="A22" s="24"/>
      <c r="B22" s="39"/>
      <c r="C22" s="39"/>
      <c r="D22" s="39"/>
      <c r="E22" s="40"/>
    </row>
    <row r="23" spans="1:5" x14ac:dyDescent="0.35">
      <c r="A23" s="24"/>
      <c r="B23" s="39"/>
      <c r="C23" s="39"/>
      <c r="D23" s="39"/>
      <c r="E23" s="40"/>
    </row>
    <row r="24" spans="1:5" x14ac:dyDescent="0.35">
      <c r="A24" s="24"/>
      <c r="B24" s="39"/>
      <c r="C24" s="39"/>
      <c r="D24" s="39"/>
      <c r="E24" s="40"/>
    </row>
    <row r="25" spans="1:5" x14ac:dyDescent="0.35">
      <c r="A25" s="24"/>
      <c r="B25" s="39"/>
      <c r="C25" s="39"/>
      <c r="D25" s="39"/>
      <c r="E25" s="40"/>
    </row>
    <row r="26" spans="1:5" x14ac:dyDescent="0.35">
      <c r="A26" s="24"/>
      <c r="B26" s="39"/>
      <c r="C26" s="39"/>
      <c r="D26" s="39"/>
      <c r="E26" s="40"/>
    </row>
    <row r="27" spans="1:5" x14ac:dyDescent="0.35">
      <c r="A27" s="24"/>
      <c r="B27" s="39"/>
      <c r="C27" s="39"/>
      <c r="D27" s="39"/>
      <c r="E27" s="40"/>
    </row>
    <row r="28" spans="1:5" x14ac:dyDescent="0.35">
      <c r="A28" s="24"/>
      <c r="B28" s="14"/>
      <c r="C28" s="14"/>
      <c r="D28" s="39"/>
      <c r="E28" s="41"/>
    </row>
    <row r="29" spans="1:5" x14ac:dyDescent="0.35">
      <c r="A29" s="24"/>
      <c r="B29" s="39"/>
      <c r="C29" s="39"/>
      <c r="D29" s="39"/>
      <c r="E29" s="40"/>
    </row>
    <row r="30" spans="1:5" x14ac:dyDescent="0.35">
      <c r="A30" s="24"/>
      <c r="B30" s="39"/>
      <c r="C30" s="39"/>
      <c r="D30" s="39"/>
      <c r="E30" s="40"/>
    </row>
    <row r="31" spans="1:5" x14ac:dyDescent="0.35">
      <c r="A31" s="24"/>
      <c r="B31" s="39"/>
      <c r="C31" s="39"/>
      <c r="D31" s="39"/>
      <c r="E31" s="40"/>
    </row>
    <row r="32" spans="1:5" x14ac:dyDescent="0.35">
      <c r="A32" s="24"/>
      <c r="B32" s="39"/>
      <c r="C32" s="39"/>
      <c r="D32" s="39"/>
      <c r="E32" s="40"/>
    </row>
    <row r="33" spans="1:5" x14ac:dyDescent="0.35">
      <c r="A33" s="24"/>
      <c r="B33" s="39"/>
      <c r="C33" s="39"/>
      <c r="D33" s="39"/>
      <c r="E33" s="40"/>
    </row>
    <row r="34" spans="1:5" x14ac:dyDescent="0.35">
      <c r="A34" s="24"/>
      <c r="B34" s="39"/>
      <c r="C34" s="39"/>
      <c r="D34" s="39"/>
      <c r="E34" s="40"/>
    </row>
    <row r="35" spans="1:5" x14ac:dyDescent="0.35">
      <c r="A35" s="24"/>
      <c r="B35" s="39"/>
      <c r="C35" s="39"/>
      <c r="D35" s="39"/>
      <c r="E35" s="40"/>
    </row>
    <row r="36" spans="1:5" x14ac:dyDescent="0.35">
      <c r="A36" s="24"/>
      <c r="B36" s="39"/>
      <c r="C36" s="39"/>
      <c r="D36" s="39"/>
      <c r="E36" s="40"/>
    </row>
    <row r="37" spans="1:5" x14ac:dyDescent="0.35">
      <c r="A37" s="24"/>
      <c r="B37" s="14"/>
      <c r="C37" s="14"/>
      <c r="D37" s="39"/>
      <c r="E37" s="41"/>
    </row>
    <row r="38" spans="1:5" x14ac:dyDescent="0.35">
      <c r="A38" s="24"/>
      <c r="B38" s="39"/>
      <c r="C38" s="39"/>
      <c r="D38" s="39"/>
      <c r="E38" s="40"/>
    </row>
    <row r="39" spans="1:5" x14ac:dyDescent="0.35">
      <c r="A39" s="24"/>
      <c r="B39" s="39"/>
      <c r="C39" s="39"/>
      <c r="D39" s="39"/>
      <c r="E39" s="40"/>
    </row>
    <row r="40" spans="1:5" x14ac:dyDescent="0.35">
      <c r="A40" s="24"/>
      <c r="B40" s="39"/>
      <c r="C40" s="39"/>
      <c r="D40" s="39"/>
      <c r="E40" s="40"/>
    </row>
    <row r="41" spans="1:5" x14ac:dyDescent="0.35">
      <c r="A41" s="24"/>
      <c r="B41" s="39"/>
      <c r="C41" s="39"/>
      <c r="D41" s="39"/>
      <c r="E41" s="40"/>
    </row>
    <row r="42" spans="1:5" x14ac:dyDescent="0.35">
      <c r="A42" s="24"/>
      <c r="B42" s="39"/>
      <c r="C42" s="39"/>
      <c r="D42" s="39"/>
      <c r="E42" s="40"/>
    </row>
    <row r="43" spans="1:5" x14ac:dyDescent="0.35">
      <c r="A43" s="24"/>
      <c r="B43" s="39"/>
      <c r="C43" s="39"/>
      <c r="D43" s="39"/>
      <c r="E43" s="40"/>
    </row>
    <row r="44" spans="1:5" x14ac:dyDescent="0.35">
      <c r="A44" s="24"/>
      <c r="B44" s="39"/>
      <c r="C44" s="39"/>
      <c r="D44" s="39"/>
      <c r="E44" s="40"/>
    </row>
    <row r="45" spans="1:5" x14ac:dyDescent="0.35">
      <c r="A45" s="24"/>
      <c r="B45" s="39"/>
      <c r="C45" s="39"/>
      <c r="D45" s="39"/>
      <c r="E45" s="40"/>
    </row>
    <row r="46" spans="1:5" x14ac:dyDescent="0.35">
      <c r="A46" s="24"/>
      <c r="B46" s="14"/>
      <c r="C46" s="14"/>
      <c r="D46" s="39"/>
      <c r="E46" s="41"/>
    </row>
    <row r="47" spans="1:5" x14ac:dyDescent="0.35">
      <c r="A47" s="24"/>
      <c r="B47" s="39"/>
      <c r="C47" s="39"/>
      <c r="D47" s="39"/>
      <c r="E47" s="40"/>
    </row>
    <row r="48" spans="1:5" x14ac:dyDescent="0.35">
      <c r="A48" s="24"/>
      <c r="B48" s="39"/>
      <c r="C48" s="39"/>
      <c r="D48" s="39"/>
      <c r="E48" s="40"/>
    </row>
    <row r="49" spans="1:5" x14ac:dyDescent="0.35">
      <c r="A49" s="24"/>
      <c r="B49" s="39"/>
      <c r="C49" s="39"/>
      <c r="D49" s="39"/>
      <c r="E49" s="40"/>
    </row>
    <row r="50" spans="1:5" x14ac:dyDescent="0.35">
      <c r="A50" s="24"/>
      <c r="B50" s="39"/>
      <c r="C50" s="39"/>
      <c r="D50" s="39"/>
      <c r="E50" s="40"/>
    </row>
    <row r="51" spans="1:5" x14ac:dyDescent="0.35">
      <c r="A51" s="24"/>
      <c r="B51" s="39"/>
      <c r="C51" s="39"/>
      <c r="D51" s="39"/>
      <c r="E51" s="40"/>
    </row>
    <row r="52" spans="1:5" x14ac:dyDescent="0.35">
      <c r="A52" s="24"/>
      <c r="B52" s="39"/>
      <c r="C52" s="39"/>
      <c r="D52" s="39"/>
      <c r="E52" s="40"/>
    </row>
    <row r="53" spans="1:5" x14ac:dyDescent="0.35">
      <c r="A53" s="24"/>
      <c r="B53" s="39"/>
      <c r="C53" s="39"/>
      <c r="D53" s="39"/>
      <c r="E53" s="40"/>
    </row>
    <row r="54" spans="1:5" x14ac:dyDescent="0.35">
      <c r="A54" s="24"/>
      <c r="B54" s="39"/>
      <c r="C54" s="39"/>
      <c r="D54" s="39"/>
      <c r="E54" s="40"/>
    </row>
    <row r="55" spans="1:5" x14ac:dyDescent="0.35">
      <c r="A55" s="24"/>
      <c r="B55" s="14"/>
      <c r="C55" s="14"/>
      <c r="D55" s="39"/>
      <c r="E55" s="41"/>
    </row>
    <row r="56" spans="1:5" x14ac:dyDescent="0.35">
      <c r="A56" s="24"/>
      <c r="B56" s="39"/>
      <c r="C56" s="39"/>
      <c r="D56" s="39"/>
      <c r="E56" s="40"/>
    </row>
    <row r="57" spans="1:5" x14ac:dyDescent="0.35">
      <c r="A57" s="24"/>
      <c r="B57" s="39"/>
      <c r="C57" s="39"/>
      <c r="D57" s="39"/>
      <c r="E57" s="40"/>
    </row>
    <row r="58" spans="1:5" x14ac:dyDescent="0.35">
      <c r="A58" s="24"/>
      <c r="B58" s="39"/>
      <c r="C58" s="39"/>
      <c r="D58" s="39"/>
      <c r="E58" s="40"/>
    </row>
    <row r="59" spans="1:5" x14ac:dyDescent="0.35">
      <c r="A59" s="24"/>
      <c r="B59" s="39"/>
      <c r="C59" s="39"/>
      <c r="D59" s="39"/>
      <c r="E59" s="40"/>
    </row>
    <row r="60" spans="1:5" x14ac:dyDescent="0.35">
      <c r="A60" s="24"/>
      <c r="B60" s="39"/>
      <c r="C60" s="39"/>
      <c r="D60" s="39"/>
      <c r="E60" s="40"/>
    </row>
    <row r="61" spans="1:5" x14ac:dyDescent="0.35">
      <c r="A61" s="24"/>
      <c r="B61" s="39"/>
      <c r="C61" s="39"/>
      <c r="D61" s="39"/>
      <c r="E61" s="40"/>
    </row>
    <row r="62" spans="1:5" x14ac:dyDescent="0.35">
      <c r="A62" s="24"/>
      <c r="B62" s="39"/>
      <c r="C62" s="39"/>
      <c r="D62" s="39"/>
      <c r="E62" s="40"/>
    </row>
    <row r="63" spans="1:5" x14ac:dyDescent="0.35">
      <c r="A63" s="24"/>
      <c r="B63" s="39"/>
      <c r="C63" s="39"/>
      <c r="D63" s="39"/>
      <c r="E63" s="40"/>
    </row>
    <row r="64" spans="1:5" x14ac:dyDescent="0.35">
      <c r="A64" s="24"/>
      <c r="B64" s="14"/>
      <c r="C64" s="14"/>
      <c r="D64" s="39"/>
      <c r="E64" s="41"/>
    </row>
    <row r="65" spans="1:5" x14ac:dyDescent="0.35">
      <c r="A65" s="24"/>
      <c r="B65" s="39"/>
      <c r="C65" s="39"/>
      <c r="D65" s="39"/>
      <c r="E65" s="40"/>
    </row>
    <row r="66" spans="1:5" x14ac:dyDescent="0.35">
      <c r="A66" s="24"/>
      <c r="B66" s="39"/>
      <c r="C66" s="39"/>
      <c r="D66" s="39"/>
      <c r="E66" s="40"/>
    </row>
    <row r="67" spans="1:5" x14ac:dyDescent="0.35">
      <c r="A67" s="24"/>
      <c r="B67" s="39"/>
      <c r="C67" s="39"/>
      <c r="D67" s="39"/>
      <c r="E67" s="40"/>
    </row>
    <row r="68" spans="1:5" x14ac:dyDescent="0.35">
      <c r="A68" s="24"/>
      <c r="B68" s="39"/>
      <c r="C68" s="39"/>
      <c r="D68" s="39"/>
      <c r="E68" s="40"/>
    </row>
    <row r="69" spans="1:5" x14ac:dyDescent="0.35">
      <c r="A69" s="24"/>
      <c r="B69" s="39"/>
      <c r="C69" s="39"/>
      <c r="D69" s="39"/>
      <c r="E69" s="40"/>
    </row>
    <row r="70" spans="1:5" x14ac:dyDescent="0.35">
      <c r="A70" s="24"/>
      <c r="B70" s="39"/>
      <c r="C70" s="39"/>
      <c r="D70" s="39"/>
      <c r="E70" s="40"/>
    </row>
    <row r="71" spans="1:5" x14ac:dyDescent="0.35">
      <c r="A71" s="24"/>
      <c r="B71" s="39"/>
      <c r="C71" s="39"/>
      <c r="D71" s="39"/>
      <c r="E71" s="40"/>
    </row>
    <row r="72" spans="1:5" x14ac:dyDescent="0.35">
      <c r="A72" s="24"/>
      <c r="B72" s="39"/>
      <c r="C72" s="39"/>
      <c r="D72" s="39"/>
      <c r="E72" s="40"/>
    </row>
    <row r="73" spans="1:5" x14ac:dyDescent="0.35">
      <c r="A73" s="24"/>
      <c r="B73" s="14"/>
      <c r="C73" s="14"/>
      <c r="D73" s="39"/>
      <c r="E73" s="41"/>
    </row>
    <row r="74" spans="1:5" x14ac:dyDescent="0.35">
      <c r="A74" s="24"/>
      <c r="B74" s="39"/>
      <c r="C74" s="39"/>
      <c r="D74" s="39"/>
      <c r="E74" s="40"/>
    </row>
    <row r="75" spans="1:5" x14ac:dyDescent="0.35">
      <c r="A75" s="24"/>
      <c r="B75" s="39"/>
      <c r="C75" s="39"/>
      <c r="D75" s="39"/>
      <c r="E75" s="40"/>
    </row>
    <row r="76" spans="1:5" x14ac:dyDescent="0.35">
      <c r="A76" s="24"/>
      <c r="B76" s="39"/>
      <c r="C76" s="39"/>
      <c r="D76" s="39"/>
      <c r="E76" s="40"/>
    </row>
    <row r="77" spans="1:5" x14ac:dyDescent="0.35">
      <c r="A77" s="24"/>
      <c r="B77" s="39"/>
      <c r="C77" s="39"/>
      <c r="D77" s="39"/>
      <c r="E77" s="40"/>
    </row>
    <row r="78" spans="1:5" x14ac:dyDescent="0.35">
      <c r="A78" s="24"/>
      <c r="B78" s="39"/>
      <c r="C78" s="39"/>
      <c r="D78" s="39"/>
      <c r="E78" s="40"/>
    </row>
    <row r="79" spans="1:5" x14ac:dyDescent="0.35">
      <c r="A79" s="24"/>
      <c r="B79" s="39"/>
      <c r="C79" s="39"/>
      <c r="D79" s="39"/>
      <c r="E79" s="40"/>
    </row>
    <row r="80" spans="1:5" x14ac:dyDescent="0.35">
      <c r="A80" s="24"/>
      <c r="B80" s="39"/>
      <c r="C80" s="39"/>
      <c r="D80" s="39"/>
      <c r="E80" s="40"/>
    </row>
    <row r="81" spans="1:5" x14ac:dyDescent="0.35">
      <c r="A81" s="24"/>
      <c r="B81" s="39"/>
      <c r="C81" s="39"/>
      <c r="D81" s="39"/>
      <c r="E81" s="40"/>
    </row>
    <row r="82" spans="1:5" x14ac:dyDescent="0.35">
      <c r="A82" s="24"/>
      <c r="B82" s="14"/>
      <c r="C82" s="14"/>
      <c r="D82" s="39"/>
      <c r="E82" s="41"/>
    </row>
    <row r="83" spans="1:5" x14ac:dyDescent="0.35">
      <c r="A83" s="24"/>
      <c r="B83" s="39"/>
      <c r="C83" s="39"/>
      <c r="D83" s="39"/>
      <c r="E83" s="40"/>
    </row>
    <row r="84" spans="1:5" x14ac:dyDescent="0.35">
      <c r="A84" s="24"/>
      <c r="B84" s="39"/>
      <c r="C84" s="39"/>
      <c r="D84" s="39"/>
      <c r="E84" s="40"/>
    </row>
    <row r="85" spans="1:5" x14ac:dyDescent="0.35">
      <c r="A85" s="24"/>
      <c r="B85" s="39"/>
      <c r="C85" s="39"/>
      <c r="D85" s="39"/>
      <c r="E85" s="40"/>
    </row>
    <row r="86" spans="1:5" x14ac:dyDescent="0.35">
      <c r="A86" s="24"/>
      <c r="B86" s="39"/>
      <c r="C86" s="39"/>
      <c r="D86" s="39"/>
      <c r="E86" s="40"/>
    </row>
    <row r="87" spans="1:5" x14ac:dyDescent="0.35">
      <c r="A87" s="24"/>
      <c r="B87" s="39"/>
      <c r="C87" s="39"/>
      <c r="D87" s="39"/>
      <c r="E87" s="40"/>
    </row>
    <row r="88" spans="1:5" x14ac:dyDescent="0.35">
      <c r="A88" s="24"/>
      <c r="B88" s="39"/>
      <c r="C88" s="39"/>
      <c r="D88" s="39"/>
      <c r="E88" s="40"/>
    </row>
    <row r="89" spans="1:5" x14ac:dyDescent="0.35">
      <c r="A89" s="24"/>
      <c r="B89" s="39"/>
      <c r="C89" s="39"/>
      <c r="D89" s="39"/>
      <c r="E89" s="40"/>
    </row>
    <row r="90" spans="1:5" x14ac:dyDescent="0.35">
      <c r="A90" s="24"/>
      <c r="B90" s="39"/>
      <c r="C90" s="39"/>
      <c r="D90" s="39"/>
      <c r="E90" s="40"/>
    </row>
    <row r="91" spans="1:5" x14ac:dyDescent="0.35">
      <c r="A91" s="24"/>
      <c r="B91" s="14"/>
      <c r="C91" s="14"/>
      <c r="D91" s="39"/>
      <c r="E91" s="41"/>
    </row>
    <row r="92" spans="1:5" x14ac:dyDescent="0.35">
      <c r="A92" s="24"/>
      <c r="B92" s="39"/>
      <c r="C92" s="39"/>
      <c r="D92" s="39"/>
      <c r="E92" s="40"/>
    </row>
    <row r="93" spans="1:5" x14ac:dyDescent="0.35">
      <c r="A93" s="24"/>
      <c r="B93" s="39"/>
      <c r="C93" s="39"/>
      <c r="D93" s="39"/>
      <c r="E93" s="40"/>
    </row>
    <row r="94" spans="1:5" x14ac:dyDescent="0.35">
      <c r="A94" s="24"/>
      <c r="B94" s="39"/>
      <c r="C94" s="39"/>
      <c r="D94" s="39"/>
      <c r="E94" s="40"/>
    </row>
    <row r="95" spans="1:5" x14ac:dyDescent="0.35">
      <c r="A95" s="24"/>
      <c r="B95" s="39"/>
      <c r="C95" s="39"/>
      <c r="D95" s="39"/>
      <c r="E95" s="40"/>
    </row>
    <row r="96" spans="1:5" x14ac:dyDescent="0.35">
      <c r="A96" s="24"/>
      <c r="B96" s="39"/>
      <c r="C96" s="39"/>
      <c r="D96" s="39"/>
      <c r="E96" s="40"/>
    </row>
    <row r="97" spans="1:5" x14ac:dyDescent="0.35">
      <c r="A97" s="24"/>
      <c r="B97" s="39"/>
      <c r="C97" s="39"/>
      <c r="D97" s="39"/>
      <c r="E97" s="40"/>
    </row>
    <row r="98" spans="1:5" x14ac:dyDescent="0.35">
      <c r="A98" s="24"/>
      <c r="B98" s="39"/>
      <c r="C98" s="39"/>
      <c r="D98" s="39"/>
      <c r="E98" s="40"/>
    </row>
    <row r="99" spans="1:5" x14ac:dyDescent="0.35">
      <c r="A99" s="24"/>
      <c r="B99" s="39"/>
      <c r="C99" s="39"/>
      <c r="D99" s="39"/>
      <c r="E99" s="40"/>
    </row>
    <row r="100" spans="1:5" x14ac:dyDescent="0.35">
      <c r="A100" s="24"/>
      <c r="B100" s="14"/>
      <c r="C100" s="14"/>
      <c r="D100" s="39"/>
      <c r="E100" s="41"/>
    </row>
    <row r="101" spans="1:5" x14ac:dyDescent="0.35">
      <c r="A101" s="24"/>
      <c r="B101" s="39"/>
      <c r="C101" s="39"/>
      <c r="D101" s="39"/>
      <c r="E101" s="40"/>
    </row>
    <row r="102" spans="1:5" x14ac:dyDescent="0.35">
      <c r="A102" s="24"/>
      <c r="B102" s="39"/>
      <c r="C102" s="39"/>
      <c r="D102" s="39"/>
      <c r="E102" s="40"/>
    </row>
    <row r="103" spans="1:5" x14ac:dyDescent="0.35">
      <c r="A103" s="24"/>
      <c r="B103" s="39"/>
      <c r="C103" s="39"/>
      <c r="D103" s="39"/>
      <c r="E103" s="40"/>
    </row>
    <row r="104" spans="1:5" x14ac:dyDescent="0.35">
      <c r="A104" s="24"/>
      <c r="B104" s="39"/>
      <c r="C104" s="39"/>
      <c r="D104" s="39"/>
      <c r="E104" s="40"/>
    </row>
    <row r="105" spans="1:5" x14ac:dyDescent="0.35">
      <c r="A105" s="24"/>
      <c r="B105" s="39"/>
      <c r="C105" s="39"/>
      <c r="D105" s="39"/>
      <c r="E105" s="40"/>
    </row>
    <row r="106" spans="1:5" x14ac:dyDescent="0.35">
      <c r="A106" s="24"/>
      <c r="B106" s="39"/>
      <c r="C106" s="39"/>
      <c r="D106" s="39"/>
      <c r="E106" s="40"/>
    </row>
    <row r="107" spans="1:5" x14ac:dyDescent="0.35">
      <c r="A107" s="24"/>
      <c r="B107" s="39"/>
      <c r="C107" s="39"/>
      <c r="D107" s="39"/>
      <c r="E107" s="40"/>
    </row>
    <row r="108" spans="1:5" x14ac:dyDescent="0.35">
      <c r="A108" s="24"/>
      <c r="B108" s="39"/>
      <c r="C108" s="39"/>
      <c r="D108" s="39"/>
      <c r="E108" s="40"/>
    </row>
    <row r="109" spans="1:5" x14ac:dyDescent="0.35">
      <c r="A109" s="24"/>
      <c r="B109" s="14"/>
      <c r="C109" s="14"/>
      <c r="D109" s="39"/>
      <c r="E109" s="41"/>
    </row>
    <row r="110" spans="1:5" x14ac:dyDescent="0.35">
      <c r="A110" s="24"/>
      <c r="B110" s="39"/>
      <c r="C110" s="39"/>
      <c r="D110" s="39"/>
      <c r="E110" s="40"/>
    </row>
    <row r="111" spans="1:5" x14ac:dyDescent="0.35">
      <c r="A111" s="24"/>
      <c r="B111" s="39"/>
      <c r="C111" s="39"/>
      <c r="D111" s="39"/>
      <c r="E111" s="40"/>
    </row>
    <row r="112" spans="1:5" x14ac:dyDescent="0.35">
      <c r="A112" s="24"/>
      <c r="B112" s="39"/>
      <c r="C112" s="39"/>
      <c r="D112" s="39"/>
      <c r="E112" s="40"/>
    </row>
    <row r="113" spans="1:5" x14ac:dyDescent="0.35">
      <c r="A113" s="24"/>
      <c r="B113" s="39"/>
      <c r="C113" s="39"/>
      <c r="D113" s="39"/>
      <c r="E113" s="40"/>
    </row>
    <row r="114" spans="1:5" x14ac:dyDescent="0.35">
      <c r="A114" s="24"/>
      <c r="B114" s="39"/>
      <c r="C114" s="39"/>
      <c r="D114" s="39"/>
      <c r="E114" s="40"/>
    </row>
    <row r="115" spans="1:5" x14ac:dyDescent="0.35">
      <c r="A115" s="24"/>
      <c r="B115" s="39"/>
      <c r="C115" s="39"/>
      <c r="D115" s="39"/>
      <c r="E115" s="40"/>
    </row>
    <row r="116" spans="1:5" x14ac:dyDescent="0.35">
      <c r="A116" s="24"/>
      <c r="B116" s="39"/>
      <c r="C116" s="39"/>
      <c r="D116" s="39"/>
      <c r="E116" s="40"/>
    </row>
    <row r="117" spans="1:5" x14ac:dyDescent="0.35">
      <c r="A117" s="24"/>
      <c r="B117" s="39"/>
      <c r="C117" s="39"/>
      <c r="D117" s="39"/>
      <c r="E117" s="40"/>
    </row>
    <row r="118" spans="1:5" x14ac:dyDescent="0.35">
      <c r="A118" s="24"/>
      <c r="B118" s="14"/>
      <c r="C118" s="14"/>
      <c r="D118" s="39"/>
      <c r="E118" s="41"/>
    </row>
    <row r="119" spans="1:5" x14ac:dyDescent="0.35">
      <c r="A119" s="24"/>
      <c r="B119" s="39"/>
      <c r="C119" s="39"/>
      <c r="D119" s="39"/>
      <c r="E119" s="40"/>
    </row>
    <row r="120" spans="1:5" x14ac:dyDescent="0.35">
      <c r="A120" s="24"/>
      <c r="B120" s="39"/>
      <c r="C120" s="39"/>
      <c r="D120" s="39"/>
      <c r="E120" s="40"/>
    </row>
    <row r="121" spans="1:5" x14ac:dyDescent="0.35">
      <c r="A121" s="24"/>
      <c r="B121" s="39"/>
      <c r="C121" s="39"/>
      <c r="D121" s="39"/>
      <c r="E121" s="40"/>
    </row>
    <row r="122" spans="1:5" x14ac:dyDescent="0.35">
      <c r="A122" s="24"/>
      <c r="B122" s="39"/>
      <c r="C122" s="39"/>
      <c r="D122" s="39"/>
      <c r="E122" s="40"/>
    </row>
    <row r="123" spans="1:5" x14ac:dyDescent="0.35">
      <c r="A123" s="24"/>
      <c r="B123" s="39"/>
      <c r="C123" s="39"/>
      <c r="D123" s="39"/>
      <c r="E123" s="40"/>
    </row>
    <row r="124" spans="1:5" x14ac:dyDescent="0.35">
      <c r="A124" s="24"/>
      <c r="B124" s="39"/>
      <c r="C124" s="39"/>
      <c r="D124" s="39"/>
      <c r="E124" s="40"/>
    </row>
    <row r="125" spans="1:5" x14ac:dyDescent="0.35">
      <c r="A125" s="24"/>
      <c r="B125" s="39"/>
      <c r="C125" s="39"/>
      <c r="D125" s="39"/>
      <c r="E125" s="40"/>
    </row>
    <row r="126" spans="1:5" x14ac:dyDescent="0.35">
      <c r="A126" s="24"/>
      <c r="B126" s="39"/>
      <c r="C126" s="39"/>
      <c r="D126" s="39"/>
      <c r="E126" s="40"/>
    </row>
    <row r="127" spans="1:5" x14ac:dyDescent="0.35">
      <c r="A127" s="24"/>
      <c r="B127" s="14"/>
      <c r="C127" s="14"/>
      <c r="D127" s="39"/>
      <c r="E127" s="41"/>
    </row>
    <row r="128" spans="1:5" x14ac:dyDescent="0.35">
      <c r="A128" s="24"/>
      <c r="B128" s="39"/>
      <c r="C128" s="39"/>
      <c r="D128" s="39"/>
      <c r="E128" s="40"/>
    </row>
    <row r="129" spans="1:5" x14ac:dyDescent="0.35">
      <c r="A129" s="24"/>
      <c r="B129" s="39"/>
      <c r="C129" s="39"/>
      <c r="D129" s="39"/>
      <c r="E129" s="40"/>
    </row>
    <row r="130" spans="1:5" x14ac:dyDescent="0.35">
      <c r="A130" s="24"/>
      <c r="B130" s="39"/>
      <c r="C130" s="39"/>
      <c r="D130" s="39"/>
      <c r="E130" s="40"/>
    </row>
    <row r="131" spans="1:5" x14ac:dyDescent="0.35">
      <c r="A131" s="24"/>
      <c r="B131" s="39"/>
      <c r="C131" s="39"/>
      <c r="D131" s="39"/>
      <c r="E131" s="40"/>
    </row>
    <row r="132" spans="1:5" x14ac:dyDescent="0.35">
      <c r="A132" s="24"/>
      <c r="B132" s="39"/>
      <c r="C132" s="39"/>
      <c r="D132" s="39"/>
      <c r="E132" s="40"/>
    </row>
    <row r="133" spans="1:5" x14ac:dyDescent="0.35">
      <c r="A133" s="24"/>
      <c r="B133" s="39"/>
      <c r="C133" s="39"/>
      <c r="D133" s="39"/>
      <c r="E133" s="40"/>
    </row>
    <row r="134" spans="1:5" x14ac:dyDescent="0.35">
      <c r="A134" s="24"/>
      <c r="B134" s="39"/>
      <c r="C134" s="39"/>
      <c r="D134" s="39"/>
      <c r="E134" s="40"/>
    </row>
    <row r="135" spans="1:5" x14ac:dyDescent="0.35">
      <c r="A135" s="24"/>
      <c r="B135" s="39"/>
      <c r="C135" s="39"/>
      <c r="D135" s="39"/>
      <c r="E135" s="40"/>
    </row>
    <row r="136" spans="1:5" x14ac:dyDescent="0.35">
      <c r="A136" s="24"/>
      <c r="B136" s="14"/>
      <c r="C136" s="14"/>
      <c r="D136" s="39"/>
      <c r="E136" s="41"/>
    </row>
    <row r="137" spans="1:5" x14ac:dyDescent="0.35">
      <c r="A137" s="24"/>
      <c r="B137" s="39"/>
      <c r="C137" s="39"/>
      <c r="D137" s="39"/>
      <c r="E137" s="40"/>
    </row>
    <row r="138" spans="1:5" x14ac:dyDescent="0.35">
      <c r="A138" s="24"/>
      <c r="B138" s="39"/>
      <c r="C138" s="39"/>
      <c r="D138" s="39"/>
      <c r="E138" s="40"/>
    </row>
    <row r="139" spans="1:5" x14ac:dyDescent="0.35">
      <c r="A139" s="24"/>
      <c r="B139" s="39"/>
      <c r="C139" s="39"/>
      <c r="D139" s="39"/>
      <c r="E139" s="40"/>
    </row>
    <row r="140" spans="1:5" x14ac:dyDescent="0.35">
      <c r="A140" s="24"/>
      <c r="B140" s="39"/>
      <c r="C140" s="39"/>
      <c r="D140" s="39"/>
      <c r="E140" s="40"/>
    </row>
    <row r="141" spans="1:5" x14ac:dyDescent="0.35">
      <c r="A141" s="24"/>
      <c r="B141" s="39"/>
      <c r="C141" s="39"/>
      <c r="D141" s="39"/>
      <c r="E141" s="40"/>
    </row>
    <row r="142" spans="1:5" x14ac:dyDescent="0.35">
      <c r="A142" s="24"/>
      <c r="B142" s="39"/>
      <c r="C142" s="39"/>
      <c r="D142" s="39"/>
      <c r="E142" s="40"/>
    </row>
    <row r="143" spans="1:5" x14ac:dyDescent="0.35">
      <c r="A143" s="24"/>
      <c r="B143" s="39"/>
      <c r="C143" s="39"/>
      <c r="D143" s="39"/>
      <c r="E143" s="40"/>
    </row>
    <row r="144" spans="1:5" x14ac:dyDescent="0.35">
      <c r="A144" s="24"/>
      <c r="B144" s="39"/>
      <c r="C144" s="39"/>
      <c r="D144" s="39"/>
      <c r="E144" s="40"/>
    </row>
    <row r="145" spans="1:5" x14ac:dyDescent="0.35">
      <c r="A145" s="24"/>
      <c r="B145" s="14"/>
      <c r="C145" s="14"/>
      <c r="D145" s="39"/>
      <c r="E145" s="41"/>
    </row>
    <row r="146" spans="1:5" x14ac:dyDescent="0.35">
      <c r="A146" s="24"/>
      <c r="B146" s="39"/>
      <c r="C146" s="39"/>
      <c r="D146" s="39"/>
      <c r="E146" s="40"/>
    </row>
    <row r="147" spans="1:5" x14ac:dyDescent="0.35">
      <c r="A147" s="24"/>
      <c r="B147" s="39"/>
      <c r="C147" s="39"/>
      <c r="D147" s="39"/>
      <c r="E147" s="40"/>
    </row>
    <row r="148" spans="1:5" x14ac:dyDescent="0.35">
      <c r="A148" s="24"/>
      <c r="B148" s="39"/>
      <c r="C148" s="39"/>
      <c r="D148" s="39"/>
      <c r="E148" s="40"/>
    </row>
    <row r="149" spans="1:5" x14ac:dyDescent="0.35">
      <c r="A149" s="24"/>
      <c r="B149" s="39"/>
      <c r="C149" s="39"/>
      <c r="D149" s="39"/>
      <c r="E149" s="40"/>
    </row>
    <row r="150" spans="1:5" x14ac:dyDescent="0.35">
      <c r="A150" s="24"/>
      <c r="B150" s="39"/>
      <c r="C150" s="39"/>
      <c r="D150" s="39"/>
      <c r="E150" s="40"/>
    </row>
    <row r="151" spans="1:5" x14ac:dyDescent="0.35">
      <c r="A151" s="24"/>
      <c r="B151" s="39"/>
      <c r="C151" s="39"/>
      <c r="D151" s="39"/>
      <c r="E151" s="40"/>
    </row>
    <row r="152" spans="1:5" x14ac:dyDescent="0.35">
      <c r="A152" s="24"/>
      <c r="B152" s="39"/>
      <c r="C152" s="39"/>
      <c r="D152" s="39"/>
      <c r="E152" s="40"/>
    </row>
    <row r="153" spans="1:5" x14ac:dyDescent="0.35">
      <c r="A153" s="24"/>
      <c r="B153" s="39"/>
      <c r="C153" s="39"/>
      <c r="D153" s="39"/>
      <c r="E153" s="40"/>
    </row>
    <row r="154" spans="1:5" x14ac:dyDescent="0.35">
      <c r="A154" s="24"/>
      <c r="B154" s="14"/>
      <c r="C154" s="14"/>
      <c r="D154" s="39"/>
      <c r="E154" s="41"/>
    </row>
    <row r="155" spans="1:5" x14ac:dyDescent="0.35">
      <c r="A155" s="24"/>
      <c r="B155" s="39"/>
      <c r="C155" s="39"/>
      <c r="D155" s="39"/>
      <c r="E155" s="40"/>
    </row>
    <row r="156" spans="1:5" x14ac:dyDescent="0.35">
      <c r="A156" s="24"/>
      <c r="B156" s="39"/>
      <c r="C156" s="39"/>
      <c r="D156" s="39"/>
      <c r="E156" s="40"/>
    </row>
    <row r="157" spans="1:5" x14ac:dyDescent="0.35">
      <c r="A157" s="24"/>
      <c r="B157" s="39"/>
      <c r="C157" s="39"/>
      <c r="D157" s="39"/>
      <c r="E157" s="40"/>
    </row>
    <row r="158" spans="1:5" x14ac:dyDescent="0.35">
      <c r="A158" s="24"/>
      <c r="B158" s="39"/>
      <c r="C158" s="39"/>
      <c r="D158" s="39"/>
      <c r="E158" s="40"/>
    </row>
    <row r="159" spans="1:5" x14ac:dyDescent="0.35">
      <c r="A159" s="24"/>
      <c r="B159" s="39"/>
      <c r="C159" s="39"/>
      <c r="D159" s="39"/>
      <c r="E159" s="40"/>
    </row>
    <row r="160" spans="1:5" x14ac:dyDescent="0.35">
      <c r="A160" s="24"/>
      <c r="B160" s="39"/>
      <c r="C160" s="39"/>
      <c r="D160" s="39"/>
      <c r="E160" s="40"/>
    </row>
    <row r="161" spans="1:5" x14ac:dyDescent="0.35">
      <c r="A161" s="24"/>
      <c r="B161" s="39"/>
      <c r="C161" s="39"/>
      <c r="D161" s="39"/>
      <c r="E161" s="40"/>
    </row>
    <row r="162" spans="1:5" x14ac:dyDescent="0.35">
      <c r="A162" s="24"/>
      <c r="B162" s="39"/>
      <c r="C162" s="39"/>
      <c r="D162" s="39"/>
      <c r="E162" s="40"/>
    </row>
    <row r="163" spans="1:5" x14ac:dyDescent="0.35">
      <c r="A163" s="24"/>
      <c r="B163" s="14"/>
      <c r="C163" s="14"/>
      <c r="D163" s="39"/>
      <c r="E163" s="41"/>
    </row>
    <row r="164" spans="1:5" x14ac:dyDescent="0.35">
      <c r="A164" s="24"/>
      <c r="B164" s="39"/>
      <c r="C164" s="39"/>
      <c r="D164" s="39"/>
      <c r="E164" s="40"/>
    </row>
    <row r="165" spans="1:5" x14ac:dyDescent="0.35">
      <c r="A165" s="24"/>
      <c r="B165" s="39"/>
      <c r="C165" s="39"/>
      <c r="D165" s="39"/>
      <c r="E165" s="40"/>
    </row>
    <row r="166" spans="1:5" x14ac:dyDescent="0.35">
      <c r="A166" s="24"/>
      <c r="B166" s="39"/>
      <c r="C166" s="39"/>
      <c r="D166" s="39"/>
      <c r="E166" s="40"/>
    </row>
    <row r="167" spans="1:5" x14ac:dyDescent="0.35">
      <c r="A167" s="24"/>
      <c r="B167" s="39"/>
      <c r="C167" s="39"/>
      <c r="D167" s="39"/>
      <c r="E167" s="40"/>
    </row>
    <row r="168" spans="1:5" x14ac:dyDescent="0.35">
      <c r="A168" s="24"/>
      <c r="B168" s="39"/>
      <c r="C168" s="39"/>
      <c r="D168" s="39"/>
      <c r="E168" s="40"/>
    </row>
    <row r="169" spans="1:5" x14ac:dyDescent="0.35">
      <c r="A169" s="24"/>
      <c r="B169" s="39"/>
      <c r="C169" s="39"/>
      <c r="D169" s="39"/>
      <c r="E169" s="40"/>
    </row>
    <row r="170" spans="1:5" x14ac:dyDescent="0.35">
      <c r="A170" s="24"/>
      <c r="B170" s="39"/>
      <c r="C170" s="39"/>
      <c r="D170" s="39"/>
      <c r="E170" s="40"/>
    </row>
    <row r="171" spans="1:5" x14ac:dyDescent="0.35">
      <c r="A171" s="24"/>
      <c r="B171" s="39"/>
      <c r="C171" s="39"/>
      <c r="D171" s="39"/>
      <c r="E171" s="40"/>
    </row>
    <row r="172" spans="1:5" x14ac:dyDescent="0.35">
      <c r="A172" s="24"/>
      <c r="B172" s="14"/>
      <c r="C172" s="14"/>
      <c r="D172" s="39"/>
      <c r="E172" s="41"/>
    </row>
    <row r="173" spans="1:5" x14ac:dyDescent="0.35">
      <c r="A173" s="24"/>
      <c r="B173" s="39"/>
      <c r="C173" s="39"/>
      <c r="D173" s="39"/>
      <c r="E173" s="40"/>
    </row>
    <row r="174" spans="1:5" x14ac:dyDescent="0.35">
      <c r="A174" s="24"/>
      <c r="B174" s="39"/>
      <c r="C174" s="39"/>
      <c r="D174" s="39"/>
      <c r="E174" s="40"/>
    </row>
    <row r="175" spans="1:5" x14ac:dyDescent="0.35">
      <c r="A175" s="24"/>
      <c r="B175" s="39"/>
      <c r="C175" s="39"/>
      <c r="D175" s="39"/>
      <c r="E175" s="40"/>
    </row>
    <row r="176" spans="1:5" x14ac:dyDescent="0.35">
      <c r="A176" s="24"/>
      <c r="B176" s="39"/>
      <c r="C176" s="39"/>
      <c r="D176" s="39"/>
      <c r="E176" s="40"/>
    </row>
    <row r="177" spans="1:5" x14ac:dyDescent="0.35">
      <c r="A177" s="24"/>
      <c r="B177" s="39"/>
      <c r="C177" s="39"/>
      <c r="D177" s="39"/>
      <c r="E177" s="40"/>
    </row>
    <row r="178" spans="1:5" x14ac:dyDescent="0.35">
      <c r="A178" s="24"/>
      <c r="B178" s="39"/>
      <c r="C178" s="39"/>
      <c r="D178" s="39"/>
      <c r="E178" s="40"/>
    </row>
    <row r="179" spans="1:5" x14ac:dyDescent="0.35">
      <c r="A179" s="24"/>
      <c r="B179" s="39"/>
      <c r="C179" s="39"/>
      <c r="D179" s="39"/>
      <c r="E179" s="40"/>
    </row>
    <row r="180" spans="1:5" x14ac:dyDescent="0.35">
      <c r="A180" s="24"/>
      <c r="B180" s="39"/>
      <c r="C180" s="39"/>
      <c r="D180" s="39"/>
      <c r="E180" s="40"/>
    </row>
    <row r="181" spans="1:5" x14ac:dyDescent="0.35">
      <c r="A181" s="24"/>
      <c r="B181" s="14"/>
      <c r="C181" s="14"/>
      <c r="D181" s="39"/>
      <c r="E181" s="41"/>
    </row>
    <row r="182" spans="1:5" x14ac:dyDescent="0.35">
      <c r="A182" s="24"/>
      <c r="B182" s="39"/>
      <c r="C182" s="39"/>
      <c r="D182" s="39"/>
      <c r="E182" s="40"/>
    </row>
    <row r="183" spans="1:5" x14ac:dyDescent="0.35">
      <c r="A183" s="24"/>
      <c r="B183" s="39"/>
      <c r="C183" s="39"/>
      <c r="D183" s="39"/>
      <c r="E183" s="40"/>
    </row>
    <row r="184" spans="1:5" x14ac:dyDescent="0.35">
      <c r="A184" s="24"/>
      <c r="B184" s="39"/>
      <c r="C184" s="39"/>
      <c r="D184" s="39"/>
      <c r="E184" s="40"/>
    </row>
    <row r="185" spans="1:5" x14ac:dyDescent="0.35">
      <c r="A185" s="24"/>
      <c r="B185" s="39"/>
      <c r="C185" s="39"/>
      <c r="D185" s="39"/>
      <c r="E185" s="40"/>
    </row>
    <row r="186" spans="1:5" x14ac:dyDescent="0.35">
      <c r="A186" s="24"/>
      <c r="B186" s="39"/>
      <c r="C186" s="39"/>
      <c r="D186" s="39"/>
      <c r="E186" s="40"/>
    </row>
    <row r="187" spans="1:5" x14ac:dyDescent="0.35">
      <c r="A187" s="24"/>
      <c r="B187" s="39"/>
      <c r="C187" s="39"/>
      <c r="D187" s="39"/>
      <c r="E187" s="40"/>
    </row>
    <row r="188" spans="1:5" x14ac:dyDescent="0.35">
      <c r="A188" s="24"/>
      <c r="B188" s="39"/>
      <c r="C188" s="39"/>
      <c r="D188" s="39"/>
      <c r="E188" s="40"/>
    </row>
    <row r="189" spans="1:5" x14ac:dyDescent="0.35">
      <c r="A189" s="24"/>
      <c r="B189" s="39"/>
      <c r="C189" s="39"/>
      <c r="D189" s="39"/>
      <c r="E189" s="40"/>
    </row>
    <row r="190" spans="1:5" x14ac:dyDescent="0.35">
      <c r="A190" s="24"/>
      <c r="B190" s="14"/>
      <c r="C190" s="14"/>
      <c r="D190" s="39"/>
      <c r="E190" s="41"/>
    </row>
    <row r="191" spans="1:5" x14ac:dyDescent="0.35">
      <c r="A191" s="24"/>
      <c r="B191" s="39"/>
      <c r="C191" s="39"/>
      <c r="D191" s="39"/>
      <c r="E191" s="40"/>
    </row>
    <row r="192" spans="1:5" x14ac:dyDescent="0.35">
      <c r="A192" s="24"/>
      <c r="B192" s="39"/>
      <c r="C192" s="39"/>
      <c r="D192" s="39"/>
      <c r="E192" s="40"/>
    </row>
    <row r="193" spans="1:5" x14ac:dyDescent="0.35">
      <c r="A193" s="24"/>
      <c r="B193" s="39"/>
      <c r="C193" s="39"/>
      <c r="D193" s="39"/>
      <c r="E193" s="40"/>
    </row>
    <row r="194" spans="1:5" x14ac:dyDescent="0.35">
      <c r="A194" s="24"/>
      <c r="B194" s="39"/>
      <c r="C194" s="39"/>
      <c r="D194" s="39"/>
      <c r="E194" s="40"/>
    </row>
    <row r="195" spans="1:5" x14ac:dyDescent="0.35">
      <c r="A195" s="24"/>
      <c r="B195" s="39"/>
      <c r="C195" s="39"/>
      <c r="D195" s="39"/>
      <c r="E195" s="40"/>
    </row>
    <row r="196" spans="1:5" x14ac:dyDescent="0.35">
      <c r="A196" s="24"/>
      <c r="B196" s="39"/>
      <c r="C196" s="39"/>
      <c r="D196" s="39"/>
      <c r="E196" s="40"/>
    </row>
    <row r="197" spans="1:5" x14ac:dyDescent="0.35">
      <c r="A197" s="24"/>
      <c r="B197" s="39"/>
      <c r="C197" s="39"/>
      <c r="D197" s="39"/>
      <c r="E197" s="40"/>
    </row>
    <row r="198" spans="1:5" x14ac:dyDescent="0.35">
      <c r="A198" s="24"/>
      <c r="B198" s="39"/>
      <c r="C198" s="39"/>
      <c r="D198" s="39"/>
      <c r="E198" s="40"/>
    </row>
    <row r="199" spans="1:5" x14ac:dyDescent="0.35">
      <c r="A199" s="24"/>
      <c r="B199" s="14"/>
      <c r="C199" s="14"/>
      <c r="D199" s="39"/>
      <c r="E199" s="41"/>
    </row>
    <row r="200" spans="1:5" x14ac:dyDescent="0.35">
      <c r="A200" s="24"/>
      <c r="B200" s="39"/>
      <c r="C200" s="39"/>
      <c r="D200" s="39"/>
      <c r="E200" s="40"/>
    </row>
    <row r="201" spans="1:5" x14ac:dyDescent="0.35">
      <c r="A201" s="24"/>
      <c r="B201" s="39"/>
      <c r="C201" s="39"/>
      <c r="D201" s="39"/>
      <c r="E201" s="40"/>
    </row>
    <row r="202" spans="1:5" x14ac:dyDescent="0.35">
      <c r="A202" s="24"/>
      <c r="B202" s="39"/>
      <c r="C202" s="39"/>
      <c r="D202" s="39"/>
      <c r="E202" s="40"/>
    </row>
    <row r="203" spans="1:5" x14ac:dyDescent="0.35">
      <c r="A203" s="24"/>
      <c r="B203" s="39"/>
      <c r="C203" s="39"/>
      <c r="D203" s="39"/>
      <c r="E203" s="40"/>
    </row>
    <row r="204" spans="1:5" x14ac:dyDescent="0.35">
      <c r="A204" s="24"/>
      <c r="B204" s="39"/>
      <c r="C204" s="39"/>
      <c r="D204" s="39"/>
      <c r="E204" s="40"/>
    </row>
    <row r="205" spans="1:5" x14ac:dyDescent="0.35">
      <c r="A205" s="24"/>
      <c r="B205" s="39"/>
      <c r="C205" s="39"/>
      <c r="D205" s="39"/>
      <c r="E205" s="40"/>
    </row>
    <row r="206" spans="1:5" x14ac:dyDescent="0.35">
      <c r="A206" s="24"/>
      <c r="B206" s="39"/>
      <c r="C206" s="39"/>
      <c r="D206" s="39"/>
      <c r="E206" s="40"/>
    </row>
    <row r="207" spans="1:5" x14ac:dyDescent="0.35">
      <c r="A207" s="24"/>
      <c r="B207" s="39"/>
      <c r="C207" s="39"/>
      <c r="D207" s="39"/>
      <c r="E207" s="40"/>
    </row>
    <row r="208" spans="1:5" x14ac:dyDescent="0.35">
      <c r="A208" s="24"/>
      <c r="B208" s="14"/>
      <c r="C208" s="14"/>
      <c r="D208" s="39"/>
      <c r="E208" s="41"/>
    </row>
    <row r="209" spans="1:5" x14ac:dyDescent="0.35">
      <c r="A209" s="24"/>
      <c r="B209" s="39"/>
      <c r="C209" s="39"/>
      <c r="D209" s="39"/>
      <c r="E209" s="40"/>
    </row>
    <row r="210" spans="1:5" x14ac:dyDescent="0.35">
      <c r="A210" s="24"/>
      <c r="B210" s="39"/>
      <c r="C210" s="39"/>
      <c r="D210" s="39"/>
      <c r="E210" s="40"/>
    </row>
    <row r="211" spans="1:5" x14ac:dyDescent="0.35">
      <c r="A211" s="24"/>
      <c r="B211" s="39"/>
      <c r="C211" s="39"/>
      <c r="D211" s="39"/>
      <c r="E211" s="40"/>
    </row>
    <row r="212" spans="1:5" x14ac:dyDescent="0.35">
      <c r="A212" s="24"/>
      <c r="B212" s="39"/>
      <c r="C212" s="39"/>
      <c r="D212" s="39"/>
      <c r="E212" s="40"/>
    </row>
    <row r="213" spans="1:5" x14ac:dyDescent="0.35">
      <c r="A213" s="24"/>
      <c r="B213" s="39"/>
      <c r="C213" s="39"/>
      <c r="D213" s="39"/>
      <c r="E213" s="40"/>
    </row>
    <row r="214" spans="1:5" x14ac:dyDescent="0.35">
      <c r="A214" s="24"/>
      <c r="B214" s="39"/>
      <c r="C214" s="39"/>
      <c r="D214" s="39"/>
      <c r="E214" s="40"/>
    </row>
    <row r="215" spans="1:5" x14ac:dyDescent="0.35">
      <c r="A215" s="24"/>
      <c r="B215" s="39"/>
      <c r="C215" s="39"/>
      <c r="D215" s="39"/>
      <c r="E215" s="40"/>
    </row>
    <row r="216" spans="1:5" x14ac:dyDescent="0.35">
      <c r="A216" s="24"/>
      <c r="B216" s="39"/>
      <c r="C216" s="39"/>
      <c r="D216" s="39"/>
      <c r="E216" s="40"/>
    </row>
    <row r="217" spans="1:5" x14ac:dyDescent="0.35">
      <c r="A217" s="24"/>
      <c r="B217" s="14"/>
      <c r="C217" s="14"/>
      <c r="D217" s="39"/>
      <c r="E217" s="41"/>
    </row>
    <row r="218" spans="1:5" x14ac:dyDescent="0.35">
      <c r="A218" s="24"/>
      <c r="B218" s="39"/>
      <c r="C218" s="39"/>
      <c r="D218" s="39"/>
      <c r="E218" s="40"/>
    </row>
    <row r="219" spans="1:5" x14ac:dyDescent="0.35">
      <c r="A219" s="24"/>
      <c r="B219" s="39"/>
      <c r="C219" s="39"/>
      <c r="D219" s="39"/>
      <c r="E219" s="40"/>
    </row>
    <row r="220" spans="1:5" x14ac:dyDescent="0.35">
      <c r="A220" s="24"/>
      <c r="B220" s="39"/>
      <c r="C220" s="39"/>
      <c r="D220" s="39"/>
      <c r="E220" s="40"/>
    </row>
    <row r="221" spans="1:5" x14ac:dyDescent="0.35">
      <c r="A221" s="24"/>
      <c r="B221" s="39"/>
      <c r="C221" s="39"/>
      <c r="D221" s="39"/>
      <c r="E221" s="40"/>
    </row>
    <row r="222" spans="1:5" x14ac:dyDescent="0.35">
      <c r="A222" s="24"/>
      <c r="B222" s="39"/>
      <c r="C222" s="39"/>
      <c r="D222" s="39"/>
      <c r="E222" s="40"/>
    </row>
    <row r="223" spans="1:5" x14ac:dyDescent="0.35">
      <c r="A223" s="24"/>
      <c r="B223" s="39"/>
      <c r="C223" s="39"/>
      <c r="D223" s="39"/>
      <c r="E223" s="40"/>
    </row>
    <row r="224" spans="1:5" x14ac:dyDescent="0.35">
      <c r="A224" s="24"/>
      <c r="B224" s="39"/>
      <c r="C224" s="39"/>
      <c r="D224" s="39"/>
      <c r="E224" s="40"/>
    </row>
    <row r="225" spans="1:5" x14ac:dyDescent="0.35">
      <c r="A225" s="24"/>
      <c r="B225" s="39"/>
      <c r="C225" s="39"/>
      <c r="D225" s="39"/>
      <c r="E225" s="40"/>
    </row>
    <row r="226" spans="1:5" x14ac:dyDescent="0.35">
      <c r="A226" s="24"/>
      <c r="B226" s="14"/>
      <c r="C226" s="14"/>
      <c r="D226" s="39"/>
      <c r="E226" s="41"/>
    </row>
    <row r="227" spans="1:5" x14ac:dyDescent="0.35">
      <c r="A227" s="24"/>
      <c r="B227" s="39"/>
      <c r="C227" s="39"/>
      <c r="D227" s="39"/>
      <c r="E227" s="40"/>
    </row>
    <row r="228" spans="1:5" x14ac:dyDescent="0.35">
      <c r="A228" s="24"/>
      <c r="B228" s="39"/>
      <c r="C228" s="39"/>
      <c r="D228" s="39"/>
      <c r="E228" s="40"/>
    </row>
    <row r="229" spans="1:5" x14ac:dyDescent="0.35">
      <c r="A229" s="24"/>
      <c r="B229" s="39"/>
      <c r="C229" s="39"/>
      <c r="D229" s="39"/>
      <c r="E229" s="40"/>
    </row>
    <row r="230" spans="1:5" x14ac:dyDescent="0.35">
      <c r="A230" s="24"/>
      <c r="B230" s="39"/>
      <c r="C230" s="39"/>
      <c r="D230" s="39"/>
      <c r="E230" s="40"/>
    </row>
    <row r="231" spans="1:5" x14ac:dyDescent="0.35">
      <c r="A231" s="24"/>
      <c r="B231" s="39"/>
      <c r="C231" s="39"/>
      <c r="D231" s="39"/>
      <c r="E231" s="40"/>
    </row>
    <row r="232" spans="1:5" x14ac:dyDescent="0.35">
      <c r="A232" s="24"/>
      <c r="B232" s="39"/>
      <c r="C232" s="39"/>
      <c r="D232" s="39"/>
      <c r="E232" s="40"/>
    </row>
    <row r="233" spans="1:5" x14ac:dyDescent="0.35">
      <c r="A233" s="24"/>
      <c r="B233" s="39"/>
      <c r="C233" s="39"/>
      <c r="D233" s="39"/>
      <c r="E233" s="40"/>
    </row>
    <row r="234" spans="1:5" x14ac:dyDescent="0.35">
      <c r="A234" s="24"/>
      <c r="B234" s="39"/>
      <c r="C234" s="39"/>
      <c r="D234" s="39"/>
      <c r="E234" s="40"/>
    </row>
    <row r="235" spans="1:5" x14ac:dyDescent="0.35">
      <c r="A235" s="24"/>
      <c r="B235" s="14"/>
      <c r="C235" s="14"/>
      <c r="D235" s="39"/>
      <c r="E235" s="41"/>
    </row>
    <row r="236" spans="1:5" x14ac:dyDescent="0.35">
      <c r="A236" s="24"/>
      <c r="B236" s="39"/>
      <c r="C236" s="39"/>
      <c r="D236" s="39"/>
      <c r="E236" s="40"/>
    </row>
    <row r="237" spans="1:5" x14ac:dyDescent="0.35">
      <c r="A237" s="24"/>
      <c r="B237" s="39"/>
      <c r="C237" s="39"/>
      <c r="D237" s="39"/>
      <c r="E237" s="40"/>
    </row>
    <row r="238" spans="1:5" x14ac:dyDescent="0.35">
      <c r="A238" s="24"/>
      <c r="B238" s="39"/>
      <c r="C238" s="39"/>
      <c r="D238" s="39"/>
      <c r="E238" s="40"/>
    </row>
    <row r="239" spans="1:5" x14ac:dyDescent="0.35">
      <c r="A239" s="24"/>
      <c r="B239" s="39"/>
      <c r="C239" s="39"/>
      <c r="D239" s="39"/>
      <c r="E239" s="40"/>
    </row>
    <row r="240" spans="1:5" x14ac:dyDescent="0.35">
      <c r="A240" s="24"/>
      <c r="B240" s="39"/>
      <c r="C240" s="39"/>
      <c r="D240" s="39"/>
      <c r="E240" s="40"/>
    </row>
    <row r="241" spans="1:5" x14ac:dyDescent="0.35">
      <c r="A241" s="24"/>
      <c r="B241" s="39"/>
      <c r="C241" s="39"/>
      <c r="D241" s="39"/>
      <c r="E241" s="40"/>
    </row>
    <row r="242" spans="1:5" x14ac:dyDescent="0.35">
      <c r="A242" s="24"/>
      <c r="B242" s="39"/>
      <c r="C242" s="39"/>
      <c r="D242" s="39"/>
      <c r="E242" s="40"/>
    </row>
    <row r="243" spans="1:5" x14ac:dyDescent="0.35">
      <c r="A243" s="24"/>
      <c r="B243" s="39"/>
      <c r="C243" s="39"/>
      <c r="D243" s="39"/>
      <c r="E243" s="40"/>
    </row>
    <row r="244" spans="1:5" x14ac:dyDescent="0.35">
      <c r="A244" s="24"/>
      <c r="B244" s="14"/>
      <c r="C244" s="14"/>
      <c r="D244" s="39"/>
      <c r="E244" s="41"/>
    </row>
    <row r="245" spans="1:5" x14ac:dyDescent="0.35">
      <c r="A245" s="24"/>
      <c r="B245" s="39"/>
      <c r="C245" s="39"/>
      <c r="D245" s="39"/>
      <c r="E245" s="40"/>
    </row>
    <row r="246" spans="1:5" x14ac:dyDescent="0.35">
      <c r="A246" s="24"/>
      <c r="B246" s="39"/>
      <c r="C246" s="39"/>
      <c r="D246" s="39"/>
      <c r="E246" s="40"/>
    </row>
    <row r="247" spans="1:5" x14ac:dyDescent="0.35">
      <c r="A247" s="24"/>
      <c r="B247" s="39"/>
      <c r="C247" s="39"/>
      <c r="D247" s="39"/>
      <c r="E247" s="40"/>
    </row>
    <row r="248" spans="1:5" x14ac:dyDescent="0.35">
      <c r="A248" s="24"/>
      <c r="B248" s="39"/>
      <c r="C248" s="39"/>
      <c r="D248" s="39"/>
      <c r="E248" s="40"/>
    </row>
    <row r="249" spans="1:5" x14ac:dyDescent="0.35">
      <c r="A249" s="24"/>
      <c r="B249" s="39"/>
      <c r="C249" s="39"/>
      <c r="D249" s="39"/>
      <c r="E249" s="40"/>
    </row>
    <row r="250" spans="1:5" x14ac:dyDescent="0.35">
      <c r="A250" s="24"/>
      <c r="B250" s="39"/>
      <c r="C250" s="39"/>
      <c r="D250" s="39"/>
      <c r="E250" s="40"/>
    </row>
    <row r="251" spans="1:5" x14ac:dyDescent="0.35">
      <c r="A251" s="24"/>
      <c r="B251" s="39"/>
      <c r="C251" s="39"/>
      <c r="D251" s="39"/>
      <c r="E251" s="40"/>
    </row>
    <row r="252" spans="1:5" x14ac:dyDescent="0.35">
      <c r="A252" s="24"/>
      <c r="B252" s="39"/>
      <c r="C252" s="39"/>
      <c r="D252" s="39"/>
      <c r="E252" s="40"/>
    </row>
    <row r="253" spans="1:5" x14ac:dyDescent="0.35">
      <c r="A253" s="24"/>
      <c r="B253" s="14"/>
      <c r="C253" s="14"/>
      <c r="D253" s="39"/>
      <c r="E253" s="41"/>
    </row>
    <row r="254" spans="1:5" x14ac:dyDescent="0.35">
      <c r="A254" s="24"/>
      <c r="B254" s="39"/>
      <c r="C254" s="39"/>
      <c r="D254" s="39"/>
      <c r="E254" s="40"/>
    </row>
    <row r="255" spans="1:5" x14ac:dyDescent="0.35">
      <c r="A255" s="24"/>
      <c r="B255" s="39"/>
      <c r="C255" s="39"/>
      <c r="D255" s="39"/>
      <c r="E255" s="40"/>
    </row>
    <row r="256" spans="1:5" x14ac:dyDescent="0.35">
      <c r="A256" s="24"/>
      <c r="B256" s="39"/>
      <c r="C256" s="39"/>
      <c r="D256" s="39"/>
      <c r="E256" s="40"/>
    </row>
    <row r="257" spans="1:5" x14ac:dyDescent="0.35">
      <c r="A257" s="24"/>
      <c r="B257" s="39"/>
      <c r="C257" s="39"/>
      <c r="D257" s="39"/>
      <c r="E257" s="40"/>
    </row>
    <row r="258" spans="1:5" x14ac:dyDescent="0.35">
      <c r="A258" s="24"/>
      <c r="B258" s="39"/>
      <c r="C258" s="39"/>
      <c r="D258" s="39"/>
      <c r="E258" s="40"/>
    </row>
    <row r="259" spans="1:5" x14ac:dyDescent="0.35">
      <c r="A259" s="24"/>
      <c r="B259" s="39"/>
      <c r="C259" s="39"/>
      <c r="D259" s="39"/>
      <c r="E259" s="40"/>
    </row>
    <row r="260" spans="1:5" x14ac:dyDescent="0.35">
      <c r="A260" s="24"/>
      <c r="B260" s="39"/>
      <c r="C260" s="39"/>
      <c r="D260" s="39"/>
      <c r="E260" s="40"/>
    </row>
    <row r="261" spans="1:5" x14ac:dyDescent="0.35">
      <c r="A261" s="24"/>
      <c r="B261" s="39"/>
      <c r="C261" s="39"/>
      <c r="D261" s="39"/>
      <c r="E261" s="40"/>
    </row>
    <row r="262" spans="1:5" x14ac:dyDescent="0.35">
      <c r="A262" s="24"/>
      <c r="B262" s="14"/>
      <c r="C262" s="14"/>
      <c r="D262" s="39"/>
      <c r="E262" s="41"/>
    </row>
    <row r="263" spans="1:5" x14ac:dyDescent="0.35">
      <c r="A263" s="24"/>
      <c r="B263" s="39"/>
      <c r="C263" s="39"/>
      <c r="D263" s="39"/>
      <c r="E263" s="40"/>
    </row>
    <row r="264" spans="1:5" x14ac:dyDescent="0.35">
      <c r="A264" s="24"/>
      <c r="B264" s="39"/>
      <c r="C264" s="39"/>
      <c r="D264" s="39"/>
      <c r="E264" s="40"/>
    </row>
    <row r="265" spans="1:5" x14ac:dyDescent="0.35">
      <c r="A265" s="24"/>
      <c r="B265" s="39"/>
      <c r="C265" s="39"/>
      <c r="D265" s="39"/>
      <c r="E265" s="40"/>
    </row>
    <row r="266" spans="1:5" x14ac:dyDescent="0.35">
      <c r="A266" s="24"/>
      <c r="B266" s="39"/>
      <c r="C266" s="39"/>
      <c r="D266" s="39"/>
      <c r="E266" s="40"/>
    </row>
    <row r="267" spans="1:5" x14ac:dyDescent="0.35">
      <c r="A267" s="24"/>
      <c r="B267" s="39"/>
      <c r="C267" s="39"/>
      <c r="D267" s="39"/>
      <c r="E267" s="40"/>
    </row>
    <row r="268" spans="1:5" x14ac:dyDescent="0.35">
      <c r="A268" s="24"/>
      <c r="B268" s="39"/>
      <c r="C268" s="39"/>
      <c r="D268" s="39"/>
      <c r="E268" s="40"/>
    </row>
    <row r="269" spans="1:5" x14ac:dyDescent="0.35">
      <c r="A269" s="24"/>
      <c r="B269" s="39"/>
      <c r="C269" s="39"/>
      <c r="D269" s="39"/>
      <c r="E269" s="40"/>
    </row>
    <row r="270" spans="1:5" x14ac:dyDescent="0.35">
      <c r="A270" s="24"/>
      <c r="B270" s="39"/>
      <c r="C270" s="39"/>
      <c r="D270" s="39"/>
      <c r="E270" s="40"/>
    </row>
    <row r="271" spans="1:5" x14ac:dyDescent="0.35">
      <c r="A271" s="24"/>
      <c r="B271" s="14"/>
      <c r="C271" s="14"/>
      <c r="D271" s="39"/>
      <c r="E271" s="41"/>
    </row>
    <row r="272" spans="1:5" x14ac:dyDescent="0.35">
      <c r="A272" s="24"/>
      <c r="B272" s="39"/>
      <c r="C272" s="39"/>
      <c r="D272" s="39"/>
      <c r="E272" s="40"/>
    </row>
    <row r="273" spans="1:5" x14ac:dyDescent="0.35">
      <c r="A273" s="24"/>
      <c r="B273" s="39"/>
      <c r="C273" s="39"/>
      <c r="D273" s="39"/>
      <c r="E273" s="40"/>
    </row>
    <row r="274" spans="1:5" x14ac:dyDescent="0.35">
      <c r="A274" s="24"/>
      <c r="B274" s="39"/>
      <c r="C274" s="39"/>
      <c r="D274" s="39"/>
      <c r="E274" s="40"/>
    </row>
    <row r="275" spans="1:5" x14ac:dyDescent="0.35">
      <c r="A275" s="24"/>
      <c r="B275" s="39"/>
      <c r="C275" s="39"/>
      <c r="D275" s="39"/>
      <c r="E275" s="40"/>
    </row>
    <row r="276" spans="1:5" x14ac:dyDescent="0.35">
      <c r="A276" s="24"/>
      <c r="B276" s="39"/>
      <c r="C276" s="39"/>
      <c r="D276" s="39"/>
      <c r="E276" s="40"/>
    </row>
    <row r="277" spans="1:5" x14ac:dyDescent="0.35">
      <c r="A277" s="24"/>
      <c r="B277" s="39"/>
      <c r="C277" s="39"/>
      <c r="D277" s="39"/>
      <c r="E277" s="40"/>
    </row>
    <row r="278" spans="1:5" x14ac:dyDescent="0.35">
      <c r="A278" s="24"/>
      <c r="B278" s="39"/>
      <c r="C278" s="39"/>
      <c r="D278" s="39"/>
      <c r="E278" s="40"/>
    </row>
    <row r="279" spans="1:5" x14ac:dyDescent="0.35">
      <c r="A279" s="24"/>
      <c r="B279" s="39"/>
      <c r="C279" s="39"/>
      <c r="D279" s="39"/>
      <c r="E279" s="40"/>
    </row>
    <row r="280" spans="1:5" x14ac:dyDescent="0.35">
      <c r="A280" s="24"/>
      <c r="B280" s="14"/>
      <c r="C280" s="14"/>
      <c r="D280" s="39"/>
      <c r="E280" s="41"/>
    </row>
    <row r="281" spans="1:5" x14ac:dyDescent="0.35">
      <c r="A281" s="24"/>
      <c r="B281" s="39"/>
      <c r="C281" s="39"/>
      <c r="D281" s="39"/>
      <c r="E281" s="40"/>
    </row>
    <row r="282" spans="1:5" x14ac:dyDescent="0.35">
      <c r="A282" s="24"/>
      <c r="B282" s="39"/>
      <c r="C282" s="39"/>
      <c r="D282" s="39"/>
      <c r="E282" s="40"/>
    </row>
    <row r="283" spans="1:5" x14ac:dyDescent="0.35">
      <c r="A283" s="24"/>
      <c r="B283" s="39"/>
      <c r="C283" s="39"/>
      <c r="D283" s="39"/>
      <c r="E283" s="40"/>
    </row>
    <row r="284" spans="1:5" x14ac:dyDescent="0.35">
      <c r="A284" s="24"/>
      <c r="B284" s="39"/>
      <c r="C284" s="39"/>
      <c r="D284" s="39"/>
      <c r="E284" s="40"/>
    </row>
    <row r="285" spans="1:5" x14ac:dyDescent="0.35">
      <c r="A285" s="24"/>
      <c r="B285" s="39"/>
      <c r="C285" s="39"/>
      <c r="D285" s="39"/>
      <c r="E285" s="40"/>
    </row>
    <row r="286" spans="1:5" x14ac:dyDescent="0.35">
      <c r="A286" s="24"/>
      <c r="B286" s="39"/>
      <c r="C286" s="39"/>
      <c r="D286" s="39"/>
      <c r="E286" s="40"/>
    </row>
    <row r="287" spans="1:5" x14ac:dyDescent="0.35">
      <c r="A287" s="24"/>
      <c r="B287" s="39"/>
      <c r="C287" s="39"/>
      <c r="D287" s="39"/>
      <c r="E287" s="40"/>
    </row>
    <row r="288" spans="1:5" x14ac:dyDescent="0.35">
      <c r="A288" s="24"/>
      <c r="B288" s="39"/>
      <c r="C288" s="39"/>
      <c r="D288" s="39"/>
      <c r="E288" s="40"/>
    </row>
    <row r="289" spans="1:5" x14ac:dyDescent="0.35">
      <c r="A289" s="24"/>
      <c r="B289" s="14"/>
      <c r="C289" s="14"/>
      <c r="D289" s="39"/>
      <c r="E289" s="41"/>
    </row>
    <row r="290" spans="1:5" x14ac:dyDescent="0.35">
      <c r="A290" s="24"/>
      <c r="B290" s="39"/>
      <c r="C290" s="39"/>
      <c r="D290" s="39"/>
      <c r="E290" s="40"/>
    </row>
    <row r="291" spans="1:5" x14ac:dyDescent="0.35">
      <c r="A291" s="24"/>
      <c r="B291" s="39"/>
      <c r="C291" s="39"/>
      <c r="D291" s="39"/>
      <c r="E291" s="40"/>
    </row>
    <row r="292" spans="1:5" x14ac:dyDescent="0.35">
      <c r="A292" s="24"/>
      <c r="B292" s="39"/>
      <c r="C292" s="39"/>
      <c r="D292" s="39"/>
      <c r="E292" s="40"/>
    </row>
    <row r="293" spans="1:5" x14ac:dyDescent="0.35">
      <c r="A293" s="24"/>
      <c r="B293" s="39"/>
      <c r="C293" s="39"/>
      <c r="D293" s="39"/>
      <c r="E293" s="40"/>
    </row>
    <row r="294" spans="1:5" x14ac:dyDescent="0.35">
      <c r="A294" s="24"/>
      <c r="B294" s="39"/>
      <c r="C294" s="39"/>
      <c r="D294" s="39"/>
      <c r="E294" s="40"/>
    </row>
    <row r="295" spans="1:5" x14ac:dyDescent="0.35">
      <c r="A295" s="24"/>
      <c r="B295" s="39"/>
      <c r="C295" s="39"/>
      <c r="D295" s="39"/>
      <c r="E295" s="40"/>
    </row>
    <row r="296" spans="1:5" x14ac:dyDescent="0.35">
      <c r="A296" s="24"/>
      <c r="B296" s="39"/>
      <c r="C296" s="39"/>
      <c r="D296" s="39"/>
      <c r="E296" s="40"/>
    </row>
    <row r="297" spans="1:5" x14ac:dyDescent="0.35">
      <c r="A297" s="24"/>
      <c r="B297" s="39"/>
      <c r="C297" s="39"/>
      <c r="D297" s="39"/>
      <c r="E297" s="40"/>
    </row>
    <row r="298" spans="1:5" x14ac:dyDescent="0.35">
      <c r="A298" s="24"/>
      <c r="B298" s="14"/>
      <c r="C298" s="14"/>
      <c r="D298" s="39"/>
      <c r="E298" s="41"/>
    </row>
    <row r="299" spans="1:5" x14ac:dyDescent="0.35">
      <c r="A299" s="24"/>
      <c r="B299" s="39"/>
      <c r="C299" s="39"/>
      <c r="D299" s="39"/>
      <c r="E299" s="40"/>
    </row>
    <row r="300" spans="1:5" x14ac:dyDescent="0.35">
      <c r="A300" s="24"/>
      <c r="B300" s="39"/>
      <c r="C300" s="39"/>
      <c r="D300" s="39"/>
      <c r="E300" s="40"/>
    </row>
    <row r="301" spans="1:5" x14ac:dyDescent="0.35">
      <c r="A301" s="24"/>
      <c r="B301" s="39"/>
      <c r="C301" s="39"/>
      <c r="D301" s="39"/>
      <c r="E301" s="40"/>
    </row>
    <row r="302" spans="1:5" x14ac:dyDescent="0.35">
      <c r="A302" s="24"/>
      <c r="B302" s="39"/>
      <c r="C302" s="39"/>
      <c r="D302" s="39"/>
      <c r="E302" s="40"/>
    </row>
    <row r="303" spans="1:5" x14ac:dyDescent="0.35">
      <c r="A303" s="24"/>
      <c r="B303" s="39"/>
      <c r="C303" s="39"/>
      <c r="D303" s="39"/>
      <c r="E303" s="40"/>
    </row>
    <row r="304" spans="1:5" x14ac:dyDescent="0.35">
      <c r="A304" s="24"/>
      <c r="B304" s="39"/>
      <c r="C304" s="39"/>
      <c r="D304" s="39"/>
      <c r="E304" s="40"/>
    </row>
    <row r="305" spans="1:5" x14ac:dyDescent="0.35">
      <c r="A305" s="24"/>
      <c r="B305" s="39"/>
      <c r="C305" s="39"/>
      <c r="D305" s="39"/>
      <c r="E305" s="40"/>
    </row>
    <row r="306" spans="1:5" x14ac:dyDescent="0.35">
      <c r="A306" s="24"/>
      <c r="B306" s="39"/>
      <c r="C306" s="39"/>
      <c r="D306" s="39"/>
      <c r="E306" s="40"/>
    </row>
    <row r="307" spans="1:5" x14ac:dyDescent="0.35">
      <c r="A307" s="24"/>
      <c r="B307" s="14"/>
      <c r="C307" s="14"/>
      <c r="D307" s="39"/>
      <c r="E307" s="41"/>
    </row>
    <row r="308" spans="1:5" x14ac:dyDescent="0.35">
      <c r="A308" s="24"/>
      <c r="B308" s="39"/>
      <c r="C308" s="39"/>
      <c r="D308" s="39"/>
      <c r="E308" s="40"/>
    </row>
    <row r="309" spans="1:5" x14ac:dyDescent="0.35">
      <c r="A309" s="24"/>
      <c r="B309" s="39"/>
      <c r="C309" s="39"/>
      <c r="D309" s="39"/>
      <c r="E309" s="40"/>
    </row>
    <row r="310" spans="1:5" x14ac:dyDescent="0.35">
      <c r="A310" s="24"/>
      <c r="B310" s="39"/>
      <c r="C310" s="39"/>
      <c r="D310" s="39"/>
      <c r="E310" s="40"/>
    </row>
    <row r="311" spans="1:5" x14ac:dyDescent="0.35">
      <c r="A311" s="24"/>
      <c r="B311" s="39"/>
      <c r="C311" s="39"/>
      <c r="D311" s="39"/>
      <c r="E311" s="40"/>
    </row>
    <row r="312" spans="1:5" x14ac:dyDescent="0.35">
      <c r="A312" s="24"/>
      <c r="B312" s="39"/>
      <c r="C312" s="39"/>
      <c r="D312" s="39"/>
      <c r="E312" s="40"/>
    </row>
    <row r="313" spans="1:5" x14ac:dyDescent="0.35">
      <c r="A313" s="24"/>
      <c r="B313" s="39"/>
      <c r="C313" s="39"/>
      <c r="D313" s="39"/>
      <c r="E313" s="40"/>
    </row>
    <row r="314" spans="1:5" x14ac:dyDescent="0.35">
      <c r="A314" s="24"/>
      <c r="B314" s="39"/>
      <c r="C314" s="39"/>
      <c r="D314" s="39"/>
      <c r="E314" s="40"/>
    </row>
    <row r="315" spans="1:5" x14ac:dyDescent="0.35">
      <c r="A315" s="24"/>
      <c r="B315" s="39"/>
      <c r="C315" s="39"/>
      <c r="D315" s="39"/>
      <c r="E315" s="40"/>
    </row>
    <row r="316" spans="1:5" x14ac:dyDescent="0.35">
      <c r="A316" s="24"/>
      <c r="B316" s="14"/>
      <c r="C316" s="14"/>
      <c r="D316" s="39"/>
      <c r="E316" s="41"/>
    </row>
    <row r="317" spans="1:5" x14ac:dyDescent="0.35">
      <c r="A317" s="24"/>
      <c r="B317" s="39"/>
      <c r="C317" s="39"/>
      <c r="D317" s="39"/>
      <c r="E317" s="40"/>
    </row>
    <row r="318" spans="1:5" x14ac:dyDescent="0.35">
      <c r="A318" s="24"/>
      <c r="B318" s="39"/>
      <c r="C318" s="39"/>
      <c r="D318" s="39"/>
      <c r="E318" s="40"/>
    </row>
    <row r="319" spans="1:5" x14ac:dyDescent="0.35">
      <c r="A319" s="24"/>
      <c r="B319" s="39"/>
      <c r="C319" s="39"/>
      <c r="D319" s="39"/>
      <c r="E319" s="40"/>
    </row>
    <row r="320" spans="1:5" x14ac:dyDescent="0.35">
      <c r="A320" s="24"/>
      <c r="B320" s="39"/>
      <c r="C320" s="39"/>
      <c r="D320" s="39"/>
      <c r="E320" s="40"/>
    </row>
    <row r="321" spans="1:5" x14ac:dyDescent="0.35">
      <c r="A321" s="24"/>
      <c r="B321" s="39"/>
      <c r="C321" s="39"/>
      <c r="D321" s="39"/>
      <c r="E321" s="40"/>
    </row>
    <row r="322" spans="1:5" x14ac:dyDescent="0.35">
      <c r="A322" s="24"/>
      <c r="B322" s="39"/>
      <c r="C322" s="39"/>
      <c r="D322" s="39"/>
      <c r="E322" s="40"/>
    </row>
    <row r="323" spans="1:5" x14ac:dyDescent="0.35">
      <c r="A323" s="24"/>
      <c r="B323" s="39"/>
      <c r="C323" s="39"/>
      <c r="D323" s="39"/>
      <c r="E323" s="40"/>
    </row>
    <row r="324" spans="1:5" x14ac:dyDescent="0.35">
      <c r="A324" s="24"/>
      <c r="B324" s="39"/>
      <c r="C324" s="39"/>
      <c r="D324" s="39"/>
      <c r="E324" s="40"/>
    </row>
    <row r="325" spans="1:5" x14ac:dyDescent="0.35">
      <c r="A325" s="24"/>
      <c r="B325" s="14"/>
      <c r="C325" s="14"/>
      <c r="D325" s="39"/>
      <c r="E325" s="41"/>
    </row>
    <row r="326" spans="1:5" x14ac:dyDescent="0.35">
      <c r="A326" s="24"/>
      <c r="B326" s="39"/>
      <c r="C326" s="39"/>
      <c r="D326" s="39"/>
      <c r="E326" s="40"/>
    </row>
    <row r="327" spans="1:5" x14ac:dyDescent="0.35">
      <c r="A327" s="24"/>
      <c r="B327" s="39"/>
      <c r="C327" s="39"/>
      <c r="D327" s="39"/>
      <c r="E327" s="40"/>
    </row>
    <row r="328" spans="1:5" x14ac:dyDescent="0.35">
      <c r="A328" s="24"/>
      <c r="B328" s="39"/>
      <c r="C328" s="39"/>
      <c r="D328" s="39"/>
      <c r="E328" s="40"/>
    </row>
    <row r="329" spans="1:5" x14ac:dyDescent="0.35">
      <c r="A329" s="24"/>
      <c r="B329" s="39"/>
      <c r="C329" s="39"/>
      <c r="D329" s="39"/>
      <c r="E329" s="40"/>
    </row>
    <row r="330" spans="1:5" x14ac:dyDescent="0.35">
      <c r="A330" s="24"/>
      <c r="B330" s="39"/>
      <c r="C330" s="39"/>
      <c r="D330" s="39"/>
      <c r="E330" s="40"/>
    </row>
    <row r="331" spans="1:5" x14ac:dyDescent="0.35">
      <c r="A331" s="24"/>
      <c r="B331" s="39"/>
      <c r="C331" s="39"/>
      <c r="D331" s="39"/>
      <c r="E331" s="40"/>
    </row>
    <row r="332" spans="1:5" x14ac:dyDescent="0.35">
      <c r="A332" s="24"/>
      <c r="B332" s="39"/>
      <c r="C332" s="39"/>
      <c r="D332" s="39"/>
      <c r="E332" s="40"/>
    </row>
    <row r="333" spans="1:5" x14ac:dyDescent="0.35">
      <c r="A333" s="24"/>
      <c r="B333" s="39"/>
      <c r="C333" s="39"/>
      <c r="D333" s="39"/>
      <c r="E333" s="40"/>
    </row>
    <row r="334" spans="1:5" x14ac:dyDescent="0.35">
      <c r="A334" s="24"/>
      <c r="B334" s="14"/>
      <c r="C334" s="14"/>
      <c r="D334" s="39"/>
      <c r="E334" s="41"/>
    </row>
    <row r="335" spans="1:5" x14ac:dyDescent="0.35">
      <c r="A335" s="24"/>
      <c r="B335" s="39"/>
      <c r="C335" s="39"/>
      <c r="D335" s="39"/>
      <c r="E335" s="40"/>
    </row>
    <row r="336" spans="1:5" x14ac:dyDescent="0.35">
      <c r="A336" s="24"/>
      <c r="B336" s="39"/>
      <c r="C336" s="39"/>
      <c r="D336" s="39"/>
      <c r="E336" s="40"/>
    </row>
    <row r="337" spans="1:5" x14ac:dyDescent="0.35">
      <c r="A337" s="24"/>
      <c r="B337" s="39"/>
      <c r="C337" s="39"/>
      <c r="D337" s="39"/>
      <c r="E337" s="40"/>
    </row>
    <row r="338" spans="1:5" x14ac:dyDescent="0.35">
      <c r="A338" s="24"/>
      <c r="B338" s="39"/>
      <c r="C338" s="39"/>
      <c r="D338" s="39"/>
      <c r="E338" s="40"/>
    </row>
    <row r="339" spans="1:5" x14ac:dyDescent="0.35">
      <c r="A339" s="24"/>
      <c r="B339" s="39"/>
      <c r="C339" s="39"/>
      <c r="D339" s="39"/>
      <c r="E339" s="40"/>
    </row>
    <row r="340" spans="1:5" x14ac:dyDescent="0.35">
      <c r="A340" s="24"/>
      <c r="B340" s="39"/>
      <c r="C340" s="39"/>
      <c r="D340" s="39"/>
      <c r="E340" s="40"/>
    </row>
    <row r="341" spans="1:5" x14ac:dyDescent="0.35">
      <c r="A341" s="24"/>
      <c r="B341" s="39"/>
      <c r="C341" s="39"/>
      <c r="D341" s="39"/>
      <c r="E341" s="40"/>
    </row>
    <row r="342" spans="1:5" x14ac:dyDescent="0.35">
      <c r="A342" s="24"/>
      <c r="B342" s="39"/>
      <c r="C342" s="39"/>
      <c r="D342" s="39"/>
      <c r="E342" s="40"/>
    </row>
    <row r="343" spans="1:5" x14ac:dyDescent="0.35">
      <c r="A343" s="24"/>
      <c r="B343" s="14"/>
      <c r="C343" s="14"/>
      <c r="D343" s="39"/>
      <c r="E343" s="41"/>
    </row>
    <row r="344" spans="1:5" x14ac:dyDescent="0.35">
      <c r="A344" s="24"/>
      <c r="B344" s="39"/>
      <c r="C344" s="39"/>
      <c r="D344" s="39"/>
      <c r="E344" s="40"/>
    </row>
    <row r="345" spans="1:5" x14ac:dyDescent="0.35">
      <c r="A345" s="24"/>
      <c r="B345" s="39"/>
      <c r="C345" s="39"/>
      <c r="D345" s="39"/>
      <c r="E345" s="40"/>
    </row>
    <row r="346" spans="1:5" x14ac:dyDescent="0.35">
      <c r="A346" s="24"/>
      <c r="B346" s="39"/>
      <c r="C346" s="39"/>
      <c r="D346" s="39"/>
      <c r="E346" s="40"/>
    </row>
    <row r="347" spans="1:5" x14ac:dyDescent="0.35">
      <c r="A347" s="24"/>
      <c r="B347" s="39"/>
      <c r="C347" s="39"/>
      <c r="D347" s="39"/>
      <c r="E347" s="40"/>
    </row>
    <row r="348" spans="1:5" x14ac:dyDescent="0.35">
      <c r="A348" s="24"/>
      <c r="B348" s="39"/>
      <c r="C348" s="39"/>
      <c r="D348" s="39"/>
      <c r="E348" s="40"/>
    </row>
    <row r="349" spans="1:5" x14ac:dyDescent="0.35">
      <c r="A349" s="24"/>
      <c r="B349" s="39"/>
      <c r="C349" s="39"/>
      <c r="D349" s="39"/>
      <c r="E349" s="40"/>
    </row>
    <row r="350" spans="1:5" x14ac:dyDescent="0.35">
      <c r="A350" s="24"/>
      <c r="B350" s="39"/>
      <c r="C350" s="39"/>
      <c r="D350" s="39"/>
      <c r="E350" s="40"/>
    </row>
    <row r="351" spans="1:5" x14ac:dyDescent="0.35">
      <c r="A351" s="24"/>
      <c r="B351" s="39"/>
      <c r="C351" s="39"/>
      <c r="D351" s="39"/>
      <c r="E351" s="40"/>
    </row>
    <row r="352" spans="1:5" x14ac:dyDescent="0.35">
      <c r="A352" s="24"/>
      <c r="B352" s="14"/>
      <c r="C352" s="14"/>
      <c r="D352" s="39"/>
      <c r="E352" s="41"/>
    </row>
    <row r="353" spans="1:5" x14ac:dyDescent="0.35">
      <c r="A353" s="24"/>
      <c r="B353" s="39"/>
      <c r="C353" s="39"/>
      <c r="D353" s="39"/>
      <c r="E353" s="40"/>
    </row>
    <row r="354" spans="1:5" x14ac:dyDescent="0.35">
      <c r="A354" s="24"/>
      <c r="B354" s="39"/>
      <c r="C354" s="39"/>
      <c r="D354" s="39"/>
      <c r="E354" s="40"/>
    </row>
    <row r="355" spans="1:5" x14ac:dyDescent="0.35">
      <c r="A355" s="24"/>
      <c r="B355" s="39"/>
      <c r="C355" s="39"/>
      <c r="D355" s="39"/>
      <c r="E355" s="40"/>
    </row>
    <row r="356" spans="1:5" x14ac:dyDescent="0.35">
      <c r="A356" s="24"/>
      <c r="B356" s="39"/>
      <c r="C356" s="39"/>
      <c r="D356" s="39"/>
      <c r="E356" s="40"/>
    </row>
    <row r="357" spans="1:5" x14ac:dyDescent="0.35">
      <c r="A357" s="24"/>
      <c r="B357" s="39"/>
      <c r="C357" s="39"/>
      <c r="D357" s="39"/>
      <c r="E357" s="40"/>
    </row>
    <row r="358" spans="1:5" x14ac:dyDescent="0.35">
      <c r="A358" s="24"/>
      <c r="B358" s="39"/>
      <c r="C358" s="39"/>
      <c r="D358" s="39"/>
      <c r="E358" s="40"/>
    </row>
    <row r="359" spans="1:5" x14ac:dyDescent="0.35">
      <c r="A359" s="24"/>
      <c r="B359" s="39"/>
      <c r="C359" s="39"/>
      <c r="D359" s="39"/>
      <c r="E359" s="40"/>
    </row>
    <row r="360" spans="1:5" x14ac:dyDescent="0.35">
      <c r="A360" s="24"/>
      <c r="B360" s="39"/>
      <c r="C360" s="39"/>
      <c r="D360" s="39"/>
      <c r="E360" s="40"/>
    </row>
    <row r="361" spans="1:5" x14ac:dyDescent="0.35">
      <c r="A361" s="24"/>
      <c r="B361" s="14"/>
      <c r="C361" s="14"/>
      <c r="D361" s="39"/>
      <c r="E361" s="41"/>
    </row>
    <row r="362" spans="1:5" x14ac:dyDescent="0.35">
      <c r="A362" s="24"/>
      <c r="B362" s="39"/>
      <c r="C362" s="39"/>
      <c r="D362" s="39"/>
      <c r="E362" s="40"/>
    </row>
    <row r="363" spans="1:5" x14ac:dyDescent="0.35">
      <c r="A363" s="24"/>
      <c r="B363" s="39"/>
      <c r="C363" s="39"/>
      <c r="D363" s="39"/>
      <c r="E363" s="40"/>
    </row>
    <row r="364" spans="1:5" x14ac:dyDescent="0.35">
      <c r="A364" s="24"/>
      <c r="B364" s="39"/>
      <c r="C364" s="39"/>
      <c r="D364" s="39"/>
      <c r="E364" s="40"/>
    </row>
    <row r="365" spans="1:5" x14ac:dyDescent="0.35">
      <c r="A365" s="24"/>
      <c r="B365" s="39"/>
      <c r="C365" s="39"/>
      <c r="D365" s="39"/>
      <c r="E365" s="40"/>
    </row>
    <row r="366" spans="1:5" x14ac:dyDescent="0.35">
      <c r="A366" s="24"/>
      <c r="B366" s="39"/>
      <c r="C366" s="39"/>
      <c r="D366" s="39"/>
      <c r="E366" s="40"/>
    </row>
    <row r="367" spans="1:5" x14ac:dyDescent="0.35">
      <c r="A367" s="24"/>
      <c r="B367" s="39"/>
      <c r="C367" s="39"/>
      <c r="D367" s="39"/>
      <c r="E367" s="40"/>
    </row>
    <row r="368" spans="1:5" x14ac:dyDescent="0.35">
      <c r="A368" s="24"/>
      <c r="B368" s="39"/>
      <c r="C368" s="39"/>
      <c r="D368" s="39"/>
      <c r="E368" s="40"/>
    </row>
    <row r="369" spans="1:5" x14ac:dyDescent="0.35">
      <c r="A369" s="24"/>
      <c r="B369" s="39"/>
      <c r="C369" s="39"/>
      <c r="D369" s="39"/>
      <c r="E369" s="40"/>
    </row>
    <row r="370" spans="1:5" x14ac:dyDescent="0.35">
      <c r="A370" s="24"/>
      <c r="B370" s="14"/>
      <c r="C370" s="14"/>
      <c r="D370" s="39"/>
      <c r="E370" s="41"/>
    </row>
    <row r="371" spans="1:5" x14ac:dyDescent="0.35">
      <c r="A371" s="24"/>
      <c r="B371" s="39"/>
      <c r="C371" s="39"/>
      <c r="D371" s="39"/>
      <c r="E371" s="40"/>
    </row>
    <row r="372" spans="1:5" x14ac:dyDescent="0.35">
      <c r="A372" s="24"/>
      <c r="B372" s="39"/>
      <c r="C372" s="39"/>
      <c r="D372" s="39"/>
      <c r="E372" s="40"/>
    </row>
    <row r="373" spans="1:5" x14ac:dyDescent="0.35">
      <c r="A373" s="24"/>
      <c r="B373" s="39"/>
      <c r="C373" s="39"/>
      <c r="D373" s="39"/>
      <c r="E373" s="40"/>
    </row>
    <row r="374" spans="1:5" x14ac:dyDescent="0.35">
      <c r="A374" s="24"/>
      <c r="B374" s="39"/>
      <c r="C374" s="39"/>
      <c r="D374" s="39"/>
      <c r="E374" s="40"/>
    </row>
    <row r="375" spans="1:5" x14ac:dyDescent="0.35">
      <c r="A375" s="24"/>
      <c r="B375" s="39"/>
      <c r="C375" s="39"/>
      <c r="D375" s="39"/>
      <c r="E375" s="40"/>
    </row>
    <row r="376" spans="1:5" x14ac:dyDescent="0.35">
      <c r="A376" s="24"/>
      <c r="B376" s="39"/>
      <c r="C376" s="39"/>
      <c r="D376" s="39"/>
      <c r="E376" s="40"/>
    </row>
    <row r="377" spans="1:5" x14ac:dyDescent="0.35">
      <c r="A377" s="24"/>
      <c r="B377" s="39"/>
      <c r="C377" s="39"/>
      <c r="D377" s="39"/>
      <c r="E377" s="40"/>
    </row>
    <row r="378" spans="1:5" x14ac:dyDescent="0.35">
      <c r="A378" s="24"/>
      <c r="B378" s="39"/>
      <c r="C378" s="39"/>
      <c r="D378" s="39"/>
      <c r="E378" s="40"/>
    </row>
    <row r="379" spans="1:5" x14ac:dyDescent="0.35">
      <c r="A379" s="24"/>
      <c r="B379" s="14"/>
      <c r="C379" s="14"/>
      <c r="D379" s="39"/>
      <c r="E379" s="41"/>
    </row>
    <row r="380" spans="1:5" x14ac:dyDescent="0.35">
      <c r="A380" s="24"/>
      <c r="B380" s="39"/>
      <c r="C380" s="39"/>
      <c r="D380" s="39"/>
      <c r="E380" s="40"/>
    </row>
    <row r="381" spans="1:5" x14ac:dyDescent="0.35">
      <c r="A381" s="24"/>
      <c r="B381" s="39"/>
      <c r="C381" s="39"/>
      <c r="D381" s="39"/>
      <c r="E381" s="40"/>
    </row>
    <row r="382" spans="1:5" x14ac:dyDescent="0.35">
      <c r="A382" s="24"/>
      <c r="B382" s="39"/>
      <c r="C382" s="39"/>
      <c r="D382" s="39"/>
      <c r="E382" s="40"/>
    </row>
    <row r="383" spans="1:5" x14ac:dyDescent="0.35">
      <c r="A383" s="24"/>
      <c r="B383" s="39"/>
      <c r="C383" s="39"/>
      <c r="D383" s="39"/>
      <c r="E383" s="40"/>
    </row>
    <row r="384" spans="1:5" x14ac:dyDescent="0.35">
      <c r="A384" s="24"/>
      <c r="B384" s="39"/>
      <c r="C384" s="39"/>
      <c r="D384" s="39"/>
      <c r="E384" s="40"/>
    </row>
    <row r="385" spans="1:5" x14ac:dyDescent="0.35">
      <c r="A385" s="24"/>
      <c r="B385" s="39"/>
      <c r="C385" s="39"/>
      <c r="D385" s="39"/>
      <c r="E385" s="40"/>
    </row>
    <row r="386" spans="1:5" x14ac:dyDescent="0.35">
      <c r="A386" s="24"/>
      <c r="B386" s="39"/>
      <c r="C386" s="39"/>
      <c r="D386" s="39"/>
      <c r="E386" s="40"/>
    </row>
    <row r="387" spans="1:5" x14ac:dyDescent="0.35">
      <c r="A387" s="24"/>
      <c r="B387" s="39"/>
      <c r="C387" s="39"/>
      <c r="D387" s="39"/>
      <c r="E387" s="40"/>
    </row>
    <row r="388" spans="1:5" x14ac:dyDescent="0.35">
      <c r="A388" s="24"/>
      <c r="B388" s="14"/>
      <c r="C388" s="14"/>
      <c r="D388" s="39"/>
      <c r="E388" s="41"/>
    </row>
    <row r="389" spans="1:5" x14ac:dyDescent="0.35">
      <c r="A389" s="24"/>
      <c r="B389" s="39"/>
      <c r="C389" s="39"/>
      <c r="D389" s="39"/>
      <c r="E389" s="40"/>
    </row>
    <row r="390" spans="1:5" x14ac:dyDescent="0.35">
      <c r="A390" s="24"/>
      <c r="B390" s="39"/>
      <c r="C390" s="39"/>
      <c r="D390" s="39"/>
      <c r="E390" s="40"/>
    </row>
    <row r="391" spans="1:5" x14ac:dyDescent="0.35">
      <c r="A391" s="24"/>
      <c r="B391" s="39"/>
      <c r="C391" s="39"/>
      <c r="D391" s="39"/>
      <c r="E391" s="40"/>
    </row>
    <row r="392" spans="1:5" x14ac:dyDescent="0.35">
      <c r="A392" s="24"/>
      <c r="B392" s="39"/>
      <c r="C392" s="39"/>
      <c r="D392" s="39"/>
      <c r="E392" s="40"/>
    </row>
    <row r="393" spans="1:5" x14ac:dyDescent="0.35">
      <c r="A393" s="24"/>
      <c r="B393" s="39"/>
      <c r="C393" s="39"/>
      <c r="D393" s="39"/>
      <c r="E393" s="40"/>
    </row>
    <row r="394" spans="1:5" x14ac:dyDescent="0.35">
      <c r="A394" s="24"/>
      <c r="B394" s="39"/>
      <c r="C394" s="39"/>
      <c r="D394" s="39"/>
      <c r="E394" s="40"/>
    </row>
    <row r="395" spans="1:5" x14ac:dyDescent="0.35">
      <c r="A395" s="24"/>
      <c r="B395" s="39"/>
      <c r="C395" s="39"/>
      <c r="D395" s="39"/>
      <c r="E395" s="40"/>
    </row>
    <row r="396" spans="1:5" x14ac:dyDescent="0.35">
      <c r="A396" s="24"/>
      <c r="B396" s="39"/>
      <c r="C396" s="39"/>
      <c r="D396" s="39"/>
      <c r="E396" s="40"/>
    </row>
    <row r="397" spans="1:5" x14ac:dyDescent="0.35">
      <c r="A397" s="24"/>
      <c r="B397" s="14"/>
      <c r="C397" s="14"/>
      <c r="D397" s="39"/>
      <c r="E397" s="41"/>
    </row>
    <row r="398" spans="1:5" x14ac:dyDescent="0.35">
      <c r="A398" s="24"/>
      <c r="B398" s="39"/>
      <c r="C398" s="39"/>
      <c r="D398" s="39"/>
      <c r="E398" s="40"/>
    </row>
    <row r="399" spans="1:5" x14ac:dyDescent="0.35">
      <c r="A399" s="24"/>
      <c r="B399" s="39"/>
      <c r="C399" s="39"/>
      <c r="D399" s="39"/>
      <c r="E399" s="40"/>
    </row>
    <row r="400" spans="1:5" x14ac:dyDescent="0.35">
      <c r="A400" s="24"/>
      <c r="B400" s="39"/>
      <c r="C400" s="39"/>
      <c r="D400" s="39"/>
      <c r="E400" s="40"/>
    </row>
    <row r="401" spans="1:5" x14ac:dyDescent="0.35">
      <c r="A401" s="24"/>
      <c r="B401" s="39"/>
      <c r="C401" s="39"/>
      <c r="D401" s="39"/>
      <c r="E401" s="40"/>
    </row>
    <row r="402" spans="1:5" x14ac:dyDescent="0.35">
      <c r="A402" s="24"/>
      <c r="B402" s="39"/>
      <c r="C402" s="39"/>
      <c r="D402" s="39"/>
      <c r="E402" s="40"/>
    </row>
    <row r="403" spans="1:5" x14ac:dyDescent="0.35">
      <c r="A403" s="24"/>
      <c r="B403" s="39"/>
      <c r="C403" s="39"/>
      <c r="D403" s="39"/>
      <c r="E403" s="40"/>
    </row>
    <row r="404" spans="1:5" x14ac:dyDescent="0.35">
      <c r="A404" s="24"/>
      <c r="B404" s="39"/>
      <c r="C404" s="39"/>
      <c r="D404" s="39"/>
      <c r="E404" s="40"/>
    </row>
    <row r="405" spans="1:5" x14ac:dyDescent="0.35">
      <c r="A405" s="24"/>
      <c r="B405" s="39"/>
      <c r="C405" s="39"/>
      <c r="D405" s="39"/>
      <c r="E405" s="40"/>
    </row>
    <row r="406" spans="1:5" x14ac:dyDescent="0.35">
      <c r="A406" s="24"/>
      <c r="B406" s="14"/>
      <c r="C406" s="14"/>
      <c r="D406" s="39"/>
      <c r="E406" s="41"/>
    </row>
    <row r="407" spans="1:5" x14ac:dyDescent="0.35">
      <c r="A407" s="24"/>
      <c r="B407" s="39"/>
      <c r="C407" s="39"/>
      <c r="D407" s="39"/>
      <c r="E407" s="40"/>
    </row>
    <row r="408" spans="1:5" x14ac:dyDescent="0.35">
      <c r="A408" s="24"/>
      <c r="B408" s="39"/>
      <c r="C408" s="39"/>
      <c r="D408" s="39"/>
      <c r="E408" s="40"/>
    </row>
    <row r="409" spans="1:5" x14ac:dyDescent="0.35">
      <c r="A409" s="24"/>
      <c r="B409" s="39"/>
      <c r="C409" s="39"/>
      <c r="D409" s="39"/>
      <c r="E409" s="40"/>
    </row>
    <row r="410" spans="1:5" x14ac:dyDescent="0.35">
      <c r="A410" s="24"/>
      <c r="B410" s="39"/>
      <c r="C410" s="39"/>
      <c r="D410" s="39"/>
      <c r="E410" s="40"/>
    </row>
    <row r="411" spans="1:5" x14ac:dyDescent="0.35">
      <c r="A411" s="24"/>
      <c r="B411" s="39"/>
      <c r="C411" s="39"/>
      <c r="D411" s="39"/>
      <c r="E411" s="40"/>
    </row>
    <row r="412" spans="1:5" x14ac:dyDescent="0.35">
      <c r="A412" s="24"/>
      <c r="B412" s="39"/>
      <c r="C412" s="39"/>
      <c r="D412" s="39"/>
      <c r="E412" s="40"/>
    </row>
    <row r="413" spans="1:5" x14ac:dyDescent="0.35">
      <c r="A413" s="24"/>
      <c r="B413" s="39"/>
      <c r="C413" s="39"/>
      <c r="D413" s="39"/>
      <c r="E413" s="40"/>
    </row>
    <row r="414" spans="1:5" x14ac:dyDescent="0.35">
      <c r="A414" s="24"/>
      <c r="B414" s="39"/>
      <c r="C414" s="39"/>
      <c r="D414" s="39"/>
      <c r="E414" s="40"/>
    </row>
    <row r="415" spans="1:5" x14ac:dyDescent="0.35">
      <c r="A415" s="24"/>
      <c r="B415" s="14"/>
      <c r="C415" s="14"/>
      <c r="D415" s="39"/>
      <c r="E415" s="41"/>
    </row>
    <row r="416" spans="1:5" x14ac:dyDescent="0.35">
      <c r="A416" s="24"/>
      <c r="B416" s="39"/>
      <c r="C416" s="39"/>
      <c r="D416" s="39"/>
      <c r="E416" s="40"/>
    </row>
    <row r="417" spans="1:5" x14ac:dyDescent="0.35">
      <c r="A417" s="24"/>
      <c r="B417" s="39"/>
      <c r="C417" s="39"/>
      <c r="D417" s="39"/>
      <c r="E417" s="40"/>
    </row>
    <row r="418" spans="1:5" x14ac:dyDescent="0.35">
      <c r="A418" s="24"/>
      <c r="B418" s="39"/>
      <c r="C418" s="39"/>
      <c r="D418" s="39"/>
      <c r="E418" s="40"/>
    </row>
    <row r="419" spans="1:5" x14ac:dyDescent="0.35">
      <c r="A419" s="24"/>
      <c r="B419" s="39"/>
      <c r="C419" s="39"/>
      <c r="D419" s="39"/>
      <c r="E419" s="40"/>
    </row>
    <row r="420" spans="1:5" x14ac:dyDescent="0.35">
      <c r="A420" s="24"/>
      <c r="B420" s="39"/>
      <c r="C420" s="39"/>
      <c r="D420" s="39"/>
      <c r="E420" s="40"/>
    </row>
    <row r="421" spans="1:5" x14ac:dyDescent="0.35">
      <c r="A421" s="24"/>
      <c r="B421" s="39"/>
      <c r="C421" s="39"/>
      <c r="D421" s="39"/>
      <c r="E421" s="40"/>
    </row>
    <row r="422" spans="1:5" x14ac:dyDescent="0.35">
      <c r="A422" s="24"/>
      <c r="B422" s="39"/>
      <c r="C422" s="39"/>
      <c r="D422" s="39"/>
      <c r="E422" s="40"/>
    </row>
    <row r="423" spans="1:5" x14ac:dyDescent="0.35">
      <c r="A423" s="24"/>
      <c r="B423" s="39"/>
      <c r="C423" s="39"/>
      <c r="D423" s="39"/>
      <c r="E423" s="40"/>
    </row>
    <row r="424" spans="1:5" x14ac:dyDescent="0.35">
      <c r="A424" s="24"/>
      <c r="B424" s="14"/>
      <c r="C424" s="14"/>
      <c r="D424" s="39"/>
      <c r="E424" s="41"/>
    </row>
    <row r="425" spans="1:5" x14ac:dyDescent="0.35">
      <c r="A425" s="24"/>
      <c r="B425" s="39"/>
      <c r="C425" s="39"/>
      <c r="D425" s="39"/>
      <c r="E425" s="40"/>
    </row>
    <row r="426" spans="1:5" x14ac:dyDescent="0.35">
      <c r="A426" s="24"/>
      <c r="B426" s="39"/>
      <c r="C426" s="39"/>
      <c r="D426" s="39"/>
      <c r="E426" s="40"/>
    </row>
    <row r="427" spans="1:5" x14ac:dyDescent="0.35">
      <c r="A427" s="24"/>
      <c r="B427" s="39"/>
      <c r="C427" s="39"/>
      <c r="D427" s="39"/>
      <c r="E427" s="40"/>
    </row>
    <row r="428" spans="1:5" x14ac:dyDescent="0.35">
      <c r="A428" s="24"/>
      <c r="B428" s="39"/>
      <c r="C428" s="39"/>
      <c r="D428" s="39"/>
      <c r="E428" s="40"/>
    </row>
    <row r="429" spans="1:5" x14ac:dyDescent="0.35">
      <c r="A429" s="24"/>
      <c r="B429" s="39"/>
      <c r="C429" s="39"/>
      <c r="D429" s="39"/>
      <c r="E429" s="40"/>
    </row>
    <row r="430" spans="1:5" x14ac:dyDescent="0.35">
      <c r="A430" s="24"/>
      <c r="B430" s="39"/>
      <c r="C430" s="39"/>
      <c r="D430" s="39"/>
      <c r="E430" s="40"/>
    </row>
    <row r="431" spans="1:5" x14ac:dyDescent="0.35">
      <c r="A431" s="24"/>
      <c r="B431" s="39"/>
      <c r="C431" s="39"/>
      <c r="D431" s="39"/>
      <c r="E431" s="40"/>
    </row>
    <row r="432" spans="1:5" x14ac:dyDescent="0.35">
      <c r="A432" s="24"/>
      <c r="B432" s="39"/>
      <c r="C432" s="39"/>
      <c r="D432" s="39"/>
      <c r="E432" s="40"/>
    </row>
    <row r="433" spans="1:5" x14ac:dyDescent="0.35">
      <c r="A433" s="24"/>
      <c r="B433" s="14"/>
      <c r="C433" s="14"/>
      <c r="D433" s="39"/>
      <c r="E433" s="41"/>
    </row>
    <row r="434" spans="1:5" x14ac:dyDescent="0.35">
      <c r="A434" s="24"/>
      <c r="B434" s="39"/>
      <c r="C434" s="39"/>
      <c r="D434" s="39"/>
      <c r="E434" s="40"/>
    </row>
    <row r="435" spans="1:5" x14ac:dyDescent="0.35">
      <c r="A435" s="24"/>
      <c r="B435" s="39"/>
      <c r="C435" s="39"/>
      <c r="D435" s="39"/>
      <c r="E435" s="40"/>
    </row>
    <row r="436" spans="1:5" x14ac:dyDescent="0.35">
      <c r="A436" s="24"/>
      <c r="B436" s="39"/>
      <c r="C436" s="39"/>
      <c r="D436" s="39"/>
      <c r="E436" s="40"/>
    </row>
    <row r="437" spans="1:5" x14ac:dyDescent="0.35">
      <c r="A437" s="24"/>
      <c r="B437" s="39"/>
      <c r="C437" s="39"/>
      <c r="D437" s="39"/>
      <c r="E437" s="40"/>
    </row>
    <row r="438" spans="1:5" x14ac:dyDescent="0.35">
      <c r="A438" s="24"/>
      <c r="B438" s="39"/>
      <c r="C438" s="39"/>
      <c r="D438" s="39"/>
      <c r="E438" s="40"/>
    </row>
    <row r="439" spans="1:5" x14ac:dyDescent="0.35">
      <c r="A439" s="24"/>
      <c r="B439" s="39"/>
      <c r="C439" s="39"/>
      <c r="D439" s="39"/>
      <c r="E439" s="40"/>
    </row>
    <row r="440" spans="1:5" x14ac:dyDescent="0.35">
      <c r="A440" s="24"/>
      <c r="B440" s="39"/>
      <c r="C440" s="39"/>
      <c r="D440" s="39"/>
      <c r="E440" s="40"/>
    </row>
    <row r="441" spans="1:5" x14ac:dyDescent="0.35">
      <c r="A441" s="24"/>
      <c r="B441" s="39"/>
      <c r="C441" s="39"/>
      <c r="D441" s="39"/>
      <c r="E441" s="40"/>
    </row>
    <row r="442" spans="1:5" x14ac:dyDescent="0.35">
      <c r="A442" s="24"/>
      <c r="B442" s="14"/>
      <c r="C442" s="14"/>
      <c r="D442" s="39"/>
      <c r="E442" s="41"/>
    </row>
    <row r="443" spans="1:5" x14ac:dyDescent="0.35">
      <c r="A443" s="24"/>
      <c r="B443" s="39"/>
      <c r="C443" s="39"/>
      <c r="D443" s="39"/>
      <c r="E443" s="40"/>
    </row>
    <row r="444" spans="1:5" x14ac:dyDescent="0.35">
      <c r="A444" s="24"/>
      <c r="B444" s="39"/>
      <c r="C444" s="39"/>
      <c r="D444" s="39"/>
      <c r="E444" s="40"/>
    </row>
    <row r="445" spans="1:5" x14ac:dyDescent="0.35">
      <c r="A445" s="24"/>
      <c r="B445" s="39"/>
      <c r="C445" s="39"/>
      <c r="D445" s="39"/>
      <c r="E445" s="40"/>
    </row>
    <row r="446" spans="1:5" x14ac:dyDescent="0.35">
      <c r="A446" s="24"/>
      <c r="B446" s="39"/>
      <c r="C446" s="39"/>
      <c r="D446" s="39"/>
      <c r="E446" s="40"/>
    </row>
    <row r="447" spans="1:5" x14ac:dyDescent="0.35">
      <c r="A447" s="24"/>
      <c r="B447" s="39"/>
      <c r="C447" s="39"/>
      <c r="D447" s="39"/>
      <c r="E447" s="40"/>
    </row>
    <row r="448" spans="1:5" x14ac:dyDescent="0.35">
      <c r="A448" s="24"/>
      <c r="B448" s="39"/>
      <c r="C448" s="39"/>
      <c r="D448" s="39"/>
      <c r="E448" s="40"/>
    </row>
    <row r="449" spans="1:5" x14ac:dyDescent="0.35">
      <c r="A449" s="24"/>
      <c r="B449" s="39"/>
      <c r="C449" s="39"/>
      <c r="D449" s="39"/>
      <c r="E449" s="40"/>
    </row>
    <row r="450" spans="1:5" x14ac:dyDescent="0.35">
      <c r="A450" s="24"/>
      <c r="B450" s="39"/>
      <c r="C450" s="39"/>
      <c r="D450" s="39"/>
      <c r="E450" s="40"/>
    </row>
    <row r="451" spans="1:5" x14ac:dyDescent="0.35">
      <c r="A451" s="24"/>
      <c r="B451" s="14"/>
      <c r="C451" s="14"/>
      <c r="D451" s="39"/>
      <c r="E451" s="41"/>
    </row>
    <row r="452" spans="1:5" x14ac:dyDescent="0.35">
      <c r="A452" s="24"/>
      <c r="B452" s="39"/>
      <c r="C452" s="39"/>
      <c r="D452" s="39"/>
      <c r="E452" s="40"/>
    </row>
    <row r="453" spans="1:5" x14ac:dyDescent="0.35">
      <c r="A453" s="24"/>
      <c r="B453" s="39"/>
      <c r="C453" s="39"/>
      <c r="D453" s="39"/>
      <c r="E453" s="40"/>
    </row>
    <row r="454" spans="1:5" x14ac:dyDescent="0.35">
      <c r="A454" s="24"/>
      <c r="B454" s="39"/>
      <c r="C454" s="39"/>
      <c r="D454" s="39"/>
      <c r="E454" s="40"/>
    </row>
    <row r="455" spans="1:5" x14ac:dyDescent="0.35">
      <c r="A455" s="24"/>
      <c r="B455" s="39"/>
      <c r="C455" s="39"/>
      <c r="D455" s="39"/>
      <c r="E455" s="40"/>
    </row>
    <row r="456" spans="1:5" x14ac:dyDescent="0.35">
      <c r="A456" s="24"/>
      <c r="B456" s="39"/>
      <c r="C456" s="39"/>
      <c r="D456" s="39"/>
      <c r="E456" s="40"/>
    </row>
    <row r="457" spans="1:5" x14ac:dyDescent="0.35">
      <c r="A457" s="24"/>
      <c r="B457" s="39"/>
      <c r="C457" s="39"/>
      <c r="D457" s="39"/>
      <c r="E457" s="40"/>
    </row>
    <row r="458" spans="1:5" x14ac:dyDescent="0.35">
      <c r="A458" s="24"/>
      <c r="B458" s="39"/>
      <c r="C458" s="39"/>
      <c r="D458" s="39"/>
      <c r="E458" s="40"/>
    </row>
    <row r="459" spans="1:5" x14ac:dyDescent="0.35">
      <c r="A459" s="24"/>
      <c r="B459" s="39"/>
      <c r="C459" s="39"/>
      <c r="D459" s="39"/>
      <c r="E459" s="40"/>
    </row>
    <row r="460" spans="1:5" x14ac:dyDescent="0.35">
      <c r="A460" s="24"/>
      <c r="B460" s="14"/>
      <c r="C460" s="14"/>
      <c r="D460" s="39"/>
      <c r="E460" s="41"/>
    </row>
    <row r="461" spans="1:5" x14ac:dyDescent="0.35">
      <c r="A461" s="24"/>
      <c r="B461" s="39"/>
      <c r="C461" s="39"/>
      <c r="D461" s="39"/>
      <c r="E461" s="40"/>
    </row>
    <row r="462" spans="1:5" x14ac:dyDescent="0.35">
      <c r="A462" s="24"/>
      <c r="B462" s="39"/>
      <c r="C462" s="39"/>
      <c r="D462" s="39"/>
      <c r="E462" s="40"/>
    </row>
    <row r="463" spans="1:5" x14ac:dyDescent="0.35">
      <c r="A463" s="24"/>
      <c r="B463" s="39"/>
      <c r="C463" s="39"/>
      <c r="D463" s="39"/>
      <c r="E463" s="40"/>
    </row>
    <row r="464" spans="1:5" x14ac:dyDescent="0.35">
      <c r="A464" s="24"/>
      <c r="B464" s="39"/>
      <c r="C464" s="39"/>
      <c r="D464" s="39"/>
      <c r="E464" s="40"/>
    </row>
    <row r="465" spans="1:5" x14ac:dyDescent="0.35">
      <c r="A465" s="24"/>
      <c r="B465" s="39"/>
      <c r="C465" s="39"/>
      <c r="D465" s="39"/>
      <c r="E465" s="40"/>
    </row>
    <row r="466" spans="1:5" x14ac:dyDescent="0.35">
      <c r="A466" s="24"/>
      <c r="B466" s="39"/>
      <c r="C466" s="39"/>
      <c r="D466" s="39"/>
      <c r="E466" s="40"/>
    </row>
    <row r="467" spans="1:5" x14ac:dyDescent="0.35">
      <c r="A467" s="24"/>
      <c r="B467" s="39"/>
      <c r="C467" s="39"/>
      <c r="D467" s="39"/>
      <c r="E467" s="40"/>
    </row>
    <row r="468" spans="1:5" x14ac:dyDescent="0.35">
      <c r="A468" s="24"/>
      <c r="B468" s="39"/>
      <c r="C468" s="39"/>
      <c r="D468" s="39"/>
      <c r="E468" s="40"/>
    </row>
    <row r="469" spans="1:5" x14ac:dyDescent="0.35">
      <c r="A469" s="24"/>
      <c r="B469" s="14"/>
      <c r="C469" s="14"/>
      <c r="D469" s="39"/>
      <c r="E469" s="41"/>
    </row>
    <row r="470" spans="1:5" x14ac:dyDescent="0.35">
      <c r="A470" s="24"/>
      <c r="B470" s="39"/>
      <c r="C470" s="39"/>
      <c r="D470" s="39"/>
      <c r="E470" s="40"/>
    </row>
    <row r="471" spans="1:5" x14ac:dyDescent="0.35">
      <c r="A471" s="24"/>
      <c r="B471" s="39"/>
      <c r="C471" s="39"/>
      <c r="D471" s="39"/>
      <c r="E471" s="40"/>
    </row>
    <row r="472" spans="1:5" x14ac:dyDescent="0.35">
      <c r="A472" s="24"/>
      <c r="B472" s="39"/>
      <c r="C472" s="39"/>
      <c r="D472" s="39"/>
      <c r="E472" s="40"/>
    </row>
    <row r="473" spans="1:5" x14ac:dyDescent="0.35">
      <c r="A473" s="24"/>
      <c r="B473" s="39"/>
      <c r="C473" s="39"/>
      <c r="D473" s="39"/>
      <c r="E473" s="40"/>
    </row>
    <row r="474" spans="1:5" x14ac:dyDescent="0.35">
      <c r="A474" s="24"/>
      <c r="B474" s="39"/>
      <c r="C474" s="39"/>
      <c r="D474" s="39"/>
      <c r="E474" s="40"/>
    </row>
    <row r="475" spans="1:5" x14ac:dyDescent="0.35">
      <c r="A475" s="24"/>
      <c r="B475" s="39"/>
      <c r="C475" s="39"/>
      <c r="D475" s="39"/>
      <c r="E475" s="40"/>
    </row>
    <row r="476" spans="1:5" x14ac:dyDescent="0.35">
      <c r="A476" s="24"/>
      <c r="B476" s="39"/>
      <c r="C476" s="39"/>
      <c r="D476" s="39"/>
      <c r="E476" s="40"/>
    </row>
    <row r="477" spans="1:5" x14ac:dyDescent="0.35">
      <c r="A477" s="24"/>
      <c r="B477" s="39"/>
      <c r="C477" s="39"/>
      <c r="D477" s="39"/>
      <c r="E477" s="40"/>
    </row>
    <row r="478" spans="1:5" x14ac:dyDescent="0.35">
      <c r="A478" s="24"/>
      <c r="B478" s="14"/>
      <c r="C478" s="14"/>
      <c r="D478" s="39"/>
      <c r="E478" s="41"/>
    </row>
    <row r="479" spans="1:5" x14ac:dyDescent="0.35">
      <c r="A479" s="24"/>
      <c r="B479" s="39"/>
      <c r="C479" s="39"/>
      <c r="D479" s="39"/>
      <c r="E479" s="40"/>
    </row>
    <row r="480" spans="1:5" x14ac:dyDescent="0.35">
      <c r="A480" s="24"/>
      <c r="B480" s="39"/>
      <c r="C480" s="39"/>
      <c r="D480" s="39"/>
      <c r="E480" s="40"/>
    </row>
    <row r="481" spans="1:5" x14ac:dyDescent="0.35">
      <c r="A481" s="24"/>
      <c r="B481" s="39"/>
      <c r="C481" s="39"/>
      <c r="D481" s="39"/>
      <c r="E481" s="40"/>
    </row>
    <row r="482" spans="1:5" x14ac:dyDescent="0.35">
      <c r="A482" s="24"/>
      <c r="B482" s="39"/>
      <c r="C482" s="39"/>
      <c r="D482" s="39"/>
      <c r="E482" s="40"/>
    </row>
    <row r="483" spans="1:5" x14ac:dyDescent="0.35">
      <c r="A483" s="24"/>
      <c r="B483" s="39"/>
      <c r="C483" s="39"/>
      <c r="D483" s="39"/>
      <c r="E483" s="40"/>
    </row>
    <row r="484" spans="1:5" x14ac:dyDescent="0.35">
      <c r="A484" s="24"/>
      <c r="B484" s="39"/>
      <c r="C484" s="39"/>
      <c r="D484" s="39"/>
      <c r="E484" s="40"/>
    </row>
    <row r="485" spans="1:5" x14ac:dyDescent="0.35">
      <c r="A485" s="24"/>
      <c r="B485" s="39"/>
      <c r="C485" s="39"/>
      <c r="D485" s="39"/>
      <c r="E485" s="40"/>
    </row>
    <row r="486" spans="1:5" x14ac:dyDescent="0.35">
      <c r="A486" s="24"/>
      <c r="B486" s="39"/>
      <c r="C486" s="39"/>
      <c r="D486" s="39"/>
      <c r="E486" s="40"/>
    </row>
    <row r="487" spans="1:5" x14ac:dyDescent="0.35">
      <c r="A487" s="24"/>
      <c r="B487" s="14"/>
      <c r="C487" s="14"/>
      <c r="D487" s="39"/>
      <c r="E487" s="41"/>
    </row>
    <row r="488" spans="1:5" x14ac:dyDescent="0.35">
      <c r="A488" s="24"/>
      <c r="B488" s="39"/>
      <c r="C488" s="39"/>
      <c r="D488" s="39"/>
      <c r="E488" s="40"/>
    </row>
    <row r="489" spans="1:5" x14ac:dyDescent="0.35">
      <c r="A489" s="24"/>
      <c r="B489" s="39"/>
      <c r="C489" s="39"/>
      <c r="D489" s="39"/>
      <c r="E489" s="40"/>
    </row>
    <row r="490" spans="1:5" x14ac:dyDescent="0.35">
      <c r="A490" s="24"/>
      <c r="B490" s="39"/>
      <c r="C490" s="39"/>
      <c r="D490" s="39"/>
      <c r="E490" s="40"/>
    </row>
    <row r="491" spans="1:5" x14ac:dyDescent="0.35">
      <c r="A491" s="24"/>
      <c r="B491" s="39"/>
      <c r="C491" s="39"/>
      <c r="D491" s="39"/>
      <c r="E491" s="40"/>
    </row>
    <row r="492" spans="1:5" x14ac:dyDescent="0.35">
      <c r="A492" s="24"/>
      <c r="B492" s="39"/>
      <c r="C492" s="39"/>
      <c r="D492" s="39"/>
      <c r="E492" s="40"/>
    </row>
    <row r="493" spans="1:5" x14ac:dyDescent="0.35">
      <c r="A493" s="24"/>
      <c r="B493" s="39"/>
      <c r="C493" s="39"/>
      <c r="D493" s="39"/>
      <c r="E493" s="40"/>
    </row>
    <row r="494" spans="1:5" x14ac:dyDescent="0.35">
      <c r="A494" s="24"/>
      <c r="B494" s="39"/>
      <c r="C494" s="39"/>
      <c r="D494" s="39"/>
      <c r="E494" s="40"/>
    </row>
    <row r="495" spans="1:5" x14ac:dyDescent="0.35">
      <c r="A495" s="24"/>
      <c r="B495" s="39"/>
      <c r="C495" s="39"/>
      <c r="D495" s="39"/>
      <c r="E495" s="40"/>
    </row>
    <row r="496" spans="1:5" x14ac:dyDescent="0.35">
      <c r="A496" s="24"/>
      <c r="B496" s="14"/>
      <c r="C496" s="14"/>
      <c r="D496" s="39"/>
      <c r="E496" s="41"/>
    </row>
    <row r="497" spans="1:67" x14ac:dyDescent="0.35">
      <c r="A497" s="24"/>
      <c r="B497" s="39"/>
      <c r="C497" s="39"/>
      <c r="D497" s="39"/>
      <c r="E497" s="40"/>
    </row>
    <row r="498" spans="1:67" x14ac:dyDescent="0.35">
      <c r="A498" s="24"/>
      <c r="B498" s="39"/>
      <c r="C498" s="39"/>
      <c r="D498" s="39"/>
      <c r="E498" s="40"/>
    </row>
    <row r="499" spans="1:67" x14ac:dyDescent="0.35">
      <c r="A499" s="24"/>
      <c r="B499" s="39"/>
      <c r="C499" s="39"/>
      <c r="D499" s="39"/>
      <c r="E499" s="40"/>
    </row>
    <row r="500" spans="1:67" s="28" customFormat="1" x14ac:dyDescent="0.35">
      <c r="E500" s="29"/>
      <c r="F500" s="13"/>
      <c r="G500" s="13"/>
      <c r="H500" s="13"/>
      <c r="I500" s="13"/>
      <c r="J500" s="13"/>
      <c r="K500" s="13"/>
      <c r="L500" s="13"/>
      <c r="M500" s="13"/>
      <c r="N500" s="13"/>
      <c r="O500" s="13"/>
      <c r="P500" s="13"/>
      <c r="Q500" s="13"/>
      <c r="R500" s="13"/>
      <c r="S500" s="13"/>
      <c r="T500" s="13"/>
      <c r="U500" s="13"/>
      <c r="V500" s="13"/>
      <c r="W500" s="13"/>
      <c r="X500" s="13"/>
      <c r="Y500" s="13"/>
      <c r="Z500" s="13"/>
      <c r="AA500" s="13"/>
      <c r="AB500" s="13"/>
      <c r="AC500" s="13"/>
      <c r="AD500" s="13"/>
      <c r="AE500" s="13"/>
      <c r="AF500" s="13"/>
      <c r="AG500" s="13"/>
      <c r="AH500" s="13"/>
      <c r="AI500" s="13"/>
      <c r="AJ500" s="13"/>
      <c r="AK500" s="13"/>
      <c r="AL500" s="13"/>
      <c r="AM500" s="13"/>
      <c r="AN500" s="13"/>
      <c r="AO500" s="13"/>
      <c r="AP500" s="13"/>
      <c r="AQ500" s="13"/>
      <c r="AR500" s="13"/>
      <c r="AS500" s="13"/>
      <c r="AT500" s="13"/>
      <c r="AU500" s="13"/>
      <c r="AV500" s="13"/>
      <c r="AW500" s="13"/>
      <c r="AX500" s="13"/>
      <c r="AY500" s="13"/>
      <c r="AZ500" s="13"/>
      <c r="BA500" s="13"/>
      <c r="BB500" s="13"/>
      <c r="BC500" s="13"/>
      <c r="BD500" s="13"/>
      <c r="BE500" s="13"/>
      <c r="BF500" s="13"/>
      <c r="BG500" s="13"/>
      <c r="BH500" s="13"/>
      <c r="BI500" s="13"/>
      <c r="BJ500" s="13"/>
      <c r="BK500" s="13"/>
      <c r="BL500" s="13"/>
      <c r="BM500" s="13"/>
      <c r="BN500" s="13"/>
      <c r="BO500" s="13"/>
    </row>
    <row r="501" spans="1:67" x14ac:dyDescent="0.35">
      <c r="A501" t="s">
        <v>370</v>
      </c>
    </row>
  </sheetData>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D395A328-DFF4-4402-8F63-20B0E21E1588}">
          <x14:formula1>
            <xm:f>'SCENARIO ASSUMPTIONS'!$F$6:$F$20</xm:f>
          </x14:formula1>
          <xm:sqref>D2:D538</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570782-F6FB-45D9-BC5A-D803B90E0154}">
  <sheetPr codeName="Sheet16">
    <tabColor theme="5" tint="-0.249977111117893"/>
  </sheetPr>
  <dimension ref="A1:AK57"/>
  <sheetViews>
    <sheetView topLeftCell="A3" zoomScaleNormal="115" workbookViewId="0">
      <selection activeCell="G28" sqref="G28"/>
    </sheetView>
  </sheetViews>
  <sheetFormatPr defaultRowHeight="14.5" x14ac:dyDescent="0.35"/>
  <cols>
    <col min="1" max="1" width="14.453125" bestFit="1" customWidth="1"/>
    <col min="2" max="2" width="12.08984375" customWidth="1"/>
    <col min="3" max="3" width="17.54296875" bestFit="1" customWidth="1"/>
    <col min="4" max="4" width="11.90625" customWidth="1"/>
    <col min="5" max="5" width="12" customWidth="1"/>
    <col min="6" max="6" width="15.81640625" customWidth="1"/>
    <col min="7" max="7" width="11.1796875" bestFit="1" customWidth="1"/>
    <col min="8" max="8" width="15.453125" customWidth="1"/>
    <col min="9" max="9" width="11.1796875" bestFit="1" customWidth="1"/>
    <col min="10" max="10" width="9.54296875" bestFit="1" customWidth="1"/>
    <col min="13" max="13" width="17.453125" customWidth="1"/>
    <col min="14" max="14" width="19.54296875" customWidth="1"/>
    <col min="15" max="17" width="15.36328125" customWidth="1"/>
    <col min="18" max="18" width="14.90625" customWidth="1"/>
    <col min="19" max="19" width="13.26953125" customWidth="1"/>
    <col min="20" max="20" width="16.36328125" customWidth="1"/>
    <col min="21" max="21" width="13.08984375" customWidth="1"/>
    <col min="22" max="22" width="11.54296875" customWidth="1"/>
    <col min="23" max="23" width="25.6328125" customWidth="1"/>
    <col min="24" max="24" width="14.36328125" customWidth="1"/>
    <col min="25" max="25" width="15.1796875" customWidth="1"/>
    <col min="26" max="26" width="11.54296875" customWidth="1"/>
    <col min="27" max="27" width="15.7265625" customWidth="1"/>
  </cols>
  <sheetData>
    <row r="1" spans="1:27" s="13" customFormat="1" ht="27.5" customHeight="1" x14ac:dyDescent="0.35">
      <c r="A1" s="172" t="s">
        <v>25</v>
      </c>
      <c r="B1" s="173"/>
      <c r="C1" s="173"/>
      <c r="D1" s="173"/>
      <c r="E1" s="173"/>
      <c r="F1" s="173"/>
      <c r="G1" s="173"/>
      <c r="H1" s="173"/>
      <c r="I1" s="173"/>
      <c r="J1" s="173"/>
      <c r="K1" s="173"/>
      <c r="L1" s="173"/>
      <c r="M1" s="173"/>
      <c r="N1" s="173"/>
      <c r="O1" s="173"/>
      <c r="P1" s="173"/>
      <c r="Q1" s="173"/>
      <c r="R1" s="173"/>
      <c r="S1" s="173"/>
      <c r="T1" s="173"/>
      <c r="U1" s="173"/>
      <c r="V1" s="173"/>
      <c r="W1" s="38"/>
      <c r="X1" s="38"/>
      <c r="Y1" s="38"/>
      <c r="Z1" s="38"/>
      <c r="AA1" s="47"/>
    </row>
    <row r="2" spans="1:27" s="13" customFormat="1" ht="84" x14ac:dyDescent="0.35">
      <c r="A2" s="7" t="s">
        <v>501</v>
      </c>
      <c r="B2" s="7" t="s">
        <v>26</v>
      </c>
      <c r="C2" s="7" t="s">
        <v>0</v>
      </c>
      <c r="D2" s="7" t="s">
        <v>6</v>
      </c>
      <c r="E2" s="7" t="s">
        <v>7</v>
      </c>
      <c r="F2" s="7" t="s">
        <v>8</v>
      </c>
      <c r="G2" s="7" t="s">
        <v>9</v>
      </c>
      <c r="H2" s="7" t="s">
        <v>10</v>
      </c>
      <c r="I2" s="7" t="s">
        <v>11</v>
      </c>
      <c r="J2" s="7" t="s">
        <v>12</v>
      </c>
      <c r="K2" s="7" t="s">
        <v>353</v>
      </c>
      <c r="L2" s="7" t="s">
        <v>354</v>
      </c>
      <c r="M2" s="7" t="s">
        <v>450</v>
      </c>
      <c r="N2" s="7" t="s">
        <v>356</v>
      </c>
      <c r="O2" s="7" t="s">
        <v>502</v>
      </c>
      <c r="P2" s="7" t="s">
        <v>506</v>
      </c>
      <c r="Q2" s="7" t="s">
        <v>507</v>
      </c>
      <c r="R2" s="7" t="s">
        <v>4</v>
      </c>
      <c r="S2" s="7" t="s">
        <v>344</v>
      </c>
      <c r="T2" s="7" t="s">
        <v>345</v>
      </c>
      <c r="U2" s="7" t="s">
        <v>346</v>
      </c>
      <c r="V2" s="7" t="s">
        <v>347</v>
      </c>
      <c r="W2" s="46" t="s">
        <v>498</v>
      </c>
      <c r="X2" s="46" t="s">
        <v>499</v>
      </c>
      <c r="Y2" s="46" t="s">
        <v>500</v>
      </c>
      <c r="Z2" s="46" t="s">
        <v>379</v>
      </c>
      <c r="AA2" s="46" t="s">
        <v>380</v>
      </c>
    </row>
    <row r="3" spans="1:27" s="13" customFormat="1" x14ac:dyDescent="0.35">
      <c r="A3" s="30" t="s">
        <v>7</v>
      </c>
      <c r="B3" s="30"/>
      <c r="C3" s="31"/>
      <c r="D3" s="91"/>
      <c r="E3" s="91"/>
      <c r="F3" s="91"/>
      <c r="G3" s="92"/>
      <c r="H3" s="91"/>
      <c r="I3" s="92">
        <f t="shared" ref="I3:I8" si="0">G3*H3</f>
        <v>0</v>
      </c>
      <c r="J3" s="92">
        <f>I3*_xlfn.XLOOKUP(C3,MATERIALS!$A$1:$A$500,MATERIALS!$B$1:$B$500,0)</f>
        <v>0</v>
      </c>
      <c r="K3" s="92">
        <f>J3*_xlfn.XLOOKUP(C3,MATERIALS!$A$1:$A$500,MATERIALS!$C$1:$C$500,0)</f>
        <v>0</v>
      </c>
      <c r="L3" s="92">
        <f t="shared" ref="L3:L9" si="1">K3/($A$4*$A$6)</f>
        <v>0</v>
      </c>
      <c r="M3" s="81"/>
      <c r="N3" s="52"/>
      <c r="O3" s="53"/>
      <c r="P3" s="53"/>
      <c r="Q3" s="53"/>
      <c r="R3" s="33" t="str">
        <f>IF(_xlfn.XLOOKUP($C3,MATERIALS!$A$1:$A$500,MATERIALS!$D$1:$D$500,FALSE)=R$2,"Yes","No")</f>
        <v>No</v>
      </c>
      <c r="S3" s="33" t="str">
        <f>IF(_xlfn.XLOOKUP($C3,MATERIALS!$A$1:$A$500,MATERIALS!$D$1:$D$500,FALSE)=S$2,"Yes","No")</f>
        <v>No</v>
      </c>
      <c r="T3" s="33" t="str">
        <f>IF(_xlfn.XLOOKUP($C3,MATERIALS!$A$1:$A$500,MATERIALS!$D$1:$D$500,FALSE)=T$2,"Yes","No")</f>
        <v>No</v>
      </c>
      <c r="U3" s="33" t="str">
        <f>IF(_xlfn.XLOOKUP($C3,MATERIALS!$A$1:$A$500,MATERIALS!$D$1:$D$500,FALSE)=U$2,"Yes","No")</f>
        <v>No</v>
      </c>
      <c r="V3" s="33" t="str">
        <f>IF(_xlfn.XLOOKUP($C3,MATERIALS!$A$1:$A$500,MATERIALS!$D$1:$D$500,FALSE)=V$2,"Yes","No")</f>
        <v>No</v>
      </c>
      <c r="W3" s="32">
        <f t="shared" ref="W3:AA9" si="2">IF(R3="Yes",$L3,0)</f>
        <v>0</v>
      </c>
      <c r="X3" s="32">
        <f t="shared" si="2"/>
        <v>0</v>
      </c>
      <c r="Y3" s="32">
        <f t="shared" si="2"/>
        <v>0</v>
      </c>
      <c r="Z3" s="32">
        <f t="shared" si="2"/>
        <v>0</v>
      </c>
      <c r="AA3" s="32">
        <f t="shared" si="2"/>
        <v>0</v>
      </c>
    </row>
    <row r="4" spans="1:27" s="13" customFormat="1" x14ac:dyDescent="0.35">
      <c r="A4" s="31">
        <v>2.4</v>
      </c>
      <c r="B4" s="30" t="s">
        <v>13</v>
      </c>
      <c r="C4" s="31" t="s">
        <v>32</v>
      </c>
      <c r="D4" s="91">
        <v>0.17899999999999999</v>
      </c>
      <c r="E4" s="91">
        <v>2.4</v>
      </c>
      <c r="F4" s="101">
        <v>1.1999999999999999E-3</v>
      </c>
      <c r="G4" s="102">
        <f t="shared" ref="G4:G8" si="3">D4*E4*F4</f>
        <v>5.1551999999999989E-4</v>
      </c>
      <c r="H4" s="91">
        <v>5</v>
      </c>
      <c r="I4" s="92">
        <f t="shared" si="0"/>
        <v>2.5775999999999993E-3</v>
      </c>
      <c r="J4" s="92">
        <f>I4*_xlfn.XLOOKUP(C4,MATERIALS!$A$1:$A$500,MATERIALS!$B$1:$B$500,0)</f>
        <v>20.105279999999993</v>
      </c>
      <c r="K4" s="92">
        <f>J4*_xlfn.XLOOKUP(C4,MATERIALS!$A$1:$A$500,MATERIALS!$C$1:$C$500,0)</f>
        <v>54.485308799999984</v>
      </c>
      <c r="L4" s="92">
        <f t="shared" si="1"/>
        <v>9.4592549999999971</v>
      </c>
      <c r="M4" s="89">
        <f>E4*D4*H4/($A$4*$A$6)</f>
        <v>0.37291666666666662</v>
      </c>
      <c r="N4" s="52">
        <f>_xlfn.XLOOKUP(C4,MATERIALS!$A$1:$A$500,MATERIALS!$E$1:$E$500,0)</f>
        <v>50</v>
      </c>
      <c r="O4" s="53">
        <f t="shared" ref="O4:O5" si="4">IF(N4=0,0,F4/N4*M4)</f>
        <v>8.9499999999999973E-6</v>
      </c>
      <c r="P4" s="53"/>
      <c r="Q4" s="53"/>
      <c r="R4" s="33" t="str">
        <f>IF(_xlfn.XLOOKUP($C4,MATERIALS!$A$1:$A$500,MATERIALS!$D$1:$D$500,FALSE)=R$2,"Yes","No")</f>
        <v>Yes</v>
      </c>
      <c r="S4" s="33" t="str">
        <f>IF(_xlfn.XLOOKUP($C4,MATERIALS!$A$1:$A$500,MATERIALS!$D$1:$D$500,FALSE)=S$2,"Yes","No")</f>
        <v>No</v>
      </c>
      <c r="T4" s="33" t="str">
        <f>IF(_xlfn.XLOOKUP($C4,MATERIALS!$A$1:$A$500,MATERIALS!$D$1:$D$500,FALSE)=T$2,"Yes","No")</f>
        <v>No</v>
      </c>
      <c r="U4" s="33" t="str">
        <f>IF(_xlfn.XLOOKUP($C4,MATERIALS!$A$1:$A$500,MATERIALS!$D$1:$D$500,FALSE)=U$2,"Yes","No")</f>
        <v>No</v>
      </c>
      <c r="V4" s="33" t="str">
        <f>IF(_xlfn.XLOOKUP($C4,MATERIALS!$A$1:$A$500,MATERIALS!$D$1:$D$500,FALSE)=V$2,"Yes","No")</f>
        <v>No</v>
      </c>
      <c r="W4" s="32">
        <f t="shared" si="2"/>
        <v>9.4592549999999971</v>
      </c>
      <c r="X4" s="32">
        <f t="shared" si="2"/>
        <v>0</v>
      </c>
      <c r="Y4" s="32">
        <f t="shared" si="2"/>
        <v>0</v>
      </c>
      <c r="Z4" s="32">
        <f t="shared" si="2"/>
        <v>0</v>
      </c>
      <c r="AA4" s="32">
        <f t="shared" si="2"/>
        <v>0</v>
      </c>
    </row>
    <row r="5" spans="1:27" s="13" customFormat="1" x14ac:dyDescent="0.35">
      <c r="A5" s="30" t="s">
        <v>6</v>
      </c>
      <c r="B5" s="30" t="s">
        <v>14</v>
      </c>
      <c r="C5" s="31" t="s">
        <v>32</v>
      </c>
      <c r="D5" s="91">
        <v>0.17899999999999999</v>
      </c>
      <c r="E5" s="91">
        <v>2.4</v>
      </c>
      <c r="F5" s="101">
        <v>1.1999999999999999E-3</v>
      </c>
      <c r="G5" s="102">
        <f t="shared" si="3"/>
        <v>5.1551999999999989E-4</v>
      </c>
      <c r="H5" s="91">
        <v>2</v>
      </c>
      <c r="I5" s="92">
        <f t="shared" si="0"/>
        <v>1.0310399999999998E-3</v>
      </c>
      <c r="J5" s="92">
        <f>I5*_xlfn.XLOOKUP(C5,MATERIALS!$A$1:$A$500,MATERIALS!$B$1:$B$500,0)</f>
        <v>8.0421119999999977</v>
      </c>
      <c r="K5" s="92">
        <f>J5*_xlfn.XLOOKUP(C5,MATERIALS!$A$1:$A$500,MATERIALS!$C$1:$C$500,0)</f>
        <v>21.794123519999992</v>
      </c>
      <c r="L5" s="92">
        <f t="shared" si="1"/>
        <v>3.783701999999999</v>
      </c>
      <c r="M5" s="89">
        <f>E5*D5*H5/($A$4*$A$6)</f>
        <v>0.14916666666666667</v>
      </c>
      <c r="N5" s="52">
        <f>_xlfn.XLOOKUP(C5,MATERIALS!$A$1:$A$500,MATERIALS!$E$1:$E$500,0)</f>
        <v>50</v>
      </c>
      <c r="O5" s="53">
        <f t="shared" si="4"/>
        <v>3.5799999999999996E-6</v>
      </c>
      <c r="P5" s="53"/>
      <c r="Q5" s="53"/>
      <c r="R5" s="33" t="str">
        <f>IF(_xlfn.XLOOKUP($C5,MATERIALS!$A$1:$A$500,MATERIALS!$D$1:$D$500,FALSE)=R$2,"Yes","No")</f>
        <v>Yes</v>
      </c>
      <c r="S5" s="33" t="str">
        <f>IF(_xlfn.XLOOKUP($C5,MATERIALS!$A$1:$A$500,MATERIALS!$D$1:$D$500,FALSE)=S$2,"Yes","No")</f>
        <v>No</v>
      </c>
      <c r="T5" s="33" t="str">
        <f>IF(_xlfn.XLOOKUP($C5,MATERIALS!$A$1:$A$500,MATERIALS!$D$1:$D$500,FALSE)=T$2,"Yes","No")</f>
        <v>No</v>
      </c>
      <c r="U5" s="33" t="str">
        <f>IF(_xlfn.XLOOKUP($C5,MATERIALS!$A$1:$A$500,MATERIALS!$D$1:$D$500,FALSE)=U$2,"Yes","No")</f>
        <v>No</v>
      </c>
      <c r="V5" s="33" t="str">
        <f>IF(_xlfn.XLOOKUP($C5,MATERIALS!$A$1:$A$500,MATERIALS!$D$1:$D$500,FALSE)=V$2,"Yes","No")</f>
        <v>No</v>
      </c>
      <c r="W5" s="32">
        <f t="shared" si="2"/>
        <v>3.783701999999999</v>
      </c>
      <c r="X5" s="32">
        <f t="shared" si="2"/>
        <v>0</v>
      </c>
      <c r="Y5" s="32">
        <f t="shared" si="2"/>
        <v>0</v>
      </c>
      <c r="Z5" s="32">
        <f t="shared" si="2"/>
        <v>0</v>
      </c>
      <c r="AA5" s="32">
        <f t="shared" si="2"/>
        <v>0</v>
      </c>
    </row>
    <row r="6" spans="1:27" s="13" customFormat="1" x14ac:dyDescent="0.35">
      <c r="A6" s="31">
        <v>2.4</v>
      </c>
      <c r="B6" s="30" t="s">
        <v>15</v>
      </c>
      <c r="C6" s="31" t="s">
        <v>32</v>
      </c>
      <c r="D6" s="91">
        <v>0.17899999999999999</v>
      </c>
      <c r="E6" s="91">
        <v>2.4</v>
      </c>
      <c r="F6" s="101">
        <v>1.1999999999999999E-3</v>
      </c>
      <c r="G6" s="102">
        <f t="shared" si="3"/>
        <v>5.1551999999999989E-4</v>
      </c>
      <c r="H6" s="91">
        <v>1</v>
      </c>
      <c r="I6" s="92">
        <f t="shared" si="0"/>
        <v>5.1551999999999989E-4</v>
      </c>
      <c r="J6" s="92">
        <f>I6*_xlfn.XLOOKUP(C6,MATERIALS!$A$1:$A$500,MATERIALS!$B$1:$B$500,0)</f>
        <v>4.0210559999999989</v>
      </c>
      <c r="K6" s="92">
        <f>J6*_xlfn.XLOOKUP(C6,MATERIALS!$A$1:$A$500,MATERIALS!$C$1:$C$500,0)</f>
        <v>10.897061759999996</v>
      </c>
      <c r="L6" s="92">
        <f t="shared" si="1"/>
        <v>1.8918509999999995</v>
      </c>
      <c r="M6" s="89">
        <f>E6*D6*H6/($A$4*$A$6)</f>
        <v>7.4583333333333335E-2</v>
      </c>
      <c r="N6" s="52">
        <f>_xlfn.XLOOKUP(C6,MATERIALS!$A$1:$A$500,MATERIALS!$E$1:$E$500,0)</f>
        <v>50</v>
      </c>
      <c r="O6" s="53">
        <f>IF(N6=0,0,F6/N6*M6)</f>
        <v>1.7899999999999998E-6</v>
      </c>
      <c r="P6" s="53"/>
      <c r="Q6" s="53"/>
      <c r="R6" s="33" t="str">
        <f>IF(_xlfn.XLOOKUP($C6,MATERIALS!$A$1:$A$500,MATERIALS!$D$1:$D$500,FALSE)=R$2,"Yes","No")</f>
        <v>Yes</v>
      </c>
      <c r="S6" s="33" t="str">
        <f>IF(_xlfn.XLOOKUP($C6,MATERIALS!$A$1:$A$500,MATERIALS!$D$1:$D$500,FALSE)=S$2,"Yes","No")</f>
        <v>No</v>
      </c>
      <c r="T6" s="33" t="str">
        <f>IF(_xlfn.XLOOKUP($C6,MATERIALS!$A$1:$A$500,MATERIALS!$D$1:$D$500,FALSE)=T$2,"Yes","No")</f>
        <v>No</v>
      </c>
      <c r="U6" s="33" t="str">
        <f>IF(_xlfn.XLOOKUP($C6,MATERIALS!$A$1:$A$500,MATERIALS!$D$1:$D$500,FALSE)=U$2,"Yes","No")</f>
        <v>No</v>
      </c>
      <c r="V6" s="33" t="str">
        <f>IF(_xlfn.XLOOKUP($C6,MATERIALS!$A$1:$A$500,MATERIALS!$D$1:$D$500,FALSE)=V$2,"Yes","No")</f>
        <v>No</v>
      </c>
      <c r="W6" s="32">
        <f t="shared" si="2"/>
        <v>1.8918509999999995</v>
      </c>
      <c r="X6" s="32">
        <f t="shared" si="2"/>
        <v>0</v>
      </c>
      <c r="Y6" s="32">
        <f t="shared" si="2"/>
        <v>0</v>
      </c>
      <c r="Z6" s="32">
        <f t="shared" si="2"/>
        <v>0</v>
      </c>
      <c r="AA6" s="32">
        <f t="shared" si="2"/>
        <v>0</v>
      </c>
    </row>
    <row r="7" spans="1:27" s="13" customFormat="1" ht="26" x14ac:dyDescent="0.35">
      <c r="A7" s="30" t="s">
        <v>8</v>
      </c>
      <c r="B7" s="30" t="s">
        <v>16</v>
      </c>
      <c r="C7" s="31" t="s">
        <v>33</v>
      </c>
      <c r="D7" s="103">
        <v>0.6</v>
      </c>
      <c r="E7" s="91">
        <v>2.4</v>
      </c>
      <c r="F7" s="91">
        <v>0.09</v>
      </c>
      <c r="G7" s="92">
        <f t="shared" si="3"/>
        <v>0.12959999999999999</v>
      </c>
      <c r="H7" s="91">
        <v>4</v>
      </c>
      <c r="I7" s="92">
        <f t="shared" si="0"/>
        <v>0.51839999999999997</v>
      </c>
      <c r="J7" s="92">
        <f>I7*_xlfn.XLOOKUP(C7,MATERIALS!$A$1:$A$500,MATERIALS!$B$1:$B$500,0)</f>
        <v>41.471999999999994</v>
      </c>
      <c r="K7" s="92">
        <f>J7*_xlfn.XLOOKUP(C7,MATERIALS!$A$1:$A$500,MATERIALS!$C$1:$C$500,0)</f>
        <v>51.839999999999989</v>
      </c>
      <c r="L7" s="92">
        <f t="shared" si="1"/>
        <v>8.9999999999999982</v>
      </c>
      <c r="M7" s="89">
        <f>1-SUM(M4:M6)</f>
        <v>0.40333333333333343</v>
      </c>
      <c r="N7" s="52">
        <f>_xlfn.XLOOKUP(C7,MATERIALS!$A$1:$A$500,MATERIALS!$E$1:$E$500,0)</f>
        <v>3.5000000000000003E-2</v>
      </c>
      <c r="O7" s="53"/>
      <c r="P7" s="53">
        <f>IF(N7=0,0,F7/N7*M7)</f>
        <v>1.0371428571428574</v>
      </c>
      <c r="Q7" s="53"/>
      <c r="R7" s="33" t="str">
        <f>IF(_xlfn.XLOOKUP($C7,MATERIALS!$A$1:$A$500,MATERIALS!$D$1:$D$500,FALSE)=R$2,"Yes","No")</f>
        <v>No</v>
      </c>
      <c r="S7" s="33" t="str">
        <f>IF(_xlfn.XLOOKUP($C7,MATERIALS!$A$1:$A$500,MATERIALS!$D$1:$D$500,FALSE)=S$2,"Yes","No")</f>
        <v>Yes</v>
      </c>
      <c r="T7" s="33" t="str">
        <f>IF(_xlfn.XLOOKUP($C7,MATERIALS!$A$1:$A$500,MATERIALS!$D$1:$D$500,FALSE)=T$2,"Yes","No")</f>
        <v>No</v>
      </c>
      <c r="U7" s="33" t="str">
        <f>IF(_xlfn.XLOOKUP($C7,MATERIALS!$A$1:$A$500,MATERIALS!$D$1:$D$500,FALSE)=U$2,"Yes","No")</f>
        <v>No</v>
      </c>
      <c r="V7" s="33" t="str">
        <f>IF(_xlfn.XLOOKUP($C7,MATERIALS!$A$1:$A$500,MATERIALS!$D$1:$D$500,FALSE)=V$2,"Yes","No")</f>
        <v>No</v>
      </c>
      <c r="W7" s="32">
        <f t="shared" si="2"/>
        <v>0</v>
      </c>
      <c r="X7" s="32">
        <f t="shared" si="2"/>
        <v>8.9999999999999982</v>
      </c>
      <c r="Y7" s="32">
        <f t="shared" si="2"/>
        <v>0</v>
      </c>
      <c r="Z7" s="32">
        <f t="shared" si="2"/>
        <v>0</v>
      </c>
      <c r="AA7" s="32">
        <f t="shared" si="2"/>
        <v>0</v>
      </c>
    </row>
    <row r="8" spans="1:27" s="13" customFormat="1" x14ac:dyDescent="0.35">
      <c r="A8" s="31">
        <v>0.09</v>
      </c>
      <c r="B8" s="30" t="s">
        <v>17</v>
      </c>
      <c r="C8" s="31" t="s">
        <v>28</v>
      </c>
      <c r="D8" s="91">
        <v>2.4</v>
      </c>
      <c r="E8" s="91">
        <v>1.2</v>
      </c>
      <c r="F8" s="91">
        <v>0.08</v>
      </c>
      <c r="G8" s="92">
        <f t="shared" si="3"/>
        <v>0.23039999999999999</v>
      </c>
      <c r="H8" s="91">
        <v>2</v>
      </c>
      <c r="I8" s="92">
        <f t="shared" si="0"/>
        <v>0.46079999999999999</v>
      </c>
      <c r="J8" s="92">
        <f>I8*_xlfn.XLOOKUP(C8,MATERIALS!$A$1:$A$500,MATERIALS!$B$1:$B$500,0)</f>
        <v>14.7456</v>
      </c>
      <c r="K8" s="92">
        <f>J8*_xlfn.XLOOKUP(C8,MATERIALS!$A$1:$A$500,MATERIALS!$C$1:$C$500,0)</f>
        <v>45.549158399999996</v>
      </c>
      <c r="L8" s="92">
        <f t="shared" si="1"/>
        <v>7.9078399999999993</v>
      </c>
      <c r="M8" s="90">
        <v>1</v>
      </c>
      <c r="N8" s="52">
        <f>_xlfn.XLOOKUP(C8,MATERIALS!$A$1:$A$500,MATERIALS!$E$1:$E$500,0)</f>
        <v>2.1999999999999999E-2</v>
      </c>
      <c r="O8" s="53"/>
      <c r="P8" s="53">
        <f>IF(N8=0,0,F8/N8)</f>
        <v>3.6363636363636367</v>
      </c>
      <c r="Q8" s="53"/>
      <c r="R8" s="33" t="str">
        <f>IF(_xlfn.XLOOKUP($C8,MATERIALS!$A$1:$A$500,MATERIALS!$D$1:$D$500,FALSE)=R$2,"Yes","No")</f>
        <v>No</v>
      </c>
      <c r="S8" s="33" t="str">
        <f>IF(_xlfn.XLOOKUP($C8,MATERIALS!$A$1:$A$500,MATERIALS!$D$1:$D$500,FALSE)=S$2,"Yes","No")</f>
        <v>Yes</v>
      </c>
      <c r="T8" s="33" t="str">
        <f>IF(_xlfn.XLOOKUP($C8,MATERIALS!$A$1:$A$500,MATERIALS!$D$1:$D$500,FALSE)=T$2,"Yes","No")</f>
        <v>No</v>
      </c>
      <c r="U8" s="33" t="str">
        <f>IF(_xlfn.XLOOKUP($C8,MATERIALS!$A$1:$A$500,MATERIALS!$D$1:$D$500,FALSE)=U$2,"Yes","No")</f>
        <v>No</v>
      </c>
      <c r="V8" s="33" t="str">
        <f>IF(_xlfn.XLOOKUP($C8,MATERIALS!$A$1:$A$500,MATERIALS!$D$1:$D$500,FALSE)=V$2,"Yes","No")</f>
        <v>No</v>
      </c>
      <c r="W8" s="32">
        <f t="shared" si="2"/>
        <v>0</v>
      </c>
      <c r="X8" s="32">
        <f t="shared" si="2"/>
        <v>7.9078399999999993</v>
      </c>
      <c r="Y8" s="32">
        <f t="shared" si="2"/>
        <v>0</v>
      </c>
      <c r="Z8" s="32">
        <f t="shared" si="2"/>
        <v>0</v>
      </c>
      <c r="AA8" s="32">
        <f t="shared" si="2"/>
        <v>0</v>
      </c>
    </row>
    <row r="9" spans="1:27" s="13" customFormat="1" ht="51" x14ac:dyDescent="0.35">
      <c r="A9" s="30" t="s">
        <v>366</v>
      </c>
      <c r="B9" s="30" t="s">
        <v>18</v>
      </c>
      <c r="C9" s="31" t="s">
        <v>29</v>
      </c>
      <c r="D9" s="91">
        <v>2.4</v>
      </c>
      <c r="E9" s="91">
        <v>2.4</v>
      </c>
      <c r="F9" s="91">
        <f>0.45/1000</f>
        <v>4.4999999999999999E-4</v>
      </c>
      <c r="G9" s="92"/>
      <c r="H9" s="91"/>
      <c r="I9" s="92"/>
      <c r="J9" s="91">
        <v>0.34599999999999997</v>
      </c>
      <c r="K9" s="92">
        <f>J9*_xlfn.XLOOKUP(C9,MATERIALS!$A$1:$A$500,MATERIALS!$C$1:$C$500,0)</f>
        <v>1.4532</v>
      </c>
      <c r="L9" s="92">
        <f t="shared" si="1"/>
        <v>0.25229166666666669</v>
      </c>
      <c r="M9" s="90">
        <v>1</v>
      </c>
      <c r="N9" s="52">
        <f>_xlfn.XLOOKUP(C9,MATERIALS!$A$1:$A$500,MATERIALS!$E$1:$E$500,0)</f>
        <v>0.3</v>
      </c>
      <c r="O9" s="53"/>
      <c r="P9" s="53"/>
      <c r="Q9" s="53">
        <f>IF(N9=0,0,F9/N9)</f>
        <v>1.5E-3</v>
      </c>
      <c r="R9" s="33" t="str">
        <f>IF(_xlfn.XLOOKUP($C9,MATERIALS!$A$1:$A$500,MATERIALS!$D$1:$D$500,FALSE)=R$2,"Yes","No")</f>
        <v>No</v>
      </c>
      <c r="S9" s="33" t="str">
        <f>IF(_xlfn.XLOOKUP($C9,MATERIALS!$A$1:$A$500,MATERIALS!$D$1:$D$500,FALSE)=S$2,"Yes","No")</f>
        <v>No</v>
      </c>
      <c r="T9" s="33" t="str">
        <f>IF(_xlfn.XLOOKUP($C9,MATERIALS!$A$1:$A$500,MATERIALS!$D$1:$D$500,FALSE)=T$2,"Yes","No")</f>
        <v>No</v>
      </c>
      <c r="U9" s="33" t="str">
        <f>IF(_xlfn.XLOOKUP($C9,MATERIALS!$A$1:$A$500,MATERIALS!$D$1:$D$500,FALSE)=U$2,"Yes","No")</f>
        <v>No</v>
      </c>
      <c r="V9" s="33" t="str">
        <f>IF(_xlfn.XLOOKUP($C9,MATERIALS!$A$1:$A$500,MATERIALS!$D$1:$D$500,FALSE)=V$2,"Yes","No")</f>
        <v>No</v>
      </c>
      <c r="W9" s="32">
        <f t="shared" si="2"/>
        <v>0</v>
      </c>
      <c r="X9" s="32">
        <f t="shared" si="2"/>
        <v>0</v>
      </c>
      <c r="Y9" s="32">
        <f t="shared" si="2"/>
        <v>0</v>
      </c>
      <c r="Z9" s="32">
        <f t="shared" si="2"/>
        <v>0</v>
      </c>
      <c r="AA9" s="32">
        <f t="shared" si="2"/>
        <v>0</v>
      </c>
    </row>
    <row r="10" spans="1:27" s="13" customFormat="1" ht="25" x14ac:dyDescent="0.35">
      <c r="A10" s="34" t="s">
        <v>551</v>
      </c>
      <c r="B10" s="35" t="s">
        <v>19</v>
      </c>
      <c r="C10" s="35"/>
      <c r="D10" s="93"/>
      <c r="E10" s="93"/>
      <c r="F10" s="93"/>
      <c r="G10" s="93"/>
      <c r="H10" s="93"/>
      <c r="I10" s="93"/>
      <c r="J10" s="94">
        <f>SUM(J3:J9)</f>
        <v>88.732047999999992</v>
      </c>
      <c r="K10" s="92">
        <f>SUM(K4:K9)</f>
        <v>186.01885247999999</v>
      </c>
      <c r="L10" s="94">
        <f>SUM(L4:L9)</f>
        <v>32.294939666666657</v>
      </c>
      <c r="M10" s="83"/>
      <c r="N10" s="83"/>
      <c r="O10" s="55">
        <f>M3*O3+M4*O4+M5*O5+M6*O6+SUM(O7:O9)</f>
        <v>4.0051249999999984E-6</v>
      </c>
      <c r="P10" s="55">
        <f>N3*P3+N4*P4+N5*P5+N6*P6+SUM(P7:P9)</f>
        <v>4.6735064935064941</v>
      </c>
      <c r="Q10" s="55">
        <f>O3*Q3+O4*Q4+O5*Q5+O6*Q6+SUM(Q7:Q9)</f>
        <v>1.5E-3</v>
      </c>
      <c r="R10" s="37" t="str">
        <f>IF(COUNTIF(R4:R9,"Yes")&gt;0,"Yes","No")</f>
        <v>Yes</v>
      </c>
      <c r="S10" s="37" t="str">
        <f>IF(COUNTIF(S4:S9,"Yes")&gt;0,"Yes","No")</f>
        <v>Yes</v>
      </c>
      <c r="T10" s="37" t="str">
        <f>IF(COUNTIF(T4:T9,"Yes")&gt;0,"Yes","No")</f>
        <v>No</v>
      </c>
      <c r="U10" s="37" t="str">
        <f>IF(COUNTIF(U4:U9,"Yes")&gt;0,"Yes","No")</f>
        <v>No</v>
      </c>
      <c r="V10" s="37" t="str">
        <f>IF(COUNTIF(V4:V9,"Yes")&gt;0,"Yes","No")</f>
        <v>No</v>
      </c>
      <c r="W10" s="36">
        <f>SUM(W3:W9)</f>
        <v>15.134807999999996</v>
      </c>
      <c r="X10" s="36">
        <f>SUM(X3:X9)</f>
        <v>16.907839999999997</v>
      </c>
      <c r="Y10" s="36">
        <f>SUM(Y3:Y9)</f>
        <v>0</v>
      </c>
      <c r="Z10" s="36">
        <f>SUM(Z3:Z9)</f>
        <v>0</v>
      </c>
      <c r="AA10" s="36">
        <f>SUM(AA3:AA9)</f>
        <v>0</v>
      </c>
    </row>
    <row r="11" spans="1:27" s="13" customFormat="1" x14ac:dyDescent="0.35">
      <c r="A11" s="71"/>
      <c r="B11" s="34"/>
      <c r="C11" s="84"/>
      <c r="D11" s="84"/>
      <c r="E11" s="84"/>
      <c r="F11" s="84"/>
      <c r="G11" s="84"/>
      <c r="H11" s="84"/>
      <c r="I11" s="84"/>
      <c r="J11" s="84"/>
      <c r="K11" s="84"/>
      <c r="L11" s="84"/>
      <c r="M11" s="84"/>
      <c r="N11" s="84"/>
      <c r="O11" s="84"/>
      <c r="P11" s="84"/>
      <c r="Q11" s="84"/>
      <c r="R11" s="70"/>
      <c r="S11" s="70"/>
      <c r="T11" s="70"/>
      <c r="U11" s="70"/>
      <c r="V11" s="70"/>
      <c r="W11" s="70"/>
      <c r="X11" s="70"/>
      <c r="Y11" s="70"/>
      <c r="Z11" s="70"/>
      <c r="AA11" s="70"/>
    </row>
    <row r="12" spans="1:27" s="13" customFormat="1" ht="14.5" customHeight="1" x14ac:dyDescent="0.35">
      <c r="A12" s="46" t="s">
        <v>365</v>
      </c>
      <c r="B12" s="42"/>
      <c r="C12" s="42"/>
      <c r="D12" s="85"/>
      <c r="E12" s="85"/>
      <c r="F12" s="85"/>
      <c r="G12" s="85"/>
      <c r="H12" s="85"/>
      <c r="I12" s="85"/>
      <c r="J12" s="85"/>
      <c r="K12" s="85"/>
      <c r="L12" s="85"/>
      <c r="M12" s="85"/>
      <c r="N12" s="85"/>
      <c r="O12" s="85"/>
      <c r="P12" s="85"/>
      <c r="Q12" s="85"/>
      <c r="R12" s="42"/>
      <c r="S12" s="42"/>
      <c r="T12" s="42"/>
      <c r="U12" s="42"/>
      <c r="V12" s="42"/>
      <c r="W12" s="42"/>
      <c r="X12" s="42"/>
      <c r="Y12" s="42"/>
      <c r="Z12" s="42"/>
      <c r="AA12" s="42"/>
    </row>
    <row r="13" spans="1:27" s="13" customFormat="1" x14ac:dyDescent="0.35">
      <c r="A13" s="30" t="s">
        <v>366</v>
      </c>
      <c r="B13" s="30" t="s">
        <v>13</v>
      </c>
      <c r="C13" s="31" t="s">
        <v>3</v>
      </c>
      <c r="D13" s="54">
        <v>3.7999999999999999E-2</v>
      </c>
      <c r="E13" s="54">
        <v>2.4</v>
      </c>
      <c r="F13" s="54">
        <v>0.14000000000000001</v>
      </c>
      <c r="G13" s="53">
        <f t="shared" ref="G13:G18" si="5">D13*E13*F13</f>
        <v>1.2768E-2</v>
      </c>
      <c r="H13" s="54">
        <v>5</v>
      </c>
      <c r="I13" s="53">
        <f t="shared" ref="I13:I18" si="6">G13*H13</f>
        <v>6.3839999999999994E-2</v>
      </c>
      <c r="J13" s="53">
        <f>I13*_xlfn.XLOOKUP(C13,MATERIALS!$A$1:$A$500,MATERIALS!$B$1:$B$500,0)</f>
        <v>32.558399999999999</v>
      </c>
      <c r="K13" s="53">
        <f>J13*_xlfn.XLOOKUP(C13,MATERIALS!$A$1:$A$500,MATERIALS!$C$1:$C$500,0)</f>
        <v>8.5628592000000001</v>
      </c>
      <c r="L13" s="53">
        <f t="shared" ref="L13:L19" si="7">K13/($A$4*$A$6)</f>
        <v>1.4866075000000001</v>
      </c>
      <c r="M13" s="89">
        <f>E13*D13*H13/($A$4*$A$6)</f>
        <v>7.9166666666666663E-2</v>
      </c>
      <c r="N13" s="52">
        <f>_xlfn.XLOOKUP(C13,MATERIALS!$A$1:$A$500,MATERIALS!$E$1:$E$500,0)</f>
        <v>0.13</v>
      </c>
      <c r="O13" s="53">
        <f>IF(N13=0,0,F13/N13*M13)</f>
        <v>8.5256410256410273E-2</v>
      </c>
      <c r="P13" s="53"/>
      <c r="Q13" s="53"/>
      <c r="R13" s="33" t="str">
        <f>IF(_xlfn.XLOOKUP($C13,MATERIALS!$A$1:$A$500,MATERIALS!$D$1:$D$500,FALSE)=R$2,"Yes","No")</f>
        <v>Yes</v>
      </c>
      <c r="S13" s="33" t="str">
        <f>IF(_xlfn.XLOOKUP($C13,MATERIALS!$A$1:$A$500,MATERIALS!$D$1:$D$500,FALSE)=S$2,"Yes","No")</f>
        <v>No</v>
      </c>
      <c r="T13" s="33" t="str">
        <f>IF(_xlfn.XLOOKUP($C13,MATERIALS!$A$1:$A$500,MATERIALS!$D$1:$D$500,FALSE)=T$2,"Yes","No")</f>
        <v>No</v>
      </c>
      <c r="U13" s="33" t="str">
        <f>IF(_xlfn.XLOOKUP($C13,MATERIALS!$A$1:$A$500,MATERIALS!$D$1:$D$500,FALSE)=U$2,"Yes","No")</f>
        <v>No</v>
      </c>
      <c r="V13" s="33" t="str">
        <f>IF(_xlfn.XLOOKUP($C13,MATERIALS!$A$1:$A$500,MATERIALS!$D$1:$D$500,FALSE)=V$2,"Yes","No")</f>
        <v>No</v>
      </c>
      <c r="W13" s="32">
        <f t="shared" ref="W13:W19" si="8">IF(R13="Yes",$L13,0)</f>
        <v>1.4866075000000001</v>
      </c>
      <c r="X13" s="32">
        <f t="shared" ref="X13:X19" si="9">IF(S13="Yes",$L13,0)</f>
        <v>0</v>
      </c>
      <c r="Y13" s="32">
        <f t="shared" ref="Y13:Y19" si="10">IF(T13="Yes",$L13,0)</f>
        <v>0</v>
      </c>
      <c r="Z13" s="32">
        <f t="shared" ref="Z13:Z19" si="11">IF(U13="Yes",$L13,0)</f>
        <v>0</v>
      </c>
      <c r="AA13" s="32">
        <f t="shared" ref="AA13:AA19" si="12">IF(V13="Yes",$L13,0)</f>
        <v>0</v>
      </c>
    </row>
    <row r="14" spans="1:27" s="13" customFormat="1" ht="26" x14ac:dyDescent="0.35">
      <c r="A14" s="34" t="s">
        <v>369</v>
      </c>
      <c r="B14" s="30" t="s">
        <v>20</v>
      </c>
      <c r="C14" s="31" t="s">
        <v>3</v>
      </c>
      <c r="D14" s="54">
        <v>3.7999999999999999E-2</v>
      </c>
      <c r="E14" s="54">
        <v>2.4</v>
      </c>
      <c r="F14" s="54">
        <v>0.14000000000000001</v>
      </c>
      <c r="G14" s="53">
        <f t="shared" si="5"/>
        <v>1.2768E-2</v>
      </c>
      <c r="H14" s="54">
        <v>2</v>
      </c>
      <c r="I14" s="53">
        <f t="shared" si="6"/>
        <v>2.5536E-2</v>
      </c>
      <c r="J14" s="53">
        <f>I14*_xlfn.XLOOKUP(C14,MATERIALS!$A$1:$A$500,MATERIALS!$B$1:$B$500,0)</f>
        <v>13.02336</v>
      </c>
      <c r="K14" s="53">
        <f>J14*_xlfn.XLOOKUP(C14,MATERIALS!$A$1:$A$500,MATERIALS!$C$1:$C$500,0)</f>
        <v>3.4251436800000001</v>
      </c>
      <c r="L14" s="53">
        <f t="shared" si="7"/>
        <v>0.59464300000000003</v>
      </c>
      <c r="M14" s="89">
        <f t="shared" ref="M14:M15" si="13">E14*D14*H14/($A$4*$A$6)</f>
        <v>3.1666666666666662E-2</v>
      </c>
      <c r="N14" s="52">
        <f>_xlfn.XLOOKUP(C14,MATERIALS!$A$1:$A$500,MATERIALS!$E$1:$E$500,0)</f>
        <v>0.13</v>
      </c>
      <c r="O14" s="53">
        <f t="shared" ref="O14:O17" si="14">IF(N14=0,0,F14/N14*M14)</f>
        <v>3.4102564102564105E-2</v>
      </c>
      <c r="P14" s="53"/>
      <c r="Q14" s="53"/>
      <c r="R14" s="33" t="str">
        <f>IF(_xlfn.XLOOKUP($C14,MATERIALS!$A$1:$A$500,MATERIALS!$D$1:$D$500,FALSE)=R$2,"Yes","No")</f>
        <v>Yes</v>
      </c>
      <c r="S14" s="33" t="str">
        <f>IF(_xlfn.XLOOKUP($C14,MATERIALS!$A$1:$A$500,MATERIALS!$D$1:$D$500,FALSE)=S$2,"Yes","No")</f>
        <v>No</v>
      </c>
      <c r="T14" s="33" t="str">
        <f>IF(_xlfn.XLOOKUP($C14,MATERIALS!$A$1:$A$500,MATERIALS!$D$1:$D$500,FALSE)=T$2,"Yes","No")</f>
        <v>No</v>
      </c>
      <c r="U14" s="33" t="str">
        <f>IF(_xlfn.XLOOKUP($C14,MATERIALS!$A$1:$A$500,MATERIALS!$D$1:$D$500,FALSE)=U$2,"Yes","No")</f>
        <v>No</v>
      </c>
      <c r="V14" s="33" t="str">
        <f>IF(_xlfn.XLOOKUP($C14,MATERIALS!$A$1:$A$500,MATERIALS!$D$1:$D$500,FALSE)=V$2,"Yes","No")</f>
        <v>No</v>
      </c>
      <c r="W14" s="32">
        <f t="shared" si="8"/>
        <v>0.59464300000000003</v>
      </c>
      <c r="X14" s="32">
        <f t="shared" si="9"/>
        <v>0</v>
      </c>
      <c r="Y14" s="32">
        <f t="shared" si="10"/>
        <v>0</v>
      </c>
      <c r="Z14" s="32">
        <f t="shared" si="11"/>
        <v>0</v>
      </c>
      <c r="AA14" s="32">
        <f t="shared" si="12"/>
        <v>0</v>
      </c>
    </row>
    <row r="15" spans="1:27" s="13" customFormat="1" x14ac:dyDescent="0.35">
      <c r="A15" s="30" t="s">
        <v>7</v>
      </c>
      <c r="B15" s="30" t="s">
        <v>15</v>
      </c>
      <c r="C15" s="31" t="s">
        <v>3</v>
      </c>
      <c r="D15" s="54">
        <v>3.7999999999999999E-2</v>
      </c>
      <c r="E15" s="54">
        <v>2.2000000000000002</v>
      </c>
      <c r="F15" s="54">
        <v>0.14000000000000001</v>
      </c>
      <c r="G15" s="53">
        <f t="shared" si="5"/>
        <v>1.1704000000000003E-2</v>
      </c>
      <c r="H15" s="54">
        <v>1</v>
      </c>
      <c r="I15" s="53">
        <f t="shared" si="6"/>
        <v>1.1704000000000003E-2</v>
      </c>
      <c r="J15" s="53">
        <f>I15*_xlfn.XLOOKUP(C15,MATERIALS!$A$1:$A$500,MATERIALS!$B$1:$B$500,0)</f>
        <v>5.9690400000000015</v>
      </c>
      <c r="K15" s="53">
        <f>J15*_xlfn.XLOOKUP(C15,MATERIALS!$A$1:$A$500,MATERIALS!$C$1:$C$500,0)</f>
        <v>1.5698575200000005</v>
      </c>
      <c r="L15" s="53">
        <f t="shared" si="7"/>
        <v>0.27254470833333344</v>
      </c>
      <c r="M15" s="89">
        <f t="shared" si="13"/>
        <v>1.451388888888889E-2</v>
      </c>
      <c r="N15" s="52">
        <f>_xlfn.XLOOKUP(C15,MATERIALS!$A$1:$A$500,MATERIALS!$E$1:$E$500,0)</f>
        <v>0.13</v>
      </c>
      <c r="O15" s="53">
        <f t="shared" si="14"/>
        <v>1.5630341880341885E-2</v>
      </c>
      <c r="P15" s="53"/>
      <c r="Q15" s="53"/>
      <c r="R15" s="33" t="str">
        <f>IF(_xlfn.XLOOKUP($C15,MATERIALS!$A$1:$A$500,MATERIALS!$D$1:$D$500,FALSE)=R$2,"Yes","No")</f>
        <v>Yes</v>
      </c>
      <c r="S15" s="33" t="str">
        <f>IF(_xlfn.XLOOKUP($C15,MATERIALS!$A$1:$A$500,MATERIALS!$D$1:$D$500,FALSE)=S$2,"Yes","No")</f>
        <v>No</v>
      </c>
      <c r="T15" s="33" t="str">
        <f>IF(_xlfn.XLOOKUP($C15,MATERIALS!$A$1:$A$500,MATERIALS!$D$1:$D$500,FALSE)=T$2,"Yes","No")</f>
        <v>No</v>
      </c>
      <c r="U15" s="33" t="str">
        <f>IF(_xlfn.XLOOKUP($C15,MATERIALS!$A$1:$A$500,MATERIALS!$D$1:$D$500,FALSE)=U$2,"Yes","No")</f>
        <v>No</v>
      </c>
      <c r="V15" s="33" t="str">
        <f>IF(_xlfn.XLOOKUP($C15,MATERIALS!$A$1:$A$500,MATERIALS!$D$1:$D$500,FALSE)=V$2,"Yes","No")</f>
        <v>No</v>
      </c>
      <c r="W15" s="32">
        <f t="shared" si="8"/>
        <v>0.27254470833333344</v>
      </c>
      <c r="X15" s="32">
        <f t="shared" si="9"/>
        <v>0</v>
      </c>
      <c r="Y15" s="32">
        <f t="shared" si="10"/>
        <v>0</v>
      </c>
      <c r="Z15" s="32">
        <f t="shared" si="11"/>
        <v>0</v>
      </c>
      <c r="AA15" s="32">
        <f t="shared" si="12"/>
        <v>0</v>
      </c>
    </row>
    <row r="16" spans="1:27" s="13" customFormat="1" ht="26" x14ac:dyDescent="0.35">
      <c r="A16" s="31">
        <v>2.4</v>
      </c>
      <c r="B16" s="30" t="s">
        <v>21</v>
      </c>
      <c r="C16" s="31" t="s">
        <v>27</v>
      </c>
      <c r="D16" s="54">
        <v>2.4</v>
      </c>
      <c r="E16" s="54">
        <v>2.4</v>
      </c>
      <c r="F16" s="54">
        <v>8.9999999999999993E-3</v>
      </c>
      <c r="G16" s="53">
        <f t="shared" si="5"/>
        <v>5.1839999999999997E-2</v>
      </c>
      <c r="H16" s="54">
        <v>1</v>
      </c>
      <c r="I16" s="53">
        <f t="shared" si="6"/>
        <v>5.1839999999999997E-2</v>
      </c>
      <c r="J16" s="53">
        <f>I16*_xlfn.XLOOKUP(C16,MATERIALS!$A$1:$A$500,MATERIALS!$B$1:$B$500,0)</f>
        <v>31.103999999999999</v>
      </c>
      <c r="K16" s="53">
        <f>J16*_xlfn.XLOOKUP(C16,MATERIALS!$A$1:$A$500,MATERIALS!$C$1:$C$500,0)</f>
        <v>14.15232</v>
      </c>
      <c r="L16" s="53">
        <f t="shared" si="7"/>
        <v>2.4569999999999999</v>
      </c>
      <c r="M16" s="54">
        <v>1</v>
      </c>
      <c r="N16" s="52">
        <f>_xlfn.XLOOKUP(C16,MATERIALS!$A$1:$A$500,MATERIALS!$E$1:$E$500,0)</f>
        <v>0.13</v>
      </c>
      <c r="O16" s="53">
        <f t="shared" si="14"/>
        <v>6.9230769230769221E-2</v>
      </c>
      <c r="P16" s="53"/>
      <c r="Q16" s="53"/>
      <c r="R16" s="33" t="str">
        <f>IF(_xlfn.XLOOKUP($C16,MATERIALS!$A$1:$A$500,MATERIALS!$D$1:$D$500,FALSE)=R$2,"Yes","No")</f>
        <v>Yes</v>
      </c>
      <c r="S16" s="33" t="str">
        <f>IF(_xlfn.XLOOKUP($C16,MATERIALS!$A$1:$A$500,MATERIALS!$D$1:$D$500,FALSE)=S$2,"Yes","No")</f>
        <v>No</v>
      </c>
      <c r="T16" s="33" t="str">
        <f>IF(_xlfn.XLOOKUP($C16,MATERIALS!$A$1:$A$500,MATERIALS!$D$1:$D$500,FALSE)=T$2,"Yes","No")</f>
        <v>No</v>
      </c>
      <c r="U16" s="33" t="str">
        <f>IF(_xlfn.XLOOKUP($C16,MATERIALS!$A$1:$A$500,MATERIALS!$D$1:$D$500,FALSE)=U$2,"Yes","No")</f>
        <v>No</v>
      </c>
      <c r="V16" s="33" t="str">
        <f>IF(_xlfn.XLOOKUP($C16,MATERIALS!$A$1:$A$500,MATERIALS!$D$1:$D$500,FALSE)=V$2,"Yes","No")</f>
        <v>No</v>
      </c>
      <c r="W16" s="32">
        <f t="shared" si="8"/>
        <v>2.4569999999999999</v>
      </c>
      <c r="X16" s="32">
        <f t="shared" si="9"/>
        <v>0</v>
      </c>
      <c r="Y16" s="32">
        <f t="shared" si="10"/>
        <v>0</v>
      </c>
      <c r="Z16" s="32">
        <f t="shared" si="11"/>
        <v>0</v>
      </c>
      <c r="AA16" s="32">
        <f t="shared" si="12"/>
        <v>0</v>
      </c>
    </row>
    <row r="17" spans="1:37" s="13" customFormat="1" ht="26" x14ac:dyDescent="0.35">
      <c r="A17" s="30" t="s">
        <v>6</v>
      </c>
      <c r="B17" s="30" t="s">
        <v>16</v>
      </c>
      <c r="C17" s="31" t="s">
        <v>33</v>
      </c>
      <c r="D17" s="54">
        <v>0.6</v>
      </c>
      <c r="E17" s="54">
        <v>2.4</v>
      </c>
      <c r="F17" s="54">
        <v>0.14000000000000001</v>
      </c>
      <c r="G17" s="53">
        <f t="shared" si="5"/>
        <v>0.2016</v>
      </c>
      <c r="H17" s="54">
        <v>4</v>
      </c>
      <c r="I17" s="53">
        <f t="shared" si="6"/>
        <v>0.80640000000000001</v>
      </c>
      <c r="J17" s="53">
        <f>I17*_xlfn.XLOOKUP(C17,MATERIALS!$A$1:$A$500,MATERIALS!$B$1:$B$500,0)</f>
        <v>64.512</v>
      </c>
      <c r="K17" s="53">
        <f>J17*_xlfn.XLOOKUP(C17,MATERIALS!$A$1:$A$500,MATERIALS!$C$1:$C$500,0)</f>
        <v>80.64</v>
      </c>
      <c r="L17" s="53">
        <f t="shared" si="7"/>
        <v>14</v>
      </c>
      <c r="M17" s="89">
        <f>1-SUM(M13:M15)</f>
        <v>0.87465277777777772</v>
      </c>
      <c r="N17" s="52">
        <f>_xlfn.XLOOKUP(C17,MATERIALS!$A$1:$A$500,MATERIALS!$E$1:$E$500,0)</f>
        <v>3.5000000000000003E-2</v>
      </c>
      <c r="O17" s="53">
        <f t="shared" si="14"/>
        <v>3.4986111111111109</v>
      </c>
      <c r="P17" s="53"/>
      <c r="Q17" s="53"/>
      <c r="R17" s="33" t="str">
        <f>IF(_xlfn.XLOOKUP($C17,MATERIALS!$A$1:$A$500,MATERIALS!$D$1:$D$500,FALSE)=R$2,"Yes","No")</f>
        <v>No</v>
      </c>
      <c r="S17" s="33" t="str">
        <f>IF(_xlfn.XLOOKUP($C17,MATERIALS!$A$1:$A$500,MATERIALS!$D$1:$D$500,FALSE)=S$2,"Yes","No")</f>
        <v>Yes</v>
      </c>
      <c r="T17" s="33" t="str">
        <f>IF(_xlfn.XLOOKUP($C17,MATERIALS!$A$1:$A$500,MATERIALS!$D$1:$D$500,FALSE)=T$2,"Yes","No")</f>
        <v>No</v>
      </c>
      <c r="U17" s="33" t="str">
        <f>IF(_xlfn.XLOOKUP($C17,MATERIALS!$A$1:$A$500,MATERIALS!$D$1:$D$500,FALSE)=U$2,"Yes","No")</f>
        <v>No</v>
      </c>
      <c r="V17" s="33" t="str">
        <f>IF(_xlfn.XLOOKUP($C17,MATERIALS!$A$1:$A$500,MATERIALS!$D$1:$D$500,FALSE)=V$2,"Yes","No")</f>
        <v>No</v>
      </c>
      <c r="W17" s="32">
        <f t="shared" si="8"/>
        <v>0</v>
      </c>
      <c r="X17" s="32">
        <f t="shared" si="9"/>
        <v>14</v>
      </c>
      <c r="Y17" s="32">
        <f t="shared" si="10"/>
        <v>0</v>
      </c>
      <c r="Z17" s="32">
        <f t="shared" si="11"/>
        <v>0</v>
      </c>
      <c r="AA17" s="32">
        <f t="shared" si="12"/>
        <v>0</v>
      </c>
    </row>
    <row r="18" spans="1:37" s="13" customFormat="1" x14ac:dyDescent="0.35">
      <c r="A18" s="31">
        <v>2.4</v>
      </c>
      <c r="B18" s="30" t="s">
        <v>17</v>
      </c>
      <c r="C18" s="31" t="s">
        <v>28</v>
      </c>
      <c r="D18" s="54">
        <v>2.4</v>
      </c>
      <c r="E18" s="54">
        <v>2.4</v>
      </c>
      <c r="F18" s="54">
        <v>0.03</v>
      </c>
      <c r="G18" s="53">
        <f t="shared" si="5"/>
        <v>0.17279999999999998</v>
      </c>
      <c r="H18" s="54">
        <v>1</v>
      </c>
      <c r="I18" s="53">
        <f t="shared" si="6"/>
        <v>0.17279999999999998</v>
      </c>
      <c r="J18" s="53">
        <f>I18*_xlfn.XLOOKUP(C18,MATERIALS!$A$1:$A$500,MATERIALS!$B$1:$B$500,0)</f>
        <v>5.5295999999999994</v>
      </c>
      <c r="K18" s="53">
        <f>J18*_xlfn.XLOOKUP(C18,MATERIALS!$A$1:$A$500,MATERIALS!$C$1:$C$500,0)</f>
        <v>17.080934399999997</v>
      </c>
      <c r="L18" s="53">
        <f t="shared" si="7"/>
        <v>2.9654399999999996</v>
      </c>
      <c r="M18" s="54">
        <v>1</v>
      </c>
      <c r="N18" s="52">
        <f>_xlfn.XLOOKUP(C18,MATERIALS!$A$1:$A$500,MATERIALS!$E$1:$E$500,0)</f>
        <v>2.1999999999999999E-2</v>
      </c>
      <c r="O18" s="53">
        <f>IF(N18=0,0,F18/N18)</f>
        <v>1.3636363636363638</v>
      </c>
      <c r="P18" s="53"/>
      <c r="Q18" s="53"/>
      <c r="R18" s="33" t="str">
        <f>IF(_xlfn.XLOOKUP($C18,MATERIALS!$A$1:$A$500,MATERIALS!$D$1:$D$500,FALSE)=R$2,"Yes","No")</f>
        <v>No</v>
      </c>
      <c r="S18" s="33" t="str">
        <f>IF(_xlfn.XLOOKUP($C18,MATERIALS!$A$1:$A$500,MATERIALS!$D$1:$D$500,FALSE)=S$2,"Yes","No")</f>
        <v>Yes</v>
      </c>
      <c r="T18" s="33" t="str">
        <f>IF(_xlfn.XLOOKUP($C18,MATERIALS!$A$1:$A$500,MATERIALS!$D$1:$D$500,FALSE)=T$2,"Yes","No")</f>
        <v>No</v>
      </c>
      <c r="U18" s="33" t="str">
        <f>IF(_xlfn.XLOOKUP($C18,MATERIALS!$A$1:$A$500,MATERIALS!$D$1:$D$500,FALSE)=U$2,"Yes","No")</f>
        <v>No</v>
      </c>
      <c r="V18" s="33" t="str">
        <f>IF(_xlfn.XLOOKUP($C18,MATERIALS!$A$1:$A$500,MATERIALS!$D$1:$D$500,FALSE)=V$2,"Yes","No")</f>
        <v>No</v>
      </c>
      <c r="W18" s="32">
        <f t="shared" si="8"/>
        <v>0</v>
      </c>
      <c r="X18" s="32">
        <f t="shared" si="9"/>
        <v>2.9654399999999996</v>
      </c>
      <c r="Y18" s="32">
        <f t="shared" si="10"/>
        <v>0</v>
      </c>
      <c r="Z18" s="32">
        <f t="shared" si="11"/>
        <v>0</v>
      </c>
      <c r="AA18" s="32">
        <f t="shared" si="12"/>
        <v>0</v>
      </c>
    </row>
    <row r="19" spans="1:37" s="13" customFormat="1" ht="51" x14ac:dyDescent="0.35">
      <c r="A19" s="30" t="s">
        <v>8</v>
      </c>
      <c r="B19" s="30" t="s">
        <v>22</v>
      </c>
      <c r="C19" s="31" t="s">
        <v>29</v>
      </c>
      <c r="D19" s="54">
        <v>2.4</v>
      </c>
      <c r="E19" s="54">
        <v>2.4</v>
      </c>
      <c r="F19" s="54">
        <f>0.45/1000</f>
        <v>4.4999999999999999E-4</v>
      </c>
      <c r="G19" s="53"/>
      <c r="H19" s="54"/>
      <c r="I19" s="53"/>
      <c r="J19" s="54">
        <v>0.34599999999999997</v>
      </c>
      <c r="K19" s="53">
        <f>J19*_xlfn.XLOOKUP(C19,MATERIALS!$A$1:$A$500,MATERIALS!$C$1:$C$500,0)</f>
        <v>1.4532</v>
      </c>
      <c r="L19" s="53">
        <f t="shared" si="7"/>
        <v>0.25229166666666669</v>
      </c>
      <c r="M19" s="54">
        <v>1</v>
      </c>
      <c r="N19" s="52">
        <f>_xlfn.XLOOKUP(C19,MATERIALS!$A$1:$A$500,MATERIALS!$E$1:$E$500,0)</f>
        <v>0.3</v>
      </c>
      <c r="O19" s="53">
        <f t="shared" ref="O19" si="15">IF(N19=0,0,F19/N19)</f>
        <v>1.5E-3</v>
      </c>
      <c r="P19" s="53"/>
      <c r="Q19" s="53"/>
      <c r="R19" s="33" t="str">
        <f>IF(_xlfn.XLOOKUP($C19,MATERIALS!$A$1:$A$500,MATERIALS!$D$1:$D$500,FALSE)=R$2,"Yes","No")</f>
        <v>No</v>
      </c>
      <c r="S19" s="33" t="str">
        <f>IF(_xlfn.XLOOKUP($C19,MATERIALS!$A$1:$A$500,MATERIALS!$D$1:$D$500,FALSE)=S$2,"Yes","No")</f>
        <v>No</v>
      </c>
      <c r="T19" s="33" t="str">
        <f>IF(_xlfn.XLOOKUP($C19,MATERIALS!$A$1:$A$500,MATERIALS!$D$1:$D$500,FALSE)=T$2,"Yes","No")</f>
        <v>No</v>
      </c>
      <c r="U19" s="33" t="str">
        <f>IF(_xlfn.XLOOKUP($C19,MATERIALS!$A$1:$A$500,MATERIALS!$D$1:$D$500,FALSE)=U$2,"Yes","No")</f>
        <v>No</v>
      </c>
      <c r="V19" s="33" t="str">
        <f>IF(_xlfn.XLOOKUP($C19,MATERIALS!$A$1:$A$500,MATERIALS!$D$1:$D$500,FALSE)=V$2,"Yes","No")</f>
        <v>No</v>
      </c>
      <c r="W19" s="32">
        <f t="shared" si="8"/>
        <v>0</v>
      </c>
      <c r="X19" s="32">
        <f t="shared" si="9"/>
        <v>0</v>
      </c>
      <c r="Y19" s="32">
        <f t="shared" si="10"/>
        <v>0</v>
      </c>
      <c r="Z19" s="32">
        <f t="shared" si="11"/>
        <v>0</v>
      </c>
      <c r="AA19" s="32">
        <f t="shared" si="12"/>
        <v>0</v>
      </c>
    </row>
    <row r="20" spans="1:37" s="13" customFormat="1" x14ac:dyDescent="0.35">
      <c r="A20" s="31">
        <v>0.14000000000000001</v>
      </c>
      <c r="B20" s="35" t="s">
        <v>19</v>
      </c>
      <c r="C20" s="35"/>
      <c r="D20" s="82"/>
      <c r="E20" s="82"/>
      <c r="F20" s="82"/>
      <c r="G20" s="82"/>
      <c r="H20" s="82"/>
      <c r="I20" s="82"/>
      <c r="J20" s="55">
        <f>SUM(J13:J19)</f>
        <v>153.04239999999999</v>
      </c>
      <c r="K20" s="53">
        <f>SUM(K13:K19)</f>
        <v>126.88431479999998</v>
      </c>
      <c r="L20" s="55">
        <f>SUM(L13:L19)</f>
        <v>22.028526875000001</v>
      </c>
      <c r="M20" s="87"/>
      <c r="N20" s="87"/>
      <c r="O20" s="55">
        <f>SUM(O13:O19)</f>
        <v>5.0679675602175607</v>
      </c>
      <c r="P20" s="55"/>
      <c r="Q20" s="55"/>
      <c r="R20" s="37" t="str">
        <f>IF(COUNTIF(R14:R19,"Yes")&gt;0,"Yes","No")</f>
        <v>Yes</v>
      </c>
      <c r="S20" s="37" t="str">
        <f>IF(COUNTIF(S14:S19,"Yes")&gt;0,"Yes","No")</f>
        <v>Yes</v>
      </c>
      <c r="T20" s="37" t="str">
        <f>IF(COUNTIF(T14:T19,"Yes")&gt;0,"Yes","No")</f>
        <v>No</v>
      </c>
      <c r="U20" s="37" t="str">
        <f>IF(COUNTIF(U14:U19,"Yes")&gt;0,"Yes","No")</f>
        <v>No</v>
      </c>
      <c r="V20" s="37" t="str">
        <f>IF(COUNTIF(V14:V19,"Yes")&gt;0,"Yes","No")</f>
        <v>No</v>
      </c>
      <c r="W20" s="36">
        <f>SUM(W13:W19)</f>
        <v>4.8107952083333334</v>
      </c>
      <c r="X20" s="36">
        <f>SUM(X13:X19)</f>
        <v>16.965440000000001</v>
      </c>
      <c r="Y20" s="36">
        <f>SUM(Y13:Y19)</f>
        <v>0</v>
      </c>
      <c r="Z20" s="36">
        <f>SUM(Z13:Z19)</f>
        <v>0</v>
      </c>
      <c r="AA20" s="36">
        <f>SUM(AA13:AA19)</f>
        <v>0</v>
      </c>
    </row>
    <row r="21" spans="1:37" s="13" customFormat="1" ht="26" x14ac:dyDescent="0.35">
      <c r="A21" s="71" t="s">
        <v>472</v>
      </c>
      <c r="B21" s="88" t="s">
        <v>473</v>
      </c>
      <c r="C21" s="70"/>
      <c r="D21" s="84"/>
      <c r="E21" s="84"/>
      <c r="F21" s="84"/>
      <c r="G21" s="84"/>
      <c r="H21" s="84"/>
      <c r="I21" s="84"/>
      <c r="J21" s="84"/>
      <c r="K21" s="84"/>
      <c r="L21" s="84"/>
      <c r="M21" s="84"/>
      <c r="N21" s="84"/>
      <c r="O21" s="84"/>
      <c r="P21" s="84"/>
      <c r="Q21" s="84"/>
      <c r="R21" s="70"/>
      <c r="S21" s="70"/>
      <c r="T21" s="70"/>
      <c r="U21" s="70"/>
      <c r="V21" s="70"/>
      <c r="W21" s="70"/>
      <c r="X21" s="70"/>
      <c r="Y21" s="70"/>
      <c r="Z21" s="70"/>
      <c r="AA21" s="70"/>
    </row>
    <row r="22" spans="1:37" s="13" customFormat="1" ht="21" x14ac:dyDescent="0.35">
      <c r="A22" s="7" t="s">
        <v>378</v>
      </c>
      <c r="B22" s="42"/>
      <c r="C22" s="42"/>
      <c r="D22" s="85"/>
      <c r="E22" s="85"/>
      <c r="F22" s="85"/>
      <c r="G22" s="85"/>
      <c r="H22" s="85"/>
      <c r="I22" s="85"/>
      <c r="J22" s="85"/>
      <c r="K22" s="85"/>
      <c r="L22" s="85"/>
      <c r="M22" s="85"/>
      <c r="N22" s="85"/>
      <c r="O22" s="85"/>
      <c r="P22" s="85"/>
      <c r="Q22" s="85"/>
      <c r="R22" s="42"/>
      <c r="S22" s="42"/>
      <c r="T22" s="42"/>
      <c r="U22" s="42"/>
      <c r="V22" s="42"/>
      <c r="W22" s="42"/>
      <c r="X22" s="42"/>
      <c r="Y22" s="42"/>
      <c r="Z22" s="42"/>
      <c r="AA22" s="42"/>
    </row>
    <row r="23" spans="1:37" s="13" customFormat="1" x14ac:dyDescent="0.35">
      <c r="A23" s="30" t="s">
        <v>366</v>
      </c>
      <c r="B23" s="30"/>
      <c r="C23" s="31"/>
      <c r="D23" s="54"/>
      <c r="E23" s="54"/>
      <c r="F23" s="54"/>
      <c r="G23" s="53">
        <f>D23*E23*F23</f>
        <v>0</v>
      </c>
      <c r="H23" s="54">
        <v>0</v>
      </c>
      <c r="I23" s="53">
        <f>G23*H23</f>
        <v>0</v>
      </c>
      <c r="J23" s="53">
        <f>I23*_xlfn.XLOOKUP(C23,MATERIALS!$A$1:$A$500,MATERIALS!$B$1:$B$500,0)</f>
        <v>0</v>
      </c>
      <c r="K23" s="53">
        <f>J23*_xlfn.XLOOKUP(C23,MATERIALS!$A$1:$A$500,MATERIALS!$C$1:$C$500,0)</f>
        <v>0</v>
      </c>
      <c r="L23" s="53">
        <f t="shared" ref="L23:L29" si="16">K23/($A$4*$A$6)</f>
        <v>0</v>
      </c>
      <c r="M23" s="54">
        <v>0</v>
      </c>
      <c r="N23" s="52">
        <f>_xlfn.XLOOKUP(C23,MATERIALS!$A$1:$A$500,MATERIALS!$E$1:$E$500,0)</f>
        <v>0</v>
      </c>
      <c r="O23" s="53">
        <f>IF(N23=0,0,F23/N23)</f>
        <v>0</v>
      </c>
      <c r="P23" s="53"/>
      <c r="Q23" s="53"/>
      <c r="R23" s="33" t="str">
        <f>IF(_xlfn.XLOOKUP($C23,MATERIALS!$A$1:$A$500,MATERIALS!$D$1:$D$500,FALSE)=R$2,"Yes","No")</f>
        <v>No</v>
      </c>
      <c r="S23" s="33" t="str">
        <f>IF(_xlfn.XLOOKUP($C23,MATERIALS!$A$1:$A$500,MATERIALS!$D$1:$D$500,FALSE)=S$2,"Yes","No")</f>
        <v>No</v>
      </c>
      <c r="T23" s="33" t="str">
        <f>IF(_xlfn.XLOOKUP($C23,MATERIALS!$A$1:$A$500,MATERIALS!$D$1:$D$500,FALSE)=T$2,"Yes","No")</f>
        <v>No</v>
      </c>
      <c r="U23" s="33" t="str">
        <f>IF(_xlfn.XLOOKUP($C23,MATERIALS!$A$1:$A$500,MATERIALS!$D$1:$D$500,FALSE)=U$2,"Yes","No")</f>
        <v>No</v>
      </c>
      <c r="V23" s="33" t="str">
        <f>IF(_xlfn.XLOOKUP($C23,MATERIALS!$A$1:$A$500,MATERIALS!$D$1:$D$500,FALSE)=V$2,"Yes","No")</f>
        <v>No</v>
      </c>
      <c r="W23" s="32">
        <f>IF(R23="Yes",$L23,0)</f>
        <v>0</v>
      </c>
      <c r="X23" s="32">
        <f t="shared" ref="X23:X29" si="17">IF(S23="Yes",$L23,0)</f>
        <v>0</v>
      </c>
      <c r="Y23" s="32">
        <f t="shared" ref="Y23:Y29" si="18">IF(T23="Yes",$L23,0)</f>
        <v>0</v>
      </c>
      <c r="Z23" s="32">
        <f t="shared" ref="Z23:Z29" si="19">IF(U23="Yes",$L23,0)</f>
        <v>0</v>
      </c>
      <c r="AA23" s="32">
        <f t="shared" ref="AA23:AA29" si="20">IF(V23="Yes",$L23,0)</f>
        <v>0</v>
      </c>
    </row>
    <row r="24" spans="1:37" s="13" customFormat="1" ht="25" x14ac:dyDescent="0.35">
      <c r="A24" s="34" t="s">
        <v>443</v>
      </c>
      <c r="B24" s="30"/>
      <c r="C24" s="31"/>
      <c r="D24" s="54"/>
      <c r="E24" s="54"/>
      <c r="F24" s="54"/>
      <c r="G24" s="53">
        <f t="shared" ref="G24:G28" si="21">D24*E24*F24</f>
        <v>0</v>
      </c>
      <c r="H24" s="54">
        <v>0</v>
      </c>
      <c r="I24" s="53">
        <f t="shared" ref="I24:I28" si="22">G24*H24</f>
        <v>0</v>
      </c>
      <c r="J24" s="53">
        <f>I24*_xlfn.XLOOKUP(C24,MATERIALS!$A$1:$A$500,MATERIALS!$B$1:$B$500,0)</f>
        <v>0</v>
      </c>
      <c r="K24" s="53">
        <f>J24*_xlfn.XLOOKUP(C24,MATERIALS!$A$1:$A$500,MATERIALS!$C$1:$C$500,0)</f>
        <v>0</v>
      </c>
      <c r="L24" s="53">
        <f t="shared" si="16"/>
        <v>0</v>
      </c>
      <c r="M24" s="54">
        <v>0</v>
      </c>
      <c r="N24" s="52">
        <f>_xlfn.XLOOKUP(C24,MATERIALS!$A$1:$A$500,MATERIALS!$E$1:$E$500,0)</f>
        <v>0</v>
      </c>
      <c r="O24" s="53">
        <f t="shared" ref="O24:O29" si="23">IF(N24=0,0,F24/N24)</f>
        <v>0</v>
      </c>
      <c r="P24" s="53"/>
      <c r="Q24" s="53"/>
      <c r="R24" s="33" t="str">
        <f>IF(_xlfn.XLOOKUP($C24,MATERIALS!$A$1:$A$500,MATERIALS!$D$1:$D$500,FALSE)=R$2,"Yes","No")</f>
        <v>No</v>
      </c>
      <c r="S24" s="33" t="str">
        <f>IF(_xlfn.XLOOKUP($C24,MATERIALS!$A$1:$A$500,MATERIALS!$D$1:$D$500,FALSE)=S$2,"Yes","No")</f>
        <v>No</v>
      </c>
      <c r="T24" s="33" t="str">
        <f>IF(_xlfn.XLOOKUP($C24,MATERIALS!$A$1:$A$500,MATERIALS!$D$1:$D$500,FALSE)=T$2,"Yes","No")</f>
        <v>No</v>
      </c>
      <c r="U24" s="33" t="str">
        <f>IF(_xlfn.XLOOKUP($C24,MATERIALS!$A$1:$A$500,MATERIALS!$D$1:$D$500,FALSE)=U$2,"Yes","No")</f>
        <v>No</v>
      </c>
      <c r="V24" s="33" t="str">
        <f>IF(_xlfn.XLOOKUP($C24,MATERIALS!$A$1:$A$500,MATERIALS!$D$1:$D$500,FALSE)=V$2,"Yes","No")</f>
        <v>No</v>
      </c>
      <c r="W24" s="32">
        <f>IF(R24="Yes",$L24,0)</f>
        <v>0</v>
      </c>
      <c r="X24" s="32">
        <f t="shared" si="17"/>
        <v>0</v>
      </c>
      <c r="Y24" s="32">
        <f t="shared" si="18"/>
        <v>0</v>
      </c>
      <c r="Z24" s="32">
        <f t="shared" si="19"/>
        <v>0</v>
      </c>
      <c r="AA24" s="32">
        <f t="shared" si="20"/>
        <v>0</v>
      </c>
    </row>
    <row r="25" spans="1:37" s="13" customFormat="1" ht="26" x14ac:dyDescent="0.35">
      <c r="A25" s="30" t="s">
        <v>7</v>
      </c>
      <c r="B25" s="30" t="s">
        <v>444</v>
      </c>
      <c r="C25" s="31" t="s">
        <v>442</v>
      </c>
      <c r="D25" s="54">
        <v>2.4</v>
      </c>
      <c r="E25" s="54">
        <v>2.4</v>
      </c>
      <c r="F25" s="54">
        <v>0.15</v>
      </c>
      <c r="G25" s="53">
        <f t="shared" si="21"/>
        <v>0.86399999999999999</v>
      </c>
      <c r="H25" s="54">
        <v>1</v>
      </c>
      <c r="I25" s="53">
        <f t="shared" si="22"/>
        <v>0.86399999999999999</v>
      </c>
      <c r="J25" s="53">
        <f>I25*_xlfn.XLOOKUP(C25,MATERIALS!$A$1:$A$500,MATERIALS!$B$1:$B$500,0)</f>
        <v>21.6</v>
      </c>
      <c r="K25" s="53">
        <f>J25*_xlfn.XLOOKUP(C25,MATERIALS!$A$1:$A$500,MATERIALS!$C$1:$C$500,0)</f>
        <v>79.704000000000008</v>
      </c>
      <c r="L25" s="53">
        <f t="shared" si="16"/>
        <v>13.837500000000002</v>
      </c>
      <c r="M25" s="54">
        <v>1</v>
      </c>
      <c r="N25" s="52">
        <f>_xlfn.XLOOKUP(C25,MATERIALS!$A$1:$A$500,MATERIALS!$E$1:$E$500,0)</f>
        <v>3.5000000000000003E-2</v>
      </c>
      <c r="O25" s="53">
        <f>IF(N25=0,0,F25/N25)</f>
        <v>4.2857142857142856</v>
      </c>
      <c r="P25" s="53"/>
      <c r="Q25" s="53"/>
      <c r="R25" s="33" t="str">
        <f>IF(_xlfn.XLOOKUP($C25,MATERIALS!$A$1:$A$500,MATERIALS!$D$1:$D$500,FALSE)=R$2,"Yes","No")</f>
        <v>No</v>
      </c>
      <c r="S25" s="33" t="str">
        <f>IF(_xlfn.XLOOKUP($C25,MATERIALS!$A$1:$A$500,MATERIALS!$D$1:$D$500,FALSE)=S$2,"Yes","No")</f>
        <v>Yes</v>
      </c>
      <c r="T25" s="33" t="str">
        <f>IF(_xlfn.XLOOKUP($C25,MATERIALS!$A$1:$A$500,MATERIALS!$D$1:$D$500,FALSE)=T$2,"Yes","No")</f>
        <v>No</v>
      </c>
      <c r="U25" s="33" t="str">
        <f>IF(_xlfn.XLOOKUP($C25,MATERIALS!$A$1:$A$500,MATERIALS!$D$1:$D$500,FALSE)=U$2,"Yes","No")</f>
        <v>No</v>
      </c>
      <c r="V25" s="33" t="str">
        <f>IF(_xlfn.XLOOKUP($C25,MATERIALS!$A$1:$A$500,MATERIALS!$D$1:$D$500,FALSE)=V$2,"Yes","No")</f>
        <v>No</v>
      </c>
      <c r="W25" s="32">
        <f t="shared" ref="W25:W29" si="24">IF(R25="Yes",$L25,0)</f>
        <v>0</v>
      </c>
      <c r="X25" s="32">
        <f t="shared" si="17"/>
        <v>13.837500000000002</v>
      </c>
      <c r="Y25" s="32">
        <f t="shared" si="18"/>
        <v>0</v>
      </c>
      <c r="Z25" s="32">
        <f t="shared" si="19"/>
        <v>0</v>
      </c>
      <c r="AA25" s="32">
        <f t="shared" si="20"/>
        <v>0</v>
      </c>
    </row>
    <row r="26" spans="1:37" s="13" customFormat="1" ht="26" x14ac:dyDescent="0.35">
      <c r="A26" s="31">
        <v>2.4</v>
      </c>
      <c r="B26" s="30" t="s">
        <v>445</v>
      </c>
      <c r="C26" s="31" t="s">
        <v>449</v>
      </c>
      <c r="D26" s="54">
        <v>2.4</v>
      </c>
      <c r="E26" s="54">
        <v>2.4</v>
      </c>
      <c r="F26" s="54">
        <v>0.15</v>
      </c>
      <c r="G26" s="53">
        <f t="shared" si="21"/>
        <v>0.86399999999999999</v>
      </c>
      <c r="H26" s="54">
        <v>1</v>
      </c>
      <c r="I26" s="53">
        <f t="shared" si="22"/>
        <v>0.86399999999999999</v>
      </c>
      <c r="J26" s="53">
        <f>I26*_xlfn.XLOOKUP(C26,MATERIALS!$A$1:$A$500,MATERIALS!$B$1:$B$500,0)</f>
        <v>2073.6</v>
      </c>
      <c r="K26" s="53">
        <f>J26*_xlfn.XLOOKUP(C26,MATERIALS!$A$1:$A$500,MATERIALS!$C$1:$C$500,0)</f>
        <v>213.58079999999998</v>
      </c>
      <c r="L26" s="53">
        <f t="shared" si="16"/>
        <v>37.08</v>
      </c>
      <c r="M26" s="54">
        <v>1</v>
      </c>
      <c r="N26" s="52">
        <f>_xlfn.XLOOKUP(C26,MATERIALS!$A$1:$A$500,MATERIALS!$E$1:$E$500,0)</f>
        <v>4</v>
      </c>
      <c r="O26" s="53">
        <f>IF(N26=0,0,F26/N26)</f>
        <v>3.7499999999999999E-2</v>
      </c>
      <c r="P26" s="53"/>
      <c r="Q26" s="53"/>
      <c r="R26" s="33" t="str">
        <f>IF(_xlfn.XLOOKUP($C26,MATERIALS!$A$1:$A$500,MATERIALS!$D$1:$D$500,FALSE)=R$2,"Yes","No")</f>
        <v>Yes</v>
      </c>
      <c r="S26" s="33" t="str">
        <f>IF(_xlfn.XLOOKUP($C26,MATERIALS!$A$1:$A$500,MATERIALS!$D$1:$D$500,FALSE)=S$2,"Yes","No")</f>
        <v>No</v>
      </c>
      <c r="T26" s="33" t="str">
        <f>IF(_xlfn.XLOOKUP($C26,MATERIALS!$A$1:$A$500,MATERIALS!$D$1:$D$500,FALSE)=T$2,"Yes","No")</f>
        <v>No</v>
      </c>
      <c r="U26" s="33" t="str">
        <f>IF(_xlfn.XLOOKUP($C26,MATERIALS!$A$1:$A$500,MATERIALS!$D$1:$D$500,FALSE)=U$2,"Yes","No")</f>
        <v>No</v>
      </c>
      <c r="V26" s="33" t="str">
        <f>IF(_xlfn.XLOOKUP($C26,MATERIALS!$A$1:$A$500,MATERIALS!$D$1:$D$500,FALSE)=V$2,"Yes","No")</f>
        <v>No</v>
      </c>
      <c r="W26" s="32">
        <f t="shared" si="24"/>
        <v>37.08</v>
      </c>
      <c r="X26" s="32">
        <f t="shared" si="17"/>
        <v>0</v>
      </c>
      <c r="Y26" s="32">
        <f t="shared" si="18"/>
        <v>0</v>
      </c>
      <c r="Z26" s="32">
        <f t="shared" si="19"/>
        <v>0</v>
      </c>
      <c r="AA26" s="32">
        <f t="shared" si="20"/>
        <v>0</v>
      </c>
    </row>
    <row r="27" spans="1:37" x14ac:dyDescent="0.35">
      <c r="A27" s="30" t="s">
        <v>6</v>
      </c>
      <c r="B27" s="30" t="s">
        <v>446</v>
      </c>
      <c r="C27" s="31" t="s">
        <v>446</v>
      </c>
      <c r="D27" s="54"/>
      <c r="E27" s="54"/>
      <c r="F27" s="54"/>
      <c r="G27" s="54">
        <f t="shared" si="21"/>
        <v>0</v>
      </c>
      <c r="H27" s="54">
        <v>1</v>
      </c>
      <c r="I27" s="53">
        <f t="shared" si="22"/>
        <v>0</v>
      </c>
      <c r="J27" s="54">
        <v>41.47</v>
      </c>
      <c r="K27" s="53">
        <f>J27*_xlfn.XLOOKUP(C27,MATERIALS!$A$1:$A$500,MATERIALS!$C$1:$C$500,0)</f>
        <v>71.328400000000002</v>
      </c>
      <c r="L27" s="53">
        <f t="shared" si="16"/>
        <v>12.383402777777778</v>
      </c>
      <c r="M27" s="54">
        <v>1</v>
      </c>
      <c r="N27" s="52">
        <f>_xlfn.XLOOKUP(C27,MATERIALS!$A$1:$A$500,MATERIALS!$E$1:$E$500,0)</f>
        <v>0</v>
      </c>
      <c r="O27" s="53">
        <f t="shared" si="23"/>
        <v>0</v>
      </c>
      <c r="P27" s="53"/>
      <c r="Q27" s="53"/>
      <c r="R27" s="33" t="str">
        <f>IF(_xlfn.XLOOKUP($C27,MATERIALS!$A$1:$A$500,MATERIALS!$D$1:$D$500,FALSE)=R$2,"Yes","No")</f>
        <v>Yes</v>
      </c>
      <c r="S27" s="33" t="str">
        <f>IF(_xlfn.XLOOKUP($C27,MATERIALS!$A$1:$A$500,MATERIALS!$D$1:$D$500,FALSE)=S$2,"Yes","No")</f>
        <v>No</v>
      </c>
      <c r="T27" s="33" t="str">
        <f>IF(_xlfn.XLOOKUP($C27,MATERIALS!$A$1:$A$500,MATERIALS!$D$1:$D$500,FALSE)=T$2,"Yes","No")</f>
        <v>No</v>
      </c>
      <c r="U27" s="33" t="str">
        <f>IF(_xlfn.XLOOKUP($C27,MATERIALS!$A$1:$A$500,MATERIALS!$D$1:$D$500,FALSE)=U$2,"Yes","No")</f>
        <v>No</v>
      </c>
      <c r="V27" s="33" t="str">
        <f>IF(_xlfn.XLOOKUP($C27,MATERIALS!$A$1:$A$500,MATERIALS!$D$1:$D$500,FALSE)=V$2,"Yes","No")</f>
        <v>No</v>
      </c>
      <c r="W27" s="32">
        <f t="shared" si="24"/>
        <v>12.383402777777778</v>
      </c>
      <c r="X27" s="32">
        <f t="shared" si="17"/>
        <v>0</v>
      </c>
      <c r="Y27" s="32">
        <f t="shared" si="18"/>
        <v>0</v>
      </c>
      <c r="Z27" s="32">
        <f t="shared" si="19"/>
        <v>0</v>
      </c>
      <c r="AA27" s="32">
        <f t="shared" si="20"/>
        <v>0</v>
      </c>
      <c r="AB27" s="13"/>
      <c r="AC27" s="13"/>
      <c r="AD27" s="13"/>
      <c r="AE27" s="13"/>
      <c r="AF27" s="13"/>
      <c r="AG27" s="13"/>
      <c r="AH27" s="13"/>
      <c r="AI27" s="13"/>
      <c r="AJ27" s="13"/>
      <c r="AK27" s="13"/>
    </row>
    <row r="28" spans="1:37" ht="26" x14ac:dyDescent="0.35">
      <c r="A28" s="31">
        <v>2.4</v>
      </c>
      <c r="B28" s="30" t="s">
        <v>447</v>
      </c>
      <c r="C28" s="31" t="s">
        <v>447</v>
      </c>
      <c r="D28" s="54"/>
      <c r="E28" s="54"/>
      <c r="F28" s="54"/>
      <c r="G28" s="54">
        <f t="shared" si="21"/>
        <v>0</v>
      </c>
      <c r="H28" s="54">
        <v>1</v>
      </c>
      <c r="I28" s="53">
        <f t="shared" si="22"/>
        <v>0</v>
      </c>
      <c r="J28" s="54">
        <v>5</v>
      </c>
      <c r="K28" s="53">
        <f>J28*_xlfn.XLOOKUP(C28,MATERIALS!$A$1:$A$500,MATERIALS!$C$1:$C$500,0)</f>
        <v>9.25</v>
      </c>
      <c r="L28" s="53">
        <f t="shared" si="16"/>
        <v>1.6059027777777779</v>
      </c>
      <c r="M28" s="54">
        <v>1</v>
      </c>
      <c r="N28" s="52">
        <f>_xlfn.XLOOKUP(C28,MATERIALS!$A$1:$A$500,MATERIALS!$E$1:$E$500,0)</f>
        <v>0</v>
      </c>
      <c r="O28" s="53">
        <f t="shared" si="23"/>
        <v>0</v>
      </c>
      <c r="P28" s="53"/>
      <c r="Q28" s="53"/>
      <c r="R28" s="33" t="str">
        <f>IF(_xlfn.XLOOKUP($C28,MATERIALS!$A$1:$A$500,MATERIALS!$D$1:$D$500,FALSE)=R$2,"Yes","No")</f>
        <v>No</v>
      </c>
      <c r="S28" s="33" t="str">
        <f>IF(_xlfn.XLOOKUP($C28,MATERIALS!$A$1:$A$500,MATERIALS!$D$1:$D$500,FALSE)=S$2,"Yes","No")</f>
        <v>No</v>
      </c>
      <c r="T28" s="33" t="str">
        <f>IF(_xlfn.XLOOKUP($C28,MATERIALS!$A$1:$A$500,MATERIALS!$D$1:$D$500,FALSE)=T$2,"Yes","No")</f>
        <v>No</v>
      </c>
      <c r="U28" s="33" t="str">
        <f>IF(_xlfn.XLOOKUP($C28,MATERIALS!$A$1:$A$500,MATERIALS!$D$1:$D$500,FALSE)=U$2,"Yes","No")</f>
        <v>No</v>
      </c>
      <c r="V28" s="33" t="str">
        <f>IF(_xlfn.XLOOKUP($C28,MATERIALS!$A$1:$A$500,MATERIALS!$D$1:$D$500,FALSE)=V$2,"Yes","No")</f>
        <v>No</v>
      </c>
      <c r="W28" s="32">
        <f t="shared" si="24"/>
        <v>0</v>
      </c>
      <c r="X28" s="32">
        <f t="shared" si="17"/>
        <v>0</v>
      </c>
      <c r="Y28" s="32">
        <f t="shared" si="18"/>
        <v>0</v>
      </c>
      <c r="Z28" s="32">
        <f t="shared" si="19"/>
        <v>0</v>
      </c>
      <c r="AA28" s="32">
        <f t="shared" si="20"/>
        <v>0</v>
      </c>
      <c r="AB28" s="13"/>
      <c r="AC28" s="13"/>
      <c r="AD28" s="13"/>
      <c r="AE28" s="13"/>
      <c r="AF28" s="13"/>
      <c r="AG28" s="13"/>
      <c r="AH28" s="13"/>
      <c r="AI28" s="13"/>
      <c r="AJ28" s="13"/>
      <c r="AK28" s="13"/>
    </row>
    <row r="29" spans="1:37" ht="51" x14ac:dyDescent="0.35">
      <c r="A29" s="30" t="s">
        <v>8</v>
      </c>
      <c r="B29" s="30" t="s">
        <v>448</v>
      </c>
      <c r="C29" s="31" t="s">
        <v>29</v>
      </c>
      <c r="D29" s="54">
        <v>2.4</v>
      </c>
      <c r="E29" s="54">
        <v>2.4</v>
      </c>
      <c r="F29" s="86">
        <f>0.45/1000</f>
        <v>4.4999999999999999E-4</v>
      </c>
      <c r="G29" s="53"/>
      <c r="H29" s="54"/>
      <c r="I29" s="53"/>
      <c r="J29" s="54">
        <v>0.34599999999999997</v>
      </c>
      <c r="K29" s="53">
        <f>J29*_xlfn.XLOOKUP(C29,MATERIALS!$A$1:$A$500,MATERIALS!$C$1:$C$500,0)</f>
        <v>1.4532</v>
      </c>
      <c r="L29" s="53">
        <f t="shared" si="16"/>
        <v>0.25229166666666669</v>
      </c>
      <c r="M29" s="54">
        <v>1</v>
      </c>
      <c r="N29" s="52">
        <f>_xlfn.XLOOKUP(C29,MATERIALS!$A$1:$A$500,MATERIALS!$E$1:$E$500,0)</f>
        <v>0.3</v>
      </c>
      <c r="O29" s="53">
        <f t="shared" si="23"/>
        <v>1.5E-3</v>
      </c>
      <c r="P29" s="53"/>
      <c r="Q29" s="53"/>
      <c r="R29" s="33" t="str">
        <f>IF(_xlfn.XLOOKUP($C29,MATERIALS!$A$1:$A$500,MATERIALS!$D$1:$D$500,FALSE)=R$2,"Yes","No")</f>
        <v>No</v>
      </c>
      <c r="S29" s="33" t="str">
        <f>IF(_xlfn.XLOOKUP($C29,MATERIALS!$A$1:$A$500,MATERIALS!$D$1:$D$500,FALSE)=S$2,"Yes","No")</f>
        <v>No</v>
      </c>
      <c r="T29" s="33" t="str">
        <f>IF(_xlfn.XLOOKUP($C29,MATERIALS!$A$1:$A$500,MATERIALS!$D$1:$D$500,FALSE)=T$2,"Yes","No")</f>
        <v>No</v>
      </c>
      <c r="U29" s="33" t="str">
        <f>IF(_xlfn.XLOOKUP($C29,MATERIALS!$A$1:$A$500,MATERIALS!$D$1:$D$500,FALSE)=U$2,"Yes","No")</f>
        <v>No</v>
      </c>
      <c r="V29" s="33" t="str">
        <f>IF(_xlfn.XLOOKUP($C29,MATERIALS!$A$1:$A$500,MATERIALS!$D$1:$D$500,FALSE)=V$2,"Yes","No")</f>
        <v>No</v>
      </c>
      <c r="W29" s="32">
        <f t="shared" si="24"/>
        <v>0</v>
      </c>
      <c r="X29" s="32">
        <f t="shared" si="17"/>
        <v>0</v>
      </c>
      <c r="Y29" s="32">
        <f t="shared" si="18"/>
        <v>0</v>
      </c>
      <c r="Z29" s="32">
        <f t="shared" si="19"/>
        <v>0</v>
      </c>
      <c r="AA29" s="32">
        <f t="shared" si="20"/>
        <v>0</v>
      </c>
      <c r="AB29" s="13"/>
      <c r="AC29" s="13"/>
      <c r="AD29" s="13"/>
      <c r="AE29" s="13"/>
      <c r="AF29" s="13"/>
      <c r="AG29" s="13"/>
      <c r="AH29" s="13"/>
      <c r="AI29" s="13"/>
      <c r="AJ29" s="13"/>
      <c r="AK29" s="13"/>
    </row>
    <row r="30" spans="1:37" x14ac:dyDescent="0.35">
      <c r="A30" s="31">
        <v>0.3</v>
      </c>
      <c r="B30" s="35" t="s">
        <v>19</v>
      </c>
      <c r="C30" s="35"/>
      <c r="D30" s="82"/>
      <c r="E30" s="82"/>
      <c r="F30" s="82"/>
      <c r="G30" s="82"/>
      <c r="H30" s="82"/>
      <c r="I30" s="82"/>
      <c r="J30" s="55">
        <f>SUM(J24:J29)</f>
        <v>2142.0159999999996</v>
      </c>
      <c r="K30" s="53">
        <f>SUM(K24:K29)</f>
        <v>375.31639999999999</v>
      </c>
      <c r="L30" s="55">
        <f>SUM(L24:L29)</f>
        <v>65.159097222222215</v>
      </c>
      <c r="M30" s="83"/>
      <c r="N30" s="83"/>
      <c r="O30" s="55">
        <f>SUM(O23:O29)</f>
        <v>4.3247142857142853</v>
      </c>
      <c r="P30" s="55"/>
      <c r="Q30" s="55"/>
      <c r="R30" s="37" t="str">
        <f>IF(COUNTIF(R24:R29,"Yes")&gt;0,"Yes","No")</f>
        <v>Yes</v>
      </c>
      <c r="S30" s="37" t="str">
        <f>IF(COUNTIF(S24:S29,"Yes")&gt;0,"Yes","No")</f>
        <v>Yes</v>
      </c>
      <c r="T30" s="37" t="str">
        <f>IF(COUNTIF(T24:T29,"Yes")&gt;0,"Yes","No")</f>
        <v>No</v>
      </c>
      <c r="U30" s="37" t="str">
        <f>IF(COUNTIF(U24:U29,"Yes")&gt;0,"Yes","No")</f>
        <v>No</v>
      </c>
      <c r="V30" s="37" t="str">
        <f>IF(COUNTIF(V24:V29,"Yes")&gt;0,"Yes","No")</f>
        <v>No</v>
      </c>
      <c r="W30" s="36">
        <f>SUM(W23:W29)</f>
        <v>49.463402777777773</v>
      </c>
      <c r="X30" s="36">
        <f>SUM(X23:X29)</f>
        <v>13.837500000000002</v>
      </c>
      <c r="Y30" s="36">
        <f>SUM(Y23:Y29)</f>
        <v>0</v>
      </c>
      <c r="Z30" s="36">
        <f>SUM(Z23:Z29)</f>
        <v>0</v>
      </c>
      <c r="AA30" s="36">
        <f>SUM(AA23:AA29)</f>
        <v>0</v>
      </c>
      <c r="AB30" s="13"/>
      <c r="AC30" s="13"/>
      <c r="AD30" s="13"/>
      <c r="AE30" s="13"/>
      <c r="AF30" s="13"/>
      <c r="AG30" s="13"/>
      <c r="AH30" s="13"/>
      <c r="AI30" s="13"/>
      <c r="AJ30" s="13"/>
      <c r="AK30" s="13"/>
    </row>
    <row r="31" spans="1:37" x14ac:dyDescent="0.35">
      <c r="A31" s="13"/>
      <c r="B31" s="13"/>
      <c r="C31" s="13"/>
      <c r="D31" s="13"/>
      <c r="E31" s="13"/>
      <c r="F31" s="13"/>
      <c r="G31" s="13"/>
      <c r="H31" s="13"/>
      <c r="I31" s="13"/>
      <c r="J31" s="13"/>
      <c r="W31" s="13"/>
      <c r="X31" s="13"/>
      <c r="Y31" s="13"/>
      <c r="Z31" s="13"/>
      <c r="AA31" s="13"/>
      <c r="AB31" s="13"/>
      <c r="AC31" s="13"/>
      <c r="AD31" s="13"/>
      <c r="AE31" s="13"/>
      <c r="AF31" s="13"/>
      <c r="AG31" s="13"/>
      <c r="AH31" s="13"/>
      <c r="AI31" s="13"/>
      <c r="AJ31" s="13"/>
      <c r="AK31" s="13"/>
    </row>
    <row r="32" spans="1:37" x14ac:dyDescent="0.35">
      <c r="A32" s="13"/>
      <c r="B32" s="13"/>
      <c r="C32" s="13"/>
      <c r="D32" s="13"/>
      <c r="E32" s="13"/>
      <c r="F32" s="13"/>
      <c r="G32" s="13"/>
      <c r="H32" s="13"/>
      <c r="I32" s="13"/>
      <c r="J32" s="13"/>
      <c r="K32" s="13"/>
      <c r="L32" s="13"/>
      <c r="M32" s="13"/>
      <c r="N32" s="13"/>
      <c r="O32" s="13"/>
      <c r="P32" s="13"/>
      <c r="Q32" s="13"/>
      <c r="R32" s="13"/>
      <c r="S32" s="13"/>
      <c r="T32" s="13"/>
      <c r="U32" s="13"/>
      <c r="V32" s="13"/>
      <c r="W32" s="13"/>
      <c r="X32" s="13"/>
      <c r="Y32" s="13"/>
      <c r="Z32" s="13"/>
      <c r="AA32" s="13"/>
      <c r="AB32" s="13"/>
      <c r="AC32" s="13"/>
      <c r="AD32" s="13"/>
      <c r="AE32" s="13"/>
      <c r="AF32" s="13"/>
      <c r="AG32" s="13"/>
      <c r="AH32" s="13"/>
      <c r="AI32" s="13"/>
      <c r="AJ32" s="13"/>
      <c r="AK32" s="13"/>
    </row>
    <row r="33" spans="1:37" x14ac:dyDescent="0.35">
      <c r="A33" s="13"/>
      <c r="B33" s="13"/>
      <c r="C33" s="13"/>
      <c r="D33" s="13"/>
      <c r="E33" s="13"/>
      <c r="F33" s="13"/>
      <c r="G33" s="13"/>
      <c r="H33" s="13"/>
      <c r="I33" s="13"/>
      <c r="J33" s="13"/>
      <c r="K33" s="13"/>
      <c r="L33" s="13"/>
      <c r="M33" s="13"/>
      <c r="N33" s="13"/>
      <c r="O33" s="13"/>
      <c r="P33" s="13"/>
      <c r="Q33" s="13"/>
      <c r="R33" s="13"/>
      <c r="S33" s="13"/>
      <c r="T33" s="13"/>
      <c r="U33" s="13"/>
      <c r="V33" s="13"/>
      <c r="W33" s="13"/>
      <c r="X33" s="13"/>
      <c r="Y33" s="13"/>
      <c r="Z33" s="13"/>
      <c r="AA33" s="13"/>
      <c r="AB33" s="13"/>
      <c r="AC33" s="13"/>
      <c r="AD33" s="13"/>
      <c r="AE33" s="13"/>
      <c r="AF33" s="13"/>
      <c r="AG33" s="13"/>
      <c r="AH33" s="13"/>
      <c r="AI33" s="13"/>
      <c r="AJ33" s="13"/>
      <c r="AK33" s="13"/>
    </row>
    <row r="34" spans="1:37" x14ac:dyDescent="0.35">
      <c r="A34" s="13"/>
      <c r="B34" s="13"/>
      <c r="C34" s="13"/>
      <c r="D34" s="13"/>
      <c r="E34" s="13"/>
      <c r="F34" s="13"/>
      <c r="G34" s="13"/>
      <c r="H34" s="13"/>
      <c r="I34" s="13"/>
      <c r="J34" s="13"/>
      <c r="K34" s="13"/>
      <c r="L34" s="13"/>
      <c r="M34" s="13"/>
      <c r="N34" s="13"/>
      <c r="O34" s="13"/>
      <c r="P34" s="13"/>
      <c r="Q34" s="13"/>
      <c r="R34" s="13"/>
      <c r="S34" s="13"/>
      <c r="T34" s="13"/>
      <c r="U34" s="13"/>
      <c r="V34" s="13"/>
      <c r="W34" s="13"/>
      <c r="X34" s="13"/>
      <c r="Y34" s="13"/>
      <c r="Z34" s="13"/>
      <c r="AA34" s="13"/>
      <c r="AB34" s="13"/>
      <c r="AC34" s="13"/>
      <c r="AD34" s="13"/>
      <c r="AE34" s="13"/>
      <c r="AF34" s="13"/>
      <c r="AG34" s="13"/>
      <c r="AH34" s="13"/>
      <c r="AI34" s="13"/>
      <c r="AJ34" s="13"/>
      <c r="AK34" s="13"/>
    </row>
    <row r="35" spans="1:37" x14ac:dyDescent="0.35">
      <c r="A35" s="13"/>
      <c r="B35" s="13"/>
      <c r="C35" s="13"/>
      <c r="D35" s="13"/>
      <c r="E35" s="13"/>
      <c r="F35" s="13"/>
      <c r="G35" s="13"/>
      <c r="H35" s="13"/>
      <c r="I35" s="13"/>
      <c r="J35" s="13"/>
      <c r="K35" s="13"/>
      <c r="L35" s="13"/>
      <c r="M35" s="13"/>
      <c r="N35" s="13"/>
      <c r="O35" s="13"/>
      <c r="P35" s="13"/>
      <c r="Q35" s="13"/>
      <c r="R35" s="13"/>
      <c r="S35" s="13"/>
      <c r="T35" s="13"/>
      <c r="U35" s="13"/>
      <c r="V35" s="13"/>
      <c r="W35" s="13"/>
      <c r="X35" s="13"/>
      <c r="Y35" s="13"/>
      <c r="Z35" s="13"/>
      <c r="AA35" s="13"/>
      <c r="AB35" s="13"/>
      <c r="AC35" s="13"/>
      <c r="AD35" s="13"/>
      <c r="AE35" s="13"/>
      <c r="AF35" s="13"/>
      <c r="AG35" s="13"/>
      <c r="AH35" s="13"/>
      <c r="AI35" s="13"/>
      <c r="AJ35" s="13"/>
      <c r="AK35" s="13"/>
    </row>
    <row r="36" spans="1:37" x14ac:dyDescent="0.35">
      <c r="A36" s="13"/>
      <c r="B36" s="13"/>
      <c r="C36" s="13"/>
      <c r="D36" s="13"/>
      <c r="E36" s="13"/>
      <c r="F36" s="13"/>
      <c r="G36" s="13"/>
      <c r="H36" s="13"/>
      <c r="I36" s="13"/>
      <c r="J36" s="13"/>
      <c r="K36" s="13"/>
      <c r="L36" s="13"/>
      <c r="M36" s="13"/>
      <c r="N36" s="13"/>
      <c r="O36" s="13"/>
      <c r="P36" s="13"/>
      <c r="Q36" s="13"/>
      <c r="R36" s="13"/>
      <c r="S36" s="13"/>
      <c r="T36" s="13"/>
      <c r="U36" s="13"/>
      <c r="V36" s="13"/>
      <c r="W36" s="13"/>
      <c r="X36" s="13"/>
      <c r="Y36" s="13"/>
      <c r="Z36" s="13"/>
      <c r="AA36" s="13"/>
      <c r="AB36" s="13"/>
      <c r="AC36" s="13"/>
      <c r="AD36" s="13"/>
      <c r="AE36" s="13"/>
      <c r="AF36" s="13"/>
      <c r="AG36" s="13"/>
      <c r="AH36" s="13"/>
      <c r="AI36" s="13"/>
      <c r="AJ36" s="13"/>
      <c r="AK36" s="13"/>
    </row>
    <row r="37" spans="1:37" x14ac:dyDescent="0.35">
      <c r="A37" s="13"/>
      <c r="B37" s="13"/>
      <c r="C37" s="13"/>
      <c r="D37" s="13"/>
      <c r="E37" s="13"/>
      <c r="F37" s="13"/>
      <c r="G37" s="13"/>
      <c r="H37" s="13"/>
      <c r="I37" s="13"/>
      <c r="J37" s="13"/>
      <c r="K37" s="13"/>
      <c r="L37" s="13"/>
      <c r="M37" s="13"/>
      <c r="N37" s="13"/>
      <c r="O37" s="13"/>
      <c r="P37" s="13"/>
      <c r="Q37" s="13"/>
      <c r="R37" s="13"/>
      <c r="S37" s="13"/>
      <c r="T37" s="13"/>
      <c r="U37" s="13"/>
      <c r="V37" s="13"/>
      <c r="W37" s="13"/>
      <c r="X37" s="13"/>
      <c r="Y37" s="13"/>
      <c r="Z37" s="13"/>
      <c r="AA37" s="13"/>
      <c r="AB37" s="13"/>
      <c r="AC37" s="13"/>
      <c r="AD37" s="13"/>
      <c r="AE37" s="13"/>
      <c r="AF37" s="13"/>
      <c r="AG37" s="13"/>
      <c r="AH37" s="13"/>
      <c r="AI37" s="13"/>
      <c r="AJ37" s="13"/>
      <c r="AK37" s="13"/>
    </row>
    <row r="38" spans="1:37" x14ac:dyDescent="0.35">
      <c r="A38" s="13"/>
      <c r="B38" s="13"/>
      <c r="C38" s="13"/>
      <c r="D38" s="13"/>
      <c r="E38" s="13"/>
      <c r="F38" s="13"/>
      <c r="G38" s="13"/>
      <c r="H38" s="13"/>
      <c r="I38" s="13"/>
      <c r="J38" s="13"/>
      <c r="K38" s="13"/>
      <c r="L38" s="13"/>
      <c r="M38" s="13"/>
      <c r="N38" s="13"/>
      <c r="O38" s="13"/>
      <c r="P38" s="13"/>
      <c r="Q38" s="13"/>
      <c r="R38" s="13"/>
      <c r="S38" s="13"/>
      <c r="T38" s="13"/>
      <c r="U38" s="13"/>
      <c r="V38" s="13"/>
      <c r="W38" s="13"/>
      <c r="X38" s="13"/>
      <c r="Y38" s="13"/>
      <c r="Z38" s="13"/>
      <c r="AA38" s="13"/>
      <c r="AB38" s="13"/>
      <c r="AC38" s="13"/>
      <c r="AD38" s="13"/>
      <c r="AE38" s="13"/>
      <c r="AF38" s="13"/>
      <c r="AG38" s="13"/>
      <c r="AH38" s="13"/>
      <c r="AI38" s="13"/>
      <c r="AJ38" s="13"/>
      <c r="AK38" s="13"/>
    </row>
    <row r="39" spans="1:37" x14ac:dyDescent="0.35">
      <c r="A39" s="13"/>
      <c r="B39" s="13"/>
      <c r="C39" s="13"/>
      <c r="D39" s="13"/>
      <c r="E39" s="13"/>
      <c r="F39" s="13"/>
      <c r="G39" s="13"/>
      <c r="H39" s="13"/>
      <c r="I39" s="13"/>
      <c r="J39" s="13"/>
      <c r="K39" s="13"/>
      <c r="L39" s="13"/>
      <c r="M39" s="13"/>
      <c r="N39" s="13"/>
      <c r="O39" s="13"/>
      <c r="P39" s="13"/>
      <c r="Q39" s="13"/>
      <c r="R39" s="13"/>
      <c r="S39" s="13"/>
      <c r="T39" s="13"/>
      <c r="U39" s="13"/>
      <c r="V39" s="13"/>
      <c r="W39" s="13"/>
      <c r="X39" s="13"/>
      <c r="Y39" s="13"/>
      <c r="Z39" s="13"/>
      <c r="AA39" s="13"/>
      <c r="AB39" s="13"/>
      <c r="AC39" s="13"/>
      <c r="AD39" s="13"/>
      <c r="AE39" s="13"/>
      <c r="AF39" s="13"/>
      <c r="AG39" s="13"/>
      <c r="AH39" s="13"/>
      <c r="AI39" s="13"/>
      <c r="AJ39" s="13"/>
      <c r="AK39" s="13"/>
    </row>
    <row r="40" spans="1:37" x14ac:dyDescent="0.35">
      <c r="A40" s="13"/>
      <c r="B40" s="13"/>
      <c r="C40" s="13"/>
      <c r="D40" s="13"/>
      <c r="E40" s="13"/>
      <c r="F40" s="13"/>
      <c r="G40" s="13"/>
      <c r="H40" s="13"/>
      <c r="I40" s="13"/>
      <c r="J40" s="13"/>
      <c r="K40" s="13"/>
      <c r="L40" s="13"/>
      <c r="M40" s="13"/>
      <c r="N40" s="13"/>
      <c r="O40" s="13"/>
      <c r="P40" s="13"/>
      <c r="Q40" s="13"/>
      <c r="R40" s="13"/>
      <c r="S40" s="13"/>
      <c r="T40" s="13"/>
      <c r="U40" s="13"/>
      <c r="V40" s="13"/>
      <c r="W40" s="13"/>
      <c r="X40" s="13"/>
      <c r="Y40" s="13"/>
      <c r="Z40" s="13"/>
      <c r="AA40" s="13"/>
      <c r="AB40" s="13"/>
      <c r="AC40" s="13"/>
      <c r="AD40" s="13"/>
      <c r="AE40" s="13"/>
      <c r="AF40" s="13"/>
      <c r="AG40" s="13"/>
      <c r="AH40" s="13"/>
      <c r="AI40" s="13"/>
      <c r="AJ40" s="13"/>
      <c r="AK40" s="13"/>
    </row>
    <row r="41" spans="1:37" x14ac:dyDescent="0.35">
      <c r="A41" s="13"/>
      <c r="B41" s="13"/>
      <c r="C41" s="13"/>
      <c r="D41" s="13"/>
      <c r="E41" s="13"/>
      <c r="F41" s="13"/>
      <c r="G41" s="13"/>
      <c r="H41" s="13"/>
      <c r="I41" s="13"/>
      <c r="J41" s="13"/>
      <c r="K41" s="13"/>
      <c r="L41" s="13"/>
      <c r="M41" s="13"/>
      <c r="N41" s="13"/>
      <c r="O41" s="13"/>
      <c r="P41" s="13"/>
      <c r="Q41" s="13"/>
      <c r="R41" s="13"/>
      <c r="S41" s="13"/>
      <c r="T41" s="13"/>
      <c r="U41" s="13"/>
      <c r="V41" s="13"/>
      <c r="W41" s="13"/>
      <c r="X41" s="13"/>
      <c r="Y41" s="13"/>
      <c r="Z41" s="13"/>
      <c r="AA41" s="13"/>
      <c r="AB41" s="13"/>
      <c r="AC41" s="13"/>
      <c r="AD41" s="13"/>
      <c r="AE41" s="13"/>
      <c r="AF41" s="13"/>
      <c r="AG41" s="13"/>
      <c r="AH41" s="13"/>
      <c r="AI41" s="13"/>
      <c r="AJ41" s="13"/>
      <c r="AK41" s="13"/>
    </row>
    <row r="42" spans="1:37" x14ac:dyDescent="0.35">
      <c r="A42" s="13"/>
      <c r="B42" s="13"/>
      <c r="C42" s="13"/>
      <c r="D42" s="13"/>
      <c r="E42" s="13"/>
      <c r="F42" s="13"/>
      <c r="G42" s="13"/>
      <c r="H42" s="13"/>
      <c r="I42" s="13"/>
      <c r="J42" s="13"/>
      <c r="K42" s="13"/>
      <c r="L42" s="13"/>
      <c r="M42" s="13"/>
      <c r="N42" s="13"/>
      <c r="O42" s="13"/>
      <c r="P42" s="13"/>
      <c r="Q42" s="13"/>
      <c r="R42" s="13"/>
      <c r="S42" s="13"/>
      <c r="T42" s="13"/>
      <c r="U42" s="13"/>
      <c r="V42" s="13"/>
      <c r="W42" s="13"/>
      <c r="X42" s="13"/>
      <c r="Y42" s="13"/>
      <c r="Z42" s="13"/>
      <c r="AA42" s="13"/>
      <c r="AB42" s="13"/>
      <c r="AC42" s="13"/>
      <c r="AD42" s="13"/>
      <c r="AE42" s="13"/>
      <c r="AF42" s="13"/>
      <c r="AG42" s="13"/>
      <c r="AH42" s="13"/>
      <c r="AI42" s="13"/>
      <c r="AJ42" s="13"/>
      <c r="AK42" s="13"/>
    </row>
    <row r="43" spans="1:37" x14ac:dyDescent="0.35">
      <c r="A43" s="13"/>
      <c r="B43" s="13"/>
      <c r="C43" s="13"/>
      <c r="D43" s="13"/>
      <c r="E43" s="13"/>
      <c r="F43" s="13"/>
      <c r="G43" s="13"/>
      <c r="H43" s="13"/>
      <c r="I43" s="13"/>
      <c r="J43" s="13"/>
      <c r="K43" s="13"/>
      <c r="L43" s="13"/>
      <c r="M43" s="13"/>
      <c r="N43" s="13"/>
      <c r="O43" s="13"/>
      <c r="P43" s="13"/>
      <c r="Q43" s="13"/>
      <c r="R43" s="13"/>
      <c r="S43" s="13"/>
      <c r="T43" s="13"/>
      <c r="U43" s="13"/>
      <c r="V43" s="13"/>
      <c r="W43" s="13"/>
      <c r="X43" s="13"/>
      <c r="Y43" s="13"/>
      <c r="Z43" s="13"/>
      <c r="AA43" s="13"/>
      <c r="AB43" s="13"/>
      <c r="AC43" s="13"/>
      <c r="AD43" s="13"/>
      <c r="AE43" s="13"/>
      <c r="AF43" s="13"/>
      <c r="AG43" s="13"/>
      <c r="AH43" s="13"/>
      <c r="AI43" s="13"/>
      <c r="AJ43" s="13"/>
      <c r="AK43" s="13"/>
    </row>
    <row r="44" spans="1:37" x14ac:dyDescent="0.35">
      <c r="A44" s="13"/>
      <c r="B44" s="13"/>
      <c r="C44" s="13"/>
      <c r="D44" s="13"/>
      <c r="E44" s="13"/>
      <c r="F44" s="13"/>
      <c r="G44" s="13"/>
      <c r="H44" s="13"/>
      <c r="I44" s="13"/>
      <c r="J44" s="13"/>
      <c r="K44" s="13"/>
      <c r="L44" s="13"/>
      <c r="M44" s="13"/>
      <c r="N44" s="13"/>
      <c r="O44" s="13"/>
      <c r="P44" s="13"/>
      <c r="Q44" s="13"/>
      <c r="R44" s="13"/>
      <c r="S44" s="13"/>
      <c r="T44" s="13"/>
      <c r="U44" s="13"/>
      <c r="V44" s="13"/>
      <c r="W44" s="13"/>
      <c r="X44" s="13"/>
      <c r="Y44" s="13"/>
      <c r="Z44" s="13"/>
      <c r="AA44" s="13"/>
      <c r="AB44" s="13"/>
      <c r="AC44" s="13"/>
      <c r="AD44" s="13"/>
      <c r="AE44" s="13"/>
      <c r="AF44" s="13"/>
      <c r="AG44" s="13"/>
      <c r="AH44" s="13"/>
      <c r="AI44" s="13"/>
      <c r="AJ44" s="13"/>
      <c r="AK44" s="13"/>
    </row>
    <row r="45" spans="1:37" x14ac:dyDescent="0.35">
      <c r="A45" s="13"/>
      <c r="B45" s="13"/>
      <c r="C45" s="13"/>
      <c r="D45" s="13"/>
      <c r="E45" s="13"/>
      <c r="F45" s="13"/>
      <c r="G45" s="13"/>
      <c r="H45" s="13"/>
      <c r="I45" s="13"/>
      <c r="J45" s="13"/>
      <c r="K45" s="13"/>
      <c r="L45" s="13"/>
      <c r="M45" s="13"/>
      <c r="N45" s="13"/>
      <c r="O45" s="13"/>
      <c r="P45" s="13"/>
      <c r="Q45" s="13"/>
      <c r="R45" s="13"/>
      <c r="S45" s="13"/>
      <c r="T45" s="13"/>
      <c r="U45" s="13"/>
      <c r="V45" s="13"/>
      <c r="W45" s="13"/>
      <c r="X45" s="13"/>
      <c r="Y45" s="13"/>
      <c r="Z45" s="13"/>
      <c r="AA45" s="13"/>
      <c r="AB45" s="13"/>
      <c r="AC45" s="13"/>
      <c r="AD45" s="13"/>
      <c r="AE45" s="13"/>
      <c r="AF45" s="13"/>
      <c r="AG45" s="13"/>
      <c r="AH45" s="13"/>
      <c r="AI45" s="13"/>
      <c r="AJ45" s="13"/>
      <c r="AK45" s="13"/>
    </row>
    <row r="46" spans="1:37" x14ac:dyDescent="0.35">
      <c r="A46" s="13"/>
      <c r="B46" s="13"/>
      <c r="C46" s="13"/>
      <c r="D46" s="13"/>
      <c r="E46" s="13"/>
      <c r="F46" s="13"/>
      <c r="G46" s="13"/>
      <c r="H46" s="13"/>
      <c r="I46" s="13"/>
      <c r="J46" s="13"/>
      <c r="K46" s="13"/>
      <c r="L46" s="13"/>
      <c r="M46" s="13"/>
      <c r="N46" s="13"/>
      <c r="O46" s="13"/>
      <c r="P46" s="13"/>
      <c r="Q46" s="13"/>
      <c r="R46" s="13"/>
      <c r="S46" s="13"/>
      <c r="T46" s="13"/>
      <c r="U46" s="13"/>
      <c r="V46" s="13"/>
      <c r="W46" s="13"/>
      <c r="X46" s="13"/>
      <c r="Y46" s="13"/>
      <c r="Z46" s="13"/>
      <c r="AA46" s="13"/>
      <c r="AB46" s="13"/>
      <c r="AC46" s="13"/>
      <c r="AD46" s="13"/>
      <c r="AE46" s="13"/>
      <c r="AF46" s="13"/>
      <c r="AG46" s="13"/>
      <c r="AH46" s="13"/>
      <c r="AI46" s="13"/>
      <c r="AJ46" s="13"/>
      <c r="AK46" s="13"/>
    </row>
    <row r="47" spans="1:37" x14ac:dyDescent="0.35">
      <c r="A47" s="13"/>
      <c r="B47" s="13"/>
      <c r="C47" s="13"/>
      <c r="D47" s="13"/>
      <c r="E47" s="13"/>
      <c r="F47" s="13"/>
      <c r="G47" s="13"/>
      <c r="H47" s="13"/>
      <c r="I47" s="13"/>
      <c r="J47" s="13"/>
      <c r="K47" s="13"/>
      <c r="L47" s="13"/>
      <c r="M47" s="13"/>
      <c r="N47" s="13"/>
      <c r="O47" s="13"/>
      <c r="P47" s="13"/>
      <c r="Q47" s="13"/>
      <c r="R47" s="13"/>
      <c r="S47" s="13"/>
      <c r="T47" s="13"/>
      <c r="U47" s="13"/>
      <c r="V47" s="13"/>
      <c r="W47" s="13"/>
      <c r="X47" s="13"/>
      <c r="Y47" s="13"/>
      <c r="Z47" s="13"/>
      <c r="AA47" s="13"/>
      <c r="AB47" s="13"/>
      <c r="AC47" s="13"/>
      <c r="AD47" s="13"/>
      <c r="AE47" s="13"/>
      <c r="AF47" s="13"/>
      <c r="AG47" s="13"/>
      <c r="AH47" s="13"/>
      <c r="AI47" s="13"/>
      <c r="AJ47" s="13"/>
      <c r="AK47" s="13"/>
    </row>
    <row r="48" spans="1:37" x14ac:dyDescent="0.35">
      <c r="A48" s="13"/>
      <c r="B48" s="13"/>
      <c r="C48" s="13"/>
      <c r="D48" s="13"/>
      <c r="E48" s="13"/>
      <c r="F48" s="13"/>
      <c r="G48" s="13"/>
      <c r="H48" s="13"/>
      <c r="I48" s="13"/>
      <c r="J48" s="13"/>
      <c r="K48" s="13"/>
      <c r="L48" s="13"/>
      <c r="M48" s="13"/>
      <c r="N48" s="13"/>
      <c r="O48" s="13"/>
      <c r="P48" s="13"/>
      <c r="Q48" s="13"/>
      <c r="R48" s="13"/>
      <c r="S48" s="13"/>
      <c r="T48" s="13"/>
      <c r="U48" s="13"/>
      <c r="V48" s="13"/>
      <c r="W48" s="13"/>
      <c r="X48" s="13"/>
      <c r="Y48" s="13"/>
      <c r="Z48" s="13"/>
      <c r="AA48" s="13"/>
      <c r="AB48" s="13"/>
      <c r="AC48" s="13"/>
      <c r="AD48" s="13"/>
      <c r="AE48" s="13"/>
      <c r="AF48" s="13"/>
      <c r="AG48" s="13"/>
      <c r="AH48" s="13"/>
      <c r="AI48" s="13"/>
      <c r="AJ48" s="13"/>
      <c r="AK48" s="13"/>
    </row>
    <row r="49" spans="1:37" x14ac:dyDescent="0.35">
      <c r="A49" s="13"/>
      <c r="B49" s="13"/>
      <c r="C49" s="13"/>
      <c r="D49" s="13"/>
      <c r="E49" s="13"/>
      <c r="F49" s="13"/>
      <c r="G49" s="13"/>
      <c r="H49" s="13"/>
      <c r="I49" s="13"/>
      <c r="J49" s="13"/>
      <c r="K49" s="13"/>
      <c r="L49" s="13"/>
      <c r="M49" s="13"/>
      <c r="N49" s="13"/>
      <c r="O49" s="13"/>
      <c r="P49" s="13"/>
      <c r="Q49" s="13"/>
      <c r="R49" s="13"/>
      <c r="S49" s="13"/>
      <c r="T49" s="13"/>
      <c r="U49" s="13"/>
      <c r="V49" s="13"/>
      <c r="W49" s="13"/>
      <c r="X49" s="13"/>
      <c r="Y49" s="13"/>
      <c r="Z49" s="13"/>
      <c r="AA49" s="13"/>
      <c r="AB49" s="13"/>
      <c r="AC49" s="13"/>
      <c r="AD49" s="13"/>
      <c r="AE49" s="13"/>
      <c r="AF49" s="13"/>
      <c r="AG49" s="13"/>
      <c r="AH49" s="13"/>
      <c r="AI49" s="13"/>
      <c r="AJ49" s="13"/>
      <c r="AK49" s="13"/>
    </row>
    <row r="50" spans="1:37" x14ac:dyDescent="0.35">
      <c r="A50" s="13"/>
      <c r="B50" s="13"/>
      <c r="C50" s="13"/>
      <c r="D50" s="13"/>
      <c r="E50" s="13"/>
      <c r="F50" s="13"/>
      <c r="G50" s="13"/>
      <c r="H50" s="13"/>
      <c r="I50" s="13"/>
      <c r="J50" s="13"/>
      <c r="K50" s="13"/>
      <c r="L50" s="13"/>
      <c r="M50" s="13"/>
      <c r="N50" s="13"/>
      <c r="O50" s="13"/>
      <c r="P50" s="13"/>
      <c r="Q50" s="13"/>
      <c r="R50" s="13"/>
      <c r="S50" s="13"/>
      <c r="T50" s="13"/>
      <c r="U50" s="13"/>
      <c r="V50" s="13"/>
      <c r="W50" s="13"/>
      <c r="X50" s="13"/>
      <c r="Y50" s="13"/>
      <c r="Z50" s="13"/>
      <c r="AA50" s="13"/>
      <c r="AB50" s="13"/>
      <c r="AC50" s="13"/>
      <c r="AD50" s="13"/>
      <c r="AE50" s="13"/>
      <c r="AF50" s="13"/>
      <c r="AG50" s="13"/>
      <c r="AH50" s="13"/>
      <c r="AI50" s="13"/>
      <c r="AJ50" s="13"/>
      <c r="AK50" s="13"/>
    </row>
    <row r="51" spans="1:37" x14ac:dyDescent="0.35">
      <c r="A51" s="13"/>
      <c r="B51" s="13"/>
      <c r="C51" s="13"/>
      <c r="D51" s="13"/>
      <c r="E51" s="13"/>
      <c r="F51" s="13"/>
      <c r="G51" s="13"/>
      <c r="H51" s="13"/>
      <c r="I51" s="13"/>
      <c r="J51" s="13"/>
      <c r="K51" s="13"/>
      <c r="L51" s="13"/>
      <c r="M51" s="13"/>
      <c r="N51" s="13"/>
      <c r="O51" s="13"/>
      <c r="P51" s="13"/>
      <c r="Q51" s="13"/>
      <c r="R51" s="13"/>
      <c r="S51" s="13"/>
      <c r="T51" s="13"/>
      <c r="U51" s="13"/>
      <c r="V51" s="13"/>
      <c r="W51" s="13"/>
      <c r="X51" s="13"/>
      <c r="Y51" s="13"/>
      <c r="Z51" s="13"/>
      <c r="AA51" s="13"/>
      <c r="AB51" s="13"/>
      <c r="AC51" s="13"/>
      <c r="AD51" s="13"/>
      <c r="AE51" s="13"/>
      <c r="AF51" s="13"/>
      <c r="AG51" s="13"/>
      <c r="AH51" s="13"/>
      <c r="AI51" s="13"/>
      <c r="AJ51" s="13"/>
      <c r="AK51" s="13"/>
    </row>
    <row r="52" spans="1:37" x14ac:dyDescent="0.35">
      <c r="A52" s="13"/>
      <c r="B52" s="13"/>
      <c r="C52" s="13"/>
      <c r="D52" s="13"/>
      <c r="E52" s="13"/>
      <c r="F52" s="13"/>
      <c r="G52" s="13"/>
      <c r="H52" s="13"/>
      <c r="I52" s="13"/>
      <c r="J52" s="13"/>
      <c r="K52" s="13"/>
      <c r="L52" s="13"/>
      <c r="M52" s="13"/>
      <c r="N52" s="13"/>
      <c r="O52" s="13"/>
      <c r="P52" s="13"/>
      <c r="Q52" s="13"/>
      <c r="R52" s="13"/>
      <c r="S52" s="13"/>
      <c r="T52" s="13"/>
      <c r="U52" s="13"/>
      <c r="V52" s="13"/>
      <c r="W52" s="13"/>
      <c r="X52" s="13"/>
      <c r="Y52" s="13"/>
      <c r="Z52" s="13"/>
      <c r="AA52" s="13"/>
      <c r="AB52" s="13"/>
      <c r="AC52" s="13"/>
      <c r="AD52" s="13"/>
      <c r="AE52" s="13"/>
      <c r="AF52" s="13"/>
      <c r="AG52" s="13"/>
      <c r="AH52" s="13"/>
      <c r="AI52" s="13"/>
      <c r="AJ52" s="13"/>
      <c r="AK52" s="13"/>
    </row>
    <row r="53" spans="1:37" x14ac:dyDescent="0.35">
      <c r="A53" s="13"/>
      <c r="B53" s="13"/>
      <c r="C53" s="13"/>
      <c r="D53" s="13"/>
      <c r="E53" s="13"/>
      <c r="F53" s="13"/>
      <c r="G53" s="13"/>
      <c r="H53" s="13"/>
      <c r="I53" s="13"/>
      <c r="J53" s="13"/>
      <c r="K53" s="13"/>
      <c r="L53" s="13"/>
      <c r="M53" s="13"/>
      <c r="N53" s="13"/>
      <c r="O53" s="13"/>
      <c r="P53" s="13"/>
      <c r="Q53" s="13"/>
      <c r="R53" s="13"/>
      <c r="S53" s="13"/>
      <c r="T53" s="13"/>
      <c r="U53" s="13"/>
      <c r="V53" s="13"/>
      <c r="W53" s="13"/>
      <c r="X53" s="13"/>
      <c r="Y53" s="13"/>
      <c r="Z53" s="13"/>
      <c r="AA53" s="13"/>
      <c r="AB53" s="13"/>
      <c r="AC53" s="13"/>
      <c r="AD53" s="13"/>
      <c r="AE53" s="13"/>
      <c r="AF53" s="13"/>
      <c r="AG53" s="13"/>
      <c r="AH53" s="13"/>
      <c r="AI53" s="13"/>
      <c r="AJ53" s="13"/>
      <c r="AK53" s="13"/>
    </row>
    <row r="54" spans="1:37" x14ac:dyDescent="0.35">
      <c r="A54" s="13"/>
      <c r="B54" s="13"/>
      <c r="C54" s="13"/>
      <c r="D54" s="13"/>
      <c r="E54" s="13"/>
      <c r="F54" s="13"/>
      <c r="G54" s="13"/>
      <c r="H54" s="13"/>
      <c r="I54" s="13"/>
      <c r="J54" s="13"/>
      <c r="K54" s="13"/>
      <c r="L54" s="13"/>
      <c r="M54" s="13"/>
      <c r="N54" s="13"/>
      <c r="O54" s="13"/>
      <c r="P54" s="13"/>
      <c r="Q54" s="13"/>
      <c r="R54" s="13"/>
      <c r="S54" s="13"/>
      <c r="T54" s="13"/>
      <c r="U54" s="13"/>
      <c r="V54" s="13"/>
      <c r="W54" s="13"/>
      <c r="X54" s="13"/>
      <c r="Y54" s="13"/>
      <c r="Z54" s="13"/>
      <c r="AA54" s="13"/>
      <c r="AB54" s="13"/>
      <c r="AC54" s="13"/>
      <c r="AD54" s="13"/>
      <c r="AE54" s="13"/>
      <c r="AF54" s="13"/>
      <c r="AG54" s="13"/>
      <c r="AH54" s="13"/>
      <c r="AI54" s="13"/>
      <c r="AJ54" s="13"/>
      <c r="AK54" s="13"/>
    </row>
    <row r="55" spans="1:37" x14ac:dyDescent="0.35">
      <c r="A55" s="13"/>
      <c r="B55" s="13"/>
      <c r="C55" s="13"/>
      <c r="D55" s="13"/>
      <c r="E55" s="13"/>
      <c r="F55" s="13"/>
      <c r="G55" s="13"/>
      <c r="H55" s="13"/>
      <c r="I55" s="13"/>
      <c r="J55" s="13"/>
      <c r="K55" s="13"/>
      <c r="L55" s="13"/>
      <c r="M55" s="13"/>
      <c r="N55" s="13"/>
      <c r="O55" s="13"/>
      <c r="P55" s="13"/>
      <c r="Q55" s="13"/>
      <c r="R55" s="13"/>
      <c r="S55" s="13"/>
      <c r="T55" s="13"/>
      <c r="U55" s="13"/>
      <c r="V55" s="13"/>
      <c r="W55" s="13"/>
      <c r="X55" s="13"/>
      <c r="Y55" s="13"/>
      <c r="Z55" s="13"/>
      <c r="AA55" s="13"/>
      <c r="AB55" s="13"/>
      <c r="AC55" s="13"/>
      <c r="AD55" s="13"/>
      <c r="AE55" s="13"/>
      <c r="AF55" s="13"/>
      <c r="AG55" s="13"/>
      <c r="AH55" s="13"/>
      <c r="AI55" s="13"/>
      <c r="AJ55" s="13"/>
      <c r="AK55" s="13"/>
    </row>
    <row r="56" spans="1:37" x14ac:dyDescent="0.35">
      <c r="A56" s="13"/>
      <c r="B56" s="13"/>
      <c r="C56" s="13"/>
      <c r="D56" s="13"/>
      <c r="E56" s="13"/>
      <c r="F56" s="13"/>
      <c r="G56" s="13"/>
      <c r="H56" s="13"/>
      <c r="I56" s="13"/>
      <c r="J56" s="13"/>
      <c r="K56" s="13"/>
      <c r="L56" s="13"/>
      <c r="M56" s="13"/>
      <c r="N56" s="13"/>
      <c r="O56" s="13"/>
      <c r="P56" s="13"/>
      <c r="Q56" s="13"/>
      <c r="R56" s="13"/>
      <c r="S56" s="13"/>
      <c r="T56" s="13"/>
      <c r="U56" s="13"/>
      <c r="V56" s="13"/>
      <c r="W56" s="13"/>
      <c r="X56" s="13"/>
      <c r="Y56" s="13"/>
      <c r="Z56" s="13"/>
      <c r="AA56" s="13"/>
      <c r="AB56" s="13"/>
      <c r="AC56" s="13"/>
      <c r="AD56" s="13"/>
      <c r="AE56" s="13"/>
      <c r="AF56" s="13"/>
      <c r="AG56" s="13"/>
      <c r="AH56" s="13"/>
      <c r="AI56" s="13"/>
      <c r="AJ56" s="13"/>
      <c r="AK56" s="13"/>
    </row>
    <row r="57" spans="1:37" x14ac:dyDescent="0.35">
      <c r="A57" s="13"/>
      <c r="B57" s="13"/>
      <c r="C57" s="13"/>
      <c r="D57" s="13"/>
      <c r="E57" s="13"/>
      <c r="F57" s="13"/>
      <c r="G57" s="13"/>
      <c r="H57" s="13"/>
      <c r="I57" s="13"/>
      <c r="J57" s="13"/>
      <c r="K57" s="13"/>
      <c r="L57" s="13"/>
      <c r="M57" s="13"/>
      <c r="N57" s="13"/>
      <c r="O57" s="13"/>
      <c r="P57" s="13"/>
      <c r="Q57" s="13"/>
      <c r="R57" s="13"/>
      <c r="S57" s="13"/>
      <c r="T57" s="13"/>
      <c r="U57" s="13"/>
      <c r="V57" s="13"/>
      <c r="W57" s="13"/>
      <c r="X57" s="13"/>
      <c r="Y57" s="13"/>
      <c r="Z57" s="13"/>
      <c r="AA57" s="13"/>
      <c r="AB57" s="13"/>
      <c r="AC57" s="13"/>
      <c r="AD57" s="13"/>
      <c r="AE57" s="13"/>
      <c r="AF57" s="13"/>
      <c r="AG57" s="13"/>
      <c r="AH57" s="13"/>
      <c r="AI57" s="13"/>
      <c r="AJ57" s="13"/>
      <c r="AK57" s="13"/>
    </row>
  </sheetData>
  <mergeCells count="1">
    <mergeCell ref="A1:V1"/>
  </mergeCells>
  <conditionalFormatting sqref="R3:V10">
    <cfRule type="containsText" dxfId="19" priority="7" operator="containsText" text="Yes">
      <formula>NOT(ISERROR(SEARCH("Yes",R3)))</formula>
    </cfRule>
    <cfRule type="containsText" dxfId="18" priority="9" operator="containsText" text="No">
      <formula>NOT(ISERROR(SEARCH("No",R3)))</formula>
    </cfRule>
  </conditionalFormatting>
  <conditionalFormatting sqref="R13:V20">
    <cfRule type="containsText" dxfId="17" priority="3" operator="containsText" text="Yes">
      <formula>NOT(ISERROR(SEARCH("Yes",R13)))</formula>
    </cfRule>
    <cfRule type="containsText" dxfId="16" priority="5" operator="containsText" text="No">
      <formula>NOT(ISERROR(SEARCH("No",R13)))</formula>
    </cfRule>
  </conditionalFormatting>
  <conditionalFormatting sqref="R23:V30">
    <cfRule type="containsText" dxfId="15" priority="1" operator="containsText" text="Yes">
      <formula>NOT(ISERROR(SEARCH("Yes",R23)))</formula>
    </cfRule>
    <cfRule type="containsText" dxfId="14" priority="2" operator="containsText" text="No">
      <formula>NOT(ISERROR(SEARCH("No",R23)))</formula>
    </cfRule>
  </conditionalFormatting>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B1B4EEFF-800D-4AA6-8F10-AFF07EB3C2F4}">
          <x14:formula1>
            <xm:f>MATERIALS!$A$2:$A$500</xm:f>
          </x14:formula1>
          <xm:sqref>C3:C9 C13:C19 C23:C29</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56945C-41DE-4F79-955B-356EA74B1F25}">
  <sheetPr codeName="Sheet17">
    <tabColor theme="5" tint="-0.249977111117893"/>
  </sheetPr>
  <dimension ref="A1:BB745"/>
  <sheetViews>
    <sheetView topLeftCell="A4" zoomScaleNormal="100" workbookViewId="0">
      <selection activeCell="H13" sqref="H13"/>
    </sheetView>
  </sheetViews>
  <sheetFormatPr defaultRowHeight="14.5" x14ac:dyDescent="0.35"/>
  <cols>
    <col min="1" max="1" width="31.26953125" customWidth="1"/>
    <col min="2" max="2" width="32.7265625" bestFit="1" customWidth="1"/>
    <col min="3" max="3" width="27" customWidth="1"/>
    <col min="4" max="4" width="23.90625" bestFit="1" customWidth="1"/>
    <col min="5" max="5" width="14.81640625" customWidth="1"/>
    <col min="6" max="6" width="9.81640625" bestFit="1" customWidth="1"/>
    <col min="7" max="7" width="23.08984375" bestFit="1" customWidth="1"/>
    <col min="8" max="8" width="23.6328125" bestFit="1" customWidth="1"/>
    <col min="9" max="9" width="13.54296875" customWidth="1"/>
    <col min="10" max="10" width="14.6328125" customWidth="1"/>
    <col min="11" max="11" width="15.90625" customWidth="1"/>
    <col min="12" max="12" width="13" bestFit="1" customWidth="1"/>
    <col min="13" max="13" width="12.6328125" bestFit="1" customWidth="1"/>
    <col min="14" max="14" width="13.54296875" bestFit="1" customWidth="1"/>
    <col min="15" max="15" width="13.7265625" bestFit="1" customWidth="1"/>
    <col min="16" max="16" width="14.1796875" customWidth="1"/>
    <col min="17" max="17" width="13" bestFit="1" customWidth="1"/>
    <col min="18" max="18" width="12.6328125" bestFit="1" customWidth="1"/>
    <col min="19" max="54" width="8.7265625" style="13"/>
  </cols>
  <sheetData>
    <row r="1" spans="1:18" s="13" customFormat="1" ht="42" x14ac:dyDescent="0.35">
      <c r="E1" s="48" t="s">
        <v>516</v>
      </c>
      <c r="F1" s="55" t="s">
        <v>511</v>
      </c>
    </row>
    <row r="2" spans="1:18" s="13" customFormat="1" ht="21" x14ac:dyDescent="0.35">
      <c r="B2" s="48" t="s">
        <v>508</v>
      </c>
      <c r="C2" s="48" t="s">
        <v>366</v>
      </c>
    </row>
    <row r="3" spans="1:18" ht="21" x14ac:dyDescent="0.35">
      <c r="A3" s="48" t="s">
        <v>364</v>
      </c>
      <c r="B3" s="55" t="s">
        <v>454</v>
      </c>
      <c r="C3" s="48" t="s">
        <v>503</v>
      </c>
      <c r="D3" s="60"/>
      <c r="E3" s="60"/>
      <c r="F3" s="60"/>
      <c r="G3" s="60"/>
      <c r="H3" s="60"/>
      <c r="I3" s="60"/>
      <c r="J3" s="60"/>
      <c r="K3" s="60"/>
      <c r="L3" s="60"/>
      <c r="M3" s="60"/>
      <c r="N3" s="60"/>
      <c r="O3" s="60"/>
      <c r="P3" s="60"/>
      <c r="Q3" s="60"/>
      <c r="R3" s="60"/>
    </row>
    <row r="4" spans="1:18" ht="63" x14ac:dyDescent="0.35">
      <c r="A4" s="46" t="s">
        <v>469</v>
      </c>
      <c r="B4" s="46" t="b">
        <f>_xlfn.XLOOKUP(B3,'SCENARIO ASSUMPTIONS'!$K$5:$K$500,'SCENARIO ASSUMPTIONS'!$J$5:$J$500,FALSE,0,1)</f>
        <v>0</v>
      </c>
      <c r="C4" s="46" t="s">
        <v>471</v>
      </c>
      <c r="D4" s="46" t="s">
        <v>377</v>
      </c>
      <c r="E4" s="46" t="s">
        <v>8</v>
      </c>
      <c r="F4" s="46" t="s">
        <v>12</v>
      </c>
      <c r="G4" s="46" t="s">
        <v>359</v>
      </c>
      <c r="H4" s="46" t="s">
        <v>397</v>
      </c>
      <c r="I4" s="46" t="s">
        <v>4</v>
      </c>
      <c r="J4" s="46" t="s">
        <v>344</v>
      </c>
      <c r="K4" s="46" t="s">
        <v>477</v>
      </c>
      <c r="L4" s="46" t="s">
        <v>346</v>
      </c>
      <c r="M4" s="46" t="s">
        <v>347</v>
      </c>
      <c r="N4" s="46" t="s">
        <v>453</v>
      </c>
      <c r="O4" s="46" t="s">
        <v>375</v>
      </c>
      <c r="P4" s="46" t="s">
        <v>381</v>
      </c>
      <c r="Q4" s="46" t="s">
        <v>379</v>
      </c>
      <c r="R4" s="46" t="s">
        <v>380</v>
      </c>
    </row>
    <row r="5" spans="1:18" ht="29" x14ac:dyDescent="0.35">
      <c r="A5" s="50" t="s">
        <v>505</v>
      </c>
      <c r="B5" s="34" t="s">
        <v>459</v>
      </c>
      <c r="C5" s="33" t="b">
        <f>_xlfn.XLOOKUP(B5,'SCENARIO ASSUMPTIONS'!$M$5:$M$500,'SCENARIO ASSUMPTIONS'!$L$5:$L$500,FALSE,0,1)</f>
        <v>0</v>
      </c>
      <c r="D5" s="52" t="str">
        <f>C3</f>
        <v>LGS OPEN PANEL 1</v>
      </c>
      <c r="E5" s="52" t="b">
        <f>_xlfn.XLOOKUP(D5,'LCA SYSTEMS'!$A$10:$A$10002,'LCA SYSTEMS'!$A$8:$A$10000,FALSE)</f>
        <v>0</v>
      </c>
      <c r="F5" s="52">
        <f>SUM('LCA SYSTEMS'!J4:J6)</f>
        <v>32.168447999999991</v>
      </c>
      <c r="G5" s="52" t="b">
        <f>_xlfn.XLOOKUP($C3,'LCA SYSTEMS'!$A:$A,'LCA SYSTEMS'!W:W,FALSE)</f>
        <v>0</v>
      </c>
      <c r="H5" s="52" t="b">
        <f>_xlfn.XLOOKUP($C3,'LCA SYSTEMS'!$A:$A,'LCA SYSTEMS'!O:O,FALSE)</f>
        <v>0</v>
      </c>
      <c r="I5" s="33" t="s">
        <v>352</v>
      </c>
      <c r="J5" s="33" t="str">
        <f>_xlfn.XLOOKUP($C3,'LCA SYSTEMS'!$A$2:$A$1000,'LCA SYSTEMS'!S$8:S$1006,"No")</f>
        <v>No</v>
      </c>
      <c r="K5" s="33" t="str">
        <f>_xlfn.XLOOKUP($C3,'LCA SYSTEMS'!$A$2:$A$1000,'LCA SYSTEMS'!T$8:T$1006,"No")</f>
        <v>No</v>
      </c>
      <c r="L5" s="33" t="str">
        <f>_xlfn.XLOOKUP($C3,'LCA SYSTEMS'!$A$2:$A$1000,'LCA SYSTEMS'!U$8:U$1006,"No")</f>
        <v>No</v>
      </c>
      <c r="M5" s="33" t="str">
        <f>_xlfn.XLOOKUP($C3,'LCA SYSTEMS'!$A$2:$A$1000,'LCA SYSTEMS'!V$8:V$1006,"No")</f>
        <v>No</v>
      </c>
      <c r="N5" s="53" t="b">
        <f>G5</f>
        <v>0</v>
      </c>
      <c r="O5" s="53">
        <f>IF(J5="Yes",_xlfn.XLOOKUP($C$3,'LCA SYSTEMS'!$A$2:$A$1000,'LCA SYSTEMS'!X$8:X$1006,FALSE),0)</f>
        <v>0</v>
      </c>
      <c r="P5" s="53">
        <f>IF(K5="Yes",_xlfn.XLOOKUP($C$3,'LCA SYSTEMS'!$A$2:$A$1000,'LCA SYSTEMS'!Y$8:Y$1006,FALSE),0)</f>
        <v>0</v>
      </c>
      <c r="Q5" s="53">
        <f>IF(L5="Yes",_xlfn.XLOOKUP($C$3,'LCA SYSTEMS'!$A$2:$A$1000,'LCA SYSTEMS'!Z$8:Z$1006,FALSE),0)</f>
        <v>0</v>
      </c>
      <c r="R5" s="53">
        <f>IF(M5="Yes",_xlfn.XLOOKUP($C$3,'LCA SYSTEMS'!$A$2:$A$1000,'LCA SYSTEMS'!AA$8:AA$1006,FALSE),0)</f>
        <v>0</v>
      </c>
    </row>
    <row r="6" spans="1:18" ht="29" customHeight="1" x14ac:dyDescent="0.35">
      <c r="A6" s="50" t="s">
        <v>504</v>
      </c>
      <c r="B6" s="34" t="s">
        <v>467</v>
      </c>
      <c r="C6" s="33" t="b" cm="1">
        <f t="array" ref="C6">_xlfn.XLOOKUP(B6,'SCENARIO ASSUMPTIONS'!$O$5:$O$500,'SCENARIO ASSUMPTIONS'!$N$5:N$500,FALSE,0,1)</f>
        <v>0</v>
      </c>
      <c r="D6" s="34" t="s">
        <v>463</v>
      </c>
      <c r="E6" s="54"/>
      <c r="F6" s="52">
        <f>IF(ISBLANK(D6)=FALSE,_xlfn.XLOOKUP($D6,MATERIALS!$A$2:$A$500,MATERIALS!$B$2:$B$500,0.00001,0,1)*E6,0)</f>
        <v>0</v>
      </c>
      <c r="G6" s="52" t="b">
        <f>_xlfn.XLOOKUP($C3,'LCA SYSTEMS'!$A:$A,'LCA SYSTEMS'!X:X,FALSE)</f>
        <v>0</v>
      </c>
      <c r="H6" s="52" t="b">
        <f>_xlfn.XLOOKUP($C3,'LCA SYSTEMS'!$A:$A,'LCA SYSTEMS'!P:P,FALSE)</f>
        <v>0</v>
      </c>
      <c r="I6" s="33" t="str">
        <f>IF(_xlfn.XLOOKUP($D6,MATERIALS!$A$1:$A$500,MATERIALS!$D$1:$D$500,0,0,1)=I$4,"Yes","No")</f>
        <v>No</v>
      </c>
      <c r="J6" s="33" t="str">
        <f>IF(_xlfn.XLOOKUP($D6,MATERIALS!$A$1:$A$500,MATERIALS!$D$1:$D$500,0,0,1)=J$4,"Yes","No")</f>
        <v>No</v>
      </c>
      <c r="K6" s="33" t="str">
        <f>IF(_xlfn.XLOOKUP($D6,MATERIALS!$A$1:$A$500,MATERIALS!$D$1:$D$500,0,0,1)=K$4,"Yes","No")</f>
        <v>No</v>
      </c>
      <c r="L6" s="33" t="str">
        <f>IF(_xlfn.XLOOKUP($D6,MATERIALS!$A$1:$A$500,MATERIALS!$D$1:$D$500,0,0,1)=L$4,"Yes","No")</f>
        <v>No</v>
      </c>
      <c r="M6" s="33" t="str">
        <f>IF(_xlfn.XLOOKUP($D6,MATERIALS!$A$1:$A$500,MATERIALS!$D$1:$D$500,0,0,1)=M$4,"Yes","No")</f>
        <v>No</v>
      </c>
      <c r="N6" s="53">
        <f>IF(I6="Yes",$G6,0)</f>
        <v>0</v>
      </c>
      <c r="O6" s="53">
        <f>O7</f>
        <v>0</v>
      </c>
      <c r="P6" s="53">
        <f t="shared" ref="P6:R7" si="0">IF(K6="Yes",$G6,0)</f>
        <v>0</v>
      </c>
      <c r="Q6" s="53">
        <f t="shared" si="0"/>
        <v>0</v>
      </c>
      <c r="R6" s="53">
        <f t="shared" si="0"/>
        <v>0</v>
      </c>
    </row>
    <row r="7" spans="1:18" x14ac:dyDescent="0.35">
      <c r="A7" s="50" t="s">
        <v>474</v>
      </c>
      <c r="B7" s="34" t="s">
        <v>497</v>
      </c>
      <c r="C7" s="33" t="b">
        <f>_xlfn.XLOOKUP(B7,'SCENARIO ASSUMPTIONS'!$Q$5:$Q$500,'SCENARIO ASSUMPTIONS'!$P$5:$P$500,FALSE,0,1)</f>
        <v>0</v>
      </c>
      <c r="D7" s="31"/>
      <c r="E7" s="54">
        <v>0.05</v>
      </c>
      <c r="F7" s="52">
        <f>IF(ISBLANK(D7)=FALSE,_xlfn.XLOOKUP($D7,MATERIALS!$A$2:$A$500,MATERIALS!$B$2:$B$500,0.00001,0,1)*E7,0)</f>
        <v>0</v>
      </c>
      <c r="G7" s="52" t="b">
        <f>_xlfn.XLOOKUP($C3,'LCA SYSTEMS'!$A:$A,'LCA SYSTEMS'!Y:Y,FALSE)</f>
        <v>0</v>
      </c>
      <c r="H7" s="52" t="b">
        <f>_xlfn.XLOOKUP($C3,'LCA SYSTEMS'!$A:$A,'LCA SYSTEMS'!Q:Q,FALSE)</f>
        <v>0</v>
      </c>
      <c r="I7" s="33" t="str">
        <f>IF(_xlfn.XLOOKUP($D7,MATERIALS!$A$1:$A$500,MATERIALS!$D$1:$D$500,0,0,1)=I$4,"Yes","No")</f>
        <v>No</v>
      </c>
      <c r="J7" s="33" t="str">
        <f>IF(_xlfn.XLOOKUP($D7,MATERIALS!$A$1:$A$500,MATERIALS!$D$1:$D$500,0,0,1)=J$4,"Yes","No")</f>
        <v>No</v>
      </c>
      <c r="K7" s="33" t="str">
        <f>IF(_xlfn.XLOOKUP($D7,MATERIALS!$A$1:$A$500,MATERIALS!$D$1:$D$500,0,0,1)=K$4,"Yes","No")</f>
        <v>No</v>
      </c>
      <c r="L7" s="33" t="str">
        <f>IF(_xlfn.XLOOKUP($D7,MATERIALS!$A$1:$A$500,MATERIALS!$D$1:$D$500,0,0,1)=L$4,"Yes","No")</f>
        <v>No</v>
      </c>
      <c r="M7" s="33" t="str">
        <f>IF(_xlfn.XLOOKUP($D7,MATERIALS!$A$1:$A$500,MATERIALS!$D$1:$D$500,0,0,1)=M$4,"Yes","No")</f>
        <v>No</v>
      </c>
      <c r="N7" s="53">
        <f>IF(I7="Yes",$G7,0)</f>
        <v>0</v>
      </c>
      <c r="O7" s="53">
        <f>IF(J7="Yes",$G7,0)</f>
        <v>0</v>
      </c>
      <c r="P7" s="53">
        <f t="shared" si="0"/>
        <v>0</v>
      </c>
      <c r="Q7" s="53">
        <f t="shared" si="0"/>
        <v>0</v>
      </c>
      <c r="R7" s="53">
        <f t="shared" si="0"/>
        <v>0</v>
      </c>
    </row>
    <row r="8" spans="1:18" x14ac:dyDescent="0.35">
      <c r="A8" s="50" t="s">
        <v>346</v>
      </c>
      <c r="B8" s="34" t="s">
        <v>466</v>
      </c>
      <c r="C8" s="33" t="b">
        <f>_xlfn.XLOOKUP(B8,'SCENARIO ASSUMPTIONS'!$S$5:$S$500,'SCENARIO ASSUMPTIONS'!$R$5:$R$500,FALSE,0,1)</f>
        <v>0</v>
      </c>
      <c r="D8" s="31" t="s">
        <v>285</v>
      </c>
      <c r="E8" s="54">
        <v>0.1</v>
      </c>
      <c r="F8" s="52">
        <f>IF(ISBLANK(D8)=FALSE,_xlfn.XLOOKUP($D8,MATERIALS!$A$2:$A$500,MATERIALS!$B$2:$B$500,0.00001,0,1)*E8,0)</f>
        <v>200</v>
      </c>
      <c r="G8" s="52" t="e">
        <f>_xlfn.XLOOKUP($D8,#REF!,#REF!,FALSE,0,1)</f>
        <v>#REF!</v>
      </c>
      <c r="H8" s="52" t="e">
        <f>_xlfn.XLOOKUP($D8,#REF!,#REF!,FALSE,0,1)</f>
        <v>#REF!</v>
      </c>
      <c r="I8" s="33" t="str">
        <f>IF(_xlfn.XLOOKUP($D8,MATERIALS!$A$1:$A$500,MATERIALS!$D$1:$D$500,0,0,1)=I$4,"Yes","No")</f>
        <v>No</v>
      </c>
      <c r="J8" s="33" t="str">
        <f>IF(_xlfn.XLOOKUP($D8,MATERIALS!$A$1:$A$500,MATERIALS!$D$1:$D$500,0,0,1)=J$4,"Yes","No")</f>
        <v>No</v>
      </c>
      <c r="K8" s="33" t="str">
        <f>IF(_xlfn.XLOOKUP($D8,MATERIALS!$A$1:$A$500,MATERIALS!$D$1:$D$500,0,0,1)=K$4,"Yes","No")</f>
        <v>No</v>
      </c>
      <c r="L8" s="33" t="str">
        <f>IF(_xlfn.XLOOKUP($D8,MATERIALS!$A$1:$A$500,MATERIALS!$D$1:$D$500,0,0,1)=L$4,"Yes","No")</f>
        <v>Yes</v>
      </c>
      <c r="M8" s="33" t="str">
        <f>IF(_xlfn.XLOOKUP($D8,MATERIALS!$A$1:$A$500,MATERIALS!$D$1:$D$500,0,0,1)=M$4,"Yes","No")</f>
        <v>No</v>
      </c>
      <c r="N8" s="53">
        <f t="shared" ref="N8:N11" si="1">IF(I8="Yes",$G8,0)</f>
        <v>0</v>
      </c>
      <c r="O8" s="53">
        <f t="shared" ref="O8:O11" si="2">IF(J8="Yes",$G8,0)</f>
        <v>0</v>
      </c>
      <c r="P8" s="53">
        <f t="shared" ref="P8:P11" si="3">IF(K8="Yes",$G8,0)</f>
        <v>0</v>
      </c>
      <c r="Q8" s="53" t="e">
        <f t="shared" ref="Q8:Q11" si="4">IF(L8="Yes",$G8,0)</f>
        <v>#REF!</v>
      </c>
      <c r="R8" s="53">
        <f t="shared" ref="R8:R11" si="5">IF(M8="Yes",$G8,0)</f>
        <v>0</v>
      </c>
    </row>
    <row r="9" spans="1:18" x14ac:dyDescent="0.35">
      <c r="A9" s="50" t="s">
        <v>475</v>
      </c>
      <c r="B9" s="34" t="s">
        <v>476</v>
      </c>
      <c r="C9" s="33" t="b">
        <f>_xlfn.XLOOKUP(B9,'SCENARIO ASSUMPTIONS'!$U$5:$U$500,'SCENARIO ASSUMPTIONS'!$T$5:$T$500,FALSE,0,1)</f>
        <v>0</v>
      </c>
      <c r="D9" s="31" t="e">
        <f>#REF!</f>
        <v>#REF!</v>
      </c>
      <c r="E9" s="54">
        <f>12.5/1000</f>
        <v>1.2500000000000001E-2</v>
      </c>
      <c r="F9" s="52" t="e">
        <f>IF(ISBLANK(D9)=FALSE,_xlfn.XLOOKUP($D9,MATERIALS!$A$2:$A$500,MATERIALS!$B$2:$B$500,0.00001,0,1)*E9,0)</f>
        <v>#REF!</v>
      </c>
      <c r="G9" s="52" t="e">
        <f>_xlfn.XLOOKUP($D9,#REF!,#REF!,FALSE,0,1)</f>
        <v>#REF!</v>
      </c>
      <c r="H9" s="52" t="e">
        <f>_xlfn.XLOOKUP($D9,#REF!,#REF!,FALSE,0,1)</f>
        <v>#REF!</v>
      </c>
      <c r="I9" s="33" t="e">
        <f>IF(_xlfn.XLOOKUP($D9,MATERIALS!$A$1:$A$500,MATERIALS!$D$1:$D$500,0,0,1)=I$4,"Yes","No")</f>
        <v>#REF!</v>
      </c>
      <c r="J9" s="33" t="e">
        <f>IF(_xlfn.XLOOKUP($D9,MATERIALS!$A$1:$A$500,MATERIALS!$D$1:$D$500,0,0,1)=J$4,"Yes","No")</f>
        <v>#REF!</v>
      </c>
      <c r="K9" s="33" t="e">
        <f>IF(_xlfn.XLOOKUP($D9,MATERIALS!$A$1:$A$500,MATERIALS!$D$1:$D$500,0,0,1)=K$4,"Yes","No")</f>
        <v>#REF!</v>
      </c>
      <c r="L9" s="33" t="e">
        <f>IF(_xlfn.XLOOKUP($D9,MATERIALS!$A$1:$A$500,MATERIALS!$D$1:$D$500,0,0,1)=L$4,"Yes","No")</f>
        <v>#REF!</v>
      </c>
      <c r="M9" s="33" t="e">
        <f>IF(_xlfn.XLOOKUP($D9,MATERIALS!$A$1:$A$500,MATERIALS!$D$1:$D$500,0,0,1)=M$4,"Yes","No")</f>
        <v>#REF!</v>
      </c>
      <c r="N9" s="53" t="e">
        <f t="shared" si="1"/>
        <v>#REF!</v>
      </c>
      <c r="O9" s="53" t="e">
        <f t="shared" si="2"/>
        <v>#REF!</v>
      </c>
      <c r="P9" s="53" t="e">
        <f t="shared" si="3"/>
        <v>#REF!</v>
      </c>
      <c r="Q9" s="53" t="e">
        <f t="shared" si="4"/>
        <v>#REF!</v>
      </c>
      <c r="R9" s="53" t="e">
        <f t="shared" si="5"/>
        <v>#REF!</v>
      </c>
    </row>
    <row r="10" spans="1:18" x14ac:dyDescent="0.35">
      <c r="A10" s="174" t="s">
        <v>468</v>
      </c>
      <c r="B10" s="50"/>
      <c r="C10" s="15" t="s">
        <v>361</v>
      </c>
      <c r="D10" s="31" t="s">
        <v>5</v>
      </c>
      <c r="E10" s="31" t="s">
        <v>5</v>
      </c>
      <c r="F10" s="54">
        <v>0</v>
      </c>
      <c r="G10" s="54">
        <v>0</v>
      </c>
      <c r="H10" s="54">
        <v>0.13</v>
      </c>
      <c r="I10" s="33" t="s">
        <v>351</v>
      </c>
      <c r="J10" s="33" t="s">
        <v>351</v>
      </c>
      <c r="K10" s="33" t="s">
        <v>351</v>
      </c>
      <c r="L10" s="33" t="s">
        <v>351</v>
      </c>
      <c r="M10" s="33" t="s">
        <v>351</v>
      </c>
      <c r="N10" s="53">
        <f t="shared" si="1"/>
        <v>0</v>
      </c>
      <c r="O10" s="53">
        <f t="shared" si="2"/>
        <v>0</v>
      </c>
      <c r="P10" s="53">
        <f t="shared" si="3"/>
        <v>0</v>
      </c>
      <c r="Q10" s="53">
        <f t="shared" si="4"/>
        <v>0</v>
      </c>
      <c r="R10" s="53">
        <f t="shared" si="5"/>
        <v>0</v>
      </c>
    </row>
    <row r="11" spans="1:18" x14ac:dyDescent="0.35">
      <c r="A11" s="174"/>
      <c r="C11" s="15" t="s">
        <v>358</v>
      </c>
      <c r="D11" s="31" t="s">
        <v>5</v>
      </c>
      <c r="E11" s="31" t="s">
        <v>5</v>
      </c>
      <c r="F11" s="54">
        <v>0</v>
      </c>
      <c r="G11" s="54">
        <v>0</v>
      </c>
      <c r="H11" s="54">
        <v>0.04</v>
      </c>
      <c r="I11" s="33" t="s">
        <v>351</v>
      </c>
      <c r="J11" s="33" t="s">
        <v>351</v>
      </c>
      <c r="K11" s="33" t="s">
        <v>351</v>
      </c>
      <c r="L11" s="33" t="s">
        <v>351</v>
      </c>
      <c r="M11" s="33" t="s">
        <v>351</v>
      </c>
      <c r="N11" s="53">
        <f t="shared" si="1"/>
        <v>0</v>
      </c>
      <c r="O11" s="53">
        <f t="shared" si="2"/>
        <v>0</v>
      </c>
      <c r="P11" s="53">
        <f t="shared" si="3"/>
        <v>0</v>
      </c>
      <c r="Q11" s="53">
        <f t="shared" si="4"/>
        <v>0</v>
      </c>
      <c r="R11" s="53">
        <f t="shared" si="5"/>
        <v>0</v>
      </c>
    </row>
    <row r="12" spans="1:18" x14ac:dyDescent="0.35">
      <c r="A12" s="15" t="s">
        <v>509</v>
      </c>
      <c r="B12" s="55" t="str">
        <f>$F$1&amp;B3&amp;B5&amp;B6&amp;B7&amp;B8&amp;B9</f>
        <v>M1T1S1I1W1E1B1</v>
      </c>
      <c r="C12" s="15" t="s">
        <v>19</v>
      </c>
      <c r="D12" s="15"/>
      <c r="E12" s="15"/>
      <c r="F12" s="104" t="e">
        <f>SUM(F5:F11)</f>
        <v>#REF!</v>
      </c>
      <c r="G12" s="55" t="e">
        <f>SUM(G5:G11)</f>
        <v>#REF!</v>
      </c>
      <c r="H12" s="53" t="e">
        <f>SUM(H5:H11)</f>
        <v>#REF!</v>
      </c>
      <c r="I12" s="33" t="str">
        <f>IF(COUNTIF(I5:I11,"Yes")&gt;0,"Yes","No")</f>
        <v>Yes</v>
      </c>
      <c r="J12" s="33" t="str">
        <f>IF(COUNTIF(J5:J11,"Yes")&gt;0,"Yes","No")</f>
        <v>No</v>
      </c>
      <c r="K12" s="33" t="str">
        <f>IF(COUNTIF(K5:K11,"Yes")&gt;0,"Yes","No")</f>
        <v>No</v>
      </c>
      <c r="L12" s="33" t="str">
        <f>IF(COUNTIF(L5:L11,"Yes")&gt;0,"Yes","No")</f>
        <v>Yes</v>
      </c>
      <c r="M12" s="33" t="str">
        <f>IF(COUNTIF(M5:M11,"Yes")&gt;0,"Yes","No")</f>
        <v>No</v>
      </c>
      <c r="N12" s="55" t="e">
        <f>SUM(N5:N11)</f>
        <v>#REF!</v>
      </c>
      <c r="O12" s="55" t="e">
        <f>SUM(O5:O11)</f>
        <v>#REF!</v>
      </c>
      <c r="P12" s="55" t="e">
        <f>SUM(P5:P11)</f>
        <v>#REF!</v>
      </c>
      <c r="Q12" s="55" t="e">
        <f>SUM(Q5:Q11)</f>
        <v>#REF!</v>
      </c>
      <c r="R12" s="55" t="e">
        <f>SUM(R5:R11)</f>
        <v>#REF!</v>
      </c>
    </row>
    <row r="13" spans="1:18" x14ac:dyDescent="0.35">
      <c r="A13" s="15"/>
      <c r="B13" s="15"/>
      <c r="C13" s="15"/>
      <c r="D13" s="15"/>
      <c r="E13" s="15"/>
      <c r="F13" s="15"/>
      <c r="G13" s="25" t="s">
        <v>360</v>
      </c>
      <c r="H13" s="56" t="e">
        <f>1/H12</f>
        <v>#REF!</v>
      </c>
      <c r="I13" s="33"/>
      <c r="J13" s="33"/>
      <c r="K13" s="33"/>
      <c r="L13" s="33"/>
      <c r="M13" s="33"/>
      <c r="N13" s="15"/>
      <c r="O13" s="15"/>
      <c r="P13" s="15"/>
      <c r="Q13" s="15"/>
      <c r="R13" s="15"/>
    </row>
    <row r="14" spans="1:18" ht="21" customHeight="1" x14ac:dyDescent="0.35">
      <c r="A14" s="57"/>
      <c r="B14" s="58"/>
      <c r="C14" s="58"/>
      <c r="D14" s="58"/>
      <c r="E14" s="58"/>
      <c r="F14" s="58"/>
      <c r="G14" s="58"/>
      <c r="H14" s="58"/>
      <c r="I14" s="58"/>
      <c r="J14" s="58"/>
      <c r="K14" s="58"/>
      <c r="L14" s="58"/>
      <c r="M14" s="58"/>
      <c r="N14" s="58"/>
      <c r="O14" s="58"/>
      <c r="P14" s="58"/>
      <c r="Q14" s="58"/>
      <c r="R14" s="58"/>
    </row>
    <row r="15" spans="1:18" ht="21.5" customHeight="1" x14ac:dyDescent="0.35">
      <c r="A15" s="59"/>
      <c r="B15" s="60"/>
      <c r="C15" s="60"/>
      <c r="D15" s="60"/>
      <c r="E15" s="60"/>
      <c r="F15" s="60"/>
      <c r="G15" s="60"/>
      <c r="H15" s="60"/>
      <c r="I15" s="60"/>
      <c r="J15" s="60"/>
      <c r="K15" s="60"/>
      <c r="L15" s="60"/>
      <c r="M15" s="60"/>
      <c r="N15" s="60"/>
      <c r="O15" s="60"/>
      <c r="P15" s="60"/>
      <c r="Q15" s="60"/>
      <c r="R15" s="60"/>
    </row>
    <row r="16" spans="1:18" ht="21" x14ac:dyDescent="0.35">
      <c r="A16" s="48" t="s">
        <v>365</v>
      </c>
      <c r="B16" s="175"/>
      <c r="C16" s="175"/>
      <c r="D16" s="175"/>
      <c r="E16" s="175"/>
      <c r="F16" s="175"/>
      <c r="G16" s="175"/>
      <c r="H16" s="175"/>
      <c r="I16" s="175"/>
      <c r="J16" s="175"/>
      <c r="K16" s="175"/>
      <c r="L16" s="175"/>
      <c r="M16" s="175"/>
      <c r="N16" s="175"/>
      <c r="O16" s="175"/>
      <c r="P16" s="175"/>
      <c r="Q16" s="175"/>
      <c r="R16" s="175"/>
    </row>
    <row r="17" spans="1:18" ht="63" x14ac:dyDescent="0.35">
      <c r="A17" s="7"/>
      <c r="B17" s="46" t="s">
        <v>357</v>
      </c>
      <c r="C17" s="46" t="s">
        <v>388</v>
      </c>
      <c r="D17" s="46" t="s">
        <v>0</v>
      </c>
      <c r="E17" s="46" t="s">
        <v>8</v>
      </c>
      <c r="F17" s="46" t="s">
        <v>12</v>
      </c>
      <c r="G17" s="46" t="s">
        <v>359</v>
      </c>
      <c r="H17" s="46" t="s">
        <v>373</v>
      </c>
      <c r="I17" s="46" t="s">
        <v>4</v>
      </c>
      <c r="J17" s="46" t="s">
        <v>344</v>
      </c>
      <c r="K17" s="46" t="s">
        <v>345</v>
      </c>
      <c r="L17" s="46" t="s">
        <v>346</v>
      </c>
      <c r="M17" s="46" t="s">
        <v>347</v>
      </c>
      <c r="N17" s="46" t="s">
        <v>374</v>
      </c>
      <c r="O17" s="46" t="s">
        <v>375</v>
      </c>
      <c r="P17" s="46" t="s">
        <v>381</v>
      </c>
      <c r="Q17" s="46" t="s">
        <v>379</v>
      </c>
      <c r="R17" s="46" t="s">
        <v>380</v>
      </c>
    </row>
    <row r="18" spans="1:18" ht="25" x14ac:dyDescent="0.35">
      <c r="A18" s="49" t="s">
        <v>367</v>
      </c>
      <c r="B18" s="50" t="s">
        <v>23</v>
      </c>
      <c r="C18" s="15" t="s">
        <v>23</v>
      </c>
      <c r="D18" s="51" t="e">
        <f>_xlfn.XLOOKUP($A16,'LCA SYSTEMS'!$A$2:$A$1000,'LCA SYSTEMS'!$A$10:$A$1002,"Missing Name")</f>
        <v>#VALUE!</v>
      </c>
      <c r="E18" s="52" t="e" cm="1">
        <f t="array" ref="E18">_xlfn.XLOOKUP($D18,'LCA SYSTEMS'!$A$2:$A1015,'LCA SYSTEMS'!$A$6:$A1021,FALSE)</f>
        <v>#VALUE!</v>
      </c>
      <c r="F18" s="52" t="e" cm="1">
        <f t="array" ref="F18">_xlfn.XLOOKUP($D18,'LCA SYSTEMS'!$A$2:$A1015,'LCA SYSTEMS'!$J$8:$J1021,FALSE)</f>
        <v>#VALUE!</v>
      </c>
      <c r="G18" s="52" t="e" cm="1">
        <f t="array" ref="G18">_xlfn.XLOOKUP($D18,'LCA SYSTEMS'!$A$2:$A1015,'LCA SYSTEMS'!$L$8:$L1021,FALSE)</f>
        <v>#VALUE!</v>
      </c>
      <c r="H18" s="52" t="e" cm="1">
        <f t="array" ref="H18">_xlfn.XLOOKUP($D18,'LCA SYSTEMS'!$A$2:$A1015,'LCA SYSTEMS'!$O$8:$O1021,FALSE)</f>
        <v>#VALUE!</v>
      </c>
      <c r="I18" s="33" t="e">
        <f>_xlfn.XLOOKUP($D18,'LCA SYSTEMS'!$A$2:$A$1000,'LCA SYSTEMS'!R$8:R$1006,"No")</f>
        <v>#VALUE!</v>
      </c>
      <c r="J18" s="33" t="e">
        <f>_xlfn.XLOOKUP($D18,'LCA SYSTEMS'!$A$2:$A$1000,'LCA SYSTEMS'!S$8:S$1006,"No")</f>
        <v>#VALUE!</v>
      </c>
      <c r="K18" s="33" t="e">
        <f>_xlfn.XLOOKUP($D18,'LCA SYSTEMS'!$A$2:$A$1000,'LCA SYSTEMS'!T$8:T$1006,"No")</f>
        <v>#VALUE!</v>
      </c>
      <c r="L18" s="33" t="e">
        <f>_xlfn.XLOOKUP($D18,'LCA SYSTEMS'!$A$2:$A$1000,'LCA SYSTEMS'!U$8:U$1006,"No")</f>
        <v>#VALUE!</v>
      </c>
      <c r="M18" s="33" t="e">
        <f>_xlfn.XLOOKUP($D18,'LCA SYSTEMS'!$A$2:$A$1000,'LCA SYSTEMS'!V$8:V$1006,"No")</f>
        <v>#VALUE!</v>
      </c>
      <c r="N18" s="53" t="e">
        <f>IF(I18="Yes",_xlfn.XLOOKUP($D18,'LCA SYSTEMS'!$A$2:$A$1000,'LCA SYSTEMS'!W$8:W$1006,FALSE),0)</f>
        <v>#VALUE!</v>
      </c>
      <c r="O18" s="53" t="e">
        <f>IF(J18="Yes",_xlfn.XLOOKUP($D18,'LCA SYSTEMS'!$A$2:$A$1000,'LCA SYSTEMS'!X$8:X$1006,FALSE),0)</f>
        <v>#VALUE!</v>
      </c>
      <c r="P18" s="53" t="e">
        <f>IF(K18="Yes",_xlfn.XLOOKUP($D18,'LCA SYSTEMS'!$A$2:$A$1000,'LCA SYSTEMS'!Y$8:Y$1006,FALSE),0)</f>
        <v>#VALUE!</v>
      </c>
      <c r="Q18" s="53" t="e">
        <f>IF(L18="Yes",_xlfn.XLOOKUP($D18,'LCA SYSTEMS'!$A$2:$A$1000,'LCA SYSTEMS'!Z$8:Z$1006,FALSE),0)</f>
        <v>#VALUE!</v>
      </c>
      <c r="R18" s="53" t="e">
        <f>IF(M18="Yes",_xlfn.XLOOKUP($D18,'LCA SYSTEMS'!$A$2:$A$1000,'LCA SYSTEMS'!AA$8:AA$1006,FALSE),0)</f>
        <v>#VALUE!</v>
      </c>
    </row>
    <row r="19" spans="1:18" ht="14.5" customHeight="1" x14ac:dyDescent="0.35">
      <c r="A19" s="176" t="s">
        <v>368</v>
      </c>
      <c r="B19" s="50" t="s">
        <v>382</v>
      </c>
      <c r="C19" s="15"/>
      <c r="D19" s="31"/>
      <c r="E19" s="54"/>
      <c r="F19" s="52">
        <f>IF(ISBLANK(D19)=FALSE,_xlfn.XLOOKUP($D19,MATERIALS!$A$2:$A$500,MATERIALS!$B$2:$B$500,0.00001,0,1)*E19,0)</f>
        <v>0</v>
      </c>
      <c r="G19" s="52">
        <f>IF(ISBLANK(D19)=FALSE,_xlfn.XLOOKUP($D19,MATERIALS!$A$2:$A$500,MATERIALS!$C$2:$C$500,0.00001,0,1)*_xlfn.XLOOKUP($D19,MATERIALS!$A$2:$A$500,MATERIALS!$B$2:$B$500,0.00001,0,1)*E19,0)</f>
        <v>0</v>
      </c>
      <c r="H19" s="53">
        <f>IF(ISBLANK(D19)=FALSE,E19/_xlfn.XLOOKUP($D19,MATERIALS!$A$2:$A$500,MATERIALS!$E$2:$E$500,0.00000001,0,1),0)</f>
        <v>0</v>
      </c>
      <c r="I19" s="33" t="str">
        <f>IF(_xlfn.XLOOKUP($D19,MATERIALS!$A$1:$A$500,MATERIALS!$D$1:$D$500,0,0,1)=I$4,"Yes","No")</f>
        <v>No</v>
      </c>
      <c r="J19" s="33" t="str">
        <f>IF(_xlfn.XLOOKUP($D19,MATERIALS!$A$1:$A$500,MATERIALS!$D$1:$D$500,0,0,1)=J$4,"Yes","No")</f>
        <v>No</v>
      </c>
      <c r="K19" s="33" t="str">
        <f>IF(_xlfn.XLOOKUP($D19,MATERIALS!$A$1:$A$500,MATERIALS!$D$1:$D$500,0,0,1)=K$4,"Yes","No")</f>
        <v>No</v>
      </c>
      <c r="L19" s="33" t="str">
        <f>IF(_xlfn.XLOOKUP($D19,MATERIALS!$A$1:$A$500,MATERIALS!$D$1:$D$500,0,0,1)=L$4,"Yes","No")</f>
        <v>No</v>
      </c>
      <c r="M19" s="33" t="str">
        <f>IF(_xlfn.XLOOKUP($D19,MATERIALS!$A$1:$A$500,MATERIALS!$D$1:$D$500,0,0,1)=M$4,"Yes","No")</f>
        <v>No</v>
      </c>
      <c r="N19" s="53">
        <f>IF(I19="Yes",$G19,0)</f>
        <v>0</v>
      </c>
      <c r="O19" s="53">
        <f t="shared" ref="O19:O26" si="6">IF(J19="Yes",$G19,0)</f>
        <v>0</v>
      </c>
      <c r="P19" s="53">
        <f t="shared" ref="P19:P26" si="7">IF(K19="Yes",$G19,0)</f>
        <v>0</v>
      </c>
      <c r="Q19" s="53">
        <f t="shared" ref="Q19:Q26" si="8">IF(L19="Yes",$G19,0)</f>
        <v>0</v>
      </c>
      <c r="R19" s="53">
        <f t="shared" ref="R19:R26" si="9">IF(M19="Yes",$G19,0)</f>
        <v>0</v>
      </c>
    </row>
    <row r="20" spans="1:18" x14ac:dyDescent="0.35">
      <c r="A20" s="176"/>
      <c r="B20" s="50" t="s">
        <v>383</v>
      </c>
      <c r="C20" s="15" t="s">
        <v>285</v>
      </c>
      <c r="D20" s="31" t="s">
        <v>285</v>
      </c>
      <c r="E20" s="54">
        <v>0.1</v>
      </c>
      <c r="F20" s="52">
        <f>IF(ISBLANK(D20)=FALSE,_xlfn.XLOOKUP($D20,MATERIALS!$A$2:$A$500,MATERIALS!$B$2:$B$500,0.00001,0,1)*E20,0)</f>
        <v>200</v>
      </c>
      <c r="G20" s="52">
        <f>IF(ISBLANK(D20)=FALSE,_xlfn.XLOOKUP($D20,MATERIALS!$A$2:$A$500,MATERIALS!$C$2:$C$500,0.00001,0,1)*_xlfn.XLOOKUP($D20,MATERIALS!$A$2:$A$500,MATERIALS!$B$2:$B$500,0.00001,0,1)*E20,0)</f>
        <v>42.2</v>
      </c>
      <c r="H20" s="53">
        <f>IF(ISBLANK(D20)=FALSE,E20/_xlfn.XLOOKUP($D20,MATERIALS!$A$2:$A$500,MATERIALS!$E$2:$E$500,0.00000001,0,1),0)</f>
        <v>0.12987012987012989</v>
      </c>
      <c r="I20" s="33" t="str">
        <f>IF(_xlfn.XLOOKUP($D20,MATERIALS!$A$1:$A$500,MATERIALS!$D$1:$D$500,0,0,1)=I$4,"Yes","No")</f>
        <v>No</v>
      </c>
      <c r="J20" s="33" t="str">
        <f>IF(_xlfn.XLOOKUP($D20,MATERIALS!$A$1:$A$500,MATERIALS!$D$1:$D$500,0,0,1)=J$4,"Yes","No")</f>
        <v>No</v>
      </c>
      <c r="K20" s="33" t="str">
        <f>IF(_xlfn.XLOOKUP($D20,MATERIALS!$A$1:$A$500,MATERIALS!$D$1:$D$500,0,0,1)=K$4,"Yes","No")</f>
        <v>No</v>
      </c>
      <c r="L20" s="33" t="str">
        <f>IF(_xlfn.XLOOKUP($D20,MATERIALS!$A$1:$A$500,MATERIALS!$D$1:$D$500,0,0,1)=L$4,"Yes","No")</f>
        <v>Yes</v>
      </c>
      <c r="M20" s="33" t="str">
        <f>IF(_xlfn.XLOOKUP($D20,MATERIALS!$A$1:$A$500,MATERIALS!$D$1:$D$500,0,0,1)=M$4,"Yes","No")</f>
        <v>No</v>
      </c>
      <c r="N20" s="53">
        <f t="shared" ref="N20:N26" si="10">IF(I20="Yes",$G20,0)</f>
        <v>0</v>
      </c>
      <c r="O20" s="53">
        <f t="shared" si="6"/>
        <v>0</v>
      </c>
      <c r="P20" s="53">
        <f t="shared" si="7"/>
        <v>0</v>
      </c>
      <c r="Q20" s="53">
        <f t="shared" si="8"/>
        <v>42.2</v>
      </c>
      <c r="R20" s="53">
        <f t="shared" si="9"/>
        <v>0</v>
      </c>
    </row>
    <row r="21" spans="1:18" x14ac:dyDescent="0.35">
      <c r="A21" s="176"/>
      <c r="B21" s="50" t="s">
        <v>384</v>
      </c>
      <c r="C21" s="15" t="s">
        <v>349</v>
      </c>
      <c r="D21" s="31" t="s">
        <v>349</v>
      </c>
      <c r="E21" s="54">
        <f>12.5/1000</f>
        <v>1.2500000000000001E-2</v>
      </c>
      <c r="F21" s="52">
        <f>IF(ISBLANK(D21)=FALSE,_xlfn.XLOOKUP($D21,MATERIALS!$A$2:$A$500,MATERIALS!$B$2:$B$500,0.00001,0,1)*E21,0)</f>
        <v>7.6875</v>
      </c>
      <c r="G21" s="54">
        <v>1.839</v>
      </c>
      <c r="H21" s="53">
        <f>IF(ISBLANK(D21)=FALSE,E21/_xlfn.XLOOKUP($D21,MATERIALS!$A$2:$A$500,MATERIALS!$E$2:$E$500,0.00000001,0,1),0)</f>
        <v>6.5789473684210523E-2</v>
      </c>
      <c r="I21" s="33" t="str">
        <f>IF(_xlfn.XLOOKUP($D21,MATERIALS!$A$1:$A$500,MATERIALS!$D$1:$D$500,0,0,1)=I$4,"Yes","No")</f>
        <v>No</v>
      </c>
      <c r="J21" s="33" t="str">
        <f>IF(_xlfn.XLOOKUP($D21,MATERIALS!$A$1:$A$500,MATERIALS!$D$1:$D$500,0,0,1)=J$4,"Yes","No")</f>
        <v>No</v>
      </c>
      <c r="K21" s="33" t="str">
        <f>IF(_xlfn.XLOOKUP($D21,MATERIALS!$A$1:$A$500,MATERIALS!$D$1:$D$500,0,0,1)=K$4,"Yes","No")</f>
        <v>No</v>
      </c>
      <c r="L21" s="33" t="str">
        <f>IF(_xlfn.XLOOKUP($D21,MATERIALS!$A$1:$A$500,MATERIALS!$D$1:$D$500,0,0,1)=L$4,"Yes","No")</f>
        <v>No</v>
      </c>
      <c r="M21" s="33" t="str">
        <f>IF(_xlfn.XLOOKUP($D21,MATERIALS!$A$1:$A$500,MATERIALS!$D$1:$D$500,0,0,1)=M$4,"Yes","No")</f>
        <v>Yes</v>
      </c>
      <c r="N21" s="53">
        <f t="shared" si="10"/>
        <v>0</v>
      </c>
      <c r="O21" s="53">
        <f t="shared" si="6"/>
        <v>0</v>
      </c>
      <c r="P21" s="53">
        <f t="shared" si="7"/>
        <v>0</v>
      </c>
      <c r="Q21" s="53">
        <f t="shared" si="8"/>
        <v>0</v>
      </c>
      <c r="R21" s="53">
        <f t="shared" si="9"/>
        <v>1.839</v>
      </c>
    </row>
    <row r="22" spans="1:18" x14ac:dyDescent="0.35">
      <c r="A22" s="176"/>
      <c r="B22" s="50" t="s">
        <v>385</v>
      </c>
      <c r="C22" s="15" t="s">
        <v>363</v>
      </c>
      <c r="D22" s="31" t="s">
        <v>355</v>
      </c>
      <c r="E22" s="54">
        <v>0.05</v>
      </c>
      <c r="F22" s="52">
        <f>IF(ISBLANK(D22)=FALSE,_xlfn.XLOOKUP($D22,MATERIALS!$A$2:$A$500,MATERIALS!$B$2:$B$500,0.00001,0,1)*E22,0)</f>
        <v>0.06</v>
      </c>
      <c r="G22" s="52">
        <f>IF(ISBLANK(D22)=FALSE,_xlfn.XLOOKUP($D22,MATERIALS!$A$2:$A$500,MATERIALS!$C$2:$C$500,0.00001,0,1)*_xlfn.XLOOKUP($D22,MATERIALS!$A$2:$A$500,MATERIALS!$B$2:$B$500,0.00001,0,1)*E22,0)</f>
        <v>0</v>
      </c>
      <c r="H22" s="53">
        <f>IF(ISBLANK(D22)=FALSE,E22/_xlfn.XLOOKUP($D22,MATERIALS!$A$2:$A$500,MATERIALS!$E$2:$E$500,0.00000001,0,1),0)</f>
        <v>2</v>
      </c>
      <c r="I22" s="33" t="str">
        <f>IF(_xlfn.XLOOKUP($D22,MATERIALS!$A$1:$A$500,MATERIALS!$D$1:$D$500,0,0,1)=I$4,"Yes","No")</f>
        <v>No</v>
      </c>
      <c r="J22" s="33" t="str">
        <f>IF(_xlfn.XLOOKUP($D22,MATERIALS!$A$1:$A$500,MATERIALS!$D$1:$D$500,0,0,1)=J$4,"Yes","No")</f>
        <v>No</v>
      </c>
      <c r="K22" s="33" t="str">
        <f>IF(_xlfn.XLOOKUP($D22,MATERIALS!$A$1:$A$500,MATERIALS!$D$1:$D$500,0,0,1)=K$4,"Yes","No")</f>
        <v>No</v>
      </c>
      <c r="L22" s="33" t="str">
        <f>IF(_xlfn.XLOOKUP($D22,MATERIALS!$A$1:$A$500,MATERIALS!$D$1:$D$500,0,0,1)=L$4,"Yes","No")</f>
        <v>No</v>
      </c>
      <c r="M22" s="33" t="str">
        <f>IF(_xlfn.XLOOKUP($D22,MATERIALS!$A$1:$A$500,MATERIALS!$D$1:$D$500,0,0,1)=M$4,"Yes","No")</f>
        <v>No</v>
      </c>
      <c r="N22" s="53">
        <f t="shared" si="10"/>
        <v>0</v>
      </c>
      <c r="O22" s="53">
        <f t="shared" si="6"/>
        <v>0</v>
      </c>
      <c r="P22" s="53">
        <f t="shared" si="7"/>
        <v>0</v>
      </c>
      <c r="Q22" s="53">
        <f t="shared" si="8"/>
        <v>0</v>
      </c>
      <c r="R22" s="53">
        <f t="shared" si="9"/>
        <v>0</v>
      </c>
    </row>
    <row r="23" spans="1:18" x14ac:dyDescent="0.35">
      <c r="A23" s="176"/>
      <c r="B23" s="50" t="s">
        <v>386</v>
      </c>
      <c r="C23" s="15"/>
      <c r="D23" s="31"/>
      <c r="E23" s="54"/>
      <c r="F23" s="52">
        <f>IF(ISBLANK(D23)=FALSE,_xlfn.XLOOKUP($D23,MATERIALS!$A$2:$A$500,MATERIALS!$B$2:$B$500,0.00001,0,1)*E23,0)</f>
        <v>0</v>
      </c>
      <c r="G23" s="52">
        <f>IF(ISBLANK(D23)=FALSE,_xlfn.XLOOKUP($D23,MATERIALS!$A$2:$A$500,MATERIALS!$C$2:$C$500,0.00001,0,1)*_xlfn.XLOOKUP($D23,MATERIALS!$A$2:$A$500,MATERIALS!$B$2:$B$500,0.00001,0,1)*E23,0)</f>
        <v>0</v>
      </c>
      <c r="H23" s="53">
        <f>IF(ISBLANK(D23)=FALSE,E23/_xlfn.XLOOKUP($D23,MATERIALS!$A$1:$A$500,MATERIALS!$D$1:$D$500,0.00000001,0,1),0)</f>
        <v>0</v>
      </c>
      <c r="I23" s="33" t="str">
        <f>IF(_xlfn.XLOOKUP($D23,MATERIALS!$A$1:$A$500,MATERIALS!$D$1:$D$500,0,0,1)=I$4,"Yes","No")</f>
        <v>No</v>
      </c>
      <c r="J23" s="33" t="str">
        <f>IF(_xlfn.XLOOKUP($D23,MATERIALS!$A$1:$A$500,MATERIALS!$D$1:$D$500,0,0,1)=J$4,"Yes","No")</f>
        <v>No</v>
      </c>
      <c r="K23" s="33" t="str">
        <f>IF(_xlfn.XLOOKUP($D23,MATERIALS!$A$1:$A$500,MATERIALS!$D$1:$D$500,0,0,1)=K$4,"Yes","No")</f>
        <v>No</v>
      </c>
      <c r="L23" s="33" t="str">
        <f>IF(_xlfn.XLOOKUP($D23,MATERIALS!$A$1:$A$500,MATERIALS!$D$1:$D$500,0,0,1)=L$4,"Yes","No")</f>
        <v>No</v>
      </c>
      <c r="M23" s="33" t="str">
        <f>IF(_xlfn.XLOOKUP($D23,MATERIALS!$A$1:$A$500,MATERIALS!$D$1:$D$500,0,0,1)=M$4,"Yes","No")</f>
        <v>No</v>
      </c>
      <c r="N23" s="53">
        <f t="shared" si="10"/>
        <v>0</v>
      </c>
      <c r="O23" s="53">
        <f t="shared" si="6"/>
        <v>0</v>
      </c>
      <c r="P23" s="53">
        <f t="shared" si="7"/>
        <v>0</v>
      </c>
      <c r="Q23" s="53">
        <f t="shared" si="8"/>
        <v>0</v>
      </c>
      <c r="R23" s="53">
        <f t="shared" si="9"/>
        <v>0</v>
      </c>
    </row>
    <row r="24" spans="1:18" x14ac:dyDescent="0.35">
      <c r="A24" s="176"/>
      <c r="B24" s="50" t="s">
        <v>387</v>
      </c>
      <c r="C24" s="15"/>
      <c r="D24" s="31"/>
      <c r="E24" s="54"/>
      <c r="F24" s="52">
        <f>IF(ISBLANK(D24)=FALSE,_xlfn.XLOOKUP($D24,MATERIALS!$A$2:$A$500,MATERIALS!$B$2:$B$500,0.00001,0,1)*E24,0)</f>
        <v>0</v>
      </c>
      <c r="G24" s="52">
        <f>IF(ISBLANK(D24)=FALSE,_xlfn.XLOOKUP($D24,MATERIALS!$A$2:$A$500,MATERIALS!$C$2:$C$500,0.00001,0,1)*_xlfn.XLOOKUP($D24,MATERIALS!$A$2:$A$500,MATERIALS!$B$2:$B$500,0.00001,0,1)*E24,0)</f>
        <v>0</v>
      </c>
      <c r="H24" s="53">
        <f>IF(ISBLANK(D24)=FALSE,E24/_xlfn.XLOOKUP($D24,MATERIALS!$A$1:$A$500,MATERIALS!$D$1:$D$500,0.00000001,0,1),0)</f>
        <v>0</v>
      </c>
      <c r="I24" s="33" t="str">
        <f>IF(_xlfn.XLOOKUP($D24,MATERIALS!$A$1:$A$500,MATERIALS!$D$1:$D$500,0,0,1)=I$4,"Yes","No")</f>
        <v>No</v>
      </c>
      <c r="J24" s="33" t="str">
        <f>IF(_xlfn.XLOOKUP($D24,MATERIALS!$A$1:$A$500,MATERIALS!$D$1:$D$500,0,0,1)=J$4,"Yes","No")</f>
        <v>No</v>
      </c>
      <c r="K24" s="33" t="str">
        <f>IF(_xlfn.XLOOKUP($D24,MATERIALS!$A$1:$A$500,MATERIALS!$D$1:$D$500,0,0,1)=K$4,"Yes","No")</f>
        <v>No</v>
      </c>
      <c r="L24" s="33" t="str">
        <f>IF(_xlfn.XLOOKUP($D24,MATERIALS!$A$1:$A$500,MATERIALS!$D$1:$D$500,0,0,1)=L$4,"Yes","No")</f>
        <v>No</v>
      </c>
      <c r="M24" s="33" t="str">
        <f>IF(_xlfn.XLOOKUP($D24,MATERIALS!$A$1:$A$500,MATERIALS!$D$1:$D$500,0,0,1)=M$4,"Yes","No")</f>
        <v>No</v>
      </c>
      <c r="N24" s="53">
        <f t="shared" si="10"/>
        <v>0</v>
      </c>
      <c r="O24" s="53">
        <f t="shared" si="6"/>
        <v>0</v>
      </c>
      <c r="P24" s="53">
        <f t="shared" si="7"/>
        <v>0</v>
      </c>
      <c r="Q24" s="53">
        <f t="shared" si="8"/>
        <v>0</v>
      </c>
      <c r="R24" s="53">
        <f t="shared" si="9"/>
        <v>0</v>
      </c>
    </row>
    <row r="25" spans="1:18" ht="14.5" customHeight="1" x14ac:dyDescent="0.35">
      <c r="A25" s="174"/>
      <c r="B25" s="174" t="s">
        <v>362</v>
      </c>
      <c r="C25" s="15" t="s">
        <v>361</v>
      </c>
      <c r="D25" s="31" t="s">
        <v>5</v>
      </c>
      <c r="E25" s="31" t="s">
        <v>5</v>
      </c>
      <c r="F25" s="54">
        <v>0</v>
      </c>
      <c r="G25" s="54">
        <v>0</v>
      </c>
      <c r="H25" s="54">
        <v>0.13</v>
      </c>
      <c r="I25" s="33" t="s">
        <v>351</v>
      </c>
      <c r="J25" s="33" t="s">
        <v>351</v>
      </c>
      <c r="K25" s="33" t="s">
        <v>351</v>
      </c>
      <c r="L25" s="33" t="s">
        <v>351</v>
      </c>
      <c r="M25" s="33" t="s">
        <v>351</v>
      </c>
      <c r="N25" s="53">
        <f t="shared" si="10"/>
        <v>0</v>
      </c>
      <c r="O25" s="53">
        <f t="shared" si="6"/>
        <v>0</v>
      </c>
      <c r="P25" s="53">
        <f t="shared" si="7"/>
        <v>0</v>
      </c>
      <c r="Q25" s="53">
        <f t="shared" si="8"/>
        <v>0</v>
      </c>
      <c r="R25" s="53">
        <f t="shared" si="9"/>
        <v>0</v>
      </c>
    </row>
    <row r="26" spans="1:18" x14ac:dyDescent="0.35">
      <c r="A26" s="174"/>
      <c r="B26" s="174"/>
      <c r="C26" s="15" t="s">
        <v>358</v>
      </c>
      <c r="D26" s="31" t="s">
        <v>5</v>
      </c>
      <c r="E26" s="31" t="s">
        <v>5</v>
      </c>
      <c r="F26" s="54">
        <v>0</v>
      </c>
      <c r="G26" s="54">
        <v>0</v>
      </c>
      <c r="H26" s="54">
        <v>0.04</v>
      </c>
      <c r="I26" s="33" t="s">
        <v>351</v>
      </c>
      <c r="J26" s="33" t="s">
        <v>351</v>
      </c>
      <c r="K26" s="33" t="s">
        <v>351</v>
      </c>
      <c r="L26" s="33" t="s">
        <v>351</v>
      </c>
      <c r="M26" s="33" t="s">
        <v>351</v>
      </c>
      <c r="N26" s="53">
        <f t="shared" si="10"/>
        <v>0</v>
      </c>
      <c r="O26" s="53">
        <f t="shared" si="6"/>
        <v>0</v>
      </c>
      <c r="P26" s="53">
        <f t="shared" si="7"/>
        <v>0</v>
      </c>
      <c r="Q26" s="53">
        <f t="shared" si="8"/>
        <v>0</v>
      </c>
      <c r="R26" s="53">
        <f t="shared" si="9"/>
        <v>0</v>
      </c>
    </row>
    <row r="27" spans="1:18" x14ac:dyDescent="0.35">
      <c r="A27" s="15"/>
      <c r="B27" s="15"/>
      <c r="C27" s="15" t="s">
        <v>19</v>
      </c>
      <c r="D27" s="15"/>
      <c r="E27" s="15"/>
      <c r="F27" s="32" t="e">
        <f>SUM(F18:F26)</f>
        <v>#VALUE!</v>
      </c>
      <c r="G27" s="55" t="e">
        <f>SUM(G18:G26)</f>
        <v>#VALUE!</v>
      </c>
      <c r="H27" s="53" t="e">
        <f>SUM(H18:H26)</f>
        <v>#VALUE!</v>
      </c>
      <c r="I27" s="33" t="str">
        <f>IF(COUNTIF(I18:I26,"Yes")&gt;0,"Yes","No")</f>
        <v>No</v>
      </c>
      <c r="J27" s="33" t="str">
        <f>IF(COUNTIF(J18:J26,"Yes")&gt;0,"Yes","No")</f>
        <v>No</v>
      </c>
      <c r="K27" s="33" t="str">
        <f>IF(COUNTIF(K18:K26,"Yes")&gt;0,"Yes","No")</f>
        <v>No</v>
      </c>
      <c r="L27" s="33" t="str">
        <f>IF(COUNTIF(L18:L26,"Yes")&gt;0,"Yes","No")</f>
        <v>Yes</v>
      </c>
      <c r="M27" s="33" t="str">
        <f>IF(COUNTIF(M18:M26,"Yes")&gt;0,"Yes","No")</f>
        <v>Yes</v>
      </c>
      <c r="N27" s="55" t="e">
        <f>SUM(N18:N26)</f>
        <v>#VALUE!</v>
      </c>
      <c r="O27" s="55" t="e">
        <f>SUM(O18:O26)</f>
        <v>#VALUE!</v>
      </c>
      <c r="P27" s="55" t="e">
        <f>SUM(P18:P26)</f>
        <v>#VALUE!</v>
      </c>
      <c r="Q27" s="55" t="e">
        <f>SUM(Q18:Q26)</f>
        <v>#VALUE!</v>
      </c>
      <c r="R27" s="55" t="e">
        <f>SUM(R18:R26)</f>
        <v>#VALUE!</v>
      </c>
    </row>
    <row r="28" spans="1:18" x14ac:dyDescent="0.35">
      <c r="A28" s="15"/>
      <c r="B28" s="15"/>
      <c r="C28" s="15"/>
      <c r="D28" s="15"/>
      <c r="E28" s="15"/>
      <c r="F28" s="15"/>
      <c r="G28" s="25" t="s">
        <v>360</v>
      </c>
      <c r="H28" s="56" t="e">
        <f>1/H27</f>
        <v>#VALUE!</v>
      </c>
      <c r="I28" s="33"/>
      <c r="J28" s="33"/>
      <c r="K28" s="33"/>
      <c r="L28" s="33"/>
      <c r="M28" s="33"/>
      <c r="N28" s="15"/>
      <c r="O28" s="15"/>
      <c r="P28" s="15"/>
      <c r="Q28" s="15"/>
      <c r="R28" s="15"/>
    </row>
    <row r="29" spans="1:18" ht="21" x14ac:dyDescent="0.35">
      <c r="A29" s="57"/>
      <c r="B29" s="58"/>
      <c r="C29" s="58"/>
      <c r="D29" s="58"/>
      <c r="E29" s="58"/>
      <c r="F29" s="58"/>
      <c r="G29" s="58"/>
      <c r="H29" s="58"/>
      <c r="I29" s="58"/>
      <c r="J29" s="58"/>
      <c r="K29" s="58"/>
      <c r="L29" s="58"/>
      <c r="M29" s="58"/>
      <c r="N29" s="58"/>
      <c r="O29" s="58"/>
      <c r="P29" s="58"/>
      <c r="Q29" s="58"/>
      <c r="R29" s="58"/>
    </row>
    <row r="30" spans="1:18" ht="21" x14ac:dyDescent="0.35">
      <c r="A30" s="59"/>
      <c r="B30" s="60"/>
      <c r="C30" s="60"/>
      <c r="D30" s="60"/>
      <c r="E30" s="60"/>
      <c r="F30" s="60"/>
      <c r="G30" s="60"/>
      <c r="H30" s="60"/>
      <c r="I30" s="60"/>
      <c r="J30" s="60"/>
      <c r="K30" s="60"/>
      <c r="L30" s="60"/>
      <c r="M30" s="60"/>
      <c r="N30" s="60"/>
      <c r="O30" s="60"/>
      <c r="P30" s="60"/>
      <c r="Q30" s="60"/>
      <c r="R30" s="60"/>
    </row>
    <row r="31" spans="1:18" ht="21" x14ac:dyDescent="0.35">
      <c r="A31" s="48" t="s">
        <v>378</v>
      </c>
      <c r="B31" s="175"/>
      <c r="C31" s="175"/>
      <c r="D31" s="175"/>
      <c r="E31" s="175"/>
      <c r="F31" s="175"/>
      <c r="G31" s="175"/>
      <c r="H31" s="175"/>
      <c r="I31" s="175"/>
      <c r="J31" s="175"/>
      <c r="K31" s="175"/>
      <c r="L31" s="175"/>
      <c r="M31" s="175"/>
      <c r="N31" s="175"/>
      <c r="O31" s="175"/>
      <c r="P31" s="175"/>
      <c r="Q31" s="175"/>
      <c r="R31" s="175"/>
    </row>
    <row r="32" spans="1:18" ht="63" x14ac:dyDescent="0.35">
      <c r="A32" s="7"/>
      <c r="B32" s="46" t="s">
        <v>357</v>
      </c>
      <c r="C32" s="46" t="s">
        <v>388</v>
      </c>
      <c r="D32" s="46" t="s">
        <v>0</v>
      </c>
      <c r="E32" s="46" t="s">
        <v>8</v>
      </c>
      <c r="F32" s="46" t="s">
        <v>12</v>
      </c>
      <c r="G32" s="46" t="s">
        <v>359</v>
      </c>
      <c r="H32" s="46" t="s">
        <v>373</v>
      </c>
      <c r="I32" s="46" t="s">
        <v>4</v>
      </c>
      <c r="J32" s="46" t="s">
        <v>344</v>
      </c>
      <c r="K32" s="46" t="s">
        <v>345</v>
      </c>
      <c r="L32" s="46" t="s">
        <v>346</v>
      </c>
      <c r="M32" s="46" t="s">
        <v>347</v>
      </c>
      <c r="N32" s="46" t="s">
        <v>374</v>
      </c>
      <c r="O32" s="46" t="s">
        <v>375</v>
      </c>
      <c r="P32" s="46" t="s">
        <v>381</v>
      </c>
      <c r="Q32" s="46" t="s">
        <v>379</v>
      </c>
      <c r="R32" s="46" t="s">
        <v>380</v>
      </c>
    </row>
    <row r="33" spans="1:18" x14ac:dyDescent="0.35">
      <c r="A33" s="49" t="s">
        <v>367</v>
      </c>
      <c r="B33" s="50" t="s">
        <v>23</v>
      </c>
      <c r="C33" s="15" t="s">
        <v>23</v>
      </c>
      <c r="D33" s="51" t="e">
        <f>_xlfn.XLOOKUP($A31,'LCA SYSTEMS'!$A$2:$A$1000,'LCA SYSTEMS'!$A$10:$A$1002,"Missing Name")</f>
        <v>#VALUE!</v>
      </c>
      <c r="E33" s="52" t="e" cm="1">
        <f t="array" ref="E33">_xlfn.XLOOKUP($D33,'LCA SYSTEMS'!$A$2:$A1030,'LCA SYSTEMS'!$A$6:$A1036,FALSE)</f>
        <v>#VALUE!</v>
      </c>
      <c r="F33" s="52" t="e" cm="1">
        <f t="array" ref="F33">_xlfn.XLOOKUP($D33,'LCA SYSTEMS'!$A$2:$A1030,'LCA SYSTEMS'!$J$8:$J1036,FALSE)</f>
        <v>#VALUE!</v>
      </c>
      <c r="G33" s="52" t="e" cm="1">
        <f t="array" ref="G33">_xlfn.XLOOKUP($D33,'LCA SYSTEMS'!$A$2:$A1030,'LCA SYSTEMS'!$L$8:$L1036,FALSE)</f>
        <v>#VALUE!</v>
      </c>
      <c r="H33" s="52" t="e" cm="1">
        <f t="array" ref="H33">_xlfn.XLOOKUP($D33,'LCA SYSTEMS'!$A$2:$A1030,'LCA SYSTEMS'!$O$8:$O1036,FALSE)</f>
        <v>#VALUE!</v>
      </c>
      <c r="I33" s="33" t="e">
        <f>_xlfn.XLOOKUP($D33,'LCA SYSTEMS'!$A$2:$A$1000,'LCA SYSTEMS'!R$8:R$1006,"No")</f>
        <v>#VALUE!</v>
      </c>
      <c r="J33" s="33" t="e">
        <f>_xlfn.XLOOKUP($D33,'LCA SYSTEMS'!$A$2:$A$1000,'LCA SYSTEMS'!S$8:S$1006,"No")</f>
        <v>#VALUE!</v>
      </c>
      <c r="K33" s="33" t="e">
        <f>_xlfn.XLOOKUP($D33,'LCA SYSTEMS'!$A$2:$A$1000,'LCA SYSTEMS'!T$8:T$1006,"No")</f>
        <v>#VALUE!</v>
      </c>
      <c r="L33" s="33" t="e">
        <f>_xlfn.XLOOKUP($D33,'LCA SYSTEMS'!$A$2:$A$1000,'LCA SYSTEMS'!U$8:U$1006,"No")</f>
        <v>#VALUE!</v>
      </c>
      <c r="M33" s="33" t="e">
        <f>_xlfn.XLOOKUP($D33,'LCA SYSTEMS'!$A$2:$A$1000,'LCA SYSTEMS'!V$8:V$1006,"No")</f>
        <v>#VALUE!</v>
      </c>
      <c r="N33" s="53" t="e">
        <f>IF(I33="Yes",_xlfn.XLOOKUP($D33,'LCA SYSTEMS'!$A$2:$A$1000,'LCA SYSTEMS'!W$8:W$1006,FALSE),0)</f>
        <v>#VALUE!</v>
      </c>
      <c r="O33" s="53" t="e">
        <f>IF(J33="Yes",_xlfn.XLOOKUP($D33,'LCA SYSTEMS'!$A$2:$A$1000,'LCA SYSTEMS'!X$8:X$1006,FALSE),0)</f>
        <v>#VALUE!</v>
      </c>
      <c r="P33" s="53" t="e">
        <f>IF(K33="Yes",_xlfn.XLOOKUP($D33,'LCA SYSTEMS'!$A$2:$A$1000,'LCA SYSTEMS'!Y$8:Y$1006,FALSE),0)</f>
        <v>#VALUE!</v>
      </c>
      <c r="Q33" s="53" t="e">
        <f>IF(L33="Yes",_xlfn.XLOOKUP($D33,'LCA SYSTEMS'!$A$2:$A$1000,'LCA SYSTEMS'!Z$8:Z$1006,FALSE),0)</f>
        <v>#VALUE!</v>
      </c>
      <c r="R33" s="53" t="e">
        <f>IF(M33="Yes",_xlfn.XLOOKUP($D33,'LCA SYSTEMS'!$A$2:$A$1000,'LCA SYSTEMS'!AA$8:AA$1006,FALSE),0)</f>
        <v>#VALUE!</v>
      </c>
    </row>
    <row r="34" spans="1:18" ht="14.5" customHeight="1" x14ac:dyDescent="0.35">
      <c r="A34" s="176" t="s">
        <v>368</v>
      </c>
      <c r="B34" s="50" t="s">
        <v>382</v>
      </c>
      <c r="C34" s="15"/>
      <c r="D34" s="31"/>
      <c r="E34" s="54"/>
      <c r="F34" s="52">
        <f>IF(ISBLANK(D34)=FALSE,_xlfn.XLOOKUP($D34,MATERIALS!$A$2:$A$500,MATERIALS!$B$2:$B$500,0.00001,0,1)*E34,0)</f>
        <v>0</v>
      </c>
      <c r="G34" s="52">
        <f>IF(ISBLANK(D34)=FALSE,_xlfn.XLOOKUP($D34,MATERIALS!$A$2:$A$500,MATERIALS!$C$2:$C$500,0.00001,0,1)*_xlfn.XLOOKUP($D34,MATERIALS!$A$2:$A$500,MATERIALS!$B$2:$B$500,0.00001,0,1)*E34,0)</f>
        <v>0</v>
      </c>
      <c r="H34" s="53">
        <f>IF(ISBLANK(D34)=FALSE,E34/_xlfn.XLOOKUP($D34,MATERIALS!$A$2:$A$500,MATERIALS!$E$2:$E$500,0.00000001,0,1),0)</f>
        <v>0</v>
      </c>
      <c r="I34" s="33" t="str">
        <f>IF(_xlfn.XLOOKUP($D34,MATERIALS!$A$1:$A$500,MATERIALS!$D$1:$D$500,0,0,1)=I$4,"Yes","No")</f>
        <v>No</v>
      </c>
      <c r="J34" s="33" t="str">
        <f>IF(_xlfn.XLOOKUP($D34,MATERIALS!$A$1:$A$500,MATERIALS!$D$1:$D$500,0,0,1)=J$4,"Yes","No")</f>
        <v>No</v>
      </c>
      <c r="K34" s="33" t="str">
        <f>IF(_xlfn.XLOOKUP($D34,MATERIALS!$A$1:$A$500,MATERIALS!$D$1:$D$500,0,0,1)=K$4,"Yes","No")</f>
        <v>No</v>
      </c>
      <c r="L34" s="33" t="str">
        <f>IF(_xlfn.XLOOKUP($D34,MATERIALS!$A$1:$A$500,MATERIALS!$D$1:$D$500,0,0,1)=L$4,"Yes","No")</f>
        <v>No</v>
      </c>
      <c r="M34" s="33" t="str">
        <f>IF(_xlfn.XLOOKUP($D34,MATERIALS!$A$1:$A$500,MATERIALS!$D$1:$D$500,0,0,1)=M$4,"Yes","No")</f>
        <v>No</v>
      </c>
      <c r="N34" s="53">
        <f>IF(I34="Yes",$G34,0)</f>
        <v>0</v>
      </c>
      <c r="O34" s="53">
        <f t="shared" ref="O34:O41" si="11">IF(J34="Yes",$G34,0)</f>
        <v>0</v>
      </c>
      <c r="P34" s="53">
        <f t="shared" ref="P34:P41" si="12">IF(K34="Yes",$G34,0)</f>
        <v>0</v>
      </c>
      <c r="Q34" s="53">
        <f t="shared" ref="Q34:Q41" si="13">IF(L34="Yes",$G34,0)</f>
        <v>0</v>
      </c>
      <c r="R34" s="53">
        <f t="shared" ref="R34:R41" si="14">IF(M34="Yes",$G34,0)</f>
        <v>0</v>
      </c>
    </row>
    <row r="35" spans="1:18" x14ac:dyDescent="0.35">
      <c r="A35" s="176"/>
      <c r="B35" s="50" t="s">
        <v>383</v>
      </c>
      <c r="C35" s="15" t="s">
        <v>389</v>
      </c>
      <c r="D35" s="31" t="s">
        <v>285</v>
      </c>
      <c r="E35" s="54">
        <v>0.1</v>
      </c>
      <c r="F35" s="52">
        <f>IF(ISBLANK(D35)=FALSE,_xlfn.XLOOKUP($D35,MATERIALS!$A$2:$A$500,MATERIALS!$B$2:$B$500,0.00001,0,1)*E35,0)</f>
        <v>200</v>
      </c>
      <c r="G35" s="52">
        <f>IF(ISBLANK(D35)=FALSE,_xlfn.XLOOKUP($D35,MATERIALS!$A$2:$A$500,MATERIALS!$C$2:$C$500,0.00001,0,1)*_xlfn.XLOOKUP($D35,MATERIALS!$A$2:$A$500,MATERIALS!$B$2:$B$500,0.00001,0,1)*E35,0)</f>
        <v>42.2</v>
      </c>
      <c r="H35" s="53">
        <f>IF(ISBLANK(D35)=FALSE,E35/_xlfn.XLOOKUP($D35,MATERIALS!$A$2:$A$500,MATERIALS!$E$2:$E$500,0.00000001,0,1),0)</f>
        <v>0.12987012987012989</v>
      </c>
      <c r="I35" s="33" t="str">
        <f>IF(_xlfn.XLOOKUP($D35,MATERIALS!$A$1:$A$500,MATERIALS!$D$1:$D$500,0,0,1)=I$4,"Yes","No")</f>
        <v>No</v>
      </c>
      <c r="J35" s="33" t="str">
        <f>IF(_xlfn.XLOOKUP($D35,MATERIALS!$A$1:$A$500,MATERIALS!$D$1:$D$500,0,0,1)=J$4,"Yes","No")</f>
        <v>No</v>
      </c>
      <c r="K35" s="33" t="str">
        <f>IF(_xlfn.XLOOKUP($D35,MATERIALS!$A$1:$A$500,MATERIALS!$D$1:$D$500,0,0,1)=K$4,"Yes","No")</f>
        <v>No</v>
      </c>
      <c r="L35" s="33" t="str">
        <f>IF(_xlfn.XLOOKUP($D35,MATERIALS!$A$1:$A$500,MATERIALS!$D$1:$D$500,0,0,1)=L$4,"Yes","No")</f>
        <v>Yes</v>
      </c>
      <c r="M35" s="33" t="str">
        <f>IF(_xlfn.XLOOKUP($D35,MATERIALS!$A$1:$A$500,MATERIALS!$D$1:$D$500,0,0,1)=M$4,"Yes","No")</f>
        <v>No</v>
      </c>
      <c r="N35" s="53">
        <f t="shared" ref="N35:N41" si="15">IF(I35="Yes",$G35,0)</f>
        <v>0</v>
      </c>
      <c r="O35" s="53">
        <f t="shared" si="11"/>
        <v>0</v>
      </c>
      <c r="P35" s="53">
        <f t="shared" si="12"/>
        <v>0</v>
      </c>
      <c r="Q35" s="53">
        <f t="shared" si="13"/>
        <v>42.2</v>
      </c>
      <c r="R35" s="53">
        <f t="shared" si="14"/>
        <v>0</v>
      </c>
    </row>
    <row r="36" spans="1:18" x14ac:dyDescent="0.35">
      <c r="A36" s="176"/>
      <c r="B36" s="50" t="s">
        <v>384</v>
      </c>
      <c r="C36" s="15" t="s">
        <v>390</v>
      </c>
      <c r="D36" s="31" t="s">
        <v>349</v>
      </c>
      <c r="E36" s="54">
        <f>12.5/1000</f>
        <v>1.2500000000000001E-2</v>
      </c>
      <c r="F36" s="52">
        <f>IF(ISBLANK(D36)=FALSE,_xlfn.XLOOKUP($D36,MATERIALS!$A$2:$A$500,MATERIALS!$B$2:$B$500,0.00001,0,1)*E36,0)</f>
        <v>7.6875</v>
      </c>
      <c r="G36" s="54">
        <v>1.839</v>
      </c>
      <c r="H36" s="53">
        <f>IF(ISBLANK(D36)=FALSE,E36/_xlfn.XLOOKUP($D36,MATERIALS!$A$2:$A$500,MATERIALS!$E$2:$E$500,0.00000001,0,1),0)</f>
        <v>6.5789473684210523E-2</v>
      </c>
      <c r="I36" s="33" t="str">
        <f>IF(_xlfn.XLOOKUP($D36,MATERIALS!$A$1:$A$500,MATERIALS!$D$1:$D$500,0,0,1)=I$4,"Yes","No")</f>
        <v>No</v>
      </c>
      <c r="J36" s="33" t="str">
        <f>IF(_xlfn.XLOOKUP($D36,MATERIALS!$A$1:$A$500,MATERIALS!$D$1:$D$500,0,0,1)=J$4,"Yes","No")</f>
        <v>No</v>
      </c>
      <c r="K36" s="33" t="str">
        <f>IF(_xlfn.XLOOKUP($D36,MATERIALS!$A$1:$A$500,MATERIALS!$D$1:$D$500,0,0,1)=K$4,"Yes","No")</f>
        <v>No</v>
      </c>
      <c r="L36" s="33" t="str">
        <f>IF(_xlfn.XLOOKUP($D36,MATERIALS!$A$1:$A$500,MATERIALS!$D$1:$D$500,0,0,1)=L$4,"Yes","No")</f>
        <v>No</v>
      </c>
      <c r="M36" s="33" t="str">
        <f>IF(_xlfn.XLOOKUP($D36,MATERIALS!$A$1:$A$500,MATERIALS!$D$1:$D$500,0,0,1)=M$4,"Yes","No")</f>
        <v>Yes</v>
      </c>
      <c r="N36" s="53">
        <f t="shared" si="15"/>
        <v>0</v>
      </c>
      <c r="O36" s="53">
        <f t="shared" si="11"/>
        <v>0</v>
      </c>
      <c r="P36" s="53">
        <f t="shared" si="12"/>
        <v>0</v>
      </c>
      <c r="Q36" s="53">
        <f t="shared" si="13"/>
        <v>0</v>
      </c>
      <c r="R36" s="53">
        <f t="shared" si="14"/>
        <v>1.839</v>
      </c>
    </row>
    <row r="37" spans="1:18" x14ac:dyDescent="0.35">
      <c r="A37" s="176"/>
      <c r="B37" s="50" t="s">
        <v>385</v>
      </c>
      <c r="C37" s="15" t="s">
        <v>363</v>
      </c>
      <c r="D37" s="31" t="s">
        <v>355</v>
      </c>
      <c r="E37" s="54">
        <v>0.05</v>
      </c>
      <c r="F37" s="52">
        <f>IF(ISBLANK(D37)=FALSE,_xlfn.XLOOKUP($D37,MATERIALS!$A$2:$A$500,MATERIALS!$B$2:$B$500,0.00001,0,1)*E37,0)</f>
        <v>0.06</v>
      </c>
      <c r="G37" s="52">
        <f>IF(ISBLANK(D37)=FALSE,_xlfn.XLOOKUP($D37,MATERIALS!$A$2:$A$500,MATERIALS!$C$2:$C$500,0.00001,0,1)*_xlfn.XLOOKUP($D37,MATERIALS!$A$2:$A$500,MATERIALS!$B$2:$B$500,0.00001,0,1)*E37,0)</f>
        <v>0</v>
      </c>
      <c r="H37" s="53">
        <f>IF(ISBLANK(D37)=FALSE,E37/_xlfn.XLOOKUP($D37,MATERIALS!$A$2:$A$500,MATERIALS!$E$2:$E$500,0.00000001,0,1),0)</f>
        <v>2</v>
      </c>
      <c r="I37" s="33" t="str">
        <f>IF(_xlfn.XLOOKUP($D37,MATERIALS!$A$1:$A$500,MATERIALS!$D$1:$D$500,0,0,1)=I$4,"Yes","No")</f>
        <v>No</v>
      </c>
      <c r="J37" s="33" t="str">
        <f>IF(_xlfn.XLOOKUP($D37,MATERIALS!$A$1:$A$500,MATERIALS!$D$1:$D$500,0,0,1)=J$4,"Yes","No")</f>
        <v>No</v>
      </c>
      <c r="K37" s="33" t="str">
        <f>IF(_xlfn.XLOOKUP($D37,MATERIALS!$A$1:$A$500,MATERIALS!$D$1:$D$500,0,0,1)=K$4,"Yes","No")</f>
        <v>No</v>
      </c>
      <c r="L37" s="33" t="str">
        <f>IF(_xlfn.XLOOKUP($D37,MATERIALS!$A$1:$A$500,MATERIALS!$D$1:$D$500,0,0,1)=L$4,"Yes","No")</f>
        <v>No</v>
      </c>
      <c r="M37" s="33" t="str">
        <f>IF(_xlfn.XLOOKUP($D37,MATERIALS!$A$1:$A$500,MATERIALS!$D$1:$D$500,0,0,1)=M$4,"Yes","No")</f>
        <v>No</v>
      </c>
      <c r="N37" s="53">
        <f t="shared" si="15"/>
        <v>0</v>
      </c>
      <c r="O37" s="53">
        <f t="shared" si="11"/>
        <v>0</v>
      </c>
      <c r="P37" s="53">
        <f t="shared" si="12"/>
        <v>0</v>
      </c>
      <c r="Q37" s="53">
        <f t="shared" si="13"/>
        <v>0</v>
      </c>
      <c r="R37" s="53">
        <f t="shared" si="14"/>
        <v>0</v>
      </c>
    </row>
    <row r="38" spans="1:18" x14ac:dyDescent="0.35">
      <c r="A38" s="176"/>
      <c r="B38" s="50" t="s">
        <v>386</v>
      </c>
      <c r="C38" s="15"/>
      <c r="D38" s="31"/>
      <c r="E38" s="54"/>
      <c r="F38" s="52">
        <f>IF(ISBLANK(D38)=FALSE,_xlfn.XLOOKUP($D38,MATERIALS!$A$2:$A$500,MATERIALS!$B$2:$B$500,0.00001,0,1)*E38,0)</f>
        <v>0</v>
      </c>
      <c r="G38" s="52">
        <f>IF(ISBLANK(D38)=FALSE,_xlfn.XLOOKUP($D38,MATERIALS!$A$2:$A$500,MATERIALS!$C$2:$C$500,0.00001,0,1)*_xlfn.XLOOKUP($D38,MATERIALS!$A$2:$A$500,MATERIALS!$B$2:$B$500,0.00001,0,1)*E38,0)</f>
        <v>0</v>
      </c>
      <c r="H38" s="53">
        <f>IF(ISBLANK(D38)=FALSE,E38/_xlfn.XLOOKUP($D38,MATERIALS!$A$1:$A$500,MATERIALS!$D$1:$D$500,0.00000001,0,1),0)</f>
        <v>0</v>
      </c>
      <c r="I38" s="33" t="str">
        <f>IF(_xlfn.XLOOKUP($D38,MATERIALS!$A$1:$A$500,MATERIALS!$D$1:$D$500,0,0,1)=I$4,"Yes","No")</f>
        <v>No</v>
      </c>
      <c r="J38" s="33" t="str">
        <f>IF(_xlfn.XLOOKUP($D38,MATERIALS!$A$1:$A$500,MATERIALS!$D$1:$D$500,0,0,1)=J$4,"Yes","No")</f>
        <v>No</v>
      </c>
      <c r="K38" s="33" t="str">
        <f>IF(_xlfn.XLOOKUP($D38,MATERIALS!$A$1:$A$500,MATERIALS!$D$1:$D$500,0,0,1)=K$4,"Yes","No")</f>
        <v>No</v>
      </c>
      <c r="L38" s="33" t="str">
        <f>IF(_xlfn.XLOOKUP($D38,MATERIALS!$A$1:$A$500,MATERIALS!$D$1:$D$500,0,0,1)=L$4,"Yes","No")</f>
        <v>No</v>
      </c>
      <c r="M38" s="33" t="str">
        <f>IF(_xlfn.XLOOKUP($D38,MATERIALS!$A$1:$A$500,MATERIALS!$D$1:$D$500,0,0,1)=M$4,"Yes","No")</f>
        <v>No</v>
      </c>
      <c r="N38" s="53">
        <f t="shared" si="15"/>
        <v>0</v>
      </c>
      <c r="O38" s="53">
        <f t="shared" si="11"/>
        <v>0</v>
      </c>
      <c r="P38" s="53">
        <f t="shared" si="12"/>
        <v>0</v>
      </c>
      <c r="Q38" s="53">
        <f t="shared" si="13"/>
        <v>0</v>
      </c>
      <c r="R38" s="53">
        <f t="shared" si="14"/>
        <v>0</v>
      </c>
    </row>
    <row r="39" spans="1:18" x14ac:dyDescent="0.35">
      <c r="A39" s="176"/>
      <c r="B39" s="50" t="s">
        <v>387</v>
      </c>
      <c r="C39" s="15"/>
      <c r="D39" s="31"/>
      <c r="E39" s="54"/>
      <c r="F39" s="52">
        <f>IF(ISBLANK(D39)=FALSE,_xlfn.XLOOKUP($D39,MATERIALS!$A$2:$A$500,MATERIALS!$B$2:$B$500,0.00001,0,1)*E39,0)</f>
        <v>0</v>
      </c>
      <c r="G39" s="52">
        <f>IF(ISBLANK(D39)=FALSE,_xlfn.XLOOKUP($D39,MATERIALS!$A$2:$A$500,MATERIALS!$C$2:$C$500,0.00001,0,1)*_xlfn.XLOOKUP($D39,MATERIALS!$A$2:$A$500,MATERIALS!$B$2:$B$500,0.00001,0,1)*E39,0)</f>
        <v>0</v>
      </c>
      <c r="H39" s="53">
        <f>IF(ISBLANK(D39)=FALSE,E39/_xlfn.XLOOKUP($D39,MATERIALS!$A$1:$A$500,MATERIALS!$D$1:$D$500,0.00000001,0,1),0)</f>
        <v>0</v>
      </c>
      <c r="I39" s="33" t="str">
        <f>IF(_xlfn.XLOOKUP($D39,MATERIALS!$A$1:$A$500,MATERIALS!$D$1:$D$500,0,0,1)=I$4,"Yes","No")</f>
        <v>No</v>
      </c>
      <c r="J39" s="33" t="str">
        <f>IF(_xlfn.XLOOKUP($D39,MATERIALS!$A$1:$A$500,MATERIALS!$D$1:$D$500,0,0,1)=J$4,"Yes","No")</f>
        <v>No</v>
      </c>
      <c r="K39" s="33" t="str">
        <f>IF(_xlfn.XLOOKUP($D39,MATERIALS!$A$1:$A$500,MATERIALS!$D$1:$D$500,0,0,1)=K$4,"Yes","No")</f>
        <v>No</v>
      </c>
      <c r="L39" s="33" t="str">
        <f>IF(_xlfn.XLOOKUP($D39,MATERIALS!$A$1:$A$500,MATERIALS!$D$1:$D$500,0,0,1)=L$4,"Yes","No")</f>
        <v>No</v>
      </c>
      <c r="M39" s="33" t="str">
        <f>IF(_xlfn.XLOOKUP($D39,MATERIALS!$A$1:$A$500,MATERIALS!$D$1:$D$500,0,0,1)=M$4,"Yes","No")</f>
        <v>No</v>
      </c>
      <c r="N39" s="53">
        <f t="shared" si="15"/>
        <v>0</v>
      </c>
      <c r="O39" s="53">
        <f t="shared" si="11"/>
        <v>0</v>
      </c>
      <c r="P39" s="53">
        <f t="shared" si="12"/>
        <v>0</v>
      </c>
      <c r="Q39" s="53">
        <f t="shared" si="13"/>
        <v>0</v>
      </c>
      <c r="R39" s="53">
        <f t="shared" si="14"/>
        <v>0</v>
      </c>
    </row>
    <row r="40" spans="1:18" ht="14.5" customHeight="1" x14ac:dyDescent="0.35">
      <c r="A40" s="174"/>
      <c r="B40" s="174" t="s">
        <v>362</v>
      </c>
      <c r="C40" s="15" t="s">
        <v>361</v>
      </c>
      <c r="D40" s="31" t="s">
        <v>5</v>
      </c>
      <c r="E40" s="31" t="s">
        <v>5</v>
      </c>
      <c r="F40" s="54">
        <v>0</v>
      </c>
      <c r="G40" s="54">
        <v>0</v>
      </c>
      <c r="H40" s="54">
        <v>0.13</v>
      </c>
      <c r="I40" s="33" t="s">
        <v>351</v>
      </c>
      <c r="J40" s="33" t="s">
        <v>351</v>
      </c>
      <c r="K40" s="33" t="s">
        <v>351</v>
      </c>
      <c r="L40" s="33" t="s">
        <v>351</v>
      </c>
      <c r="M40" s="33" t="s">
        <v>351</v>
      </c>
      <c r="N40" s="53">
        <f t="shared" si="15"/>
        <v>0</v>
      </c>
      <c r="O40" s="53">
        <f t="shared" si="11"/>
        <v>0</v>
      </c>
      <c r="P40" s="53">
        <f t="shared" si="12"/>
        <v>0</v>
      </c>
      <c r="Q40" s="53">
        <f t="shared" si="13"/>
        <v>0</v>
      </c>
      <c r="R40" s="53">
        <f t="shared" si="14"/>
        <v>0</v>
      </c>
    </row>
    <row r="41" spans="1:18" x14ac:dyDescent="0.35">
      <c r="A41" s="174"/>
      <c r="B41" s="174"/>
      <c r="C41" s="15" t="s">
        <v>358</v>
      </c>
      <c r="D41" s="31" t="s">
        <v>5</v>
      </c>
      <c r="E41" s="31" t="s">
        <v>5</v>
      </c>
      <c r="F41" s="54">
        <v>0</v>
      </c>
      <c r="G41" s="54">
        <v>0</v>
      </c>
      <c r="H41" s="54">
        <v>0.04</v>
      </c>
      <c r="I41" s="33" t="s">
        <v>351</v>
      </c>
      <c r="J41" s="33" t="s">
        <v>351</v>
      </c>
      <c r="K41" s="33" t="s">
        <v>351</v>
      </c>
      <c r="L41" s="33" t="s">
        <v>351</v>
      </c>
      <c r="M41" s="33" t="s">
        <v>351</v>
      </c>
      <c r="N41" s="53">
        <f t="shared" si="15"/>
        <v>0</v>
      </c>
      <c r="O41" s="53">
        <f t="shared" si="11"/>
        <v>0</v>
      </c>
      <c r="P41" s="53">
        <f t="shared" si="12"/>
        <v>0</v>
      </c>
      <c r="Q41" s="53">
        <f t="shared" si="13"/>
        <v>0</v>
      </c>
      <c r="R41" s="53">
        <f t="shared" si="14"/>
        <v>0</v>
      </c>
    </row>
    <row r="42" spans="1:18" x14ac:dyDescent="0.35">
      <c r="A42" s="15"/>
      <c r="B42" s="15"/>
      <c r="C42" s="15" t="s">
        <v>19</v>
      </c>
      <c r="D42" s="15"/>
      <c r="E42" s="15"/>
      <c r="F42" s="32" t="e">
        <f>SUM(F33:F41)</f>
        <v>#VALUE!</v>
      </c>
      <c r="G42" s="55" t="e">
        <f>SUM(G33:G41)</f>
        <v>#VALUE!</v>
      </c>
      <c r="H42" s="53" t="e">
        <f>SUM(H33:H41)</f>
        <v>#VALUE!</v>
      </c>
      <c r="I42" s="33" t="str">
        <f>IF(COUNTIF(I33:I41,"Yes")&gt;0,"Yes","No")</f>
        <v>No</v>
      </c>
      <c r="J42" s="33" t="str">
        <f>IF(COUNTIF(J33:J41,"Yes")&gt;0,"Yes","No")</f>
        <v>No</v>
      </c>
      <c r="K42" s="33" t="str">
        <f>IF(COUNTIF(K33:K41,"Yes")&gt;0,"Yes","No")</f>
        <v>No</v>
      </c>
      <c r="L42" s="33" t="str">
        <f>IF(COUNTIF(L33:L41,"Yes")&gt;0,"Yes","No")</f>
        <v>Yes</v>
      </c>
      <c r="M42" s="33" t="str">
        <f>IF(COUNTIF(M33:M41,"Yes")&gt;0,"Yes","No")</f>
        <v>Yes</v>
      </c>
      <c r="N42" s="55" t="e">
        <f>SUM(N33:N41)</f>
        <v>#VALUE!</v>
      </c>
      <c r="O42" s="55" t="e">
        <f>SUM(O33:O41)</f>
        <v>#VALUE!</v>
      </c>
      <c r="P42" s="55" t="e">
        <f>SUM(P33:P41)</f>
        <v>#VALUE!</v>
      </c>
      <c r="Q42" s="55" t="e">
        <f>SUM(Q33:Q41)</f>
        <v>#VALUE!</v>
      </c>
      <c r="R42" s="55" t="e">
        <f>SUM(R33:R41)</f>
        <v>#VALUE!</v>
      </c>
    </row>
    <row r="43" spans="1:18" x14ac:dyDescent="0.35">
      <c r="A43" s="15"/>
      <c r="B43" s="15"/>
      <c r="C43" s="15"/>
      <c r="D43" s="15"/>
      <c r="E43" s="15"/>
      <c r="F43" s="15"/>
      <c r="G43" s="25" t="s">
        <v>360</v>
      </c>
      <c r="H43" s="56" t="e">
        <f>1/H42</f>
        <v>#VALUE!</v>
      </c>
      <c r="I43" s="33"/>
      <c r="J43" s="33"/>
      <c r="K43" s="33"/>
      <c r="L43" s="33"/>
      <c r="M43" s="33"/>
      <c r="N43" s="15"/>
      <c r="O43" s="15"/>
      <c r="P43" s="15"/>
      <c r="Q43" s="15"/>
      <c r="R43" s="15"/>
    </row>
    <row r="44" spans="1:18" ht="21" x14ac:dyDescent="0.35">
      <c r="A44" s="57"/>
      <c r="B44" s="58"/>
      <c r="C44" s="58"/>
      <c r="D44" s="58"/>
      <c r="E44" s="58"/>
      <c r="F44" s="58"/>
      <c r="G44" s="58"/>
      <c r="H44" s="58"/>
      <c r="I44" s="58"/>
      <c r="J44" s="58"/>
      <c r="K44" s="58"/>
      <c r="L44" s="58"/>
      <c r="M44" s="58"/>
      <c r="N44" s="58"/>
      <c r="O44" s="58"/>
      <c r="P44" s="58"/>
      <c r="Q44" s="58"/>
      <c r="R44" s="58"/>
    </row>
    <row r="45" spans="1:18" ht="21" x14ac:dyDescent="0.35">
      <c r="A45" s="59"/>
      <c r="B45" s="60"/>
      <c r="C45" s="60"/>
      <c r="D45" s="60"/>
      <c r="E45" s="60"/>
      <c r="F45" s="60"/>
      <c r="G45" s="60"/>
      <c r="H45" s="60"/>
      <c r="I45" s="60"/>
      <c r="J45" s="60"/>
      <c r="K45" s="60"/>
      <c r="L45" s="60"/>
      <c r="M45" s="60"/>
      <c r="N45" s="60"/>
      <c r="O45" s="60"/>
      <c r="P45" s="60"/>
      <c r="Q45" s="60"/>
      <c r="R45" s="60"/>
    </row>
    <row r="46" spans="1:18" x14ac:dyDescent="0.35">
      <c r="A46" s="13"/>
      <c r="B46" s="13"/>
      <c r="C46" s="13"/>
      <c r="D46" s="13"/>
      <c r="E46" s="13"/>
      <c r="F46" s="13"/>
      <c r="G46" s="13"/>
      <c r="H46" s="13"/>
      <c r="I46" s="13"/>
      <c r="J46" s="13"/>
      <c r="K46" s="13"/>
      <c r="L46" s="13"/>
      <c r="M46" s="13"/>
      <c r="N46" s="13"/>
      <c r="O46" s="13"/>
      <c r="P46" s="13"/>
      <c r="Q46" s="13"/>
      <c r="R46" s="13"/>
    </row>
    <row r="47" spans="1:18" x14ac:dyDescent="0.35">
      <c r="A47" s="13"/>
      <c r="B47" s="13"/>
      <c r="C47" s="13"/>
      <c r="D47" s="13"/>
      <c r="E47" s="13"/>
      <c r="F47" s="13"/>
      <c r="G47" s="13"/>
      <c r="H47" s="13"/>
      <c r="I47" s="13"/>
      <c r="J47" s="13"/>
      <c r="K47" s="13"/>
      <c r="L47" s="13"/>
      <c r="M47" s="13"/>
      <c r="N47" s="13"/>
      <c r="O47" s="13"/>
      <c r="P47" s="13"/>
      <c r="Q47" s="13"/>
      <c r="R47" s="13"/>
    </row>
    <row r="48" spans="1:18" x14ac:dyDescent="0.35">
      <c r="A48" s="13"/>
      <c r="B48" s="13"/>
      <c r="C48" s="13"/>
      <c r="D48" s="13"/>
      <c r="E48" s="13"/>
      <c r="F48" s="13"/>
      <c r="G48" s="13"/>
      <c r="H48" s="13"/>
      <c r="I48" s="13"/>
      <c r="J48" s="13"/>
      <c r="K48" s="13"/>
      <c r="L48" s="13"/>
      <c r="M48" s="13"/>
      <c r="N48" s="13"/>
      <c r="O48" s="13"/>
      <c r="P48" s="13"/>
      <c r="Q48" s="13"/>
      <c r="R48" s="13"/>
    </row>
    <row r="49" spans="1:18" x14ac:dyDescent="0.35">
      <c r="A49" s="13"/>
      <c r="B49" s="13"/>
      <c r="C49" s="13"/>
      <c r="D49" s="13"/>
      <c r="E49" s="13"/>
      <c r="F49" s="13"/>
      <c r="G49" s="13"/>
      <c r="H49" s="13"/>
      <c r="I49" s="13"/>
      <c r="J49" s="13"/>
      <c r="K49" s="13"/>
      <c r="L49" s="13"/>
      <c r="M49" s="13"/>
      <c r="N49" s="13"/>
      <c r="O49" s="13"/>
      <c r="P49" s="13"/>
      <c r="Q49" s="13"/>
      <c r="R49" s="13"/>
    </row>
    <row r="50" spans="1:18" x14ac:dyDescent="0.35">
      <c r="A50" s="13"/>
      <c r="B50" s="13"/>
      <c r="C50" s="13"/>
      <c r="D50" s="13"/>
      <c r="E50" s="13"/>
      <c r="F50" s="13"/>
      <c r="G50" s="13"/>
      <c r="H50" s="13"/>
      <c r="I50" s="13"/>
      <c r="J50" s="13"/>
      <c r="K50" s="13"/>
      <c r="L50" s="13"/>
      <c r="M50" s="13"/>
      <c r="N50" s="13"/>
      <c r="O50" s="13"/>
      <c r="P50" s="13"/>
      <c r="Q50" s="13"/>
      <c r="R50" s="13"/>
    </row>
    <row r="51" spans="1:18" x14ac:dyDescent="0.35">
      <c r="A51" s="13"/>
      <c r="B51" s="13"/>
      <c r="C51" s="13"/>
      <c r="D51" s="13"/>
      <c r="E51" s="13"/>
      <c r="F51" s="13"/>
      <c r="G51" s="13"/>
      <c r="H51" s="13"/>
      <c r="I51" s="13"/>
      <c r="J51" s="13"/>
      <c r="K51" s="13"/>
      <c r="L51" s="13"/>
      <c r="M51" s="13"/>
      <c r="N51" s="13"/>
      <c r="O51" s="13"/>
      <c r="P51" s="13"/>
      <c r="Q51" s="13"/>
      <c r="R51" s="13"/>
    </row>
    <row r="52" spans="1:18" x14ac:dyDescent="0.35">
      <c r="A52" s="13"/>
      <c r="B52" s="13"/>
      <c r="C52" s="13"/>
      <c r="D52" s="13"/>
      <c r="E52" s="13"/>
      <c r="F52" s="13"/>
      <c r="G52" s="13"/>
      <c r="H52" s="13"/>
      <c r="I52" s="13"/>
      <c r="J52" s="13"/>
      <c r="K52" s="13"/>
      <c r="L52" s="13"/>
      <c r="M52" s="13"/>
      <c r="N52" s="13"/>
      <c r="O52" s="13"/>
      <c r="P52" s="13"/>
      <c r="Q52" s="13"/>
      <c r="R52" s="13"/>
    </row>
    <row r="53" spans="1:18" x14ac:dyDescent="0.35">
      <c r="A53" s="13"/>
      <c r="B53" s="13"/>
      <c r="C53" s="13"/>
      <c r="D53" s="13"/>
      <c r="E53" s="13"/>
      <c r="F53" s="13"/>
      <c r="G53" s="13"/>
      <c r="H53" s="13"/>
      <c r="I53" s="13"/>
      <c r="J53" s="13"/>
      <c r="K53" s="13"/>
      <c r="L53" s="13"/>
      <c r="M53" s="13"/>
      <c r="N53" s="13"/>
      <c r="O53" s="13"/>
      <c r="P53" s="13"/>
      <c r="Q53" s="13"/>
      <c r="R53" s="13"/>
    </row>
    <row r="54" spans="1:18" x14ac:dyDescent="0.35">
      <c r="A54" s="13"/>
      <c r="B54" s="13"/>
      <c r="C54" s="13"/>
      <c r="D54" s="13"/>
      <c r="E54" s="13"/>
      <c r="F54" s="13"/>
      <c r="G54" s="13"/>
      <c r="H54" s="13"/>
      <c r="I54" s="13"/>
      <c r="J54" s="13"/>
      <c r="K54" s="13"/>
      <c r="L54" s="13"/>
      <c r="M54" s="13"/>
      <c r="N54" s="13"/>
      <c r="O54" s="13"/>
      <c r="P54" s="13"/>
      <c r="Q54" s="13"/>
      <c r="R54" s="13"/>
    </row>
    <row r="55" spans="1:18" x14ac:dyDescent="0.35">
      <c r="A55" s="13"/>
      <c r="B55" s="13"/>
      <c r="C55" s="13"/>
      <c r="D55" s="13"/>
      <c r="E55" s="13"/>
      <c r="F55" s="13"/>
      <c r="G55" s="13"/>
      <c r="H55" s="13"/>
      <c r="I55" s="13"/>
      <c r="J55" s="13"/>
      <c r="K55" s="13"/>
      <c r="L55" s="13"/>
      <c r="M55" s="13"/>
      <c r="N55" s="13"/>
      <c r="O55" s="13"/>
      <c r="P55" s="13"/>
      <c r="Q55" s="13"/>
      <c r="R55" s="13"/>
    </row>
    <row r="56" spans="1:18" x14ac:dyDescent="0.35">
      <c r="A56" s="13"/>
      <c r="B56" s="13"/>
      <c r="C56" s="13"/>
      <c r="D56" s="13"/>
      <c r="E56" s="13"/>
      <c r="F56" s="13"/>
      <c r="G56" s="13"/>
      <c r="H56" s="13"/>
      <c r="I56" s="13"/>
      <c r="J56" s="13"/>
      <c r="K56" s="13"/>
      <c r="L56" s="13"/>
      <c r="M56" s="13"/>
      <c r="N56" s="13"/>
      <c r="O56" s="13"/>
      <c r="P56" s="13"/>
      <c r="Q56" s="13"/>
      <c r="R56" s="13"/>
    </row>
    <row r="57" spans="1:18" x14ac:dyDescent="0.35">
      <c r="A57" s="13"/>
      <c r="B57" s="13"/>
      <c r="C57" s="13"/>
      <c r="D57" s="13"/>
      <c r="E57" s="13"/>
      <c r="F57" s="13"/>
      <c r="G57" s="13"/>
      <c r="H57" s="13"/>
      <c r="I57" s="13"/>
      <c r="J57" s="13"/>
      <c r="K57" s="13"/>
      <c r="L57" s="13"/>
      <c r="M57" s="13"/>
      <c r="N57" s="13"/>
      <c r="O57" s="13"/>
      <c r="P57" s="13"/>
      <c r="Q57" s="13"/>
      <c r="R57" s="13"/>
    </row>
    <row r="58" spans="1:18" x14ac:dyDescent="0.35">
      <c r="A58" s="13"/>
      <c r="B58" s="13"/>
      <c r="C58" s="13"/>
      <c r="D58" s="13"/>
      <c r="E58" s="13"/>
      <c r="F58" s="13"/>
      <c r="G58" s="13"/>
      <c r="H58" s="13"/>
      <c r="I58" s="13"/>
      <c r="J58" s="13"/>
      <c r="K58" s="13"/>
      <c r="L58" s="13"/>
      <c r="M58" s="13"/>
      <c r="N58" s="13"/>
      <c r="O58" s="13"/>
      <c r="P58" s="13"/>
      <c r="Q58" s="13"/>
      <c r="R58" s="13"/>
    </row>
    <row r="59" spans="1:18" x14ac:dyDescent="0.35">
      <c r="A59" s="13"/>
      <c r="B59" s="13"/>
      <c r="C59" s="13"/>
      <c r="D59" s="13"/>
      <c r="E59" s="13"/>
      <c r="F59" s="13"/>
      <c r="G59" s="13"/>
      <c r="H59" s="13"/>
      <c r="I59" s="13"/>
      <c r="J59" s="13"/>
      <c r="K59" s="13"/>
      <c r="L59" s="13"/>
      <c r="M59" s="13"/>
      <c r="N59" s="13"/>
      <c r="O59" s="13"/>
      <c r="P59" s="13"/>
      <c r="Q59" s="13"/>
      <c r="R59" s="13"/>
    </row>
    <row r="60" spans="1:18" x14ac:dyDescent="0.35">
      <c r="A60" s="13"/>
      <c r="B60" s="13"/>
      <c r="C60" s="13"/>
      <c r="D60" s="13"/>
      <c r="E60" s="13"/>
      <c r="F60" s="13"/>
      <c r="G60" s="13"/>
      <c r="H60" s="13"/>
      <c r="I60" s="13"/>
      <c r="J60" s="13"/>
      <c r="K60" s="13"/>
      <c r="L60" s="13"/>
      <c r="M60" s="13"/>
      <c r="N60" s="13"/>
      <c r="O60" s="13"/>
      <c r="P60" s="13"/>
      <c r="Q60" s="13"/>
      <c r="R60" s="13"/>
    </row>
    <row r="61" spans="1:18" x14ac:dyDescent="0.35">
      <c r="A61" s="13"/>
      <c r="B61" s="13"/>
      <c r="C61" s="13"/>
      <c r="D61" s="13"/>
      <c r="E61" s="13"/>
      <c r="F61" s="13"/>
      <c r="G61" s="13"/>
      <c r="H61" s="13"/>
      <c r="I61" s="13"/>
      <c r="J61" s="13"/>
      <c r="K61" s="13"/>
      <c r="L61" s="13"/>
      <c r="M61" s="13"/>
      <c r="N61" s="13"/>
      <c r="O61" s="13"/>
      <c r="P61" s="13"/>
      <c r="Q61" s="13"/>
      <c r="R61" s="13"/>
    </row>
    <row r="62" spans="1:18" x14ac:dyDescent="0.35">
      <c r="A62" s="13"/>
      <c r="B62" s="13"/>
      <c r="C62" s="13"/>
      <c r="D62" s="13"/>
      <c r="E62" s="13"/>
      <c r="F62" s="13"/>
      <c r="G62" s="13"/>
      <c r="H62" s="13"/>
      <c r="I62" s="13"/>
      <c r="J62" s="13"/>
      <c r="K62" s="13"/>
      <c r="L62" s="13"/>
      <c r="M62" s="13"/>
      <c r="N62" s="13"/>
      <c r="O62" s="13"/>
      <c r="P62" s="13"/>
      <c r="Q62" s="13"/>
      <c r="R62" s="13"/>
    </row>
    <row r="63" spans="1:18" x14ac:dyDescent="0.35">
      <c r="A63" s="13"/>
      <c r="B63" s="13"/>
      <c r="C63" s="13"/>
      <c r="D63" s="13"/>
      <c r="E63" s="13"/>
      <c r="F63" s="13"/>
      <c r="G63" s="13"/>
      <c r="H63" s="13"/>
      <c r="I63" s="13"/>
      <c r="J63" s="13"/>
      <c r="K63" s="13"/>
      <c r="L63" s="13"/>
      <c r="M63" s="13"/>
      <c r="N63" s="13"/>
      <c r="O63" s="13"/>
      <c r="P63" s="13"/>
      <c r="Q63" s="13"/>
      <c r="R63" s="13"/>
    </row>
    <row r="64" spans="1:18" x14ac:dyDescent="0.35">
      <c r="A64" s="13"/>
      <c r="B64" s="13"/>
      <c r="C64" s="13"/>
      <c r="D64" s="13"/>
      <c r="E64" s="13"/>
      <c r="F64" s="13"/>
      <c r="G64" s="13"/>
      <c r="H64" s="13"/>
      <c r="I64" s="13"/>
      <c r="J64" s="13"/>
      <c r="K64" s="13"/>
      <c r="L64" s="13"/>
      <c r="M64" s="13"/>
      <c r="N64" s="13"/>
      <c r="O64" s="13"/>
      <c r="P64" s="13"/>
      <c r="Q64" s="13"/>
      <c r="R64" s="13"/>
    </row>
    <row r="65" spans="1:18" x14ac:dyDescent="0.35">
      <c r="A65" s="13"/>
      <c r="B65" s="13"/>
      <c r="C65" s="13"/>
      <c r="D65" s="13"/>
      <c r="E65" s="13"/>
      <c r="F65" s="13"/>
      <c r="G65" s="13"/>
      <c r="H65" s="13"/>
      <c r="I65" s="13"/>
      <c r="J65" s="13"/>
      <c r="K65" s="13"/>
      <c r="L65" s="13"/>
      <c r="M65" s="13"/>
      <c r="N65" s="13"/>
      <c r="O65" s="13"/>
      <c r="P65" s="13"/>
      <c r="Q65" s="13"/>
      <c r="R65" s="13"/>
    </row>
    <row r="66" spans="1:18" x14ac:dyDescent="0.35">
      <c r="A66" s="13"/>
      <c r="B66" s="13"/>
      <c r="C66" s="13"/>
      <c r="D66" s="13"/>
      <c r="E66" s="13"/>
      <c r="F66" s="13"/>
      <c r="G66" s="13"/>
      <c r="H66" s="13"/>
      <c r="I66" s="13"/>
      <c r="J66" s="13"/>
      <c r="K66" s="13"/>
      <c r="L66" s="13"/>
      <c r="M66" s="13"/>
      <c r="N66" s="13"/>
      <c r="O66" s="13"/>
      <c r="P66" s="13"/>
      <c r="Q66" s="13"/>
      <c r="R66" s="13"/>
    </row>
    <row r="67" spans="1:18" x14ac:dyDescent="0.35">
      <c r="A67" s="13"/>
      <c r="B67" s="13"/>
      <c r="C67" s="13"/>
      <c r="D67" s="13"/>
      <c r="E67" s="13"/>
      <c r="F67" s="13"/>
      <c r="G67" s="13"/>
      <c r="H67" s="13"/>
      <c r="I67" s="13"/>
      <c r="J67" s="13"/>
      <c r="K67" s="13"/>
      <c r="L67" s="13"/>
      <c r="M67" s="13"/>
      <c r="N67" s="13"/>
      <c r="O67" s="13"/>
      <c r="P67" s="13"/>
      <c r="Q67" s="13"/>
      <c r="R67" s="13"/>
    </row>
    <row r="68" spans="1:18" x14ac:dyDescent="0.35">
      <c r="A68" s="13"/>
      <c r="B68" s="13"/>
      <c r="C68" s="13"/>
      <c r="D68" s="13"/>
      <c r="E68" s="13"/>
      <c r="F68" s="13"/>
      <c r="G68" s="13"/>
      <c r="H68" s="13"/>
      <c r="I68" s="13"/>
      <c r="J68" s="13"/>
      <c r="K68" s="13"/>
      <c r="L68" s="13"/>
      <c r="M68" s="13"/>
      <c r="N68" s="13"/>
      <c r="O68" s="13"/>
      <c r="P68" s="13"/>
      <c r="Q68" s="13"/>
      <c r="R68" s="13"/>
    </row>
    <row r="69" spans="1:18" x14ac:dyDescent="0.35">
      <c r="A69" s="13"/>
      <c r="B69" s="13"/>
      <c r="C69" s="13"/>
      <c r="D69" s="13"/>
      <c r="E69" s="13"/>
      <c r="F69" s="13"/>
      <c r="G69" s="13"/>
      <c r="H69" s="13"/>
      <c r="I69" s="13"/>
      <c r="J69" s="13"/>
      <c r="K69" s="13"/>
      <c r="L69" s="13"/>
      <c r="M69" s="13"/>
      <c r="N69" s="13"/>
      <c r="O69" s="13"/>
      <c r="P69" s="13"/>
      <c r="Q69" s="13"/>
      <c r="R69" s="13"/>
    </row>
    <row r="70" spans="1:18" x14ac:dyDescent="0.35">
      <c r="A70" s="13"/>
      <c r="B70" s="13"/>
      <c r="C70" s="13"/>
      <c r="D70" s="13"/>
      <c r="E70" s="13"/>
      <c r="F70" s="13"/>
      <c r="G70" s="13"/>
      <c r="H70" s="13"/>
      <c r="I70" s="13"/>
      <c r="J70" s="13"/>
      <c r="K70" s="13"/>
      <c r="L70" s="13"/>
      <c r="M70" s="13"/>
      <c r="N70" s="13"/>
      <c r="O70" s="13"/>
      <c r="P70" s="13"/>
      <c r="Q70" s="13"/>
      <c r="R70" s="13"/>
    </row>
    <row r="71" spans="1:18" x14ac:dyDescent="0.35">
      <c r="A71" s="13"/>
      <c r="B71" s="13"/>
      <c r="C71" s="13"/>
      <c r="D71" s="13"/>
      <c r="E71" s="13"/>
      <c r="F71" s="13"/>
      <c r="G71" s="13"/>
      <c r="H71" s="13"/>
      <c r="I71" s="13"/>
      <c r="J71" s="13"/>
      <c r="K71" s="13"/>
      <c r="L71" s="13"/>
      <c r="M71" s="13"/>
      <c r="N71" s="13"/>
      <c r="O71" s="13"/>
      <c r="P71" s="13"/>
      <c r="Q71" s="13"/>
      <c r="R71" s="13"/>
    </row>
    <row r="72" spans="1:18" x14ac:dyDescent="0.35">
      <c r="A72" s="13"/>
      <c r="B72" s="13"/>
      <c r="C72" s="13"/>
      <c r="D72" s="13"/>
      <c r="E72" s="13"/>
      <c r="F72" s="13"/>
      <c r="G72" s="13"/>
      <c r="H72" s="13"/>
      <c r="I72" s="13"/>
      <c r="J72" s="13"/>
      <c r="K72" s="13"/>
      <c r="L72" s="13"/>
      <c r="M72" s="13"/>
      <c r="N72" s="13"/>
      <c r="O72" s="13"/>
      <c r="P72" s="13"/>
      <c r="Q72" s="13"/>
      <c r="R72" s="13"/>
    </row>
    <row r="73" spans="1:18" x14ac:dyDescent="0.35">
      <c r="A73" s="13"/>
      <c r="B73" s="13"/>
      <c r="C73" s="13"/>
      <c r="D73" s="13"/>
      <c r="E73" s="13"/>
      <c r="F73" s="13"/>
      <c r="G73" s="13"/>
      <c r="H73" s="13"/>
      <c r="I73" s="13"/>
      <c r="J73" s="13"/>
      <c r="K73" s="13"/>
      <c r="L73" s="13"/>
      <c r="M73" s="13"/>
      <c r="N73" s="13"/>
      <c r="O73" s="13"/>
      <c r="P73" s="13"/>
      <c r="Q73" s="13"/>
      <c r="R73" s="13"/>
    </row>
    <row r="74" spans="1:18" x14ac:dyDescent="0.35">
      <c r="A74" s="13"/>
      <c r="B74" s="13"/>
      <c r="C74" s="13"/>
      <c r="D74" s="13"/>
      <c r="E74" s="13"/>
      <c r="F74" s="13"/>
      <c r="G74" s="13"/>
      <c r="H74" s="13"/>
      <c r="I74" s="13"/>
      <c r="J74" s="13"/>
      <c r="K74" s="13"/>
      <c r="L74" s="13"/>
      <c r="M74" s="13"/>
      <c r="N74" s="13"/>
      <c r="O74" s="13"/>
      <c r="P74" s="13"/>
      <c r="Q74" s="13"/>
      <c r="R74" s="13"/>
    </row>
    <row r="75" spans="1:18" x14ac:dyDescent="0.35">
      <c r="A75" s="13"/>
      <c r="B75" s="13"/>
      <c r="C75" s="13"/>
      <c r="D75" s="13"/>
      <c r="E75" s="13"/>
      <c r="F75" s="13"/>
      <c r="G75" s="13"/>
      <c r="H75" s="13"/>
      <c r="I75" s="13"/>
      <c r="J75" s="13"/>
      <c r="K75" s="13"/>
      <c r="L75" s="13"/>
      <c r="M75" s="13"/>
      <c r="N75" s="13"/>
      <c r="O75" s="13"/>
      <c r="P75" s="13"/>
      <c r="Q75" s="13"/>
      <c r="R75" s="13"/>
    </row>
    <row r="76" spans="1:18" x14ac:dyDescent="0.35">
      <c r="A76" s="13"/>
      <c r="B76" s="13"/>
      <c r="C76" s="13"/>
      <c r="D76" s="13"/>
      <c r="E76" s="13"/>
      <c r="F76" s="13"/>
      <c r="G76" s="13"/>
      <c r="H76" s="13"/>
      <c r="I76" s="13"/>
      <c r="J76" s="13"/>
      <c r="K76" s="13"/>
      <c r="L76" s="13"/>
      <c r="M76" s="13"/>
      <c r="N76" s="13"/>
      <c r="O76" s="13"/>
      <c r="P76" s="13"/>
      <c r="Q76" s="13"/>
      <c r="R76" s="13"/>
    </row>
    <row r="77" spans="1:18" x14ac:dyDescent="0.35">
      <c r="A77" s="13"/>
      <c r="B77" s="13"/>
      <c r="C77" s="13"/>
      <c r="D77" s="13"/>
      <c r="E77" s="13"/>
      <c r="F77" s="13"/>
      <c r="G77" s="13"/>
      <c r="H77" s="13"/>
      <c r="I77" s="13"/>
      <c r="J77" s="13"/>
      <c r="K77" s="13"/>
      <c r="L77" s="13"/>
      <c r="M77" s="13"/>
      <c r="N77" s="13"/>
      <c r="O77" s="13"/>
      <c r="P77" s="13"/>
      <c r="Q77" s="13"/>
      <c r="R77" s="13"/>
    </row>
    <row r="78" spans="1:18" x14ac:dyDescent="0.35">
      <c r="A78" s="13"/>
      <c r="B78" s="13"/>
      <c r="C78" s="13"/>
      <c r="D78" s="13"/>
      <c r="E78" s="13"/>
      <c r="F78" s="13"/>
      <c r="G78" s="13"/>
      <c r="H78" s="13"/>
      <c r="I78" s="13"/>
      <c r="J78" s="13"/>
      <c r="K78" s="13"/>
      <c r="L78" s="13"/>
      <c r="M78" s="13"/>
      <c r="N78" s="13"/>
      <c r="O78" s="13"/>
      <c r="P78" s="13"/>
      <c r="Q78" s="13"/>
      <c r="R78" s="13"/>
    </row>
    <row r="79" spans="1:18" x14ac:dyDescent="0.35">
      <c r="A79" s="13"/>
      <c r="B79" s="13"/>
      <c r="C79" s="13"/>
      <c r="D79" s="13"/>
      <c r="E79" s="13"/>
      <c r="F79" s="13"/>
      <c r="G79" s="13"/>
      <c r="H79" s="13"/>
      <c r="I79" s="13"/>
      <c r="J79" s="13"/>
      <c r="K79" s="13"/>
      <c r="L79" s="13"/>
      <c r="M79" s="13"/>
      <c r="N79" s="13"/>
      <c r="O79" s="13"/>
      <c r="P79" s="13"/>
      <c r="Q79" s="13"/>
      <c r="R79" s="13"/>
    </row>
    <row r="80" spans="1:18" x14ac:dyDescent="0.35">
      <c r="A80" s="13"/>
      <c r="B80" s="13"/>
      <c r="C80" s="13"/>
      <c r="D80" s="13"/>
      <c r="E80" s="13"/>
      <c r="F80" s="13"/>
      <c r="G80" s="13"/>
      <c r="H80" s="13"/>
      <c r="I80" s="13"/>
      <c r="J80" s="13"/>
      <c r="K80" s="13"/>
      <c r="L80" s="13"/>
      <c r="M80" s="13"/>
      <c r="N80" s="13"/>
      <c r="O80" s="13"/>
      <c r="P80" s="13"/>
      <c r="Q80" s="13"/>
      <c r="R80" s="13"/>
    </row>
    <row r="81" spans="1:18" x14ac:dyDescent="0.35">
      <c r="A81" s="13"/>
      <c r="B81" s="13"/>
      <c r="C81" s="13"/>
      <c r="D81" s="13"/>
      <c r="E81" s="13"/>
      <c r="F81" s="13"/>
      <c r="G81" s="13"/>
      <c r="H81" s="13"/>
      <c r="I81" s="13"/>
      <c r="J81" s="13"/>
      <c r="K81" s="13"/>
      <c r="L81" s="13"/>
      <c r="M81" s="13"/>
      <c r="N81" s="13"/>
      <c r="O81" s="13"/>
      <c r="P81" s="13"/>
      <c r="Q81" s="13"/>
      <c r="R81" s="13"/>
    </row>
    <row r="82" spans="1:18" x14ac:dyDescent="0.35">
      <c r="A82" s="13"/>
      <c r="B82" s="13"/>
      <c r="C82" s="13"/>
      <c r="D82" s="13"/>
      <c r="E82" s="13"/>
      <c r="F82" s="13"/>
      <c r="G82" s="13"/>
      <c r="H82" s="13"/>
      <c r="I82" s="13"/>
      <c r="J82" s="13"/>
      <c r="K82" s="13"/>
      <c r="L82" s="13"/>
      <c r="M82" s="13"/>
      <c r="N82" s="13"/>
      <c r="O82" s="13"/>
      <c r="P82" s="13"/>
      <c r="Q82" s="13"/>
      <c r="R82" s="13"/>
    </row>
    <row r="83" spans="1:18" x14ac:dyDescent="0.35">
      <c r="A83" s="13"/>
      <c r="B83" s="13"/>
      <c r="C83" s="13"/>
      <c r="D83" s="13"/>
      <c r="E83" s="13"/>
      <c r="F83" s="13"/>
      <c r="G83" s="13"/>
      <c r="H83" s="13"/>
      <c r="I83" s="13"/>
      <c r="J83" s="13"/>
      <c r="K83" s="13"/>
      <c r="L83" s="13"/>
      <c r="M83" s="13"/>
      <c r="N83" s="13"/>
      <c r="O83" s="13"/>
      <c r="P83" s="13"/>
      <c r="Q83" s="13"/>
      <c r="R83" s="13"/>
    </row>
    <row r="84" spans="1:18" x14ac:dyDescent="0.35">
      <c r="A84" s="13"/>
      <c r="B84" s="13"/>
      <c r="C84" s="13"/>
      <c r="D84" s="13"/>
      <c r="E84" s="13"/>
      <c r="F84" s="13"/>
      <c r="G84" s="13"/>
      <c r="H84" s="13"/>
      <c r="I84" s="13"/>
      <c r="J84" s="13"/>
      <c r="K84" s="13"/>
      <c r="L84" s="13"/>
      <c r="M84" s="13"/>
      <c r="N84" s="13"/>
      <c r="O84" s="13"/>
      <c r="P84" s="13"/>
      <c r="Q84" s="13"/>
      <c r="R84" s="13"/>
    </row>
    <row r="85" spans="1:18" x14ac:dyDescent="0.35">
      <c r="A85" s="13"/>
      <c r="B85" s="13"/>
      <c r="C85" s="13"/>
      <c r="D85" s="13"/>
      <c r="E85" s="13"/>
      <c r="F85" s="13"/>
      <c r="G85" s="13"/>
      <c r="H85" s="13"/>
      <c r="I85" s="13"/>
      <c r="J85" s="13"/>
      <c r="K85" s="13"/>
      <c r="L85" s="13"/>
      <c r="M85" s="13"/>
      <c r="N85" s="13"/>
      <c r="O85" s="13"/>
      <c r="P85" s="13"/>
      <c r="Q85" s="13"/>
      <c r="R85" s="13"/>
    </row>
    <row r="86" spans="1:18" x14ac:dyDescent="0.35">
      <c r="A86" s="13"/>
      <c r="B86" s="13"/>
      <c r="C86" s="13"/>
      <c r="D86" s="13"/>
      <c r="E86" s="13"/>
      <c r="F86" s="13"/>
      <c r="G86" s="13"/>
      <c r="H86" s="13"/>
      <c r="I86" s="13"/>
      <c r="J86" s="13"/>
      <c r="K86" s="13"/>
      <c r="L86" s="13"/>
      <c r="M86" s="13"/>
      <c r="N86" s="13"/>
      <c r="O86" s="13"/>
      <c r="P86" s="13"/>
      <c r="Q86" s="13"/>
      <c r="R86" s="13"/>
    </row>
    <row r="87" spans="1:18" x14ac:dyDescent="0.35">
      <c r="A87" s="13"/>
      <c r="B87" s="13"/>
      <c r="C87" s="13"/>
      <c r="D87" s="13"/>
      <c r="E87" s="13"/>
      <c r="F87" s="13"/>
      <c r="G87" s="13"/>
      <c r="H87" s="13"/>
      <c r="I87" s="13"/>
      <c r="J87" s="13"/>
      <c r="K87" s="13"/>
      <c r="L87" s="13"/>
      <c r="M87" s="13"/>
      <c r="N87" s="13"/>
      <c r="O87" s="13"/>
      <c r="P87" s="13"/>
      <c r="Q87" s="13"/>
      <c r="R87" s="13"/>
    </row>
    <row r="88" spans="1:18" x14ac:dyDescent="0.35">
      <c r="A88" s="13"/>
      <c r="B88" s="13"/>
      <c r="C88" s="13"/>
      <c r="D88" s="13"/>
      <c r="E88" s="13"/>
      <c r="F88" s="13"/>
      <c r="G88" s="13"/>
      <c r="H88" s="13"/>
      <c r="I88" s="13"/>
      <c r="J88" s="13"/>
      <c r="K88" s="13"/>
      <c r="L88" s="13"/>
      <c r="M88" s="13"/>
      <c r="N88" s="13"/>
      <c r="O88" s="13"/>
      <c r="P88" s="13"/>
      <c r="Q88" s="13"/>
      <c r="R88" s="13"/>
    </row>
    <row r="89" spans="1:18" x14ac:dyDescent="0.35">
      <c r="A89" s="13"/>
      <c r="B89" s="13"/>
      <c r="C89" s="13"/>
      <c r="D89" s="13"/>
      <c r="E89" s="13"/>
      <c r="F89" s="13"/>
      <c r="G89" s="13"/>
      <c r="H89" s="13"/>
      <c r="I89" s="13"/>
      <c r="J89" s="13"/>
      <c r="K89" s="13"/>
      <c r="L89" s="13"/>
      <c r="M89" s="13"/>
      <c r="N89" s="13"/>
      <c r="O89" s="13"/>
      <c r="P89" s="13"/>
      <c r="Q89" s="13"/>
      <c r="R89" s="13"/>
    </row>
    <row r="90" spans="1:18" x14ac:dyDescent="0.35">
      <c r="A90" s="13"/>
      <c r="B90" s="13"/>
      <c r="C90" s="13"/>
      <c r="D90" s="13"/>
      <c r="E90" s="13"/>
      <c r="F90" s="13"/>
      <c r="G90" s="13"/>
      <c r="H90" s="13"/>
      <c r="I90" s="13"/>
      <c r="J90" s="13"/>
      <c r="K90" s="13"/>
      <c r="L90" s="13"/>
      <c r="M90" s="13"/>
      <c r="N90" s="13"/>
      <c r="O90" s="13"/>
      <c r="P90" s="13"/>
      <c r="Q90" s="13"/>
      <c r="R90" s="13"/>
    </row>
    <row r="91" spans="1:18" x14ac:dyDescent="0.35">
      <c r="A91" s="13"/>
      <c r="B91" s="13"/>
      <c r="C91" s="13"/>
      <c r="D91" s="13"/>
      <c r="E91" s="13"/>
      <c r="F91" s="13"/>
      <c r="G91" s="13"/>
      <c r="H91" s="13"/>
      <c r="I91" s="13"/>
      <c r="J91" s="13"/>
      <c r="K91" s="13"/>
      <c r="L91" s="13"/>
      <c r="M91" s="13"/>
      <c r="N91" s="13"/>
      <c r="O91" s="13"/>
      <c r="P91" s="13"/>
      <c r="Q91" s="13"/>
      <c r="R91" s="13"/>
    </row>
    <row r="92" spans="1:18" x14ac:dyDescent="0.35">
      <c r="A92" s="13"/>
      <c r="B92" s="13"/>
      <c r="C92" s="13"/>
      <c r="D92" s="13"/>
      <c r="E92" s="13"/>
      <c r="F92" s="13"/>
      <c r="G92" s="13"/>
      <c r="H92" s="13"/>
      <c r="I92" s="13"/>
      <c r="J92" s="13"/>
      <c r="K92" s="13"/>
      <c r="L92" s="13"/>
      <c r="M92" s="13"/>
      <c r="N92" s="13"/>
      <c r="O92" s="13"/>
      <c r="P92" s="13"/>
      <c r="Q92" s="13"/>
      <c r="R92" s="13"/>
    </row>
    <row r="93" spans="1:18" x14ac:dyDescent="0.35">
      <c r="A93" s="13"/>
      <c r="B93" s="13"/>
      <c r="C93" s="13"/>
      <c r="D93" s="13"/>
      <c r="E93" s="13"/>
      <c r="F93" s="13"/>
      <c r="G93" s="13"/>
      <c r="H93" s="13"/>
      <c r="I93" s="13"/>
      <c r="J93" s="13"/>
      <c r="K93" s="13"/>
      <c r="L93" s="13"/>
      <c r="M93" s="13"/>
      <c r="N93" s="13"/>
      <c r="O93" s="13"/>
      <c r="P93" s="13"/>
      <c r="Q93" s="13"/>
      <c r="R93" s="13"/>
    </row>
    <row r="94" spans="1:18" x14ac:dyDescent="0.35">
      <c r="A94" s="13"/>
      <c r="B94" s="13"/>
      <c r="C94" s="13"/>
      <c r="D94" s="13"/>
      <c r="E94" s="13"/>
      <c r="F94" s="13"/>
      <c r="G94" s="13"/>
      <c r="H94" s="13"/>
      <c r="I94" s="13"/>
      <c r="J94" s="13"/>
      <c r="K94" s="13"/>
      <c r="L94" s="13"/>
      <c r="M94" s="13"/>
      <c r="N94" s="13"/>
      <c r="O94" s="13"/>
      <c r="P94" s="13"/>
      <c r="Q94" s="13"/>
      <c r="R94" s="13"/>
    </row>
    <row r="95" spans="1:18" x14ac:dyDescent="0.35">
      <c r="A95" s="13"/>
      <c r="B95" s="13"/>
      <c r="C95" s="13"/>
      <c r="D95" s="13"/>
      <c r="E95" s="13"/>
      <c r="F95" s="13"/>
      <c r="G95" s="13"/>
      <c r="H95" s="13"/>
      <c r="I95" s="13"/>
      <c r="J95" s="13"/>
      <c r="K95" s="13"/>
      <c r="L95" s="13"/>
      <c r="M95" s="13"/>
      <c r="N95" s="13"/>
      <c r="O95" s="13"/>
      <c r="P95" s="13"/>
      <c r="Q95" s="13"/>
      <c r="R95" s="13"/>
    </row>
    <row r="96" spans="1:18" x14ac:dyDescent="0.35">
      <c r="A96" s="13"/>
      <c r="B96" s="13"/>
      <c r="C96" s="13"/>
      <c r="D96" s="13"/>
      <c r="E96" s="13"/>
      <c r="F96" s="13"/>
      <c r="G96" s="13"/>
      <c r="H96" s="13"/>
      <c r="I96" s="13"/>
      <c r="J96" s="13"/>
      <c r="K96" s="13"/>
      <c r="L96" s="13"/>
      <c r="M96" s="13"/>
      <c r="N96" s="13"/>
      <c r="O96" s="13"/>
      <c r="P96" s="13"/>
      <c r="Q96" s="13"/>
      <c r="R96" s="13"/>
    </row>
    <row r="97" spans="1:18" x14ac:dyDescent="0.35">
      <c r="A97" s="13"/>
      <c r="B97" s="13"/>
      <c r="C97" s="13"/>
      <c r="D97" s="13"/>
      <c r="E97" s="13"/>
      <c r="F97" s="13"/>
      <c r="G97" s="13"/>
      <c r="H97" s="13"/>
      <c r="I97" s="13"/>
      <c r="J97" s="13"/>
      <c r="K97" s="13"/>
      <c r="L97" s="13"/>
      <c r="M97" s="13"/>
      <c r="N97" s="13"/>
      <c r="O97" s="13"/>
      <c r="P97" s="13"/>
      <c r="Q97" s="13"/>
      <c r="R97" s="13"/>
    </row>
    <row r="98" spans="1:18" x14ac:dyDescent="0.35">
      <c r="A98" s="13"/>
      <c r="B98" s="13"/>
      <c r="C98" s="13"/>
      <c r="D98" s="13"/>
      <c r="E98" s="13"/>
      <c r="F98" s="13"/>
      <c r="G98" s="13"/>
      <c r="H98" s="13"/>
      <c r="I98" s="13"/>
      <c r="J98" s="13"/>
      <c r="K98" s="13"/>
      <c r="L98" s="13"/>
      <c r="M98" s="13"/>
      <c r="N98" s="13"/>
      <c r="O98" s="13"/>
      <c r="P98" s="13"/>
      <c r="Q98" s="13"/>
      <c r="R98" s="13"/>
    </row>
    <row r="99" spans="1:18" x14ac:dyDescent="0.35">
      <c r="A99" s="13"/>
      <c r="B99" s="13"/>
      <c r="C99" s="13"/>
      <c r="D99" s="13"/>
      <c r="E99" s="13"/>
      <c r="F99" s="13"/>
      <c r="G99" s="13"/>
      <c r="H99" s="13"/>
      <c r="I99" s="13"/>
      <c r="J99" s="13"/>
      <c r="K99" s="13"/>
      <c r="L99" s="13"/>
      <c r="M99" s="13"/>
      <c r="N99" s="13"/>
      <c r="O99" s="13"/>
      <c r="P99" s="13"/>
      <c r="Q99" s="13"/>
      <c r="R99" s="13"/>
    </row>
    <row r="100" spans="1:18" x14ac:dyDescent="0.35">
      <c r="A100" s="13"/>
      <c r="B100" s="13"/>
      <c r="C100" s="13"/>
      <c r="D100" s="13"/>
      <c r="E100" s="13"/>
      <c r="F100" s="13"/>
      <c r="G100" s="13"/>
      <c r="H100" s="13"/>
      <c r="I100" s="13"/>
      <c r="J100" s="13"/>
      <c r="K100" s="13"/>
      <c r="L100" s="13"/>
      <c r="M100" s="13"/>
      <c r="N100" s="13"/>
      <c r="O100" s="13"/>
      <c r="P100" s="13"/>
      <c r="Q100" s="13"/>
      <c r="R100" s="13"/>
    </row>
    <row r="101" spans="1:18" x14ac:dyDescent="0.35">
      <c r="A101" s="13"/>
      <c r="B101" s="13"/>
      <c r="C101" s="13"/>
      <c r="D101" s="13"/>
      <c r="E101" s="13"/>
      <c r="F101" s="13"/>
      <c r="G101" s="13"/>
      <c r="H101" s="13"/>
      <c r="I101" s="13"/>
      <c r="J101" s="13"/>
      <c r="K101" s="13"/>
      <c r="L101" s="13"/>
      <c r="M101" s="13"/>
      <c r="N101" s="13"/>
      <c r="O101" s="13"/>
      <c r="P101" s="13"/>
      <c r="Q101" s="13"/>
      <c r="R101" s="13"/>
    </row>
    <row r="102" spans="1:18" x14ac:dyDescent="0.35">
      <c r="A102" s="13"/>
      <c r="B102" s="13"/>
      <c r="C102" s="13"/>
      <c r="D102" s="13"/>
      <c r="E102" s="13"/>
      <c r="F102" s="13"/>
      <c r="G102" s="13"/>
      <c r="H102" s="13"/>
      <c r="I102" s="13"/>
      <c r="J102" s="13"/>
      <c r="K102" s="13"/>
      <c r="L102" s="13"/>
      <c r="M102" s="13"/>
      <c r="N102" s="13"/>
      <c r="O102" s="13"/>
      <c r="P102" s="13"/>
      <c r="Q102" s="13"/>
      <c r="R102" s="13"/>
    </row>
    <row r="103" spans="1:18" x14ac:dyDescent="0.35">
      <c r="A103" s="13"/>
      <c r="B103" s="13"/>
      <c r="C103" s="13"/>
      <c r="D103" s="13"/>
      <c r="E103" s="13"/>
      <c r="F103" s="13"/>
      <c r="G103" s="13"/>
      <c r="H103" s="13"/>
      <c r="I103" s="13"/>
      <c r="J103" s="13"/>
      <c r="K103" s="13"/>
      <c r="L103" s="13"/>
      <c r="M103" s="13"/>
      <c r="N103" s="13"/>
      <c r="O103" s="13"/>
      <c r="P103" s="13"/>
      <c r="Q103" s="13"/>
      <c r="R103" s="13"/>
    </row>
    <row r="104" spans="1:18" x14ac:dyDescent="0.35">
      <c r="A104" s="13"/>
      <c r="B104" s="13"/>
      <c r="C104" s="13"/>
      <c r="D104" s="13"/>
      <c r="E104" s="13"/>
      <c r="F104" s="13"/>
      <c r="G104" s="13"/>
      <c r="H104" s="13"/>
      <c r="I104" s="13"/>
      <c r="J104" s="13"/>
      <c r="K104" s="13"/>
      <c r="L104" s="13"/>
      <c r="M104" s="13"/>
      <c r="N104" s="13"/>
      <c r="O104" s="13"/>
      <c r="P104" s="13"/>
      <c r="Q104" s="13"/>
      <c r="R104" s="13"/>
    </row>
    <row r="105" spans="1:18" x14ac:dyDescent="0.35">
      <c r="A105" s="13"/>
      <c r="B105" s="13"/>
      <c r="C105" s="13"/>
      <c r="D105" s="13"/>
      <c r="E105" s="13"/>
      <c r="F105" s="13"/>
      <c r="G105" s="13"/>
      <c r="H105" s="13"/>
      <c r="I105" s="13"/>
      <c r="J105" s="13"/>
      <c r="K105" s="13"/>
      <c r="L105" s="13"/>
      <c r="M105" s="13"/>
      <c r="N105" s="13"/>
      <c r="O105" s="13"/>
      <c r="P105" s="13"/>
      <c r="Q105" s="13"/>
      <c r="R105" s="13"/>
    </row>
    <row r="106" spans="1:18" x14ac:dyDescent="0.35">
      <c r="A106" s="13"/>
      <c r="B106" s="13"/>
      <c r="C106" s="13"/>
      <c r="D106" s="13"/>
      <c r="E106" s="13"/>
      <c r="F106" s="13"/>
      <c r="G106" s="13"/>
      <c r="H106" s="13"/>
      <c r="I106" s="13"/>
      <c r="J106" s="13"/>
      <c r="K106" s="13"/>
      <c r="L106" s="13"/>
      <c r="M106" s="13"/>
      <c r="N106" s="13"/>
      <c r="O106" s="13"/>
      <c r="P106" s="13"/>
      <c r="Q106" s="13"/>
      <c r="R106" s="13"/>
    </row>
    <row r="107" spans="1:18" x14ac:dyDescent="0.35">
      <c r="A107" s="13"/>
      <c r="B107" s="13"/>
      <c r="C107" s="13"/>
      <c r="D107" s="13"/>
      <c r="E107" s="13"/>
      <c r="F107" s="13"/>
      <c r="G107" s="13"/>
      <c r="H107" s="13"/>
      <c r="I107" s="13"/>
      <c r="J107" s="13"/>
      <c r="K107" s="13"/>
      <c r="L107" s="13"/>
      <c r="M107" s="13"/>
      <c r="N107" s="13"/>
      <c r="O107" s="13"/>
      <c r="P107" s="13"/>
      <c r="Q107" s="13"/>
      <c r="R107" s="13"/>
    </row>
    <row r="108" spans="1:18" x14ac:dyDescent="0.35">
      <c r="A108" s="13"/>
      <c r="B108" s="13"/>
      <c r="C108" s="13"/>
      <c r="D108" s="13"/>
      <c r="E108" s="13"/>
      <c r="F108" s="13"/>
      <c r="G108" s="13"/>
      <c r="H108" s="13"/>
      <c r="I108" s="13"/>
      <c r="J108" s="13"/>
      <c r="K108" s="13"/>
      <c r="L108" s="13"/>
      <c r="M108" s="13"/>
      <c r="N108" s="13"/>
      <c r="O108" s="13"/>
      <c r="P108" s="13"/>
      <c r="Q108" s="13"/>
      <c r="R108" s="13"/>
    </row>
    <row r="109" spans="1:18" x14ac:dyDescent="0.35">
      <c r="A109" s="13"/>
      <c r="B109" s="13"/>
      <c r="C109" s="13"/>
      <c r="D109" s="13"/>
      <c r="E109" s="13"/>
      <c r="F109" s="13"/>
      <c r="G109" s="13"/>
      <c r="H109" s="13"/>
      <c r="I109" s="13"/>
      <c r="J109" s="13"/>
      <c r="K109" s="13"/>
      <c r="L109" s="13"/>
      <c r="M109" s="13"/>
      <c r="N109" s="13"/>
      <c r="O109" s="13"/>
      <c r="P109" s="13"/>
      <c r="Q109" s="13"/>
      <c r="R109" s="13"/>
    </row>
    <row r="110" spans="1:18" x14ac:dyDescent="0.35">
      <c r="A110" s="13"/>
      <c r="B110" s="13"/>
      <c r="C110" s="13"/>
      <c r="D110" s="13"/>
      <c r="E110" s="13"/>
      <c r="F110" s="13"/>
      <c r="G110" s="13"/>
      <c r="H110" s="13"/>
      <c r="I110" s="13"/>
      <c r="J110" s="13"/>
      <c r="K110" s="13"/>
      <c r="L110" s="13"/>
      <c r="M110" s="13"/>
      <c r="N110" s="13"/>
      <c r="O110" s="13"/>
      <c r="P110" s="13"/>
      <c r="Q110" s="13"/>
      <c r="R110" s="13"/>
    </row>
    <row r="111" spans="1:18" x14ac:dyDescent="0.35">
      <c r="A111" s="13"/>
      <c r="B111" s="13"/>
      <c r="C111" s="13"/>
      <c r="D111" s="13"/>
      <c r="E111" s="13"/>
      <c r="F111" s="13"/>
      <c r="G111" s="13"/>
      <c r="H111" s="13"/>
      <c r="I111" s="13"/>
      <c r="J111" s="13"/>
      <c r="K111" s="13"/>
      <c r="L111" s="13"/>
      <c r="M111" s="13"/>
      <c r="N111" s="13"/>
      <c r="O111" s="13"/>
      <c r="P111" s="13"/>
      <c r="Q111" s="13"/>
      <c r="R111" s="13"/>
    </row>
    <row r="112" spans="1:18" x14ac:dyDescent="0.35">
      <c r="A112" s="13"/>
      <c r="B112" s="13"/>
      <c r="C112" s="13"/>
      <c r="D112" s="13"/>
      <c r="E112" s="13"/>
      <c r="F112" s="13"/>
      <c r="G112" s="13"/>
      <c r="H112" s="13"/>
      <c r="I112" s="13"/>
      <c r="J112" s="13"/>
      <c r="K112" s="13"/>
      <c r="L112" s="13"/>
      <c r="M112" s="13"/>
      <c r="N112" s="13"/>
      <c r="O112" s="13"/>
      <c r="P112" s="13"/>
      <c r="Q112" s="13"/>
      <c r="R112" s="13"/>
    </row>
    <row r="113" spans="1:18" x14ac:dyDescent="0.35">
      <c r="A113" s="13"/>
      <c r="B113" s="13"/>
      <c r="C113" s="13"/>
      <c r="D113" s="13"/>
      <c r="E113" s="13"/>
      <c r="F113" s="13"/>
      <c r="G113" s="13"/>
      <c r="H113" s="13"/>
      <c r="I113" s="13"/>
      <c r="J113" s="13"/>
      <c r="K113" s="13"/>
      <c r="L113" s="13"/>
      <c r="M113" s="13"/>
      <c r="N113" s="13"/>
      <c r="O113" s="13"/>
      <c r="P113" s="13"/>
      <c r="Q113" s="13"/>
      <c r="R113" s="13"/>
    </row>
    <row r="114" spans="1:18" x14ac:dyDescent="0.35">
      <c r="A114" s="13"/>
      <c r="B114" s="13"/>
      <c r="C114" s="13"/>
      <c r="D114" s="13"/>
      <c r="E114" s="13"/>
      <c r="F114" s="13"/>
      <c r="G114" s="13"/>
      <c r="H114" s="13"/>
      <c r="I114" s="13"/>
      <c r="J114" s="13"/>
      <c r="K114" s="13"/>
      <c r="L114" s="13"/>
      <c r="M114" s="13"/>
      <c r="N114" s="13"/>
      <c r="O114" s="13"/>
      <c r="P114" s="13"/>
      <c r="Q114" s="13"/>
      <c r="R114" s="13"/>
    </row>
    <row r="115" spans="1:18" x14ac:dyDescent="0.35">
      <c r="A115" s="13"/>
      <c r="B115" s="13"/>
      <c r="C115" s="13"/>
      <c r="D115" s="13"/>
      <c r="E115" s="13"/>
      <c r="F115" s="13"/>
      <c r="G115" s="13"/>
      <c r="H115" s="13"/>
      <c r="I115" s="13"/>
      <c r="J115" s="13"/>
      <c r="K115" s="13"/>
      <c r="L115" s="13"/>
      <c r="M115" s="13"/>
      <c r="N115" s="13"/>
      <c r="O115" s="13"/>
      <c r="P115" s="13"/>
      <c r="Q115" s="13"/>
      <c r="R115" s="13"/>
    </row>
    <row r="116" spans="1:18" x14ac:dyDescent="0.35">
      <c r="A116" s="13"/>
      <c r="B116" s="13"/>
      <c r="C116" s="13"/>
      <c r="D116" s="13"/>
      <c r="E116" s="13"/>
      <c r="F116" s="13"/>
      <c r="G116" s="13"/>
      <c r="H116" s="13"/>
      <c r="I116" s="13"/>
      <c r="J116" s="13"/>
      <c r="K116" s="13"/>
      <c r="L116" s="13"/>
      <c r="M116" s="13"/>
      <c r="N116" s="13"/>
      <c r="O116" s="13"/>
      <c r="P116" s="13"/>
      <c r="Q116" s="13"/>
      <c r="R116" s="13"/>
    </row>
    <row r="117" spans="1:18" x14ac:dyDescent="0.35">
      <c r="A117" s="13"/>
      <c r="B117" s="13"/>
      <c r="C117" s="13"/>
      <c r="D117" s="13"/>
      <c r="E117" s="13"/>
      <c r="F117" s="13"/>
      <c r="G117" s="13"/>
      <c r="H117" s="13"/>
      <c r="I117" s="13"/>
      <c r="J117" s="13"/>
      <c r="K117" s="13"/>
      <c r="L117" s="13"/>
      <c r="M117" s="13"/>
      <c r="N117" s="13"/>
      <c r="O117" s="13"/>
      <c r="P117" s="13"/>
      <c r="Q117" s="13"/>
      <c r="R117" s="13"/>
    </row>
    <row r="118" spans="1:18" x14ac:dyDescent="0.35">
      <c r="A118" s="13"/>
      <c r="B118" s="13"/>
      <c r="C118" s="13"/>
      <c r="D118" s="13"/>
      <c r="E118" s="13"/>
      <c r="F118" s="13"/>
      <c r="G118" s="13"/>
      <c r="H118" s="13"/>
      <c r="I118" s="13"/>
      <c r="J118" s="13"/>
      <c r="K118" s="13"/>
      <c r="L118" s="13"/>
      <c r="M118" s="13"/>
      <c r="N118" s="13"/>
      <c r="O118" s="13"/>
      <c r="P118" s="13"/>
      <c r="Q118" s="13"/>
      <c r="R118" s="13"/>
    </row>
    <row r="119" spans="1:18" x14ac:dyDescent="0.35">
      <c r="A119" s="13"/>
      <c r="B119" s="13"/>
      <c r="C119" s="13"/>
      <c r="D119" s="13"/>
      <c r="E119" s="13"/>
      <c r="F119" s="13"/>
      <c r="G119" s="13"/>
      <c r="H119" s="13"/>
      <c r="I119" s="13"/>
      <c r="J119" s="13"/>
      <c r="K119" s="13"/>
      <c r="L119" s="13"/>
      <c r="M119" s="13"/>
      <c r="N119" s="13"/>
      <c r="O119" s="13"/>
      <c r="P119" s="13"/>
      <c r="Q119" s="13"/>
      <c r="R119" s="13"/>
    </row>
    <row r="120" spans="1:18" x14ac:dyDescent="0.35">
      <c r="A120" s="13"/>
      <c r="B120" s="13"/>
      <c r="C120" s="13"/>
      <c r="D120" s="13"/>
      <c r="E120" s="13"/>
      <c r="F120" s="13"/>
      <c r="G120" s="13"/>
      <c r="H120" s="13"/>
      <c r="I120" s="13"/>
      <c r="J120" s="13"/>
      <c r="K120" s="13"/>
      <c r="L120" s="13"/>
      <c r="M120" s="13"/>
      <c r="N120" s="13"/>
      <c r="O120" s="13"/>
      <c r="P120" s="13"/>
      <c r="Q120" s="13"/>
      <c r="R120" s="13"/>
    </row>
    <row r="121" spans="1:18" x14ac:dyDescent="0.35">
      <c r="A121" s="13"/>
      <c r="B121" s="13"/>
      <c r="C121" s="13"/>
      <c r="D121" s="13"/>
      <c r="E121" s="13"/>
      <c r="F121" s="13"/>
      <c r="G121" s="13"/>
      <c r="H121" s="13"/>
      <c r="I121" s="13"/>
      <c r="J121" s="13"/>
      <c r="K121" s="13"/>
      <c r="L121" s="13"/>
      <c r="M121" s="13"/>
      <c r="N121" s="13"/>
      <c r="O121" s="13"/>
      <c r="P121" s="13"/>
      <c r="Q121" s="13"/>
      <c r="R121" s="13"/>
    </row>
    <row r="122" spans="1:18" x14ac:dyDescent="0.35">
      <c r="A122" s="13"/>
      <c r="B122" s="13"/>
      <c r="C122" s="13"/>
      <c r="D122" s="13"/>
      <c r="E122" s="13"/>
      <c r="F122" s="13"/>
      <c r="G122" s="13"/>
      <c r="H122" s="13"/>
      <c r="I122" s="13"/>
      <c r="J122" s="13"/>
      <c r="K122" s="13"/>
      <c r="L122" s="13"/>
      <c r="M122" s="13"/>
      <c r="N122" s="13"/>
      <c r="O122" s="13"/>
      <c r="P122" s="13"/>
      <c r="Q122" s="13"/>
      <c r="R122" s="13"/>
    </row>
    <row r="123" spans="1:18" x14ac:dyDescent="0.35">
      <c r="A123" s="13"/>
      <c r="B123" s="13"/>
      <c r="C123" s="13"/>
      <c r="D123" s="13"/>
      <c r="E123" s="13"/>
      <c r="F123" s="13"/>
      <c r="G123" s="13"/>
      <c r="H123" s="13"/>
      <c r="I123" s="13"/>
      <c r="J123" s="13"/>
      <c r="K123" s="13"/>
      <c r="L123" s="13"/>
      <c r="M123" s="13"/>
      <c r="N123" s="13"/>
      <c r="O123" s="13"/>
      <c r="P123" s="13"/>
      <c r="Q123" s="13"/>
      <c r="R123" s="13"/>
    </row>
    <row r="124" spans="1:18" x14ac:dyDescent="0.35">
      <c r="A124" s="13"/>
      <c r="B124" s="13"/>
      <c r="C124" s="13"/>
      <c r="D124" s="13"/>
      <c r="E124" s="13"/>
      <c r="F124" s="13"/>
      <c r="G124" s="13"/>
      <c r="H124" s="13"/>
      <c r="I124" s="13"/>
      <c r="J124" s="13"/>
      <c r="K124" s="13"/>
      <c r="L124" s="13"/>
      <c r="M124" s="13"/>
      <c r="N124" s="13"/>
      <c r="O124" s="13"/>
      <c r="P124" s="13"/>
      <c r="Q124" s="13"/>
      <c r="R124" s="13"/>
    </row>
    <row r="125" spans="1:18" x14ac:dyDescent="0.35">
      <c r="A125" s="13"/>
      <c r="B125" s="13"/>
      <c r="C125" s="13"/>
      <c r="D125" s="13"/>
      <c r="E125" s="13"/>
      <c r="F125" s="13"/>
      <c r="G125" s="13"/>
      <c r="H125" s="13"/>
      <c r="I125" s="13"/>
      <c r="J125" s="13"/>
      <c r="K125" s="13"/>
      <c r="L125" s="13"/>
      <c r="M125" s="13"/>
      <c r="N125" s="13"/>
      <c r="O125" s="13"/>
      <c r="P125" s="13"/>
      <c r="Q125" s="13"/>
      <c r="R125" s="13"/>
    </row>
    <row r="126" spans="1:18" x14ac:dyDescent="0.35">
      <c r="A126" s="13"/>
      <c r="B126" s="13"/>
      <c r="C126" s="13"/>
      <c r="D126" s="13"/>
      <c r="E126" s="13"/>
      <c r="F126" s="13"/>
      <c r="G126" s="13"/>
      <c r="H126" s="13"/>
      <c r="I126" s="13"/>
      <c r="J126" s="13"/>
      <c r="K126" s="13"/>
      <c r="L126" s="13"/>
      <c r="M126" s="13"/>
      <c r="N126" s="13"/>
      <c r="O126" s="13"/>
      <c r="P126" s="13"/>
      <c r="Q126" s="13"/>
      <c r="R126" s="13"/>
    </row>
    <row r="127" spans="1:18" x14ac:dyDescent="0.35">
      <c r="A127" s="13"/>
      <c r="B127" s="13"/>
      <c r="C127" s="13"/>
      <c r="D127" s="13"/>
      <c r="E127" s="13"/>
      <c r="F127" s="13"/>
      <c r="G127" s="13"/>
      <c r="H127" s="13"/>
      <c r="I127" s="13"/>
      <c r="J127" s="13"/>
      <c r="K127" s="13"/>
      <c r="L127" s="13"/>
      <c r="M127" s="13"/>
      <c r="N127" s="13"/>
      <c r="O127" s="13"/>
      <c r="P127" s="13"/>
      <c r="Q127" s="13"/>
      <c r="R127" s="13"/>
    </row>
    <row r="128" spans="1:18" x14ac:dyDescent="0.35">
      <c r="A128" s="13"/>
      <c r="B128" s="13"/>
      <c r="C128" s="13"/>
      <c r="D128" s="13"/>
      <c r="E128" s="13"/>
      <c r="F128" s="13"/>
      <c r="G128" s="13"/>
      <c r="H128" s="13"/>
      <c r="I128" s="13"/>
      <c r="J128" s="13"/>
      <c r="K128" s="13"/>
      <c r="L128" s="13"/>
      <c r="M128" s="13"/>
      <c r="N128" s="13"/>
      <c r="O128" s="13"/>
      <c r="P128" s="13"/>
      <c r="Q128" s="13"/>
      <c r="R128" s="13"/>
    </row>
    <row r="129" spans="1:18" x14ac:dyDescent="0.35">
      <c r="A129" s="13"/>
      <c r="B129" s="13"/>
      <c r="C129" s="13"/>
      <c r="D129" s="13"/>
      <c r="E129" s="13"/>
      <c r="F129" s="13"/>
      <c r="G129" s="13"/>
      <c r="H129" s="13"/>
      <c r="I129" s="13"/>
      <c r="J129" s="13"/>
      <c r="K129" s="13"/>
      <c r="L129" s="13"/>
      <c r="M129" s="13"/>
      <c r="N129" s="13"/>
      <c r="O129" s="13"/>
      <c r="P129" s="13"/>
      <c r="Q129" s="13"/>
      <c r="R129" s="13"/>
    </row>
    <row r="130" spans="1:18" x14ac:dyDescent="0.35">
      <c r="A130" s="13"/>
      <c r="B130" s="13"/>
      <c r="C130" s="13"/>
      <c r="D130" s="13"/>
      <c r="E130" s="13"/>
      <c r="F130" s="13"/>
      <c r="G130" s="13"/>
      <c r="H130" s="13"/>
      <c r="I130" s="13"/>
      <c r="J130" s="13"/>
      <c r="K130" s="13"/>
      <c r="L130" s="13"/>
      <c r="M130" s="13"/>
      <c r="N130" s="13"/>
      <c r="O130" s="13"/>
      <c r="P130" s="13"/>
      <c r="Q130" s="13"/>
      <c r="R130" s="13"/>
    </row>
    <row r="131" spans="1:18" x14ac:dyDescent="0.35">
      <c r="A131" s="13"/>
      <c r="B131" s="13"/>
      <c r="C131" s="13"/>
      <c r="D131" s="13"/>
      <c r="E131" s="13"/>
      <c r="F131" s="13"/>
      <c r="G131" s="13"/>
      <c r="H131" s="13"/>
      <c r="I131" s="13"/>
      <c r="J131" s="13"/>
      <c r="K131" s="13"/>
      <c r="L131" s="13"/>
      <c r="M131" s="13"/>
      <c r="N131" s="13"/>
      <c r="O131" s="13"/>
      <c r="P131" s="13"/>
      <c r="Q131" s="13"/>
      <c r="R131" s="13"/>
    </row>
    <row r="132" spans="1:18" x14ac:dyDescent="0.35">
      <c r="A132" s="13"/>
      <c r="B132" s="13"/>
      <c r="C132" s="13"/>
      <c r="D132" s="13"/>
      <c r="E132" s="13"/>
      <c r="F132" s="13"/>
      <c r="G132" s="13"/>
      <c r="H132" s="13"/>
      <c r="I132" s="13"/>
      <c r="J132" s="13"/>
      <c r="K132" s="13"/>
      <c r="L132" s="13"/>
      <c r="M132" s="13"/>
      <c r="N132" s="13"/>
      <c r="O132" s="13"/>
      <c r="P132" s="13"/>
      <c r="Q132" s="13"/>
      <c r="R132" s="13"/>
    </row>
    <row r="133" spans="1:18" x14ac:dyDescent="0.35">
      <c r="A133" s="13"/>
      <c r="B133" s="13"/>
      <c r="C133" s="13"/>
      <c r="D133" s="13"/>
      <c r="E133" s="13"/>
      <c r="F133" s="13"/>
      <c r="G133" s="13"/>
      <c r="H133" s="13"/>
      <c r="I133" s="13"/>
      <c r="J133" s="13"/>
      <c r="K133" s="13"/>
      <c r="L133" s="13"/>
      <c r="M133" s="13"/>
      <c r="N133" s="13"/>
      <c r="O133" s="13"/>
      <c r="P133" s="13"/>
      <c r="Q133" s="13"/>
      <c r="R133" s="13"/>
    </row>
    <row r="134" spans="1:18" x14ac:dyDescent="0.35">
      <c r="A134" s="13"/>
      <c r="B134" s="13"/>
      <c r="C134" s="13"/>
      <c r="D134" s="13"/>
      <c r="E134" s="13"/>
      <c r="F134" s="13"/>
      <c r="G134" s="13"/>
      <c r="H134" s="13"/>
      <c r="I134" s="13"/>
      <c r="J134" s="13"/>
      <c r="K134" s="13"/>
      <c r="L134" s="13"/>
      <c r="M134" s="13"/>
      <c r="N134" s="13"/>
      <c r="O134" s="13"/>
      <c r="P134" s="13"/>
      <c r="Q134" s="13"/>
      <c r="R134" s="13"/>
    </row>
    <row r="135" spans="1:18" x14ac:dyDescent="0.35">
      <c r="A135" s="13"/>
      <c r="B135" s="13"/>
      <c r="C135" s="13"/>
      <c r="D135" s="13"/>
      <c r="E135" s="13"/>
      <c r="F135" s="13"/>
      <c r="G135" s="13"/>
      <c r="H135" s="13"/>
      <c r="I135" s="13"/>
      <c r="J135" s="13"/>
      <c r="K135" s="13"/>
      <c r="L135" s="13"/>
      <c r="M135" s="13"/>
      <c r="N135" s="13"/>
      <c r="O135" s="13"/>
      <c r="P135" s="13"/>
      <c r="Q135" s="13"/>
      <c r="R135" s="13"/>
    </row>
    <row r="136" spans="1:18" x14ac:dyDescent="0.35">
      <c r="A136" s="13"/>
      <c r="B136" s="13"/>
      <c r="C136" s="13"/>
      <c r="D136" s="13"/>
      <c r="E136" s="13"/>
      <c r="F136" s="13"/>
      <c r="G136" s="13"/>
      <c r="H136" s="13"/>
      <c r="I136" s="13"/>
      <c r="J136" s="13"/>
      <c r="K136" s="13"/>
      <c r="L136" s="13"/>
      <c r="M136" s="13"/>
      <c r="N136" s="13"/>
      <c r="O136" s="13"/>
      <c r="P136" s="13"/>
      <c r="Q136" s="13"/>
      <c r="R136" s="13"/>
    </row>
    <row r="137" spans="1:18" x14ac:dyDescent="0.35">
      <c r="A137" s="13"/>
      <c r="B137" s="13"/>
      <c r="C137" s="13"/>
      <c r="D137" s="13"/>
      <c r="E137" s="13"/>
      <c r="F137" s="13"/>
      <c r="G137" s="13"/>
      <c r="H137" s="13"/>
      <c r="I137" s="13"/>
      <c r="J137" s="13"/>
      <c r="K137" s="13"/>
      <c r="L137" s="13"/>
      <c r="M137" s="13"/>
      <c r="N137" s="13"/>
      <c r="O137" s="13"/>
      <c r="P137" s="13"/>
      <c r="Q137" s="13"/>
      <c r="R137" s="13"/>
    </row>
    <row r="138" spans="1:18" x14ac:dyDescent="0.35">
      <c r="A138" s="13"/>
      <c r="B138" s="13"/>
      <c r="C138" s="13"/>
      <c r="D138" s="13"/>
      <c r="E138" s="13"/>
      <c r="F138" s="13"/>
      <c r="G138" s="13"/>
      <c r="H138" s="13"/>
      <c r="I138" s="13"/>
      <c r="J138" s="13"/>
      <c r="K138" s="13"/>
      <c r="L138" s="13"/>
      <c r="M138" s="13"/>
      <c r="N138" s="13"/>
      <c r="O138" s="13"/>
      <c r="P138" s="13"/>
      <c r="Q138" s="13"/>
      <c r="R138" s="13"/>
    </row>
    <row r="139" spans="1:18" x14ac:dyDescent="0.35">
      <c r="A139" s="13"/>
      <c r="B139" s="13"/>
      <c r="C139" s="13"/>
      <c r="D139" s="13"/>
      <c r="E139" s="13"/>
      <c r="F139" s="13"/>
      <c r="G139" s="13"/>
      <c r="H139" s="13"/>
      <c r="I139" s="13"/>
      <c r="J139" s="13"/>
      <c r="K139" s="13"/>
      <c r="L139" s="13"/>
      <c r="M139" s="13"/>
      <c r="N139" s="13"/>
      <c r="O139" s="13"/>
      <c r="P139" s="13"/>
      <c r="Q139" s="13"/>
      <c r="R139" s="13"/>
    </row>
    <row r="140" spans="1:18" x14ac:dyDescent="0.35">
      <c r="A140" s="13"/>
      <c r="B140" s="13"/>
      <c r="C140" s="13"/>
      <c r="D140" s="13"/>
      <c r="E140" s="13"/>
      <c r="F140" s="13"/>
      <c r="G140" s="13"/>
      <c r="H140" s="13"/>
      <c r="I140" s="13"/>
      <c r="J140" s="13"/>
      <c r="K140" s="13"/>
      <c r="L140" s="13"/>
      <c r="M140" s="13"/>
      <c r="N140" s="13"/>
      <c r="O140" s="13"/>
      <c r="P140" s="13"/>
      <c r="Q140" s="13"/>
      <c r="R140" s="13"/>
    </row>
    <row r="141" spans="1:18" x14ac:dyDescent="0.35">
      <c r="A141" s="13"/>
      <c r="B141" s="13"/>
      <c r="C141" s="13"/>
      <c r="D141" s="13"/>
      <c r="E141" s="13"/>
      <c r="F141" s="13"/>
      <c r="G141" s="13"/>
      <c r="H141" s="13"/>
      <c r="I141" s="13"/>
      <c r="J141" s="13"/>
      <c r="K141" s="13"/>
      <c r="L141" s="13"/>
      <c r="M141" s="13"/>
      <c r="N141" s="13"/>
      <c r="O141" s="13"/>
      <c r="P141" s="13"/>
      <c r="Q141" s="13"/>
      <c r="R141" s="13"/>
    </row>
    <row r="142" spans="1:18" x14ac:dyDescent="0.35">
      <c r="A142" s="13"/>
      <c r="B142" s="13"/>
      <c r="C142" s="13"/>
      <c r="D142" s="13"/>
      <c r="E142" s="13"/>
      <c r="F142" s="13"/>
      <c r="G142" s="13"/>
      <c r="H142" s="13"/>
      <c r="I142" s="13"/>
      <c r="J142" s="13"/>
      <c r="K142" s="13"/>
      <c r="L142" s="13"/>
      <c r="M142" s="13"/>
      <c r="N142" s="13"/>
      <c r="O142" s="13"/>
      <c r="P142" s="13"/>
      <c r="Q142" s="13"/>
      <c r="R142" s="13"/>
    </row>
    <row r="143" spans="1:18" x14ac:dyDescent="0.35">
      <c r="A143" s="13"/>
      <c r="B143" s="13"/>
      <c r="C143" s="13"/>
      <c r="D143" s="13"/>
      <c r="E143" s="13"/>
      <c r="F143" s="13"/>
      <c r="G143" s="13"/>
      <c r="H143" s="13"/>
      <c r="I143" s="13"/>
      <c r="J143" s="13"/>
      <c r="K143" s="13"/>
      <c r="L143" s="13"/>
      <c r="M143" s="13"/>
      <c r="N143" s="13"/>
      <c r="O143" s="13"/>
      <c r="P143" s="13"/>
      <c r="Q143" s="13"/>
      <c r="R143" s="13"/>
    </row>
    <row r="144" spans="1:18" x14ac:dyDescent="0.35">
      <c r="A144" s="13"/>
      <c r="B144" s="13"/>
      <c r="C144" s="13"/>
      <c r="D144" s="13"/>
      <c r="E144" s="13"/>
      <c r="F144" s="13"/>
      <c r="G144" s="13"/>
      <c r="H144" s="13"/>
      <c r="I144" s="13"/>
      <c r="J144" s="13"/>
      <c r="K144" s="13"/>
      <c r="L144" s="13"/>
      <c r="M144" s="13"/>
      <c r="N144" s="13"/>
      <c r="O144" s="13"/>
      <c r="P144" s="13"/>
      <c r="Q144" s="13"/>
      <c r="R144" s="13"/>
    </row>
    <row r="145" spans="1:18" x14ac:dyDescent="0.35">
      <c r="A145" s="13"/>
      <c r="B145" s="13"/>
      <c r="C145" s="13"/>
      <c r="D145" s="13"/>
      <c r="E145" s="13"/>
      <c r="F145" s="13"/>
      <c r="G145" s="13"/>
      <c r="H145" s="13"/>
      <c r="I145" s="13"/>
      <c r="J145" s="13"/>
      <c r="K145" s="13"/>
      <c r="L145" s="13"/>
      <c r="M145" s="13"/>
      <c r="N145" s="13"/>
      <c r="O145" s="13"/>
      <c r="P145" s="13"/>
      <c r="Q145" s="13"/>
      <c r="R145" s="13"/>
    </row>
    <row r="146" spans="1:18" x14ac:dyDescent="0.35">
      <c r="A146" s="13"/>
      <c r="B146" s="13"/>
      <c r="C146" s="13"/>
      <c r="D146" s="13"/>
      <c r="E146" s="13"/>
      <c r="F146" s="13"/>
      <c r="G146" s="13"/>
      <c r="H146" s="13"/>
      <c r="I146" s="13"/>
      <c r="J146" s="13"/>
      <c r="K146" s="13"/>
      <c r="L146" s="13"/>
      <c r="M146" s="13"/>
      <c r="N146" s="13"/>
      <c r="O146" s="13"/>
      <c r="P146" s="13"/>
      <c r="Q146" s="13"/>
      <c r="R146" s="13"/>
    </row>
    <row r="147" spans="1:18" x14ac:dyDescent="0.35">
      <c r="A147" s="13"/>
      <c r="B147" s="13"/>
      <c r="C147" s="13"/>
      <c r="D147" s="13"/>
      <c r="E147" s="13"/>
      <c r="F147" s="13"/>
      <c r="G147" s="13"/>
      <c r="H147" s="13"/>
      <c r="I147" s="13"/>
      <c r="J147" s="13"/>
      <c r="K147" s="13"/>
      <c r="L147" s="13"/>
      <c r="M147" s="13"/>
      <c r="N147" s="13"/>
      <c r="O147" s="13"/>
      <c r="P147" s="13"/>
      <c r="Q147" s="13"/>
      <c r="R147" s="13"/>
    </row>
    <row r="148" spans="1:18" x14ac:dyDescent="0.35">
      <c r="A148" s="13"/>
      <c r="B148" s="13"/>
      <c r="C148" s="13"/>
      <c r="D148" s="13"/>
      <c r="E148" s="13"/>
      <c r="F148" s="13"/>
      <c r="G148" s="13"/>
      <c r="H148" s="13"/>
      <c r="I148" s="13"/>
      <c r="J148" s="13"/>
      <c r="K148" s="13"/>
      <c r="L148" s="13"/>
      <c r="M148" s="13"/>
      <c r="N148" s="13"/>
      <c r="O148" s="13"/>
      <c r="P148" s="13"/>
      <c r="Q148" s="13"/>
      <c r="R148" s="13"/>
    </row>
    <row r="149" spans="1:18" x14ac:dyDescent="0.35">
      <c r="A149" s="13"/>
      <c r="B149" s="13"/>
      <c r="C149" s="13"/>
      <c r="D149" s="13"/>
      <c r="E149" s="13"/>
      <c r="F149" s="13"/>
      <c r="G149" s="13"/>
      <c r="H149" s="13"/>
      <c r="I149" s="13"/>
      <c r="J149" s="13"/>
      <c r="K149" s="13"/>
      <c r="L149" s="13"/>
      <c r="M149" s="13"/>
      <c r="N149" s="13"/>
      <c r="O149" s="13"/>
      <c r="P149" s="13"/>
      <c r="Q149" s="13"/>
      <c r="R149" s="13"/>
    </row>
    <row r="150" spans="1:18" x14ac:dyDescent="0.35">
      <c r="A150" s="13"/>
      <c r="B150" s="13"/>
      <c r="C150" s="13"/>
      <c r="D150" s="13"/>
      <c r="E150" s="13"/>
      <c r="F150" s="13"/>
      <c r="G150" s="13"/>
      <c r="H150" s="13"/>
      <c r="I150" s="13"/>
      <c r="J150" s="13"/>
      <c r="K150" s="13"/>
      <c r="L150" s="13"/>
      <c r="M150" s="13"/>
      <c r="N150" s="13"/>
      <c r="O150" s="13"/>
      <c r="P150" s="13"/>
      <c r="Q150" s="13"/>
      <c r="R150" s="13"/>
    </row>
    <row r="151" spans="1:18" x14ac:dyDescent="0.35">
      <c r="A151" s="13"/>
      <c r="B151" s="13"/>
      <c r="C151" s="13"/>
      <c r="D151" s="13"/>
      <c r="E151" s="13"/>
      <c r="F151" s="13"/>
      <c r="G151" s="13"/>
      <c r="H151" s="13"/>
      <c r="I151" s="13"/>
      <c r="J151" s="13"/>
      <c r="K151" s="13"/>
      <c r="L151" s="13"/>
      <c r="M151" s="13"/>
      <c r="N151" s="13"/>
      <c r="O151" s="13"/>
      <c r="P151" s="13"/>
      <c r="Q151" s="13"/>
      <c r="R151" s="13"/>
    </row>
    <row r="152" spans="1:18" x14ac:dyDescent="0.35">
      <c r="A152" s="13"/>
      <c r="B152" s="13"/>
      <c r="C152" s="13"/>
      <c r="D152" s="13"/>
      <c r="E152" s="13"/>
      <c r="F152" s="13"/>
      <c r="G152" s="13"/>
      <c r="H152" s="13"/>
      <c r="I152" s="13"/>
      <c r="J152" s="13"/>
      <c r="K152" s="13"/>
      <c r="L152" s="13"/>
      <c r="M152" s="13"/>
      <c r="N152" s="13"/>
      <c r="O152" s="13"/>
      <c r="P152" s="13"/>
      <c r="Q152" s="13"/>
      <c r="R152" s="13"/>
    </row>
    <row r="153" spans="1:18" x14ac:dyDescent="0.35">
      <c r="A153" s="13"/>
      <c r="B153" s="13"/>
      <c r="C153" s="13"/>
      <c r="D153" s="13"/>
      <c r="E153" s="13"/>
      <c r="F153" s="13"/>
      <c r="G153" s="13"/>
      <c r="H153" s="13"/>
      <c r="I153" s="13"/>
      <c r="J153" s="13"/>
      <c r="K153" s="13"/>
      <c r="L153" s="13"/>
      <c r="M153" s="13"/>
      <c r="N153" s="13"/>
      <c r="O153" s="13"/>
      <c r="P153" s="13"/>
      <c r="Q153" s="13"/>
      <c r="R153" s="13"/>
    </row>
    <row r="154" spans="1:18" x14ac:dyDescent="0.35">
      <c r="A154" s="13"/>
      <c r="B154" s="13"/>
      <c r="C154" s="13"/>
      <c r="D154" s="13"/>
      <c r="E154" s="13"/>
      <c r="F154" s="13"/>
      <c r="G154" s="13"/>
      <c r="H154" s="13"/>
      <c r="I154" s="13"/>
      <c r="J154" s="13"/>
      <c r="K154" s="13"/>
      <c r="L154" s="13"/>
      <c r="M154" s="13"/>
      <c r="N154" s="13"/>
      <c r="O154" s="13"/>
      <c r="P154" s="13"/>
      <c r="Q154" s="13"/>
      <c r="R154" s="13"/>
    </row>
    <row r="155" spans="1:18" x14ac:dyDescent="0.35">
      <c r="A155" s="13"/>
      <c r="B155" s="13"/>
      <c r="C155" s="13"/>
      <c r="D155" s="13"/>
      <c r="E155" s="13"/>
      <c r="F155" s="13"/>
      <c r="G155" s="13"/>
      <c r="H155" s="13"/>
      <c r="I155" s="13"/>
      <c r="J155" s="13"/>
      <c r="K155" s="13"/>
      <c r="L155" s="13"/>
      <c r="M155" s="13"/>
      <c r="N155" s="13"/>
      <c r="O155" s="13"/>
      <c r="P155" s="13"/>
      <c r="Q155" s="13"/>
      <c r="R155" s="13"/>
    </row>
    <row r="156" spans="1:18" x14ac:dyDescent="0.35">
      <c r="A156" s="13"/>
      <c r="B156" s="13"/>
      <c r="C156" s="13"/>
      <c r="D156" s="13"/>
      <c r="E156" s="13"/>
      <c r="F156" s="13"/>
      <c r="G156" s="13"/>
      <c r="H156" s="13"/>
      <c r="I156" s="13"/>
      <c r="J156" s="13"/>
      <c r="K156" s="13"/>
      <c r="L156" s="13"/>
      <c r="M156" s="13"/>
      <c r="N156" s="13"/>
      <c r="O156" s="13"/>
      <c r="P156" s="13"/>
      <c r="Q156" s="13"/>
      <c r="R156" s="13"/>
    </row>
    <row r="157" spans="1:18" x14ac:dyDescent="0.35">
      <c r="A157" s="13"/>
      <c r="B157" s="13"/>
      <c r="C157" s="13"/>
      <c r="D157" s="13"/>
      <c r="E157" s="13"/>
      <c r="F157" s="13"/>
      <c r="G157" s="13"/>
      <c r="H157" s="13"/>
      <c r="I157" s="13"/>
      <c r="J157" s="13"/>
      <c r="K157" s="13"/>
      <c r="L157" s="13"/>
      <c r="M157" s="13"/>
      <c r="N157" s="13"/>
      <c r="O157" s="13"/>
      <c r="P157" s="13"/>
      <c r="Q157" s="13"/>
      <c r="R157" s="13"/>
    </row>
    <row r="158" spans="1:18" x14ac:dyDescent="0.35">
      <c r="A158" s="13"/>
      <c r="B158" s="13"/>
      <c r="C158" s="13"/>
      <c r="D158" s="13"/>
      <c r="E158" s="13"/>
      <c r="F158" s="13"/>
      <c r="G158" s="13"/>
      <c r="H158" s="13"/>
      <c r="I158" s="13"/>
      <c r="J158" s="13"/>
      <c r="K158" s="13"/>
      <c r="L158" s="13"/>
      <c r="M158" s="13"/>
      <c r="N158" s="13"/>
      <c r="O158" s="13"/>
      <c r="P158" s="13"/>
      <c r="Q158" s="13"/>
      <c r="R158" s="13"/>
    </row>
    <row r="159" spans="1:18" x14ac:dyDescent="0.35">
      <c r="A159" s="13"/>
      <c r="B159" s="13"/>
      <c r="C159" s="13"/>
      <c r="D159" s="13"/>
      <c r="E159" s="13"/>
      <c r="F159" s="13"/>
      <c r="G159" s="13"/>
      <c r="H159" s="13"/>
      <c r="I159" s="13"/>
      <c r="J159" s="13"/>
      <c r="K159" s="13"/>
      <c r="L159" s="13"/>
      <c r="M159" s="13"/>
      <c r="N159" s="13"/>
      <c r="O159" s="13"/>
      <c r="P159" s="13"/>
      <c r="Q159" s="13"/>
      <c r="R159" s="13"/>
    </row>
    <row r="160" spans="1:18" x14ac:dyDescent="0.35">
      <c r="A160" s="13"/>
      <c r="B160" s="13"/>
      <c r="C160" s="13"/>
      <c r="D160" s="13"/>
      <c r="E160" s="13"/>
      <c r="F160" s="13"/>
      <c r="G160" s="13"/>
      <c r="H160" s="13"/>
      <c r="I160" s="13"/>
      <c r="J160" s="13"/>
      <c r="K160" s="13"/>
      <c r="L160" s="13"/>
      <c r="M160" s="13"/>
      <c r="N160" s="13"/>
      <c r="O160" s="13"/>
      <c r="P160" s="13"/>
      <c r="Q160" s="13"/>
      <c r="R160" s="13"/>
    </row>
    <row r="161" spans="1:18" x14ac:dyDescent="0.35">
      <c r="A161" s="13"/>
      <c r="B161" s="13"/>
      <c r="C161" s="13"/>
      <c r="D161" s="13"/>
      <c r="E161" s="13"/>
      <c r="F161" s="13"/>
      <c r="G161" s="13"/>
      <c r="H161" s="13"/>
      <c r="I161" s="13"/>
      <c r="J161" s="13"/>
      <c r="K161" s="13"/>
      <c r="L161" s="13"/>
      <c r="M161" s="13"/>
      <c r="N161" s="13"/>
      <c r="O161" s="13"/>
      <c r="P161" s="13"/>
      <c r="Q161" s="13"/>
      <c r="R161" s="13"/>
    </row>
    <row r="162" spans="1:18" x14ac:dyDescent="0.35">
      <c r="A162" s="13"/>
      <c r="B162" s="13"/>
      <c r="C162" s="13"/>
      <c r="D162" s="13"/>
      <c r="E162" s="13"/>
      <c r="F162" s="13"/>
      <c r="G162" s="13"/>
      <c r="H162" s="13"/>
      <c r="I162" s="13"/>
      <c r="J162" s="13"/>
      <c r="K162" s="13"/>
      <c r="L162" s="13"/>
      <c r="M162" s="13"/>
      <c r="N162" s="13"/>
      <c r="O162" s="13"/>
      <c r="P162" s="13"/>
      <c r="Q162" s="13"/>
      <c r="R162" s="13"/>
    </row>
    <row r="163" spans="1:18" x14ac:dyDescent="0.35">
      <c r="A163" s="13"/>
      <c r="B163" s="13"/>
      <c r="C163" s="13"/>
      <c r="D163" s="13"/>
      <c r="E163" s="13"/>
      <c r="F163" s="13"/>
      <c r="G163" s="13"/>
      <c r="H163" s="13"/>
      <c r="I163" s="13"/>
      <c r="J163" s="13"/>
      <c r="K163" s="13"/>
      <c r="L163" s="13"/>
      <c r="M163" s="13"/>
      <c r="N163" s="13"/>
      <c r="O163" s="13"/>
      <c r="P163" s="13"/>
      <c r="Q163" s="13"/>
      <c r="R163" s="13"/>
    </row>
    <row r="164" spans="1:18" x14ac:dyDescent="0.35">
      <c r="A164" s="13"/>
      <c r="B164" s="13"/>
      <c r="C164" s="13"/>
      <c r="D164" s="13"/>
      <c r="E164" s="13"/>
      <c r="F164" s="13"/>
      <c r="G164" s="13"/>
      <c r="H164" s="13"/>
      <c r="I164" s="13"/>
      <c r="J164" s="13"/>
      <c r="K164" s="13"/>
      <c r="L164" s="13"/>
      <c r="M164" s="13"/>
      <c r="N164" s="13"/>
      <c r="O164" s="13"/>
      <c r="P164" s="13"/>
      <c r="Q164" s="13"/>
      <c r="R164" s="13"/>
    </row>
    <row r="165" spans="1:18" x14ac:dyDescent="0.35">
      <c r="A165" s="13"/>
      <c r="B165" s="13"/>
      <c r="C165" s="13"/>
      <c r="D165" s="13"/>
      <c r="E165" s="13"/>
      <c r="F165" s="13"/>
      <c r="G165" s="13"/>
      <c r="H165" s="13"/>
      <c r="I165" s="13"/>
      <c r="J165" s="13"/>
      <c r="K165" s="13"/>
      <c r="L165" s="13"/>
      <c r="M165" s="13"/>
      <c r="N165" s="13"/>
      <c r="O165" s="13"/>
      <c r="P165" s="13"/>
      <c r="Q165" s="13"/>
      <c r="R165" s="13"/>
    </row>
    <row r="166" spans="1:18" x14ac:dyDescent="0.35">
      <c r="A166" s="13"/>
      <c r="B166" s="13"/>
      <c r="C166" s="13"/>
      <c r="D166" s="13"/>
      <c r="E166" s="13"/>
      <c r="F166" s="13"/>
      <c r="G166" s="13"/>
      <c r="H166" s="13"/>
      <c r="I166" s="13"/>
      <c r="J166" s="13"/>
      <c r="K166" s="13"/>
      <c r="L166" s="13"/>
      <c r="M166" s="13"/>
      <c r="N166" s="13"/>
      <c r="O166" s="13"/>
      <c r="P166" s="13"/>
      <c r="Q166" s="13"/>
      <c r="R166" s="13"/>
    </row>
    <row r="167" spans="1:18" x14ac:dyDescent="0.35">
      <c r="A167" s="13"/>
      <c r="B167" s="13"/>
      <c r="C167" s="13"/>
      <c r="D167" s="13"/>
      <c r="E167" s="13"/>
      <c r="F167" s="13"/>
      <c r="G167" s="13"/>
      <c r="H167" s="13"/>
      <c r="I167" s="13"/>
      <c r="J167" s="13"/>
      <c r="K167" s="13"/>
      <c r="L167" s="13"/>
      <c r="M167" s="13"/>
      <c r="N167" s="13"/>
      <c r="O167" s="13"/>
      <c r="P167" s="13"/>
      <c r="Q167" s="13"/>
      <c r="R167" s="13"/>
    </row>
    <row r="168" spans="1:18" x14ac:dyDescent="0.35">
      <c r="A168" s="13"/>
      <c r="B168" s="13"/>
      <c r="C168" s="13"/>
      <c r="D168" s="13"/>
      <c r="E168" s="13"/>
      <c r="F168" s="13"/>
      <c r="G168" s="13"/>
      <c r="H168" s="13"/>
      <c r="I168" s="13"/>
      <c r="J168" s="13"/>
      <c r="K168" s="13"/>
      <c r="L168" s="13"/>
      <c r="M168" s="13"/>
      <c r="N168" s="13"/>
      <c r="O168" s="13"/>
      <c r="P168" s="13"/>
      <c r="Q168" s="13"/>
      <c r="R168" s="13"/>
    </row>
    <row r="169" spans="1:18" x14ac:dyDescent="0.35">
      <c r="A169" s="13"/>
      <c r="B169" s="13"/>
      <c r="C169" s="13"/>
      <c r="D169" s="13"/>
      <c r="E169" s="13"/>
      <c r="F169" s="13"/>
      <c r="G169" s="13"/>
      <c r="H169" s="13"/>
      <c r="I169" s="13"/>
      <c r="J169" s="13"/>
      <c r="K169" s="13"/>
      <c r="L169" s="13"/>
      <c r="M169" s="13"/>
      <c r="N169" s="13"/>
      <c r="O169" s="13"/>
      <c r="P169" s="13"/>
      <c r="Q169" s="13"/>
      <c r="R169" s="13"/>
    </row>
    <row r="170" spans="1:18" x14ac:dyDescent="0.35">
      <c r="A170" s="13"/>
      <c r="B170" s="13"/>
      <c r="C170" s="13"/>
      <c r="D170" s="13"/>
      <c r="E170" s="13"/>
      <c r="F170" s="13"/>
      <c r="G170" s="13"/>
      <c r="H170" s="13"/>
      <c r="I170" s="13"/>
      <c r="J170" s="13"/>
      <c r="K170" s="13"/>
      <c r="L170" s="13"/>
      <c r="M170" s="13"/>
      <c r="N170" s="13"/>
      <c r="O170" s="13"/>
      <c r="P170" s="13"/>
      <c r="Q170" s="13"/>
      <c r="R170" s="13"/>
    </row>
    <row r="171" spans="1:18" x14ac:dyDescent="0.35">
      <c r="A171" s="13"/>
      <c r="B171" s="13"/>
      <c r="C171" s="13"/>
      <c r="D171" s="13"/>
      <c r="E171" s="13"/>
      <c r="F171" s="13"/>
      <c r="G171" s="13"/>
      <c r="H171" s="13"/>
      <c r="I171" s="13"/>
      <c r="J171" s="13"/>
      <c r="K171" s="13"/>
      <c r="L171" s="13"/>
      <c r="M171" s="13"/>
      <c r="N171" s="13"/>
      <c r="O171" s="13"/>
      <c r="P171" s="13"/>
      <c r="Q171" s="13"/>
      <c r="R171" s="13"/>
    </row>
    <row r="172" spans="1:18" x14ac:dyDescent="0.35">
      <c r="A172" s="13"/>
      <c r="B172" s="13"/>
      <c r="C172" s="13"/>
      <c r="D172" s="13"/>
      <c r="E172" s="13"/>
      <c r="F172" s="13"/>
      <c r="G172" s="13"/>
      <c r="H172" s="13"/>
      <c r="I172" s="13"/>
      <c r="J172" s="13"/>
      <c r="K172" s="13"/>
      <c r="L172" s="13"/>
      <c r="M172" s="13"/>
      <c r="N172" s="13"/>
      <c r="O172" s="13"/>
      <c r="P172" s="13"/>
      <c r="Q172" s="13"/>
      <c r="R172" s="13"/>
    </row>
    <row r="173" spans="1:18" x14ac:dyDescent="0.35">
      <c r="A173" s="13"/>
      <c r="B173" s="13"/>
      <c r="C173" s="13"/>
      <c r="D173" s="13"/>
      <c r="E173" s="13"/>
      <c r="F173" s="13"/>
      <c r="G173" s="13"/>
      <c r="H173" s="13"/>
      <c r="I173" s="13"/>
      <c r="J173" s="13"/>
      <c r="K173" s="13"/>
      <c r="L173" s="13"/>
      <c r="M173" s="13"/>
      <c r="N173" s="13"/>
      <c r="O173" s="13"/>
      <c r="P173" s="13"/>
      <c r="Q173" s="13"/>
      <c r="R173" s="13"/>
    </row>
    <row r="174" spans="1:18" x14ac:dyDescent="0.35">
      <c r="A174" s="13"/>
      <c r="B174" s="13"/>
      <c r="C174" s="13"/>
      <c r="D174" s="13"/>
      <c r="E174" s="13"/>
      <c r="F174" s="13"/>
      <c r="G174" s="13"/>
      <c r="H174" s="13"/>
      <c r="I174" s="13"/>
      <c r="J174" s="13"/>
      <c r="K174" s="13"/>
      <c r="L174" s="13"/>
      <c r="M174" s="13"/>
      <c r="N174" s="13"/>
      <c r="O174" s="13"/>
      <c r="P174" s="13"/>
      <c r="Q174" s="13"/>
      <c r="R174" s="13"/>
    </row>
    <row r="175" spans="1:18" x14ac:dyDescent="0.35">
      <c r="A175" s="13"/>
      <c r="B175" s="13"/>
      <c r="C175" s="13"/>
      <c r="D175" s="13"/>
      <c r="E175" s="13"/>
      <c r="F175" s="13"/>
      <c r="G175" s="13"/>
      <c r="H175" s="13"/>
      <c r="I175" s="13"/>
      <c r="J175" s="13"/>
      <c r="K175" s="13"/>
      <c r="L175" s="13"/>
      <c r="M175" s="13"/>
      <c r="N175" s="13"/>
      <c r="O175" s="13"/>
      <c r="P175" s="13"/>
      <c r="Q175" s="13"/>
      <c r="R175" s="13"/>
    </row>
    <row r="176" spans="1:18" x14ac:dyDescent="0.35">
      <c r="A176" s="13"/>
      <c r="B176" s="13"/>
      <c r="C176" s="13"/>
      <c r="D176" s="13"/>
      <c r="E176" s="13"/>
      <c r="F176" s="13"/>
      <c r="G176" s="13"/>
      <c r="H176" s="13"/>
      <c r="I176" s="13"/>
      <c r="J176" s="13"/>
      <c r="K176" s="13"/>
      <c r="L176" s="13"/>
      <c r="M176" s="13"/>
      <c r="N176" s="13"/>
      <c r="O176" s="13"/>
      <c r="P176" s="13"/>
      <c r="Q176" s="13"/>
      <c r="R176" s="13"/>
    </row>
    <row r="177" spans="1:18" x14ac:dyDescent="0.35">
      <c r="A177" s="13"/>
      <c r="B177" s="13"/>
      <c r="C177" s="13"/>
      <c r="D177" s="13"/>
      <c r="E177" s="13"/>
      <c r="F177" s="13"/>
      <c r="G177" s="13"/>
      <c r="H177" s="13"/>
      <c r="I177" s="13"/>
      <c r="J177" s="13"/>
      <c r="K177" s="13"/>
      <c r="L177" s="13"/>
      <c r="M177" s="13"/>
      <c r="N177" s="13"/>
      <c r="O177" s="13"/>
      <c r="P177" s="13"/>
      <c r="Q177" s="13"/>
      <c r="R177" s="13"/>
    </row>
    <row r="178" spans="1:18" x14ac:dyDescent="0.35">
      <c r="A178" s="13"/>
      <c r="B178" s="13"/>
      <c r="C178" s="13"/>
      <c r="D178" s="13"/>
      <c r="E178" s="13"/>
      <c r="F178" s="13"/>
      <c r="G178" s="13"/>
      <c r="H178" s="13"/>
      <c r="I178" s="13"/>
      <c r="J178" s="13"/>
      <c r="K178" s="13"/>
      <c r="L178" s="13"/>
      <c r="M178" s="13"/>
      <c r="N178" s="13"/>
      <c r="O178" s="13"/>
      <c r="P178" s="13"/>
      <c r="Q178" s="13"/>
      <c r="R178" s="13"/>
    </row>
    <row r="179" spans="1:18" x14ac:dyDescent="0.35">
      <c r="A179" s="13"/>
      <c r="B179" s="13"/>
      <c r="C179" s="13"/>
      <c r="D179" s="13"/>
      <c r="E179" s="13"/>
      <c r="F179" s="13"/>
      <c r="G179" s="13"/>
      <c r="H179" s="13"/>
      <c r="I179" s="13"/>
      <c r="J179" s="13"/>
      <c r="K179" s="13"/>
      <c r="L179" s="13"/>
      <c r="M179" s="13"/>
      <c r="N179" s="13"/>
      <c r="O179" s="13"/>
      <c r="P179" s="13"/>
      <c r="Q179" s="13"/>
      <c r="R179" s="13"/>
    </row>
    <row r="180" spans="1:18" x14ac:dyDescent="0.35">
      <c r="A180" s="13"/>
      <c r="B180" s="13"/>
      <c r="C180" s="13"/>
      <c r="D180" s="13"/>
      <c r="E180" s="13"/>
      <c r="F180" s="13"/>
      <c r="G180" s="13"/>
      <c r="H180" s="13"/>
      <c r="I180" s="13"/>
      <c r="J180" s="13"/>
      <c r="K180" s="13"/>
      <c r="L180" s="13"/>
      <c r="M180" s="13"/>
      <c r="N180" s="13"/>
      <c r="O180" s="13"/>
      <c r="P180" s="13"/>
      <c r="Q180" s="13"/>
      <c r="R180" s="13"/>
    </row>
    <row r="181" spans="1:18" x14ac:dyDescent="0.35">
      <c r="A181" s="13"/>
      <c r="B181" s="13"/>
      <c r="C181" s="13"/>
      <c r="D181" s="13"/>
      <c r="E181" s="13"/>
      <c r="F181" s="13"/>
      <c r="G181" s="13"/>
      <c r="H181" s="13"/>
      <c r="I181" s="13"/>
      <c r="J181" s="13"/>
      <c r="K181" s="13"/>
      <c r="L181" s="13"/>
      <c r="M181" s="13"/>
      <c r="N181" s="13"/>
      <c r="O181" s="13"/>
      <c r="P181" s="13"/>
      <c r="Q181" s="13"/>
      <c r="R181" s="13"/>
    </row>
    <row r="182" spans="1:18" x14ac:dyDescent="0.35">
      <c r="A182" s="13"/>
      <c r="B182" s="13"/>
      <c r="C182" s="13"/>
      <c r="D182" s="13"/>
      <c r="E182" s="13"/>
      <c r="F182" s="13"/>
      <c r="G182" s="13"/>
      <c r="H182" s="13"/>
      <c r="I182" s="13"/>
      <c r="J182" s="13"/>
      <c r="K182" s="13"/>
      <c r="L182" s="13"/>
      <c r="M182" s="13"/>
      <c r="N182" s="13"/>
      <c r="O182" s="13"/>
      <c r="P182" s="13"/>
      <c r="Q182" s="13"/>
      <c r="R182" s="13"/>
    </row>
    <row r="183" spans="1:18" x14ac:dyDescent="0.35">
      <c r="A183" s="13"/>
      <c r="B183" s="13"/>
      <c r="C183" s="13"/>
      <c r="D183" s="13"/>
      <c r="E183" s="13"/>
      <c r="F183" s="13"/>
      <c r="G183" s="13"/>
      <c r="H183" s="13"/>
      <c r="I183" s="13"/>
      <c r="J183" s="13"/>
      <c r="K183" s="13"/>
      <c r="L183" s="13"/>
      <c r="M183" s="13"/>
      <c r="N183" s="13"/>
      <c r="O183" s="13"/>
      <c r="P183" s="13"/>
      <c r="Q183" s="13"/>
      <c r="R183" s="13"/>
    </row>
    <row r="184" spans="1:18" x14ac:dyDescent="0.35">
      <c r="A184" s="13"/>
      <c r="B184" s="13"/>
      <c r="C184" s="13"/>
      <c r="D184" s="13"/>
      <c r="E184" s="13"/>
      <c r="F184" s="13"/>
      <c r="G184" s="13"/>
      <c r="H184" s="13"/>
      <c r="I184" s="13"/>
      <c r="J184" s="13"/>
      <c r="K184" s="13"/>
      <c r="L184" s="13"/>
      <c r="M184" s="13"/>
      <c r="N184" s="13"/>
      <c r="O184" s="13"/>
      <c r="P184" s="13"/>
      <c r="Q184" s="13"/>
      <c r="R184" s="13"/>
    </row>
    <row r="185" spans="1:18" x14ac:dyDescent="0.35">
      <c r="A185" s="13"/>
      <c r="B185" s="13"/>
      <c r="C185" s="13"/>
      <c r="D185" s="13"/>
      <c r="E185" s="13"/>
      <c r="F185" s="13"/>
      <c r="G185" s="13"/>
      <c r="H185" s="13"/>
      <c r="I185" s="13"/>
      <c r="J185" s="13"/>
      <c r="K185" s="13"/>
      <c r="L185" s="13"/>
      <c r="M185" s="13"/>
      <c r="N185" s="13"/>
      <c r="O185" s="13"/>
      <c r="P185" s="13"/>
      <c r="Q185" s="13"/>
      <c r="R185" s="13"/>
    </row>
    <row r="186" spans="1:18" x14ac:dyDescent="0.35">
      <c r="A186" s="13"/>
      <c r="B186" s="13"/>
      <c r="C186" s="13"/>
      <c r="D186" s="13"/>
      <c r="E186" s="13"/>
      <c r="F186" s="13"/>
      <c r="G186" s="13"/>
      <c r="H186" s="13"/>
      <c r="I186" s="13"/>
      <c r="J186" s="13"/>
      <c r="K186" s="13"/>
      <c r="L186" s="13"/>
      <c r="M186" s="13"/>
      <c r="N186" s="13"/>
      <c r="O186" s="13"/>
      <c r="P186" s="13"/>
      <c r="Q186" s="13"/>
      <c r="R186" s="13"/>
    </row>
    <row r="187" spans="1:18" x14ac:dyDescent="0.35">
      <c r="A187" s="13"/>
      <c r="B187" s="13"/>
      <c r="C187" s="13"/>
      <c r="D187" s="13"/>
      <c r="E187" s="13"/>
      <c r="F187" s="13"/>
      <c r="G187" s="13"/>
      <c r="H187" s="13"/>
      <c r="I187" s="13"/>
      <c r="J187" s="13"/>
      <c r="K187" s="13"/>
      <c r="L187" s="13"/>
      <c r="M187" s="13"/>
      <c r="N187" s="13"/>
      <c r="O187" s="13"/>
      <c r="P187" s="13"/>
      <c r="Q187" s="13"/>
      <c r="R187" s="13"/>
    </row>
    <row r="188" spans="1:18" x14ac:dyDescent="0.35">
      <c r="A188" s="13"/>
      <c r="B188" s="13"/>
      <c r="C188" s="13"/>
      <c r="D188" s="13"/>
      <c r="E188" s="13"/>
      <c r="F188" s="13"/>
      <c r="G188" s="13"/>
      <c r="H188" s="13"/>
      <c r="I188" s="13"/>
      <c r="J188" s="13"/>
      <c r="K188" s="13"/>
      <c r="L188" s="13"/>
      <c r="M188" s="13"/>
      <c r="N188" s="13"/>
      <c r="O188" s="13"/>
      <c r="P188" s="13"/>
      <c r="Q188" s="13"/>
      <c r="R188" s="13"/>
    </row>
    <row r="189" spans="1:18" x14ac:dyDescent="0.35">
      <c r="A189" s="13"/>
      <c r="B189" s="13"/>
      <c r="C189" s="13"/>
      <c r="D189" s="13"/>
      <c r="E189" s="13"/>
      <c r="F189" s="13"/>
      <c r="G189" s="13"/>
      <c r="H189" s="13"/>
      <c r="I189" s="13"/>
      <c r="J189" s="13"/>
      <c r="K189" s="13"/>
      <c r="L189" s="13"/>
      <c r="M189" s="13"/>
      <c r="N189" s="13"/>
      <c r="O189" s="13"/>
      <c r="P189" s="13"/>
      <c r="Q189" s="13"/>
      <c r="R189" s="13"/>
    </row>
    <row r="190" spans="1:18" x14ac:dyDescent="0.35">
      <c r="A190" s="13"/>
      <c r="B190" s="13"/>
      <c r="C190" s="13"/>
      <c r="D190" s="13"/>
      <c r="E190" s="13"/>
      <c r="F190" s="13"/>
      <c r="G190" s="13"/>
      <c r="H190" s="13"/>
      <c r="I190" s="13"/>
      <c r="J190" s="13"/>
      <c r="K190" s="13"/>
      <c r="L190" s="13"/>
      <c r="M190" s="13"/>
      <c r="N190" s="13"/>
      <c r="O190" s="13"/>
      <c r="P190" s="13"/>
      <c r="Q190" s="13"/>
      <c r="R190" s="13"/>
    </row>
    <row r="191" spans="1:18" x14ac:dyDescent="0.35">
      <c r="A191" s="13"/>
      <c r="B191" s="13"/>
      <c r="C191" s="13"/>
      <c r="D191" s="13"/>
      <c r="E191" s="13"/>
      <c r="F191" s="13"/>
      <c r="G191" s="13"/>
      <c r="H191" s="13"/>
      <c r="I191" s="13"/>
      <c r="J191" s="13"/>
      <c r="K191" s="13"/>
      <c r="L191" s="13"/>
      <c r="M191" s="13"/>
      <c r="N191" s="13"/>
      <c r="O191" s="13"/>
      <c r="P191" s="13"/>
      <c r="Q191" s="13"/>
      <c r="R191" s="13"/>
    </row>
    <row r="192" spans="1:18" x14ac:dyDescent="0.35">
      <c r="A192" s="13"/>
      <c r="B192" s="13"/>
      <c r="C192" s="13"/>
      <c r="D192" s="13"/>
      <c r="E192" s="13"/>
      <c r="F192" s="13"/>
      <c r="G192" s="13"/>
      <c r="H192" s="13"/>
      <c r="I192" s="13"/>
      <c r="J192" s="13"/>
      <c r="K192" s="13"/>
      <c r="L192" s="13"/>
      <c r="M192" s="13"/>
      <c r="N192" s="13"/>
      <c r="O192" s="13"/>
      <c r="P192" s="13"/>
      <c r="Q192" s="13"/>
      <c r="R192" s="13"/>
    </row>
    <row r="193" spans="1:18" x14ac:dyDescent="0.35">
      <c r="A193" s="13"/>
      <c r="B193" s="13"/>
      <c r="C193" s="13"/>
      <c r="D193" s="13"/>
      <c r="E193" s="13"/>
      <c r="F193" s="13"/>
      <c r="G193" s="13"/>
      <c r="H193" s="13"/>
      <c r="I193" s="13"/>
      <c r="J193" s="13"/>
      <c r="K193" s="13"/>
      <c r="L193" s="13"/>
      <c r="M193" s="13"/>
      <c r="N193" s="13"/>
      <c r="O193" s="13"/>
      <c r="P193" s="13"/>
      <c r="Q193" s="13"/>
      <c r="R193" s="13"/>
    </row>
    <row r="194" spans="1:18" x14ac:dyDescent="0.35">
      <c r="A194" s="13"/>
      <c r="B194" s="13"/>
      <c r="C194" s="13"/>
      <c r="D194" s="13"/>
      <c r="E194" s="13"/>
      <c r="F194" s="13"/>
      <c r="G194" s="13"/>
      <c r="H194" s="13"/>
      <c r="I194" s="13"/>
      <c r="J194" s="13"/>
      <c r="K194" s="13"/>
      <c r="L194" s="13"/>
      <c r="M194" s="13"/>
      <c r="N194" s="13"/>
      <c r="O194" s="13"/>
      <c r="P194" s="13"/>
      <c r="Q194" s="13"/>
      <c r="R194" s="13"/>
    </row>
    <row r="195" spans="1:18" x14ac:dyDescent="0.35">
      <c r="A195" s="13"/>
      <c r="B195" s="13"/>
      <c r="C195" s="13"/>
      <c r="D195" s="13"/>
      <c r="E195" s="13"/>
      <c r="F195" s="13"/>
      <c r="G195" s="13"/>
      <c r="H195" s="13"/>
      <c r="I195" s="13"/>
      <c r="J195" s="13"/>
      <c r="K195" s="13"/>
      <c r="L195" s="13"/>
      <c r="M195" s="13"/>
      <c r="N195" s="13"/>
      <c r="O195" s="13"/>
      <c r="P195" s="13"/>
      <c r="Q195" s="13"/>
      <c r="R195" s="13"/>
    </row>
    <row r="196" spans="1:18" x14ac:dyDescent="0.35">
      <c r="A196" s="13"/>
      <c r="B196" s="13"/>
      <c r="C196" s="13"/>
      <c r="D196" s="13"/>
      <c r="E196" s="13"/>
      <c r="F196" s="13"/>
      <c r="G196" s="13"/>
      <c r="H196" s="13"/>
      <c r="I196" s="13"/>
      <c r="J196" s="13"/>
      <c r="K196" s="13"/>
      <c r="L196" s="13"/>
      <c r="M196" s="13"/>
      <c r="N196" s="13"/>
      <c r="O196" s="13"/>
      <c r="P196" s="13"/>
      <c r="Q196" s="13"/>
      <c r="R196" s="13"/>
    </row>
    <row r="197" spans="1:18" x14ac:dyDescent="0.35">
      <c r="A197" s="13"/>
      <c r="B197" s="13"/>
      <c r="C197" s="13"/>
      <c r="D197" s="13"/>
      <c r="E197" s="13"/>
      <c r="F197" s="13"/>
      <c r="G197" s="13"/>
      <c r="H197" s="13"/>
      <c r="I197" s="13"/>
      <c r="J197" s="13"/>
      <c r="K197" s="13"/>
      <c r="L197" s="13"/>
      <c r="M197" s="13"/>
      <c r="N197" s="13"/>
      <c r="O197" s="13"/>
      <c r="P197" s="13"/>
      <c r="Q197" s="13"/>
      <c r="R197" s="13"/>
    </row>
    <row r="198" spans="1:18" x14ac:dyDescent="0.35">
      <c r="A198" s="13"/>
      <c r="B198" s="13"/>
      <c r="C198" s="13"/>
      <c r="D198" s="13"/>
      <c r="E198" s="13"/>
      <c r="F198" s="13"/>
      <c r="G198" s="13"/>
      <c r="H198" s="13"/>
      <c r="I198" s="13"/>
      <c r="J198" s="13"/>
      <c r="K198" s="13"/>
      <c r="L198" s="13"/>
      <c r="M198" s="13"/>
      <c r="N198" s="13"/>
      <c r="O198" s="13"/>
      <c r="P198" s="13"/>
      <c r="Q198" s="13"/>
      <c r="R198" s="13"/>
    </row>
    <row r="199" spans="1:18" x14ac:dyDescent="0.35">
      <c r="A199" s="13"/>
      <c r="B199" s="13"/>
      <c r="C199" s="13"/>
      <c r="D199" s="13"/>
      <c r="E199" s="13"/>
      <c r="F199" s="13"/>
      <c r="G199" s="13"/>
      <c r="H199" s="13"/>
      <c r="I199" s="13"/>
      <c r="J199" s="13"/>
      <c r="K199" s="13"/>
      <c r="L199" s="13"/>
      <c r="M199" s="13"/>
      <c r="N199" s="13"/>
      <c r="O199" s="13"/>
      <c r="P199" s="13"/>
      <c r="Q199" s="13"/>
      <c r="R199" s="13"/>
    </row>
    <row r="200" spans="1:18" x14ac:dyDescent="0.35">
      <c r="A200" s="13"/>
      <c r="B200" s="13"/>
      <c r="C200" s="13"/>
      <c r="D200" s="13"/>
      <c r="E200" s="13"/>
      <c r="F200" s="13"/>
      <c r="G200" s="13"/>
      <c r="H200" s="13"/>
      <c r="I200" s="13"/>
      <c r="J200" s="13"/>
      <c r="K200" s="13"/>
      <c r="L200" s="13"/>
      <c r="M200" s="13"/>
      <c r="N200" s="13"/>
      <c r="O200" s="13"/>
      <c r="P200" s="13"/>
      <c r="Q200" s="13"/>
      <c r="R200" s="13"/>
    </row>
    <row r="201" spans="1:18" x14ac:dyDescent="0.35">
      <c r="A201" s="13"/>
      <c r="B201" s="13"/>
      <c r="C201" s="13"/>
      <c r="D201" s="13"/>
      <c r="E201" s="13"/>
      <c r="F201" s="13"/>
      <c r="G201" s="13"/>
      <c r="H201" s="13"/>
      <c r="I201" s="13"/>
      <c r="J201" s="13"/>
      <c r="K201" s="13"/>
      <c r="L201" s="13"/>
      <c r="M201" s="13"/>
      <c r="N201" s="13"/>
      <c r="O201" s="13"/>
      <c r="P201" s="13"/>
      <c r="Q201" s="13"/>
      <c r="R201" s="13"/>
    </row>
    <row r="202" spans="1:18" x14ac:dyDescent="0.35">
      <c r="A202" s="13"/>
      <c r="B202" s="13"/>
      <c r="C202" s="13"/>
      <c r="D202" s="13"/>
      <c r="E202" s="13"/>
      <c r="F202" s="13"/>
      <c r="G202" s="13"/>
      <c r="H202" s="13"/>
      <c r="I202" s="13"/>
      <c r="J202" s="13"/>
      <c r="K202" s="13"/>
      <c r="L202" s="13"/>
      <c r="M202" s="13"/>
      <c r="N202" s="13"/>
      <c r="O202" s="13"/>
      <c r="P202" s="13"/>
      <c r="Q202" s="13"/>
      <c r="R202" s="13"/>
    </row>
    <row r="203" spans="1:18" x14ac:dyDescent="0.35">
      <c r="A203" s="13"/>
      <c r="B203" s="13"/>
      <c r="C203" s="13"/>
      <c r="D203" s="13"/>
      <c r="E203" s="13"/>
      <c r="F203" s="13"/>
      <c r="G203" s="13"/>
      <c r="H203" s="13"/>
      <c r="I203" s="13"/>
      <c r="J203" s="13"/>
      <c r="K203" s="13"/>
      <c r="L203" s="13"/>
      <c r="M203" s="13"/>
      <c r="N203" s="13"/>
      <c r="O203" s="13"/>
      <c r="P203" s="13"/>
      <c r="Q203" s="13"/>
      <c r="R203" s="13"/>
    </row>
    <row r="204" spans="1:18" x14ac:dyDescent="0.35">
      <c r="A204" s="13"/>
      <c r="B204" s="13"/>
      <c r="C204" s="13"/>
      <c r="D204" s="13"/>
      <c r="E204" s="13"/>
      <c r="F204" s="13"/>
      <c r="G204" s="13"/>
      <c r="H204" s="13"/>
      <c r="I204" s="13"/>
      <c r="J204" s="13"/>
      <c r="K204" s="13"/>
      <c r="L204" s="13"/>
      <c r="M204" s="13"/>
      <c r="N204" s="13"/>
      <c r="O204" s="13"/>
      <c r="P204" s="13"/>
      <c r="Q204" s="13"/>
      <c r="R204" s="13"/>
    </row>
    <row r="205" spans="1:18" x14ac:dyDescent="0.35">
      <c r="A205" s="13"/>
      <c r="B205" s="13"/>
      <c r="C205" s="13"/>
      <c r="D205" s="13"/>
      <c r="E205" s="13"/>
      <c r="F205" s="13"/>
      <c r="G205" s="13"/>
      <c r="H205" s="13"/>
      <c r="I205" s="13"/>
      <c r="J205" s="13"/>
      <c r="K205" s="13"/>
      <c r="L205" s="13"/>
      <c r="M205" s="13"/>
      <c r="N205" s="13"/>
      <c r="O205" s="13"/>
      <c r="P205" s="13"/>
      <c r="Q205" s="13"/>
      <c r="R205" s="13"/>
    </row>
    <row r="206" spans="1:18" x14ac:dyDescent="0.35">
      <c r="A206" s="13"/>
      <c r="B206" s="13"/>
      <c r="C206" s="13"/>
      <c r="D206" s="13"/>
      <c r="E206" s="13"/>
      <c r="F206" s="13"/>
      <c r="G206" s="13"/>
      <c r="H206" s="13"/>
      <c r="I206" s="13"/>
      <c r="J206" s="13"/>
      <c r="K206" s="13"/>
      <c r="L206" s="13"/>
      <c r="M206" s="13"/>
      <c r="N206" s="13"/>
      <c r="O206" s="13"/>
      <c r="P206" s="13"/>
      <c r="Q206" s="13"/>
      <c r="R206" s="13"/>
    </row>
    <row r="207" spans="1:18" x14ac:dyDescent="0.35">
      <c r="A207" s="13"/>
      <c r="B207" s="13"/>
      <c r="C207" s="13"/>
      <c r="D207" s="13"/>
      <c r="E207" s="13"/>
      <c r="F207" s="13"/>
      <c r="G207" s="13"/>
      <c r="H207" s="13"/>
      <c r="I207" s="13"/>
      <c r="J207" s="13"/>
      <c r="K207" s="13"/>
      <c r="L207" s="13"/>
      <c r="M207" s="13"/>
      <c r="N207" s="13"/>
      <c r="O207" s="13"/>
      <c r="P207" s="13"/>
      <c r="Q207" s="13"/>
      <c r="R207" s="13"/>
    </row>
    <row r="208" spans="1:18" x14ac:dyDescent="0.35">
      <c r="A208" s="13"/>
      <c r="B208" s="13"/>
      <c r="C208" s="13"/>
      <c r="D208" s="13"/>
      <c r="E208" s="13"/>
      <c r="F208" s="13"/>
      <c r="G208" s="13"/>
      <c r="H208" s="13"/>
      <c r="I208" s="13"/>
      <c r="J208" s="13"/>
      <c r="K208" s="13"/>
      <c r="L208" s="13"/>
      <c r="M208" s="13"/>
      <c r="N208" s="13"/>
      <c r="O208" s="13"/>
      <c r="P208" s="13"/>
      <c r="Q208" s="13"/>
      <c r="R208" s="13"/>
    </row>
    <row r="209" spans="1:18" x14ac:dyDescent="0.35">
      <c r="A209" s="13"/>
      <c r="B209" s="13"/>
      <c r="C209" s="13"/>
      <c r="D209" s="13"/>
      <c r="E209" s="13"/>
      <c r="F209" s="13"/>
      <c r="G209" s="13"/>
      <c r="H209" s="13"/>
      <c r="I209" s="13"/>
      <c r="J209" s="13"/>
      <c r="K209" s="13"/>
      <c r="L209" s="13"/>
      <c r="M209" s="13"/>
      <c r="N209" s="13"/>
      <c r="O209" s="13"/>
      <c r="P209" s="13"/>
      <c r="Q209" s="13"/>
      <c r="R209" s="13"/>
    </row>
    <row r="210" spans="1:18" x14ac:dyDescent="0.35">
      <c r="A210" s="13"/>
      <c r="B210" s="13"/>
      <c r="C210" s="13"/>
      <c r="D210" s="13"/>
      <c r="E210" s="13"/>
      <c r="F210" s="13"/>
      <c r="G210" s="13"/>
      <c r="H210" s="13"/>
      <c r="I210" s="13"/>
      <c r="J210" s="13"/>
      <c r="K210" s="13"/>
      <c r="L210" s="13"/>
      <c r="M210" s="13"/>
      <c r="N210" s="13"/>
      <c r="O210" s="13"/>
      <c r="P210" s="13"/>
      <c r="Q210" s="13"/>
      <c r="R210" s="13"/>
    </row>
    <row r="211" spans="1:18" x14ac:dyDescent="0.35">
      <c r="A211" s="13"/>
      <c r="B211" s="13"/>
      <c r="C211" s="13"/>
      <c r="D211" s="13"/>
      <c r="E211" s="13"/>
      <c r="F211" s="13"/>
      <c r="G211" s="13"/>
      <c r="H211" s="13"/>
      <c r="I211" s="13"/>
      <c r="J211" s="13"/>
      <c r="K211" s="13"/>
      <c r="L211" s="13"/>
      <c r="M211" s="13"/>
      <c r="N211" s="13"/>
      <c r="O211" s="13"/>
      <c r="P211" s="13"/>
      <c r="Q211" s="13"/>
      <c r="R211" s="13"/>
    </row>
    <row r="212" spans="1:18" x14ac:dyDescent="0.35">
      <c r="A212" s="13"/>
      <c r="B212" s="13"/>
      <c r="C212" s="13"/>
      <c r="D212" s="13"/>
      <c r="E212" s="13"/>
      <c r="F212" s="13"/>
      <c r="G212" s="13"/>
      <c r="H212" s="13"/>
      <c r="I212" s="13"/>
      <c r="J212" s="13"/>
      <c r="K212" s="13"/>
      <c r="L212" s="13"/>
      <c r="M212" s="13"/>
      <c r="N212" s="13"/>
      <c r="O212" s="13"/>
      <c r="P212" s="13"/>
      <c r="Q212" s="13"/>
      <c r="R212" s="13"/>
    </row>
    <row r="213" spans="1:18" x14ac:dyDescent="0.35">
      <c r="A213" s="13"/>
      <c r="B213" s="13"/>
      <c r="C213" s="13"/>
      <c r="D213" s="13"/>
      <c r="E213" s="13"/>
      <c r="F213" s="13"/>
      <c r="G213" s="13"/>
      <c r="H213" s="13"/>
      <c r="I213" s="13"/>
      <c r="J213" s="13"/>
      <c r="K213" s="13"/>
      <c r="L213" s="13"/>
      <c r="M213" s="13"/>
      <c r="N213" s="13"/>
      <c r="O213" s="13"/>
      <c r="P213" s="13"/>
      <c r="Q213" s="13"/>
      <c r="R213" s="13"/>
    </row>
    <row r="214" spans="1:18" x14ac:dyDescent="0.35">
      <c r="A214" s="13"/>
      <c r="B214" s="13"/>
      <c r="C214" s="13"/>
      <c r="D214" s="13"/>
      <c r="E214" s="13"/>
      <c r="F214" s="13"/>
      <c r="G214" s="13"/>
      <c r="H214" s="13"/>
      <c r="I214" s="13"/>
      <c r="J214" s="13"/>
      <c r="K214" s="13"/>
      <c r="L214" s="13"/>
      <c r="M214" s="13"/>
      <c r="N214" s="13"/>
      <c r="O214" s="13"/>
      <c r="P214" s="13"/>
      <c r="Q214" s="13"/>
      <c r="R214" s="13"/>
    </row>
    <row r="215" spans="1:18" x14ac:dyDescent="0.35">
      <c r="A215" s="13"/>
      <c r="B215" s="13"/>
      <c r="C215" s="13"/>
      <c r="D215" s="13"/>
      <c r="E215" s="13"/>
      <c r="F215" s="13"/>
      <c r="G215" s="13"/>
      <c r="H215" s="13"/>
      <c r="I215" s="13"/>
      <c r="J215" s="13"/>
      <c r="K215" s="13"/>
      <c r="L215" s="13"/>
      <c r="M215" s="13"/>
      <c r="N215" s="13"/>
      <c r="O215" s="13"/>
      <c r="P215" s="13"/>
      <c r="Q215" s="13"/>
      <c r="R215" s="13"/>
    </row>
    <row r="216" spans="1:18" x14ac:dyDescent="0.35">
      <c r="A216" s="13"/>
      <c r="B216" s="13"/>
      <c r="C216" s="13"/>
      <c r="D216" s="13"/>
      <c r="E216" s="13"/>
      <c r="F216" s="13"/>
      <c r="G216" s="13"/>
      <c r="H216" s="13"/>
      <c r="I216" s="13"/>
      <c r="J216" s="13"/>
      <c r="K216" s="13"/>
      <c r="L216" s="13"/>
      <c r="M216" s="13"/>
      <c r="N216" s="13"/>
      <c r="O216" s="13"/>
      <c r="P216" s="13"/>
      <c r="Q216" s="13"/>
      <c r="R216" s="13"/>
    </row>
    <row r="217" spans="1:18" x14ac:dyDescent="0.35">
      <c r="A217" s="13"/>
      <c r="B217" s="13"/>
      <c r="C217" s="13"/>
      <c r="D217" s="13"/>
      <c r="E217" s="13"/>
      <c r="F217" s="13"/>
      <c r="G217" s="13"/>
      <c r="H217" s="13"/>
      <c r="I217" s="13"/>
      <c r="J217" s="13"/>
      <c r="K217" s="13"/>
      <c r="L217" s="13"/>
      <c r="M217" s="13"/>
      <c r="N217" s="13"/>
      <c r="O217" s="13"/>
      <c r="P217" s="13"/>
      <c r="Q217" s="13"/>
      <c r="R217" s="13"/>
    </row>
    <row r="218" spans="1:18" x14ac:dyDescent="0.35">
      <c r="A218" s="13"/>
      <c r="B218" s="13"/>
      <c r="C218" s="13"/>
      <c r="D218" s="13"/>
      <c r="E218" s="13"/>
      <c r="F218" s="13"/>
      <c r="G218" s="13"/>
      <c r="H218" s="13"/>
      <c r="I218" s="13"/>
      <c r="J218" s="13"/>
      <c r="K218" s="13"/>
      <c r="L218" s="13"/>
      <c r="M218" s="13"/>
      <c r="N218" s="13"/>
      <c r="O218" s="13"/>
      <c r="P218" s="13"/>
      <c r="Q218" s="13"/>
      <c r="R218" s="13"/>
    </row>
    <row r="219" spans="1:18" x14ac:dyDescent="0.35">
      <c r="A219" s="13"/>
      <c r="B219" s="13"/>
      <c r="C219" s="13"/>
      <c r="D219" s="13"/>
      <c r="E219" s="13"/>
      <c r="F219" s="13"/>
      <c r="G219" s="13"/>
      <c r="H219" s="13"/>
      <c r="I219" s="13"/>
      <c r="J219" s="13"/>
      <c r="K219" s="13"/>
      <c r="L219" s="13"/>
      <c r="M219" s="13"/>
      <c r="N219" s="13"/>
      <c r="O219" s="13"/>
      <c r="P219" s="13"/>
      <c r="Q219" s="13"/>
      <c r="R219" s="13"/>
    </row>
    <row r="220" spans="1:18" x14ac:dyDescent="0.35">
      <c r="A220" s="13"/>
      <c r="B220" s="13"/>
      <c r="C220" s="13"/>
      <c r="D220" s="13"/>
      <c r="E220" s="13"/>
      <c r="F220" s="13"/>
      <c r="G220" s="13"/>
      <c r="H220" s="13"/>
      <c r="I220" s="13"/>
      <c r="J220" s="13"/>
      <c r="K220" s="13"/>
      <c r="L220" s="13"/>
      <c r="M220" s="13"/>
      <c r="N220" s="13"/>
      <c r="O220" s="13"/>
      <c r="P220" s="13"/>
      <c r="Q220" s="13"/>
      <c r="R220" s="13"/>
    </row>
    <row r="221" spans="1:18" x14ac:dyDescent="0.35">
      <c r="A221" s="13"/>
      <c r="B221" s="13"/>
      <c r="C221" s="13"/>
      <c r="D221" s="13"/>
      <c r="E221" s="13"/>
      <c r="F221" s="13"/>
      <c r="G221" s="13"/>
      <c r="H221" s="13"/>
      <c r="I221" s="13"/>
      <c r="J221" s="13"/>
      <c r="K221" s="13"/>
      <c r="L221" s="13"/>
      <c r="M221" s="13"/>
      <c r="N221" s="13"/>
      <c r="O221" s="13"/>
      <c r="P221" s="13"/>
      <c r="Q221" s="13"/>
      <c r="R221" s="13"/>
    </row>
    <row r="222" spans="1:18" x14ac:dyDescent="0.35">
      <c r="A222" s="13"/>
      <c r="B222" s="13"/>
      <c r="C222" s="13"/>
      <c r="D222" s="13"/>
      <c r="E222" s="13"/>
      <c r="F222" s="13"/>
      <c r="G222" s="13"/>
      <c r="H222" s="13"/>
      <c r="I222" s="13"/>
      <c r="J222" s="13"/>
      <c r="K222" s="13"/>
      <c r="L222" s="13"/>
      <c r="M222" s="13"/>
      <c r="N222" s="13"/>
      <c r="O222" s="13"/>
      <c r="P222" s="13"/>
      <c r="Q222" s="13"/>
      <c r="R222" s="13"/>
    </row>
    <row r="223" spans="1:18" x14ac:dyDescent="0.35">
      <c r="A223" s="13"/>
      <c r="B223" s="13"/>
      <c r="C223" s="13"/>
      <c r="D223" s="13"/>
      <c r="E223" s="13"/>
      <c r="F223" s="13"/>
      <c r="G223" s="13"/>
      <c r="H223" s="13"/>
      <c r="I223" s="13"/>
      <c r="J223" s="13"/>
      <c r="K223" s="13"/>
      <c r="L223" s="13"/>
      <c r="M223" s="13"/>
      <c r="N223" s="13"/>
      <c r="O223" s="13"/>
      <c r="P223" s="13"/>
      <c r="Q223" s="13"/>
      <c r="R223" s="13"/>
    </row>
    <row r="224" spans="1:18" x14ac:dyDescent="0.35">
      <c r="A224" s="13"/>
      <c r="B224" s="13"/>
      <c r="C224" s="13"/>
      <c r="D224" s="13"/>
      <c r="E224" s="13"/>
      <c r="F224" s="13"/>
      <c r="G224" s="13"/>
      <c r="H224" s="13"/>
      <c r="I224" s="13"/>
      <c r="J224" s="13"/>
      <c r="K224" s="13"/>
      <c r="L224" s="13"/>
      <c r="M224" s="13"/>
      <c r="N224" s="13"/>
      <c r="O224" s="13"/>
      <c r="P224" s="13"/>
      <c r="Q224" s="13"/>
      <c r="R224" s="13"/>
    </row>
    <row r="225" spans="1:18" x14ac:dyDescent="0.35">
      <c r="A225" s="13"/>
      <c r="B225" s="13"/>
      <c r="C225" s="13"/>
      <c r="D225" s="13"/>
      <c r="E225" s="13"/>
      <c r="F225" s="13"/>
      <c r="G225" s="13"/>
      <c r="H225" s="13"/>
      <c r="I225" s="13"/>
      <c r="J225" s="13"/>
      <c r="K225" s="13"/>
      <c r="L225" s="13"/>
      <c r="M225" s="13"/>
      <c r="N225" s="13"/>
      <c r="O225" s="13"/>
      <c r="P225" s="13"/>
      <c r="Q225" s="13"/>
      <c r="R225" s="13"/>
    </row>
    <row r="226" spans="1:18" x14ac:dyDescent="0.35">
      <c r="A226" s="13"/>
      <c r="B226" s="13"/>
      <c r="C226" s="13"/>
      <c r="D226" s="13"/>
      <c r="E226" s="13"/>
      <c r="F226" s="13"/>
      <c r="G226" s="13"/>
      <c r="H226" s="13"/>
      <c r="I226" s="13"/>
      <c r="J226" s="13"/>
      <c r="K226" s="13"/>
      <c r="L226" s="13"/>
      <c r="M226" s="13"/>
      <c r="N226" s="13"/>
      <c r="O226" s="13"/>
      <c r="P226" s="13"/>
      <c r="Q226" s="13"/>
      <c r="R226" s="13"/>
    </row>
    <row r="227" spans="1:18" x14ac:dyDescent="0.35">
      <c r="A227" s="13"/>
      <c r="B227" s="13"/>
      <c r="C227" s="13"/>
      <c r="D227" s="13"/>
      <c r="E227" s="13"/>
      <c r="F227" s="13"/>
      <c r="G227" s="13"/>
      <c r="H227" s="13"/>
      <c r="I227" s="13"/>
      <c r="J227" s="13"/>
      <c r="K227" s="13"/>
      <c r="L227" s="13"/>
      <c r="M227" s="13"/>
      <c r="N227" s="13"/>
      <c r="O227" s="13"/>
      <c r="P227" s="13"/>
      <c r="Q227" s="13"/>
      <c r="R227" s="13"/>
    </row>
    <row r="228" spans="1:18" x14ac:dyDescent="0.35">
      <c r="A228" s="13"/>
      <c r="B228" s="13"/>
      <c r="C228" s="13"/>
      <c r="D228" s="13"/>
      <c r="E228" s="13"/>
      <c r="F228" s="13"/>
      <c r="G228" s="13"/>
      <c r="H228" s="13"/>
      <c r="I228" s="13"/>
      <c r="J228" s="13"/>
      <c r="K228" s="13"/>
      <c r="L228" s="13"/>
      <c r="M228" s="13"/>
      <c r="N228" s="13"/>
      <c r="O228" s="13"/>
      <c r="P228" s="13"/>
      <c r="Q228" s="13"/>
      <c r="R228" s="13"/>
    </row>
    <row r="229" spans="1:18" x14ac:dyDescent="0.35">
      <c r="A229" s="13"/>
      <c r="B229" s="13"/>
      <c r="C229" s="13"/>
      <c r="D229" s="13"/>
      <c r="E229" s="13"/>
      <c r="F229" s="13"/>
      <c r="G229" s="13"/>
      <c r="H229" s="13"/>
      <c r="I229" s="13"/>
      <c r="J229" s="13"/>
      <c r="K229" s="13"/>
      <c r="L229" s="13"/>
      <c r="M229" s="13"/>
      <c r="N229" s="13"/>
      <c r="O229" s="13"/>
      <c r="P229" s="13"/>
      <c r="Q229" s="13"/>
      <c r="R229" s="13"/>
    </row>
    <row r="230" spans="1:18" x14ac:dyDescent="0.35">
      <c r="A230" s="13"/>
      <c r="B230" s="13"/>
      <c r="C230" s="13"/>
      <c r="D230" s="13"/>
      <c r="E230" s="13"/>
      <c r="F230" s="13"/>
      <c r="G230" s="13"/>
      <c r="H230" s="13"/>
      <c r="I230" s="13"/>
      <c r="J230" s="13"/>
      <c r="K230" s="13"/>
      <c r="L230" s="13"/>
      <c r="M230" s="13"/>
      <c r="N230" s="13"/>
      <c r="O230" s="13"/>
      <c r="P230" s="13"/>
      <c r="Q230" s="13"/>
      <c r="R230" s="13"/>
    </row>
    <row r="231" spans="1:18" x14ac:dyDescent="0.35">
      <c r="A231" s="13"/>
      <c r="B231" s="13"/>
      <c r="C231" s="13"/>
      <c r="D231" s="13"/>
      <c r="E231" s="13"/>
      <c r="F231" s="13"/>
      <c r="G231" s="13"/>
      <c r="H231" s="13"/>
      <c r="I231" s="13"/>
      <c r="J231" s="13"/>
      <c r="K231" s="13"/>
      <c r="L231" s="13"/>
      <c r="M231" s="13"/>
      <c r="N231" s="13"/>
      <c r="O231" s="13"/>
      <c r="P231" s="13"/>
      <c r="Q231" s="13"/>
      <c r="R231" s="13"/>
    </row>
    <row r="232" spans="1:18" x14ac:dyDescent="0.35">
      <c r="A232" s="13"/>
      <c r="B232" s="13"/>
      <c r="C232" s="13"/>
      <c r="D232" s="13"/>
      <c r="E232" s="13"/>
      <c r="F232" s="13"/>
      <c r="G232" s="13"/>
      <c r="H232" s="13"/>
      <c r="I232" s="13"/>
      <c r="J232" s="13"/>
      <c r="K232" s="13"/>
      <c r="L232" s="13"/>
      <c r="M232" s="13"/>
      <c r="N232" s="13"/>
      <c r="O232" s="13"/>
      <c r="P232" s="13"/>
      <c r="Q232" s="13"/>
      <c r="R232" s="13"/>
    </row>
    <row r="233" spans="1:18" x14ac:dyDescent="0.35">
      <c r="A233" s="13"/>
      <c r="B233" s="13"/>
      <c r="C233" s="13"/>
      <c r="D233" s="13"/>
      <c r="E233" s="13"/>
      <c r="F233" s="13"/>
      <c r="G233" s="13"/>
      <c r="H233" s="13"/>
      <c r="I233" s="13"/>
      <c r="J233" s="13"/>
      <c r="K233" s="13"/>
      <c r="L233" s="13"/>
      <c r="M233" s="13"/>
      <c r="N233" s="13"/>
      <c r="O233" s="13"/>
      <c r="P233" s="13"/>
      <c r="Q233" s="13"/>
      <c r="R233" s="13"/>
    </row>
    <row r="234" spans="1:18" x14ac:dyDescent="0.35">
      <c r="A234" s="13"/>
      <c r="B234" s="13"/>
      <c r="C234" s="13"/>
      <c r="D234" s="13"/>
      <c r="E234" s="13"/>
      <c r="F234" s="13"/>
      <c r="G234" s="13"/>
      <c r="H234" s="13"/>
      <c r="I234" s="13"/>
      <c r="J234" s="13"/>
      <c r="K234" s="13"/>
      <c r="L234" s="13"/>
      <c r="M234" s="13"/>
      <c r="N234" s="13"/>
      <c r="O234" s="13"/>
      <c r="P234" s="13"/>
      <c r="Q234" s="13"/>
      <c r="R234" s="13"/>
    </row>
    <row r="235" spans="1:18" x14ac:dyDescent="0.35">
      <c r="A235" s="13"/>
      <c r="B235" s="13"/>
      <c r="C235" s="13"/>
      <c r="D235" s="13"/>
      <c r="E235" s="13"/>
      <c r="F235" s="13"/>
      <c r="G235" s="13"/>
      <c r="H235" s="13"/>
      <c r="I235" s="13"/>
      <c r="J235" s="13"/>
      <c r="K235" s="13"/>
      <c r="L235" s="13"/>
      <c r="M235" s="13"/>
      <c r="N235" s="13"/>
      <c r="O235" s="13"/>
      <c r="P235" s="13"/>
      <c r="Q235" s="13"/>
      <c r="R235" s="13"/>
    </row>
    <row r="236" spans="1:18" x14ac:dyDescent="0.35">
      <c r="A236" s="13"/>
      <c r="B236" s="13"/>
      <c r="C236" s="13"/>
      <c r="D236" s="13"/>
      <c r="E236" s="13"/>
      <c r="F236" s="13"/>
      <c r="G236" s="13"/>
      <c r="H236" s="13"/>
      <c r="I236" s="13"/>
      <c r="J236" s="13"/>
      <c r="K236" s="13"/>
      <c r="L236" s="13"/>
      <c r="M236" s="13"/>
      <c r="N236" s="13"/>
      <c r="O236" s="13"/>
      <c r="P236" s="13"/>
      <c r="Q236" s="13"/>
      <c r="R236" s="13"/>
    </row>
    <row r="237" spans="1:18" x14ac:dyDescent="0.35">
      <c r="A237" s="13"/>
      <c r="B237" s="13"/>
      <c r="C237" s="13"/>
      <c r="D237" s="13"/>
      <c r="E237" s="13"/>
      <c r="F237" s="13"/>
      <c r="G237" s="13"/>
      <c r="H237" s="13"/>
      <c r="I237" s="13"/>
      <c r="J237" s="13"/>
      <c r="K237" s="13"/>
      <c r="L237" s="13"/>
      <c r="M237" s="13"/>
      <c r="N237" s="13"/>
      <c r="O237" s="13"/>
      <c r="P237" s="13"/>
      <c r="Q237" s="13"/>
      <c r="R237" s="13"/>
    </row>
    <row r="238" spans="1:18" x14ac:dyDescent="0.35">
      <c r="A238" s="13"/>
      <c r="B238" s="13"/>
      <c r="C238" s="13"/>
      <c r="D238" s="13"/>
      <c r="E238" s="13"/>
      <c r="F238" s="13"/>
      <c r="G238" s="13"/>
      <c r="H238" s="13"/>
      <c r="I238" s="13"/>
      <c r="J238" s="13"/>
      <c r="K238" s="13"/>
      <c r="L238" s="13"/>
      <c r="M238" s="13"/>
      <c r="N238" s="13"/>
      <c r="O238" s="13"/>
      <c r="P238" s="13"/>
      <c r="Q238" s="13"/>
      <c r="R238" s="13"/>
    </row>
    <row r="239" spans="1:18" x14ac:dyDescent="0.35">
      <c r="A239" s="13"/>
      <c r="B239" s="13"/>
      <c r="C239" s="13"/>
      <c r="D239" s="13"/>
      <c r="E239" s="13"/>
      <c r="F239" s="13"/>
      <c r="G239" s="13"/>
      <c r="H239" s="13"/>
      <c r="I239" s="13"/>
      <c r="J239" s="13"/>
      <c r="K239" s="13"/>
      <c r="L239" s="13"/>
      <c r="M239" s="13"/>
      <c r="N239" s="13"/>
      <c r="O239" s="13"/>
      <c r="P239" s="13"/>
      <c r="Q239" s="13"/>
      <c r="R239" s="13"/>
    </row>
    <row r="240" spans="1:18" x14ac:dyDescent="0.35">
      <c r="A240" s="13"/>
      <c r="B240" s="13"/>
      <c r="C240" s="13"/>
      <c r="D240" s="13"/>
      <c r="E240" s="13"/>
      <c r="F240" s="13"/>
      <c r="G240" s="13"/>
      <c r="H240" s="13"/>
      <c r="I240" s="13"/>
      <c r="J240" s="13"/>
      <c r="K240" s="13"/>
      <c r="L240" s="13"/>
      <c r="M240" s="13"/>
      <c r="N240" s="13"/>
      <c r="O240" s="13"/>
      <c r="P240" s="13"/>
      <c r="Q240" s="13"/>
      <c r="R240" s="13"/>
    </row>
    <row r="241" spans="1:18" x14ac:dyDescent="0.35">
      <c r="A241" s="13"/>
      <c r="B241" s="13"/>
      <c r="C241" s="13"/>
      <c r="D241" s="13"/>
      <c r="E241" s="13"/>
      <c r="F241" s="13"/>
      <c r="G241" s="13"/>
      <c r="H241" s="13"/>
      <c r="I241" s="13"/>
      <c r="J241" s="13"/>
      <c r="K241" s="13"/>
      <c r="L241" s="13"/>
      <c r="M241" s="13"/>
      <c r="N241" s="13"/>
      <c r="O241" s="13"/>
      <c r="P241" s="13"/>
      <c r="Q241" s="13"/>
      <c r="R241" s="13"/>
    </row>
    <row r="242" spans="1:18" x14ac:dyDescent="0.35">
      <c r="A242" s="13"/>
      <c r="B242" s="13"/>
      <c r="C242" s="13"/>
      <c r="D242" s="13"/>
      <c r="E242" s="13"/>
      <c r="F242" s="13"/>
      <c r="G242" s="13"/>
      <c r="H242" s="13"/>
      <c r="I242" s="13"/>
      <c r="J242" s="13"/>
      <c r="K242" s="13"/>
      <c r="L242" s="13"/>
      <c r="M242" s="13"/>
      <c r="N242" s="13"/>
      <c r="O242" s="13"/>
      <c r="P242" s="13"/>
      <c r="Q242" s="13"/>
      <c r="R242" s="13"/>
    </row>
    <row r="243" spans="1:18" x14ac:dyDescent="0.35">
      <c r="A243" s="13"/>
      <c r="B243" s="13"/>
      <c r="C243" s="13"/>
      <c r="D243" s="13"/>
      <c r="E243" s="13"/>
      <c r="F243" s="13"/>
      <c r="G243" s="13"/>
      <c r="H243" s="13"/>
      <c r="I243" s="13"/>
      <c r="J243" s="13"/>
      <c r="K243" s="13"/>
      <c r="L243" s="13"/>
      <c r="M243" s="13"/>
      <c r="N243" s="13"/>
      <c r="O243" s="13"/>
      <c r="P243" s="13"/>
      <c r="Q243" s="13"/>
      <c r="R243" s="13"/>
    </row>
    <row r="244" spans="1:18" x14ac:dyDescent="0.35">
      <c r="A244" s="13"/>
      <c r="B244" s="13"/>
      <c r="C244" s="13"/>
      <c r="D244" s="13"/>
      <c r="E244" s="13"/>
      <c r="F244" s="13"/>
      <c r="G244" s="13"/>
      <c r="H244" s="13"/>
      <c r="I244" s="13"/>
      <c r="J244" s="13"/>
      <c r="K244" s="13"/>
      <c r="L244" s="13"/>
      <c r="M244" s="13"/>
      <c r="N244" s="13"/>
      <c r="O244" s="13"/>
      <c r="P244" s="13"/>
      <c r="Q244" s="13"/>
      <c r="R244" s="13"/>
    </row>
    <row r="245" spans="1:18" x14ac:dyDescent="0.35">
      <c r="A245" s="13"/>
      <c r="B245" s="13"/>
      <c r="C245" s="13"/>
      <c r="D245" s="13"/>
      <c r="E245" s="13"/>
      <c r="F245" s="13"/>
      <c r="G245" s="13"/>
      <c r="H245" s="13"/>
      <c r="I245" s="13"/>
      <c r="J245" s="13"/>
      <c r="K245" s="13"/>
      <c r="L245" s="13"/>
      <c r="M245" s="13"/>
      <c r="N245" s="13"/>
      <c r="O245" s="13"/>
      <c r="P245" s="13"/>
      <c r="Q245" s="13"/>
      <c r="R245" s="13"/>
    </row>
    <row r="246" spans="1:18" x14ac:dyDescent="0.35">
      <c r="A246" s="13"/>
      <c r="B246" s="13"/>
      <c r="C246" s="13"/>
      <c r="D246" s="13"/>
      <c r="E246" s="13"/>
      <c r="F246" s="13"/>
      <c r="G246" s="13"/>
      <c r="H246" s="13"/>
      <c r="I246" s="13"/>
      <c r="J246" s="13"/>
      <c r="K246" s="13"/>
      <c r="L246" s="13"/>
      <c r="M246" s="13"/>
      <c r="N246" s="13"/>
      <c r="O246" s="13"/>
      <c r="P246" s="13"/>
      <c r="Q246" s="13"/>
      <c r="R246" s="13"/>
    </row>
    <row r="247" spans="1:18" x14ac:dyDescent="0.35">
      <c r="A247" s="13"/>
      <c r="B247" s="13"/>
      <c r="C247" s="13"/>
      <c r="D247" s="13"/>
      <c r="E247" s="13"/>
      <c r="F247" s="13"/>
      <c r="G247" s="13"/>
      <c r="H247" s="13"/>
      <c r="I247" s="13"/>
      <c r="J247" s="13"/>
      <c r="K247" s="13"/>
      <c r="L247" s="13"/>
      <c r="M247" s="13"/>
      <c r="N247" s="13"/>
      <c r="O247" s="13"/>
      <c r="P247" s="13"/>
      <c r="Q247" s="13"/>
      <c r="R247" s="13"/>
    </row>
    <row r="248" spans="1:18" x14ac:dyDescent="0.35">
      <c r="A248" s="13"/>
      <c r="B248" s="13"/>
      <c r="C248" s="13"/>
      <c r="D248" s="13"/>
      <c r="E248" s="13"/>
      <c r="F248" s="13"/>
      <c r="G248" s="13"/>
      <c r="H248" s="13"/>
      <c r="I248" s="13"/>
      <c r="J248" s="13"/>
      <c r="K248" s="13"/>
      <c r="L248" s="13"/>
      <c r="M248" s="13"/>
      <c r="N248" s="13"/>
      <c r="O248" s="13"/>
      <c r="P248" s="13"/>
      <c r="Q248" s="13"/>
      <c r="R248" s="13"/>
    </row>
    <row r="249" spans="1:18" x14ac:dyDescent="0.35">
      <c r="A249" s="13"/>
      <c r="B249" s="13"/>
      <c r="C249" s="13"/>
      <c r="D249" s="13"/>
      <c r="E249" s="13"/>
      <c r="F249" s="13"/>
      <c r="G249" s="13"/>
      <c r="H249" s="13"/>
      <c r="I249" s="13"/>
      <c r="J249" s="13"/>
      <c r="K249" s="13"/>
      <c r="L249" s="13"/>
      <c r="M249" s="13"/>
      <c r="N249" s="13"/>
      <c r="O249" s="13"/>
      <c r="P249" s="13"/>
      <c r="Q249" s="13"/>
      <c r="R249" s="13"/>
    </row>
    <row r="250" spans="1:18" x14ac:dyDescent="0.35">
      <c r="A250" s="13"/>
      <c r="B250" s="13"/>
      <c r="C250" s="13"/>
      <c r="D250" s="13"/>
      <c r="E250" s="13"/>
      <c r="F250" s="13"/>
      <c r="G250" s="13"/>
      <c r="H250" s="13"/>
      <c r="I250" s="13"/>
      <c r="J250" s="13"/>
      <c r="K250" s="13"/>
      <c r="L250" s="13"/>
      <c r="M250" s="13"/>
      <c r="N250" s="13"/>
      <c r="O250" s="13"/>
      <c r="P250" s="13"/>
      <c r="Q250" s="13"/>
      <c r="R250" s="13"/>
    </row>
    <row r="251" spans="1:18" x14ac:dyDescent="0.35">
      <c r="A251" s="13"/>
      <c r="B251" s="13"/>
      <c r="C251" s="13"/>
      <c r="D251" s="13"/>
      <c r="E251" s="13"/>
      <c r="F251" s="13"/>
      <c r="G251" s="13"/>
      <c r="H251" s="13"/>
      <c r="I251" s="13"/>
      <c r="J251" s="13"/>
      <c r="K251" s="13"/>
      <c r="L251" s="13"/>
      <c r="M251" s="13"/>
      <c r="N251" s="13"/>
      <c r="O251" s="13"/>
      <c r="P251" s="13"/>
      <c r="Q251" s="13"/>
      <c r="R251" s="13"/>
    </row>
    <row r="252" spans="1:18" x14ac:dyDescent="0.35">
      <c r="A252" s="13"/>
      <c r="B252" s="13"/>
      <c r="C252" s="13"/>
      <c r="D252" s="13"/>
      <c r="E252" s="13"/>
      <c r="F252" s="13"/>
      <c r="G252" s="13"/>
      <c r="H252" s="13"/>
      <c r="I252" s="13"/>
      <c r="J252" s="13"/>
      <c r="K252" s="13"/>
      <c r="L252" s="13"/>
      <c r="M252" s="13"/>
      <c r="N252" s="13"/>
      <c r="O252" s="13"/>
      <c r="P252" s="13"/>
      <c r="Q252" s="13"/>
      <c r="R252" s="13"/>
    </row>
    <row r="253" spans="1:18" x14ac:dyDescent="0.35">
      <c r="A253" s="13"/>
      <c r="B253" s="13"/>
      <c r="C253" s="13"/>
      <c r="D253" s="13"/>
      <c r="E253" s="13"/>
      <c r="F253" s="13"/>
      <c r="G253" s="13"/>
      <c r="H253" s="13"/>
      <c r="I253" s="13"/>
      <c r="J253" s="13"/>
      <c r="K253" s="13"/>
      <c r="L253" s="13"/>
      <c r="M253" s="13"/>
      <c r="N253" s="13"/>
      <c r="O253" s="13"/>
      <c r="P253" s="13"/>
      <c r="Q253" s="13"/>
      <c r="R253" s="13"/>
    </row>
    <row r="254" spans="1:18" x14ac:dyDescent="0.35">
      <c r="A254" s="13"/>
      <c r="B254" s="13"/>
      <c r="C254" s="13"/>
      <c r="D254" s="13"/>
      <c r="E254" s="13"/>
      <c r="F254" s="13"/>
      <c r="G254" s="13"/>
      <c r="H254" s="13"/>
      <c r="I254" s="13"/>
      <c r="J254" s="13"/>
      <c r="K254" s="13"/>
      <c r="L254" s="13"/>
      <c r="M254" s="13"/>
      <c r="N254" s="13"/>
      <c r="O254" s="13"/>
      <c r="P254" s="13"/>
      <c r="Q254" s="13"/>
      <c r="R254" s="13"/>
    </row>
    <row r="255" spans="1:18" x14ac:dyDescent="0.35">
      <c r="A255" s="13"/>
      <c r="B255" s="13"/>
      <c r="C255" s="13"/>
      <c r="D255" s="13"/>
      <c r="E255" s="13"/>
      <c r="F255" s="13"/>
      <c r="G255" s="13"/>
      <c r="H255" s="13"/>
      <c r="I255" s="13"/>
      <c r="J255" s="13"/>
      <c r="K255" s="13"/>
      <c r="L255" s="13"/>
      <c r="M255" s="13"/>
      <c r="N255" s="13"/>
      <c r="O255" s="13"/>
      <c r="P255" s="13"/>
      <c r="Q255" s="13"/>
      <c r="R255" s="13"/>
    </row>
    <row r="256" spans="1:18" x14ac:dyDescent="0.35">
      <c r="A256" s="13"/>
      <c r="B256" s="13"/>
      <c r="C256" s="13"/>
      <c r="D256" s="13"/>
      <c r="E256" s="13"/>
      <c r="F256" s="13"/>
      <c r="G256" s="13"/>
      <c r="H256" s="13"/>
      <c r="I256" s="13"/>
      <c r="J256" s="13"/>
      <c r="K256" s="13"/>
      <c r="L256" s="13"/>
      <c r="M256" s="13"/>
      <c r="N256" s="13"/>
      <c r="O256" s="13"/>
      <c r="P256" s="13"/>
      <c r="Q256" s="13"/>
      <c r="R256" s="13"/>
    </row>
    <row r="257" spans="1:18" x14ac:dyDescent="0.35">
      <c r="A257" s="13"/>
      <c r="B257" s="13"/>
      <c r="C257" s="13"/>
      <c r="D257" s="13"/>
      <c r="E257" s="13"/>
      <c r="F257" s="13"/>
      <c r="G257" s="13"/>
      <c r="H257" s="13"/>
      <c r="I257" s="13"/>
      <c r="J257" s="13"/>
      <c r="K257" s="13"/>
      <c r="L257" s="13"/>
      <c r="M257" s="13"/>
      <c r="N257" s="13"/>
      <c r="O257" s="13"/>
      <c r="P257" s="13"/>
      <c r="Q257" s="13"/>
      <c r="R257" s="13"/>
    </row>
    <row r="258" spans="1:18" x14ac:dyDescent="0.35">
      <c r="A258" s="13"/>
      <c r="B258" s="13"/>
      <c r="C258" s="13"/>
      <c r="D258" s="13"/>
      <c r="E258" s="13"/>
      <c r="F258" s="13"/>
      <c r="G258" s="13"/>
      <c r="H258" s="13"/>
      <c r="I258" s="13"/>
      <c r="J258" s="13"/>
      <c r="K258" s="13"/>
      <c r="L258" s="13"/>
      <c r="M258" s="13"/>
      <c r="N258" s="13"/>
      <c r="O258" s="13"/>
      <c r="P258" s="13"/>
      <c r="Q258" s="13"/>
      <c r="R258" s="13"/>
    </row>
    <row r="259" spans="1:18" x14ac:dyDescent="0.35">
      <c r="A259" s="13"/>
      <c r="B259" s="13"/>
      <c r="C259" s="13"/>
      <c r="D259" s="13"/>
      <c r="E259" s="13"/>
      <c r="F259" s="13"/>
      <c r="G259" s="13"/>
      <c r="H259" s="13"/>
      <c r="I259" s="13"/>
      <c r="J259" s="13"/>
      <c r="K259" s="13"/>
      <c r="L259" s="13"/>
      <c r="M259" s="13"/>
      <c r="N259" s="13"/>
      <c r="O259" s="13"/>
      <c r="P259" s="13"/>
      <c r="Q259" s="13"/>
      <c r="R259" s="13"/>
    </row>
    <row r="260" spans="1:18" x14ac:dyDescent="0.35">
      <c r="A260" s="13"/>
      <c r="B260" s="13"/>
      <c r="C260" s="13"/>
      <c r="D260" s="13"/>
      <c r="E260" s="13"/>
      <c r="F260" s="13"/>
      <c r="G260" s="13"/>
      <c r="H260" s="13"/>
      <c r="I260" s="13"/>
      <c r="J260" s="13"/>
      <c r="K260" s="13"/>
      <c r="L260" s="13"/>
      <c r="M260" s="13"/>
      <c r="N260" s="13"/>
      <c r="O260" s="13"/>
      <c r="P260" s="13"/>
      <c r="Q260" s="13"/>
      <c r="R260" s="13"/>
    </row>
    <row r="261" spans="1:18" x14ac:dyDescent="0.35">
      <c r="A261" s="13"/>
      <c r="B261" s="13"/>
      <c r="C261" s="13"/>
      <c r="D261" s="13"/>
      <c r="E261" s="13"/>
      <c r="F261" s="13"/>
      <c r="G261" s="13"/>
      <c r="H261" s="13"/>
      <c r="I261" s="13"/>
      <c r="J261" s="13"/>
      <c r="K261" s="13"/>
      <c r="L261" s="13"/>
      <c r="M261" s="13"/>
      <c r="N261" s="13"/>
      <c r="O261" s="13"/>
      <c r="P261" s="13"/>
      <c r="Q261" s="13"/>
      <c r="R261" s="13"/>
    </row>
    <row r="262" spans="1:18" x14ac:dyDescent="0.35">
      <c r="A262" s="13"/>
      <c r="B262" s="13"/>
      <c r="C262" s="13"/>
      <c r="D262" s="13"/>
      <c r="E262" s="13"/>
      <c r="F262" s="13"/>
      <c r="G262" s="13"/>
      <c r="H262" s="13"/>
      <c r="I262" s="13"/>
      <c r="J262" s="13"/>
      <c r="K262" s="13"/>
      <c r="L262" s="13"/>
      <c r="M262" s="13"/>
      <c r="N262" s="13"/>
      <c r="O262" s="13"/>
      <c r="P262" s="13"/>
      <c r="Q262" s="13"/>
      <c r="R262" s="13"/>
    </row>
    <row r="263" spans="1:18" x14ac:dyDescent="0.35">
      <c r="A263" s="13"/>
      <c r="B263" s="13"/>
      <c r="C263" s="13"/>
      <c r="D263" s="13"/>
      <c r="E263" s="13"/>
      <c r="F263" s="13"/>
      <c r="G263" s="13"/>
      <c r="H263" s="13"/>
      <c r="I263" s="13"/>
      <c r="J263" s="13"/>
      <c r="K263" s="13"/>
      <c r="L263" s="13"/>
      <c r="M263" s="13"/>
      <c r="N263" s="13"/>
      <c r="O263" s="13"/>
      <c r="P263" s="13"/>
      <c r="Q263" s="13"/>
      <c r="R263" s="13"/>
    </row>
    <row r="264" spans="1:18" x14ac:dyDescent="0.35">
      <c r="A264" s="13"/>
      <c r="B264" s="13"/>
      <c r="C264" s="13"/>
      <c r="D264" s="13"/>
      <c r="E264" s="13"/>
      <c r="F264" s="13"/>
      <c r="G264" s="13"/>
      <c r="H264" s="13"/>
      <c r="I264" s="13"/>
      <c r="J264" s="13"/>
      <c r="K264" s="13"/>
      <c r="L264" s="13"/>
      <c r="M264" s="13"/>
      <c r="N264" s="13"/>
      <c r="O264" s="13"/>
      <c r="P264" s="13"/>
      <c r="Q264" s="13"/>
      <c r="R264" s="13"/>
    </row>
    <row r="265" spans="1:18" x14ac:dyDescent="0.35">
      <c r="A265" s="13"/>
      <c r="B265" s="13"/>
      <c r="C265" s="13"/>
      <c r="D265" s="13"/>
      <c r="E265" s="13"/>
      <c r="F265" s="13"/>
      <c r="G265" s="13"/>
      <c r="H265" s="13"/>
      <c r="I265" s="13"/>
      <c r="J265" s="13"/>
      <c r="K265" s="13"/>
      <c r="L265" s="13"/>
      <c r="M265" s="13"/>
      <c r="N265" s="13"/>
      <c r="O265" s="13"/>
      <c r="P265" s="13"/>
      <c r="Q265" s="13"/>
      <c r="R265" s="13"/>
    </row>
    <row r="266" spans="1:18" x14ac:dyDescent="0.35">
      <c r="A266" s="13"/>
      <c r="B266" s="13"/>
      <c r="C266" s="13"/>
      <c r="D266" s="13"/>
      <c r="E266" s="13"/>
      <c r="F266" s="13"/>
      <c r="G266" s="13"/>
      <c r="H266" s="13"/>
      <c r="I266" s="13"/>
      <c r="J266" s="13"/>
      <c r="K266" s="13"/>
      <c r="L266" s="13"/>
      <c r="M266" s="13"/>
      <c r="N266" s="13"/>
      <c r="O266" s="13"/>
      <c r="P266" s="13"/>
      <c r="Q266" s="13"/>
      <c r="R266" s="13"/>
    </row>
    <row r="267" spans="1:18" x14ac:dyDescent="0.35">
      <c r="A267" s="13"/>
      <c r="B267" s="13"/>
      <c r="C267" s="13"/>
      <c r="D267" s="13"/>
      <c r="E267" s="13"/>
      <c r="F267" s="13"/>
      <c r="G267" s="13"/>
      <c r="H267" s="13"/>
      <c r="I267" s="13"/>
      <c r="J267" s="13"/>
      <c r="K267" s="13"/>
      <c r="L267" s="13"/>
      <c r="M267" s="13"/>
      <c r="N267" s="13"/>
      <c r="O267" s="13"/>
      <c r="P267" s="13"/>
      <c r="Q267" s="13"/>
      <c r="R267" s="13"/>
    </row>
    <row r="268" spans="1:18" x14ac:dyDescent="0.35">
      <c r="A268" s="13"/>
      <c r="B268" s="13"/>
      <c r="C268" s="13"/>
      <c r="D268" s="13"/>
      <c r="E268" s="13"/>
      <c r="F268" s="13"/>
      <c r="G268" s="13"/>
      <c r="H268" s="13"/>
      <c r="I268" s="13"/>
      <c r="J268" s="13"/>
      <c r="K268" s="13"/>
      <c r="L268" s="13"/>
      <c r="M268" s="13"/>
      <c r="N268" s="13"/>
      <c r="O268" s="13"/>
      <c r="P268" s="13"/>
      <c r="Q268" s="13"/>
      <c r="R268" s="13"/>
    </row>
    <row r="269" spans="1:18" x14ac:dyDescent="0.35">
      <c r="A269" s="13"/>
      <c r="B269" s="13"/>
      <c r="C269" s="13"/>
      <c r="D269" s="13"/>
      <c r="E269" s="13"/>
      <c r="F269" s="13"/>
      <c r="G269" s="13"/>
      <c r="H269" s="13"/>
      <c r="I269" s="13"/>
      <c r="J269" s="13"/>
      <c r="K269" s="13"/>
      <c r="L269" s="13"/>
      <c r="M269" s="13"/>
      <c r="N269" s="13"/>
      <c r="O269" s="13"/>
      <c r="P269" s="13"/>
      <c r="Q269" s="13"/>
      <c r="R269" s="13"/>
    </row>
    <row r="270" spans="1:18" x14ac:dyDescent="0.35">
      <c r="A270" s="13"/>
      <c r="B270" s="13"/>
      <c r="C270" s="13"/>
      <c r="D270" s="13"/>
      <c r="E270" s="13"/>
      <c r="F270" s="13"/>
      <c r="G270" s="13"/>
      <c r="H270" s="13"/>
      <c r="I270" s="13"/>
      <c r="J270" s="13"/>
      <c r="K270" s="13"/>
      <c r="L270" s="13"/>
      <c r="M270" s="13"/>
      <c r="N270" s="13"/>
      <c r="O270" s="13"/>
      <c r="P270" s="13"/>
      <c r="Q270" s="13"/>
      <c r="R270" s="13"/>
    </row>
    <row r="271" spans="1:18" x14ac:dyDescent="0.35">
      <c r="A271" s="13"/>
      <c r="B271" s="13"/>
      <c r="C271" s="13"/>
      <c r="D271" s="13"/>
      <c r="E271" s="13"/>
      <c r="F271" s="13"/>
      <c r="G271" s="13"/>
      <c r="H271" s="13"/>
      <c r="I271" s="13"/>
      <c r="J271" s="13"/>
      <c r="K271" s="13"/>
      <c r="L271" s="13"/>
      <c r="M271" s="13"/>
      <c r="N271" s="13"/>
      <c r="O271" s="13"/>
      <c r="P271" s="13"/>
      <c r="Q271" s="13"/>
      <c r="R271" s="13"/>
    </row>
    <row r="272" spans="1:18" x14ac:dyDescent="0.35">
      <c r="A272" s="13"/>
      <c r="B272" s="13"/>
      <c r="C272" s="13"/>
      <c r="D272" s="13"/>
      <c r="E272" s="13"/>
      <c r="F272" s="13"/>
      <c r="G272" s="13"/>
      <c r="H272" s="13"/>
      <c r="I272" s="13"/>
      <c r="J272" s="13"/>
      <c r="K272" s="13"/>
      <c r="L272" s="13"/>
      <c r="M272" s="13"/>
      <c r="N272" s="13"/>
      <c r="O272" s="13"/>
      <c r="P272" s="13"/>
      <c r="Q272" s="13"/>
      <c r="R272" s="13"/>
    </row>
    <row r="273" spans="1:18" x14ac:dyDescent="0.35">
      <c r="A273" s="13"/>
      <c r="B273" s="13"/>
      <c r="C273" s="13"/>
      <c r="D273" s="13"/>
      <c r="E273" s="13"/>
      <c r="F273" s="13"/>
      <c r="G273" s="13"/>
      <c r="H273" s="13"/>
      <c r="I273" s="13"/>
      <c r="J273" s="13"/>
      <c r="K273" s="13"/>
      <c r="L273" s="13"/>
      <c r="M273" s="13"/>
      <c r="N273" s="13"/>
      <c r="O273" s="13"/>
      <c r="P273" s="13"/>
      <c r="Q273" s="13"/>
      <c r="R273" s="13"/>
    </row>
    <row r="274" spans="1:18" x14ac:dyDescent="0.35">
      <c r="A274" s="13"/>
      <c r="B274" s="13"/>
      <c r="C274" s="13"/>
      <c r="D274" s="13"/>
      <c r="E274" s="13"/>
      <c r="F274" s="13"/>
      <c r="G274" s="13"/>
      <c r="H274" s="13"/>
      <c r="I274" s="13"/>
      <c r="J274" s="13"/>
      <c r="K274" s="13"/>
      <c r="L274" s="13"/>
      <c r="M274" s="13"/>
      <c r="N274" s="13"/>
      <c r="O274" s="13"/>
      <c r="P274" s="13"/>
      <c r="Q274" s="13"/>
      <c r="R274" s="13"/>
    </row>
    <row r="275" spans="1:18" x14ac:dyDescent="0.35">
      <c r="A275" s="13"/>
      <c r="B275" s="13"/>
      <c r="C275" s="13"/>
      <c r="D275" s="13"/>
      <c r="E275" s="13"/>
      <c r="F275" s="13"/>
      <c r="G275" s="13"/>
      <c r="H275" s="13"/>
      <c r="I275" s="13"/>
      <c r="J275" s="13"/>
      <c r="K275" s="13"/>
      <c r="L275" s="13"/>
      <c r="M275" s="13"/>
      <c r="N275" s="13"/>
      <c r="O275" s="13"/>
      <c r="P275" s="13"/>
      <c r="Q275" s="13"/>
      <c r="R275" s="13"/>
    </row>
    <row r="276" spans="1:18" x14ac:dyDescent="0.35">
      <c r="A276" s="13"/>
      <c r="B276" s="13"/>
      <c r="C276" s="13"/>
      <c r="D276" s="13"/>
      <c r="E276" s="13"/>
      <c r="F276" s="13"/>
      <c r="G276" s="13"/>
      <c r="H276" s="13"/>
      <c r="I276" s="13"/>
      <c r="J276" s="13"/>
      <c r="K276" s="13"/>
      <c r="L276" s="13"/>
      <c r="M276" s="13"/>
      <c r="N276" s="13"/>
      <c r="O276" s="13"/>
      <c r="P276" s="13"/>
      <c r="Q276" s="13"/>
      <c r="R276" s="13"/>
    </row>
    <row r="277" spans="1:18" x14ac:dyDescent="0.35">
      <c r="A277" s="13"/>
      <c r="B277" s="13"/>
      <c r="C277" s="13"/>
      <c r="D277" s="13"/>
      <c r="E277" s="13"/>
      <c r="F277" s="13"/>
      <c r="G277" s="13"/>
      <c r="H277" s="13"/>
      <c r="I277" s="13"/>
      <c r="J277" s="13"/>
      <c r="K277" s="13"/>
      <c r="L277" s="13"/>
      <c r="M277" s="13"/>
      <c r="N277" s="13"/>
      <c r="O277" s="13"/>
      <c r="P277" s="13"/>
      <c r="Q277" s="13"/>
      <c r="R277" s="13"/>
    </row>
    <row r="278" spans="1:18" x14ac:dyDescent="0.35">
      <c r="A278" s="13"/>
      <c r="B278" s="13"/>
      <c r="C278" s="13"/>
      <c r="D278" s="13"/>
      <c r="E278" s="13"/>
      <c r="F278" s="13"/>
      <c r="G278" s="13"/>
      <c r="H278" s="13"/>
      <c r="I278" s="13"/>
      <c r="J278" s="13"/>
      <c r="K278" s="13"/>
      <c r="L278" s="13"/>
      <c r="M278" s="13"/>
      <c r="N278" s="13"/>
      <c r="O278" s="13"/>
      <c r="P278" s="13"/>
      <c r="Q278" s="13"/>
      <c r="R278" s="13"/>
    </row>
    <row r="279" spans="1:18" x14ac:dyDescent="0.35">
      <c r="A279" s="13"/>
      <c r="B279" s="13"/>
      <c r="C279" s="13"/>
      <c r="D279" s="13"/>
      <c r="E279" s="13"/>
      <c r="F279" s="13"/>
      <c r="G279" s="13"/>
      <c r="H279" s="13"/>
      <c r="I279" s="13"/>
      <c r="J279" s="13"/>
      <c r="K279" s="13"/>
      <c r="L279" s="13"/>
      <c r="M279" s="13"/>
      <c r="N279" s="13"/>
      <c r="O279" s="13"/>
      <c r="P279" s="13"/>
      <c r="Q279" s="13"/>
      <c r="R279" s="13"/>
    </row>
    <row r="280" spans="1:18" x14ac:dyDescent="0.35">
      <c r="A280" s="13"/>
      <c r="B280" s="13"/>
      <c r="C280" s="13"/>
      <c r="D280" s="13"/>
      <c r="E280" s="13"/>
      <c r="F280" s="13"/>
      <c r="G280" s="13"/>
      <c r="H280" s="13"/>
      <c r="I280" s="13"/>
      <c r="J280" s="13"/>
      <c r="K280" s="13"/>
      <c r="L280" s="13"/>
      <c r="M280" s="13"/>
      <c r="N280" s="13"/>
      <c r="O280" s="13"/>
      <c r="P280" s="13"/>
      <c r="Q280" s="13"/>
      <c r="R280" s="13"/>
    </row>
    <row r="281" spans="1:18" x14ac:dyDescent="0.35">
      <c r="A281" s="13"/>
      <c r="B281" s="13"/>
      <c r="C281" s="13"/>
      <c r="D281" s="13"/>
      <c r="E281" s="13"/>
      <c r="F281" s="13"/>
      <c r="G281" s="13"/>
      <c r="H281" s="13"/>
      <c r="I281" s="13"/>
      <c r="J281" s="13"/>
      <c r="K281" s="13"/>
      <c r="L281" s="13"/>
      <c r="M281" s="13"/>
      <c r="N281" s="13"/>
      <c r="O281" s="13"/>
      <c r="P281" s="13"/>
      <c r="Q281" s="13"/>
      <c r="R281" s="13"/>
    </row>
    <row r="282" spans="1:18" x14ac:dyDescent="0.35">
      <c r="A282" s="13"/>
      <c r="B282" s="13"/>
      <c r="C282" s="13"/>
      <c r="D282" s="13"/>
      <c r="E282" s="13"/>
      <c r="F282" s="13"/>
      <c r="G282" s="13"/>
      <c r="H282" s="13"/>
      <c r="I282" s="13"/>
      <c r="J282" s="13"/>
      <c r="K282" s="13"/>
      <c r="L282" s="13"/>
      <c r="M282" s="13"/>
      <c r="N282" s="13"/>
      <c r="O282" s="13"/>
      <c r="P282" s="13"/>
      <c r="Q282" s="13"/>
      <c r="R282" s="13"/>
    </row>
    <row r="283" spans="1:18" x14ac:dyDescent="0.35">
      <c r="A283" s="13"/>
      <c r="B283" s="13"/>
      <c r="C283" s="13"/>
      <c r="D283" s="13"/>
      <c r="E283" s="13"/>
      <c r="F283" s="13"/>
      <c r="G283" s="13"/>
      <c r="H283" s="13"/>
      <c r="I283" s="13"/>
      <c r="J283" s="13"/>
      <c r="K283" s="13"/>
      <c r="L283" s="13"/>
      <c r="M283" s="13"/>
      <c r="N283" s="13"/>
      <c r="O283" s="13"/>
      <c r="P283" s="13"/>
      <c r="Q283" s="13"/>
      <c r="R283" s="13"/>
    </row>
    <row r="284" spans="1:18" x14ac:dyDescent="0.35">
      <c r="A284" s="13"/>
      <c r="B284" s="13"/>
      <c r="C284" s="13"/>
      <c r="D284" s="13"/>
      <c r="E284" s="13"/>
      <c r="F284" s="13"/>
      <c r="G284" s="13"/>
      <c r="H284" s="13"/>
      <c r="I284" s="13"/>
      <c r="J284" s="13"/>
      <c r="K284" s="13"/>
      <c r="L284" s="13"/>
      <c r="M284" s="13"/>
      <c r="N284" s="13"/>
      <c r="O284" s="13"/>
      <c r="P284" s="13"/>
      <c r="Q284" s="13"/>
      <c r="R284" s="13"/>
    </row>
    <row r="285" spans="1:18" x14ac:dyDescent="0.35">
      <c r="A285" s="13"/>
      <c r="B285" s="13"/>
      <c r="C285" s="13"/>
      <c r="D285" s="13"/>
      <c r="E285" s="13"/>
      <c r="F285" s="13"/>
      <c r="G285" s="13"/>
      <c r="H285" s="13"/>
      <c r="I285" s="13"/>
      <c r="J285" s="13"/>
      <c r="K285" s="13"/>
      <c r="L285" s="13"/>
      <c r="M285" s="13"/>
      <c r="N285" s="13"/>
      <c r="O285" s="13"/>
      <c r="P285" s="13"/>
      <c r="Q285" s="13"/>
      <c r="R285" s="13"/>
    </row>
    <row r="286" spans="1:18" x14ac:dyDescent="0.35">
      <c r="A286" s="13"/>
      <c r="B286" s="13"/>
      <c r="C286" s="13"/>
      <c r="D286" s="13"/>
      <c r="E286" s="13"/>
      <c r="F286" s="13"/>
      <c r="G286" s="13"/>
      <c r="H286" s="13"/>
      <c r="I286" s="13"/>
      <c r="J286" s="13"/>
      <c r="K286" s="13"/>
      <c r="L286" s="13"/>
      <c r="M286" s="13"/>
      <c r="N286" s="13"/>
      <c r="O286" s="13"/>
      <c r="P286" s="13"/>
      <c r="Q286" s="13"/>
      <c r="R286" s="13"/>
    </row>
    <row r="287" spans="1:18" x14ac:dyDescent="0.35">
      <c r="A287" s="13"/>
      <c r="B287" s="13"/>
      <c r="C287" s="13"/>
      <c r="D287" s="13"/>
      <c r="E287" s="13"/>
      <c r="F287" s="13"/>
      <c r="G287" s="13"/>
      <c r="H287" s="13"/>
      <c r="I287" s="13"/>
      <c r="J287" s="13"/>
      <c r="K287" s="13"/>
      <c r="L287" s="13"/>
      <c r="M287" s="13"/>
      <c r="N287" s="13"/>
      <c r="O287" s="13"/>
      <c r="P287" s="13"/>
      <c r="Q287" s="13"/>
      <c r="R287" s="13"/>
    </row>
    <row r="288" spans="1:18" x14ac:dyDescent="0.35">
      <c r="A288" s="13"/>
      <c r="B288" s="13"/>
      <c r="C288" s="13"/>
      <c r="D288" s="13"/>
      <c r="E288" s="13"/>
      <c r="F288" s="13"/>
      <c r="G288" s="13"/>
      <c r="H288" s="13"/>
      <c r="I288" s="13"/>
      <c r="J288" s="13"/>
      <c r="K288" s="13"/>
      <c r="L288" s="13"/>
      <c r="M288" s="13"/>
      <c r="N288" s="13"/>
      <c r="O288" s="13"/>
      <c r="P288" s="13"/>
      <c r="Q288" s="13"/>
      <c r="R288" s="13"/>
    </row>
    <row r="289" spans="1:18" x14ac:dyDescent="0.35">
      <c r="A289" s="13"/>
      <c r="B289" s="13"/>
      <c r="C289" s="13"/>
      <c r="D289" s="13"/>
      <c r="E289" s="13"/>
      <c r="F289" s="13"/>
      <c r="G289" s="13"/>
      <c r="H289" s="13"/>
      <c r="I289" s="13"/>
      <c r="J289" s="13"/>
      <c r="K289" s="13"/>
      <c r="L289" s="13"/>
      <c r="M289" s="13"/>
      <c r="N289" s="13"/>
      <c r="O289" s="13"/>
      <c r="P289" s="13"/>
      <c r="Q289" s="13"/>
      <c r="R289" s="13"/>
    </row>
    <row r="290" spans="1:18" x14ac:dyDescent="0.35">
      <c r="A290" s="13"/>
      <c r="B290" s="13"/>
      <c r="C290" s="13"/>
      <c r="D290" s="13"/>
      <c r="E290" s="13"/>
      <c r="F290" s="13"/>
      <c r="G290" s="13"/>
      <c r="H290" s="13"/>
      <c r="I290" s="13"/>
      <c r="J290" s="13"/>
      <c r="K290" s="13"/>
      <c r="L290" s="13"/>
      <c r="M290" s="13"/>
      <c r="N290" s="13"/>
      <c r="O290" s="13"/>
      <c r="P290" s="13"/>
      <c r="Q290" s="13"/>
      <c r="R290" s="13"/>
    </row>
    <row r="291" spans="1:18" x14ac:dyDescent="0.35">
      <c r="A291" s="13"/>
      <c r="B291" s="13"/>
      <c r="C291" s="13"/>
      <c r="D291" s="13"/>
      <c r="E291" s="13"/>
      <c r="F291" s="13"/>
      <c r="G291" s="13"/>
      <c r="H291" s="13"/>
      <c r="I291" s="13"/>
      <c r="J291" s="13"/>
      <c r="K291" s="13"/>
      <c r="L291" s="13"/>
      <c r="M291" s="13"/>
      <c r="N291" s="13"/>
      <c r="O291" s="13"/>
      <c r="P291" s="13"/>
      <c r="Q291" s="13"/>
      <c r="R291" s="13"/>
    </row>
    <row r="292" spans="1:18" x14ac:dyDescent="0.35">
      <c r="A292" s="13"/>
      <c r="B292" s="13"/>
      <c r="C292" s="13"/>
      <c r="D292" s="13"/>
      <c r="E292" s="13"/>
      <c r="F292" s="13"/>
      <c r="G292" s="13"/>
      <c r="H292" s="13"/>
      <c r="I292" s="13"/>
      <c r="J292" s="13"/>
      <c r="K292" s="13"/>
      <c r="L292" s="13"/>
      <c r="M292" s="13"/>
      <c r="N292" s="13"/>
      <c r="O292" s="13"/>
      <c r="P292" s="13"/>
      <c r="Q292" s="13"/>
      <c r="R292" s="13"/>
    </row>
    <row r="293" spans="1:18" x14ac:dyDescent="0.35">
      <c r="A293" s="13"/>
      <c r="B293" s="13"/>
      <c r="C293" s="13"/>
      <c r="D293" s="13"/>
      <c r="E293" s="13"/>
      <c r="F293" s="13"/>
      <c r="G293" s="13"/>
      <c r="H293" s="13"/>
      <c r="I293" s="13"/>
      <c r="J293" s="13"/>
      <c r="K293" s="13"/>
      <c r="L293" s="13"/>
      <c r="M293" s="13"/>
      <c r="N293" s="13"/>
      <c r="O293" s="13"/>
      <c r="P293" s="13"/>
      <c r="Q293" s="13"/>
      <c r="R293" s="13"/>
    </row>
    <row r="294" spans="1:18" x14ac:dyDescent="0.35">
      <c r="A294" s="13"/>
      <c r="B294" s="13"/>
      <c r="C294" s="13"/>
      <c r="D294" s="13"/>
      <c r="E294" s="13"/>
      <c r="F294" s="13"/>
      <c r="G294" s="13"/>
      <c r="H294" s="13"/>
      <c r="I294" s="13"/>
      <c r="J294" s="13"/>
      <c r="K294" s="13"/>
      <c r="L294" s="13"/>
      <c r="M294" s="13"/>
      <c r="N294" s="13"/>
      <c r="O294" s="13"/>
      <c r="P294" s="13"/>
      <c r="Q294" s="13"/>
      <c r="R294" s="13"/>
    </row>
    <row r="295" spans="1:18" x14ac:dyDescent="0.35">
      <c r="A295" s="13"/>
      <c r="B295" s="13"/>
      <c r="C295" s="13"/>
      <c r="D295" s="13"/>
      <c r="E295" s="13"/>
      <c r="F295" s="13"/>
      <c r="G295" s="13"/>
      <c r="H295" s="13"/>
      <c r="I295" s="13"/>
      <c r="J295" s="13"/>
      <c r="K295" s="13"/>
      <c r="L295" s="13"/>
      <c r="M295" s="13"/>
      <c r="N295" s="13"/>
      <c r="O295" s="13"/>
      <c r="P295" s="13"/>
      <c r="Q295" s="13"/>
      <c r="R295" s="13"/>
    </row>
    <row r="296" spans="1:18" x14ac:dyDescent="0.35">
      <c r="A296" s="13"/>
      <c r="B296" s="13"/>
      <c r="C296" s="13"/>
      <c r="D296" s="13"/>
      <c r="E296" s="13"/>
      <c r="F296" s="13"/>
      <c r="G296" s="13"/>
      <c r="H296" s="13"/>
      <c r="I296" s="13"/>
      <c r="J296" s="13"/>
      <c r="K296" s="13"/>
      <c r="L296" s="13"/>
      <c r="M296" s="13"/>
      <c r="N296" s="13"/>
      <c r="O296" s="13"/>
      <c r="P296" s="13"/>
      <c r="Q296" s="13"/>
      <c r="R296" s="13"/>
    </row>
    <row r="297" spans="1:18" x14ac:dyDescent="0.35">
      <c r="A297" s="13"/>
      <c r="B297" s="13"/>
      <c r="C297" s="13"/>
      <c r="D297" s="13"/>
      <c r="E297" s="13"/>
      <c r="F297" s="13"/>
      <c r="G297" s="13"/>
      <c r="H297" s="13"/>
      <c r="I297" s="13"/>
      <c r="J297" s="13"/>
      <c r="K297" s="13"/>
      <c r="L297" s="13"/>
      <c r="M297" s="13"/>
      <c r="N297" s="13"/>
      <c r="O297" s="13"/>
      <c r="P297" s="13"/>
      <c r="Q297" s="13"/>
      <c r="R297" s="13"/>
    </row>
    <row r="298" spans="1:18" x14ac:dyDescent="0.35">
      <c r="A298" s="13"/>
      <c r="B298" s="13"/>
      <c r="C298" s="13"/>
      <c r="D298" s="13"/>
      <c r="E298" s="13"/>
      <c r="F298" s="13"/>
      <c r="G298" s="13"/>
      <c r="H298" s="13"/>
      <c r="I298" s="13"/>
      <c r="J298" s="13"/>
      <c r="K298" s="13"/>
      <c r="L298" s="13"/>
      <c r="M298" s="13"/>
      <c r="N298" s="13"/>
      <c r="O298" s="13"/>
      <c r="P298" s="13"/>
      <c r="Q298" s="13"/>
      <c r="R298" s="13"/>
    </row>
    <row r="299" spans="1:18" x14ac:dyDescent="0.35">
      <c r="A299" s="13"/>
      <c r="B299" s="13"/>
      <c r="C299" s="13"/>
      <c r="D299" s="13"/>
      <c r="E299" s="13"/>
      <c r="F299" s="13"/>
      <c r="G299" s="13"/>
      <c r="H299" s="13"/>
      <c r="I299" s="13"/>
      <c r="J299" s="13"/>
      <c r="K299" s="13"/>
      <c r="L299" s="13"/>
      <c r="M299" s="13"/>
      <c r="N299" s="13"/>
      <c r="O299" s="13"/>
      <c r="P299" s="13"/>
      <c r="Q299" s="13"/>
      <c r="R299" s="13"/>
    </row>
    <row r="300" spans="1:18" x14ac:dyDescent="0.35">
      <c r="A300" s="13"/>
      <c r="B300" s="13"/>
      <c r="C300" s="13"/>
      <c r="D300" s="13"/>
      <c r="E300" s="13"/>
      <c r="F300" s="13"/>
      <c r="G300" s="13"/>
      <c r="H300" s="13"/>
      <c r="I300" s="13"/>
      <c r="J300" s="13"/>
      <c r="K300" s="13"/>
      <c r="L300" s="13"/>
      <c r="M300" s="13"/>
      <c r="N300" s="13"/>
      <c r="O300" s="13"/>
      <c r="P300" s="13"/>
      <c r="Q300" s="13"/>
      <c r="R300" s="13"/>
    </row>
    <row r="301" spans="1:18" x14ac:dyDescent="0.35">
      <c r="A301" s="13"/>
      <c r="B301" s="13"/>
      <c r="C301" s="13"/>
      <c r="D301" s="13"/>
      <c r="E301" s="13"/>
      <c r="F301" s="13"/>
      <c r="G301" s="13"/>
      <c r="H301" s="13"/>
      <c r="I301" s="13"/>
      <c r="J301" s="13"/>
      <c r="K301" s="13"/>
      <c r="L301" s="13"/>
      <c r="M301" s="13"/>
      <c r="N301" s="13"/>
      <c r="O301" s="13"/>
      <c r="P301" s="13"/>
      <c r="Q301" s="13"/>
      <c r="R301" s="13"/>
    </row>
    <row r="302" spans="1:18" x14ac:dyDescent="0.35">
      <c r="A302" s="13"/>
      <c r="B302" s="13"/>
      <c r="C302" s="13"/>
      <c r="D302" s="13"/>
      <c r="E302" s="13"/>
      <c r="F302" s="13"/>
      <c r="G302" s="13"/>
      <c r="H302" s="13"/>
      <c r="I302" s="13"/>
      <c r="J302" s="13"/>
      <c r="K302" s="13"/>
      <c r="L302" s="13"/>
      <c r="M302" s="13"/>
      <c r="N302" s="13"/>
      <c r="O302" s="13"/>
      <c r="P302" s="13"/>
      <c r="Q302" s="13"/>
      <c r="R302" s="13"/>
    </row>
    <row r="303" spans="1:18" x14ac:dyDescent="0.35">
      <c r="A303" s="13"/>
      <c r="B303" s="13"/>
      <c r="C303" s="13"/>
      <c r="D303" s="13"/>
      <c r="E303" s="13"/>
      <c r="F303" s="13"/>
      <c r="G303" s="13"/>
      <c r="H303" s="13"/>
      <c r="I303" s="13"/>
      <c r="J303" s="13"/>
      <c r="K303" s="13"/>
      <c r="L303" s="13"/>
      <c r="M303" s="13"/>
      <c r="N303" s="13"/>
      <c r="O303" s="13"/>
      <c r="P303" s="13"/>
      <c r="Q303" s="13"/>
      <c r="R303" s="13"/>
    </row>
    <row r="304" spans="1:18" x14ac:dyDescent="0.35">
      <c r="A304" s="13"/>
      <c r="B304" s="13"/>
      <c r="C304" s="13"/>
      <c r="D304" s="13"/>
      <c r="E304" s="13"/>
      <c r="F304" s="13"/>
      <c r="G304" s="13"/>
      <c r="H304" s="13"/>
      <c r="I304" s="13"/>
      <c r="J304" s="13"/>
      <c r="K304" s="13"/>
      <c r="L304" s="13"/>
      <c r="M304" s="13"/>
      <c r="N304" s="13"/>
      <c r="O304" s="13"/>
      <c r="P304" s="13"/>
      <c r="Q304" s="13"/>
      <c r="R304" s="13"/>
    </row>
    <row r="305" spans="1:18" x14ac:dyDescent="0.35">
      <c r="A305" s="13"/>
      <c r="B305" s="13"/>
      <c r="C305" s="13"/>
      <c r="D305" s="13"/>
      <c r="E305" s="13"/>
      <c r="F305" s="13"/>
      <c r="G305" s="13"/>
      <c r="H305" s="13"/>
      <c r="I305" s="13"/>
      <c r="J305" s="13"/>
      <c r="K305" s="13"/>
      <c r="L305" s="13"/>
      <c r="M305" s="13"/>
      <c r="N305" s="13"/>
      <c r="O305" s="13"/>
      <c r="P305" s="13"/>
      <c r="Q305" s="13"/>
      <c r="R305" s="13"/>
    </row>
    <row r="306" spans="1:18" x14ac:dyDescent="0.35">
      <c r="A306" s="13"/>
      <c r="B306" s="13"/>
      <c r="C306" s="13"/>
      <c r="D306" s="13"/>
      <c r="E306" s="13"/>
      <c r="F306" s="13"/>
      <c r="G306" s="13"/>
      <c r="H306" s="13"/>
      <c r="I306" s="13"/>
      <c r="J306" s="13"/>
      <c r="K306" s="13"/>
      <c r="L306" s="13"/>
      <c r="M306" s="13"/>
      <c r="N306" s="13"/>
      <c r="O306" s="13"/>
      <c r="P306" s="13"/>
      <c r="Q306" s="13"/>
      <c r="R306" s="13"/>
    </row>
    <row r="307" spans="1:18" x14ac:dyDescent="0.35">
      <c r="A307" s="13"/>
      <c r="B307" s="13"/>
      <c r="C307" s="13"/>
      <c r="D307" s="13"/>
      <c r="E307" s="13"/>
      <c r="F307" s="13"/>
      <c r="G307" s="13"/>
      <c r="H307" s="13"/>
      <c r="I307" s="13"/>
      <c r="J307" s="13"/>
      <c r="K307" s="13"/>
      <c r="L307" s="13"/>
      <c r="M307" s="13"/>
      <c r="N307" s="13"/>
      <c r="O307" s="13"/>
      <c r="P307" s="13"/>
      <c r="Q307" s="13"/>
      <c r="R307" s="13"/>
    </row>
    <row r="308" spans="1:18" x14ac:dyDescent="0.35">
      <c r="A308" s="13"/>
      <c r="B308" s="13"/>
      <c r="C308" s="13"/>
      <c r="D308" s="13"/>
      <c r="E308" s="13"/>
      <c r="F308" s="13"/>
      <c r="G308" s="13"/>
      <c r="H308" s="13"/>
      <c r="I308" s="13"/>
      <c r="J308" s="13"/>
      <c r="K308" s="13"/>
      <c r="L308" s="13"/>
      <c r="M308" s="13"/>
      <c r="N308" s="13"/>
      <c r="O308" s="13"/>
      <c r="P308" s="13"/>
      <c r="Q308" s="13"/>
      <c r="R308" s="13"/>
    </row>
    <row r="309" spans="1:18" x14ac:dyDescent="0.35">
      <c r="A309" s="13"/>
      <c r="B309" s="13"/>
      <c r="C309" s="13"/>
      <c r="D309" s="13"/>
      <c r="E309" s="13"/>
      <c r="F309" s="13"/>
      <c r="G309" s="13"/>
      <c r="H309" s="13"/>
      <c r="I309" s="13"/>
      <c r="J309" s="13"/>
      <c r="K309" s="13"/>
      <c r="L309" s="13"/>
      <c r="M309" s="13"/>
      <c r="N309" s="13"/>
      <c r="O309" s="13"/>
      <c r="P309" s="13"/>
      <c r="Q309" s="13"/>
      <c r="R309" s="13"/>
    </row>
    <row r="310" spans="1:18" x14ac:dyDescent="0.35">
      <c r="A310" s="13"/>
      <c r="B310" s="13"/>
      <c r="C310" s="13"/>
      <c r="D310" s="13"/>
      <c r="E310" s="13"/>
      <c r="F310" s="13"/>
      <c r="G310" s="13"/>
      <c r="H310" s="13"/>
      <c r="I310" s="13"/>
      <c r="J310" s="13"/>
      <c r="K310" s="13"/>
      <c r="L310" s="13"/>
      <c r="M310" s="13"/>
      <c r="N310" s="13"/>
      <c r="O310" s="13"/>
      <c r="P310" s="13"/>
      <c r="Q310" s="13"/>
      <c r="R310" s="13"/>
    </row>
    <row r="311" spans="1:18" x14ac:dyDescent="0.35">
      <c r="A311" s="13"/>
      <c r="B311" s="13"/>
      <c r="C311" s="13"/>
      <c r="D311" s="13"/>
      <c r="E311" s="13"/>
      <c r="F311" s="13"/>
      <c r="G311" s="13"/>
      <c r="H311" s="13"/>
      <c r="I311" s="13"/>
      <c r="J311" s="13"/>
      <c r="K311" s="13"/>
      <c r="L311" s="13"/>
      <c r="M311" s="13"/>
      <c r="N311" s="13"/>
      <c r="O311" s="13"/>
      <c r="P311" s="13"/>
      <c r="Q311" s="13"/>
      <c r="R311" s="13"/>
    </row>
    <row r="312" spans="1:18" x14ac:dyDescent="0.35">
      <c r="A312" s="13"/>
      <c r="B312" s="13"/>
      <c r="C312" s="13"/>
      <c r="D312" s="13"/>
      <c r="E312" s="13"/>
      <c r="F312" s="13"/>
      <c r="G312" s="13"/>
      <c r="H312" s="13"/>
      <c r="I312" s="13"/>
      <c r="J312" s="13"/>
      <c r="K312" s="13"/>
      <c r="L312" s="13"/>
      <c r="M312" s="13"/>
      <c r="N312" s="13"/>
      <c r="O312" s="13"/>
      <c r="P312" s="13"/>
      <c r="Q312" s="13"/>
      <c r="R312" s="13"/>
    </row>
    <row r="313" spans="1:18" x14ac:dyDescent="0.35">
      <c r="A313" s="13"/>
      <c r="B313" s="13"/>
      <c r="C313" s="13"/>
      <c r="D313" s="13"/>
      <c r="E313" s="13"/>
      <c r="F313" s="13"/>
      <c r="G313" s="13"/>
      <c r="H313" s="13"/>
      <c r="I313" s="13"/>
      <c r="J313" s="13"/>
      <c r="K313" s="13"/>
      <c r="L313" s="13"/>
      <c r="M313" s="13"/>
      <c r="N313" s="13"/>
      <c r="O313" s="13"/>
      <c r="P313" s="13"/>
      <c r="Q313" s="13"/>
      <c r="R313" s="13"/>
    </row>
    <row r="314" spans="1:18" x14ac:dyDescent="0.35">
      <c r="A314" s="13"/>
      <c r="B314" s="13"/>
      <c r="C314" s="13"/>
      <c r="D314" s="13"/>
      <c r="E314" s="13"/>
      <c r="F314" s="13"/>
      <c r="G314" s="13"/>
      <c r="H314" s="13"/>
      <c r="I314" s="13"/>
      <c r="J314" s="13"/>
      <c r="K314" s="13"/>
      <c r="L314" s="13"/>
      <c r="M314" s="13"/>
      <c r="N314" s="13"/>
      <c r="O314" s="13"/>
      <c r="P314" s="13"/>
      <c r="Q314" s="13"/>
      <c r="R314" s="13"/>
    </row>
    <row r="315" spans="1:18" x14ac:dyDescent="0.35">
      <c r="A315" s="13"/>
      <c r="B315" s="13"/>
      <c r="C315" s="13"/>
      <c r="D315" s="13"/>
      <c r="E315" s="13"/>
      <c r="F315" s="13"/>
      <c r="G315" s="13"/>
      <c r="H315" s="13"/>
      <c r="I315" s="13"/>
      <c r="J315" s="13"/>
      <c r="K315" s="13"/>
      <c r="L315" s="13"/>
      <c r="M315" s="13"/>
      <c r="N315" s="13"/>
      <c r="O315" s="13"/>
      <c r="P315" s="13"/>
      <c r="Q315" s="13"/>
      <c r="R315" s="13"/>
    </row>
    <row r="316" spans="1:18" x14ac:dyDescent="0.35">
      <c r="A316" s="13"/>
      <c r="B316" s="13"/>
      <c r="C316" s="13"/>
      <c r="D316" s="13"/>
      <c r="E316" s="13"/>
      <c r="F316" s="13"/>
      <c r="G316" s="13"/>
      <c r="H316" s="13"/>
      <c r="I316" s="13"/>
      <c r="J316" s="13"/>
      <c r="K316" s="13"/>
      <c r="L316" s="13"/>
      <c r="M316" s="13"/>
      <c r="N316" s="13"/>
      <c r="O316" s="13"/>
      <c r="P316" s="13"/>
      <c r="Q316" s="13"/>
      <c r="R316" s="13"/>
    </row>
    <row r="317" spans="1:18" x14ac:dyDescent="0.35">
      <c r="A317" s="13"/>
      <c r="B317" s="13"/>
      <c r="C317" s="13"/>
      <c r="D317" s="13"/>
      <c r="E317" s="13"/>
      <c r="F317" s="13"/>
      <c r="G317" s="13"/>
      <c r="H317" s="13"/>
      <c r="I317" s="13"/>
      <c r="J317" s="13"/>
      <c r="K317" s="13"/>
      <c r="L317" s="13"/>
      <c r="M317" s="13"/>
      <c r="N317" s="13"/>
      <c r="O317" s="13"/>
      <c r="P317" s="13"/>
      <c r="Q317" s="13"/>
      <c r="R317" s="13"/>
    </row>
    <row r="318" spans="1:18" x14ac:dyDescent="0.35">
      <c r="A318" s="13"/>
      <c r="B318" s="13"/>
      <c r="C318" s="13"/>
      <c r="D318" s="13"/>
      <c r="E318" s="13"/>
      <c r="F318" s="13"/>
      <c r="G318" s="13"/>
      <c r="H318" s="13"/>
      <c r="I318" s="13"/>
      <c r="J318" s="13"/>
      <c r="K318" s="13"/>
      <c r="L318" s="13"/>
      <c r="M318" s="13"/>
      <c r="N318" s="13"/>
      <c r="O318" s="13"/>
      <c r="P318" s="13"/>
      <c r="Q318" s="13"/>
      <c r="R318" s="13"/>
    </row>
    <row r="319" spans="1:18" x14ac:dyDescent="0.35">
      <c r="A319" s="13"/>
      <c r="B319" s="13"/>
      <c r="C319" s="13"/>
      <c r="D319" s="13"/>
      <c r="E319" s="13"/>
      <c r="F319" s="13"/>
      <c r="G319" s="13"/>
      <c r="H319" s="13"/>
      <c r="I319" s="13"/>
      <c r="J319" s="13"/>
      <c r="K319" s="13"/>
      <c r="L319" s="13"/>
      <c r="M319" s="13"/>
      <c r="N319" s="13"/>
      <c r="O319" s="13"/>
      <c r="P319" s="13"/>
      <c r="Q319" s="13"/>
      <c r="R319" s="13"/>
    </row>
    <row r="320" spans="1:18" x14ac:dyDescent="0.35">
      <c r="A320" s="13"/>
      <c r="B320" s="13"/>
      <c r="C320" s="13"/>
      <c r="D320" s="13"/>
      <c r="E320" s="13"/>
      <c r="F320" s="13"/>
      <c r="G320" s="13"/>
      <c r="H320" s="13"/>
      <c r="I320" s="13"/>
      <c r="J320" s="13"/>
      <c r="K320" s="13"/>
      <c r="L320" s="13"/>
      <c r="M320" s="13"/>
      <c r="N320" s="13"/>
      <c r="O320" s="13"/>
      <c r="P320" s="13"/>
      <c r="Q320" s="13"/>
      <c r="R320" s="13"/>
    </row>
    <row r="321" spans="1:18" x14ac:dyDescent="0.35">
      <c r="A321" s="13"/>
      <c r="B321" s="13"/>
      <c r="C321" s="13"/>
      <c r="D321" s="13"/>
      <c r="E321" s="13"/>
      <c r="F321" s="13"/>
      <c r="G321" s="13"/>
      <c r="H321" s="13"/>
      <c r="I321" s="13"/>
      <c r="J321" s="13"/>
      <c r="K321" s="13"/>
      <c r="L321" s="13"/>
      <c r="M321" s="13"/>
      <c r="N321" s="13"/>
      <c r="O321" s="13"/>
      <c r="P321" s="13"/>
      <c r="Q321" s="13"/>
      <c r="R321" s="13"/>
    </row>
    <row r="322" spans="1:18" x14ac:dyDescent="0.35">
      <c r="A322" s="13"/>
      <c r="B322" s="13"/>
      <c r="C322" s="13"/>
      <c r="D322" s="13"/>
      <c r="E322" s="13"/>
      <c r="F322" s="13"/>
      <c r="G322" s="13"/>
      <c r="H322" s="13"/>
      <c r="I322" s="13"/>
      <c r="J322" s="13"/>
      <c r="K322" s="13"/>
      <c r="L322" s="13"/>
      <c r="M322" s="13"/>
      <c r="N322" s="13"/>
      <c r="O322" s="13"/>
      <c r="P322" s="13"/>
      <c r="Q322" s="13"/>
      <c r="R322" s="13"/>
    </row>
    <row r="323" spans="1:18" x14ac:dyDescent="0.35">
      <c r="A323" s="13"/>
      <c r="B323" s="13"/>
      <c r="C323" s="13"/>
      <c r="D323" s="13"/>
      <c r="E323" s="13"/>
      <c r="F323" s="13"/>
      <c r="G323" s="13"/>
      <c r="H323" s="13"/>
      <c r="I323" s="13"/>
      <c r="J323" s="13"/>
      <c r="K323" s="13"/>
      <c r="L323" s="13"/>
      <c r="M323" s="13"/>
      <c r="N323" s="13"/>
      <c r="O323" s="13"/>
      <c r="P323" s="13"/>
      <c r="Q323" s="13"/>
      <c r="R323" s="13"/>
    </row>
    <row r="324" spans="1:18" x14ac:dyDescent="0.35">
      <c r="A324" s="13"/>
      <c r="B324" s="13"/>
      <c r="C324" s="13"/>
      <c r="D324" s="13"/>
      <c r="E324" s="13"/>
      <c r="F324" s="13"/>
      <c r="G324" s="13"/>
      <c r="H324" s="13"/>
      <c r="I324" s="13"/>
      <c r="J324" s="13"/>
      <c r="K324" s="13"/>
      <c r="L324" s="13"/>
      <c r="M324" s="13"/>
      <c r="N324" s="13"/>
      <c r="O324" s="13"/>
      <c r="P324" s="13"/>
      <c r="Q324" s="13"/>
      <c r="R324" s="13"/>
    </row>
    <row r="325" spans="1:18" x14ac:dyDescent="0.35">
      <c r="A325" s="13"/>
      <c r="B325" s="13"/>
      <c r="C325" s="13"/>
      <c r="D325" s="13"/>
      <c r="E325" s="13"/>
      <c r="F325" s="13"/>
      <c r="G325" s="13"/>
      <c r="H325" s="13"/>
      <c r="I325" s="13"/>
      <c r="J325" s="13"/>
      <c r="K325" s="13"/>
      <c r="L325" s="13"/>
      <c r="M325" s="13"/>
      <c r="N325" s="13"/>
      <c r="O325" s="13"/>
      <c r="P325" s="13"/>
      <c r="Q325" s="13"/>
      <c r="R325" s="13"/>
    </row>
    <row r="326" spans="1:18" x14ac:dyDescent="0.35">
      <c r="A326" s="13"/>
      <c r="B326" s="13"/>
      <c r="C326" s="13"/>
      <c r="D326" s="13"/>
      <c r="E326" s="13"/>
      <c r="F326" s="13"/>
      <c r="G326" s="13"/>
      <c r="H326" s="13"/>
      <c r="I326" s="13"/>
      <c r="J326" s="13"/>
      <c r="K326" s="13"/>
      <c r="L326" s="13"/>
      <c r="M326" s="13"/>
      <c r="N326" s="13"/>
      <c r="O326" s="13"/>
      <c r="P326" s="13"/>
      <c r="Q326" s="13"/>
      <c r="R326" s="13"/>
    </row>
    <row r="327" spans="1:18" x14ac:dyDescent="0.35">
      <c r="A327" s="13"/>
      <c r="B327" s="13"/>
      <c r="C327" s="13"/>
      <c r="D327" s="13"/>
      <c r="E327" s="13"/>
      <c r="F327" s="13"/>
      <c r="G327" s="13"/>
      <c r="H327" s="13"/>
      <c r="I327" s="13"/>
      <c r="J327" s="13"/>
      <c r="K327" s="13"/>
      <c r="L327" s="13"/>
      <c r="M327" s="13"/>
      <c r="N327" s="13"/>
      <c r="O327" s="13"/>
      <c r="P327" s="13"/>
      <c r="Q327" s="13"/>
      <c r="R327" s="13"/>
    </row>
    <row r="328" spans="1:18" x14ac:dyDescent="0.35">
      <c r="A328" s="13"/>
      <c r="B328" s="13"/>
      <c r="C328" s="13"/>
      <c r="D328" s="13"/>
      <c r="E328" s="13"/>
      <c r="F328" s="13"/>
      <c r="G328" s="13"/>
      <c r="H328" s="13"/>
      <c r="I328" s="13"/>
      <c r="J328" s="13"/>
      <c r="K328" s="13"/>
      <c r="L328" s="13"/>
      <c r="M328" s="13"/>
      <c r="N328" s="13"/>
      <c r="O328" s="13"/>
      <c r="P328" s="13"/>
      <c r="Q328" s="13"/>
      <c r="R328" s="13"/>
    </row>
    <row r="329" spans="1:18" x14ac:dyDescent="0.35">
      <c r="A329" s="13"/>
      <c r="B329" s="13"/>
      <c r="C329" s="13"/>
      <c r="D329" s="13"/>
      <c r="E329" s="13"/>
      <c r="F329" s="13"/>
      <c r="G329" s="13"/>
      <c r="H329" s="13"/>
      <c r="I329" s="13"/>
      <c r="J329" s="13"/>
      <c r="K329" s="13"/>
      <c r="L329" s="13"/>
      <c r="M329" s="13"/>
      <c r="N329" s="13"/>
      <c r="O329" s="13"/>
      <c r="P329" s="13"/>
      <c r="Q329" s="13"/>
      <c r="R329" s="13"/>
    </row>
    <row r="330" spans="1:18" x14ac:dyDescent="0.35">
      <c r="A330" s="13"/>
      <c r="B330" s="13"/>
      <c r="C330" s="13"/>
      <c r="D330" s="13"/>
      <c r="E330" s="13"/>
      <c r="F330" s="13"/>
      <c r="G330" s="13"/>
      <c r="H330" s="13"/>
      <c r="I330" s="13"/>
      <c r="J330" s="13"/>
      <c r="K330" s="13"/>
      <c r="L330" s="13"/>
      <c r="M330" s="13"/>
      <c r="N330" s="13"/>
      <c r="O330" s="13"/>
      <c r="P330" s="13"/>
      <c r="Q330" s="13"/>
      <c r="R330" s="13"/>
    </row>
    <row r="331" spans="1:18" x14ac:dyDescent="0.35">
      <c r="A331" s="13"/>
      <c r="B331" s="13"/>
      <c r="C331" s="13"/>
      <c r="D331" s="13"/>
      <c r="E331" s="13"/>
      <c r="F331" s="13"/>
      <c r="G331" s="13"/>
      <c r="H331" s="13"/>
      <c r="I331" s="13"/>
      <c r="J331" s="13"/>
      <c r="K331" s="13"/>
      <c r="L331" s="13"/>
      <c r="M331" s="13"/>
      <c r="N331" s="13"/>
      <c r="O331" s="13"/>
      <c r="P331" s="13"/>
      <c r="Q331" s="13"/>
      <c r="R331" s="13"/>
    </row>
    <row r="332" spans="1:18" x14ac:dyDescent="0.35">
      <c r="A332" s="13"/>
      <c r="B332" s="13"/>
      <c r="C332" s="13"/>
      <c r="D332" s="13"/>
      <c r="E332" s="13"/>
      <c r="F332" s="13"/>
      <c r="G332" s="13"/>
      <c r="H332" s="13"/>
      <c r="I332" s="13"/>
      <c r="J332" s="13"/>
      <c r="K332" s="13"/>
      <c r="L332" s="13"/>
      <c r="M332" s="13"/>
      <c r="N332" s="13"/>
      <c r="O332" s="13"/>
      <c r="P332" s="13"/>
      <c r="Q332" s="13"/>
      <c r="R332" s="13"/>
    </row>
    <row r="333" spans="1:18" x14ac:dyDescent="0.35">
      <c r="A333" s="13"/>
      <c r="B333" s="13"/>
      <c r="C333" s="13"/>
      <c r="D333" s="13"/>
      <c r="E333" s="13"/>
      <c r="F333" s="13"/>
      <c r="G333" s="13"/>
      <c r="H333" s="13"/>
      <c r="I333" s="13"/>
      <c r="J333" s="13"/>
      <c r="K333" s="13"/>
      <c r="L333" s="13"/>
      <c r="M333" s="13"/>
      <c r="N333" s="13"/>
      <c r="O333" s="13"/>
      <c r="P333" s="13"/>
      <c r="Q333" s="13"/>
      <c r="R333" s="13"/>
    </row>
    <row r="334" spans="1:18" x14ac:dyDescent="0.35">
      <c r="A334" s="13"/>
      <c r="B334" s="13"/>
      <c r="C334" s="13"/>
      <c r="D334" s="13"/>
      <c r="E334" s="13"/>
      <c r="F334" s="13"/>
      <c r="G334" s="13"/>
      <c r="H334" s="13"/>
      <c r="I334" s="13"/>
      <c r="J334" s="13"/>
      <c r="K334" s="13"/>
      <c r="L334" s="13"/>
      <c r="M334" s="13"/>
      <c r="N334" s="13"/>
      <c r="O334" s="13"/>
      <c r="P334" s="13"/>
      <c r="Q334" s="13"/>
      <c r="R334" s="13"/>
    </row>
    <row r="335" spans="1:18" x14ac:dyDescent="0.35">
      <c r="A335" s="13"/>
      <c r="B335" s="13"/>
      <c r="C335" s="13"/>
      <c r="D335" s="13"/>
      <c r="E335" s="13"/>
      <c r="F335" s="13"/>
      <c r="G335" s="13"/>
      <c r="H335" s="13"/>
      <c r="I335" s="13"/>
      <c r="J335" s="13"/>
      <c r="K335" s="13"/>
      <c r="L335" s="13"/>
      <c r="M335" s="13"/>
      <c r="N335" s="13"/>
      <c r="O335" s="13"/>
      <c r="P335" s="13"/>
      <c r="Q335" s="13"/>
      <c r="R335" s="13"/>
    </row>
    <row r="336" spans="1:18" x14ac:dyDescent="0.35">
      <c r="A336" s="13"/>
      <c r="B336" s="13"/>
      <c r="C336" s="13"/>
      <c r="D336" s="13"/>
      <c r="E336" s="13"/>
      <c r="F336" s="13"/>
      <c r="G336" s="13"/>
      <c r="H336" s="13"/>
      <c r="I336" s="13"/>
      <c r="J336" s="13"/>
      <c r="K336" s="13"/>
      <c r="L336" s="13"/>
      <c r="M336" s="13"/>
      <c r="N336" s="13"/>
      <c r="O336" s="13"/>
      <c r="P336" s="13"/>
      <c r="Q336" s="13"/>
      <c r="R336" s="13"/>
    </row>
    <row r="337" spans="1:18" x14ac:dyDescent="0.35">
      <c r="A337" s="13"/>
      <c r="B337" s="13"/>
      <c r="C337" s="13"/>
      <c r="D337" s="13"/>
      <c r="E337" s="13"/>
      <c r="F337" s="13"/>
      <c r="G337" s="13"/>
      <c r="H337" s="13"/>
      <c r="I337" s="13"/>
      <c r="J337" s="13"/>
      <c r="K337" s="13"/>
      <c r="L337" s="13"/>
      <c r="M337" s="13"/>
      <c r="N337" s="13"/>
      <c r="O337" s="13"/>
      <c r="P337" s="13"/>
      <c r="Q337" s="13"/>
      <c r="R337" s="13"/>
    </row>
    <row r="338" spans="1:18" x14ac:dyDescent="0.35">
      <c r="A338" s="13"/>
      <c r="B338" s="13"/>
      <c r="C338" s="13"/>
      <c r="D338" s="13"/>
      <c r="E338" s="13"/>
      <c r="F338" s="13"/>
      <c r="G338" s="13"/>
      <c r="H338" s="13"/>
      <c r="I338" s="13"/>
      <c r="J338" s="13"/>
      <c r="K338" s="13"/>
      <c r="L338" s="13"/>
      <c r="M338" s="13"/>
      <c r="N338" s="13"/>
      <c r="O338" s="13"/>
      <c r="P338" s="13"/>
      <c r="Q338" s="13"/>
      <c r="R338" s="13"/>
    </row>
    <row r="339" spans="1:18" x14ac:dyDescent="0.35">
      <c r="A339" s="13"/>
      <c r="B339" s="13"/>
      <c r="C339" s="13"/>
      <c r="D339" s="13"/>
      <c r="E339" s="13"/>
      <c r="F339" s="13"/>
      <c r="G339" s="13"/>
      <c r="H339" s="13"/>
      <c r="I339" s="13"/>
      <c r="J339" s="13"/>
      <c r="K339" s="13"/>
      <c r="L339" s="13"/>
      <c r="M339" s="13"/>
      <c r="N339" s="13"/>
      <c r="O339" s="13"/>
      <c r="P339" s="13"/>
      <c r="Q339" s="13"/>
      <c r="R339" s="13"/>
    </row>
    <row r="340" spans="1:18" x14ac:dyDescent="0.35">
      <c r="A340" s="13"/>
      <c r="B340" s="13"/>
      <c r="C340" s="13"/>
      <c r="D340" s="13"/>
      <c r="E340" s="13"/>
      <c r="F340" s="13"/>
      <c r="G340" s="13"/>
      <c r="H340" s="13"/>
      <c r="I340" s="13"/>
      <c r="J340" s="13"/>
      <c r="K340" s="13"/>
      <c r="L340" s="13"/>
      <c r="M340" s="13"/>
      <c r="N340" s="13"/>
      <c r="O340" s="13"/>
      <c r="P340" s="13"/>
      <c r="Q340" s="13"/>
      <c r="R340" s="13"/>
    </row>
    <row r="341" spans="1:18" x14ac:dyDescent="0.35">
      <c r="A341" s="13"/>
      <c r="B341" s="13"/>
      <c r="C341" s="13"/>
      <c r="D341" s="13"/>
      <c r="E341" s="13"/>
      <c r="F341" s="13"/>
      <c r="G341" s="13"/>
      <c r="H341" s="13"/>
      <c r="I341" s="13"/>
      <c r="J341" s="13"/>
      <c r="K341" s="13"/>
      <c r="L341" s="13"/>
      <c r="M341" s="13"/>
      <c r="N341" s="13"/>
      <c r="O341" s="13"/>
      <c r="P341" s="13"/>
      <c r="Q341" s="13"/>
      <c r="R341" s="13"/>
    </row>
    <row r="342" spans="1:18" x14ac:dyDescent="0.35">
      <c r="A342" s="13"/>
      <c r="B342" s="13"/>
      <c r="C342" s="13"/>
      <c r="D342" s="13"/>
      <c r="E342" s="13"/>
      <c r="F342" s="13"/>
      <c r="G342" s="13"/>
      <c r="H342" s="13"/>
      <c r="I342" s="13"/>
      <c r="J342" s="13"/>
      <c r="K342" s="13"/>
      <c r="L342" s="13"/>
      <c r="M342" s="13"/>
      <c r="N342" s="13"/>
      <c r="O342" s="13"/>
      <c r="P342" s="13"/>
      <c r="Q342" s="13"/>
      <c r="R342" s="13"/>
    </row>
    <row r="343" spans="1:18" x14ac:dyDescent="0.35">
      <c r="A343" s="13"/>
      <c r="B343" s="13"/>
      <c r="C343" s="13"/>
      <c r="D343" s="13"/>
      <c r="E343" s="13"/>
      <c r="F343" s="13"/>
      <c r="G343" s="13"/>
      <c r="H343" s="13"/>
      <c r="I343" s="13"/>
      <c r="J343" s="13"/>
      <c r="K343" s="13"/>
      <c r="L343" s="13"/>
      <c r="M343" s="13"/>
      <c r="N343" s="13"/>
      <c r="O343" s="13"/>
      <c r="P343" s="13"/>
      <c r="Q343" s="13"/>
      <c r="R343" s="13"/>
    </row>
    <row r="344" spans="1:18" x14ac:dyDescent="0.35">
      <c r="A344" s="13"/>
      <c r="B344" s="13"/>
      <c r="C344" s="13"/>
      <c r="D344" s="13"/>
      <c r="E344" s="13"/>
      <c r="F344" s="13"/>
      <c r="G344" s="13"/>
      <c r="H344" s="13"/>
      <c r="I344" s="13"/>
      <c r="J344" s="13"/>
      <c r="K344" s="13"/>
      <c r="L344" s="13"/>
      <c r="M344" s="13"/>
      <c r="N344" s="13"/>
      <c r="O344" s="13"/>
      <c r="P344" s="13"/>
      <c r="Q344" s="13"/>
      <c r="R344" s="13"/>
    </row>
    <row r="345" spans="1:18" x14ac:dyDescent="0.35">
      <c r="A345" s="13"/>
      <c r="B345" s="13"/>
      <c r="C345" s="13"/>
      <c r="D345" s="13"/>
      <c r="E345" s="13"/>
      <c r="F345" s="13"/>
      <c r="G345" s="13"/>
      <c r="H345" s="13"/>
      <c r="I345" s="13"/>
      <c r="J345" s="13"/>
      <c r="K345" s="13"/>
      <c r="L345" s="13"/>
      <c r="M345" s="13"/>
      <c r="N345" s="13"/>
      <c r="O345" s="13"/>
      <c r="P345" s="13"/>
      <c r="Q345" s="13"/>
      <c r="R345" s="13"/>
    </row>
    <row r="346" spans="1:18" x14ac:dyDescent="0.35">
      <c r="A346" s="13"/>
      <c r="B346" s="13"/>
      <c r="C346" s="13"/>
      <c r="D346" s="13"/>
      <c r="E346" s="13"/>
      <c r="F346" s="13"/>
      <c r="G346" s="13"/>
      <c r="H346" s="13"/>
      <c r="I346" s="13"/>
      <c r="J346" s="13"/>
      <c r="K346" s="13"/>
      <c r="L346" s="13"/>
      <c r="M346" s="13"/>
      <c r="N346" s="13"/>
      <c r="O346" s="13"/>
      <c r="P346" s="13"/>
      <c r="Q346" s="13"/>
      <c r="R346" s="13"/>
    </row>
    <row r="347" spans="1:18" x14ac:dyDescent="0.35">
      <c r="A347" s="13"/>
      <c r="B347" s="13"/>
      <c r="C347" s="13"/>
      <c r="D347" s="13"/>
      <c r="E347" s="13"/>
      <c r="F347" s="13"/>
      <c r="G347" s="13"/>
      <c r="H347" s="13"/>
      <c r="I347" s="13"/>
      <c r="J347" s="13"/>
      <c r="K347" s="13"/>
      <c r="L347" s="13"/>
      <c r="M347" s="13"/>
      <c r="N347" s="13"/>
      <c r="O347" s="13"/>
      <c r="P347" s="13"/>
      <c r="Q347" s="13"/>
      <c r="R347" s="13"/>
    </row>
    <row r="348" spans="1:18" x14ac:dyDescent="0.35">
      <c r="A348" s="13"/>
      <c r="B348" s="13"/>
      <c r="C348" s="13"/>
      <c r="D348" s="13"/>
      <c r="E348" s="13"/>
      <c r="F348" s="13"/>
      <c r="G348" s="13"/>
      <c r="H348" s="13"/>
      <c r="I348" s="13"/>
      <c r="J348" s="13"/>
      <c r="K348" s="13"/>
      <c r="L348" s="13"/>
      <c r="M348" s="13"/>
      <c r="N348" s="13"/>
      <c r="O348" s="13"/>
      <c r="P348" s="13"/>
      <c r="Q348" s="13"/>
      <c r="R348" s="13"/>
    </row>
    <row r="349" spans="1:18" x14ac:dyDescent="0.35">
      <c r="A349" s="13"/>
      <c r="B349" s="13"/>
      <c r="C349" s="13"/>
      <c r="D349" s="13"/>
      <c r="E349" s="13"/>
      <c r="F349" s="13"/>
      <c r="G349" s="13"/>
      <c r="H349" s="13"/>
      <c r="I349" s="13"/>
      <c r="J349" s="13"/>
      <c r="K349" s="13"/>
      <c r="L349" s="13"/>
      <c r="M349" s="13"/>
      <c r="N349" s="13"/>
      <c r="O349" s="13"/>
      <c r="P349" s="13"/>
      <c r="Q349" s="13"/>
      <c r="R349" s="13"/>
    </row>
    <row r="350" spans="1:18" x14ac:dyDescent="0.35">
      <c r="A350" s="13"/>
      <c r="B350" s="13"/>
      <c r="C350" s="13"/>
      <c r="D350" s="13"/>
      <c r="E350" s="13"/>
      <c r="F350" s="13"/>
      <c r="G350" s="13"/>
      <c r="H350" s="13"/>
      <c r="I350" s="13"/>
      <c r="J350" s="13"/>
      <c r="K350" s="13"/>
      <c r="L350" s="13"/>
      <c r="M350" s="13"/>
      <c r="N350" s="13"/>
      <c r="O350" s="13"/>
      <c r="P350" s="13"/>
      <c r="Q350" s="13"/>
      <c r="R350" s="13"/>
    </row>
    <row r="351" spans="1:18" x14ac:dyDescent="0.35">
      <c r="A351" s="13"/>
      <c r="B351" s="13"/>
      <c r="C351" s="13"/>
      <c r="D351" s="13"/>
      <c r="E351" s="13"/>
      <c r="F351" s="13"/>
      <c r="G351" s="13"/>
      <c r="H351" s="13"/>
      <c r="I351" s="13"/>
      <c r="J351" s="13"/>
      <c r="K351" s="13"/>
      <c r="L351" s="13"/>
      <c r="M351" s="13"/>
      <c r="N351" s="13"/>
      <c r="O351" s="13"/>
      <c r="P351" s="13"/>
      <c r="Q351" s="13"/>
      <c r="R351" s="13"/>
    </row>
    <row r="352" spans="1:18" x14ac:dyDescent="0.35">
      <c r="A352" s="13"/>
      <c r="B352" s="13"/>
      <c r="C352" s="13"/>
      <c r="D352" s="13"/>
      <c r="E352" s="13"/>
      <c r="F352" s="13"/>
      <c r="G352" s="13"/>
      <c r="H352" s="13"/>
      <c r="I352" s="13"/>
      <c r="J352" s="13"/>
      <c r="K352" s="13"/>
      <c r="L352" s="13"/>
      <c r="M352" s="13"/>
      <c r="N352" s="13"/>
      <c r="O352" s="13"/>
      <c r="P352" s="13"/>
      <c r="Q352" s="13"/>
      <c r="R352" s="13"/>
    </row>
    <row r="353" spans="1:18" x14ac:dyDescent="0.35">
      <c r="A353" s="13"/>
      <c r="B353" s="13"/>
      <c r="C353" s="13"/>
      <c r="D353" s="13"/>
      <c r="E353" s="13"/>
      <c r="F353" s="13"/>
      <c r="G353" s="13"/>
      <c r="H353" s="13"/>
      <c r="I353" s="13"/>
      <c r="J353" s="13"/>
      <c r="K353" s="13"/>
      <c r="L353" s="13"/>
      <c r="M353" s="13"/>
      <c r="N353" s="13"/>
      <c r="O353" s="13"/>
      <c r="P353" s="13"/>
      <c r="Q353" s="13"/>
      <c r="R353" s="13"/>
    </row>
    <row r="354" spans="1:18" x14ac:dyDescent="0.35">
      <c r="A354" s="13"/>
      <c r="B354" s="13"/>
      <c r="C354" s="13"/>
      <c r="D354" s="13"/>
      <c r="E354" s="13"/>
      <c r="F354" s="13"/>
      <c r="G354" s="13"/>
      <c r="H354" s="13"/>
      <c r="I354" s="13"/>
      <c r="J354" s="13"/>
      <c r="K354" s="13"/>
      <c r="L354" s="13"/>
      <c r="M354" s="13"/>
      <c r="N354" s="13"/>
      <c r="O354" s="13"/>
      <c r="P354" s="13"/>
      <c r="Q354" s="13"/>
      <c r="R354" s="13"/>
    </row>
    <row r="355" spans="1:18" x14ac:dyDescent="0.35">
      <c r="A355" s="13"/>
      <c r="B355" s="13"/>
      <c r="C355" s="13"/>
      <c r="D355" s="13"/>
      <c r="E355" s="13"/>
      <c r="F355" s="13"/>
      <c r="G355" s="13"/>
      <c r="H355" s="13"/>
      <c r="I355" s="13"/>
      <c r="J355" s="13"/>
      <c r="K355" s="13"/>
      <c r="L355" s="13"/>
      <c r="M355" s="13"/>
      <c r="N355" s="13"/>
      <c r="O355" s="13"/>
      <c r="P355" s="13"/>
      <c r="Q355" s="13"/>
      <c r="R355" s="13"/>
    </row>
    <row r="356" spans="1:18" x14ac:dyDescent="0.35">
      <c r="A356" s="13"/>
      <c r="B356" s="13"/>
      <c r="C356" s="13"/>
      <c r="D356" s="13"/>
      <c r="E356" s="13"/>
      <c r="F356" s="13"/>
      <c r="G356" s="13"/>
      <c r="H356" s="13"/>
      <c r="I356" s="13"/>
      <c r="J356" s="13"/>
      <c r="K356" s="13"/>
      <c r="L356" s="13"/>
      <c r="M356" s="13"/>
      <c r="N356" s="13"/>
      <c r="O356" s="13"/>
      <c r="P356" s="13"/>
      <c r="Q356" s="13"/>
      <c r="R356" s="13"/>
    </row>
    <row r="357" spans="1:18" x14ac:dyDescent="0.35">
      <c r="A357" s="13"/>
      <c r="B357" s="13"/>
      <c r="C357" s="13"/>
      <c r="D357" s="13"/>
      <c r="E357" s="13"/>
      <c r="F357" s="13"/>
      <c r="G357" s="13"/>
      <c r="H357" s="13"/>
      <c r="I357" s="13"/>
      <c r="J357" s="13"/>
      <c r="K357" s="13"/>
      <c r="L357" s="13"/>
      <c r="M357" s="13"/>
      <c r="N357" s="13"/>
      <c r="O357" s="13"/>
      <c r="P357" s="13"/>
      <c r="Q357" s="13"/>
      <c r="R357" s="13"/>
    </row>
    <row r="358" spans="1:18" x14ac:dyDescent="0.35">
      <c r="A358" s="13"/>
      <c r="B358" s="13"/>
      <c r="C358" s="13"/>
      <c r="D358" s="13"/>
      <c r="E358" s="13"/>
      <c r="F358" s="13"/>
      <c r="G358" s="13"/>
      <c r="H358" s="13"/>
      <c r="I358" s="13"/>
      <c r="J358" s="13"/>
      <c r="K358" s="13"/>
      <c r="L358" s="13"/>
      <c r="M358" s="13"/>
      <c r="N358" s="13"/>
      <c r="O358" s="13"/>
      <c r="P358" s="13"/>
      <c r="Q358" s="13"/>
      <c r="R358" s="13"/>
    </row>
    <row r="359" spans="1:18" x14ac:dyDescent="0.35">
      <c r="A359" s="13"/>
      <c r="B359" s="13"/>
      <c r="C359" s="13"/>
      <c r="D359" s="13"/>
      <c r="E359" s="13"/>
      <c r="F359" s="13"/>
      <c r="G359" s="13"/>
      <c r="H359" s="13"/>
      <c r="I359" s="13"/>
      <c r="J359" s="13"/>
      <c r="K359" s="13"/>
      <c r="L359" s="13"/>
      <c r="M359" s="13"/>
      <c r="N359" s="13"/>
      <c r="O359" s="13"/>
      <c r="P359" s="13"/>
      <c r="Q359" s="13"/>
      <c r="R359" s="13"/>
    </row>
    <row r="360" spans="1:18" x14ac:dyDescent="0.35">
      <c r="A360" s="13"/>
      <c r="B360" s="13"/>
      <c r="C360" s="13"/>
      <c r="D360" s="13"/>
      <c r="E360" s="13"/>
      <c r="F360" s="13"/>
      <c r="G360" s="13"/>
      <c r="H360" s="13"/>
      <c r="I360" s="13"/>
      <c r="J360" s="13"/>
      <c r="K360" s="13"/>
      <c r="L360" s="13"/>
      <c r="M360" s="13"/>
      <c r="N360" s="13"/>
      <c r="O360" s="13"/>
      <c r="P360" s="13"/>
      <c r="Q360" s="13"/>
      <c r="R360" s="13"/>
    </row>
    <row r="361" spans="1:18" x14ac:dyDescent="0.35">
      <c r="A361" s="13"/>
      <c r="B361" s="13"/>
      <c r="C361" s="13"/>
      <c r="D361" s="13"/>
      <c r="E361" s="13"/>
      <c r="F361" s="13"/>
      <c r="G361" s="13"/>
      <c r="H361" s="13"/>
      <c r="I361" s="13"/>
      <c r="J361" s="13"/>
      <c r="K361" s="13"/>
      <c r="L361" s="13"/>
      <c r="M361" s="13"/>
      <c r="N361" s="13"/>
      <c r="O361" s="13"/>
      <c r="P361" s="13"/>
      <c r="Q361" s="13"/>
      <c r="R361" s="13"/>
    </row>
    <row r="362" spans="1:18" x14ac:dyDescent="0.35">
      <c r="A362" s="13"/>
      <c r="B362" s="13"/>
      <c r="C362" s="13"/>
      <c r="D362" s="13"/>
      <c r="E362" s="13"/>
      <c r="F362" s="13"/>
      <c r="G362" s="13"/>
      <c r="H362" s="13"/>
      <c r="I362" s="13"/>
      <c r="J362" s="13"/>
      <c r="K362" s="13"/>
      <c r="L362" s="13"/>
      <c r="M362" s="13"/>
      <c r="N362" s="13"/>
      <c r="O362" s="13"/>
      <c r="P362" s="13"/>
      <c r="Q362" s="13"/>
      <c r="R362" s="13"/>
    </row>
    <row r="363" spans="1:18" x14ac:dyDescent="0.35">
      <c r="A363" s="13"/>
      <c r="B363" s="13"/>
      <c r="C363" s="13"/>
      <c r="D363" s="13"/>
      <c r="E363" s="13"/>
      <c r="F363" s="13"/>
      <c r="G363" s="13"/>
      <c r="H363" s="13"/>
      <c r="I363" s="13"/>
      <c r="J363" s="13"/>
      <c r="K363" s="13"/>
      <c r="L363" s="13"/>
      <c r="M363" s="13"/>
      <c r="N363" s="13"/>
      <c r="O363" s="13"/>
      <c r="P363" s="13"/>
      <c r="Q363" s="13"/>
      <c r="R363" s="13"/>
    </row>
    <row r="364" spans="1:18" x14ac:dyDescent="0.35">
      <c r="A364" s="13"/>
      <c r="B364" s="13"/>
      <c r="C364" s="13"/>
      <c r="D364" s="13"/>
      <c r="E364" s="13"/>
      <c r="F364" s="13"/>
      <c r="G364" s="13"/>
      <c r="H364" s="13"/>
      <c r="I364" s="13"/>
      <c r="J364" s="13"/>
      <c r="K364" s="13"/>
      <c r="L364" s="13"/>
      <c r="M364" s="13"/>
      <c r="N364" s="13"/>
      <c r="O364" s="13"/>
      <c r="P364" s="13"/>
      <c r="Q364" s="13"/>
      <c r="R364" s="13"/>
    </row>
    <row r="365" spans="1:18" x14ac:dyDescent="0.35">
      <c r="A365" s="13"/>
      <c r="B365" s="13"/>
      <c r="C365" s="13"/>
      <c r="D365" s="13"/>
      <c r="E365" s="13"/>
      <c r="F365" s="13"/>
      <c r="G365" s="13"/>
      <c r="H365" s="13"/>
      <c r="I365" s="13"/>
      <c r="J365" s="13"/>
      <c r="K365" s="13"/>
      <c r="L365" s="13"/>
      <c r="M365" s="13"/>
      <c r="N365" s="13"/>
      <c r="O365" s="13"/>
      <c r="P365" s="13"/>
      <c r="Q365" s="13"/>
      <c r="R365" s="13"/>
    </row>
    <row r="366" spans="1:18" x14ac:dyDescent="0.35">
      <c r="A366" s="13"/>
      <c r="B366" s="13"/>
      <c r="C366" s="13"/>
      <c r="D366" s="13"/>
      <c r="E366" s="13"/>
      <c r="F366" s="13"/>
      <c r="G366" s="13"/>
      <c r="H366" s="13"/>
      <c r="I366" s="13"/>
      <c r="J366" s="13"/>
      <c r="K366" s="13"/>
      <c r="L366" s="13"/>
      <c r="M366" s="13"/>
      <c r="N366" s="13"/>
      <c r="O366" s="13"/>
      <c r="P366" s="13"/>
      <c r="Q366" s="13"/>
      <c r="R366" s="13"/>
    </row>
    <row r="367" spans="1:18" x14ac:dyDescent="0.35">
      <c r="A367" s="13"/>
      <c r="B367" s="13"/>
      <c r="C367" s="13"/>
      <c r="D367" s="13"/>
      <c r="E367" s="13"/>
      <c r="F367" s="13"/>
      <c r="G367" s="13"/>
      <c r="H367" s="13"/>
      <c r="I367" s="13"/>
      <c r="J367" s="13"/>
      <c r="K367" s="13"/>
      <c r="L367" s="13"/>
      <c r="M367" s="13"/>
      <c r="N367" s="13"/>
      <c r="O367" s="13"/>
      <c r="P367" s="13"/>
      <c r="Q367" s="13"/>
      <c r="R367" s="13"/>
    </row>
    <row r="368" spans="1:18" x14ac:dyDescent="0.35">
      <c r="A368" s="13"/>
      <c r="B368" s="13"/>
      <c r="C368" s="13"/>
      <c r="D368" s="13"/>
      <c r="E368" s="13"/>
      <c r="F368" s="13"/>
      <c r="G368" s="13"/>
      <c r="H368" s="13"/>
      <c r="I368" s="13"/>
      <c r="J368" s="13"/>
      <c r="K368" s="13"/>
      <c r="L368" s="13"/>
      <c r="M368" s="13"/>
      <c r="N368" s="13"/>
      <c r="O368" s="13"/>
      <c r="P368" s="13"/>
      <c r="Q368" s="13"/>
      <c r="R368" s="13"/>
    </row>
    <row r="369" spans="1:18" x14ac:dyDescent="0.35">
      <c r="A369" s="13"/>
      <c r="B369" s="13"/>
      <c r="C369" s="13"/>
      <c r="D369" s="13"/>
      <c r="E369" s="13"/>
      <c r="F369" s="13"/>
      <c r="G369" s="13"/>
      <c r="H369" s="13"/>
      <c r="I369" s="13"/>
      <c r="J369" s="13"/>
      <c r="K369" s="13"/>
      <c r="L369" s="13"/>
      <c r="M369" s="13"/>
      <c r="N369" s="13"/>
      <c r="O369" s="13"/>
      <c r="P369" s="13"/>
      <c r="Q369" s="13"/>
      <c r="R369" s="13"/>
    </row>
    <row r="370" spans="1:18" x14ac:dyDescent="0.35">
      <c r="A370" s="13"/>
      <c r="B370" s="13"/>
      <c r="C370" s="13"/>
      <c r="D370" s="13"/>
      <c r="E370" s="13"/>
      <c r="F370" s="13"/>
      <c r="G370" s="13"/>
      <c r="H370" s="13"/>
      <c r="I370" s="13"/>
      <c r="J370" s="13"/>
      <c r="K370" s="13"/>
      <c r="L370" s="13"/>
      <c r="M370" s="13"/>
      <c r="N370" s="13"/>
      <c r="O370" s="13"/>
      <c r="P370" s="13"/>
      <c r="Q370" s="13"/>
      <c r="R370" s="13"/>
    </row>
    <row r="371" spans="1:18" x14ac:dyDescent="0.35">
      <c r="A371" s="13"/>
      <c r="B371" s="13"/>
      <c r="C371" s="13"/>
      <c r="D371" s="13"/>
      <c r="E371" s="13"/>
      <c r="F371" s="13"/>
      <c r="G371" s="13"/>
      <c r="H371" s="13"/>
      <c r="I371" s="13"/>
      <c r="J371" s="13"/>
      <c r="K371" s="13"/>
      <c r="L371" s="13"/>
      <c r="M371" s="13"/>
      <c r="N371" s="13"/>
      <c r="O371" s="13"/>
      <c r="P371" s="13"/>
      <c r="Q371" s="13"/>
      <c r="R371" s="13"/>
    </row>
    <row r="372" spans="1:18" x14ac:dyDescent="0.35">
      <c r="A372" s="13"/>
      <c r="B372" s="13"/>
      <c r="C372" s="13"/>
      <c r="D372" s="13"/>
      <c r="E372" s="13"/>
      <c r="F372" s="13"/>
      <c r="G372" s="13"/>
      <c r="H372" s="13"/>
      <c r="I372" s="13"/>
      <c r="J372" s="13"/>
      <c r="K372" s="13"/>
      <c r="L372" s="13"/>
      <c r="M372" s="13"/>
      <c r="N372" s="13"/>
      <c r="O372" s="13"/>
      <c r="P372" s="13"/>
      <c r="Q372" s="13"/>
      <c r="R372" s="13"/>
    </row>
    <row r="373" spans="1:18" x14ac:dyDescent="0.35">
      <c r="A373" s="13"/>
      <c r="B373" s="13"/>
      <c r="C373" s="13"/>
      <c r="D373" s="13"/>
      <c r="E373" s="13"/>
      <c r="F373" s="13"/>
      <c r="G373" s="13"/>
      <c r="H373" s="13"/>
      <c r="I373" s="13"/>
      <c r="J373" s="13"/>
      <c r="K373" s="13"/>
      <c r="L373" s="13"/>
      <c r="M373" s="13"/>
      <c r="N373" s="13"/>
      <c r="O373" s="13"/>
      <c r="P373" s="13"/>
      <c r="Q373" s="13"/>
      <c r="R373" s="13"/>
    </row>
    <row r="374" spans="1:18" x14ac:dyDescent="0.35">
      <c r="A374" s="13"/>
      <c r="B374" s="13"/>
      <c r="C374" s="13"/>
      <c r="D374" s="13"/>
      <c r="E374" s="13"/>
      <c r="F374" s="13"/>
      <c r="G374" s="13"/>
      <c r="H374" s="13"/>
      <c r="I374" s="13"/>
      <c r="J374" s="13"/>
      <c r="K374" s="13"/>
      <c r="L374" s="13"/>
      <c r="M374" s="13"/>
      <c r="N374" s="13"/>
      <c r="O374" s="13"/>
      <c r="P374" s="13"/>
      <c r="Q374" s="13"/>
      <c r="R374" s="13"/>
    </row>
    <row r="375" spans="1:18" x14ac:dyDescent="0.35">
      <c r="A375" s="13"/>
      <c r="B375" s="13"/>
      <c r="C375" s="13"/>
      <c r="D375" s="13"/>
      <c r="E375" s="13"/>
      <c r="F375" s="13"/>
      <c r="G375" s="13"/>
      <c r="H375" s="13"/>
      <c r="I375" s="13"/>
      <c r="J375" s="13"/>
      <c r="K375" s="13"/>
      <c r="L375" s="13"/>
      <c r="M375" s="13"/>
      <c r="N375" s="13"/>
      <c r="O375" s="13"/>
      <c r="P375" s="13"/>
      <c r="Q375" s="13"/>
      <c r="R375" s="13"/>
    </row>
    <row r="376" spans="1:18" x14ac:dyDescent="0.35">
      <c r="A376" s="13"/>
      <c r="B376" s="13"/>
      <c r="C376" s="13"/>
      <c r="D376" s="13"/>
      <c r="E376" s="13"/>
      <c r="F376" s="13"/>
      <c r="G376" s="13"/>
      <c r="H376" s="13"/>
      <c r="I376" s="13"/>
      <c r="J376" s="13"/>
      <c r="K376" s="13"/>
      <c r="L376" s="13"/>
      <c r="M376" s="13"/>
      <c r="N376" s="13"/>
      <c r="O376" s="13"/>
      <c r="P376" s="13"/>
      <c r="Q376" s="13"/>
      <c r="R376" s="13"/>
    </row>
    <row r="377" spans="1:18" x14ac:dyDescent="0.35">
      <c r="A377" s="13"/>
      <c r="B377" s="13"/>
      <c r="C377" s="13"/>
      <c r="D377" s="13"/>
      <c r="E377" s="13"/>
      <c r="F377" s="13"/>
      <c r="G377" s="13"/>
      <c r="H377" s="13"/>
      <c r="I377" s="13"/>
      <c r="J377" s="13"/>
      <c r="K377" s="13"/>
      <c r="L377" s="13"/>
      <c r="M377" s="13"/>
      <c r="N377" s="13"/>
      <c r="O377" s="13"/>
      <c r="P377" s="13"/>
      <c r="Q377" s="13"/>
      <c r="R377" s="13"/>
    </row>
    <row r="378" spans="1:18" x14ac:dyDescent="0.35">
      <c r="A378" s="13"/>
      <c r="B378" s="13"/>
      <c r="C378" s="13"/>
      <c r="D378" s="13"/>
      <c r="E378" s="13"/>
      <c r="F378" s="13"/>
      <c r="G378" s="13"/>
      <c r="H378" s="13"/>
      <c r="I378" s="13"/>
      <c r="J378" s="13"/>
      <c r="K378" s="13"/>
      <c r="L378" s="13"/>
      <c r="M378" s="13"/>
      <c r="N378" s="13"/>
      <c r="O378" s="13"/>
      <c r="P378" s="13"/>
      <c r="Q378" s="13"/>
      <c r="R378" s="13"/>
    </row>
    <row r="379" spans="1:18" x14ac:dyDescent="0.35">
      <c r="A379" s="13"/>
      <c r="B379" s="13"/>
      <c r="C379" s="13"/>
      <c r="D379" s="13"/>
      <c r="E379" s="13"/>
      <c r="F379" s="13"/>
      <c r="G379" s="13"/>
      <c r="H379" s="13"/>
      <c r="I379" s="13"/>
      <c r="J379" s="13"/>
      <c r="K379" s="13"/>
      <c r="L379" s="13"/>
      <c r="M379" s="13"/>
      <c r="N379" s="13"/>
      <c r="O379" s="13"/>
      <c r="P379" s="13"/>
      <c r="Q379" s="13"/>
      <c r="R379" s="13"/>
    </row>
    <row r="380" spans="1:18" x14ac:dyDescent="0.35">
      <c r="A380" s="13"/>
      <c r="B380" s="13"/>
      <c r="C380" s="13"/>
      <c r="D380" s="13"/>
      <c r="E380" s="13"/>
      <c r="F380" s="13"/>
      <c r="G380" s="13"/>
      <c r="H380" s="13"/>
      <c r="I380" s="13"/>
      <c r="J380" s="13"/>
      <c r="K380" s="13"/>
      <c r="L380" s="13"/>
      <c r="M380" s="13"/>
      <c r="N380" s="13"/>
      <c r="O380" s="13"/>
      <c r="P380" s="13"/>
      <c r="Q380" s="13"/>
      <c r="R380" s="13"/>
    </row>
    <row r="381" spans="1:18" x14ac:dyDescent="0.35">
      <c r="A381" s="13"/>
      <c r="B381" s="13"/>
      <c r="C381" s="13"/>
      <c r="D381" s="13"/>
      <c r="E381" s="13"/>
      <c r="F381" s="13"/>
      <c r="G381" s="13"/>
      <c r="H381" s="13"/>
      <c r="I381" s="13"/>
      <c r="J381" s="13"/>
      <c r="K381" s="13"/>
      <c r="L381" s="13"/>
      <c r="M381" s="13"/>
      <c r="N381" s="13"/>
      <c r="O381" s="13"/>
      <c r="P381" s="13"/>
      <c r="Q381" s="13"/>
      <c r="R381" s="13"/>
    </row>
    <row r="382" spans="1:18" x14ac:dyDescent="0.35">
      <c r="A382" s="13"/>
      <c r="B382" s="13"/>
      <c r="C382" s="13"/>
      <c r="D382" s="13"/>
      <c r="E382" s="13"/>
      <c r="F382" s="13"/>
      <c r="G382" s="13"/>
      <c r="H382" s="13"/>
      <c r="I382" s="13"/>
      <c r="J382" s="13"/>
      <c r="K382" s="13"/>
      <c r="L382" s="13"/>
      <c r="M382" s="13"/>
      <c r="N382" s="13"/>
      <c r="O382" s="13"/>
      <c r="P382" s="13"/>
      <c r="Q382" s="13"/>
      <c r="R382" s="13"/>
    </row>
    <row r="383" spans="1:18" x14ac:dyDescent="0.35">
      <c r="A383" s="13"/>
      <c r="B383" s="13"/>
      <c r="C383" s="13"/>
      <c r="D383" s="13"/>
      <c r="E383" s="13"/>
      <c r="F383" s="13"/>
      <c r="G383" s="13"/>
      <c r="H383" s="13"/>
      <c r="I383" s="13"/>
      <c r="J383" s="13"/>
      <c r="K383" s="13"/>
      <c r="L383" s="13"/>
      <c r="M383" s="13"/>
      <c r="N383" s="13"/>
      <c r="O383" s="13"/>
      <c r="P383" s="13"/>
      <c r="Q383" s="13"/>
      <c r="R383" s="13"/>
    </row>
    <row r="384" spans="1:18" x14ac:dyDescent="0.35">
      <c r="A384" s="13"/>
      <c r="B384" s="13"/>
      <c r="C384" s="13"/>
      <c r="D384" s="13"/>
      <c r="E384" s="13"/>
      <c r="F384" s="13"/>
      <c r="G384" s="13"/>
      <c r="H384" s="13"/>
      <c r="I384" s="13"/>
      <c r="J384" s="13"/>
      <c r="K384" s="13"/>
      <c r="L384" s="13"/>
      <c r="M384" s="13"/>
      <c r="N384" s="13"/>
      <c r="O384" s="13"/>
      <c r="P384" s="13"/>
      <c r="Q384" s="13"/>
      <c r="R384" s="13"/>
    </row>
    <row r="385" spans="1:18" x14ac:dyDescent="0.35">
      <c r="A385" s="13"/>
      <c r="B385" s="13"/>
      <c r="C385" s="13"/>
      <c r="D385" s="13"/>
      <c r="E385" s="13"/>
      <c r="F385" s="13"/>
      <c r="G385" s="13"/>
      <c r="H385" s="13"/>
      <c r="I385" s="13"/>
      <c r="J385" s="13"/>
      <c r="K385" s="13"/>
      <c r="L385" s="13"/>
      <c r="M385" s="13"/>
      <c r="N385" s="13"/>
      <c r="O385" s="13"/>
      <c r="P385" s="13"/>
      <c r="Q385" s="13"/>
      <c r="R385" s="13"/>
    </row>
    <row r="386" spans="1:18" x14ac:dyDescent="0.35">
      <c r="A386" s="13"/>
      <c r="B386" s="13"/>
      <c r="C386" s="13"/>
      <c r="D386" s="13"/>
      <c r="E386" s="13"/>
      <c r="F386" s="13"/>
      <c r="G386" s="13"/>
      <c r="H386" s="13"/>
      <c r="I386" s="13"/>
      <c r="J386" s="13"/>
      <c r="K386" s="13"/>
      <c r="L386" s="13"/>
      <c r="M386" s="13"/>
      <c r="N386" s="13"/>
      <c r="O386" s="13"/>
      <c r="P386" s="13"/>
      <c r="Q386" s="13"/>
      <c r="R386" s="13"/>
    </row>
    <row r="387" spans="1:18" x14ac:dyDescent="0.35">
      <c r="A387" s="13"/>
      <c r="B387" s="13"/>
      <c r="C387" s="13"/>
      <c r="D387" s="13"/>
      <c r="E387" s="13"/>
      <c r="F387" s="13"/>
      <c r="G387" s="13"/>
      <c r="H387" s="13"/>
      <c r="I387" s="13"/>
      <c r="J387" s="13"/>
      <c r="K387" s="13"/>
      <c r="L387" s="13"/>
      <c r="M387" s="13"/>
      <c r="N387" s="13"/>
      <c r="O387" s="13"/>
      <c r="P387" s="13"/>
      <c r="Q387" s="13"/>
      <c r="R387" s="13"/>
    </row>
    <row r="388" spans="1:18" x14ac:dyDescent="0.35">
      <c r="A388" s="13"/>
      <c r="B388" s="13"/>
      <c r="C388" s="13"/>
      <c r="D388" s="13"/>
      <c r="E388" s="13"/>
      <c r="F388" s="13"/>
      <c r="G388" s="13"/>
      <c r="H388" s="13"/>
      <c r="I388" s="13"/>
      <c r="J388" s="13"/>
      <c r="K388" s="13"/>
      <c r="L388" s="13"/>
      <c r="M388" s="13"/>
      <c r="N388" s="13"/>
      <c r="O388" s="13"/>
      <c r="P388" s="13"/>
      <c r="Q388" s="13"/>
      <c r="R388" s="13"/>
    </row>
    <row r="389" spans="1:18" x14ac:dyDescent="0.35">
      <c r="A389" s="13"/>
      <c r="B389" s="13"/>
      <c r="C389" s="13"/>
      <c r="D389" s="13"/>
      <c r="E389" s="13"/>
      <c r="F389" s="13"/>
      <c r="G389" s="13"/>
      <c r="H389" s="13"/>
      <c r="I389" s="13"/>
      <c r="J389" s="13"/>
      <c r="K389" s="13"/>
      <c r="L389" s="13"/>
      <c r="M389" s="13"/>
      <c r="N389" s="13"/>
      <c r="O389" s="13"/>
      <c r="P389" s="13"/>
      <c r="Q389" s="13"/>
      <c r="R389" s="13"/>
    </row>
    <row r="390" spans="1:18" x14ac:dyDescent="0.35">
      <c r="A390" s="13"/>
      <c r="B390" s="13"/>
      <c r="C390" s="13"/>
      <c r="D390" s="13"/>
      <c r="E390" s="13"/>
      <c r="F390" s="13"/>
      <c r="G390" s="13"/>
      <c r="H390" s="13"/>
      <c r="I390" s="13"/>
      <c r="J390" s="13"/>
      <c r="K390" s="13"/>
      <c r="L390" s="13"/>
      <c r="M390" s="13"/>
      <c r="N390" s="13"/>
      <c r="O390" s="13"/>
      <c r="P390" s="13"/>
      <c r="Q390" s="13"/>
      <c r="R390" s="13"/>
    </row>
    <row r="391" spans="1:18" x14ac:dyDescent="0.35">
      <c r="A391" s="13"/>
      <c r="B391" s="13"/>
      <c r="C391" s="13"/>
      <c r="D391" s="13"/>
      <c r="E391" s="13"/>
      <c r="F391" s="13"/>
      <c r="G391" s="13"/>
      <c r="H391" s="13"/>
      <c r="I391" s="13"/>
      <c r="J391" s="13"/>
      <c r="K391" s="13"/>
      <c r="L391" s="13"/>
      <c r="M391" s="13"/>
      <c r="N391" s="13"/>
      <c r="O391" s="13"/>
      <c r="P391" s="13"/>
      <c r="Q391" s="13"/>
      <c r="R391" s="13"/>
    </row>
    <row r="392" spans="1:18" x14ac:dyDescent="0.35">
      <c r="A392" s="13"/>
      <c r="B392" s="13"/>
      <c r="C392" s="13"/>
      <c r="D392" s="13"/>
      <c r="E392" s="13"/>
      <c r="F392" s="13"/>
      <c r="G392" s="13"/>
      <c r="H392" s="13"/>
      <c r="I392" s="13"/>
      <c r="J392" s="13"/>
      <c r="K392" s="13"/>
      <c r="L392" s="13"/>
      <c r="M392" s="13"/>
      <c r="N392" s="13"/>
      <c r="O392" s="13"/>
      <c r="P392" s="13"/>
      <c r="Q392" s="13"/>
      <c r="R392" s="13"/>
    </row>
    <row r="393" spans="1:18" x14ac:dyDescent="0.35">
      <c r="A393" s="13"/>
      <c r="B393" s="13"/>
      <c r="C393" s="13"/>
      <c r="D393" s="13"/>
      <c r="E393" s="13"/>
      <c r="F393" s="13"/>
      <c r="G393" s="13"/>
      <c r="H393" s="13"/>
      <c r="I393" s="13"/>
      <c r="J393" s="13"/>
      <c r="K393" s="13"/>
      <c r="L393" s="13"/>
      <c r="M393" s="13"/>
      <c r="N393" s="13"/>
      <c r="O393" s="13"/>
      <c r="P393" s="13"/>
      <c r="Q393" s="13"/>
      <c r="R393" s="13"/>
    </row>
    <row r="394" spans="1:18" x14ac:dyDescent="0.35">
      <c r="A394" s="13"/>
      <c r="B394" s="13"/>
      <c r="C394" s="13"/>
      <c r="D394" s="13"/>
      <c r="E394" s="13"/>
      <c r="F394" s="13"/>
      <c r="G394" s="13"/>
      <c r="H394" s="13"/>
      <c r="I394" s="13"/>
      <c r="J394" s="13"/>
      <c r="K394" s="13"/>
      <c r="L394" s="13"/>
      <c r="M394" s="13"/>
      <c r="N394" s="13"/>
      <c r="O394" s="13"/>
      <c r="P394" s="13"/>
      <c r="Q394" s="13"/>
      <c r="R394" s="13"/>
    </row>
    <row r="395" spans="1:18" x14ac:dyDescent="0.35">
      <c r="A395" s="13"/>
      <c r="B395" s="13"/>
      <c r="C395" s="13"/>
      <c r="D395" s="13"/>
      <c r="E395" s="13"/>
      <c r="F395" s="13"/>
      <c r="G395" s="13"/>
      <c r="H395" s="13"/>
      <c r="I395" s="13"/>
      <c r="J395" s="13"/>
      <c r="K395" s="13"/>
      <c r="L395" s="13"/>
      <c r="M395" s="13"/>
      <c r="N395" s="13"/>
      <c r="O395" s="13"/>
      <c r="P395" s="13"/>
      <c r="Q395" s="13"/>
      <c r="R395" s="13"/>
    </row>
    <row r="396" spans="1:18" x14ac:dyDescent="0.35">
      <c r="A396" s="13"/>
      <c r="B396" s="13"/>
      <c r="C396" s="13"/>
      <c r="D396" s="13"/>
      <c r="E396" s="13"/>
      <c r="F396" s="13"/>
      <c r="G396" s="13"/>
      <c r="H396" s="13"/>
      <c r="I396" s="13"/>
      <c r="J396" s="13"/>
      <c r="K396" s="13"/>
      <c r="L396" s="13"/>
      <c r="M396" s="13"/>
      <c r="N396" s="13"/>
      <c r="O396" s="13"/>
      <c r="P396" s="13"/>
      <c r="Q396" s="13"/>
      <c r="R396" s="13"/>
    </row>
    <row r="397" spans="1:18" x14ac:dyDescent="0.35">
      <c r="A397" s="13"/>
      <c r="B397" s="13"/>
      <c r="C397" s="13"/>
      <c r="D397" s="13"/>
      <c r="E397" s="13"/>
      <c r="F397" s="13"/>
      <c r="G397" s="13"/>
      <c r="H397" s="13"/>
      <c r="I397" s="13"/>
      <c r="J397" s="13"/>
      <c r="K397" s="13"/>
      <c r="L397" s="13"/>
      <c r="M397" s="13"/>
      <c r="N397" s="13"/>
      <c r="O397" s="13"/>
      <c r="P397" s="13"/>
      <c r="Q397" s="13"/>
      <c r="R397" s="13"/>
    </row>
    <row r="398" spans="1:18" x14ac:dyDescent="0.35">
      <c r="A398" s="13"/>
      <c r="B398" s="13"/>
      <c r="C398" s="13"/>
      <c r="D398" s="13"/>
      <c r="E398" s="13"/>
      <c r="F398" s="13"/>
      <c r="G398" s="13"/>
      <c r="H398" s="13"/>
      <c r="I398" s="13"/>
      <c r="J398" s="13"/>
      <c r="K398" s="13"/>
      <c r="L398" s="13"/>
      <c r="M398" s="13"/>
      <c r="N398" s="13"/>
      <c r="O398" s="13"/>
      <c r="P398" s="13"/>
      <c r="Q398" s="13"/>
      <c r="R398" s="13"/>
    </row>
    <row r="399" spans="1:18" x14ac:dyDescent="0.35">
      <c r="A399" s="13"/>
      <c r="B399" s="13"/>
      <c r="C399" s="13"/>
      <c r="D399" s="13"/>
      <c r="E399" s="13"/>
      <c r="F399" s="13"/>
      <c r="G399" s="13"/>
      <c r="H399" s="13"/>
      <c r="I399" s="13"/>
      <c r="J399" s="13"/>
      <c r="K399" s="13"/>
      <c r="L399" s="13"/>
      <c r="M399" s="13"/>
      <c r="N399" s="13"/>
      <c r="O399" s="13"/>
      <c r="P399" s="13"/>
      <c r="Q399" s="13"/>
      <c r="R399" s="13"/>
    </row>
    <row r="400" spans="1:18" x14ac:dyDescent="0.35">
      <c r="A400" s="13"/>
      <c r="B400" s="13"/>
      <c r="C400" s="13"/>
      <c r="D400" s="13"/>
      <c r="E400" s="13"/>
      <c r="F400" s="13"/>
      <c r="G400" s="13"/>
      <c r="H400" s="13"/>
      <c r="I400" s="13"/>
      <c r="J400" s="13"/>
      <c r="K400" s="13"/>
      <c r="L400" s="13"/>
      <c r="M400" s="13"/>
      <c r="N400" s="13"/>
      <c r="O400" s="13"/>
      <c r="P400" s="13"/>
      <c r="Q400" s="13"/>
      <c r="R400" s="13"/>
    </row>
    <row r="401" spans="1:18" x14ac:dyDescent="0.35">
      <c r="A401" s="13"/>
      <c r="B401" s="13"/>
      <c r="C401" s="13"/>
      <c r="D401" s="13"/>
      <c r="E401" s="13"/>
      <c r="F401" s="13"/>
      <c r="G401" s="13"/>
      <c r="H401" s="13"/>
      <c r="I401" s="13"/>
      <c r="J401" s="13"/>
      <c r="K401" s="13"/>
      <c r="L401" s="13"/>
      <c r="M401" s="13"/>
      <c r="N401" s="13"/>
      <c r="O401" s="13"/>
      <c r="P401" s="13"/>
      <c r="Q401" s="13"/>
      <c r="R401" s="13"/>
    </row>
    <row r="402" spans="1:18" x14ac:dyDescent="0.35">
      <c r="A402" s="13"/>
      <c r="B402" s="13"/>
      <c r="C402" s="13"/>
      <c r="D402" s="13"/>
      <c r="E402" s="13"/>
      <c r="F402" s="13"/>
      <c r="G402" s="13"/>
      <c r="H402" s="13"/>
      <c r="I402" s="13"/>
      <c r="J402" s="13"/>
      <c r="K402" s="13"/>
      <c r="L402" s="13"/>
      <c r="M402" s="13"/>
      <c r="N402" s="13"/>
      <c r="O402" s="13"/>
      <c r="P402" s="13"/>
      <c r="Q402" s="13"/>
      <c r="R402" s="13"/>
    </row>
    <row r="403" spans="1:18" x14ac:dyDescent="0.35">
      <c r="A403" s="13"/>
      <c r="B403" s="13"/>
      <c r="C403" s="13"/>
      <c r="D403" s="13"/>
      <c r="E403" s="13"/>
      <c r="F403" s="13"/>
      <c r="G403" s="13"/>
      <c r="H403" s="13"/>
      <c r="I403" s="13"/>
      <c r="J403" s="13"/>
      <c r="K403" s="13"/>
      <c r="L403" s="13"/>
      <c r="M403" s="13"/>
      <c r="N403" s="13"/>
      <c r="O403" s="13"/>
      <c r="P403" s="13"/>
      <c r="Q403" s="13"/>
      <c r="R403" s="13"/>
    </row>
    <row r="404" spans="1:18" x14ac:dyDescent="0.35">
      <c r="A404" s="13"/>
      <c r="B404" s="13"/>
      <c r="C404" s="13"/>
      <c r="D404" s="13"/>
      <c r="E404" s="13"/>
      <c r="F404" s="13"/>
      <c r="G404" s="13"/>
      <c r="H404" s="13"/>
      <c r="I404" s="13"/>
      <c r="J404" s="13"/>
      <c r="K404" s="13"/>
      <c r="L404" s="13"/>
      <c r="M404" s="13"/>
      <c r="N404" s="13"/>
      <c r="O404" s="13"/>
      <c r="P404" s="13"/>
      <c r="Q404" s="13"/>
      <c r="R404" s="13"/>
    </row>
    <row r="405" spans="1:18" x14ac:dyDescent="0.35">
      <c r="A405" s="13"/>
      <c r="B405" s="13"/>
      <c r="C405" s="13"/>
      <c r="D405" s="13"/>
      <c r="E405" s="13"/>
      <c r="F405" s="13"/>
      <c r="G405" s="13"/>
      <c r="H405" s="13"/>
      <c r="I405" s="13"/>
      <c r="J405" s="13"/>
      <c r="K405" s="13"/>
      <c r="L405" s="13"/>
      <c r="M405" s="13"/>
      <c r="N405" s="13"/>
      <c r="O405" s="13"/>
      <c r="P405" s="13"/>
      <c r="Q405" s="13"/>
      <c r="R405" s="13"/>
    </row>
    <row r="406" spans="1:18" x14ac:dyDescent="0.35">
      <c r="A406" s="13"/>
      <c r="B406" s="13"/>
      <c r="C406" s="13"/>
      <c r="D406" s="13"/>
      <c r="E406" s="13"/>
      <c r="F406" s="13"/>
      <c r="G406" s="13"/>
      <c r="H406" s="13"/>
      <c r="I406" s="13"/>
      <c r="J406" s="13"/>
      <c r="K406" s="13"/>
      <c r="L406" s="13"/>
      <c r="M406" s="13"/>
      <c r="N406" s="13"/>
      <c r="O406" s="13"/>
      <c r="P406" s="13"/>
      <c r="Q406" s="13"/>
      <c r="R406" s="13"/>
    </row>
    <row r="407" spans="1:18" x14ac:dyDescent="0.35">
      <c r="A407" s="13"/>
      <c r="B407" s="13"/>
      <c r="C407" s="13"/>
      <c r="D407" s="13"/>
      <c r="E407" s="13"/>
      <c r="F407" s="13"/>
      <c r="G407" s="13"/>
      <c r="H407" s="13"/>
      <c r="I407" s="13"/>
      <c r="J407" s="13"/>
      <c r="K407" s="13"/>
      <c r="L407" s="13"/>
      <c r="M407" s="13"/>
      <c r="N407" s="13"/>
      <c r="O407" s="13"/>
      <c r="P407" s="13"/>
      <c r="Q407" s="13"/>
      <c r="R407" s="13"/>
    </row>
    <row r="408" spans="1:18" x14ac:dyDescent="0.35">
      <c r="A408" s="13"/>
      <c r="B408" s="13"/>
      <c r="C408" s="13"/>
      <c r="D408" s="13"/>
      <c r="E408" s="13"/>
      <c r="F408" s="13"/>
      <c r="G408" s="13"/>
      <c r="H408" s="13"/>
      <c r="I408" s="13"/>
      <c r="J408" s="13"/>
      <c r="K408" s="13"/>
      <c r="L408" s="13"/>
      <c r="M408" s="13"/>
      <c r="N408" s="13"/>
      <c r="O408" s="13"/>
      <c r="P408" s="13"/>
      <c r="Q408" s="13"/>
      <c r="R408" s="13"/>
    </row>
    <row r="409" spans="1:18" x14ac:dyDescent="0.35">
      <c r="A409" s="13"/>
      <c r="B409" s="13"/>
      <c r="C409" s="13"/>
      <c r="D409" s="13"/>
      <c r="E409" s="13"/>
      <c r="F409" s="13"/>
      <c r="G409" s="13"/>
      <c r="H409" s="13"/>
      <c r="I409" s="13"/>
      <c r="J409" s="13"/>
      <c r="K409" s="13"/>
      <c r="L409" s="13"/>
      <c r="M409" s="13"/>
      <c r="N409" s="13"/>
      <c r="O409" s="13"/>
      <c r="P409" s="13"/>
      <c r="Q409" s="13"/>
      <c r="R409" s="13"/>
    </row>
    <row r="410" spans="1:18" x14ac:dyDescent="0.35">
      <c r="A410" s="13"/>
      <c r="B410" s="13"/>
      <c r="C410" s="13"/>
      <c r="D410" s="13"/>
      <c r="E410" s="13"/>
      <c r="F410" s="13"/>
      <c r="G410" s="13"/>
      <c r="H410" s="13"/>
      <c r="I410" s="13"/>
      <c r="J410" s="13"/>
      <c r="K410" s="13"/>
      <c r="L410" s="13"/>
      <c r="M410" s="13"/>
      <c r="N410" s="13"/>
      <c r="O410" s="13"/>
      <c r="P410" s="13"/>
      <c r="Q410" s="13"/>
      <c r="R410" s="13"/>
    </row>
    <row r="411" spans="1:18" x14ac:dyDescent="0.35">
      <c r="A411" s="13"/>
      <c r="B411" s="13"/>
      <c r="C411" s="13"/>
      <c r="D411" s="13"/>
      <c r="E411" s="13"/>
      <c r="F411" s="13"/>
      <c r="G411" s="13"/>
      <c r="H411" s="13"/>
      <c r="I411" s="13"/>
      <c r="J411" s="13"/>
      <c r="K411" s="13"/>
      <c r="L411" s="13"/>
      <c r="M411" s="13"/>
      <c r="N411" s="13"/>
      <c r="O411" s="13"/>
      <c r="P411" s="13"/>
      <c r="Q411" s="13"/>
      <c r="R411" s="13"/>
    </row>
    <row r="412" spans="1:18" x14ac:dyDescent="0.35">
      <c r="A412" s="13"/>
      <c r="B412" s="13"/>
      <c r="C412" s="13"/>
      <c r="D412" s="13"/>
      <c r="E412" s="13"/>
      <c r="F412" s="13"/>
      <c r="G412" s="13"/>
      <c r="H412" s="13"/>
      <c r="I412" s="13"/>
      <c r="J412" s="13"/>
      <c r="K412" s="13"/>
      <c r="L412" s="13"/>
      <c r="M412" s="13"/>
      <c r="N412" s="13"/>
      <c r="O412" s="13"/>
      <c r="P412" s="13"/>
      <c r="Q412" s="13"/>
      <c r="R412" s="13"/>
    </row>
    <row r="413" spans="1:18" x14ac:dyDescent="0.35">
      <c r="A413" s="13"/>
      <c r="B413" s="13"/>
      <c r="C413" s="13"/>
      <c r="D413" s="13"/>
      <c r="E413" s="13"/>
      <c r="F413" s="13"/>
      <c r="G413" s="13"/>
      <c r="H413" s="13"/>
      <c r="I413" s="13"/>
      <c r="J413" s="13"/>
      <c r="K413" s="13"/>
      <c r="L413" s="13"/>
      <c r="M413" s="13"/>
      <c r="N413" s="13"/>
      <c r="O413" s="13"/>
      <c r="P413" s="13"/>
      <c r="Q413" s="13"/>
      <c r="R413" s="13"/>
    </row>
    <row r="414" spans="1:18" x14ac:dyDescent="0.35">
      <c r="A414" s="13"/>
      <c r="B414" s="13"/>
      <c r="C414" s="13"/>
      <c r="D414" s="13"/>
      <c r="E414" s="13"/>
      <c r="F414" s="13"/>
      <c r="G414" s="13"/>
      <c r="H414" s="13"/>
      <c r="I414" s="13"/>
      <c r="J414" s="13"/>
      <c r="K414" s="13"/>
      <c r="L414" s="13"/>
      <c r="M414" s="13"/>
      <c r="N414" s="13"/>
      <c r="O414" s="13"/>
      <c r="P414" s="13"/>
      <c r="Q414" s="13"/>
      <c r="R414" s="13"/>
    </row>
    <row r="415" spans="1:18" x14ac:dyDescent="0.35">
      <c r="A415" s="13"/>
      <c r="B415" s="13"/>
      <c r="C415" s="13"/>
      <c r="D415" s="13"/>
      <c r="E415" s="13"/>
      <c r="F415" s="13"/>
      <c r="G415" s="13"/>
      <c r="H415" s="13"/>
      <c r="I415" s="13"/>
      <c r="J415" s="13"/>
      <c r="K415" s="13"/>
      <c r="L415" s="13"/>
      <c r="M415" s="13"/>
      <c r="N415" s="13"/>
      <c r="O415" s="13"/>
      <c r="P415" s="13"/>
      <c r="Q415" s="13"/>
      <c r="R415" s="13"/>
    </row>
    <row r="416" spans="1:18" x14ac:dyDescent="0.35">
      <c r="A416" s="13"/>
      <c r="B416" s="13"/>
      <c r="C416" s="13"/>
      <c r="D416" s="13"/>
      <c r="E416" s="13"/>
      <c r="F416" s="13"/>
      <c r="G416" s="13"/>
      <c r="H416" s="13"/>
      <c r="I416" s="13"/>
      <c r="J416" s="13"/>
      <c r="K416" s="13"/>
      <c r="L416" s="13"/>
      <c r="M416" s="13"/>
      <c r="N416" s="13"/>
      <c r="O416" s="13"/>
      <c r="P416" s="13"/>
      <c r="Q416" s="13"/>
      <c r="R416" s="13"/>
    </row>
    <row r="417" spans="1:18" x14ac:dyDescent="0.35">
      <c r="A417" s="13"/>
      <c r="B417" s="13"/>
      <c r="C417" s="13"/>
      <c r="D417" s="13"/>
      <c r="E417" s="13"/>
      <c r="F417" s="13"/>
      <c r="G417" s="13"/>
      <c r="H417" s="13"/>
      <c r="I417" s="13"/>
      <c r="J417" s="13"/>
      <c r="K417" s="13"/>
      <c r="L417" s="13"/>
      <c r="M417" s="13"/>
      <c r="N417" s="13"/>
      <c r="O417" s="13"/>
      <c r="P417" s="13"/>
      <c r="Q417" s="13"/>
      <c r="R417" s="13"/>
    </row>
    <row r="418" spans="1:18" x14ac:dyDescent="0.35">
      <c r="A418" s="13"/>
      <c r="B418" s="13"/>
      <c r="C418" s="13"/>
      <c r="D418" s="13"/>
      <c r="E418" s="13"/>
      <c r="F418" s="13"/>
      <c r="G418" s="13"/>
      <c r="H418" s="13"/>
      <c r="I418" s="13"/>
      <c r="J418" s="13"/>
      <c r="K418" s="13"/>
      <c r="L418" s="13"/>
      <c r="M418" s="13"/>
      <c r="N418" s="13"/>
      <c r="O418" s="13"/>
      <c r="P418" s="13"/>
      <c r="Q418" s="13"/>
      <c r="R418" s="13"/>
    </row>
    <row r="419" spans="1:18" x14ac:dyDescent="0.35">
      <c r="A419" s="13"/>
      <c r="B419" s="13"/>
      <c r="C419" s="13"/>
      <c r="D419" s="13"/>
      <c r="E419" s="13"/>
      <c r="F419" s="13"/>
      <c r="G419" s="13"/>
      <c r="H419" s="13"/>
      <c r="I419" s="13"/>
      <c r="J419" s="13"/>
      <c r="K419" s="13"/>
      <c r="L419" s="13"/>
      <c r="M419" s="13"/>
      <c r="N419" s="13"/>
      <c r="O419" s="13"/>
      <c r="P419" s="13"/>
      <c r="Q419" s="13"/>
      <c r="R419" s="13"/>
    </row>
    <row r="420" spans="1:18" x14ac:dyDescent="0.35">
      <c r="A420" s="13"/>
      <c r="B420" s="13"/>
      <c r="C420" s="13"/>
      <c r="D420" s="13"/>
      <c r="E420" s="13"/>
      <c r="F420" s="13"/>
      <c r="G420" s="13"/>
      <c r="H420" s="13"/>
      <c r="I420" s="13"/>
      <c r="J420" s="13"/>
      <c r="K420" s="13"/>
      <c r="L420" s="13"/>
      <c r="M420" s="13"/>
      <c r="N420" s="13"/>
      <c r="O420" s="13"/>
      <c r="P420" s="13"/>
      <c r="Q420" s="13"/>
      <c r="R420" s="13"/>
    </row>
    <row r="421" spans="1:18" x14ac:dyDescent="0.35">
      <c r="A421" s="13"/>
      <c r="B421" s="13"/>
      <c r="C421" s="13"/>
      <c r="D421" s="13"/>
      <c r="E421" s="13"/>
      <c r="F421" s="13"/>
      <c r="G421" s="13"/>
      <c r="H421" s="13"/>
      <c r="I421" s="13"/>
      <c r="J421" s="13"/>
      <c r="K421" s="13"/>
      <c r="L421" s="13"/>
      <c r="M421" s="13"/>
      <c r="N421" s="13"/>
      <c r="O421" s="13"/>
      <c r="P421" s="13"/>
      <c r="Q421" s="13"/>
      <c r="R421" s="13"/>
    </row>
    <row r="422" spans="1:18" x14ac:dyDescent="0.35">
      <c r="A422" s="13"/>
      <c r="B422" s="13"/>
      <c r="C422" s="13"/>
      <c r="D422" s="13"/>
      <c r="E422" s="13"/>
      <c r="F422" s="13"/>
      <c r="G422" s="13"/>
      <c r="H422" s="13"/>
      <c r="I422" s="13"/>
      <c r="J422" s="13"/>
      <c r="K422" s="13"/>
      <c r="L422" s="13"/>
      <c r="M422" s="13"/>
      <c r="N422" s="13"/>
      <c r="O422" s="13"/>
      <c r="P422" s="13"/>
      <c r="Q422" s="13"/>
      <c r="R422" s="13"/>
    </row>
    <row r="423" spans="1:18" x14ac:dyDescent="0.35">
      <c r="A423" s="13"/>
      <c r="B423" s="13"/>
      <c r="C423" s="13"/>
      <c r="D423" s="13"/>
      <c r="E423" s="13"/>
      <c r="F423" s="13"/>
      <c r="G423" s="13"/>
      <c r="H423" s="13"/>
      <c r="I423" s="13"/>
      <c r="J423" s="13"/>
      <c r="K423" s="13"/>
      <c r="L423" s="13"/>
      <c r="M423" s="13"/>
      <c r="N423" s="13"/>
      <c r="O423" s="13"/>
      <c r="P423" s="13"/>
      <c r="Q423" s="13"/>
      <c r="R423" s="13"/>
    </row>
    <row r="424" spans="1:18" x14ac:dyDescent="0.35">
      <c r="A424" s="13"/>
      <c r="B424" s="13"/>
      <c r="C424" s="13"/>
      <c r="D424" s="13"/>
      <c r="E424" s="13"/>
      <c r="F424" s="13"/>
      <c r="G424" s="13"/>
      <c r="H424" s="13"/>
      <c r="I424" s="13"/>
      <c r="J424" s="13"/>
      <c r="K424" s="13"/>
      <c r="L424" s="13"/>
      <c r="M424" s="13"/>
      <c r="N424" s="13"/>
      <c r="O424" s="13"/>
      <c r="P424" s="13"/>
      <c r="Q424" s="13"/>
      <c r="R424" s="13"/>
    </row>
    <row r="425" spans="1:18" x14ac:dyDescent="0.35">
      <c r="A425" s="13"/>
      <c r="B425" s="13"/>
      <c r="C425" s="13"/>
      <c r="D425" s="13"/>
      <c r="E425" s="13"/>
      <c r="F425" s="13"/>
      <c r="G425" s="13"/>
      <c r="H425" s="13"/>
      <c r="I425" s="13"/>
      <c r="J425" s="13"/>
      <c r="K425" s="13"/>
      <c r="L425" s="13"/>
      <c r="M425" s="13"/>
      <c r="N425" s="13"/>
      <c r="O425" s="13"/>
      <c r="P425" s="13"/>
      <c r="Q425" s="13"/>
      <c r="R425" s="13"/>
    </row>
    <row r="426" spans="1:18" x14ac:dyDescent="0.35">
      <c r="A426" s="13"/>
      <c r="B426" s="13"/>
      <c r="C426" s="13"/>
      <c r="D426" s="13"/>
      <c r="E426" s="13"/>
      <c r="F426" s="13"/>
      <c r="G426" s="13"/>
      <c r="H426" s="13"/>
      <c r="I426" s="13"/>
      <c r="J426" s="13"/>
      <c r="K426" s="13"/>
      <c r="L426" s="13"/>
      <c r="M426" s="13"/>
      <c r="N426" s="13"/>
      <c r="O426" s="13"/>
      <c r="P426" s="13"/>
      <c r="Q426" s="13"/>
      <c r="R426" s="13"/>
    </row>
    <row r="427" spans="1:18" x14ac:dyDescent="0.35">
      <c r="A427" s="13"/>
      <c r="B427" s="13"/>
      <c r="C427" s="13"/>
      <c r="D427" s="13"/>
      <c r="E427" s="13"/>
      <c r="F427" s="13"/>
      <c r="G427" s="13"/>
      <c r="H427" s="13"/>
      <c r="I427" s="13"/>
      <c r="J427" s="13"/>
      <c r="K427" s="13"/>
      <c r="L427" s="13"/>
      <c r="M427" s="13"/>
      <c r="N427" s="13"/>
      <c r="O427" s="13"/>
      <c r="P427" s="13"/>
      <c r="Q427" s="13"/>
      <c r="R427" s="13"/>
    </row>
    <row r="428" spans="1:18" x14ac:dyDescent="0.35">
      <c r="A428" s="13"/>
      <c r="B428" s="13"/>
      <c r="C428" s="13"/>
      <c r="D428" s="13"/>
      <c r="E428" s="13"/>
      <c r="F428" s="13"/>
      <c r="G428" s="13"/>
      <c r="H428" s="13"/>
      <c r="I428" s="13"/>
      <c r="J428" s="13"/>
      <c r="K428" s="13"/>
      <c r="L428" s="13"/>
      <c r="M428" s="13"/>
      <c r="N428" s="13"/>
      <c r="O428" s="13"/>
      <c r="P428" s="13"/>
      <c r="Q428" s="13"/>
      <c r="R428" s="13"/>
    </row>
    <row r="429" spans="1:18" x14ac:dyDescent="0.35">
      <c r="A429" s="13"/>
      <c r="B429" s="13"/>
      <c r="C429" s="13"/>
      <c r="D429" s="13"/>
      <c r="E429" s="13"/>
      <c r="F429" s="13"/>
      <c r="G429" s="13"/>
      <c r="H429" s="13"/>
      <c r="I429" s="13"/>
      <c r="J429" s="13"/>
      <c r="K429" s="13"/>
      <c r="L429" s="13"/>
      <c r="M429" s="13"/>
      <c r="N429" s="13"/>
      <c r="O429" s="13"/>
      <c r="P429" s="13"/>
      <c r="Q429" s="13"/>
      <c r="R429" s="13"/>
    </row>
    <row r="430" spans="1:18" x14ac:dyDescent="0.35">
      <c r="A430" s="13"/>
      <c r="B430" s="13"/>
      <c r="C430" s="13"/>
      <c r="D430" s="13"/>
      <c r="E430" s="13"/>
      <c r="F430" s="13"/>
      <c r="G430" s="13"/>
      <c r="H430" s="13"/>
      <c r="I430" s="13"/>
      <c r="J430" s="13"/>
      <c r="K430" s="13"/>
      <c r="L430" s="13"/>
      <c r="M430" s="13"/>
      <c r="N430" s="13"/>
      <c r="O430" s="13"/>
      <c r="P430" s="13"/>
      <c r="Q430" s="13"/>
      <c r="R430" s="13"/>
    </row>
    <row r="431" spans="1:18" x14ac:dyDescent="0.35">
      <c r="A431" s="13"/>
      <c r="B431" s="13"/>
      <c r="C431" s="13"/>
      <c r="D431" s="13"/>
      <c r="E431" s="13"/>
      <c r="F431" s="13"/>
      <c r="G431" s="13"/>
      <c r="H431" s="13"/>
      <c r="I431" s="13"/>
      <c r="J431" s="13"/>
      <c r="K431" s="13"/>
      <c r="L431" s="13"/>
      <c r="M431" s="13"/>
      <c r="N431" s="13"/>
      <c r="O431" s="13"/>
      <c r="P431" s="13"/>
      <c r="Q431" s="13"/>
      <c r="R431" s="13"/>
    </row>
    <row r="432" spans="1:18" x14ac:dyDescent="0.35">
      <c r="A432" s="13"/>
      <c r="B432" s="13"/>
      <c r="C432" s="13"/>
      <c r="D432" s="13"/>
      <c r="E432" s="13"/>
      <c r="F432" s="13"/>
      <c r="G432" s="13"/>
      <c r="H432" s="13"/>
      <c r="I432" s="13"/>
      <c r="J432" s="13"/>
      <c r="K432" s="13"/>
      <c r="L432" s="13"/>
      <c r="M432" s="13"/>
      <c r="N432" s="13"/>
      <c r="O432" s="13"/>
      <c r="P432" s="13"/>
      <c r="Q432" s="13"/>
      <c r="R432" s="13"/>
    </row>
    <row r="433" spans="1:18" x14ac:dyDescent="0.35">
      <c r="A433" s="13"/>
      <c r="B433" s="13"/>
      <c r="C433" s="13"/>
      <c r="D433" s="13"/>
      <c r="E433" s="13"/>
      <c r="F433" s="13"/>
      <c r="G433" s="13"/>
      <c r="H433" s="13"/>
      <c r="I433" s="13"/>
      <c r="J433" s="13"/>
      <c r="K433" s="13"/>
      <c r="L433" s="13"/>
      <c r="M433" s="13"/>
      <c r="N433" s="13"/>
      <c r="O433" s="13"/>
      <c r="P433" s="13"/>
      <c r="Q433" s="13"/>
      <c r="R433" s="13"/>
    </row>
    <row r="434" spans="1:18" x14ac:dyDescent="0.35">
      <c r="A434" s="13"/>
      <c r="B434" s="13"/>
      <c r="C434" s="13"/>
      <c r="D434" s="13"/>
      <c r="E434" s="13"/>
      <c r="F434" s="13"/>
      <c r="G434" s="13"/>
      <c r="H434" s="13"/>
      <c r="I434" s="13"/>
      <c r="J434" s="13"/>
      <c r="K434" s="13"/>
      <c r="L434" s="13"/>
      <c r="M434" s="13"/>
      <c r="N434" s="13"/>
      <c r="O434" s="13"/>
      <c r="P434" s="13"/>
      <c r="Q434" s="13"/>
      <c r="R434" s="13"/>
    </row>
    <row r="435" spans="1:18" x14ac:dyDescent="0.35">
      <c r="A435" s="13"/>
      <c r="B435" s="13"/>
      <c r="C435" s="13"/>
      <c r="D435" s="13"/>
      <c r="E435" s="13"/>
      <c r="F435" s="13"/>
      <c r="G435" s="13"/>
      <c r="H435" s="13"/>
      <c r="I435" s="13"/>
      <c r="J435" s="13"/>
      <c r="K435" s="13"/>
      <c r="L435" s="13"/>
      <c r="M435" s="13"/>
      <c r="N435" s="13"/>
      <c r="O435" s="13"/>
      <c r="P435" s="13"/>
      <c r="Q435" s="13"/>
      <c r="R435" s="13"/>
    </row>
    <row r="436" spans="1:18" x14ac:dyDescent="0.35">
      <c r="A436" s="13"/>
      <c r="B436" s="13"/>
      <c r="C436" s="13"/>
      <c r="D436" s="13"/>
      <c r="E436" s="13"/>
      <c r="F436" s="13"/>
      <c r="G436" s="13"/>
      <c r="H436" s="13"/>
      <c r="I436" s="13"/>
      <c r="J436" s="13"/>
      <c r="K436" s="13"/>
      <c r="L436" s="13"/>
      <c r="M436" s="13"/>
      <c r="N436" s="13"/>
      <c r="O436" s="13"/>
      <c r="P436" s="13"/>
      <c r="Q436" s="13"/>
      <c r="R436" s="13"/>
    </row>
    <row r="437" spans="1:18" x14ac:dyDescent="0.35">
      <c r="A437" s="13"/>
      <c r="B437" s="13"/>
      <c r="C437" s="13"/>
      <c r="D437" s="13"/>
      <c r="E437" s="13"/>
      <c r="F437" s="13"/>
      <c r="G437" s="13"/>
      <c r="H437" s="13"/>
      <c r="I437" s="13"/>
      <c r="J437" s="13"/>
      <c r="K437" s="13"/>
      <c r="L437" s="13"/>
      <c r="M437" s="13"/>
      <c r="N437" s="13"/>
      <c r="O437" s="13"/>
      <c r="P437" s="13"/>
      <c r="Q437" s="13"/>
      <c r="R437" s="13"/>
    </row>
    <row r="438" spans="1:18" x14ac:dyDescent="0.35">
      <c r="A438" s="13"/>
      <c r="B438" s="13"/>
      <c r="C438" s="13"/>
      <c r="D438" s="13"/>
      <c r="E438" s="13"/>
      <c r="F438" s="13"/>
      <c r="G438" s="13"/>
      <c r="H438" s="13"/>
      <c r="I438" s="13"/>
      <c r="J438" s="13"/>
      <c r="K438" s="13"/>
      <c r="L438" s="13"/>
      <c r="M438" s="13"/>
      <c r="N438" s="13"/>
      <c r="O438" s="13"/>
      <c r="P438" s="13"/>
      <c r="Q438" s="13"/>
      <c r="R438" s="13"/>
    </row>
    <row r="439" spans="1:18" x14ac:dyDescent="0.35">
      <c r="A439" s="13"/>
      <c r="B439" s="13"/>
      <c r="C439" s="13"/>
      <c r="D439" s="13"/>
      <c r="E439" s="13"/>
      <c r="F439" s="13"/>
      <c r="G439" s="13"/>
      <c r="H439" s="13"/>
      <c r="I439" s="13"/>
      <c r="J439" s="13"/>
      <c r="K439" s="13"/>
      <c r="L439" s="13"/>
      <c r="M439" s="13"/>
      <c r="N439" s="13"/>
      <c r="O439" s="13"/>
      <c r="P439" s="13"/>
      <c r="Q439" s="13"/>
      <c r="R439" s="13"/>
    </row>
    <row r="440" spans="1:18" x14ac:dyDescent="0.35">
      <c r="A440" s="13"/>
      <c r="B440" s="13"/>
      <c r="C440" s="13"/>
      <c r="D440" s="13"/>
      <c r="E440" s="13"/>
      <c r="F440" s="13"/>
      <c r="G440" s="13"/>
      <c r="H440" s="13"/>
      <c r="I440" s="13"/>
      <c r="J440" s="13"/>
      <c r="K440" s="13"/>
      <c r="L440" s="13"/>
      <c r="M440" s="13"/>
      <c r="N440" s="13"/>
      <c r="O440" s="13"/>
      <c r="P440" s="13"/>
      <c r="Q440" s="13"/>
      <c r="R440" s="13"/>
    </row>
    <row r="441" spans="1:18" x14ac:dyDescent="0.35">
      <c r="A441" s="13"/>
      <c r="B441" s="13"/>
      <c r="C441" s="13"/>
      <c r="D441" s="13"/>
      <c r="E441" s="13"/>
      <c r="F441" s="13"/>
      <c r="G441" s="13"/>
      <c r="H441" s="13"/>
      <c r="I441" s="13"/>
      <c r="J441" s="13"/>
      <c r="K441" s="13"/>
      <c r="L441" s="13"/>
      <c r="M441" s="13"/>
      <c r="N441" s="13"/>
      <c r="O441" s="13"/>
      <c r="P441" s="13"/>
      <c r="Q441" s="13"/>
      <c r="R441" s="13"/>
    </row>
    <row r="442" spans="1:18" x14ac:dyDescent="0.35">
      <c r="A442" s="13"/>
      <c r="B442" s="13"/>
      <c r="C442" s="13"/>
      <c r="D442" s="13"/>
      <c r="E442" s="13"/>
      <c r="F442" s="13"/>
      <c r="G442" s="13"/>
      <c r="H442" s="13"/>
      <c r="I442" s="13"/>
      <c r="J442" s="13"/>
      <c r="K442" s="13"/>
      <c r="L442" s="13"/>
      <c r="M442" s="13"/>
      <c r="N442" s="13"/>
      <c r="O442" s="13"/>
      <c r="P442" s="13"/>
      <c r="Q442" s="13"/>
      <c r="R442" s="13"/>
    </row>
    <row r="443" spans="1:18" x14ac:dyDescent="0.35">
      <c r="A443" s="13"/>
      <c r="B443" s="13"/>
      <c r="C443" s="13"/>
      <c r="D443" s="13"/>
      <c r="E443" s="13"/>
      <c r="F443" s="13"/>
      <c r="G443" s="13"/>
      <c r="H443" s="13"/>
      <c r="I443" s="13"/>
      <c r="J443" s="13"/>
      <c r="K443" s="13"/>
      <c r="L443" s="13"/>
      <c r="M443" s="13"/>
      <c r="N443" s="13"/>
      <c r="O443" s="13"/>
      <c r="P443" s="13"/>
      <c r="Q443" s="13"/>
      <c r="R443" s="13"/>
    </row>
    <row r="444" spans="1:18" x14ac:dyDescent="0.35">
      <c r="A444" s="13"/>
      <c r="B444" s="13"/>
      <c r="C444" s="13"/>
      <c r="D444" s="13"/>
      <c r="E444" s="13"/>
      <c r="F444" s="13"/>
      <c r="G444" s="13"/>
      <c r="H444" s="13"/>
      <c r="I444" s="13"/>
      <c r="J444" s="13"/>
      <c r="K444" s="13"/>
      <c r="L444" s="13"/>
      <c r="M444" s="13"/>
      <c r="N444" s="13"/>
      <c r="O444" s="13"/>
      <c r="P444" s="13"/>
      <c r="Q444" s="13"/>
      <c r="R444" s="13"/>
    </row>
    <row r="445" spans="1:18" x14ac:dyDescent="0.35">
      <c r="A445" s="13"/>
      <c r="B445" s="13"/>
      <c r="C445" s="13"/>
      <c r="D445" s="13"/>
      <c r="E445" s="13"/>
      <c r="F445" s="13"/>
      <c r="G445" s="13"/>
      <c r="H445" s="13"/>
      <c r="I445" s="13"/>
      <c r="J445" s="13"/>
      <c r="K445" s="13"/>
      <c r="L445" s="13"/>
      <c r="M445" s="13"/>
      <c r="N445" s="13"/>
      <c r="O445" s="13"/>
      <c r="P445" s="13"/>
      <c r="Q445" s="13"/>
      <c r="R445" s="13"/>
    </row>
    <row r="446" spans="1:18" x14ac:dyDescent="0.35">
      <c r="A446" s="13"/>
      <c r="B446" s="13"/>
      <c r="C446" s="13"/>
      <c r="D446" s="13"/>
      <c r="E446" s="13"/>
      <c r="F446" s="13"/>
      <c r="G446" s="13"/>
      <c r="H446" s="13"/>
      <c r="I446" s="13"/>
      <c r="J446" s="13"/>
      <c r="K446" s="13"/>
      <c r="L446" s="13"/>
      <c r="M446" s="13"/>
      <c r="N446" s="13"/>
      <c r="O446" s="13"/>
      <c r="P446" s="13"/>
      <c r="Q446" s="13"/>
      <c r="R446" s="13"/>
    </row>
    <row r="447" spans="1:18" x14ac:dyDescent="0.35">
      <c r="A447" s="13"/>
      <c r="B447" s="13"/>
      <c r="C447" s="13"/>
      <c r="D447" s="13"/>
      <c r="E447" s="13"/>
      <c r="F447" s="13"/>
      <c r="G447" s="13"/>
      <c r="H447" s="13"/>
      <c r="I447" s="13"/>
      <c r="J447" s="13"/>
      <c r="K447" s="13"/>
      <c r="L447" s="13"/>
      <c r="M447" s="13"/>
      <c r="N447" s="13"/>
      <c r="O447" s="13"/>
      <c r="P447" s="13"/>
      <c r="Q447" s="13"/>
      <c r="R447" s="13"/>
    </row>
    <row r="448" spans="1:18" x14ac:dyDescent="0.35">
      <c r="A448" s="13"/>
      <c r="B448" s="13"/>
      <c r="C448" s="13"/>
      <c r="D448" s="13"/>
      <c r="E448" s="13"/>
      <c r="F448" s="13"/>
      <c r="G448" s="13"/>
      <c r="H448" s="13"/>
      <c r="I448" s="13"/>
      <c r="J448" s="13"/>
      <c r="K448" s="13"/>
      <c r="L448" s="13"/>
      <c r="M448" s="13"/>
      <c r="N448" s="13"/>
      <c r="O448" s="13"/>
      <c r="P448" s="13"/>
      <c r="Q448" s="13"/>
      <c r="R448" s="13"/>
    </row>
    <row r="449" spans="1:18" x14ac:dyDescent="0.35">
      <c r="A449" s="13"/>
      <c r="B449" s="13"/>
      <c r="C449" s="13"/>
      <c r="D449" s="13"/>
      <c r="E449" s="13"/>
      <c r="F449" s="13"/>
      <c r="G449" s="13"/>
      <c r="H449" s="13"/>
      <c r="I449" s="13"/>
      <c r="J449" s="13"/>
      <c r="K449" s="13"/>
      <c r="L449" s="13"/>
      <c r="M449" s="13"/>
      <c r="N449" s="13"/>
      <c r="O449" s="13"/>
      <c r="P449" s="13"/>
      <c r="Q449" s="13"/>
      <c r="R449" s="13"/>
    </row>
    <row r="450" spans="1:18" x14ac:dyDescent="0.35">
      <c r="A450" s="13"/>
      <c r="B450" s="13"/>
      <c r="C450" s="13"/>
      <c r="D450" s="13"/>
      <c r="E450" s="13"/>
      <c r="F450" s="13"/>
      <c r="G450" s="13"/>
      <c r="H450" s="13"/>
      <c r="I450" s="13"/>
      <c r="J450" s="13"/>
      <c r="K450" s="13"/>
      <c r="L450" s="13"/>
      <c r="M450" s="13"/>
      <c r="N450" s="13"/>
      <c r="O450" s="13"/>
      <c r="P450" s="13"/>
      <c r="Q450" s="13"/>
      <c r="R450" s="13"/>
    </row>
    <row r="451" spans="1:18" x14ac:dyDescent="0.35">
      <c r="A451" s="13"/>
      <c r="B451" s="13"/>
      <c r="C451" s="13"/>
      <c r="D451" s="13"/>
      <c r="E451" s="13"/>
      <c r="F451" s="13"/>
      <c r="G451" s="13"/>
      <c r="H451" s="13"/>
      <c r="I451" s="13"/>
      <c r="J451" s="13"/>
      <c r="K451" s="13"/>
      <c r="L451" s="13"/>
      <c r="M451" s="13"/>
      <c r="N451" s="13"/>
      <c r="O451" s="13"/>
      <c r="P451" s="13"/>
      <c r="Q451" s="13"/>
      <c r="R451" s="13"/>
    </row>
    <row r="452" spans="1:18" x14ac:dyDescent="0.35">
      <c r="A452" s="13"/>
      <c r="B452" s="13"/>
      <c r="C452" s="13"/>
      <c r="D452" s="13"/>
      <c r="E452" s="13"/>
      <c r="F452" s="13"/>
      <c r="G452" s="13"/>
      <c r="H452" s="13"/>
      <c r="I452" s="13"/>
      <c r="J452" s="13"/>
      <c r="K452" s="13"/>
      <c r="L452" s="13"/>
      <c r="M452" s="13"/>
      <c r="N452" s="13"/>
      <c r="O452" s="13"/>
      <c r="P452" s="13"/>
      <c r="Q452" s="13"/>
      <c r="R452" s="13"/>
    </row>
    <row r="453" spans="1:18" x14ac:dyDescent="0.35">
      <c r="A453" s="13"/>
      <c r="B453" s="13"/>
      <c r="C453" s="13"/>
      <c r="D453" s="13"/>
      <c r="E453" s="13"/>
      <c r="F453" s="13"/>
      <c r="G453" s="13"/>
      <c r="H453" s="13"/>
      <c r="I453" s="13"/>
      <c r="J453" s="13"/>
      <c r="K453" s="13"/>
      <c r="L453" s="13"/>
      <c r="M453" s="13"/>
      <c r="N453" s="13"/>
      <c r="O453" s="13"/>
      <c r="P453" s="13"/>
      <c r="Q453" s="13"/>
      <c r="R453" s="13"/>
    </row>
    <row r="454" spans="1:18" x14ac:dyDescent="0.35">
      <c r="A454" s="13"/>
      <c r="B454" s="13"/>
      <c r="C454" s="13"/>
      <c r="D454" s="13"/>
      <c r="E454" s="13"/>
      <c r="F454" s="13"/>
      <c r="G454" s="13"/>
      <c r="H454" s="13"/>
      <c r="I454" s="13"/>
      <c r="J454" s="13"/>
      <c r="K454" s="13"/>
      <c r="L454" s="13"/>
      <c r="M454" s="13"/>
      <c r="N454" s="13"/>
      <c r="O454" s="13"/>
      <c r="P454" s="13"/>
      <c r="Q454" s="13"/>
      <c r="R454" s="13"/>
    </row>
    <row r="455" spans="1:18" x14ac:dyDescent="0.35">
      <c r="A455" s="13"/>
      <c r="B455" s="13"/>
      <c r="C455" s="13"/>
      <c r="D455" s="13"/>
      <c r="E455" s="13"/>
      <c r="F455" s="13"/>
      <c r="G455" s="13"/>
      <c r="H455" s="13"/>
      <c r="I455" s="13"/>
      <c r="J455" s="13"/>
      <c r="K455" s="13"/>
      <c r="L455" s="13"/>
      <c r="M455" s="13"/>
      <c r="N455" s="13"/>
      <c r="O455" s="13"/>
      <c r="P455" s="13"/>
      <c r="Q455" s="13"/>
      <c r="R455" s="13"/>
    </row>
    <row r="456" spans="1:18" x14ac:dyDescent="0.35">
      <c r="A456" s="13"/>
      <c r="B456" s="13"/>
      <c r="C456" s="13"/>
      <c r="D456" s="13"/>
      <c r="E456" s="13"/>
      <c r="F456" s="13"/>
      <c r="G456" s="13"/>
      <c r="H456" s="13"/>
      <c r="I456" s="13"/>
      <c r="J456" s="13"/>
      <c r="K456" s="13"/>
      <c r="L456" s="13"/>
      <c r="M456" s="13"/>
      <c r="N456" s="13"/>
      <c r="O456" s="13"/>
      <c r="P456" s="13"/>
      <c r="Q456" s="13"/>
      <c r="R456" s="13"/>
    </row>
    <row r="457" spans="1:18" x14ac:dyDescent="0.35">
      <c r="A457" s="13"/>
      <c r="B457" s="13"/>
      <c r="C457" s="13"/>
      <c r="D457" s="13"/>
      <c r="E457" s="13"/>
      <c r="F457" s="13"/>
      <c r="G457" s="13"/>
      <c r="H457" s="13"/>
      <c r="I457" s="13"/>
      <c r="J457" s="13"/>
      <c r="K457" s="13"/>
      <c r="L457" s="13"/>
      <c r="M457" s="13"/>
      <c r="N457" s="13"/>
      <c r="O457" s="13"/>
      <c r="P457" s="13"/>
      <c r="Q457" s="13"/>
      <c r="R457" s="13"/>
    </row>
    <row r="458" spans="1:18" x14ac:dyDescent="0.35">
      <c r="A458" s="13"/>
      <c r="B458" s="13"/>
      <c r="C458" s="13"/>
      <c r="D458" s="13"/>
      <c r="E458" s="13"/>
      <c r="F458" s="13"/>
      <c r="G458" s="13"/>
      <c r="H458" s="13"/>
      <c r="I458" s="13"/>
      <c r="J458" s="13"/>
      <c r="K458" s="13"/>
      <c r="L458" s="13"/>
      <c r="M458" s="13"/>
      <c r="N458" s="13"/>
      <c r="O458" s="13"/>
      <c r="P458" s="13"/>
      <c r="Q458" s="13"/>
      <c r="R458" s="13"/>
    </row>
    <row r="459" spans="1:18" x14ac:dyDescent="0.35">
      <c r="A459" s="13"/>
      <c r="B459" s="13"/>
      <c r="C459" s="13"/>
      <c r="D459" s="13"/>
      <c r="E459" s="13"/>
      <c r="F459" s="13"/>
      <c r="G459" s="13"/>
      <c r="H459" s="13"/>
      <c r="I459" s="13"/>
      <c r="J459" s="13"/>
      <c r="K459" s="13"/>
      <c r="L459" s="13"/>
      <c r="M459" s="13"/>
      <c r="N459" s="13"/>
      <c r="O459" s="13"/>
      <c r="P459" s="13"/>
      <c r="Q459" s="13"/>
      <c r="R459" s="13"/>
    </row>
    <row r="460" spans="1:18" x14ac:dyDescent="0.35">
      <c r="A460" s="13"/>
      <c r="B460" s="13"/>
      <c r="C460" s="13"/>
      <c r="D460" s="13"/>
      <c r="E460" s="13"/>
      <c r="F460" s="13"/>
      <c r="G460" s="13"/>
      <c r="H460" s="13"/>
      <c r="I460" s="13"/>
      <c r="J460" s="13"/>
      <c r="K460" s="13"/>
      <c r="L460" s="13"/>
      <c r="M460" s="13"/>
      <c r="N460" s="13"/>
      <c r="O460" s="13"/>
      <c r="P460" s="13"/>
      <c r="Q460" s="13"/>
      <c r="R460" s="13"/>
    </row>
    <row r="461" spans="1:18" x14ac:dyDescent="0.35">
      <c r="A461" s="13"/>
      <c r="B461" s="13"/>
      <c r="C461" s="13"/>
      <c r="D461" s="13"/>
      <c r="E461" s="13"/>
      <c r="F461" s="13"/>
      <c r="G461" s="13"/>
      <c r="H461" s="13"/>
      <c r="I461" s="13"/>
      <c r="J461" s="13"/>
      <c r="K461" s="13"/>
      <c r="L461" s="13"/>
      <c r="M461" s="13"/>
      <c r="N461" s="13"/>
      <c r="O461" s="13"/>
      <c r="P461" s="13"/>
      <c r="Q461" s="13"/>
      <c r="R461" s="13"/>
    </row>
    <row r="462" spans="1:18" x14ac:dyDescent="0.35">
      <c r="A462" s="13"/>
      <c r="B462" s="13"/>
      <c r="C462" s="13"/>
      <c r="D462" s="13"/>
      <c r="E462" s="13"/>
      <c r="F462" s="13"/>
      <c r="G462" s="13"/>
      <c r="H462" s="13"/>
      <c r="I462" s="13"/>
      <c r="J462" s="13"/>
      <c r="K462" s="13"/>
      <c r="L462" s="13"/>
      <c r="M462" s="13"/>
      <c r="N462" s="13"/>
      <c r="O462" s="13"/>
      <c r="P462" s="13"/>
      <c r="Q462" s="13"/>
      <c r="R462" s="13"/>
    </row>
    <row r="463" spans="1:18" x14ac:dyDescent="0.35">
      <c r="A463" s="13"/>
      <c r="B463" s="13"/>
      <c r="C463" s="13"/>
      <c r="D463" s="13"/>
      <c r="E463" s="13"/>
      <c r="F463" s="13"/>
      <c r="G463" s="13"/>
      <c r="H463" s="13"/>
      <c r="I463" s="13"/>
      <c r="J463" s="13"/>
      <c r="K463" s="13"/>
      <c r="L463" s="13"/>
      <c r="M463" s="13"/>
      <c r="N463" s="13"/>
      <c r="O463" s="13"/>
      <c r="P463" s="13"/>
      <c r="Q463" s="13"/>
      <c r="R463" s="13"/>
    </row>
    <row r="464" spans="1:18" x14ac:dyDescent="0.35">
      <c r="A464" s="13"/>
      <c r="B464" s="13"/>
      <c r="C464" s="13"/>
      <c r="D464" s="13"/>
      <c r="E464" s="13"/>
      <c r="F464" s="13"/>
      <c r="G464" s="13"/>
      <c r="H464" s="13"/>
      <c r="I464" s="13"/>
      <c r="J464" s="13"/>
      <c r="K464" s="13"/>
      <c r="L464" s="13"/>
      <c r="M464" s="13"/>
      <c r="N464" s="13"/>
      <c r="O464" s="13"/>
      <c r="P464" s="13"/>
      <c r="Q464" s="13"/>
      <c r="R464" s="13"/>
    </row>
    <row r="465" spans="1:18" x14ac:dyDescent="0.35">
      <c r="A465" s="13"/>
      <c r="B465" s="13"/>
      <c r="C465" s="13"/>
      <c r="D465" s="13"/>
      <c r="E465" s="13"/>
      <c r="F465" s="13"/>
      <c r="G465" s="13"/>
      <c r="H465" s="13"/>
      <c r="I465" s="13"/>
      <c r="J465" s="13"/>
      <c r="K465" s="13"/>
      <c r="L465" s="13"/>
      <c r="M465" s="13"/>
      <c r="N465" s="13"/>
      <c r="O465" s="13"/>
      <c r="P465" s="13"/>
      <c r="Q465" s="13"/>
      <c r="R465" s="13"/>
    </row>
    <row r="466" spans="1:18" x14ac:dyDescent="0.35">
      <c r="A466" s="13"/>
      <c r="B466" s="13"/>
      <c r="C466" s="13"/>
      <c r="D466" s="13"/>
      <c r="E466" s="13"/>
      <c r="F466" s="13"/>
      <c r="G466" s="13"/>
      <c r="H466" s="13"/>
      <c r="I466" s="13"/>
      <c r="J466" s="13"/>
      <c r="K466" s="13"/>
      <c r="L466" s="13"/>
      <c r="M466" s="13"/>
      <c r="N466" s="13"/>
      <c r="O466" s="13"/>
      <c r="P466" s="13"/>
      <c r="Q466" s="13"/>
      <c r="R466" s="13"/>
    </row>
    <row r="467" spans="1:18" x14ac:dyDescent="0.35">
      <c r="A467" s="13"/>
      <c r="B467" s="13"/>
      <c r="C467" s="13"/>
      <c r="D467" s="13"/>
      <c r="E467" s="13"/>
      <c r="F467" s="13"/>
      <c r="G467" s="13"/>
      <c r="H467" s="13"/>
      <c r="I467" s="13"/>
      <c r="J467" s="13"/>
      <c r="K467" s="13"/>
      <c r="L467" s="13"/>
      <c r="M467" s="13"/>
      <c r="N467" s="13"/>
      <c r="O467" s="13"/>
      <c r="P467" s="13"/>
      <c r="Q467" s="13"/>
      <c r="R467" s="13"/>
    </row>
    <row r="468" spans="1:18" x14ac:dyDescent="0.35">
      <c r="A468" s="13"/>
      <c r="B468" s="13"/>
      <c r="C468" s="13"/>
      <c r="D468" s="13"/>
      <c r="E468" s="13"/>
      <c r="F468" s="13"/>
      <c r="G468" s="13"/>
      <c r="H468" s="13"/>
      <c r="I468" s="13"/>
      <c r="J468" s="13"/>
      <c r="K468" s="13"/>
      <c r="L468" s="13"/>
      <c r="M468" s="13"/>
      <c r="N468" s="13"/>
      <c r="O468" s="13"/>
      <c r="P468" s="13"/>
      <c r="Q468" s="13"/>
      <c r="R468" s="13"/>
    </row>
    <row r="469" spans="1:18" x14ac:dyDescent="0.35">
      <c r="A469" s="13"/>
      <c r="B469" s="13"/>
      <c r="C469" s="13"/>
      <c r="D469" s="13"/>
      <c r="E469" s="13"/>
      <c r="F469" s="13"/>
      <c r="G469" s="13"/>
      <c r="H469" s="13"/>
      <c r="I469" s="13"/>
      <c r="J469" s="13"/>
      <c r="K469" s="13"/>
      <c r="L469" s="13"/>
      <c r="M469" s="13"/>
      <c r="N469" s="13"/>
      <c r="O469" s="13"/>
      <c r="P469" s="13"/>
      <c r="Q469" s="13"/>
      <c r="R469" s="13"/>
    </row>
    <row r="470" spans="1:18" x14ac:dyDescent="0.35">
      <c r="A470" s="13"/>
      <c r="B470" s="13"/>
      <c r="C470" s="13"/>
      <c r="D470" s="13"/>
      <c r="E470" s="13"/>
      <c r="F470" s="13"/>
      <c r="G470" s="13"/>
      <c r="H470" s="13"/>
      <c r="I470" s="13"/>
      <c r="J470" s="13"/>
      <c r="K470" s="13"/>
      <c r="L470" s="13"/>
      <c r="M470" s="13"/>
      <c r="N470" s="13"/>
      <c r="O470" s="13"/>
      <c r="P470" s="13"/>
      <c r="Q470" s="13"/>
      <c r="R470" s="13"/>
    </row>
    <row r="471" spans="1:18" x14ac:dyDescent="0.35">
      <c r="A471" s="13"/>
      <c r="B471" s="13"/>
      <c r="C471" s="13"/>
      <c r="D471" s="13"/>
      <c r="E471" s="13"/>
      <c r="F471" s="13"/>
      <c r="G471" s="13"/>
      <c r="H471" s="13"/>
      <c r="I471" s="13"/>
      <c r="J471" s="13"/>
      <c r="K471" s="13"/>
      <c r="L471" s="13"/>
      <c r="M471" s="13"/>
      <c r="N471" s="13"/>
      <c r="O471" s="13"/>
      <c r="P471" s="13"/>
      <c r="Q471" s="13"/>
      <c r="R471" s="13"/>
    </row>
    <row r="472" spans="1:18" x14ac:dyDescent="0.35">
      <c r="A472" s="13"/>
      <c r="B472" s="13"/>
      <c r="C472" s="13"/>
      <c r="D472" s="13"/>
      <c r="E472" s="13"/>
      <c r="F472" s="13"/>
      <c r="G472" s="13"/>
      <c r="H472" s="13"/>
      <c r="I472" s="13"/>
      <c r="J472" s="13"/>
      <c r="K472" s="13"/>
      <c r="L472" s="13"/>
      <c r="M472" s="13"/>
      <c r="N472" s="13"/>
      <c r="O472" s="13"/>
      <c r="P472" s="13"/>
      <c r="Q472" s="13"/>
      <c r="R472" s="13"/>
    </row>
    <row r="473" spans="1:18" x14ac:dyDescent="0.35">
      <c r="A473" s="13"/>
      <c r="B473" s="13"/>
      <c r="C473" s="13"/>
      <c r="D473" s="13"/>
      <c r="E473" s="13"/>
      <c r="F473" s="13"/>
      <c r="G473" s="13"/>
      <c r="H473" s="13"/>
      <c r="I473" s="13"/>
      <c r="J473" s="13"/>
      <c r="K473" s="13"/>
      <c r="L473" s="13"/>
      <c r="M473" s="13"/>
      <c r="N473" s="13"/>
      <c r="O473" s="13"/>
      <c r="P473" s="13"/>
      <c r="Q473" s="13"/>
      <c r="R473" s="13"/>
    </row>
    <row r="474" spans="1:18" x14ac:dyDescent="0.35">
      <c r="A474" s="13"/>
      <c r="B474" s="13"/>
      <c r="C474" s="13"/>
      <c r="D474" s="13"/>
      <c r="E474" s="13"/>
      <c r="F474" s="13"/>
      <c r="G474" s="13"/>
      <c r="H474" s="13"/>
      <c r="I474" s="13"/>
      <c r="J474" s="13"/>
      <c r="K474" s="13"/>
      <c r="L474" s="13"/>
      <c r="M474" s="13"/>
      <c r="N474" s="13"/>
      <c r="O474" s="13"/>
      <c r="P474" s="13"/>
      <c r="Q474" s="13"/>
      <c r="R474" s="13"/>
    </row>
    <row r="475" spans="1:18" x14ac:dyDescent="0.35">
      <c r="A475" s="13"/>
      <c r="B475" s="13"/>
      <c r="C475" s="13"/>
      <c r="D475" s="13"/>
      <c r="E475" s="13"/>
      <c r="F475" s="13"/>
      <c r="G475" s="13"/>
      <c r="H475" s="13"/>
      <c r="I475" s="13"/>
      <c r="J475" s="13"/>
      <c r="K475" s="13"/>
      <c r="L475" s="13"/>
      <c r="M475" s="13"/>
      <c r="N475" s="13"/>
      <c r="O475" s="13"/>
      <c r="P475" s="13"/>
      <c r="Q475" s="13"/>
      <c r="R475" s="13"/>
    </row>
    <row r="476" spans="1:18" x14ac:dyDescent="0.35">
      <c r="A476" s="13"/>
      <c r="B476" s="13"/>
      <c r="C476" s="13"/>
      <c r="D476" s="13"/>
      <c r="E476" s="13"/>
      <c r="F476" s="13"/>
      <c r="G476" s="13"/>
      <c r="H476" s="13"/>
      <c r="I476" s="13"/>
      <c r="J476" s="13"/>
      <c r="K476" s="13"/>
      <c r="L476" s="13"/>
      <c r="M476" s="13"/>
      <c r="N476" s="13"/>
      <c r="O476" s="13"/>
      <c r="P476" s="13"/>
      <c r="Q476" s="13"/>
      <c r="R476" s="13"/>
    </row>
    <row r="477" spans="1:18" x14ac:dyDescent="0.35">
      <c r="A477" s="13"/>
      <c r="B477" s="13"/>
      <c r="C477" s="13"/>
      <c r="D477" s="13"/>
      <c r="E477" s="13"/>
      <c r="F477" s="13"/>
      <c r="G477" s="13"/>
      <c r="H477" s="13"/>
      <c r="I477" s="13"/>
      <c r="J477" s="13"/>
      <c r="K477" s="13"/>
      <c r="L477" s="13"/>
      <c r="M477" s="13"/>
      <c r="N477" s="13"/>
      <c r="O477" s="13"/>
      <c r="P477" s="13"/>
      <c r="Q477" s="13"/>
      <c r="R477" s="13"/>
    </row>
    <row r="478" spans="1:18" x14ac:dyDescent="0.35">
      <c r="A478" s="13"/>
      <c r="B478" s="13"/>
      <c r="C478" s="13"/>
      <c r="D478" s="13"/>
      <c r="E478" s="13"/>
      <c r="F478" s="13"/>
      <c r="G478" s="13"/>
      <c r="H478" s="13"/>
      <c r="I478" s="13"/>
      <c r="J478" s="13"/>
      <c r="K478" s="13"/>
      <c r="L478" s="13"/>
      <c r="M478" s="13"/>
      <c r="N478" s="13"/>
      <c r="O478" s="13"/>
      <c r="P478" s="13"/>
      <c r="Q478" s="13"/>
      <c r="R478" s="13"/>
    </row>
    <row r="479" spans="1:18" x14ac:dyDescent="0.35">
      <c r="A479" s="13"/>
      <c r="B479" s="13"/>
      <c r="C479" s="13"/>
      <c r="D479" s="13"/>
      <c r="E479" s="13"/>
      <c r="F479" s="13"/>
      <c r="G479" s="13"/>
      <c r="H479" s="13"/>
      <c r="I479" s="13"/>
      <c r="J479" s="13"/>
      <c r="K479" s="13"/>
      <c r="L479" s="13"/>
      <c r="M479" s="13"/>
      <c r="N479" s="13"/>
      <c r="O479" s="13"/>
      <c r="P479" s="13"/>
      <c r="Q479" s="13"/>
      <c r="R479" s="13"/>
    </row>
    <row r="480" spans="1:18" x14ac:dyDescent="0.35">
      <c r="A480" s="13"/>
      <c r="B480" s="13"/>
      <c r="C480" s="13"/>
      <c r="D480" s="13"/>
      <c r="E480" s="13"/>
      <c r="F480" s="13"/>
      <c r="G480" s="13"/>
      <c r="H480" s="13"/>
      <c r="I480" s="13"/>
      <c r="J480" s="13"/>
      <c r="K480" s="13"/>
      <c r="L480" s="13"/>
      <c r="M480" s="13"/>
      <c r="N480" s="13"/>
      <c r="O480" s="13"/>
      <c r="P480" s="13"/>
      <c r="Q480" s="13"/>
      <c r="R480" s="13"/>
    </row>
    <row r="481" spans="1:18" x14ac:dyDescent="0.35">
      <c r="A481" s="13"/>
      <c r="B481" s="13"/>
      <c r="C481" s="13"/>
      <c r="D481" s="13"/>
      <c r="E481" s="13"/>
      <c r="F481" s="13"/>
      <c r="G481" s="13"/>
      <c r="H481" s="13"/>
      <c r="I481" s="13"/>
      <c r="J481" s="13"/>
      <c r="K481" s="13"/>
      <c r="L481" s="13"/>
      <c r="M481" s="13"/>
      <c r="N481" s="13"/>
      <c r="O481" s="13"/>
      <c r="P481" s="13"/>
      <c r="Q481" s="13"/>
      <c r="R481" s="13"/>
    </row>
    <row r="482" spans="1:18" x14ac:dyDescent="0.35">
      <c r="A482" s="13"/>
      <c r="B482" s="13"/>
      <c r="C482" s="13"/>
      <c r="D482" s="13"/>
      <c r="E482" s="13"/>
      <c r="F482" s="13"/>
      <c r="G482" s="13"/>
      <c r="H482" s="13"/>
      <c r="I482" s="13"/>
      <c r="J482" s="13"/>
      <c r="K482" s="13"/>
      <c r="L482" s="13"/>
      <c r="M482" s="13"/>
      <c r="N482" s="13"/>
      <c r="O482" s="13"/>
      <c r="P482" s="13"/>
      <c r="Q482" s="13"/>
      <c r="R482" s="13"/>
    </row>
    <row r="483" spans="1:18" x14ac:dyDescent="0.35">
      <c r="A483" s="13"/>
      <c r="B483" s="13"/>
      <c r="C483" s="13"/>
      <c r="D483" s="13"/>
      <c r="E483" s="13"/>
      <c r="F483" s="13"/>
      <c r="G483" s="13"/>
      <c r="H483" s="13"/>
      <c r="I483" s="13"/>
      <c r="J483" s="13"/>
      <c r="K483" s="13"/>
      <c r="L483" s="13"/>
      <c r="M483" s="13"/>
      <c r="N483" s="13"/>
      <c r="O483" s="13"/>
      <c r="P483" s="13"/>
      <c r="Q483" s="13"/>
      <c r="R483" s="13"/>
    </row>
    <row r="484" spans="1:18" x14ac:dyDescent="0.35">
      <c r="A484" s="13"/>
      <c r="B484" s="13"/>
      <c r="C484" s="13"/>
      <c r="D484" s="13"/>
      <c r="E484" s="13"/>
      <c r="F484" s="13"/>
      <c r="G484" s="13"/>
      <c r="H484" s="13"/>
      <c r="I484" s="13"/>
      <c r="J484" s="13"/>
      <c r="K484" s="13"/>
      <c r="L484" s="13"/>
      <c r="M484" s="13"/>
      <c r="N484" s="13"/>
      <c r="O484" s="13"/>
      <c r="P484" s="13"/>
      <c r="Q484" s="13"/>
      <c r="R484" s="13"/>
    </row>
    <row r="485" spans="1:18" x14ac:dyDescent="0.35">
      <c r="A485" s="13"/>
      <c r="B485" s="13"/>
      <c r="C485" s="13"/>
      <c r="D485" s="13"/>
      <c r="E485" s="13"/>
      <c r="F485" s="13"/>
      <c r="G485" s="13"/>
      <c r="H485" s="13"/>
      <c r="I485" s="13"/>
      <c r="J485" s="13"/>
      <c r="K485" s="13"/>
      <c r="L485" s="13"/>
      <c r="M485" s="13"/>
      <c r="N485" s="13"/>
      <c r="O485" s="13"/>
      <c r="P485" s="13"/>
      <c r="Q485" s="13"/>
      <c r="R485" s="13"/>
    </row>
    <row r="486" spans="1:18" x14ac:dyDescent="0.35">
      <c r="A486" s="13"/>
      <c r="B486" s="13"/>
      <c r="C486" s="13"/>
      <c r="D486" s="13"/>
      <c r="E486" s="13"/>
      <c r="F486" s="13"/>
      <c r="G486" s="13"/>
      <c r="H486" s="13"/>
      <c r="I486" s="13"/>
      <c r="J486" s="13"/>
      <c r="K486" s="13"/>
      <c r="L486" s="13"/>
      <c r="M486" s="13"/>
      <c r="N486" s="13"/>
      <c r="O486" s="13"/>
      <c r="P486" s="13"/>
      <c r="Q486" s="13"/>
      <c r="R486" s="13"/>
    </row>
    <row r="487" spans="1:18" x14ac:dyDescent="0.35">
      <c r="A487" s="13"/>
      <c r="B487" s="13"/>
      <c r="C487" s="13"/>
      <c r="D487" s="13"/>
      <c r="E487" s="13"/>
      <c r="F487" s="13"/>
      <c r="G487" s="13"/>
      <c r="H487" s="13"/>
      <c r="I487" s="13"/>
      <c r="J487" s="13"/>
      <c r="K487" s="13"/>
      <c r="L487" s="13"/>
      <c r="M487" s="13"/>
      <c r="N487" s="13"/>
      <c r="O487" s="13"/>
      <c r="P487" s="13"/>
      <c r="Q487" s="13"/>
      <c r="R487" s="13"/>
    </row>
    <row r="488" spans="1:18" x14ac:dyDescent="0.35">
      <c r="A488" s="13"/>
      <c r="B488" s="13"/>
      <c r="C488" s="13"/>
      <c r="D488" s="13"/>
      <c r="E488" s="13"/>
      <c r="F488" s="13"/>
      <c r="G488" s="13"/>
      <c r="H488" s="13"/>
      <c r="I488" s="13"/>
      <c r="J488" s="13"/>
      <c r="K488" s="13"/>
      <c r="L488" s="13"/>
      <c r="M488" s="13"/>
      <c r="N488" s="13"/>
      <c r="O488" s="13"/>
      <c r="P488" s="13"/>
      <c r="Q488" s="13"/>
      <c r="R488" s="13"/>
    </row>
    <row r="489" spans="1:18" x14ac:dyDescent="0.35">
      <c r="A489" s="13"/>
      <c r="B489" s="13"/>
      <c r="C489" s="13"/>
      <c r="D489" s="13"/>
      <c r="E489" s="13"/>
      <c r="F489" s="13"/>
      <c r="G489" s="13"/>
      <c r="H489" s="13"/>
      <c r="I489" s="13"/>
      <c r="J489" s="13"/>
      <c r="K489" s="13"/>
      <c r="L489" s="13"/>
      <c r="M489" s="13"/>
      <c r="N489" s="13"/>
      <c r="O489" s="13"/>
      <c r="P489" s="13"/>
      <c r="Q489" s="13"/>
      <c r="R489" s="13"/>
    </row>
    <row r="490" spans="1:18" x14ac:dyDescent="0.35">
      <c r="A490" s="13"/>
      <c r="B490" s="13"/>
      <c r="C490" s="13"/>
      <c r="D490" s="13"/>
      <c r="E490" s="13"/>
      <c r="F490" s="13"/>
      <c r="G490" s="13"/>
      <c r="H490" s="13"/>
      <c r="I490" s="13"/>
      <c r="J490" s="13"/>
      <c r="K490" s="13"/>
      <c r="L490" s="13"/>
      <c r="M490" s="13"/>
      <c r="N490" s="13"/>
      <c r="O490" s="13"/>
      <c r="P490" s="13"/>
      <c r="Q490" s="13"/>
      <c r="R490" s="13"/>
    </row>
    <row r="491" spans="1:18" x14ac:dyDescent="0.35">
      <c r="A491" s="13"/>
      <c r="B491" s="13"/>
      <c r="C491" s="13"/>
      <c r="D491" s="13"/>
      <c r="E491" s="13"/>
      <c r="F491" s="13"/>
      <c r="G491" s="13"/>
      <c r="H491" s="13"/>
      <c r="I491" s="13"/>
      <c r="J491" s="13"/>
      <c r="K491" s="13"/>
      <c r="L491" s="13"/>
      <c r="M491" s="13"/>
      <c r="N491" s="13"/>
      <c r="O491" s="13"/>
      <c r="P491" s="13"/>
      <c r="Q491" s="13"/>
      <c r="R491" s="13"/>
    </row>
    <row r="492" spans="1:18" x14ac:dyDescent="0.35">
      <c r="A492" s="13"/>
      <c r="B492" s="13"/>
      <c r="C492" s="13"/>
      <c r="D492" s="13"/>
      <c r="E492" s="13"/>
      <c r="F492" s="13"/>
      <c r="G492" s="13"/>
      <c r="H492" s="13"/>
      <c r="I492" s="13"/>
      <c r="J492" s="13"/>
      <c r="K492" s="13"/>
      <c r="L492" s="13"/>
      <c r="M492" s="13"/>
      <c r="N492" s="13"/>
      <c r="O492" s="13"/>
      <c r="P492" s="13"/>
      <c r="Q492" s="13"/>
      <c r="R492" s="13"/>
    </row>
    <row r="493" spans="1:18" x14ac:dyDescent="0.35">
      <c r="A493" s="13"/>
      <c r="B493" s="13"/>
      <c r="C493" s="13"/>
      <c r="D493" s="13"/>
      <c r="E493" s="13"/>
      <c r="F493" s="13"/>
      <c r="G493" s="13"/>
      <c r="H493" s="13"/>
      <c r="I493" s="13"/>
      <c r="J493" s="13"/>
      <c r="K493" s="13"/>
      <c r="L493" s="13"/>
      <c r="M493" s="13"/>
      <c r="N493" s="13"/>
      <c r="O493" s="13"/>
      <c r="P493" s="13"/>
      <c r="Q493" s="13"/>
      <c r="R493" s="13"/>
    </row>
    <row r="494" spans="1:18" x14ac:dyDescent="0.35">
      <c r="A494" s="13"/>
      <c r="B494" s="13"/>
      <c r="C494" s="13"/>
      <c r="D494" s="13"/>
      <c r="E494" s="13"/>
      <c r="F494" s="13"/>
      <c r="G494" s="13"/>
      <c r="H494" s="13"/>
      <c r="I494" s="13"/>
      <c r="J494" s="13"/>
      <c r="K494" s="13"/>
      <c r="L494" s="13"/>
      <c r="M494" s="13"/>
      <c r="N494" s="13"/>
      <c r="O494" s="13"/>
      <c r="P494" s="13"/>
      <c r="Q494" s="13"/>
      <c r="R494" s="13"/>
    </row>
    <row r="495" spans="1:18" x14ac:dyDescent="0.35">
      <c r="A495" s="13"/>
      <c r="B495" s="13"/>
      <c r="C495" s="13"/>
      <c r="D495" s="13"/>
      <c r="E495" s="13"/>
      <c r="F495" s="13"/>
      <c r="G495" s="13"/>
      <c r="H495" s="13"/>
      <c r="I495" s="13"/>
      <c r="J495" s="13"/>
      <c r="K495" s="13"/>
      <c r="L495" s="13"/>
      <c r="M495" s="13"/>
      <c r="N495" s="13"/>
      <c r="O495" s="13"/>
      <c r="P495" s="13"/>
      <c r="Q495" s="13"/>
      <c r="R495" s="13"/>
    </row>
    <row r="496" spans="1:18" x14ac:dyDescent="0.35">
      <c r="A496" s="13"/>
      <c r="B496" s="13"/>
      <c r="C496" s="13"/>
      <c r="D496" s="13"/>
      <c r="E496" s="13"/>
      <c r="F496" s="13"/>
      <c r="G496" s="13"/>
      <c r="H496" s="13"/>
      <c r="I496" s="13"/>
      <c r="J496" s="13"/>
      <c r="K496" s="13"/>
      <c r="L496" s="13"/>
      <c r="M496" s="13"/>
      <c r="N496" s="13"/>
      <c r="O496" s="13"/>
      <c r="P496" s="13"/>
      <c r="Q496" s="13"/>
      <c r="R496" s="13"/>
    </row>
    <row r="497" spans="1:18" x14ac:dyDescent="0.35">
      <c r="A497" s="13"/>
      <c r="B497" s="13"/>
      <c r="C497" s="13"/>
      <c r="D497" s="13"/>
      <c r="E497" s="13"/>
      <c r="F497" s="13"/>
      <c r="G497" s="13"/>
      <c r="H497" s="13"/>
      <c r="I497" s="13"/>
      <c r="J497" s="13"/>
      <c r="K497" s="13"/>
      <c r="L497" s="13"/>
      <c r="M497" s="13"/>
      <c r="N497" s="13"/>
      <c r="O497" s="13"/>
      <c r="P497" s="13"/>
      <c r="Q497" s="13"/>
      <c r="R497" s="13"/>
    </row>
    <row r="498" spans="1:18" x14ac:dyDescent="0.35">
      <c r="A498" s="13"/>
      <c r="B498" s="13"/>
      <c r="C498" s="13"/>
      <c r="D498" s="13"/>
      <c r="E498" s="13"/>
      <c r="F498" s="13"/>
      <c r="G498" s="13"/>
      <c r="H498" s="13"/>
      <c r="I498" s="13"/>
      <c r="J498" s="13"/>
      <c r="K498" s="13"/>
      <c r="L498" s="13"/>
      <c r="M498" s="13"/>
      <c r="N498" s="13"/>
      <c r="O498" s="13"/>
      <c r="P498" s="13"/>
      <c r="Q498" s="13"/>
      <c r="R498" s="13"/>
    </row>
    <row r="499" spans="1:18" x14ac:dyDescent="0.35">
      <c r="A499" s="13"/>
      <c r="B499" s="13"/>
      <c r="C499" s="13"/>
      <c r="D499" s="13"/>
      <c r="E499" s="13"/>
      <c r="F499" s="13"/>
      <c r="G499" s="13"/>
      <c r="H499" s="13"/>
      <c r="I499" s="13"/>
      <c r="J499" s="13"/>
      <c r="K499" s="13"/>
      <c r="L499" s="13"/>
      <c r="M499" s="13"/>
      <c r="N499" s="13"/>
      <c r="O499" s="13"/>
      <c r="P499" s="13"/>
      <c r="Q499" s="13"/>
      <c r="R499" s="13"/>
    </row>
    <row r="500" spans="1:18" x14ac:dyDescent="0.35">
      <c r="A500" s="13"/>
      <c r="B500" s="13"/>
      <c r="C500" s="13"/>
      <c r="D500" s="13"/>
      <c r="E500" s="13"/>
      <c r="F500" s="13"/>
      <c r="G500" s="13"/>
      <c r="H500" s="13"/>
      <c r="I500" s="13"/>
      <c r="J500" s="13"/>
      <c r="K500" s="13"/>
      <c r="L500" s="13"/>
      <c r="M500" s="13"/>
      <c r="N500" s="13"/>
      <c r="O500" s="13"/>
      <c r="P500" s="13"/>
      <c r="Q500" s="13"/>
      <c r="R500" s="13"/>
    </row>
    <row r="501" spans="1:18" x14ac:dyDescent="0.35">
      <c r="A501" s="13"/>
      <c r="B501" s="13"/>
      <c r="C501" s="13"/>
      <c r="D501" s="13"/>
      <c r="E501" s="13"/>
      <c r="F501" s="13"/>
      <c r="G501" s="13"/>
      <c r="H501" s="13"/>
      <c r="I501" s="13"/>
      <c r="J501" s="13"/>
      <c r="K501" s="13"/>
      <c r="L501" s="13"/>
      <c r="M501" s="13"/>
      <c r="N501" s="13"/>
      <c r="O501" s="13"/>
      <c r="P501" s="13"/>
      <c r="Q501" s="13"/>
      <c r="R501" s="13"/>
    </row>
    <row r="502" spans="1:18" x14ac:dyDescent="0.35">
      <c r="A502" s="13"/>
      <c r="B502" s="13"/>
      <c r="C502" s="13"/>
      <c r="D502" s="13"/>
      <c r="E502" s="13"/>
      <c r="F502" s="13"/>
      <c r="G502" s="13"/>
      <c r="H502" s="13"/>
      <c r="I502" s="13"/>
      <c r="J502" s="13"/>
      <c r="K502" s="13"/>
      <c r="L502" s="13"/>
      <c r="M502" s="13"/>
      <c r="N502" s="13"/>
      <c r="O502" s="13"/>
      <c r="P502" s="13"/>
      <c r="Q502" s="13"/>
      <c r="R502" s="13"/>
    </row>
    <row r="503" spans="1:18" x14ac:dyDescent="0.35">
      <c r="A503" s="13"/>
      <c r="B503" s="13"/>
      <c r="C503" s="13"/>
      <c r="D503" s="13"/>
      <c r="E503" s="13"/>
      <c r="F503" s="13"/>
      <c r="G503" s="13"/>
      <c r="H503" s="13"/>
      <c r="I503" s="13"/>
      <c r="J503" s="13"/>
      <c r="K503" s="13"/>
      <c r="L503" s="13"/>
      <c r="M503" s="13"/>
      <c r="N503" s="13"/>
      <c r="O503" s="13"/>
      <c r="P503" s="13"/>
      <c r="Q503" s="13"/>
      <c r="R503" s="13"/>
    </row>
    <row r="504" spans="1:18" x14ac:dyDescent="0.35">
      <c r="A504" s="13"/>
      <c r="B504" s="13"/>
      <c r="C504" s="13"/>
      <c r="D504" s="13"/>
      <c r="E504" s="13"/>
      <c r="F504" s="13"/>
      <c r="G504" s="13"/>
      <c r="H504" s="13"/>
      <c r="I504" s="13"/>
      <c r="J504" s="13"/>
      <c r="K504" s="13"/>
      <c r="L504" s="13"/>
      <c r="M504" s="13"/>
      <c r="N504" s="13"/>
      <c r="O504" s="13"/>
      <c r="P504" s="13"/>
      <c r="Q504" s="13"/>
      <c r="R504" s="13"/>
    </row>
    <row r="505" spans="1:18" x14ac:dyDescent="0.35">
      <c r="A505" s="13"/>
      <c r="B505" s="13"/>
      <c r="C505" s="13"/>
      <c r="D505" s="13"/>
      <c r="E505" s="13"/>
      <c r="F505" s="13"/>
      <c r="G505" s="13"/>
      <c r="H505" s="13"/>
      <c r="I505" s="13"/>
      <c r="J505" s="13"/>
      <c r="K505" s="13"/>
      <c r="L505" s="13"/>
      <c r="M505" s="13"/>
      <c r="N505" s="13"/>
      <c r="O505" s="13"/>
      <c r="P505" s="13"/>
      <c r="Q505" s="13"/>
      <c r="R505" s="13"/>
    </row>
    <row r="506" spans="1:18" x14ac:dyDescent="0.35">
      <c r="A506" s="13"/>
      <c r="B506" s="13"/>
      <c r="C506" s="13"/>
      <c r="D506" s="13"/>
      <c r="E506" s="13"/>
      <c r="F506" s="13"/>
      <c r="G506" s="13"/>
      <c r="H506" s="13"/>
      <c r="I506" s="13"/>
      <c r="J506" s="13"/>
      <c r="K506" s="13"/>
      <c r="L506" s="13"/>
      <c r="M506" s="13"/>
      <c r="N506" s="13"/>
      <c r="O506" s="13"/>
      <c r="P506" s="13"/>
      <c r="Q506" s="13"/>
      <c r="R506" s="13"/>
    </row>
    <row r="507" spans="1:18" x14ac:dyDescent="0.35">
      <c r="A507" s="13"/>
      <c r="B507" s="13"/>
      <c r="C507" s="13"/>
      <c r="D507" s="13"/>
      <c r="E507" s="13"/>
      <c r="F507" s="13"/>
      <c r="G507" s="13"/>
      <c r="H507" s="13"/>
      <c r="I507" s="13"/>
      <c r="J507" s="13"/>
      <c r="K507" s="13"/>
      <c r="L507" s="13"/>
      <c r="M507" s="13"/>
      <c r="N507" s="13"/>
      <c r="O507" s="13"/>
      <c r="P507" s="13"/>
      <c r="Q507" s="13"/>
      <c r="R507" s="13"/>
    </row>
    <row r="508" spans="1:18" x14ac:dyDescent="0.35">
      <c r="A508" s="13"/>
      <c r="B508" s="13"/>
      <c r="C508" s="13"/>
      <c r="D508" s="13"/>
      <c r="E508" s="13"/>
      <c r="F508" s="13"/>
      <c r="G508" s="13"/>
      <c r="H508" s="13"/>
      <c r="I508" s="13"/>
      <c r="J508" s="13"/>
      <c r="K508" s="13"/>
      <c r="L508" s="13"/>
      <c r="M508" s="13"/>
      <c r="N508" s="13"/>
      <c r="O508" s="13"/>
      <c r="P508" s="13"/>
      <c r="Q508" s="13"/>
      <c r="R508" s="13"/>
    </row>
    <row r="509" spans="1:18" x14ac:dyDescent="0.35">
      <c r="A509" s="13"/>
      <c r="B509" s="13"/>
      <c r="C509" s="13"/>
      <c r="D509" s="13"/>
      <c r="E509" s="13"/>
      <c r="F509" s="13"/>
      <c r="G509" s="13"/>
      <c r="H509" s="13"/>
      <c r="I509" s="13"/>
      <c r="J509" s="13"/>
      <c r="K509" s="13"/>
      <c r="L509" s="13"/>
      <c r="M509" s="13"/>
      <c r="N509" s="13"/>
      <c r="O509" s="13"/>
      <c r="P509" s="13"/>
      <c r="Q509" s="13"/>
      <c r="R509" s="13"/>
    </row>
    <row r="510" spans="1:18" x14ac:dyDescent="0.35">
      <c r="A510" s="13"/>
      <c r="B510" s="13"/>
      <c r="C510" s="13"/>
      <c r="D510" s="13"/>
      <c r="E510" s="13"/>
      <c r="F510" s="13"/>
      <c r="G510" s="13"/>
      <c r="H510" s="13"/>
      <c r="I510" s="13"/>
      <c r="J510" s="13"/>
      <c r="K510" s="13"/>
      <c r="L510" s="13"/>
      <c r="M510" s="13"/>
      <c r="N510" s="13"/>
      <c r="O510" s="13"/>
      <c r="P510" s="13"/>
      <c r="Q510" s="13"/>
      <c r="R510" s="13"/>
    </row>
    <row r="511" spans="1:18" x14ac:dyDescent="0.35">
      <c r="A511" s="13"/>
      <c r="B511" s="13"/>
      <c r="C511" s="13"/>
      <c r="D511" s="13"/>
      <c r="E511" s="13"/>
      <c r="F511" s="13"/>
      <c r="G511" s="13"/>
      <c r="H511" s="13"/>
      <c r="I511" s="13"/>
      <c r="J511" s="13"/>
      <c r="K511" s="13"/>
      <c r="L511" s="13"/>
      <c r="M511" s="13"/>
      <c r="N511" s="13"/>
      <c r="O511" s="13"/>
      <c r="P511" s="13"/>
      <c r="Q511" s="13"/>
      <c r="R511" s="13"/>
    </row>
    <row r="512" spans="1:18" x14ac:dyDescent="0.35">
      <c r="A512" s="13"/>
      <c r="B512" s="13"/>
      <c r="C512" s="13"/>
      <c r="D512" s="13"/>
      <c r="E512" s="13"/>
      <c r="F512" s="13"/>
      <c r="G512" s="13"/>
      <c r="H512" s="13"/>
      <c r="I512" s="13"/>
      <c r="J512" s="13"/>
      <c r="K512" s="13"/>
      <c r="L512" s="13"/>
      <c r="M512" s="13"/>
      <c r="N512" s="13"/>
      <c r="O512" s="13"/>
      <c r="P512" s="13"/>
      <c r="Q512" s="13"/>
      <c r="R512" s="13"/>
    </row>
    <row r="513" spans="1:18" x14ac:dyDescent="0.35">
      <c r="A513" s="13"/>
      <c r="B513" s="13"/>
      <c r="C513" s="13"/>
      <c r="D513" s="13"/>
      <c r="E513" s="13"/>
      <c r="F513" s="13"/>
      <c r="G513" s="13"/>
      <c r="H513" s="13"/>
      <c r="I513" s="13"/>
      <c r="J513" s="13"/>
      <c r="K513" s="13"/>
      <c r="L513" s="13"/>
      <c r="M513" s="13"/>
      <c r="N513" s="13"/>
      <c r="O513" s="13"/>
      <c r="P513" s="13"/>
      <c r="Q513" s="13"/>
      <c r="R513" s="13"/>
    </row>
    <row r="514" spans="1:18" x14ac:dyDescent="0.35">
      <c r="A514" s="13"/>
      <c r="B514" s="13"/>
      <c r="C514" s="13"/>
      <c r="D514" s="13"/>
      <c r="E514" s="13"/>
      <c r="F514" s="13"/>
      <c r="G514" s="13"/>
      <c r="H514" s="13"/>
      <c r="I514" s="13"/>
      <c r="J514" s="13"/>
      <c r="K514" s="13"/>
      <c r="L514" s="13"/>
      <c r="M514" s="13"/>
      <c r="N514" s="13"/>
      <c r="O514" s="13"/>
      <c r="P514" s="13"/>
      <c r="Q514" s="13"/>
      <c r="R514" s="13"/>
    </row>
    <row r="515" spans="1:18" x14ac:dyDescent="0.35">
      <c r="A515" s="13"/>
      <c r="B515" s="13"/>
      <c r="C515" s="13"/>
      <c r="D515" s="13"/>
      <c r="E515" s="13"/>
      <c r="F515" s="13"/>
      <c r="G515" s="13"/>
      <c r="H515" s="13"/>
      <c r="I515" s="13"/>
      <c r="J515" s="13"/>
      <c r="K515" s="13"/>
      <c r="L515" s="13"/>
      <c r="M515" s="13"/>
      <c r="N515" s="13"/>
      <c r="O515" s="13"/>
      <c r="P515" s="13"/>
      <c r="Q515" s="13"/>
      <c r="R515" s="13"/>
    </row>
    <row r="516" spans="1:18" x14ac:dyDescent="0.35">
      <c r="A516" s="13"/>
      <c r="B516" s="13"/>
      <c r="C516" s="13"/>
      <c r="D516" s="13"/>
      <c r="E516" s="13"/>
      <c r="F516" s="13"/>
      <c r="G516" s="13"/>
      <c r="H516" s="13"/>
      <c r="I516" s="13"/>
      <c r="J516" s="13"/>
      <c r="K516" s="13"/>
      <c r="L516" s="13"/>
      <c r="M516" s="13"/>
      <c r="N516" s="13"/>
      <c r="O516" s="13"/>
      <c r="P516" s="13"/>
      <c r="Q516" s="13"/>
      <c r="R516" s="13"/>
    </row>
    <row r="517" spans="1:18" x14ac:dyDescent="0.35">
      <c r="A517" s="13"/>
      <c r="B517" s="13"/>
      <c r="C517" s="13"/>
      <c r="D517" s="13"/>
      <c r="E517" s="13"/>
      <c r="F517" s="13"/>
      <c r="G517" s="13"/>
      <c r="H517" s="13"/>
      <c r="I517" s="13"/>
      <c r="J517" s="13"/>
      <c r="K517" s="13"/>
      <c r="L517" s="13"/>
      <c r="M517" s="13"/>
      <c r="N517" s="13"/>
      <c r="O517" s="13"/>
      <c r="P517" s="13"/>
      <c r="Q517" s="13"/>
      <c r="R517" s="13"/>
    </row>
    <row r="518" spans="1:18" x14ac:dyDescent="0.35">
      <c r="A518" s="13"/>
      <c r="B518" s="13"/>
      <c r="C518" s="13"/>
      <c r="D518" s="13"/>
      <c r="E518" s="13"/>
      <c r="F518" s="13"/>
      <c r="G518" s="13"/>
      <c r="H518" s="13"/>
      <c r="I518" s="13"/>
      <c r="J518" s="13"/>
      <c r="K518" s="13"/>
      <c r="L518" s="13"/>
      <c r="M518" s="13"/>
      <c r="N518" s="13"/>
      <c r="O518" s="13"/>
      <c r="P518" s="13"/>
      <c r="Q518" s="13"/>
      <c r="R518" s="13"/>
    </row>
    <row r="519" spans="1:18" x14ac:dyDescent="0.35">
      <c r="A519" s="13"/>
      <c r="B519" s="13"/>
      <c r="C519" s="13"/>
      <c r="D519" s="13"/>
      <c r="E519" s="13"/>
      <c r="F519" s="13"/>
      <c r="G519" s="13"/>
      <c r="H519" s="13"/>
      <c r="I519" s="13"/>
      <c r="J519" s="13"/>
      <c r="K519" s="13"/>
      <c r="L519" s="13"/>
      <c r="M519" s="13"/>
      <c r="N519" s="13"/>
      <c r="O519" s="13"/>
      <c r="P519" s="13"/>
      <c r="Q519" s="13"/>
      <c r="R519" s="13"/>
    </row>
    <row r="520" spans="1:18" x14ac:dyDescent="0.35">
      <c r="A520" s="13"/>
      <c r="B520" s="13"/>
      <c r="C520" s="13"/>
      <c r="D520" s="13"/>
      <c r="E520" s="13"/>
      <c r="F520" s="13"/>
      <c r="G520" s="13"/>
      <c r="H520" s="13"/>
      <c r="I520" s="13"/>
      <c r="J520" s="13"/>
      <c r="K520" s="13"/>
      <c r="L520" s="13"/>
      <c r="M520" s="13"/>
      <c r="N520" s="13"/>
      <c r="O520" s="13"/>
      <c r="P520" s="13"/>
      <c r="Q520" s="13"/>
      <c r="R520" s="13"/>
    </row>
    <row r="521" spans="1:18" x14ac:dyDescent="0.35">
      <c r="A521" s="13"/>
      <c r="B521" s="13"/>
      <c r="C521" s="13"/>
      <c r="D521" s="13"/>
      <c r="E521" s="13"/>
      <c r="F521" s="13"/>
      <c r="G521" s="13"/>
      <c r="H521" s="13"/>
      <c r="I521" s="13"/>
      <c r="J521" s="13"/>
      <c r="K521" s="13"/>
      <c r="L521" s="13"/>
      <c r="M521" s="13"/>
      <c r="N521" s="13"/>
      <c r="O521" s="13"/>
      <c r="P521" s="13"/>
      <c r="Q521" s="13"/>
      <c r="R521" s="13"/>
    </row>
    <row r="522" spans="1:18" x14ac:dyDescent="0.35">
      <c r="A522" s="13"/>
      <c r="B522" s="13"/>
      <c r="C522" s="13"/>
      <c r="D522" s="13"/>
      <c r="E522" s="13"/>
      <c r="F522" s="13"/>
      <c r="G522" s="13"/>
      <c r="H522" s="13"/>
      <c r="I522" s="13"/>
      <c r="J522" s="13"/>
      <c r="K522" s="13"/>
      <c r="L522" s="13"/>
      <c r="M522" s="13"/>
      <c r="N522" s="13"/>
      <c r="O522" s="13"/>
      <c r="P522" s="13"/>
      <c r="Q522" s="13"/>
      <c r="R522" s="13"/>
    </row>
    <row r="523" spans="1:18" x14ac:dyDescent="0.35">
      <c r="A523" s="13"/>
      <c r="B523" s="13"/>
      <c r="C523" s="13"/>
      <c r="D523" s="13"/>
      <c r="E523" s="13"/>
      <c r="F523" s="13"/>
      <c r="G523" s="13"/>
      <c r="H523" s="13"/>
      <c r="I523" s="13"/>
      <c r="J523" s="13"/>
      <c r="K523" s="13"/>
      <c r="L523" s="13"/>
      <c r="M523" s="13"/>
      <c r="N523" s="13"/>
      <c r="O523" s="13"/>
      <c r="P523" s="13"/>
      <c r="Q523" s="13"/>
      <c r="R523" s="13"/>
    </row>
    <row r="524" spans="1:18" x14ac:dyDescent="0.35">
      <c r="A524" s="13"/>
      <c r="B524" s="13"/>
      <c r="C524" s="13"/>
      <c r="D524" s="13"/>
      <c r="E524" s="13"/>
      <c r="F524" s="13"/>
      <c r="G524" s="13"/>
      <c r="H524" s="13"/>
      <c r="I524" s="13"/>
      <c r="J524" s="13"/>
      <c r="K524" s="13"/>
      <c r="L524" s="13"/>
      <c r="M524" s="13"/>
      <c r="N524" s="13"/>
      <c r="O524" s="13"/>
      <c r="P524" s="13"/>
      <c r="Q524" s="13"/>
      <c r="R524" s="13"/>
    </row>
    <row r="525" spans="1:18" x14ac:dyDescent="0.35">
      <c r="A525" s="13"/>
      <c r="B525" s="13"/>
      <c r="C525" s="13"/>
      <c r="D525" s="13"/>
      <c r="E525" s="13"/>
      <c r="F525" s="13"/>
      <c r="G525" s="13"/>
      <c r="H525" s="13"/>
      <c r="I525" s="13"/>
      <c r="J525" s="13"/>
      <c r="K525" s="13"/>
      <c r="L525" s="13"/>
      <c r="M525" s="13"/>
      <c r="N525" s="13"/>
      <c r="O525" s="13"/>
      <c r="P525" s="13"/>
      <c r="Q525" s="13"/>
      <c r="R525" s="13"/>
    </row>
    <row r="526" spans="1:18" x14ac:dyDescent="0.35">
      <c r="A526" s="13"/>
      <c r="B526" s="13"/>
      <c r="C526" s="13"/>
      <c r="D526" s="13"/>
      <c r="E526" s="13"/>
      <c r="F526" s="13"/>
      <c r="G526" s="13"/>
      <c r="H526" s="13"/>
      <c r="I526" s="13"/>
      <c r="J526" s="13"/>
      <c r="K526" s="13"/>
      <c r="L526" s="13"/>
      <c r="M526" s="13"/>
      <c r="N526" s="13"/>
      <c r="O526" s="13"/>
      <c r="P526" s="13"/>
      <c r="Q526" s="13"/>
      <c r="R526" s="13"/>
    </row>
    <row r="527" spans="1:18" x14ac:dyDescent="0.35">
      <c r="A527" s="13"/>
      <c r="B527" s="13"/>
      <c r="C527" s="13"/>
      <c r="D527" s="13"/>
      <c r="E527" s="13"/>
      <c r="F527" s="13"/>
      <c r="G527" s="13"/>
      <c r="H527" s="13"/>
      <c r="I527" s="13"/>
      <c r="J527" s="13"/>
      <c r="K527" s="13"/>
      <c r="L527" s="13"/>
      <c r="M527" s="13"/>
      <c r="N527" s="13"/>
      <c r="O527" s="13"/>
      <c r="P527" s="13"/>
      <c r="Q527" s="13"/>
      <c r="R527" s="13"/>
    </row>
    <row r="528" spans="1:18" x14ac:dyDescent="0.35">
      <c r="A528" s="13"/>
      <c r="B528" s="13"/>
      <c r="C528" s="13"/>
      <c r="D528" s="13"/>
      <c r="E528" s="13"/>
      <c r="F528" s="13"/>
      <c r="G528" s="13"/>
      <c r="H528" s="13"/>
      <c r="I528" s="13"/>
      <c r="J528" s="13"/>
      <c r="K528" s="13"/>
      <c r="L528" s="13"/>
      <c r="M528" s="13"/>
      <c r="N528" s="13"/>
      <c r="O528" s="13"/>
      <c r="P528" s="13"/>
      <c r="Q528" s="13"/>
      <c r="R528" s="13"/>
    </row>
    <row r="529" spans="1:18" x14ac:dyDescent="0.35">
      <c r="A529" s="13"/>
      <c r="B529" s="13"/>
      <c r="C529" s="13"/>
      <c r="D529" s="13"/>
      <c r="E529" s="13"/>
      <c r="F529" s="13"/>
      <c r="G529" s="13"/>
      <c r="H529" s="13"/>
      <c r="I529" s="13"/>
      <c r="J529" s="13"/>
      <c r="K529" s="13"/>
      <c r="L529" s="13"/>
      <c r="M529" s="13"/>
      <c r="N529" s="13"/>
      <c r="O529" s="13"/>
      <c r="P529" s="13"/>
      <c r="Q529" s="13"/>
      <c r="R529" s="13"/>
    </row>
    <row r="530" spans="1:18" x14ac:dyDescent="0.35">
      <c r="A530" s="13"/>
      <c r="B530" s="13"/>
      <c r="C530" s="13"/>
      <c r="D530" s="13"/>
      <c r="E530" s="13"/>
      <c r="F530" s="13"/>
      <c r="G530" s="13"/>
      <c r="H530" s="13"/>
      <c r="I530" s="13"/>
      <c r="J530" s="13"/>
      <c r="K530" s="13"/>
      <c r="L530" s="13"/>
      <c r="M530" s="13"/>
      <c r="N530" s="13"/>
      <c r="O530" s="13"/>
      <c r="P530" s="13"/>
      <c r="Q530" s="13"/>
      <c r="R530" s="13"/>
    </row>
    <row r="531" spans="1:18" x14ac:dyDescent="0.35">
      <c r="A531" s="13"/>
      <c r="B531" s="13"/>
      <c r="C531" s="13"/>
      <c r="D531" s="13"/>
      <c r="E531" s="13"/>
      <c r="F531" s="13"/>
      <c r="G531" s="13"/>
      <c r="H531" s="13"/>
      <c r="I531" s="13"/>
      <c r="J531" s="13"/>
      <c r="K531" s="13"/>
      <c r="L531" s="13"/>
      <c r="M531" s="13"/>
      <c r="N531" s="13"/>
      <c r="O531" s="13"/>
      <c r="P531" s="13"/>
      <c r="Q531" s="13"/>
      <c r="R531" s="13"/>
    </row>
    <row r="532" spans="1:18" x14ac:dyDescent="0.35">
      <c r="A532" s="13"/>
      <c r="B532" s="13"/>
      <c r="C532" s="13"/>
      <c r="D532" s="13"/>
      <c r="E532" s="13"/>
      <c r="F532" s="13"/>
      <c r="G532" s="13"/>
      <c r="H532" s="13"/>
      <c r="I532" s="13"/>
      <c r="J532" s="13"/>
      <c r="K532" s="13"/>
      <c r="L532" s="13"/>
      <c r="M532" s="13"/>
      <c r="N532" s="13"/>
      <c r="O532" s="13"/>
      <c r="P532" s="13"/>
      <c r="Q532" s="13"/>
      <c r="R532" s="13"/>
    </row>
    <row r="533" spans="1:18" x14ac:dyDescent="0.35">
      <c r="A533" s="13"/>
      <c r="B533" s="13"/>
      <c r="C533" s="13"/>
      <c r="D533" s="13"/>
      <c r="E533" s="13"/>
      <c r="F533" s="13"/>
      <c r="G533" s="13"/>
      <c r="H533" s="13"/>
      <c r="I533" s="13"/>
      <c r="J533" s="13"/>
      <c r="K533" s="13"/>
      <c r="L533" s="13"/>
      <c r="M533" s="13"/>
      <c r="N533" s="13"/>
      <c r="O533" s="13"/>
      <c r="P533" s="13"/>
      <c r="Q533" s="13"/>
      <c r="R533" s="13"/>
    </row>
    <row r="534" spans="1:18" x14ac:dyDescent="0.35">
      <c r="A534" s="13"/>
      <c r="B534" s="13"/>
      <c r="C534" s="13"/>
      <c r="D534" s="13"/>
      <c r="E534" s="13"/>
      <c r="F534" s="13"/>
      <c r="G534" s="13"/>
      <c r="H534" s="13"/>
      <c r="I534" s="13"/>
      <c r="J534" s="13"/>
      <c r="K534" s="13"/>
      <c r="L534" s="13"/>
      <c r="M534" s="13"/>
      <c r="N534" s="13"/>
      <c r="O534" s="13"/>
      <c r="P534" s="13"/>
      <c r="Q534" s="13"/>
      <c r="R534" s="13"/>
    </row>
    <row r="535" spans="1:18" x14ac:dyDescent="0.35">
      <c r="A535" s="13"/>
      <c r="B535" s="13"/>
      <c r="C535" s="13"/>
      <c r="D535" s="13"/>
      <c r="E535" s="13"/>
      <c r="F535" s="13"/>
      <c r="G535" s="13"/>
      <c r="H535" s="13"/>
      <c r="I535" s="13"/>
      <c r="J535" s="13"/>
      <c r="K535" s="13"/>
      <c r="L535" s="13"/>
      <c r="M535" s="13"/>
      <c r="N535" s="13"/>
      <c r="O535" s="13"/>
      <c r="P535" s="13"/>
      <c r="Q535" s="13"/>
      <c r="R535" s="13"/>
    </row>
    <row r="536" spans="1:18" x14ac:dyDescent="0.35">
      <c r="A536" s="13"/>
      <c r="B536" s="13"/>
      <c r="C536" s="13"/>
      <c r="D536" s="13"/>
      <c r="E536" s="13"/>
      <c r="F536" s="13"/>
      <c r="G536" s="13"/>
      <c r="H536" s="13"/>
      <c r="I536" s="13"/>
      <c r="J536" s="13"/>
      <c r="K536" s="13"/>
      <c r="L536" s="13"/>
      <c r="M536" s="13"/>
      <c r="N536" s="13"/>
      <c r="O536" s="13"/>
      <c r="P536" s="13"/>
      <c r="Q536" s="13"/>
      <c r="R536" s="13"/>
    </row>
    <row r="537" spans="1:18" x14ac:dyDescent="0.35">
      <c r="A537" s="13"/>
      <c r="B537" s="13"/>
      <c r="C537" s="13"/>
      <c r="D537" s="13"/>
      <c r="E537" s="13"/>
      <c r="F537" s="13"/>
      <c r="G537" s="13"/>
      <c r="H537" s="13"/>
      <c r="I537" s="13"/>
      <c r="J537" s="13"/>
      <c r="K537" s="13"/>
      <c r="L537" s="13"/>
      <c r="M537" s="13"/>
      <c r="N537" s="13"/>
      <c r="O537" s="13"/>
      <c r="P537" s="13"/>
      <c r="Q537" s="13"/>
      <c r="R537" s="13"/>
    </row>
    <row r="538" spans="1:18" x14ac:dyDescent="0.35">
      <c r="A538" s="13"/>
      <c r="B538" s="13"/>
      <c r="C538" s="13"/>
      <c r="D538" s="13"/>
      <c r="E538" s="13"/>
      <c r="F538" s="13"/>
      <c r="G538" s="13"/>
      <c r="H538" s="13"/>
      <c r="I538" s="13"/>
      <c r="J538" s="13"/>
      <c r="K538" s="13"/>
      <c r="L538" s="13"/>
      <c r="M538" s="13"/>
      <c r="N538" s="13"/>
      <c r="O538" s="13"/>
      <c r="P538" s="13"/>
      <c r="Q538" s="13"/>
      <c r="R538" s="13"/>
    </row>
    <row r="539" spans="1:18" x14ac:dyDescent="0.35">
      <c r="A539" s="13"/>
      <c r="B539" s="13"/>
      <c r="C539" s="13"/>
      <c r="D539" s="13"/>
      <c r="E539" s="13"/>
      <c r="F539" s="13"/>
      <c r="G539" s="13"/>
      <c r="H539" s="13"/>
      <c r="I539" s="13"/>
      <c r="J539" s="13"/>
      <c r="K539" s="13"/>
      <c r="L539" s="13"/>
      <c r="M539" s="13"/>
      <c r="N539" s="13"/>
      <c r="O539" s="13"/>
      <c r="P539" s="13"/>
      <c r="Q539" s="13"/>
      <c r="R539" s="13"/>
    </row>
    <row r="540" spans="1:18" x14ac:dyDescent="0.35">
      <c r="A540" s="13"/>
      <c r="B540" s="13"/>
      <c r="C540" s="13"/>
      <c r="D540" s="13"/>
      <c r="E540" s="13"/>
      <c r="F540" s="13"/>
      <c r="G540" s="13"/>
      <c r="H540" s="13"/>
      <c r="I540" s="13"/>
      <c r="J540" s="13"/>
      <c r="K540" s="13"/>
      <c r="L540" s="13"/>
      <c r="M540" s="13"/>
      <c r="N540" s="13"/>
      <c r="O540" s="13"/>
      <c r="P540" s="13"/>
      <c r="Q540" s="13"/>
      <c r="R540" s="13"/>
    </row>
    <row r="541" spans="1:18" x14ac:dyDescent="0.35">
      <c r="A541" s="13"/>
      <c r="B541" s="13"/>
      <c r="C541" s="13"/>
      <c r="D541" s="13"/>
      <c r="E541" s="13"/>
      <c r="F541" s="13"/>
      <c r="G541" s="13"/>
      <c r="H541" s="13"/>
      <c r="I541" s="13"/>
      <c r="J541" s="13"/>
      <c r="K541" s="13"/>
      <c r="L541" s="13"/>
      <c r="M541" s="13"/>
      <c r="N541" s="13"/>
      <c r="O541" s="13"/>
      <c r="P541" s="13"/>
      <c r="Q541" s="13"/>
      <c r="R541" s="13"/>
    </row>
    <row r="542" spans="1:18" x14ac:dyDescent="0.35">
      <c r="A542" s="13"/>
      <c r="B542" s="13"/>
      <c r="C542" s="13"/>
      <c r="D542" s="13"/>
      <c r="E542" s="13"/>
      <c r="F542" s="13"/>
      <c r="G542" s="13"/>
      <c r="H542" s="13"/>
      <c r="I542" s="13"/>
      <c r="J542" s="13"/>
      <c r="K542" s="13"/>
      <c r="L542" s="13"/>
      <c r="M542" s="13"/>
      <c r="N542" s="13"/>
      <c r="O542" s="13"/>
      <c r="P542" s="13"/>
      <c r="Q542" s="13"/>
      <c r="R542" s="13"/>
    </row>
    <row r="543" spans="1:18" x14ac:dyDescent="0.35">
      <c r="A543" s="13"/>
      <c r="B543" s="13"/>
      <c r="C543" s="13"/>
      <c r="D543" s="13"/>
      <c r="E543" s="13"/>
      <c r="F543" s="13"/>
      <c r="G543" s="13"/>
      <c r="H543" s="13"/>
      <c r="I543" s="13"/>
      <c r="J543" s="13"/>
      <c r="K543" s="13"/>
      <c r="L543" s="13"/>
      <c r="M543" s="13"/>
      <c r="N543" s="13"/>
      <c r="O543" s="13"/>
      <c r="P543" s="13"/>
      <c r="Q543" s="13"/>
      <c r="R543" s="13"/>
    </row>
    <row r="544" spans="1:18" x14ac:dyDescent="0.35">
      <c r="A544" s="13"/>
      <c r="B544" s="13"/>
      <c r="C544" s="13"/>
      <c r="D544" s="13"/>
      <c r="E544" s="13"/>
      <c r="F544" s="13"/>
      <c r="G544" s="13"/>
      <c r="H544" s="13"/>
      <c r="I544" s="13"/>
      <c r="J544" s="13"/>
      <c r="K544" s="13"/>
      <c r="L544" s="13"/>
      <c r="M544" s="13"/>
      <c r="N544" s="13"/>
      <c r="O544" s="13"/>
      <c r="P544" s="13"/>
      <c r="Q544" s="13"/>
      <c r="R544" s="13"/>
    </row>
    <row r="545" spans="1:18" x14ac:dyDescent="0.35">
      <c r="A545" s="13"/>
      <c r="B545" s="13"/>
      <c r="C545" s="13"/>
      <c r="D545" s="13"/>
      <c r="E545" s="13"/>
      <c r="F545" s="13"/>
      <c r="G545" s="13"/>
      <c r="H545" s="13"/>
      <c r="I545" s="13"/>
      <c r="J545" s="13"/>
      <c r="K545" s="13"/>
      <c r="L545" s="13"/>
      <c r="M545" s="13"/>
      <c r="N545" s="13"/>
      <c r="O545" s="13"/>
      <c r="P545" s="13"/>
      <c r="Q545" s="13"/>
      <c r="R545" s="13"/>
    </row>
    <row r="546" spans="1:18" x14ac:dyDescent="0.35">
      <c r="A546" s="13"/>
      <c r="B546" s="13"/>
      <c r="C546" s="13"/>
      <c r="D546" s="13"/>
      <c r="E546" s="13"/>
      <c r="F546" s="13"/>
      <c r="G546" s="13"/>
      <c r="H546" s="13"/>
      <c r="I546" s="13"/>
      <c r="J546" s="13"/>
      <c r="K546" s="13"/>
      <c r="L546" s="13"/>
      <c r="M546" s="13"/>
      <c r="N546" s="13"/>
      <c r="O546" s="13"/>
      <c r="P546" s="13"/>
      <c r="Q546" s="13"/>
      <c r="R546" s="13"/>
    </row>
    <row r="547" spans="1:18" x14ac:dyDescent="0.35">
      <c r="A547" s="13"/>
      <c r="B547" s="13"/>
      <c r="C547" s="13"/>
      <c r="D547" s="13"/>
      <c r="E547" s="13"/>
      <c r="F547" s="13"/>
      <c r="G547" s="13"/>
      <c r="H547" s="13"/>
      <c r="I547" s="13"/>
      <c r="J547" s="13"/>
      <c r="K547" s="13"/>
      <c r="L547" s="13"/>
      <c r="M547" s="13"/>
      <c r="N547" s="13"/>
      <c r="O547" s="13"/>
      <c r="P547" s="13"/>
      <c r="Q547" s="13"/>
      <c r="R547" s="13"/>
    </row>
    <row r="548" spans="1:18" x14ac:dyDescent="0.35">
      <c r="A548" s="13"/>
      <c r="B548" s="13"/>
      <c r="C548" s="13"/>
      <c r="D548" s="13"/>
      <c r="E548" s="13"/>
      <c r="F548" s="13"/>
      <c r="G548" s="13"/>
      <c r="H548" s="13"/>
      <c r="I548" s="13"/>
      <c r="J548" s="13"/>
      <c r="K548" s="13"/>
      <c r="L548" s="13"/>
      <c r="M548" s="13"/>
      <c r="N548" s="13"/>
      <c r="O548" s="13"/>
      <c r="P548" s="13"/>
      <c r="Q548" s="13"/>
      <c r="R548" s="13"/>
    </row>
    <row r="549" spans="1:18" x14ac:dyDescent="0.35">
      <c r="A549" s="13"/>
      <c r="B549" s="13"/>
      <c r="C549" s="13"/>
      <c r="D549" s="13"/>
      <c r="E549" s="13"/>
      <c r="F549" s="13"/>
      <c r="G549" s="13"/>
      <c r="H549" s="13"/>
      <c r="I549" s="13"/>
      <c r="J549" s="13"/>
      <c r="K549" s="13"/>
      <c r="L549" s="13"/>
      <c r="M549" s="13"/>
      <c r="N549" s="13"/>
      <c r="O549" s="13"/>
      <c r="P549" s="13"/>
      <c r="Q549" s="13"/>
      <c r="R549" s="13"/>
    </row>
    <row r="550" spans="1:18" x14ac:dyDescent="0.35">
      <c r="A550" s="13"/>
      <c r="B550" s="13"/>
      <c r="C550" s="13"/>
      <c r="D550" s="13"/>
      <c r="E550" s="13"/>
      <c r="F550" s="13"/>
      <c r="G550" s="13"/>
      <c r="H550" s="13"/>
      <c r="I550" s="13"/>
      <c r="J550" s="13"/>
      <c r="K550" s="13"/>
      <c r="L550" s="13"/>
      <c r="M550" s="13"/>
      <c r="N550" s="13"/>
      <c r="O550" s="13"/>
      <c r="P550" s="13"/>
      <c r="Q550" s="13"/>
      <c r="R550" s="13"/>
    </row>
    <row r="551" spans="1:18" x14ac:dyDescent="0.35">
      <c r="A551" s="13"/>
      <c r="B551" s="13"/>
      <c r="C551" s="13"/>
      <c r="D551" s="13"/>
      <c r="E551" s="13"/>
      <c r="F551" s="13"/>
      <c r="G551" s="13"/>
      <c r="H551" s="13"/>
      <c r="I551" s="13"/>
      <c r="J551" s="13"/>
      <c r="K551" s="13"/>
      <c r="L551" s="13"/>
      <c r="M551" s="13"/>
      <c r="N551" s="13"/>
      <c r="O551" s="13"/>
      <c r="P551" s="13"/>
      <c r="Q551" s="13"/>
      <c r="R551" s="13"/>
    </row>
    <row r="552" spans="1:18" x14ac:dyDescent="0.35">
      <c r="A552" s="13"/>
      <c r="B552" s="13"/>
      <c r="C552" s="13"/>
      <c r="D552" s="13"/>
      <c r="E552" s="13"/>
      <c r="F552" s="13"/>
      <c r="G552" s="13"/>
      <c r="H552" s="13"/>
      <c r="I552" s="13"/>
      <c r="J552" s="13"/>
      <c r="K552" s="13"/>
      <c r="L552" s="13"/>
      <c r="M552" s="13"/>
      <c r="N552" s="13"/>
      <c r="O552" s="13"/>
      <c r="P552" s="13"/>
      <c r="Q552" s="13"/>
      <c r="R552" s="13"/>
    </row>
    <row r="553" spans="1:18" x14ac:dyDescent="0.35">
      <c r="A553" s="13"/>
      <c r="B553" s="13"/>
      <c r="C553" s="13"/>
      <c r="D553" s="13"/>
      <c r="E553" s="13"/>
      <c r="F553" s="13"/>
      <c r="G553" s="13"/>
      <c r="H553" s="13"/>
      <c r="I553" s="13"/>
      <c r="J553" s="13"/>
      <c r="K553" s="13"/>
      <c r="L553" s="13"/>
      <c r="M553" s="13"/>
      <c r="N553" s="13"/>
      <c r="O553" s="13"/>
      <c r="P553" s="13"/>
      <c r="Q553" s="13"/>
      <c r="R553" s="13"/>
    </row>
    <row r="554" spans="1:18" x14ac:dyDescent="0.35">
      <c r="A554" s="13"/>
      <c r="B554" s="13"/>
      <c r="C554" s="13"/>
      <c r="D554" s="13"/>
      <c r="E554" s="13"/>
      <c r="F554" s="13"/>
      <c r="G554" s="13"/>
      <c r="H554" s="13"/>
      <c r="I554" s="13"/>
      <c r="J554" s="13"/>
      <c r="K554" s="13"/>
      <c r="L554" s="13"/>
      <c r="M554" s="13"/>
      <c r="N554" s="13"/>
      <c r="O554" s="13"/>
      <c r="P554" s="13"/>
      <c r="Q554" s="13"/>
      <c r="R554" s="13"/>
    </row>
    <row r="555" spans="1:18" x14ac:dyDescent="0.35">
      <c r="A555" s="13"/>
      <c r="B555" s="13"/>
      <c r="C555" s="13"/>
      <c r="D555" s="13"/>
      <c r="E555" s="13"/>
      <c r="F555" s="13"/>
      <c r="G555" s="13"/>
      <c r="H555" s="13"/>
      <c r="I555" s="13"/>
      <c r="J555" s="13"/>
      <c r="K555" s="13"/>
      <c r="L555" s="13"/>
      <c r="M555" s="13"/>
      <c r="N555" s="13"/>
      <c r="O555" s="13"/>
      <c r="P555" s="13"/>
      <c r="Q555" s="13"/>
      <c r="R555" s="13"/>
    </row>
    <row r="556" spans="1:18" x14ac:dyDescent="0.35">
      <c r="A556" s="13"/>
      <c r="B556" s="13"/>
      <c r="C556" s="13"/>
      <c r="D556" s="13"/>
      <c r="E556" s="13"/>
      <c r="F556" s="13"/>
      <c r="G556" s="13"/>
      <c r="H556" s="13"/>
      <c r="I556" s="13"/>
      <c r="J556" s="13"/>
      <c r="K556" s="13"/>
      <c r="L556" s="13"/>
      <c r="M556" s="13"/>
      <c r="N556" s="13"/>
      <c r="O556" s="13"/>
      <c r="P556" s="13"/>
      <c r="Q556" s="13"/>
      <c r="R556" s="13"/>
    </row>
    <row r="557" spans="1:18" x14ac:dyDescent="0.35">
      <c r="A557" s="13"/>
      <c r="B557" s="13"/>
      <c r="C557" s="13"/>
      <c r="D557" s="13"/>
      <c r="E557" s="13"/>
      <c r="F557" s="13"/>
      <c r="G557" s="13"/>
      <c r="H557" s="13"/>
      <c r="I557" s="13"/>
      <c r="J557" s="13"/>
      <c r="K557" s="13"/>
      <c r="L557" s="13"/>
      <c r="M557" s="13"/>
      <c r="N557" s="13"/>
      <c r="O557" s="13"/>
      <c r="P557" s="13"/>
      <c r="Q557" s="13"/>
      <c r="R557" s="13"/>
    </row>
    <row r="558" spans="1:18" x14ac:dyDescent="0.35">
      <c r="A558" s="13"/>
      <c r="B558" s="13"/>
      <c r="C558" s="13"/>
      <c r="D558" s="13"/>
      <c r="E558" s="13"/>
      <c r="F558" s="13"/>
      <c r="G558" s="13"/>
      <c r="H558" s="13"/>
      <c r="I558" s="13"/>
      <c r="J558" s="13"/>
      <c r="K558" s="13"/>
      <c r="L558" s="13"/>
      <c r="M558" s="13"/>
      <c r="N558" s="13"/>
      <c r="O558" s="13"/>
      <c r="P558" s="13"/>
      <c r="Q558" s="13"/>
      <c r="R558" s="13"/>
    </row>
    <row r="559" spans="1:18" x14ac:dyDescent="0.35">
      <c r="A559" s="13"/>
      <c r="B559" s="13"/>
      <c r="C559" s="13"/>
      <c r="D559" s="13"/>
      <c r="E559" s="13"/>
      <c r="F559" s="13"/>
      <c r="G559" s="13"/>
      <c r="H559" s="13"/>
      <c r="I559" s="13"/>
      <c r="J559" s="13"/>
      <c r="K559" s="13"/>
      <c r="L559" s="13"/>
      <c r="M559" s="13"/>
      <c r="N559" s="13"/>
      <c r="O559" s="13"/>
      <c r="P559" s="13"/>
      <c r="Q559" s="13"/>
      <c r="R559" s="13"/>
    </row>
    <row r="560" spans="1:18" x14ac:dyDescent="0.35">
      <c r="A560" s="13"/>
      <c r="B560" s="13"/>
      <c r="C560" s="13"/>
      <c r="D560" s="13"/>
      <c r="E560" s="13"/>
      <c r="F560" s="13"/>
      <c r="G560" s="13"/>
      <c r="H560" s="13"/>
      <c r="I560" s="13"/>
      <c r="J560" s="13"/>
      <c r="K560" s="13"/>
      <c r="L560" s="13"/>
      <c r="M560" s="13"/>
      <c r="N560" s="13"/>
      <c r="O560" s="13"/>
      <c r="P560" s="13"/>
      <c r="Q560" s="13"/>
      <c r="R560" s="13"/>
    </row>
    <row r="561" spans="1:18" x14ac:dyDescent="0.35">
      <c r="A561" s="13"/>
      <c r="B561" s="13"/>
      <c r="C561" s="13"/>
      <c r="D561" s="13"/>
      <c r="E561" s="13"/>
      <c r="F561" s="13"/>
      <c r="G561" s="13"/>
      <c r="H561" s="13"/>
      <c r="I561" s="13"/>
      <c r="J561" s="13"/>
      <c r="K561" s="13"/>
      <c r="L561" s="13"/>
      <c r="M561" s="13"/>
      <c r="N561" s="13"/>
      <c r="O561" s="13"/>
      <c r="P561" s="13"/>
      <c r="Q561" s="13"/>
      <c r="R561" s="13"/>
    </row>
    <row r="562" spans="1:18" x14ac:dyDescent="0.35">
      <c r="A562" s="13"/>
      <c r="B562" s="13"/>
      <c r="C562" s="13"/>
      <c r="D562" s="13"/>
      <c r="E562" s="13"/>
      <c r="F562" s="13"/>
      <c r="G562" s="13"/>
      <c r="H562" s="13"/>
      <c r="I562" s="13"/>
      <c r="J562" s="13"/>
      <c r="K562" s="13"/>
      <c r="L562" s="13"/>
      <c r="M562" s="13"/>
      <c r="N562" s="13"/>
      <c r="O562" s="13"/>
      <c r="P562" s="13"/>
      <c r="Q562" s="13"/>
      <c r="R562" s="13"/>
    </row>
    <row r="563" spans="1:18" x14ac:dyDescent="0.35">
      <c r="A563" s="13"/>
      <c r="B563" s="13"/>
      <c r="C563" s="13"/>
      <c r="D563" s="13"/>
      <c r="E563" s="13"/>
      <c r="F563" s="13"/>
      <c r="G563" s="13"/>
      <c r="H563" s="13"/>
      <c r="I563" s="13"/>
      <c r="J563" s="13"/>
      <c r="K563" s="13"/>
      <c r="L563" s="13"/>
      <c r="M563" s="13"/>
      <c r="N563" s="13"/>
      <c r="O563" s="13"/>
      <c r="P563" s="13"/>
      <c r="Q563" s="13"/>
      <c r="R563" s="13"/>
    </row>
    <row r="564" spans="1:18" x14ac:dyDescent="0.35">
      <c r="A564" s="13"/>
      <c r="B564" s="13"/>
      <c r="C564" s="13"/>
      <c r="D564" s="13"/>
      <c r="E564" s="13"/>
      <c r="F564" s="13"/>
      <c r="G564" s="13"/>
      <c r="H564" s="13"/>
      <c r="I564" s="13"/>
      <c r="J564" s="13"/>
      <c r="K564" s="13"/>
      <c r="L564" s="13"/>
      <c r="M564" s="13"/>
      <c r="N564" s="13"/>
      <c r="O564" s="13"/>
      <c r="P564" s="13"/>
      <c r="Q564" s="13"/>
      <c r="R564" s="13"/>
    </row>
    <row r="565" spans="1:18" x14ac:dyDescent="0.35">
      <c r="A565" s="13"/>
      <c r="B565" s="13"/>
      <c r="C565" s="13"/>
      <c r="D565" s="13"/>
      <c r="E565" s="13"/>
      <c r="F565" s="13"/>
      <c r="G565" s="13"/>
      <c r="H565" s="13"/>
      <c r="I565" s="13"/>
      <c r="J565" s="13"/>
      <c r="K565" s="13"/>
      <c r="L565" s="13"/>
      <c r="M565" s="13"/>
      <c r="N565" s="13"/>
      <c r="O565" s="13"/>
      <c r="P565" s="13"/>
      <c r="Q565" s="13"/>
      <c r="R565" s="13"/>
    </row>
    <row r="566" spans="1:18" x14ac:dyDescent="0.35">
      <c r="A566" s="13"/>
      <c r="B566" s="13"/>
      <c r="C566" s="13"/>
      <c r="D566" s="13"/>
      <c r="E566" s="13"/>
      <c r="F566" s="13"/>
      <c r="G566" s="13"/>
      <c r="H566" s="13"/>
      <c r="I566" s="13"/>
      <c r="J566" s="13"/>
      <c r="K566" s="13"/>
      <c r="L566" s="13"/>
      <c r="M566" s="13"/>
      <c r="N566" s="13"/>
      <c r="O566" s="13"/>
      <c r="P566" s="13"/>
      <c r="Q566" s="13"/>
      <c r="R566" s="13"/>
    </row>
    <row r="567" spans="1:18" x14ac:dyDescent="0.35">
      <c r="A567" s="13"/>
      <c r="B567" s="13"/>
      <c r="C567" s="13"/>
      <c r="D567" s="13"/>
      <c r="E567" s="13"/>
      <c r="F567" s="13"/>
      <c r="G567" s="13"/>
      <c r="H567" s="13"/>
      <c r="I567" s="13"/>
      <c r="J567" s="13"/>
      <c r="K567" s="13"/>
      <c r="L567" s="13"/>
      <c r="M567" s="13"/>
      <c r="N567" s="13"/>
      <c r="O567" s="13"/>
      <c r="P567" s="13"/>
      <c r="Q567" s="13"/>
      <c r="R567" s="13"/>
    </row>
    <row r="568" spans="1:18" x14ac:dyDescent="0.35">
      <c r="A568" s="13"/>
      <c r="B568" s="13"/>
      <c r="C568" s="13"/>
      <c r="D568" s="13"/>
      <c r="E568" s="13"/>
      <c r="F568" s="13"/>
      <c r="G568" s="13"/>
      <c r="H568" s="13"/>
      <c r="I568" s="13"/>
      <c r="J568" s="13"/>
      <c r="K568" s="13"/>
      <c r="L568" s="13"/>
      <c r="M568" s="13"/>
      <c r="N568" s="13"/>
      <c r="O568" s="13"/>
      <c r="P568" s="13"/>
      <c r="Q568" s="13"/>
      <c r="R568" s="13"/>
    </row>
    <row r="569" spans="1:18" x14ac:dyDescent="0.35">
      <c r="A569" s="13"/>
      <c r="B569" s="13"/>
      <c r="C569" s="13"/>
      <c r="D569" s="13"/>
      <c r="E569" s="13"/>
      <c r="F569" s="13"/>
      <c r="G569" s="13"/>
      <c r="H569" s="13"/>
      <c r="I569" s="13"/>
      <c r="J569" s="13"/>
      <c r="K569" s="13"/>
      <c r="L569" s="13"/>
      <c r="M569" s="13"/>
      <c r="N569" s="13"/>
      <c r="O569" s="13"/>
      <c r="P569" s="13"/>
      <c r="Q569" s="13"/>
      <c r="R569" s="13"/>
    </row>
    <row r="570" spans="1:18" x14ac:dyDescent="0.35">
      <c r="A570" s="13"/>
      <c r="B570" s="13"/>
      <c r="C570" s="13"/>
      <c r="D570" s="13"/>
      <c r="E570" s="13"/>
      <c r="F570" s="13"/>
      <c r="G570" s="13"/>
      <c r="H570" s="13"/>
      <c r="I570" s="13"/>
      <c r="J570" s="13"/>
      <c r="K570" s="13"/>
      <c r="L570" s="13"/>
      <c r="M570" s="13"/>
      <c r="N570" s="13"/>
      <c r="O570" s="13"/>
      <c r="P570" s="13"/>
      <c r="Q570" s="13"/>
      <c r="R570" s="13"/>
    </row>
    <row r="571" spans="1:18" x14ac:dyDescent="0.35">
      <c r="A571" s="13"/>
      <c r="B571" s="13"/>
      <c r="C571" s="13"/>
      <c r="D571" s="13"/>
      <c r="E571" s="13"/>
      <c r="F571" s="13"/>
      <c r="G571" s="13"/>
      <c r="H571" s="13"/>
      <c r="I571" s="13"/>
      <c r="J571" s="13"/>
      <c r="K571" s="13"/>
      <c r="L571" s="13"/>
      <c r="M571" s="13"/>
      <c r="N571" s="13"/>
      <c r="O571" s="13"/>
      <c r="P571" s="13"/>
      <c r="Q571" s="13"/>
      <c r="R571" s="13"/>
    </row>
    <row r="572" spans="1:18" x14ac:dyDescent="0.35">
      <c r="A572" s="13"/>
      <c r="B572" s="13"/>
      <c r="C572" s="13"/>
      <c r="D572" s="13"/>
      <c r="E572" s="13"/>
      <c r="F572" s="13"/>
      <c r="G572" s="13"/>
      <c r="H572" s="13"/>
      <c r="I572" s="13"/>
      <c r="J572" s="13"/>
      <c r="K572" s="13"/>
      <c r="L572" s="13"/>
      <c r="M572" s="13"/>
      <c r="N572" s="13"/>
      <c r="O572" s="13"/>
      <c r="P572" s="13"/>
      <c r="Q572" s="13"/>
      <c r="R572" s="13"/>
    </row>
    <row r="573" spans="1:18" x14ac:dyDescent="0.35">
      <c r="A573" s="13"/>
      <c r="B573" s="13"/>
      <c r="C573" s="13"/>
      <c r="D573" s="13"/>
      <c r="E573" s="13"/>
      <c r="F573" s="13"/>
      <c r="G573" s="13"/>
      <c r="H573" s="13"/>
      <c r="I573" s="13"/>
      <c r="J573" s="13"/>
      <c r="K573" s="13"/>
      <c r="L573" s="13"/>
      <c r="M573" s="13"/>
      <c r="N573" s="13"/>
      <c r="O573" s="13"/>
      <c r="P573" s="13"/>
      <c r="Q573" s="13"/>
      <c r="R573" s="13"/>
    </row>
    <row r="574" spans="1:18" x14ac:dyDescent="0.35">
      <c r="A574" s="13"/>
      <c r="B574" s="13"/>
      <c r="C574" s="13"/>
      <c r="D574" s="13"/>
      <c r="E574" s="13"/>
      <c r="F574" s="13"/>
      <c r="G574" s="13"/>
      <c r="H574" s="13"/>
      <c r="I574" s="13"/>
      <c r="J574" s="13"/>
      <c r="K574" s="13"/>
      <c r="L574" s="13"/>
      <c r="M574" s="13"/>
      <c r="N574" s="13"/>
      <c r="O574" s="13"/>
      <c r="P574" s="13"/>
      <c r="Q574" s="13"/>
      <c r="R574" s="13"/>
    </row>
    <row r="575" spans="1:18" x14ac:dyDescent="0.35">
      <c r="A575" s="13"/>
      <c r="B575" s="13"/>
      <c r="C575" s="13"/>
      <c r="D575" s="13"/>
      <c r="E575" s="13"/>
      <c r="F575" s="13"/>
      <c r="G575" s="13"/>
      <c r="H575" s="13"/>
      <c r="I575" s="13"/>
      <c r="J575" s="13"/>
      <c r="K575" s="13"/>
      <c r="L575" s="13"/>
      <c r="M575" s="13"/>
      <c r="N575" s="13"/>
      <c r="O575" s="13"/>
      <c r="P575" s="13"/>
      <c r="Q575" s="13"/>
      <c r="R575" s="13"/>
    </row>
    <row r="576" spans="1:18" x14ac:dyDescent="0.35">
      <c r="A576" s="13"/>
      <c r="B576" s="13"/>
      <c r="C576" s="13"/>
      <c r="D576" s="13"/>
      <c r="E576" s="13"/>
      <c r="F576" s="13"/>
      <c r="G576" s="13"/>
      <c r="H576" s="13"/>
      <c r="I576" s="13"/>
      <c r="J576" s="13"/>
      <c r="K576" s="13"/>
      <c r="L576" s="13"/>
      <c r="M576" s="13"/>
      <c r="N576" s="13"/>
      <c r="O576" s="13"/>
      <c r="P576" s="13"/>
      <c r="Q576" s="13"/>
      <c r="R576" s="13"/>
    </row>
    <row r="577" spans="1:18" x14ac:dyDescent="0.35">
      <c r="A577" s="13"/>
      <c r="B577" s="13"/>
      <c r="C577" s="13"/>
      <c r="D577" s="13"/>
      <c r="E577" s="13"/>
      <c r="F577" s="13"/>
      <c r="G577" s="13"/>
      <c r="H577" s="13"/>
      <c r="I577" s="13"/>
      <c r="J577" s="13"/>
      <c r="K577" s="13"/>
      <c r="L577" s="13"/>
      <c r="M577" s="13"/>
      <c r="N577" s="13"/>
      <c r="O577" s="13"/>
      <c r="P577" s="13"/>
      <c r="Q577" s="13"/>
      <c r="R577" s="13"/>
    </row>
    <row r="578" spans="1:18" x14ac:dyDescent="0.35">
      <c r="A578" s="13"/>
      <c r="B578" s="13"/>
      <c r="C578" s="13"/>
      <c r="D578" s="13"/>
      <c r="E578" s="13"/>
      <c r="F578" s="13"/>
      <c r="G578" s="13"/>
      <c r="H578" s="13"/>
      <c r="I578" s="13"/>
      <c r="J578" s="13"/>
      <c r="K578" s="13"/>
      <c r="L578" s="13"/>
      <c r="M578" s="13"/>
      <c r="N578" s="13"/>
      <c r="O578" s="13"/>
      <c r="P578" s="13"/>
      <c r="Q578" s="13"/>
      <c r="R578" s="13"/>
    </row>
    <row r="579" spans="1:18" x14ac:dyDescent="0.35">
      <c r="A579" s="13"/>
      <c r="B579" s="13"/>
      <c r="C579" s="13"/>
      <c r="D579" s="13"/>
      <c r="E579" s="13"/>
      <c r="F579" s="13"/>
      <c r="G579" s="13"/>
      <c r="H579" s="13"/>
      <c r="I579" s="13"/>
      <c r="J579" s="13"/>
      <c r="K579" s="13"/>
      <c r="L579" s="13"/>
      <c r="M579" s="13"/>
      <c r="N579" s="13"/>
      <c r="O579" s="13"/>
      <c r="P579" s="13"/>
      <c r="Q579" s="13"/>
      <c r="R579" s="13"/>
    </row>
    <row r="580" spans="1:18" x14ac:dyDescent="0.35">
      <c r="A580" s="13"/>
      <c r="B580" s="13"/>
      <c r="C580" s="13"/>
      <c r="D580" s="13"/>
      <c r="E580" s="13"/>
      <c r="F580" s="13"/>
      <c r="G580" s="13"/>
      <c r="H580" s="13"/>
      <c r="I580" s="13"/>
      <c r="J580" s="13"/>
      <c r="K580" s="13"/>
      <c r="L580" s="13"/>
      <c r="M580" s="13"/>
      <c r="N580" s="13"/>
      <c r="O580" s="13"/>
      <c r="P580" s="13"/>
      <c r="Q580" s="13"/>
      <c r="R580" s="13"/>
    </row>
    <row r="581" spans="1:18" x14ac:dyDescent="0.35">
      <c r="A581" s="13"/>
      <c r="B581" s="13"/>
      <c r="C581" s="13"/>
      <c r="D581" s="13"/>
      <c r="E581" s="13"/>
      <c r="F581" s="13"/>
      <c r="G581" s="13"/>
      <c r="H581" s="13"/>
      <c r="I581" s="13"/>
      <c r="J581" s="13"/>
      <c r="K581" s="13"/>
      <c r="L581" s="13"/>
      <c r="M581" s="13"/>
      <c r="N581" s="13"/>
      <c r="O581" s="13"/>
      <c r="P581" s="13"/>
      <c r="Q581" s="13"/>
      <c r="R581" s="13"/>
    </row>
    <row r="582" spans="1:18" x14ac:dyDescent="0.35">
      <c r="A582" s="13"/>
      <c r="B582" s="13"/>
      <c r="C582" s="13"/>
      <c r="D582" s="13"/>
      <c r="E582" s="13"/>
      <c r="F582" s="13"/>
      <c r="G582" s="13"/>
      <c r="H582" s="13"/>
      <c r="I582" s="13"/>
      <c r="J582" s="13"/>
      <c r="K582" s="13"/>
      <c r="L582" s="13"/>
      <c r="M582" s="13"/>
      <c r="N582" s="13"/>
      <c r="O582" s="13"/>
      <c r="P582" s="13"/>
      <c r="Q582" s="13"/>
      <c r="R582" s="13"/>
    </row>
    <row r="583" spans="1:18" x14ac:dyDescent="0.35">
      <c r="A583" s="13"/>
      <c r="B583" s="13"/>
      <c r="C583" s="13"/>
      <c r="D583" s="13"/>
      <c r="E583" s="13"/>
      <c r="F583" s="13"/>
      <c r="G583" s="13"/>
      <c r="H583" s="13"/>
      <c r="I583" s="13"/>
      <c r="J583" s="13"/>
      <c r="K583" s="13"/>
      <c r="L583" s="13"/>
      <c r="M583" s="13"/>
      <c r="N583" s="13"/>
      <c r="O583" s="13"/>
      <c r="P583" s="13"/>
      <c r="Q583" s="13"/>
      <c r="R583" s="13"/>
    </row>
    <row r="584" spans="1:18" x14ac:dyDescent="0.35">
      <c r="A584" s="13"/>
      <c r="B584" s="13"/>
      <c r="C584" s="13"/>
      <c r="D584" s="13"/>
      <c r="E584" s="13"/>
      <c r="F584" s="13"/>
      <c r="G584" s="13"/>
      <c r="H584" s="13"/>
      <c r="I584" s="13"/>
      <c r="J584" s="13"/>
      <c r="K584" s="13"/>
      <c r="L584" s="13"/>
      <c r="M584" s="13"/>
      <c r="N584" s="13"/>
      <c r="O584" s="13"/>
      <c r="P584" s="13"/>
      <c r="Q584" s="13"/>
      <c r="R584" s="13"/>
    </row>
    <row r="585" spans="1:18" x14ac:dyDescent="0.35">
      <c r="A585" s="13"/>
      <c r="B585" s="13"/>
      <c r="C585" s="13"/>
      <c r="D585" s="13"/>
      <c r="E585" s="13"/>
      <c r="F585" s="13"/>
      <c r="G585" s="13"/>
      <c r="H585" s="13"/>
      <c r="I585" s="13"/>
      <c r="J585" s="13"/>
      <c r="K585" s="13"/>
      <c r="L585" s="13"/>
      <c r="M585" s="13"/>
      <c r="N585" s="13"/>
      <c r="O585" s="13"/>
      <c r="P585" s="13"/>
      <c r="Q585" s="13"/>
      <c r="R585" s="13"/>
    </row>
    <row r="586" spans="1:18" x14ac:dyDescent="0.35">
      <c r="A586" s="13"/>
      <c r="B586" s="13"/>
      <c r="C586" s="13"/>
      <c r="D586" s="13"/>
      <c r="E586" s="13"/>
      <c r="F586" s="13"/>
      <c r="G586" s="13"/>
      <c r="H586" s="13"/>
      <c r="I586" s="13"/>
      <c r="J586" s="13"/>
      <c r="K586" s="13"/>
      <c r="L586" s="13"/>
      <c r="M586" s="13"/>
      <c r="N586" s="13"/>
      <c r="O586" s="13"/>
      <c r="P586" s="13"/>
      <c r="Q586" s="13"/>
      <c r="R586" s="13"/>
    </row>
    <row r="587" spans="1:18" x14ac:dyDescent="0.35">
      <c r="A587" s="13"/>
      <c r="B587" s="13"/>
      <c r="C587" s="13"/>
      <c r="D587" s="13"/>
      <c r="E587" s="13"/>
      <c r="F587" s="13"/>
      <c r="G587" s="13"/>
      <c r="H587" s="13"/>
      <c r="I587" s="13"/>
      <c r="J587" s="13"/>
      <c r="K587" s="13"/>
      <c r="L587" s="13"/>
      <c r="M587" s="13"/>
      <c r="N587" s="13"/>
      <c r="O587" s="13"/>
      <c r="P587" s="13"/>
      <c r="Q587" s="13"/>
      <c r="R587" s="13"/>
    </row>
    <row r="588" spans="1:18" x14ac:dyDescent="0.35">
      <c r="A588" s="13"/>
      <c r="B588" s="13"/>
      <c r="C588" s="13"/>
      <c r="D588" s="13"/>
      <c r="E588" s="13"/>
      <c r="F588" s="13"/>
      <c r="G588" s="13"/>
      <c r="H588" s="13"/>
      <c r="I588" s="13"/>
      <c r="J588" s="13"/>
      <c r="K588" s="13"/>
      <c r="L588" s="13"/>
      <c r="M588" s="13"/>
      <c r="N588" s="13"/>
      <c r="O588" s="13"/>
      <c r="P588" s="13"/>
      <c r="Q588" s="13"/>
      <c r="R588" s="13"/>
    </row>
    <row r="589" spans="1:18" x14ac:dyDescent="0.35">
      <c r="A589" s="13"/>
      <c r="B589" s="13"/>
      <c r="C589" s="13"/>
      <c r="D589" s="13"/>
      <c r="E589" s="13"/>
      <c r="F589" s="13"/>
      <c r="G589" s="13"/>
      <c r="H589" s="13"/>
      <c r="I589" s="13"/>
      <c r="J589" s="13"/>
      <c r="K589" s="13"/>
      <c r="L589" s="13"/>
      <c r="M589" s="13"/>
      <c r="N589" s="13"/>
      <c r="O589" s="13"/>
      <c r="P589" s="13"/>
      <c r="Q589" s="13"/>
      <c r="R589" s="13"/>
    </row>
    <row r="590" spans="1:18" x14ac:dyDescent="0.35">
      <c r="A590" s="13"/>
      <c r="B590" s="13"/>
      <c r="C590" s="13"/>
      <c r="D590" s="13"/>
      <c r="E590" s="13"/>
      <c r="F590" s="13"/>
      <c r="G590" s="13"/>
      <c r="H590" s="13"/>
      <c r="I590" s="13"/>
      <c r="J590" s="13"/>
      <c r="K590" s="13"/>
      <c r="L590" s="13"/>
      <c r="M590" s="13"/>
      <c r="N590" s="13"/>
      <c r="O590" s="13"/>
      <c r="P590" s="13"/>
      <c r="Q590" s="13"/>
      <c r="R590" s="13"/>
    </row>
    <row r="591" spans="1:18" x14ac:dyDescent="0.35">
      <c r="A591" s="13"/>
      <c r="B591" s="13"/>
      <c r="C591" s="13"/>
      <c r="D591" s="13"/>
      <c r="E591" s="13"/>
      <c r="F591" s="13"/>
      <c r="G591" s="13"/>
      <c r="H591" s="13"/>
      <c r="I591" s="13"/>
      <c r="J591" s="13"/>
      <c r="K591" s="13"/>
      <c r="L591" s="13"/>
      <c r="M591" s="13"/>
      <c r="N591" s="13"/>
      <c r="O591" s="13"/>
      <c r="P591" s="13"/>
      <c r="Q591" s="13"/>
      <c r="R591" s="13"/>
    </row>
    <row r="592" spans="1:18" x14ac:dyDescent="0.35">
      <c r="A592" s="13"/>
      <c r="B592" s="13"/>
      <c r="C592" s="13"/>
      <c r="D592" s="13"/>
      <c r="E592" s="13"/>
      <c r="F592" s="13"/>
      <c r="G592" s="13"/>
      <c r="H592" s="13"/>
      <c r="I592" s="13"/>
      <c r="J592" s="13"/>
      <c r="K592" s="13"/>
      <c r="L592" s="13"/>
      <c r="M592" s="13"/>
      <c r="N592" s="13"/>
      <c r="O592" s="13"/>
      <c r="P592" s="13"/>
      <c r="Q592" s="13"/>
      <c r="R592" s="13"/>
    </row>
    <row r="593" spans="1:18" x14ac:dyDescent="0.35">
      <c r="A593" s="13"/>
      <c r="B593" s="13"/>
      <c r="C593" s="13"/>
      <c r="D593" s="13"/>
      <c r="E593" s="13"/>
      <c r="F593" s="13"/>
      <c r="G593" s="13"/>
      <c r="H593" s="13"/>
      <c r="I593" s="13"/>
      <c r="J593" s="13"/>
      <c r="K593" s="13"/>
      <c r="L593" s="13"/>
      <c r="M593" s="13"/>
      <c r="N593" s="13"/>
      <c r="O593" s="13"/>
      <c r="P593" s="13"/>
      <c r="Q593" s="13"/>
      <c r="R593" s="13"/>
    </row>
    <row r="594" spans="1:18" x14ac:dyDescent="0.35">
      <c r="A594" s="13"/>
      <c r="B594" s="13"/>
      <c r="C594" s="13"/>
      <c r="D594" s="13"/>
      <c r="E594" s="13"/>
      <c r="F594" s="13"/>
      <c r="G594" s="13"/>
      <c r="H594" s="13"/>
      <c r="I594" s="13"/>
      <c r="J594" s="13"/>
      <c r="K594" s="13"/>
      <c r="L594" s="13"/>
      <c r="M594" s="13"/>
      <c r="N594" s="13"/>
      <c r="O594" s="13"/>
      <c r="P594" s="13"/>
      <c r="Q594" s="13"/>
      <c r="R594" s="13"/>
    </row>
    <row r="595" spans="1:18" x14ac:dyDescent="0.35">
      <c r="A595" s="13"/>
      <c r="B595" s="13"/>
      <c r="C595" s="13"/>
      <c r="D595" s="13"/>
      <c r="E595" s="13"/>
      <c r="F595" s="13"/>
      <c r="G595" s="13"/>
      <c r="H595" s="13"/>
      <c r="I595" s="13"/>
      <c r="J595" s="13"/>
      <c r="K595" s="13"/>
      <c r="L595" s="13"/>
      <c r="M595" s="13"/>
      <c r="N595" s="13"/>
      <c r="O595" s="13"/>
      <c r="P595" s="13"/>
      <c r="Q595" s="13"/>
      <c r="R595" s="13"/>
    </row>
    <row r="596" spans="1:18" x14ac:dyDescent="0.35">
      <c r="A596" s="13"/>
      <c r="B596" s="13"/>
      <c r="C596" s="13"/>
      <c r="D596" s="13"/>
      <c r="E596" s="13"/>
      <c r="F596" s="13"/>
      <c r="G596" s="13"/>
      <c r="H596" s="13"/>
      <c r="I596" s="13"/>
      <c r="J596" s="13"/>
      <c r="K596" s="13"/>
      <c r="L596" s="13"/>
      <c r="M596" s="13"/>
      <c r="N596" s="13"/>
      <c r="O596" s="13"/>
      <c r="P596" s="13"/>
      <c r="Q596" s="13"/>
      <c r="R596" s="13"/>
    </row>
    <row r="597" spans="1:18" x14ac:dyDescent="0.35">
      <c r="A597" s="13"/>
      <c r="B597" s="13"/>
      <c r="C597" s="13"/>
      <c r="D597" s="13"/>
      <c r="E597" s="13"/>
      <c r="F597" s="13"/>
      <c r="G597" s="13"/>
      <c r="H597" s="13"/>
      <c r="I597" s="13"/>
      <c r="J597" s="13"/>
      <c r="K597" s="13"/>
      <c r="L597" s="13"/>
      <c r="M597" s="13"/>
      <c r="N597" s="13"/>
      <c r="O597" s="13"/>
      <c r="P597" s="13"/>
      <c r="Q597" s="13"/>
      <c r="R597" s="13"/>
    </row>
    <row r="598" spans="1:18" x14ac:dyDescent="0.35">
      <c r="A598" s="13"/>
      <c r="B598" s="13"/>
      <c r="C598" s="13"/>
      <c r="D598" s="13"/>
      <c r="E598" s="13"/>
      <c r="F598" s="13"/>
      <c r="G598" s="13"/>
      <c r="H598" s="13"/>
      <c r="I598" s="13"/>
      <c r="J598" s="13"/>
      <c r="K598" s="13"/>
      <c r="L598" s="13"/>
      <c r="M598" s="13"/>
      <c r="N598" s="13"/>
      <c r="O598" s="13"/>
      <c r="P598" s="13"/>
      <c r="Q598" s="13"/>
      <c r="R598" s="13"/>
    </row>
    <row r="599" spans="1:18" x14ac:dyDescent="0.35">
      <c r="A599" s="13"/>
      <c r="B599" s="13"/>
      <c r="C599" s="13"/>
      <c r="D599" s="13"/>
      <c r="E599" s="13"/>
      <c r="F599" s="13"/>
      <c r="G599" s="13"/>
      <c r="H599" s="13"/>
      <c r="I599" s="13"/>
      <c r="J599" s="13"/>
      <c r="K599" s="13"/>
      <c r="L599" s="13"/>
      <c r="M599" s="13"/>
      <c r="N599" s="13"/>
      <c r="O599" s="13"/>
      <c r="P599" s="13"/>
      <c r="Q599" s="13"/>
      <c r="R599" s="13"/>
    </row>
    <row r="600" spans="1:18" x14ac:dyDescent="0.35">
      <c r="A600" s="13"/>
      <c r="B600" s="13"/>
      <c r="C600" s="13"/>
      <c r="D600" s="13"/>
      <c r="E600" s="13"/>
      <c r="F600" s="13"/>
      <c r="G600" s="13"/>
      <c r="H600" s="13"/>
      <c r="I600" s="13"/>
      <c r="J600" s="13"/>
      <c r="K600" s="13"/>
      <c r="L600" s="13"/>
      <c r="M600" s="13"/>
      <c r="N600" s="13"/>
      <c r="O600" s="13"/>
      <c r="P600" s="13"/>
      <c r="Q600" s="13"/>
      <c r="R600" s="13"/>
    </row>
    <row r="601" spans="1:18" x14ac:dyDescent="0.35">
      <c r="A601" s="13"/>
      <c r="B601" s="13"/>
      <c r="C601" s="13"/>
      <c r="D601" s="13"/>
      <c r="E601" s="13"/>
      <c r="F601" s="13"/>
      <c r="G601" s="13"/>
      <c r="H601" s="13"/>
      <c r="I601" s="13"/>
      <c r="J601" s="13"/>
      <c r="K601" s="13"/>
      <c r="L601" s="13"/>
      <c r="M601" s="13"/>
      <c r="N601" s="13"/>
      <c r="O601" s="13"/>
      <c r="P601" s="13"/>
      <c r="Q601" s="13"/>
      <c r="R601" s="13"/>
    </row>
    <row r="602" spans="1:18" x14ac:dyDescent="0.35">
      <c r="A602" s="13"/>
      <c r="B602" s="13"/>
      <c r="C602" s="13"/>
      <c r="D602" s="13"/>
      <c r="E602" s="13"/>
      <c r="F602" s="13"/>
      <c r="G602" s="13"/>
      <c r="H602" s="13"/>
      <c r="I602" s="13"/>
      <c r="J602" s="13"/>
      <c r="K602" s="13"/>
      <c r="L602" s="13"/>
      <c r="M602" s="13"/>
      <c r="N602" s="13"/>
      <c r="O602" s="13"/>
      <c r="P602" s="13"/>
      <c r="Q602" s="13"/>
      <c r="R602" s="13"/>
    </row>
    <row r="603" spans="1:18" x14ac:dyDescent="0.35">
      <c r="A603" s="13"/>
      <c r="B603" s="13"/>
      <c r="C603" s="13"/>
      <c r="D603" s="13"/>
      <c r="E603" s="13"/>
      <c r="F603" s="13"/>
      <c r="G603" s="13"/>
      <c r="H603" s="13"/>
      <c r="I603" s="13"/>
      <c r="J603" s="13"/>
      <c r="K603" s="13"/>
      <c r="L603" s="13"/>
      <c r="M603" s="13"/>
      <c r="N603" s="13"/>
      <c r="O603" s="13"/>
      <c r="P603" s="13"/>
      <c r="Q603" s="13"/>
      <c r="R603" s="13"/>
    </row>
    <row r="604" spans="1:18" x14ac:dyDescent="0.35">
      <c r="A604" s="13"/>
      <c r="B604" s="13"/>
      <c r="C604" s="13"/>
      <c r="D604" s="13"/>
      <c r="E604" s="13"/>
      <c r="F604" s="13"/>
      <c r="G604" s="13"/>
      <c r="H604" s="13"/>
      <c r="I604" s="13"/>
      <c r="J604" s="13"/>
      <c r="K604" s="13"/>
      <c r="L604" s="13"/>
      <c r="M604" s="13"/>
      <c r="N604" s="13"/>
      <c r="O604" s="13"/>
      <c r="P604" s="13"/>
      <c r="Q604" s="13"/>
      <c r="R604" s="13"/>
    </row>
    <row r="605" spans="1:18" x14ac:dyDescent="0.35">
      <c r="A605" s="13"/>
      <c r="B605" s="13"/>
      <c r="C605" s="13"/>
      <c r="D605" s="13"/>
      <c r="E605" s="13"/>
      <c r="F605" s="13"/>
      <c r="G605" s="13"/>
      <c r="H605" s="13"/>
      <c r="I605" s="13"/>
      <c r="J605" s="13"/>
      <c r="K605" s="13"/>
      <c r="L605" s="13"/>
      <c r="M605" s="13"/>
      <c r="N605" s="13"/>
      <c r="O605" s="13"/>
      <c r="P605" s="13"/>
      <c r="Q605" s="13"/>
      <c r="R605" s="13"/>
    </row>
    <row r="606" spans="1:18" x14ac:dyDescent="0.35">
      <c r="A606" s="13"/>
      <c r="B606" s="13"/>
      <c r="C606" s="13"/>
      <c r="D606" s="13"/>
      <c r="E606" s="13"/>
      <c r="F606" s="13"/>
      <c r="G606" s="13"/>
      <c r="H606" s="13"/>
      <c r="I606" s="13"/>
      <c r="J606" s="13"/>
      <c r="K606" s="13"/>
      <c r="L606" s="13"/>
      <c r="M606" s="13"/>
      <c r="N606" s="13"/>
      <c r="O606" s="13"/>
      <c r="P606" s="13"/>
      <c r="Q606" s="13"/>
      <c r="R606" s="13"/>
    </row>
    <row r="607" spans="1:18" x14ac:dyDescent="0.35">
      <c r="A607" s="13"/>
      <c r="B607" s="13"/>
      <c r="C607" s="13"/>
      <c r="D607" s="13"/>
      <c r="E607" s="13"/>
      <c r="F607" s="13"/>
      <c r="G607" s="13"/>
      <c r="H607" s="13"/>
      <c r="I607" s="13"/>
      <c r="J607" s="13"/>
      <c r="K607" s="13"/>
      <c r="L607" s="13"/>
      <c r="M607" s="13"/>
      <c r="N607" s="13"/>
      <c r="O607" s="13"/>
      <c r="P607" s="13"/>
      <c r="Q607" s="13"/>
      <c r="R607" s="13"/>
    </row>
    <row r="608" spans="1:18" x14ac:dyDescent="0.35">
      <c r="A608" s="13"/>
      <c r="B608" s="13"/>
      <c r="C608" s="13"/>
      <c r="D608" s="13"/>
      <c r="E608" s="13"/>
      <c r="F608" s="13"/>
      <c r="G608" s="13"/>
      <c r="H608" s="13"/>
      <c r="I608" s="13"/>
      <c r="J608" s="13"/>
      <c r="K608" s="13"/>
      <c r="L608" s="13"/>
      <c r="M608" s="13"/>
      <c r="N608" s="13"/>
      <c r="O608" s="13"/>
      <c r="P608" s="13"/>
      <c r="Q608" s="13"/>
      <c r="R608" s="13"/>
    </row>
    <row r="609" spans="1:18" x14ac:dyDescent="0.35">
      <c r="A609" s="13"/>
      <c r="B609" s="13"/>
      <c r="C609" s="13"/>
      <c r="D609" s="13"/>
      <c r="E609" s="13"/>
      <c r="F609" s="13"/>
      <c r="G609" s="13"/>
      <c r="H609" s="13"/>
      <c r="I609" s="13"/>
      <c r="J609" s="13"/>
      <c r="K609" s="13"/>
      <c r="L609" s="13"/>
      <c r="M609" s="13"/>
      <c r="N609" s="13"/>
      <c r="O609" s="13"/>
      <c r="P609" s="13"/>
      <c r="Q609" s="13"/>
      <c r="R609" s="13"/>
    </row>
    <row r="610" spans="1:18" x14ac:dyDescent="0.35">
      <c r="A610" s="13"/>
      <c r="B610" s="13"/>
      <c r="C610" s="13"/>
      <c r="D610" s="13"/>
      <c r="E610" s="13"/>
      <c r="F610" s="13"/>
      <c r="G610" s="13"/>
      <c r="H610" s="13"/>
      <c r="I610" s="13"/>
      <c r="J610" s="13"/>
      <c r="K610" s="13"/>
      <c r="L610" s="13"/>
      <c r="M610" s="13"/>
      <c r="N610" s="13"/>
      <c r="O610" s="13"/>
      <c r="P610" s="13"/>
      <c r="Q610" s="13"/>
      <c r="R610" s="13"/>
    </row>
    <row r="611" spans="1:18" x14ac:dyDescent="0.35">
      <c r="A611" s="13"/>
      <c r="B611" s="13"/>
      <c r="C611" s="13"/>
      <c r="D611" s="13"/>
      <c r="E611" s="13"/>
      <c r="F611" s="13"/>
      <c r="G611" s="13"/>
      <c r="H611" s="13"/>
      <c r="I611" s="13"/>
      <c r="J611" s="13"/>
      <c r="K611" s="13"/>
      <c r="L611" s="13"/>
      <c r="M611" s="13"/>
      <c r="N611" s="13"/>
      <c r="O611" s="13"/>
      <c r="P611" s="13"/>
      <c r="Q611" s="13"/>
      <c r="R611" s="13"/>
    </row>
    <row r="612" spans="1:18" x14ac:dyDescent="0.35">
      <c r="A612" s="13"/>
      <c r="B612" s="13"/>
      <c r="C612" s="13"/>
      <c r="D612" s="13"/>
      <c r="E612" s="13"/>
      <c r="F612" s="13"/>
      <c r="G612" s="13"/>
      <c r="H612" s="13"/>
      <c r="I612" s="13"/>
      <c r="J612" s="13"/>
      <c r="K612" s="13"/>
      <c r="L612" s="13"/>
      <c r="M612" s="13"/>
      <c r="N612" s="13"/>
      <c r="O612" s="13"/>
      <c r="P612" s="13"/>
      <c r="Q612" s="13"/>
      <c r="R612" s="13"/>
    </row>
    <row r="613" spans="1:18" x14ac:dyDescent="0.35">
      <c r="A613" s="13"/>
      <c r="B613" s="13"/>
      <c r="C613" s="13"/>
      <c r="D613" s="13"/>
      <c r="E613" s="13"/>
      <c r="F613" s="13"/>
      <c r="G613" s="13"/>
      <c r="H613" s="13"/>
      <c r="I613" s="13"/>
      <c r="J613" s="13"/>
      <c r="K613" s="13"/>
      <c r="L613" s="13"/>
      <c r="M613" s="13"/>
      <c r="N613" s="13"/>
      <c r="O613" s="13"/>
      <c r="P613" s="13"/>
      <c r="Q613" s="13"/>
      <c r="R613" s="13"/>
    </row>
    <row r="614" spans="1:18" x14ac:dyDescent="0.35">
      <c r="A614" s="13"/>
      <c r="B614" s="13"/>
      <c r="C614" s="13"/>
      <c r="D614" s="13"/>
      <c r="E614" s="13"/>
      <c r="F614" s="13"/>
      <c r="G614" s="13"/>
      <c r="H614" s="13"/>
      <c r="I614" s="13"/>
      <c r="J614" s="13"/>
      <c r="K614" s="13"/>
      <c r="L614" s="13"/>
      <c r="M614" s="13"/>
      <c r="N614" s="13"/>
      <c r="O614" s="13"/>
      <c r="P614" s="13"/>
      <c r="Q614" s="13"/>
      <c r="R614" s="13"/>
    </row>
    <row r="615" spans="1:18" x14ac:dyDescent="0.35">
      <c r="A615" s="13"/>
      <c r="B615" s="13"/>
      <c r="C615" s="13"/>
      <c r="D615" s="13"/>
      <c r="E615" s="13"/>
      <c r="F615" s="13"/>
      <c r="G615" s="13"/>
      <c r="H615" s="13"/>
      <c r="I615" s="13"/>
      <c r="J615" s="13"/>
      <c r="K615" s="13"/>
      <c r="L615" s="13"/>
      <c r="M615" s="13"/>
      <c r="N615" s="13"/>
      <c r="O615" s="13"/>
      <c r="P615" s="13"/>
      <c r="Q615" s="13"/>
      <c r="R615" s="13"/>
    </row>
    <row r="616" spans="1:18" x14ac:dyDescent="0.35">
      <c r="A616" s="13"/>
      <c r="B616" s="13"/>
      <c r="C616" s="13"/>
      <c r="D616" s="13"/>
      <c r="E616" s="13"/>
      <c r="F616" s="13"/>
      <c r="G616" s="13"/>
      <c r="H616" s="13"/>
      <c r="I616" s="13"/>
      <c r="J616" s="13"/>
      <c r="K616" s="13"/>
      <c r="L616" s="13"/>
      <c r="M616" s="13"/>
      <c r="N616" s="13"/>
      <c r="O616" s="13"/>
      <c r="P616" s="13"/>
      <c r="Q616" s="13"/>
      <c r="R616" s="13"/>
    </row>
    <row r="617" spans="1:18" x14ac:dyDescent="0.35">
      <c r="A617" s="13"/>
      <c r="B617" s="13"/>
      <c r="C617" s="13"/>
      <c r="D617" s="13"/>
      <c r="E617" s="13"/>
      <c r="F617" s="13"/>
      <c r="G617" s="13"/>
      <c r="H617" s="13"/>
      <c r="I617" s="13"/>
      <c r="J617" s="13"/>
      <c r="K617" s="13"/>
      <c r="L617" s="13"/>
      <c r="M617" s="13"/>
      <c r="N617" s="13"/>
      <c r="O617" s="13"/>
      <c r="P617" s="13"/>
      <c r="Q617" s="13"/>
      <c r="R617" s="13"/>
    </row>
    <row r="618" spans="1:18" x14ac:dyDescent="0.35">
      <c r="A618" s="13"/>
      <c r="B618" s="13"/>
      <c r="C618" s="13"/>
      <c r="D618" s="13"/>
      <c r="E618" s="13"/>
      <c r="F618" s="13"/>
      <c r="G618" s="13"/>
      <c r="H618" s="13"/>
      <c r="I618" s="13"/>
      <c r="J618" s="13"/>
      <c r="K618" s="13"/>
      <c r="L618" s="13"/>
      <c r="M618" s="13"/>
      <c r="N618" s="13"/>
      <c r="O618" s="13"/>
      <c r="P618" s="13"/>
      <c r="Q618" s="13"/>
      <c r="R618" s="13"/>
    </row>
    <row r="619" spans="1:18" x14ac:dyDescent="0.35">
      <c r="A619" s="13"/>
      <c r="B619" s="13"/>
      <c r="C619" s="13"/>
      <c r="D619" s="13"/>
      <c r="E619" s="13"/>
      <c r="F619" s="13"/>
      <c r="G619" s="13"/>
      <c r="H619" s="13"/>
      <c r="I619" s="13"/>
      <c r="J619" s="13"/>
      <c r="K619" s="13"/>
      <c r="L619" s="13"/>
      <c r="M619" s="13"/>
      <c r="N619" s="13"/>
      <c r="O619" s="13"/>
      <c r="P619" s="13"/>
      <c r="Q619" s="13"/>
      <c r="R619" s="13"/>
    </row>
    <row r="620" spans="1:18" x14ac:dyDescent="0.35">
      <c r="A620" s="13"/>
      <c r="B620" s="13"/>
      <c r="C620" s="13"/>
      <c r="D620" s="13"/>
      <c r="E620" s="13"/>
      <c r="F620" s="13"/>
      <c r="G620" s="13"/>
      <c r="H620" s="13"/>
      <c r="I620" s="13"/>
      <c r="J620" s="13"/>
      <c r="K620" s="13"/>
      <c r="L620" s="13"/>
      <c r="M620" s="13"/>
      <c r="N620" s="13"/>
      <c r="O620" s="13"/>
      <c r="P620" s="13"/>
      <c r="Q620" s="13"/>
      <c r="R620" s="13"/>
    </row>
    <row r="621" spans="1:18" x14ac:dyDescent="0.35">
      <c r="A621" s="13"/>
      <c r="B621" s="13"/>
      <c r="C621" s="13"/>
      <c r="D621" s="13"/>
      <c r="E621" s="13"/>
      <c r="F621" s="13"/>
      <c r="G621" s="13"/>
      <c r="H621" s="13"/>
      <c r="I621" s="13"/>
      <c r="J621" s="13"/>
      <c r="K621" s="13"/>
      <c r="L621" s="13"/>
      <c r="M621" s="13"/>
      <c r="N621" s="13"/>
      <c r="O621" s="13"/>
      <c r="P621" s="13"/>
      <c r="Q621" s="13"/>
      <c r="R621" s="13"/>
    </row>
    <row r="622" spans="1:18" x14ac:dyDescent="0.35">
      <c r="A622" s="13"/>
      <c r="B622" s="13"/>
      <c r="C622" s="13"/>
      <c r="D622" s="13"/>
      <c r="E622" s="13"/>
      <c r="F622" s="13"/>
      <c r="G622" s="13"/>
      <c r="H622" s="13"/>
      <c r="I622" s="13"/>
      <c r="J622" s="13"/>
      <c r="K622" s="13"/>
      <c r="L622" s="13"/>
      <c r="M622" s="13"/>
      <c r="N622" s="13"/>
      <c r="O622" s="13"/>
      <c r="P622" s="13"/>
      <c r="Q622" s="13"/>
      <c r="R622" s="13"/>
    </row>
    <row r="623" spans="1:18" x14ac:dyDescent="0.35">
      <c r="A623" s="13"/>
      <c r="B623" s="13"/>
      <c r="C623" s="13"/>
      <c r="D623" s="13"/>
      <c r="E623" s="13"/>
      <c r="F623" s="13"/>
      <c r="G623" s="13"/>
      <c r="H623" s="13"/>
      <c r="I623" s="13"/>
      <c r="J623" s="13"/>
      <c r="K623" s="13"/>
      <c r="L623" s="13"/>
      <c r="M623" s="13"/>
      <c r="N623" s="13"/>
      <c r="O623" s="13"/>
      <c r="P623" s="13"/>
      <c r="Q623" s="13"/>
      <c r="R623" s="13"/>
    </row>
    <row r="624" spans="1:18" x14ac:dyDescent="0.35">
      <c r="A624" s="13"/>
      <c r="B624" s="13"/>
      <c r="C624" s="13"/>
      <c r="D624" s="13"/>
      <c r="E624" s="13"/>
      <c r="F624" s="13"/>
      <c r="G624" s="13"/>
      <c r="H624" s="13"/>
      <c r="I624" s="13"/>
      <c r="J624" s="13"/>
      <c r="K624" s="13"/>
      <c r="L624" s="13"/>
      <c r="M624" s="13"/>
      <c r="N624" s="13"/>
      <c r="O624" s="13"/>
      <c r="P624" s="13"/>
      <c r="Q624" s="13"/>
      <c r="R624" s="13"/>
    </row>
    <row r="625" spans="1:18" x14ac:dyDescent="0.35">
      <c r="A625" s="13"/>
      <c r="B625" s="13"/>
      <c r="C625" s="13"/>
      <c r="D625" s="13"/>
      <c r="E625" s="13"/>
      <c r="F625" s="13"/>
      <c r="G625" s="13"/>
      <c r="H625" s="13"/>
      <c r="I625" s="13"/>
      <c r="J625" s="13"/>
      <c r="K625" s="13"/>
      <c r="L625" s="13"/>
      <c r="M625" s="13"/>
      <c r="N625" s="13"/>
      <c r="O625" s="13"/>
      <c r="P625" s="13"/>
      <c r="Q625" s="13"/>
      <c r="R625" s="13"/>
    </row>
    <row r="626" spans="1:18" x14ac:dyDescent="0.35">
      <c r="A626" s="13"/>
      <c r="B626" s="13"/>
      <c r="C626" s="13"/>
      <c r="D626" s="13"/>
      <c r="E626" s="13"/>
      <c r="F626" s="13"/>
      <c r="G626" s="13"/>
      <c r="H626" s="13"/>
      <c r="I626" s="13"/>
      <c r="J626" s="13"/>
      <c r="K626" s="13"/>
      <c r="L626" s="13"/>
      <c r="M626" s="13"/>
      <c r="N626" s="13"/>
      <c r="O626" s="13"/>
      <c r="P626" s="13"/>
      <c r="Q626" s="13"/>
      <c r="R626" s="13"/>
    </row>
    <row r="627" spans="1:18" x14ac:dyDescent="0.35">
      <c r="A627" s="13"/>
      <c r="B627" s="13"/>
      <c r="C627" s="13"/>
      <c r="D627" s="13"/>
      <c r="E627" s="13"/>
      <c r="F627" s="13"/>
      <c r="G627" s="13"/>
      <c r="H627" s="13"/>
      <c r="I627" s="13"/>
      <c r="J627" s="13"/>
      <c r="K627" s="13"/>
      <c r="L627" s="13"/>
      <c r="M627" s="13"/>
      <c r="N627" s="13"/>
      <c r="O627" s="13"/>
      <c r="P627" s="13"/>
      <c r="Q627" s="13"/>
      <c r="R627" s="13"/>
    </row>
    <row r="628" spans="1:18" x14ac:dyDescent="0.35">
      <c r="A628" s="13"/>
      <c r="B628" s="13"/>
      <c r="C628" s="13"/>
      <c r="D628" s="13"/>
      <c r="E628" s="13"/>
      <c r="F628" s="13"/>
      <c r="G628" s="13"/>
      <c r="H628" s="13"/>
      <c r="I628" s="13"/>
      <c r="J628" s="13"/>
      <c r="K628" s="13"/>
      <c r="L628" s="13"/>
      <c r="M628" s="13"/>
      <c r="N628" s="13"/>
      <c r="O628" s="13"/>
      <c r="P628" s="13"/>
      <c r="Q628" s="13"/>
      <c r="R628" s="13"/>
    </row>
    <row r="629" spans="1:18" x14ac:dyDescent="0.35">
      <c r="A629" s="13"/>
      <c r="B629" s="13"/>
      <c r="C629" s="13"/>
      <c r="D629" s="13"/>
      <c r="E629" s="13"/>
      <c r="F629" s="13"/>
      <c r="G629" s="13"/>
      <c r="H629" s="13"/>
      <c r="I629" s="13"/>
      <c r="J629" s="13"/>
      <c r="K629" s="13"/>
      <c r="L629" s="13"/>
      <c r="M629" s="13"/>
      <c r="N629" s="13"/>
      <c r="O629" s="13"/>
      <c r="P629" s="13"/>
      <c r="Q629" s="13"/>
      <c r="R629" s="13"/>
    </row>
    <row r="630" spans="1:18" x14ac:dyDescent="0.35">
      <c r="A630" s="13"/>
      <c r="B630" s="13"/>
      <c r="C630" s="13"/>
      <c r="D630" s="13"/>
      <c r="E630" s="13"/>
      <c r="F630" s="13"/>
      <c r="G630" s="13"/>
      <c r="H630" s="13"/>
      <c r="I630" s="13"/>
      <c r="J630" s="13"/>
      <c r="K630" s="13"/>
      <c r="L630" s="13"/>
      <c r="M630" s="13"/>
      <c r="N630" s="13"/>
      <c r="O630" s="13"/>
      <c r="P630" s="13"/>
      <c r="Q630" s="13"/>
      <c r="R630" s="13"/>
    </row>
    <row r="631" spans="1:18" x14ac:dyDescent="0.35">
      <c r="A631" s="13"/>
      <c r="B631" s="13"/>
      <c r="C631" s="13"/>
      <c r="D631" s="13"/>
      <c r="E631" s="13"/>
      <c r="F631" s="13"/>
      <c r="G631" s="13"/>
      <c r="H631" s="13"/>
      <c r="I631" s="13"/>
      <c r="J631" s="13"/>
      <c r="K631" s="13"/>
      <c r="L631" s="13"/>
      <c r="M631" s="13"/>
      <c r="N631" s="13"/>
      <c r="O631" s="13"/>
      <c r="P631" s="13"/>
      <c r="Q631" s="13"/>
      <c r="R631" s="13"/>
    </row>
    <row r="632" spans="1:18" x14ac:dyDescent="0.35">
      <c r="A632" s="13"/>
      <c r="B632" s="13"/>
      <c r="C632" s="13"/>
      <c r="D632" s="13"/>
      <c r="E632" s="13"/>
      <c r="F632" s="13"/>
      <c r="G632" s="13"/>
      <c r="H632" s="13"/>
      <c r="I632" s="13"/>
      <c r="J632" s="13"/>
      <c r="K632" s="13"/>
      <c r="L632" s="13"/>
      <c r="M632" s="13"/>
      <c r="N632" s="13"/>
      <c r="O632" s="13"/>
      <c r="P632" s="13"/>
      <c r="Q632" s="13"/>
      <c r="R632" s="13"/>
    </row>
    <row r="633" spans="1:18" x14ac:dyDescent="0.35">
      <c r="A633" s="13"/>
      <c r="B633" s="13"/>
      <c r="C633" s="13"/>
      <c r="D633" s="13"/>
      <c r="E633" s="13"/>
      <c r="F633" s="13"/>
      <c r="G633" s="13"/>
      <c r="H633" s="13"/>
      <c r="I633" s="13"/>
      <c r="J633" s="13"/>
      <c r="K633" s="13"/>
      <c r="L633" s="13"/>
      <c r="M633" s="13"/>
      <c r="N633" s="13"/>
      <c r="O633" s="13"/>
      <c r="P633" s="13"/>
      <c r="Q633" s="13"/>
      <c r="R633" s="13"/>
    </row>
    <row r="634" spans="1:18" x14ac:dyDescent="0.35">
      <c r="A634" s="13"/>
      <c r="B634" s="13"/>
      <c r="C634" s="13"/>
      <c r="D634" s="13"/>
      <c r="E634" s="13"/>
      <c r="F634" s="13"/>
      <c r="G634" s="13"/>
      <c r="H634" s="13"/>
      <c r="I634" s="13"/>
      <c r="J634" s="13"/>
      <c r="K634" s="13"/>
      <c r="L634" s="13"/>
      <c r="M634" s="13"/>
      <c r="N634" s="13"/>
      <c r="O634" s="13"/>
      <c r="P634" s="13"/>
      <c r="Q634" s="13"/>
      <c r="R634" s="13"/>
    </row>
    <row r="635" spans="1:18" x14ac:dyDescent="0.35">
      <c r="A635" s="13"/>
      <c r="B635" s="13"/>
      <c r="C635" s="13"/>
      <c r="D635" s="13"/>
      <c r="E635" s="13"/>
      <c r="F635" s="13"/>
      <c r="G635" s="13"/>
      <c r="H635" s="13"/>
      <c r="I635" s="13"/>
      <c r="J635" s="13"/>
      <c r="K635" s="13"/>
      <c r="L635" s="13"/>
      <c r="M635" s="13"/>
      <c r="N635" s="13"/>
      <c r="O635" s="13"/>
      <c r="P635" s="13"/>
      <c r="Q635" s="13"/>
      <c r="R635" s="13"/>
    </row>
    <row r="636" spans="1:18" x14ac:dyDescent="0.35">
      <c r="A636" s="13"/>
      <c r="B636" s="13"/>
      <c r="C636" s="13"/>
      <c r="D636" s="13"/>
      <c r="E636" s="13"/>
      <c r="F636" s="13"/>
      <c r="G636" s="13"/>
      <c r="H636" s="13"/>
      <c r="I636" s="13"/>
      <c r="J636" s="13"/>
      <c r="K636" s="13"/>
      <c r="L636" s="13"/>
      <c r="M636" s="13"/>
      <c r="N636" s="13"/>
      <c r="O636" s="13"/>
      <c r="P636" s="13"/>
      <c r="Q636" s="13"/>
      <c r="R636" s="13"/>
    </row>
    <row r="637" spans="1:18" x14ac:dyDescent="0.35">
      <c r="A637" s="13"/>
      <c r="B637" s="13"/>
      <c r="C637" s="13"/>
      <c r="D637" s="13"/>
      <c r="E637" s="13"/>
      <c r="F637" s="13"/>
      <c r="G637" s="13"/>
      <c r="H637" s="13"/>
      <c r="I637" s="13"/>
      <c r="J637" s="13"/>
      <c r="K637" s="13"/>
      <c r="L637" s="13"/>
      <c r="M637" s="13"/>
      <c r="N637" s="13"/>
      <c r="O637" s="13"/>
      <c r="P637" s="13"/>
      <c r="Q637" s="13"/>
      <c r="R637" s="13"/>
    </row>
    <row r="638" spans="1:18" x14ac:dyDescent="0.35">
      <c r="A638" s="13"/>
      <c r="B638" s="13"/>
      <c r="C638" s="13"/>
      <c r="D638" s="13"/>
      <c r="E638" s="13"/>
      <c r="F638" s="13"/>
      <c r="G638" s="13"/>
      <c r="H638" s="13"/>
      <c r="I638" s="13"/>
      <c r="J638" s="13"/>
      <c r="K638" s="13"/>
      <c r="L638" s="13"/>
      <c r="M638" s="13"/>
      <c r="N638" s="13"/>
      <c r="O638" s="13"/>
      <c r="P638" s="13"/>
      <c r="Q638" s="13"/>
      <c r="R638" s="13"/>
    </row>
    <row r="639" spans="1:18" x14ac:dyDescent="0.35">
      <c r="A639" s="13"/>
      <c r="B639" s="13"/>
      <c r="C639" s="13"/>
      <c r="D639" s="13"/>
      <c r="E639" s="13"/>
      <c r="F639" s="13"/>
      <c r="G639" s="13"/>
      <c r="H639" s="13"/>
      <c r="I639" s="13"/>
      <c r="J639" s="13"/>
      <c r="K639" s="13"/>
      <c r="L639" s="13"/>
      <c r="M639" s="13"/>
      <c r="N639" s="13"/>
      <c r="O639" s="13"/>
      <c r="P639" s="13"/>
      <c r="Q639" s="13"/>
      <c r="R639" s="13"/>
    </row>
    <row r="640" spans="1:18" x14ac:dyDescent="0.35">
      <c r="A640" s="13"/>
      <c r="B640" s="13"/>
      <c r="C640" s="13"/>
      <c r="D640" s="13"/>
      <c r="E640" s="13"/>
      <c r="F640" s="13"/>
      <c r="G640" s="13"/>
      <c r="H640" s="13"/>
      <c r="I640" s="13"/>
      <c r="J640" s="13"/>
      <c r="K640" s="13"/>
      <c r="L640" s="13"/>
      <c r="M640" s="13"/>
      <c r="N640" s="13"/>
      <c r="O640" s="13"/>
      <c r="P640" s="13"/>
      <c r="Q640" s="13"/>
      <c r="R640" s="13"/>
    </row>
    <row r="641" spans="1:18" x14ac:dyDescent="0.35">
      <c r="A641" s="13"/>
      <c r="B641" s="13"/>
      <c r="C641" s="13"/>
      <c r="D641" s="13"/>
      <c r="E641" s="13"/>
      <c r="F641" s="13"/>
      <c r="G641" s="13"/>
      <c r="H641" s="13"/>
      <c r="I641" s="13"/>
      <c r="J641" s="13"/>
      <c r="K641" s="13"/>
      <c r="L641" s="13"/>
      <c r="M641" s="13"/>
      <c r="N641" s="13"/>
      <c r="O641" s="13"/>
      <c r="P641" s="13"/>
      <c r="Q641" s="13"/>
      <c r="R641" s="13"/>
    </row>
    <row r="642" spans="1:18" x14ac:dyDescent="0.35">
      <c r="A642" s="13"/>
      <c r="B642" s="13"/>
      <c r="C642" s="13"/>
      <c r="D642" s="13"/>
      <c r="E642" s="13"/>
      <c r="F642" s="13"/>
      <c r="G642" s="13"/>
      <c r="H642" s="13"/>
      <c r="I642" s="13"/>
      <c r="J642" s="13"/>
      <c r="K642" s="13"/>
      <c r="L642" s="13"/>
      <c r="M642" s="13"/>
      <c r="N642" s="13"/>
      <c r="O642" s="13"/>
      <c r="P642" s="13"/>
      <c r="Q642" s="13"/>
      <c r="R642" s="13"/>
    </row>
    <row r="643" spans="1:18" x14ac:dyDescent="0.35">
      <c r="A643" s="13"/>
      <c r="B643" s="13"/>
      <c r="C643" s="13"/>
      <c r="D643" s="13"/>
      <c r="E643" s="13"/>
      <c r="F643" s="13"/>
      <c r="G643" s="13"/>
      <c r="H643" s="13"/>
      <c r="I643" s="13"/>
      <c r="J643" s="13"/>
      <c r="K643" s="13"/>
      <c r="L643" s="13"/>
      <c r="M643" s="13"/>
      <c r="N643" s="13"/>
      <c r="O643" s="13"/>
      <c r="P643" s="13"/>
      <c r="Q643" s="13"/>
      <c r="R643" s="13"/>
    </row>
    <row r="644" spans="1:18" x14ac:dyDescent="0.35">
      <c r="A644" s="13"/>
      <c r="B644" s="13"/>
      <c r="C644" s="13"/>
      <c r="D644" s="13"/>
      <c r="E644" s="13"/>
      <c r="F644" s="13"/>
      <c r="G644" s="13"/>
      <c r="H644" s="13"/>
      <c r="I644" s="13"/>
      <c r="J644" s="13"/>
      <c r="K644" s="13"/>
      <c r="L644" s="13"/>
      <c r="M644" s="13"/>
      <c r="N644" s="13"/>
      <c r="O644" s="13"/>
      <c r="P644" s="13"/>
      <c r="Q644" s="13"/>
      <c r="R644" s="13"/>
    </row>
    <row r="645" spans="1:18" x14ac:dyDescent="0.35">
      <c r="A645" s="13"/>
      <c r="B645" s="13"/>
      <c r="C645" s="13"/>
      <c r="D645" s="13"/>
      <c r="E645" s="13"/>
      <c r="F645" s="13"/>
      <c r="G645" s="13"/>
      <c r="H645" s="13"/>
      <c r="I645" s="13"/>
      <c r="J645" s="13"/>
      <c r="K645" s="13"/>
      <c r="L645" s="13"/>
      <c r="M645" s="13"/>
      <c r="N645" s="13"/>
      <c r="O645" s="13"/>
      <c r="P645" s="13"/>
      <c r="Q645" s="13"/>
      <c r="R645" s="13"/>
    </row>
    <row r="646" spans="1:18" x14ac:dyDescent="0.35">
      <c r="A646" s="13"/>
      <c r="B646" s="13"/>
      <c r="C646" s="13"/>
      <c r="D646" s="13"/>
      <c r="E646" s="13"/>
      <c r="F646" s="13"/>
      <c r="G646" s="13"/>
      <c r="H646" s="13"/>
      <c r="I646" s="13"/>
      <c r="J646" s="13"/>
      <c r="K646" s="13"/>
      <c r="L646" s="13"/>
      <c r="M646" s="13"/>
      <c r="N646" s="13"/>
      <c r="O646" s="13"/>
      <c r="P646" s="13"/>
      <c r="Q646" s="13"/>
      <c r="R646" s="13"/>
    </row>
    <row r="647" spans="1:18" x14ac:dyDescent="0.35">
      <c r="A647" s="13"/>
      <c r="B647" s="13"/>
      <c r="C647" s="13"/>
      <c r="D647" s="13"/>
      <c r="E647" s="13"/>
      <c r="F647" s="13"/>
      <c r="G647" s="13"/>
      <c r="H647" s="13"/>
      <c r="I647" s="13"/>
      <c r="J647" s="13"/>
      <c r="K647" s="13"/>
      <c r="L647" s="13"/>
      <c r="M647" s="13"/>
      <c r="N647" s="13"/>
      <c r="O647" s="13"/>
      <c r="P647" s="13"/>
      <c r="Q647" s="13"/>
      <c r="R647" s="13"/>
    </row>
    <row r="648" spans="1:18" x14ac:dyDescent="0.35">
      <c r="A648" s="13"/>
      <c r="B648" s="13"/>
      <c r="C648" s="13"/>
      <c r="D648" s="13"/>
      <c r="E648" s="13"/>
      <c r="F648" s="13"/>
      <c r="G648" s="13"/>
      <c r="H648" s="13"/>
      <c r="I648" s="13"/>
      <c r="J648" s="13"/>
      <c r="K648" s="13"/>
      <c r="L648" s="13"/>
      <c r="M648" s="13"/>
      <c r="N648" s="13"/>
      <c r="O648" s="13"/>
      <c r="P648" s="13"/>
      <c r="Q648" s="13"/>
      <c r="R648" s="13"/>
    </row>
    <row r="649" spans="1:18" x14ac:dyDescent="0.35">
      <c r="A649" s="13"/>
      <c r="B649" s="13"/>
      <c r="C649" s="13"/>
      <c r="D649" s="13"/>
      <c r="E649" s="13"/>
      <c r="F649" s="13"/>
      <c r="G649" s="13"/>
      <c r="H649" s="13"/>
      <c r="I649" s="13"/>
      <c r="J649" s="13"/>
      <c r="K649" s="13"/>
      <c r="L649" s="13"/>
      <c r="M649" s="13"/>
      <c r="N649" s="13"/>
      <c r="O649" s="13"/>
      <c r="P649" s="13"/>
      <c r="Q649" s="13"/>
      <c r="R649" s="13"/>
    </row>
    <row r="650" spans="1:18" x14ac:dyDescent="0.35">
      <c r="A650" s="13"/>
      <c r="B650" s="13"/>
      <c r="C650" s="13"/>
      <c r="D650" s="13"/>
      <c r="E650" s="13"/>
      <c r="F650" s="13"/>
      <c r="G650" s="13"/>
      <c r="H650" s="13"/>
      <c r="I650" s="13"/>
      <c r="J650" s="13"/>
      <c r="K650" s="13"/>
      <c r="L650" s="13"/>
      <c r="M650" s="13"/>
      <c r="N650" s="13"/>
      <c r="O650" s="13"/>
      <c r="P650" s="13"/>
      <c r="Q650" s="13"/>
      <c r="R650" s="13"/>
    </row>
    <row r="651" spans="1:18" x14ac:dyDescent="0.35">
      <c r="A651" s="13"/>
      <c r="B651" s="13"/>
      <c r="C651" s="13"/>
      <c r="D651" s="13"/>
      <c r="E651" s="13"/>
      <c r="F651" s="13"/>
      <c r="G651" s="13"/>
      <c r="H651" s="13"/>
      <c r="I651" s="13"/>
      <c r="J651" s="13"/>
      <c r="K651" s="13"/>
      <c r="L651" s="13"/>
      <c r="M651" s="13"/>
      <c r="N651" s="13"/>
      <c r="O651" s="13"/>
      <c r="P651" s="13"/>
      <c r="Q651" s="13"/>
      <c r="R651" s="13"/>
    </row>
    <row r="652" spans="1:18" x14ac:dyDescent="0.35">
      <c r="A652" s="13"/>
      <c r="B652" s="13"/>
      <c r="C652" s="13"/>
      <c r="D652" s="13"/>
      <c r="E652" s="13"/>
      <c r="F652" s="13"/>
      <c r="G652" s="13"/>
      <c r="H652" s="13"/>
      <c r="I652" s="13"/>
      <c r="J652" s="13"/>
      <c r="K652" s="13"/>
      <c r="L652" s="13"/>
      <c r="M652" s="13"/>
      <c r="N652" s="13"/>
      <c r="O652" s="13"/>
      <c r="P652" s="13"/>
      <c r="Q652" s="13"/>
      <c r="R652" s="13"/>
    </row>
    <row r="653" spans="1:18" x14ac:dyDescent="0.35">
      <c r="A653" s="13"/>
      <c r="B653" s="13"/>
      <c r="C653" s="13"/>
      <c r="D653" s="13"/>
      <c r="E653" s="13"/>
      <c r="F653" s="13"/>
      <c r="G653" s="13"/>
      <c r="H653" s="13"/>
      <c r="I653" s="13"/>
      <c r="J653" s="13"/>
      <c r="K653" s="13"/>
      <c r="L653" s="13"/>
      <c r="M653" s="13"/>
      <c r="N653" s="13"/>
      <c r="O653" s="13"/>
      <c r="P653" s="13"/>
      <c r="Q653" s="13"/>
      <c r="R653" s="13"/>
    </row>
    <row r="654" spans="1:18" x14ac:dyDescent="0.35">
      <c r="A654" s="13"/>
      <c r="B654" s="13"/>
      <c r="C654" s="13"/>
      <c r="D654" s="13"/>
      <c r="E654" s="13"/>
      <c r="F654" s="13"/>
      <c r="G654" s="13"/>
      <c r="H654" s="13"/>
      <c r="I654" s="13"/>
      <c r="J654" s="13"/>
      <c r="K654" s="13"/>
      <c r="L654" s="13"/>
      <c r="M654" s="13"/>
      <c r="N654" s="13"/>
      <c r="O654" s="13"/>
      <c r="P654" s="13"/>
      <c r="Q654" s="13"/>
      <c r="R654" s="13"/>
    </row>
    <row r="655" spans="1:18" x14ac:dyDescent="0.35">
      <c r="A655" s="13"/>
      <c r="B655" s="13"/>
      <c r="C655" s="13"/>
      <c r="D655" s="13"/>
      <c r="E655" s="13"/>
      <c r="F655" s="13"/>
      <c r="G655" s="13"/>
      <c r="H655" s="13"/>
      <c r="I655" s="13"/>
      <c r="J655" s="13"/>
      <c r="K655" s="13"/>
      <c r="L655" s="13"/>
      <c r="M655" s="13"/>
      <c r="N655" s="13"/>
      <c r="O655" s="13"/>
      <c r="P655" s="13"/>
      <c r="Q655" s="13"/>
      <c r="R655" s="13"/>
    </row>
    <row r="656" spans="1:18" x14ac:dyDescent="0.35">
      <c r="A656" s="13"/>
      <c r="B656" s="13"/>
      <c r="C656" s="13"/>
      <c r="D656" s="13"/>
      <c r="E656" s="13"/>
      <c r="F656" s="13"/>
      <c r="G656" s="13"/>
      <c r="H656" s="13"/>
      <c r="I656" s="13"/>
      <c r="J656" s="13"/>
      <c r="K656" s="13"/>
      <c r="L656" s="13"/>
      <c r="M656" s="13"/>
      <c r="N656" s="13"/>
      <c r="O656" s="13"/>
      <c r="P656" s="13"/>
      <c r="Q656" s="13"/>
      <c r="R656" s="13"/>
    </row>
    <row r="657" spans="1:18" x14ac:dyDescent="0.35">
      <c r="A657" s="13"/>
      <c r="B657" s="13"/>
      <c r="C657" s="13"/>
      <c r="D657" s="13"/>
      <c r="E657" s="13"/>
      <c r="F657" s="13"/>
      <c r="G657" s="13"/>
      <c r="H657" s="13"/>
      <c r="I657" s="13"/>
      <c r="J657" s="13"/>
      <c r="K657" s="13"/>
      <c r="L657" s="13"/>
      <c r="M657" s="13"/>
      <c r="N657" s="13"/>
      <c r="O657" s="13"/>
      <c r="P657" s="13"/>
      <c r="Q657" s="13"/>
      <c r="R657" s="13"/>
    </row>
    <row r="658" spans="1:18" x14ac:dyDescent="0.35">
      <c r="A658" s="13"/>
      <c r="B658" s="13"/>
      <c r="C658" s="13"/>
      <c r="D658" s="13"/>
      <c r="E658" s="13"/>
      <c r="F658" s="13"/>
      <c r="G658" s="13"/>
      <c r="H658" s="13"/>
      <c r="I658" s="13"/>
      <c r="J658" s="13"/>
      <c r="K658" s="13"/>
      <c r="L658" s="13"/>
      <c r="M658" s="13"/>
      <c r="N658" s="13"/>
      <c r="O658" s="13"/>
      <c r="P658" s="13"/>
      <c r="Q658" s="13"/>
      <c r="R658" s="13"/>
    </row>
    <row r="659" spans="1:18" x14ac:dyDescent="0.35">
      <c r="A659" s="13"/>
      <c r="B659" s="13"/>
      <c r="C659" s="13"/>
      <c r="D659" s="13"/>
      <c r="E659" s="13"/>
      <c r="F659" s="13"/>
      <c r="G659" s="13"/>
      <c r="H659" s="13"/>
      <c r="I659" s="13"/>
      <c r="J659" s="13"/>
      <c r="K659" s="13"/>
      <c r="L659" s="13"/>
      <c r="M659" s="13"/>
      <c r="N659" s="13"/>
      <c r="O659" s="13"/>
      <c r="P659" s="13"/>
      <c r="Q659" s="13"/>
      <c r="R659" s="13"/>
    </row>
    <row r="660" spans="1:18" x14ac:dyDescent="0.35">
      <c r="A660" s="13"/>
      <c r="B660" s="13"/>
      <c r="C660" s="13"/>
      <c r="D660" s="13"/>
      <c r="E660" s="13"/>
      <c r="F660" s="13"/>
      <c r="G660" s="13"/>
      <c r="H660" s="13"/>
      <c r="I660" s="13"/>
      <c r="J660" s="13"/>
      <c r="K660" s="13"/>
      <c r="L660" s="13"/>
      <c r="M660" s="13"/>
      <c r="N660" s="13"/>
      <c r="O660" s="13"/>
      <c r="P660" s="13"/>
      <c r="Q660" s="13"/>
      <c r="R660" s="13"/>
    </row>
    <row r="661" spans="1:18" x14ac:dyDescent="0.35">
      <c r="A661" s="13"/>
      <c r="B661" s="13"/>
      <c r="C661" s="13"/>
      <c r="D661" s="13"/>
      <c r="E661" s="13"/>
      <c r="F661" s="13"/>
      <c r="G661" s="13"/>
      <c r="H661" s="13"/>
      <c r="I661" s="13"/>
      <c r="J661" s="13"/>
      <c r="K661" s="13"/>
      <c r="L661" s="13"/>
      <c r="M661" s="13"/>
      <c r="N661" s="13"/>
      <c r="O661" s="13"/>
      <c r="P661" s="13"/>
      <c r="Q661" s="13"/>
      <c r="R661" s="13"/>
    </row>
    <row r="662" spans="1:18" x14ac:dyDescent="0.35">
      <c r="A662" s="13"/>
      <c r="B662" s="13"/>
      <c r="C662" s="13"/>
      <c r="D662" s="13"/>
      <c r="E662" s="13"/>
      <c r="F662" s="13"/>
      <c r="G662" s="13"/>
      <c r="H662" s="13"/>
      <c r="I662" s="13"/>
      <c r="J662" s="13"/>
      <c r="K662" s="13"/>
      <c r="L662" s="13"/>
      <c r="M662" s="13"/>
      <c r="N662" s="13"/>
      <c r="O662" s="13"/>
      <c r="P662" s="13"/>
      <c r="Q662" s="13"/>
      <c r="R662" s="13"/>
    </row>
    <row r="663" spans="1:18" x14ac:dyDescent="0.35">
      <c r="A663" s="13"/>
      <c r="B663" s="13"/>
      <c r="C663" s="13"/>
      <c r="D663" s="13"/>
      <c r="E663" s="13"/>
      <c r="F663" s="13"/>
      <c r="G663" s="13"/>
      <c r="H663" s="13"/>
      <c r="I663" s="13"/>
      <c r="J663" s="13"/>
      <c r="K663" s="13"/>
      <c r="L663" s="13"/>
      <c r="M663" s="13"/>
      <c r="N663" s="13"/>
      <c r="O663" s="13"/>
      <c r="P663" s="13"/>
      <c r="Q663" s="13"/>
      <c r="R663" s="13"/>
    </row>
    <row r="664" spans="1:18" x14ac:dyDescent="0.35">
      <c r="A664" s="13"/>
      <c r="B664" s="13"/>
      <c r="C664" s="13"/>
      <c r="D664" s="13"/>
      <c r="E664" s="13"/>
      <c r="F664" s="13"/>
      <c r="G664" s="13"/>
      <c r="H664" s="13"/>
      <c r="I664" s="13"/>
      <c r="J664" s="13"/>
      <c r="K664" s="13"/>
      <c r="L664" s="13"/>
      <c r="M664" s="13"/>
      <c r="N664" s="13"/>
      <c r="O664" s="13"/>
      <c r="P664" s="13"/>
      <c r="Q664" s="13"/>
      <c r="R664" s="13"/>
    </row>
    <row r="665" spans="1:18" x14ac:dyDescent="0.35">
      <c r="A665" s="13"/>
      <c r="B665" s="13"/>
      <c r="C665" s="13"/>
      <c r="D665" s="13"/>
      <c r="E665" s="13"/>
      <c r="F665" s="13"/>
      <c r="G665" s="13"/>
      <c r="H665" s="13"/>
      <c r="I665" s="13"/>
      <c r="J665" s="13"/>
      <c r="K665" s="13"/>
      <c r="L665" s="13"/>
      <c r="M665" s="13"/>
      <c r="N665" s="13"/>
      <c r="O665" s="13"/>
      <c r="P665" s="13"/>
      <c r="Q665" s="13"/>
      <c r="R665" s="13"/>
    </row>
    <row r="666" spans="1:18" x14ac:dyDescent="0.35">
      <c r="A666" s="13"/>
      <c r="B666" s="13"/>
      <c r="C666" s="13"/>
      <c r="D666" s="13"/>
      <c r="E666" s="13"/>
      <c r="F666" s="13"/>
      <c r="G666" s="13"/>
      <c r="H666" s="13"/>
      <c r="I666" s="13"/>
      <c r="J666" s="13"/>
      <c r="K666" s="13"/>
      <c r="L666" s="13"/>
      <c r="M666" s="13"/>
      <c r="N666" s="13"/>
      <c r="O666" s="13"/>
      <c r="P666" s="13"/>
      <c r="Q666" s="13"/>
      <c r="R666" s="13"/>
    </row>
    <row r="667" spans="1:18" x14ac:dyDescent="0.35">
      <c r="A667" s="13"/>
      <c r="B667" s="13"/>
      <c r="C667" s="13"/>
      <c r="D667" s="13"/>
      <c r="E667" s="13"/>
      <c r="F667" s="13"/>
      <c r="G667" s="13"/>
      <c r="H667" s="13"/>
      <c r="I667" s="13"/>
      <c r="J667" s="13"/>
      <c r="K667" s="13"/>
      <c r="L667" s="13"/>
      <c r="M667" s="13"/>
      <c r="N667" s="13"/>
      <c r="O667" s="13"/>
      <c r="P667" s="13"/>
      <c r="Q667" s="13"/>
      <c r="R667" s="13"/>
    </row>
    <row r="668" spans="1:18" x14ac:dyDescent="0.35">
      <c r="A668" s="13"/>
      <c r="B668" s="13"/>
      <c r="C668" s="13"/>
      <c r="D668" s="13"/>
      <c r="E668" s="13"/>
      <c r="F668" s="13"/>
      <c r="G668" s="13"/>
      <c r="H668" s="13"/>
      <c r="I668" s="13"/>
      <c r="J668" s="13"/>
      <c r="K668" s="13"/>
      <c r="L668" s="13"/>
      <c r="M668" s="13"/>
      <c r="N668" s="13"/>
      <c r="O668" s="13"/>
      <c r="P668" s="13"/>
      <c r="Q668" s="13"/>
      <c r="R668" s="13"/>
    </row>
    <row r="669" spans="1:18" x14ac:dyDescent="0.35">
      <c r="A669" s="13"/>
      <c r="B669" s="13"/>
      <c r="C669" s="13"/>
      <c r="D669" s="13"/>
      <c r="E669" s="13"/>
      <c r="F669" s="13"/>
      <c r="G669" s="13"/>
      <c r="H669" s="13"/>
      <c r="I669" s="13"/>
      <c r="J669" s="13"/>
      <c r="K669" s="13"/>
      <c r="L669" s="13"/>
      <c r="M669" s="13"/>
      <c r="N669" s="13"/>
      <c r="O669" s="13"/>
      <c r="P669" s="13"/>
      <c r="Q669" s="13"/>
      <c r="R669" s="13"/>
    </row>
    <row r="670" spans="1:18" x14ac:dyDescent="0.35">
      <c r="A670" s="13"/>
      <c r="B670" s="13"/>
      <c r="C670" s="13"/>
      <c r="D670" s="13"/>
      <c r="E670" s="13"/>
      <c r="F670" s="13"/>
      <c r="G670" s="13"/>
      <c r="H670" s="13"/>
      <c r="I670" s="13"/>
      <c r="J670" s="13"/>
      <c r="K670" s="13"/>
      <c r="L670" s="13"/>
      <c r="M670" s="13"/>
      <c r="N670" s="13"/>
      <c r="O670" s="13"/>
      <c r="P670" s="13"/>
      <c r="Q670" s="13"/>
      <c r="R670" s="13"/>
    </row>
    <row r="671" spans="1:18" x14ac:dyDescent="0.35">
      <c r="A671" s="13"/>
      <c r="B671" s="13"/>
      <c r="C671" s="13"/>
      <c r="D671" s="13"/>
      <c r="E671" s="13"/>
      <c r="F671" s="13"/>
      <c r="G671" s="13"/>
      <c r="H671" s="13"/>
      <c r="I671" s="13"/>
      <c r="J671" s="13"/>
      <c r="K671" s="13"/>
      <c r="L671" s="13"/>
      <c r="M671" s="13"/>
      <c r="N671" s="13"/>
      <c r="O671" s="13"/>
      <c r="P671" s="13"/>
      <c r="Q671" s="13"/>
      <c r="R671" s="13"/>
    </row>
    <row r="672" spans="1:18" x14ac:dyDescent="0.35">
      <c r="A672" s="13"/>
      <c r="B672" s="13"/>
      <c r="C672" s="13"/>
      <c r="D672" s="13"/>
      <c r="E672" s="13"/>
      <c r="F672" s="13"/>
      <c r="G672" s="13"/>
      <c r="H672" s="13"/>
      <c r="I672" s="13"/>
      <c r="J672" s="13"/>
      <c r="K672" s="13"/>
      <c r="L672" s="13"/>
      <c r="M672" s="13"/>
      <c r="N672" s="13"/>
      <c r="O672" s="13"/>
      <c r="P672" s="13"/>
      <c r="Q672" s="13"/>
      <c r="R672" s="13"/>
    </row>
    <row r="673" spans="1:18" x14ac:dyDescent="0.35">
      <c r="A673" s="13"/>
      <c r="B673" s="13"/>
      <c r="C673" s="13"/>
      <c r="D673" s="13"/>
      <c r="E673" s="13"/>
      <c r="F673" s="13"/>
      <c r="G673" s="13"/>
      <c r="H673" s="13"/>
      <c r="I673" s="13"/>
      <c r="J673" s="13"/>
      <c r="K673" s="13"/>
      <c r="L673" s="13"/>
      <c r="M673" s="13"/>
      <c r="N673" s="13"/>
      <c r="O673" s="13"/>
      <c r="P673" s="13"/>
      <c r="Q673" s="13"/>
      <c r="R673" s="13"/>
    </row>
    <row r="674" spans="1:18" x14ac:dyDescent="0.35">
      <c r="A674" s="13"/>
      <c r="B674" s="13"/>
      <c r="C674" s="13"/>
      <c r="D674" s="13"/>
      <c r="E674" s="13"/>
      <c r="F674" s="13"/>
      <c r="G674" s="13"/>
      <c r="H674" s="13"/>
      <c r="I674" s="13"/>
      <c r="J674" s="13"/>
      <c r="K674" s="13"/>
      <c r="L674" s="13"/>
      <c r="M674" s="13"/>
      <c r="N674" s="13"/>
      <c r="O674" s="13"/>
      <c r="P674" s="13"/>
      <c r="Q674" s="13"/>
      <c r="R674" s="13"/>
    </row>
    <row r="675" spans="1:18" x14ac:dyDescent="0.35">
      <c r="A675" s="13"/>
      <c r="B675" s="13"/>
      <c r="C675" s="13"/>
      <c r="D675" s="13"/>
      <c r="E675" s="13"/>
      <c r="F675" s="13"/>
      <c r="G675" s="13"/>
      <c r="H675" s="13"/>
      <c r="I675" s="13"/>
      <c r="J675" s="13"/>
      <c r="K675" s="13"/>
      <c r="L675" s="13"/>
      <c r="M675" s="13"/>
      <c r="N675" s="13"/>
      <c r="O675" s="13"/>
      <c r="P675" s="13"/>
      <c r="Q675" s="13"/>
      <c r="R675" s="13"/>
    </row>
    <row r="676" spans="1:18" x14ac:dyDescent="0.35">
      <c r="A676" s="13"/>
      <c r="B676" s="13"/>
      <c r="C676" s="13"/>
      <c r="D676" s="13"/>
      <c r="E676" s="13"/>
      <c r="F676" s="13"/>
      <c r="G676" s="13"/>
      <c r="H676" s="13"/>
      <c r="I676" s="13"/>
      <c r="J676" s="13"/>
      <c r="K676" s="13"/>
      <c r="L676" s="13"/>
      <c r="M676" s="13"/>
      <c r="N676" s="13"/>
      <c r="O676" s="13"/>
      <c r="P676" s="13"/>
      <c r="Q676" s="13"/>
      <c r="R676" s="13"/>
    </row>
    <row r="677" spans="1:18" x14ac:dyDescent="0.35">
      <c r="A677" s="13"/>
      <c r="B677" s="13"/>
      <c r="C677" s="13"/>
      <c r="D677" s="13"/>
      <c r="E677" s="13"/>
      <c r="F677" s="13"/>
      <c r="G677" s="13"/>
      <c r="H677" s="13"/>
      <c r="I677" s="13"/>
      <c r="J677" s="13"/>
      <c r="K677" s="13"/>
      <c r="L677" s="13"/>
      <c r="M677" s="13"/>
      <c r="N677" s="13"/>
      <c r="O677" s="13"/>
      <c r="P677" s="13"/>
      <c r="Q677" s="13"/>
      <c r="R677" s="13"/>
    </row>
    <row r="678" spans="1:18" x14ac:dyDescent="0.35">
      <c r="A678" s="13"/>
      <c r="B678" s="13"/>
      <c r="C678" s="13"/>
      <c r="D678" s="13"/>
      <c r="E678" s="13"/>
      <c r="F678" s="13"/>
      <c r="G678" s="13"/>
      <c r="H678" s="13"/>
      <c r="I678" s="13"/>
      <c r="J678" s="13"/>
      <c r="K678" s="13"/>
      <c r="L678" s="13"/>
      <c r="M678" s="13"/>
      <c r="N678" s="13"/>
      <c r="O678" s="13"/>
      <c r="P678" s="13"/>
      <c r="Q678" s="13"/>
      <c r="R678" s="13"/>
    </row>
    <row r="679" spans="1:18" x14ac:dyDescent="0.35">
      <c r="A679" s="13"/>
      <c r="B679" s="13"/>
      <c r="C679" s="13"/>
      <c r="D679" s="13"/>
      <c r="E679" s="13"/>
      <c r="F679" s="13"/>
      <c r="G679" s="13"/>
      <c r="H679" s="13"/>
      <c r="I679" s="13"/>
      <c r="J679" s="13"/>
      <c r="K679" s="13"/>
      <c r="L679" s="13"/>
      <c r="M679" s="13"/>
      <c r="N679" s="13"/>
      <c r="O679" s="13"/>
      <c r="P679" s="13"/>
      <c r="Q679" s="13"/>
      <c r="R679" s="13"/>
    </row>
    <row r="680" spans="1:18" x14ac:dyDescent="0.35">
      <c r="A680" s="13"/>
      <c r="B680" s="13"/>
      <c r="C680" s="13"/>
      <c r="D680" s="13"/>
      <c r="E680" s="13"/>
      <c r="F680" s="13"/>
      <c r="G680" s="13"/>
      <c r="H680" s="13"/>
      <c r="I680" s="13"/>
      <c r="J680" s="13"/>
      <c r="K680" s="13"/>
      <c r="L680" s="13"/>
      <c r="M680" s="13"/>
      <c r="N680" s="13"/>
      <c r="O680" s="13"/>
      <c r="P680" s="13"/>
      <c r="Q680" s="13"/>
      <c r="R680" s="13"/>
    </row>
    <row r="681" spans="1:18" x14ac:dyDescent="0.35">
      <c r="A681" s="13"/>
      <c r="B681" s="13"/>
      <c r="C681" s="13"/>
      <c r="D681" s="13"/>
      <c r="E681" s="13"/>
      <c r="F681" s="13"/>
      <c r="G681" s="13"/>
      <c r="H681" s="13"/>
      <c r="I681" s="13"/>
      <c r="J681" s="13"/>
      <c r="K681" s="13"/>
      <c r="L681" s="13"/>
      <c r="M681" s="13"/>
      <c r="N681" s="13"/>
      <c r="O681" s="13"/>
      <c r="P681" s="13"/>
      <c r="Q681" s="13"/>
      <c r="R681" s="13"/>
    </row>
    <row r="682" spans="1:18" x14ac:dyDescent="0.35">
      <c r="A682" s="13"/>
      <c r="B682" s="13"/>
      <c r="C682" s="13"/>
      <c r="D682" s="13"/>
      <c r="E682" s="13"/>
      <c r="F682" s="13"/>
      <c r="G682" s="13"/>
      <c r="H682" s="13"/>
      <c r="I682" s="13"/>
      <c r="J682" s="13"/>
      <c r="K682" s="13"/>
      <c r="L682" s="13"/>
      <c r="M682" s="13"/>
      <c r="N682" s="13"/>
      <c r="O682" s="13"/>
      <c r="P682" s="13"/>
      <c r="Q682" s="13"/>
      <c r="R682" s="13"/>
    </row>
    <row r="683" spans="1:18" x14ac:dyDescent="0.35">
      <c r="A683" s="13"/>
      <c r="B683" s="13"/>
      <c r="C683" s="13"/>
      <c r="D683" s="13"/>
      <c r="E683" s="13"/>
      <c r="F683" s="13"/>
      <c r="G683" s="13"/>
      <c r="H683" s="13"/>
      <c r="I683" s="13"/>
      <c r="J683" s="13"/>
      <c r="K683" s="13"/>
      <c r="L683" s="13"/>
      <c r="M683" s="13"/>
      <c r="N683" s="13"/>
      <c r="O683" s="13"/>
      <c r="P683" s="13"/>
      <c r="Q683" s="13"/>
      <c r="R683" s="13"/>
    </row>
    <row r="684" spans="1:18" x14ac:dyDescent="0.35">
      <c r="A684" s="13"/>
      <c r="B684" s="13"/>
      <c r="C684" s="13"/>
      <c r="D684" s="13"/>
      <c r="E684" s="13"/>
      <c r="F684" s="13"/>
      <c r="G684" s="13"/>
      <c r="H684" s="13"/>
      <c r="I684" s="13"/>
      <c r="J684" s="13"/>
      <c r="K684" s="13"/>
      <c r="L684" s="13"/>
      <c r="M684" s="13"/>
      <c r="N684" s="13"/>
      <c r="O684" s="13"/>
      <c r="P684" s="13"/>
      <c r="Q684" s="13"/>
      <c r="R684" s="13"/>
    </row>
    <row r="685" spans="1:18" x14ac:dyDescent="0.35">
      <c r="A685" s="13"/>
      <c r="B685" s="13"/>
      <c r="C685" s="13"/>
      <c r="D685" s="13"/>
      <c r="E685" s="13"/>
      <c r="F685" s="13"/>
      <c r="G685" s="13"/>
      <c r="H685" s="13"/>
      <c r="I685" s="13"/>
      <c r="J685" s="13"/>
      <c r="K685" s="13"/>
      <c r="L685" s="13"/>
      <c r="M685" s="13"/>
      <c r="N685" s="13"/>
      <c r="O685" s="13"/>
      <c r="P685" s="13"/>
      <c r="Q685" s="13"/>
      <c r="R685" s="13"/>
    </row>
    <row r="686" spans="1:18" x14ac:dyDescent="0.35">
      <c r="A686" s="13"/>
      <c r="B686" s="13"/>
      <c r="C686" s="13"/>
      <c r="D686" s="13"/>
      <c r="E686" s="13"/>
      <c r="F686" s="13"/>
      <c r="G686" s="13"/>
      <c r="H686" s="13"/>
      <c r="I686" s="13"/>
      <c r="J686" s="13"/>
      <c r="K686" s="13"/>
      <c r="L686" s="13"/>
      <c r="M686" s="13"/>
      <c r="N686" s="13"/>
      <c r="O686" s="13"/>
      <c r="P686" s="13"/>
      <c r="Q686" s="13"/>
      <c r="R686" s="13"/>
    </row>
    <row r="687" spans="1:18" x14ac:dyDescent="0.35">
      <c r="A687" s="13"/>
      <c r="B687" s="13"/>
      <c r="C687" s="13"/>
      <c r="D687" s="13"/>
      <c r="E687" s="13"/>
      <c r="F687" s="13"/>
      <c r="G687" s="13"/>
      <c r="H687" s="13"/>
      <c r="I687" s="13"/>
      <c r="J687" s="13"/>
      <c r="K687" s="13"/>
      <c r="L687" s="13"/>
      <c r="M687" s="13"/>
      <c r="N687" s="13"/>
      <c r="O687" s="13"/>
      <c r="P687" s="13"/>
      <c r="Q687" s="13"/>
      <c r="R687" s="13"/>
    </row>
    <row r="688" spans="1:18" x14ac:dyDescent="0.35">
      <c r="A688" s="13"/>
      <c r="B688" s="13"/>
      <c r="C688" s="13"/>
      <c r="D688" s="13"/>
      <c r="E688" s="13"/>
      <c r="F688" s="13"/>
      <c r="G688" s="13"/>
      <c r="H688" s="13"/>
      <c r="I688" s="13"/>
      <c r="J688" s="13"/>
      <c r="K688" s="13"/>
      <c r="L688" s="13"/>
      <c r="M688" s="13"/>
      <c r="N688" s="13"/>
      <c r="O688" s="13"/>
      <c r="P688" s="13"/>
      <c r="Q688" s="13"/>
      <c r="R688" s="13"/>
    </row>
    <row r="689" spans="1:18" x14ac:dyDescent="0.35">
      <c r="A689" s="13"/>
      <c r="B689" s="13"/>
      <c r="C689" s="13"/>
      <c r="D689" s="13"/>
      <c r="E689" s="13"/>
      <c r="F689" s="13"/>
      <c r="G689" s="13"/>
      <c r="H689" s="13"/>
      <c r="I689" s="13"/>
      <c r="J689" s="13"/>
      <c r="K689" s="13"/>
      <c r="L689" s="13"/>
      <c r="M689" s="13"/>
      <c r="N689" s="13"/>
      <c r="O689" s="13"/>
      <c r="P689" s="13"/>
      <c r="Q689" s="13"/>
      <c r="R689" s="13"/>
    </row>
    <row r="690" spans="1:18" x14ac:dyDescent="0.35">
      <c r="A690" s="13"/>
      <c r="B690" s="13"/>
      <c r="C690" s="13"/>
      <c r="D690" s="13"/>
      <c r="E690" s="13"/>
      <c r="F690" s="13"/>
      <c r="G690" s="13"/>
      <c r="H690" s="13"/>
      <c r="I690" s="13"/>
      <c r="J690" s="13"/>
      <c r="K690" s="13"/>
      <c r="L690" s="13"/>
      <c r="M690" s="13"/>
      <c r="N690" s="13"/>
      <c r="O690" s="13"/>
      <c r="P690" s="13"/>
      <c r="Q690" s="13"/>
      <c r="R690" s="13"/>
    </row>
    <row r="691" spans="1:18" x14ac:dyDescent="0.35">
      <c r="A691" s="13"/>
      <c r="B691" s="13"/>
      <c r="C691" s="13"/>
      <c r="D691" s="13"/>
      <c r="E691" s="13"/>
      <c r="F691" s="13"/>
      <c r="G691" s="13"/>
      <c r="H691" s="13"/>
      <c r="I691" s="13"/>
      <c r="J691" s="13"/>
      <c r="K691" s="13"/>
      <c r="L691" s="13"/>
      <c r="M691" s="13"/>
      <c r="N691" s="13"/>
      <c r="O691" s="13"/>
      <c r="P691" s="13"/>
      <c r="Q691" s="13"/>
      <c r="R691" s="13"/>
    </row>
    <row r="692" spans="1:18" x14ac:dyDescent="0.35">
      <c r="A692" s="13"/>
      <c r="B692" s="13"/>
      <c r="C692" s="13"/>
      <c r="D692" s="13"/>
      <c r="E692" s="13"/>
      <c r="F692" s="13"/>
      <c r="G692" s="13"/>
      <c r="H692" s="13"/>
      <c r="I692" s="13"/>
      <c r="J692" s="13"/>
      <c r="K692" s="13"/>
      <c r="L692" s="13"/>
      <c r="M692" s="13"/>
      <c r="N692" s="13"/>
      <c r="O692" s="13"/>
      <c r="P692" s="13"/>
      <c r="Q692" s="13"/>
      <c r="R692" s="13"/>
    </row>
    <row r="693" spans="1:18" x14ac:dyDescent="0.35">
      <c r="A693" s="13"/>
      <c r="B693" s="13"/>
      <c r="C693" s="13"/>
      <c r="D693" s="13"/>
      <c r="E693" s="13"/>
      <c r="F693" s="13"/>
      <c r="G693" s="13"/>
      <c r="H693" s="13"/>
      <c r="I693" s="13"/>
      <c r="J693" s="13"/>
      <c r="K693" s="13"/>
      <c r="L693" s="13"/>
      <c r="M693" s="13"/>
      <c r="N693" s="13"/>
      <c r="O693" s="13"/>
      <c r="P693" s="13"/>
      <c r="Q693" s="13"/>
      <c r="R693" s="13"/>
    </row>
    <row r="694" spans="1:18" x14ac:dyDescent="0.35">
      <c r="A694" s="13"/>
      <c r="B694" s="13"/>
      <c r="C694" s="13"/>
      <c r="D694" s="13"/>
      <c r="E694" s="13"/>
      <c r="F694" s="13"/>
      <c r="G694" s="13"/>
      <c r="H694" s="13"/>
      <c r="I694" s="13"/>
      <c r="J694" s="13"/>
      <c r="K694" s="13"/>
      <c r="L694" s="13"/>
      <c r="M694" s="13"/>
      <c r="N694" s="13"/>
      <c r="O694" s="13"/>
      <c r="P694" s="13"/>
      <c r="Q694" s="13"/>
      <c r="R694" s="13"/>
    </row>
    <row r="695" spans="1:18" x14ac:dyDescent="0.35">
      <c r="A695" s="13"/>
      <c r="B695" s="13"/>
      <c r="C695" s="13"/>
      <c r="D695" s="13"/>
      <c r="E695" s="13"/>
      <c r="F695" s="13"/>
      <c r="G695" s="13"/>
      <c r="H695" s="13"/>
      <c r="I695" s="13"/>
      <c r="J695" s="13"/>
      <c r="K695" s="13"/>
      <c r="L695" s="13"/>
      <c r="M695" s="13"/>
      <c r="N695" s="13"/>
      <c r="O695" s="13"/>
      <c r="P695" s="13"/>
      <c r="Q695" s="13"/>
      <c r="R695" s="13"/>
    </row>
    <row r="696" spans="1:18" x14ac:dyDescent="0.35">
      <c r="A696" s="13"/>
      <c r="B696" s="13"/>
      <c r="C696" s="13"/>
      <c r="D696" s="13"/>
      <c r="E696" s="13"/>
      <c r="F696" s="13"/>
      <c r="G696" s="13"/>
      <c r="H696" s="13"/>
      <c r="I696" s="13"/>
      <c r="J696" s="13"/>
      <c r="K696" s="13"/>
      <c r="L696" s="13"/>
      <c r="M696" s="13"/>
      <c r="N696" s="13"/>
      <c r="O696" s="13"/>
      <c r="P696" s="13"/>
      <c r="Q696" s="13"/>
      <c r="R696" s="13"/>
    </row>
    <row r="697" spans="1:18" x14ac:dyDescent="0.35">
      <c r="A697" s="13"/>
      <c r="B697" s="13"/>
      <c r="C697" s="13"/>
      <c r="D697" s="13"/>
      <c r="E697" s="13"/>
      <c r="F697" s="13"/>
      <c r="G697" s="13"/>
      <c r="H697" s="13"/>
      <c r="I697" s="13"/>
      <c r="J697" s="13"/>
      <c r="K697" s="13"/>
      <c r="L697" s="13"/>
      <c r="M697" s="13"/>
      <c r="N697" s="13"/>
      <c r="O697" s="13"/>
      <c r="P697" s="13"/>
      <c r="Q697" s="13"/>
      <c r="R697" s="13"/>
    </row>
    <row r="698" spans="1:18" x14ac:dyDescent="0.35">
      <c r="A698" s="13"/>
      <c r="B698" s="13"/>
      <c r="C698" s="13"/>
      <c r="D698" s="13"/>
      <c r="E698" s="13"/>
      <c r="F698" s="13"/>
      <c r="G698" s="13"/>
      <c r="H698" s="13"/>
      <c r="I698" s="13"/>
      <c r="J698" s="13"/>
      <c r="K698" s="13"/>
      <c r="L698" s="13"/>
      <c r="M698" s="13"/>
      <c r="N698" s="13"/>
      <c r="O698" s="13"/>
      <c r="P698" s="13"/>
      <c r="Q698" s="13"/>
      <c r="R698" s="13"/>
    </row>
    <row r="699" spans="1:18" x14ac:dyDescent="0.35">
      <c r="A699" s="13"/>
      <c r="B699" s="13"/>
      <c r="C699" s="13"/>
      <c r="D699" s="13"/>
      <c r="E699" s="13"/>
      <c r="F699" s="13"/>
      <c r="G699" s="13"/>
      <c r="H699" s="13"/>
      <c r="I699" s="13"/>
      <c r="J699" s="13"/>
      <c r="K699" s="13"/>
      <c r="L699" s="13"/>
      <c r="M699" s="13"/>
      <c r="N699" s="13"/>
      <c r="O699" s="13"/>
      <c r="P699" s="13"/>
      <c r="Q699" s="13"/>
      <c r="R699" s="13"/>
    </row>
    <row r="700" spans="1:18" x14ac:dyDescent="0.35">
      <c r="A700" s="13"/>
      <c r="B700" s="13"/>
      <c r="C700" s="13"/>
      <c r="D700" s="13"/>
      <c r="E700" s="13"/>
      <c r="F700" s="13"/>
      <c r="G700" s="13"/>
      <c r="H700" s="13"/>
      <c r="I700" s="13"/>
      <c r="J700" s="13"/>
      <c r="K700" s="13"/>
      <c r="L700" s="13"/>
      <c r="M700" s="13"/>
      <c r="N700" s="13"/>
      <c r="O700" s="13"/>
      <c r="P700" s="13"/>
      <c r="Q700" s="13"/>
      <c r="R700" s="13"/>
    </row>
    <row r="701" spans="1:18" x14ac:dyDescent="0.35">
      <c r="A701" s="13"/>
      <c r="B701" s="13"/>
      <c r="C701" s="13"/>
      <c r="D701" s="13"/>
      <c r="E701" s="13"/>
      <c r="F701" s="13"/>
      <c r="G701" s="13"/>
      <c r="H701" s="13"/>
      <c r="I701" s="13"/>
      <c r="J701" s="13"/>
      <c r="K701" s="13"/>
      <c r="L701" s="13"/>
      <c r="M701" s="13"/>
      <c r="N701" s="13"/>
      <c r="O701" s="13"/>
      <c r="P701" s="13"/>
      <c r="Q701" s="13"/>
      <c r="R701" s="13"/>
    </row>
    <row r="702" spans="1:18" x14ac:dyDescent="0.35">
      <c r="A702" s="13"/>
      <c r="B702" s="13"/>
      <c r="C702" s="13"/>
      <c r="D702" s="13"/>
      <c r="E702" s="13"/>
      <c r="F702" s="13"/>
      <c r="G702" s="13"/>
      <c r="H702" s="13"/>
      <c r="I702" s="13"/>
      <c r="J702" s="13"/>
      <c r="K702" s="13"/>
      <c r="L702" s="13"/>
      <c r="M702" s="13"/>
      <c r="N702" s="13"/>
      <c r="O702" s="13"/>
      <c r="P702" s="13"/>
      <c r="Q702" s="13"/>
      <c r="R702" s="13"/>
    </row>
    <row r="703" spans="1:18" x14ac:dyDescent="0.35">
      <c r="A703" s="13"/>
      <c r="B703" s="13"/>
      <c r="C703" s="13"/>
      <c r="D703" s="13"/>
      <c r="E703" s="13"/>
      <c r="F703" s="13"/>
      <c r="G703" s="13"/>
      <c r="H703" s="13"/>
      <c r="I703" s="13"/>
      <c r="J703" s="13"/>
      <c r="K703" s="13"/>
      <c r="L703" s="13"/>
      <c r="M703" s="13"/>
      <c r="N703" s="13"/>
      <c r="O703" s="13"/>
      <c r="P703" s="13"/>
      <c r="Q703" s="13"/>
      <c r="R703" s="13"/>
    </row>
    <row r="704" spans="1:18" x14ac:dyDescent="0.35">
      <c r="A704" s="13"/>
      <c r="B704" s="13"/>
      <c r="C704" s="13"/>
      <c r="D704" s="13"/>
      <c r="E704" s="13"/>
      <c r="F704" s="13"/>
      <c r="G704" s="13"/>
      <c r="H704" s="13"/>
      <c r="I704" s="13"/>
      <c r="J704" s="13"/>
      <c r="K704" s="13"/>
      <c r="L704" s="13"/>
      <c r="M704" s="13"/>
      <c r="N704" s="13"/>
      <c r="O704" s="13"/>
      <c r="P704" s="13"/>
      <c r="Q704" s="13"/>
      <c r="R704" s="13"/>
    </row>
    <row r="705" spans="1:18" x14ac:dyDescent="0.35">
      <c r="A705" s="13"/>
      <c r="B705" s="13"/>
      <c r="C705" s="13"/>
      <c r="D705" s="13"/>
      <c r="E705" s="13"/>
      <c r="F705" s="13"/>
      <c r="G705" s="13"/>
      <c r="H705" s="13"/>
      <c r="I705" s="13"/>
      <c r="J705" s="13"/>
      <c r="K705" s="13"/>
      <c r="L705" s="13"/>
      <c r="M705" s="13"/>
      <c r="N705" s="13"/>
      <c r="O705" s="13"/>
      <c r="P705" s="13"/>
      <c r="Q705" s="13"/>
      <c r="R705" s="13"/>
    </row>
    <row r="706" spans="1:18" x14ac:dyDescent="0.35">
      <c r="A706" s="13"/>
      <c r="B706" s="13"/>
      <c r="C706" s="13"/>
      <c r="D706" s="13"/>
      <c r="E706" s="13"/>
      <c r="F706" s="13"/>
      <c r="G706" s="13"/>
      <c r="H706" s="13"/>
      <c r="I706" s="13"/>
      <c r="J706" s="13"/>
      <c r="K706" s="13"/>
      <c r="L706" s="13"/>
      <c r="M706" s="13"/>
      <c r="N706" s="13"/>
      <c r="O706" s="13"/>
      <c r="P706" s="13"/>
      <c r="Q706" s="13"/>
      <c r="R706" s="13"/>
    </row>
    <row r="707" spans="1:18" x14ac:dyDescent="0.35">
      <c r="A707" s="13"/>
      <c r="B707" s="13"/>
      <c r="C707" s="13"/>
      <c r="D707" s="13"/>
      <c r="E707" s="13"/>
      <c r="F707" s="13"/>
      <c r="G707" s="13"/>
      <c r="H707" s="13"/>
      <c r="I707" s="13"/>
      <c r="J707" s="13"/>
      <c r="K707" s="13"/>
      <c r="L707" s="13"/>
      <c r="M707" s="13"/>
      <c r="N707" s="13"/>
      <c r="O707" s="13"/>
      <c r="P707" s="13"/>
      <c r="Q707" s="13"/>
      <c r="R707" s="13"/>
    </row>
    <row r="708" spans="1:18" x14ac:dyDescent="0.35">
      <c r="A708" s="13"/>
      <c r="B708" s="13"/>
      <c r="C708" s="13"/>
      <c r="D708" s="13"/>
      <c r="E708" s="13"/>
      <c r="F708" s="13"/>
      <c r="G708" s="13"/>
      <c r="H708" s="13"/>
      <c r="I708" s="13"/>
      <c r="J708" s="13"/>
      <c r="K708" s="13"/>
      <c r="L708" s="13"/>
      <c r="M708" s="13"/>
      <c r="N708" s="13"/>
      <c r="O708" s="13"/>
      <c r="P708" s="13"/>
      <c r="Q708" s="13"/>
      <c r="R708" s="13"/>
    </row>
    <row r="709" spans="1:18" x14ac:dyDescent="0.35">
      <c r="A709" s="13"/>
      <c r="B709" s="13"/>
      <c r="C709" s="13"/>
      <c r="D709" s="13"/>
      <c r="E709" s="13"/>
      <c r="F709" s="13"/>
      <c r="G709" s="13"/>
      <c r="H709" s="13"/>
      <c r="I709" s="13"/>
      <c r="J709" s="13"/>
      <c r="K709" s="13"/>
      <c r="L709" s="13"/>
      <c r="M709" s="13"/>
      <c r="N709" s="13"/>
      <c r="O709" s="13"/>
      <c r="P709" s="13"/>
      <c r="Q709" s="13"/>
      <c r="R709" s="13"/>
    </row>
    <row r="710" spans="1:18" x14ac:dyDescent="0.35">
      <c r="A710" s="13"/>
      <c r="B710" s="13"/>
      <c r="C710" s="13"/>
      <c r="D710" s="13"/>
      <c r="E710" s="13"/>
      <c r="F710" s="13"/>
      <c r="G710" s="13"/>
      <c r="H710" s="13"/>
      <c r="I710" s="13"/>
      <c r="J710" s="13"/>
      <c r="K710" s="13"/>
      <c r="L710" s="13"/>
      <c r="M710" s="13"/>
      <c r="N710" s="13"/>
      <c r="O710" s="13"/>
      <c r="P710" s="13"/>
      <c r="Q710" s="13"/>
      <c r="R710" s="13"/>
    </row>
    <row r="711" spans="1:18" x14ac:dyDescent="0.35">
      <c r="A711" s="13"/>
      <c r="B711" s="13"/>
      <c r="C711" s="13"/>
      <c r="D711" s="13"/>
      <c r="E711" s="13"/>
      <c r="F711" s="13"/>
      <c r="G711" s="13"/>
      <c r="H711" s="13"/>
      <c r="I711" s="13"/>
      <c r="J711" s="13"/>
      <c r="K711" s="13"/>
      <c r="L711" s="13"/>
      <c r="M711" s="13"/>
      <c r="N711" s="13"/>
      <c r="O711" s="13"/>
      <c r="P711" s="13"/>
      <c r="Q711" s="13"/>
      <c r="R711" s="13"/>
    </row>
    <row r="712" spans="1:18" x14ac:dyDescent="0.35">
      <c r="A712" s="13"/>
      <c r="B712" s="13"/>
      <c r="C712" s="13"/>
      <c r="D712" s="13"/>
      <c r="E712" s="13"/>
      <c r="F712" s="13"/>
      <c r="G712" s="13"/>
      <c r="H712" s="13"/>
      <c r="I712" s="13"/>
      <c r="J712" s="13"/>
      <c r="K712" s="13"/>
      <c r="L712" s="13"/>
      <c r="M712" s="13"/>
      <c r="N712" s="13"/>
      <c r="O712" s="13"/>
      <c r="P712" s="13"/>
      <c r="Q712" s="13"/>
      <c r="R712" s="13"/>
    </row>
    <row r="713" spans="1:18" x14ac:dyDescent="0.35">
      <c r="A713" s="13"/>
      <c r="B713" s="13"/>
      <c r="C713" s="13"/>
      <c r="D713" s="13"/>
      <c r="E713" s="13"/>
      <c r="F713" s="13"/>
      <c r="G713" s="13"/>
      <c r="H713" s="13"/>
      <c r="I713" s="13"/>
      <c r="J713" s="13"/>
      <c r="K713" s="13"/>
      <c r="L713" s="13"/>
      <c r="M713" s="13"/>
      <c r="N713" s="13"/>
      <c r="O713" s="13"/>
      <c r="P713" s="13"/>
      <c r="Q713" s="13"/>
      <c r="R713" s="13"/>
    </row>
    <row r="714" spans="1:18" x14ac:dyDescent="0.35">
      <c r="A714" s="13"/>
      <c r="B714" s="13"/>
      <c r="C714" s="13"/>
      <c r="D714" s="13"/>
      <c r="E714" s="13"/>
      <c r="F714" s="13"/>
      <c r="G714" s="13"/>
      <c r="H714" s="13"/>
      <c r="I714" s="13"/>
      <c r="J714" s="13"/>
      <c r="K714" s="13"/>
      <c r="L714" s="13"/>
      <c r="M714" s="13"/>
      <c r="N714" s="13"/>
      <c r="O714" s="13"/>
      <c r="P714" s="13"/>
      <c r="Q714" s="13"/>
      <c r="R714" s="13"/>
    </row>
    <row r="715" spans="1:18" x14ac:dyDescent="0.35">
      <c r="A715" s="13"/>
      <c r="B715" s="13"/>
      <c r="C715" s="13"/>
      <c r="D715" s="13"/>
      <c r="E715" s="13"/>
      <c r="F715" s="13"/>
      <c r="G715" s="13"/>
      <c r="H715" s="13"/>
      <c r="I715" s="13"/>
      <c r="J715" s="13"/>
      <c r="K715" s="13"/>
      <c r="L715" s="13"/>
      <c r="M715" s="13"/>
      <c r="N715" s="13"/>
      <c r="O715" s="13"/>
      <c r="P715" s="13"/>
      <c r="Q715" s="13"/>
      <c r="R715" s="13"/>
    </row>
    <row r="716" spans="1:18" x14ac:dyDescent="0.35">
      <c r="A716" s="13"/>
      <c r="B716" s="13"/>
      <c r="C716" s="13"/>
      <c r="D716" s="13"/>
      <c r="E716" s="13"/>
      <c r="F716" s="13"/>
      <c r="G716" s="13"/>
      <c r="H716" s="13"/>
      <c r="I716" s="13"/>
      <c r="J716" s="13"/>
      <c r="K716" s="13"/>
      <c r="L716" s="13"/>
      <c r="M716" s="13"/>
      <c r="N716" s="13"/>
      <c r="O716" s="13"/>
      <c r="P716" s="13"/>
      <c r="Q716" s="13"/>
      <c r="R716" s="13"/>
    </row>
    <row r="717" spans="1:18" x14ac:dyDescent="0.35">
      <c r="A717" s="13"/>
      <c r="B717" s="13"/>
      <c r="C717" s="13"/>
      <c r="D717" s="13"/>
      <c r="E717" s="13"/>
      <c r="F717" s="13"/>
      <c r="G717" s="13"/>
      <c r="H717" s="13"/>
      <c r="I717" s="13"/>
      <c r="J717" s="13"/>
      <c r="K717" s="13"/>
      <c r="L717" s="13"/>
      <c r="M717" s="13"/>
      <c r="N717" s="13"/>
      <c r="O717" s="13"/>
      <c r="P717" s="13"/>
      <c r="Q717" s="13"/>
      <c r="R717" s="13"/>
    </row>
    <row r="718" spans="1:18" x14ac:dyDescent="0.35">
      <c r="A718" s="13"/>
      <c r="B718" s="13"/>
      <c r="C718" s="13"/>
      <c r="D718" s="13"/>
      <c r="E718" s="13"/>
      <c r="F718" s="13"/>
      <c r="G718" s="13"/>
      <c r="H718" s="13"/>
      <c r="I718" s="13"/>
      <c r="J718" s="13"/>
      <c r="K718" s="13"/>
      <c r="L718" s="13"/>
      <c r="M718" s="13"/>
      <c r="N718" s="13"/>
      <c r="O718" s="13"/>
      <c r="P718" s="13"/>
      <c r="Q718" s="13"/>
      <c r="R718" s="13"/>
    </row>
    <row r="719" spans="1:18" x14ac:dyDescent="0.35">
      <c r="A719" s="13"/>
      <c r="B719" s="13"/>
      <c r="C719" s="13"/>
      <c r="D719" s="13"/>
      <c r="E719" s="13"/>
      <c r="F719" s="13"/>
      <c r="G719" s="13"/>
      <c r="H719" s="13"/>
      <c r="I719" s="13"/>
      <c r="J719" s="13"/>
      <c r="K719" s="13"/>
      <c r="L719" s="13"/>
      <c r="M719" s="13"/>
      <c r="N719" s="13"/>
      <c r="O719" s="13"/>
      <c r="P719" s="13"/>
      <c r="Q719" s="13"/>
      <c r="R719" s="13"/>
    </row>
    <row r="720" spans="1:18" x14ac:dyDescent="0.35">
      <c r="A720" s="13"/>
      <c r="B720" s="13"/>
      <c r="C720" s="13"/>
      <c r="D720" s="13"/>
      <c r="E720" s="13"/>
      <c r="F720" s="13"/>
      <c r="G720" s="13"/>
      <c r="H720" s="13"/>
      <c r="I720" s="13"/>
      <c r="J720" s="13"/>
      <c r="K720" s="13"/>
      <c r="L720" s="13"/>
      <c r="M720" s="13"/>
      <c r="N720" s="13"/>
      <c r="O720" s="13"/>
      <c r="P720" s="13"/>
      <c r="Q720" s="13"/>
      <c r="R720" s="13"/>
    </row>
    <row r="721" spans="1:18" x14ac:dyDescent="0.35">
      <c r="A721" s="13"/>
      <c r="B721" s="13"/>
      <c r="C721" s="13"/>
      <c r="D721" s="13"/>
      <c r="E721" s="13"/>
      <c r="F721" s="13"/>
      <c r="G721" s="13"/>
      <c r="H721" s="13"/>
      <c r="I721" s="13"/>
      <c r="J721" s="13"/>
      <c r="K721" s="13"/>
      <c r="L721" s="13"/>
      <c r="M721" s="13"/>
      <c r="N721" s="13"/>
      <c r="O721" s="13"/>
      <c r="P721" s="13"/>
      <c r="Q721" s="13"/>
      <c r="R721" s="13"/>
    </row>
    <row r="722" spans="1:18" x14ac:dyDescent="0.35">
      <c r="A722" s="13"/>
      <c r="B722" s="13"/>
      <c r="C722" s="13"/>
      <c r="D722" s="13"/>
      <c r="E722" s="13"/>
      <c r="F722" s="13"/>
      <c r="G722" s="13"/>
      <c r="H722" s="13"/>
      <c r="I722" s="13"/>
      <c r="J722" s="13"/>
      <c r="K722" s="13"/>
      <c r="L722" s="13"/>
      <c r="M722" s="13"/>
      <c r="N722" s="13"/>
      <c r="O722" s="13"/>
      <c r="P722" s="13"/>
      <c r="Q722" s="13"/>
      <c r="R722" s="13"/>
    </row>
    <row r="723" spans="1:18" x14ac:dyDescent="0.35">
      <c r="A723" s="13"/>
      <c r="B723" s="13"/>
      <c r="C723" s="13"/>
      <c r="D723" s="13"/>
      <c r="E723" s="13"/>
      <c r="F723" s="13"/>
      <c r="G723" s="13"/>
      <c r="H723" s="13"/>
      <c r="I723" s="13"/>
      <c r="J723" s="13"/>
      <c r="K723" s="13"/>
      <c r="L723" s="13"/>
      <c r="M723" s="13"/>
      <c r="N723" s="13"/>
      <c r="O723" s="13"/>
      <c r="P723" s="13"/>
      <c r="Q723" s="13"/>
      <c r="R723" s="13"/>
    </row>
    <row r="724" spans="1:18" x14ac:dyDescent="0.35">
      <c r="A724" s="13"/>
      <c r="B724" s="13"/>
      <c r="C724" s="13"/>
      <c r="D724" s="13"/>
      <c r="E724" s="13"/>
      <c r="F724" s="13"/>
      <c r="G724" s="13"/>
      <c r="H724" s="13"/>
      <c r="I724" s="13"/>
      <c r="J724" s="13"/>
      <c r="K724" s="13"/>
      <c r="L724" s="13"/>
      <c r="M724" s="13"/>
      <c r="N724" s="13"/>
      <c r="O724" s="13"/>
      <c r="P724" s="13"/>
      <c r="Q724" s="13"/>
      <c r="R724" s="13"/>
    </row>
    <row r="725" spans="1:18" x14ac:dyDescent="0.35">
      <c r="A725" s="13"/>
      <c r="B725" s="13"/>
      <c r="C725" s="13"/>
      <c r="D725" s="13"/>
      <c r="E725" s="13"/>
      <c r="F725" s="13"/>
      <c r="G725" s="13"/>
      <c r="H725" s="13"/>
      <c r="I725" s="13"/>
      <c r="J725" s="13"/>
      <c r="K725" s="13"/>
      <c r="L725" s="13"/>
      <c r="M725" s="13"/>
      <c r="N725" s="13"/>
      <c r="O725" s="13"/>
      <c r="P725" s="13"/>
      <c r="Q725" s="13"/>
      <c r="R725" s="13"/>
    </row>
    <row r="726" spans="1:18" x14ac:dyDescent="0.35">
      <c r="A726" s="13"/>
      <c r="B726" s="13"/>
      <c r="C726" s="13"/>
      <c r="D726" s="13"/>
      <c r="E726" s="13"/>
      <c r="F726" s="13"/>
      <c r="G726" s="13"/>
      <c r="H726" s="13"/>
      <c r="I726" s="13"/>
      <c r="J726" s="13"/>
      <c r="K726" s="13"/>
      <c r="L726" s="13"/>
      <c r="M726" s="13"/>
      <c r="N726" s="13"/>
      <c r="O726" s="13"/>
      <c r="P726" s="13"/>
      <c r="Q726" s="13"/>
      <c r="R726" s="13"/>
    </row>
    <row r="727" spans="1:18" x14ac:dyDescent="0.35">
      <c r="A727" s="13"/>
      <c r="B727" s="13"/>
      <c r="C727" s="13"/>
      <c r="D727" s="13"/>
      <c r="E727" s="13"/>
      <c r="F727" s="13"/>
      <c r="G727" s="13"/>
      <c r="H727" s="13"/>
      <c r="I727" s="13"/>
      <c r="J727" s="13"/>
      <c r="K727" s="13"/>
      <c r="L727" s="13"/>
      <c r="M727" s="13"/>
      <c r="N727" s="13"/>
      <c r="O727" s="13"/>
      <c r="P727" s="13"/>
      <c r="Q727" s="13"/>
      <c r="R727" s="13"/>
    </row>
    <row r="728" spans="1:18" x14ac:dyDescent="0.35">
      <c r="A728" s="13"/>
      <c r="B728" s="13"/>
      <c r="C728" s="13"/>
      <c r="D728" s="13"/>
      <c r="E728" s="13"/>
      <c r="F728" s="13"/>
      <c r="G728" s="13"/>
      <c r="H728" s="13"/>
      <c r="I728" s="13"/>
      <c r="J728" s="13"/>
      <c r="K728" s="13"/>
      <c r="L728" s="13"/>
      <c r="M728" s="13"/>
      <c r="N728" s="13"/>
      <c r="O728" s="13"/>
      <c r="P728" s="13"/>
      <c r="Q728" s="13"/>
      <c r="R728" s="13"/>
    </row>
    <row r="729" spans="1:18" x14ac:dyDescent="0.35">
      <c r="A729" s="13"/>
      <c r="B729" s="13"/>
      <c r="C729" s="13"/>
      <c r="D729" s="13"/>
      <c r="E729" s="13"/>
      <c r="F729" s="13"/>
      <c r="G729" s="13"/>
      <c r="H729" s="13"/>
      <c r="I729" s="13"/>
      <c r="J729" s="13"/>
      <c r="K729" s="13"/>
      <c r="L729" s="13"/>
      <c r="M729" s="13"/>
      <c r="N729" s="13"/>
      <c r="O729" s="13"/>
      <c r="P729" s="13"/>
      <c r="Q729" s="13"/>
      <c r="R729" s="13"/>
    </row>
    <row r="730" spans="1:18" x14ac:dyDescent="0.35">
      <c r="A730" s="13"/>
      <c r="B730" s="13"/>
      <c r="C730" s="13"/>
      <c r="D730" s="13"/>
      <c r="E730" s="13"/>
      <c r="F730" s="13"/>
      <c r="G730" s="13"/>
      <c r="H730" s="13"/>
      <c r="I730" s="13"/>
      <c r="J730" s="13"/>
      <c r="K730" s="13"/>
      <c r="L730" s="13"/>
      <c r="M730" s="13"/>
      <c r="N730" s="13"/>
      <c r="O730" s="13"/>
      <c r="P730" s="13"/>
      <c r="Q730" s="13"/>
      <c r="R730" s="13"/>
    </row>
    <row r="731" spans="1:18" x14ac:dyDescent="0.35">
      <c r="A731" s="13"/>
      <c r="B731" s="13"/>
      <c r="C731" s="13"/>
      <c r="D731" s="13"/>
      <c r="E731" s="13"/>
      <c r="F731" s="13"/>
      <c r="G731" s="13"/>
      <c r="H731" s="13"/>
      <c r="I731" s="13"/>
      <c r="J731" s="13"/>
      <c r="K731" s="13"/>
      <c r="L731" s="13"/>
      <c r="M731" s="13"/>
      <c r="N731" s="13"/>
      <c r="O731" s="13"/>
      <c r="P731" s="13"/>
      <c r="Q731" s="13"/>
      <c r="R731" s="13"/>
    </row>
    <row r="732" spans="1:18" x14ac:dyDescent="0.35">
      <c r="A732" s="13"/>
      <c r="B732" s="13"/>
      <c r="C732" s="13"/>
      <c r="D732" s="13"/>
      <c r="E732" s="13"/>
      <c r="F732" s="13"/>
      <c r="G732" s="13"/>
      <c r="H732" s="13"/>
      <c r="I732" s="13"/>
      <c r="J732" s="13"/>
      <c r="K732" s="13"/>
      <c r="L732" s="13"/>
      <c r="M732" s="13"/>
      <c r="N732" s="13"/>
      <c r="O732" s="13"/>
      <c r="P732" s="13"/>
      <c r="Q732" s="13"/>
      <c r="R732" s="13"/>
    </row>
    <row r="733" spans="1:18" x14ac:dyDescent="0.35">
      <c r="A733" s="13"/>
      <c r="B733" s="13"/>
      <c r="C733" s="13"/>
      <c r="D733" s="13"/>
      <c r="E733" s="13"/>
      <c r="F733" s="13"/>
      <c r="G733" s="13"/>
      <c r="H733" s="13"/>
      <c r="I733" s="13"/>
      <c r="J733" s="13"/>
      <c r="K733" s="13"/>
      <c r="L733" s="13"/>
      <c r="M733" s="13"/>
      <c r="N733" s="13"/>
      <c r="O733" s="13"/>
      <c r="P733" s="13"/>
      <c r="Q733" s="13"/>
      <c r="R733" s="13"/>
    </row>
    <row r="734" spans="1:18" x14ac:dyDescent="0.35">
      <c r="A734" s="13"/>
      <c r="B734" s="13"/>
      <c r="C734" s="13"/>
      <c r="D734" s="13"/>
      <c r="E734" s="13"/>
      <c r="F734" s="13"/>
      <c r="G734" s="13"/>
      <c r="H734" s="13"/>
      <c r="I734" s="13"/>
      <c r="J734" s="13"/>
      <c r="K734" s="13"/>
      <c r="L734" s="13"/>
      <c r="M734" s="13"/>
      <c r="N734" s="13"/>
      <c r="O734" s="13"/>
      <c r="P734" s="13"/>
      <c r="Q734" s="13"/>
      <c r="R734" s="13"/>
    </row>
    <row r="735" spans="1:18" x14ac:dyDescent="0.35">
      <c r="A735" s="13"/>
      <c r="B735" s="13"/>
      <c r="C735" s="13"/>
      <c r="D735" s="13"/>
      <c r="E735" s="13"/>
      <c r="F735" s="13"/>
      <c r="G735" s="13"/>
      <c r="H735" s="13"/>
      <c r="I735" s="13"/>
      <c r="J735" s="13"/>
      <c r="K735" s="13"/>
      <c r="L735" s="13"/>
      <c r="M735" s="13"/>
      <c r="N735" s="13"/>
      <c r="O735" s="13"/>
      <c r="P735" s="13"/>
      <c r="Q735" s="13"/>
      <c r="R735" s="13"/>
    </row>
    <row r="736" spans="1:18" x14ac:dyDescent="0.35">
      <c r="A736" s="13"/>
      <c r="B736" s="13"/>
      <c r="C736" s="13"/>
      <c r="D736" s="13"/>
      <c r="E736" s="13"/>
      <c r="F736" s="13"/>
      <c r="G736" s="13"/>
      <c r="H736" s="13"/>
      <c r="I736" s="13"/>
      <c r="J736" s="13"/>
      <c r="K736" s="13"/>
      <c r="L736" s="13"/>
      <c r="M736" s="13"/>
      <c r="N736" s="13"/>
      <c r="O736" s="13"/>
      <c r="P736" s="13"/>
      <c r="Q736" s="13"/>
      <c r="R736" s="13"/>
    </row>
    <row r="737" spans="1:18" x14ac:dyDescent="0.35">
      <c r="A737" s="13"/>
      <c r="B737" s="13"/>
      <c r="C737" s="13"/>
      <c r="D737" s="13"/>
      <c r="E737" s="13"/>
      <c r="F737" s="13"/>
      <c r="G737" s="13"/>
      <c r="H737" s="13"/>
      <c r="I737" s="13"/>
      <c r="J737" s="13"/>
      <c r="K737" s="13"/>
      <c r="L737" s="13"/>
      <c r="M737" s="13"/>
      <c r="N737" s="13"/>
      <c r="O737" s="13"/>
      <c r="P737" s="13"/>
      <c r="Q737" s="13"/>
      <c r="R737" s="13"/>
    </row>
    <row r="738" spans="1:18" x14ac:dyDescent="0.35">
      <c r="A738" s="13"/>
      <c r="B738" s="13"/>
      <c r="C738" s="13"/>
      <c r="D738" s="13"/>
      <c r="E738" s="13"/>
      <c r="F738" s="13"/>
      <c r="G738" s="13"/>
      <c r="H738" s="13"/>
      <c r="I738" s="13"/>
      <c r="J738" s="13"/>
      <c r="K738" s="13"/>
      <c r="L738" s="13"/>
      <c r="M738" s="13"/>
      <c r="N738" s="13"/>
      <c r="O738" s="13"/>
      <c r="P738" s="13"/>
      <c r="Q738" s="13"/>
      <c r="R738" s="13"/>
    </row>
    <row r="739" spans="1:18" x14ac:dyDescent="0.35">
      <c r="A739" s="13"/>
      <c r="B739" s="13"/>
      <c r="C739" s="13"/>
      <c r="D739" s="13"/>
      <c r="E739" s="13"/>
      <c r="F739" s="13"/>
      <c r="G739" s="13"/>
      <c r="H739" s="13"/>
      <c r="I739" s="13"/>
      <c r="J739" s="13"/>
      <c r="K739" s="13"/>
      <c r="L739" s="13"/>
      <c r="M739" s="13"/>
      <c r="N739" s="13"/>
      <c r="O739" s="13"/>
      <c r="P739" s="13"/>
      <c r="Q739" s="13"/>
      <c r="R739" s="13"/>
    </row>
    <row r="740" spans="1:18" x14ac:dyDescent="0.35">
      <c r="A740" s="13"/>
      <c r="B740" s="13"/>
      <c r="C740" s="13"/>
      <c r="D740" s="13"/>
      <c r="E740" s="13"/>
      <c r="F740" s="13"/>
      <c r="G740" s="13"/>
      <c r="H740" s="13"/>
      <c r="I740" s="13"/>
      <c r="J740" s="13"/>
      <c r="K740" s="13"/>
      <c r="L740" s="13"/>
      <c r="M740" s="13"/>
      <c r="N740" s="13"/>
      <c r="O740" s="13"/>
      <c r="P740" s="13"/>
      <c r="Q740" s="13"/>
      <c r="R740" s="13"/>
    </row>
    <row r="741" spans="1:18" x14ac:dyDescent="0.35">
      <c r="A741" s="13"/>
      <c r="B741" s="13"/>
      <c r="C741" s="13"/>
      <c r="D741" s="13"/>
      <c r="E741" s="13"/>
      <c r="F741" s="13"/>
      <c r="G741" s="13"/>
      <c r="H741" s="13"/>
      <c r="I741" s="13"/>
      <c r="J741" s="13"/>
      <c r="K741" s="13"/>
      <c r="L741" s="13"/>
      <c r="M741" s="13"/>
      <c r="N741" s="13"/>
      <c r="O741" s="13"/>
      <c r="P741" s="13"/>
      <c r="Q741" s="13"/>
      <c r="R741" s="13"/>
    </row>
    <row r="742" spans="1:18" x14ac:dyDescent="0.35">
      <c r="A742" s="13"/>
      <c r="B742" s="13"/>
      <c r="C742" s="13"/>
      <c r="D742" s="13"/>
      <c r="E742" s="13"/>
      <c r="F742" s="13"/>
      <c r="G742" s="13"/>
      <c r="H742" s="13"/>
      <c r="I742" s="13"/>
      <c r="J742" s="13"/>
      <c r="K742" s="13"/>
      <c r="L742" s="13"/>
      <c r="M742" s="13"/>
      <c r="N742" s="13"/>
      <c r="O742" s="13"/>
      <c r="P742" s="13"/>
      <c r="Q742" s="13"/>
      <c r="R742" s="13"/>
    </row>
    <row r="743" spans="1:18" x14ac:dyDescent="0.35">
      <c r="A743" s="13"/>
      <c r="B743" s="13"/>
      <c r="C743" s="13"/>
      <c r="D743" s="13"/>
      <c r="E743" s="13"/>
      <c r="F743" s="13"/>
      <c r="G743" s="13"/>
      <c r="H743" s="13"/>
      <c r="I743" s="13"/>
      <c r="J743" s="13"/>
      <c r="K743" s="13"/>
      <c r="L743" s="13"/>
      <c r="M743" s="13"/>
      <c r="N743" s="13"/>
      <c r="O743" s="13"/>
      <c r="P743" s="13"/>
      <c r="Q743" s="13"/>
      <c r="R743" s="13"/>
    </row>
    <row r="744" spans="1:18" x14ac:dyDescent="0.35">
      <c r="A744" s="13"/>
      <c r="B744" s="13"/>
      <c r="C744" s="13"/>
      <c r="D744" s="13"/>
      <c r="E744" s="13"/>
      <c r="F744" s="13"/>
      <c r="G744" s="13"/>
      <c r="H744" s="13"/>
      <c r="I744" s="13"/>
      <c r="J744" s="13"/>
      <c r="K744" s="13"/>
      <c r="L744" s="13"/>
      <c r="M744" s="13"/>
      <c r="N744" s="13"/>
      <c r="O744" s="13"/>
      <c r="P744" s="13"/>
      <c r="Q744" s="13"/>
      <c r="R744" s="13"/>
    </row>
    <row r="745" spans="1:18" x14ac:dyDescent="0.35">
      <c r="A745" s="13"/>
      <c r="B745" s="13"/>
      <c r="C745" s="13"/>
      <c r="D745" s="13"/>
      <c r="E745" s="13"/>
      <c r="F745" s="13"/>
      <c r="G745" s="13"/>
      <c r="H745" s="13"/>
      <c r="I745" s="13"/>
      <c r="J745" s="13"/>
      <c r="K745" s="13"/>
      <c r="L745" s="13"/>
      <c r="M745" s="13"/>
      <c r="N745" s="13"/>
      <c r="O745" s="13"/>
      <c r="P745" s="13"/>
      <c r="Q745" s="13"/>
      <c r="R745" s="13"/>
    </row>
  </sheetData>
  <mergeCells count="9">
    <mergeCell ref="A10:A11"/>
    <mergeCell ref="B16:R16"/>
    <mergeCell ref="B31:R31"/>
    <mergeCell ref="A40:A41"/>
    <mergeCell ref="A19:A24"/>
    <mergeCell ref="A25:A26"/>
    <mergeCell ref="A34:A39"/>
    <mergeCell ref="B40:B41"/>
    <mergeCell ref="B25:B26"/>
  </mergeCells>
  <phoneticPr fontId="7" type="noConversion"/>
  <conditionalFormatting sqref="I5:M13">
    <cfRule type="containsText" dxfId="7" priority="28" operator="containsText" text="Yes">
      <formula>NOT(ISERROR(SEARCH("Yes",I5)))</formula>
    </cfRule>
    <cfRule type="containsText" dxfId="6" priority="30" operator="containsText" text="No">
      <formula>NOT(ISERROR(SEARCH("No",I5)))</formula>
    </cfRule>
  </conditionalFormatting>
  <conditionalFormatting sqref="I18:M28">
    <cfRule type="containsText" dxfId="5" priority="5" operator="containsText" text="Yes">
      <formula>NOT(ISERROR(SEARCH("Yes",I18)))</formula>
    </cfRule>
    <cfRule type="containsText" dxfId="4" priority="6" operator="containsText" text="No">
      <formula>NOT(ISERROR(SEARCH("No",I18)))</formula>
    </cfRule>
  </conditionalFormatting>
  <conditionalFormatting sqref="I33:M43">
    <cfRule type="containsText" dxfId="3" priority="1" operator="containsText" text="Yes">
      <formula>NOT(ISERROR(SEARCH("Yes",I33)))</formula>
    </cfRule>
    <cfRule type="containsText" dxfId="2" priority="2" operator="containsText" text="No">
      <formula>NOT(ISERROR(SEARCH("No",I33)))</formula>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cellIs" priority="37" operator="lessThanOrEqual" id="{AAC1F0A1-9478-46A7-9417-02FB0121F678}">
            <xm:f>'SCENARIO ASSUMPTIONS'!$D$5</xm:f>
            <x14:dxf>
              <fill>
                <patternFill>
                  <bgColor rgb="FF00B050"/>
                </patternFill>
              </fill>
            </x14:dxf>
          </x14:cfRule>
          <x14:cfRule type="cellIs" priority="38" operator="greaterThan" id="{423A394B-8360-4F75-BFD3-933B30AE4E69}">
            <xm:f>'SCENARIO ASSUMPTIONS'!$D$5</xm:f>
            <x14:dxf>
              <fill>
                <patternFill>
                  <bgColor rgb="FFFF5050"/>
                </patternFill>
              </fill>
            </x14:dxf>
          </x14:cfRule>
          <xm:sqref>H13</xm:sqref>
        </x14:conditionalFormatting>
        <x14:conditionalFormatting xmlns:xm="http://schemas.microsoft.com/office/excel/2006/main">
          <x14:cfRule type="cellIs" priority="7" operator="lessThanOrEqual" id="{4363F881-C10E-42DA-A315-63C1BBC279DE}">
            <xm:f>'SCENARIO ASSUMPTIONS'!$D$5</xm:f>
            <x14:dxf>
              <fill>
                <patternFill>
                  <bgColor rgb="FF00B050"/>
                </patternFill>
              </fill>
            </x14:dxf>
          </x14:cfRule>
          <x14:cfRule type="cellIs" priority="8" operator="greaterThan" id="{7CB98960-D146-4653-BA28-5B1799A3F9A6}">
            <xm:f>'SCENARIO ASSUMPTIONS'!$D$5</xm:f>
            <x14:dxf>
              <fill>
                <patternFill>
                  <bgColor rgb="FFFF5050"/>
                </patternFill>
              </fill>
            </x14:dxf>
          </x14:cfRule>
          <xm:sqref>H28</xm:sqref>
        </x14:conditionalFormatting>
        <x14:conditionalFormatting xmlns:xm="http://schemas.microsoft.com/office/excel/2006/main">
          <x14:cfRule type="cellIs" priority="3" operator="lessThanOrEqual" id="{7D717F37-4BE6-4D10-9BB7-45DD77FF3AB8}">
            <xm:f>'SCENARIO ASSUMPTIONS'!$D$5</xm:f>
            <x14:dxf>
              <fill>
                <patternFill>
                  <bgColor rgb="FF00B050"/>
                </patternFill>
              </fill>
            </x14:dxf>
          </x14:cfRule>
          <x14:cfRule type="cellIs" priority="4" operator="greaterThan" id="{2F332668-DEE2-451D-A410-BDC7641EDAEA}">
            <xm:f>'SCENARIO ASSUMPTIONS'!$D$5</xm:f>
            <x14:dxf>
              <fill>
                <patternFill>
                  <bgColor rgb="FFFF5050"/>
                </patternFill>
              </fill>
            </x14:dxf>
          </x14:cfRule>
          <xm:sqref>H43</xm:sqref>
        </x14:conditionalFormatting>
      </x14:conditionalFormatting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DBA8FB-AF45-47F0-8345-72405E72F72A}">
  <sheetPr codeName="Sheet18">
    <tabColor rgb="FF7030A0"/>
  </sheetPr>
  <dimension ref="A1:O199"/>
  <sheetViews>
    <sheetView topLeftCell="A42" workbookViewId="0">
      <selection activeCell="D63" sqref="D63"/>
    </sheetView>
  </sheetViews>
  <sheetFormatPr defaultRowHeight="14.5" x14ac:dyDescent="0.35"/>
  <cols>
    <col min="1" max="1" width="13.08984375" customWidth="1"/>
    <col min="2" max="2" width="75.81640625" bestFit="1" customWidth="1"/>
    <col min="3" max="3" width="28.90625" bestFit="1" customWidth="1"/>
    <col min="4" max="4" width="26.54296875" bestFit="1" customWidth="1"/>
    <col min="5" max="5" width="8.90625" bestFit="1" customWidth="1"/>
    <col min="7" max="7" width="10.08984375" bestFit="1" customWidth="1"/>
    <col min="8" max="8" width="12.6328125" bestFit="1" customWidth="1"/>
    <col min="9" max="9" width="13" bestFit="1" customWidth="1"/>
    <col min="10" max="10" width="15.7265625" bestFit="1" customWidth="1"/>
    <col min="11" max="11" width="19.08984375" bestFit="1" customWidth="1"/>
    <col min="12" max="13" width="13.90625" bestFit="1" customWidth="1"/>
    <col min="14" max="15" width="11.26953125" bestFit="1" customWidth="1"/>
  </cols>
  <sheetData>
    <row r="1" spans="1:15" x14ac:dyDescent="0.35">
      <c r="A1" t="s">
        <v>376</v>
      </c>
      <c r="B1" t="s">
        <v>304</v>
      </c>
      <c r="C1" t="s">
        <v>371</v>
      </c>
      <c r="D1" t="s">
        <v>372</v>
      </c>
      <c r="E1" t="s">
        <v>4</v>
      </c>
      <c r="F1" t="s">
        <v>344</v>
      </c>
      <c r="G1" t="s">
        <v>345</v>
      </c>
      <c r="H1" t="s">
        <v>347</v>
      </c>
      <c r="I1" t="s">
        <v>346</v>
      </c>
      <c r="J1" t="s">
        <v>396</v>
      </c>
      <c r="K1" t="s">
        <v>391</v>
      </c>
      <c r="L1" t="s">
        <v>392</v>
      </c>
      <c r="M1" t="s">
        <v>393</v>
      </c>
      <c r="N1" t="s">
        <v>394</v>
      </c>
      <c r="O1" t="s">
        <v>395</v>
      </c>
    </row>
    <row r="2" spans="1:15" x14ac:dyDescent="0.35">
      <c r="A2" s="43" t="s">
        <v>40</v>
      </c>
      <c r="B2" s="43" t="s">
        <v>454</v>
      </c>
      <c r="C2" s="43"/>
      <c r="D2" s="43"/>
      <c r="E2" s="177" t="s">
        <v>439</v>
      </c>
      <c r="F2" s="177"/>
      <c r="G2" s="177"/>
      <c r="H2" s="177"/>
      <c r="I2" s="177"/>
      <c r="J2" s="43" t="s">
        <v>478</v>
      </c>
      <c r="K2" s="43" t="s">
        <v>479</v>
      </c>
      <c r="L2" s="43" t="s">
        <v>480</v>
      </c>
      <c r="M2" s="43" t="s">
        <v>482</v>
      </c>
      <c r="N2" s="43" t="s">
        <v>483</v>
      </c>
      <c r="O2" s="43" t="s">
        <v>484</v>
      </c>
    </row>
    <row r="3" spans="1:15" x14ac:dyDescent="0.35">
      <c r="B3" s="79" t="s">
        <v>166</v>
      </c>
      <c r="C3" s="26">
        <f>_xlfn.XLOOKUP($B3,'GWP NORMALISED'!$A$2:$A$500,'GWP NORMALISED'!$H$2:$H$500,FALSE,0,1)</f>
        <v>9.9992200000000011</v>
      </c>
      <c r="D3" s="95">
        <v>7.1599999999999995E-4</v>
      </c>
      <c r="E3" s="33" t="s">
        <v>352</v>
      </c>
      <c r="F3" s="33" t="s">
        <v>351</v>
      </c>
      <c r="G3" s="33" t="s">
        <v>351</v>
      </c>
      <c r="H3" s="33" t="s">
        <v>351</v>
      </c>
      <c r="I3" s="33" t="s">
        <v>351</v>
      </c>
    </row>
    <row r="4" spans="1:15" x14ac:dyDescent="0.35">
      <c r="B4" s="79" t="s">
        <v>325</v>
      </c>
      <c r="C4" s="26">
        <f>_xlfn.XLOOKUP($B4,'GWP NORMALISED'!$A$2:$A$500,'GWP NORMALISED'!$H$2:$H$500,FALSE,0,1)</f>
        <v>15.372500000000002</v>
      </c>
      <c r="D4" s="95">
        <v>7.1599999999999995E-4</v>
      </c>
      <c r="E4" s="33" t="s">
        <v>352</v>
      </c>
      <c r="F4" s="33" t="s">
        <v>351</v>
      </c>
      <c r="G4" s="33" t="s">
        <v>351</v>
      </c>
      <c r="H4" s="33" t="s">
        <v>351</v>
      </c>
      <c r="I4" s="33" t="s">
        <v>351</v>
      </c>
    </row>
    <row r="5" spans="1:15" x14ac:dyDescent="0.35">
      <c r="E5" s="33"/>
      <c r="F5" s="33"/>
      <c r="G5" s="33"/>
      <c r="H5" s="33"/>
      <c r="I5" s="33"/>
    </row>
    <row r="6" spans="1:15" x14ac:dyDescent="0.35">
      <c r="E6" s="33"/>
      <c r="F6" s="33"/>
      <c r="G6" s="33"/>
      <c r="H6" s="33"/>
      <c r="I6" s="33"/>
    </row>
    <row r="7" spans="1:15" x14ac:dyDescent="0.35">
      <c r="E7" s="33"/>
      <c r="F7" s="33"/>
      <c r="G7" s="33"/>
      <c r="H7" s="33"/>
      <c r="I7" s="33"/>
    </row>
    <row r="8" spans="1:15" x14ac:dyDescent="0.35">
      <c r="E8" s="33"/>
      <c r="F8" s="33"/>
      <c r="G8" s="33"/>
      <c r="H8" s="33"/>
      <c r="I8" s="33"/>
    </row>
    <row r="9" spans="1:15" x14ac:dyDescent="0.35">
      <c r="E9" s="33"/>
      <c r="F9" s="33"/>
      <c r="G9" s="33"/>
      <c r="H9" s="33"/>
      <c r="I9" s="33"/>
    </row>
    <row r="10" spans="1:15" x14ac:dyDescent="0.35">
      <c r="E10" s="33"/>
      <c r="F10" s="33"/>
      <c r="G10" s="33"/>
      <c r="H10" s="33"/>
      <c r="I10" s="33"/>
    </row>
    <row r="11" spans="1:15" x14ac:dyDescent="0.35">
      <c r="A11" s="43" t="s">
        <v>3</v>
      </c>
      <c r="B11" s="43" t="s">
        <v>455</v>
      </c>
      <c r="C11" s="43"/>
      <c r="D11" s="43"/>
      <c r="E11" s="45"/>
      <c r="F11" s="45"/>
      <c r="G11" s="45"/>
      <c r="H11" s="45"/>
      <c r="I11" s="45"/>
      <c r="J11" s="43"/>
      <c r="K11" s="43"/>
      <c r="L11" s="43"/>
      <c r="M11" s="43"/>
      <c r="N11" s="43"/>
      <c r="O11" s="43"/>
    </row>
    <row r="12" spans="1:15" x14ac:dyDescent="0.35">
      <c r="B12" s="79" t="s">
        <v>319</v>
      </c>
      <c r="C12" s="26">
        <f>_xlfn.XLOOKUP($B12,'GWP NORMALISED'!$A$2:$A$500,'GWP NORMALISED'!$H$2:$H$500,FALSE,0,1)</f>
        <v>14.681000000000001</v>
      </c>
      <c r="D12" s="27">
        <v>0.13500000000000001</v>
      </c>
      <c r="E12" s="33" t="s">
        <v>352</v>
      </c>
      <c r="F12" s="33" t="s">
        <v>351</v>
      </c>
      <c r="G12" s="33" t="s">
        <v>352</v>
      </c>
      <c r="H12" s="33" t="s">
        <v>351</v>
      </c>
      <c r="I12" s="33" t="s">
        <v>351</v>
      </c>
    </row>
    <row r="13" spans="1:15" x14ac:dyDescent="0.35">
      <c r="B13" s="79" t="s">
        <v>321</v>
      </c>
      <c r="C13" s="26">
        <f>_xlfn.XLOOKUP($B13,'GWP NORMALISED'!$A$2:$A$500,'GWP NORMALISED'!$H$2:$H$500,FALSE,0,1)</f>
        <v>29.960000000000004</v>
      </c>
      <c r="D13" s="27">
        <f>'LCA SYSTEMS'!O20-'LCA SYSTEMS'!O18-'LCA SYSTEMS'!O17</f>
        <v>0.20572008547008602</v>
      </c>
      <c r="E13" s="33" t="s">
        <v>352</v>
      </c>
      <c r="F13" s="33" t="s">
        <v>351</v>
      </c>
      <c r="G13" s="33" t="s">
        <v>352</v>
      </c>
      <c r="H13" s="33" t="s">
        <v>351</v>
      </c>
      <c r="I13" s="33" t="s">
        <v>351</v>
      </c>
    </row>
    <row r="14" spans="1:15" x14ac:dyDescent="0.35">
      <c r="B14" s="79" t="s">
        <v>249</v>
      </c>
      <c r="C14" s="26">
        <f>_xlfn.XLOOKUP($B14,'GWP NORMALISED'!$A$2:$A$500,'GWP NORMALISED'!$H$2:$H$500,FALSE,0,1)</f>
        <v>18.8</v>
      </c>
      <c r="D14" s="109">
        <v>0</v>
      </c>
      <c r="E14" s="33" t="s">
        <v>352</v>
      </c>
      <c r="F14" s="33" t="s">
        <v>352</v>
      </c>
      <c r="G14" s="33" t="s">
        <v>352</v>
      </c>
      <c r="H14" s="33" t="s">
        <v>351</v>
      </c>
      <c r="I14" s="33" t="s">
        <v>351</v>
      </c>
    </row>
    <row r="15" spans="1:15" x14ac:dyDescent="0.35">
      <c r="B15" s="79" t="s">
        <v>255</v>
      </c>
      <c r="C15" s="26">
        <f>_xlfn.XLOOKUP($B15,'GWP NORMALISED'!$A$2:$A$500,'GWP NORMALISED'!$H$2:$H$500,FALSE,0,1)</f>
        <v>21.7</v>
      </c>
      <c r="D15" s="109">
        <v>0</v>
      </c>
      <c r="E15" s="33" t="s">
        <v>352</v>
      </c>
      <c r="F15" s="33" t="s">
        <v>352</v>
      </c>
      <c r="G15" s="33" t="s">
        <v>352</v>
      </c>
      <c r="H15" s="33" t="s">
        <v>351</v>
      </c>
      <c r="I15" s="33" t="s">
        <v>351</v>
      </c>
    </row>
    <row r="16" spans="1:15" x14ac:dyDescent="0.35">
      <c r="B16" s="79" t="s">
        <v>261</v>
      </c>
      <c r="C16" s="26">
        <f>_xlfn.XLOOKUP($B16,'GWP NORMALISED'!$A$2:$A$500,'GWP NORMALISED'!$H$2:$H$500,FALSE,0,1)</f>
        <v>27.8</v>
      </c>
      <c r="D16" s="109">
        <v>0</v>
      </c>
      <c r="E16" s="33" t="s">
        <v>352</v>
      </c>
      <c r="F16" s="33" t="s">
        <v>352</v>
      </c>
      <c r="G16" s="33" t="s">
        <v>352</v>
      </c>
      <c r="H16" s="33" t="s">
        <v>351</v>
      </c>
      <c r="I16" s="33" t="s">
        <v>351</v>
      </c>
    </row>
    <row r="17" spans="1:15" x14ac:dyDescent="0.35">
      <c r="B17" s="79" t="s">
        <v>324</v>
      </c>
      <c r="C17" s="26">
        <f>_xlfn.XLOOKUP($B17,'GWP NORMALISED'!$A$2:$A$500,'GWP NORMALISED'!$H$2:$H$500,FALSE,0,1)</f>
        <v>24.7</v>
      </c>
      <c r="E17" s="33" t="s">
        <v>352</v>
      </c>
      <c r="F17" s="33" t="s">
        <v>352</v>
      </c>
      <c r="G17" s="33" t="s">
        <v>352</v>
      </c>
      <c r="H17" s="33"/>
      <c r="I17" s="33" t="s">
        <v>351</v>
      </c>
    </row>
    <row r="18" spans="1:15" x14ac:dyDescent="0.35">
      <c r="B18" s="79"/>
      <c r="E18" s="33"/>
      <c r="F18" s="33"/>
      <c r="G18" s="33"/>
      <c r="H18" s="33"/>
      <c r="I18" s="33"/>
    </row>
    <row r="19" spans="1:15" x14ac:dyDescent="0.35">
      <c r="B19" s="79"/>
      <c r="E19" s="33"/>
      <c r="F19" s="33"/>
      <c r="G19" s="33"/>
      <c r="H19" s="33"/>
      <c r="I19" s="33"/>
    </row>
    <row r="20" spans="1:15" x14ac:dyDescent="0.35">
      <c r="B20" s="79"/>
      <c r="E20" s="33"/>
      <c r="F20" s="33"/>
      <c r="G20" s="33"/>
      <c r="H20" s="33"/>
      <c r="I20" s="33"/>
    </row>
    <row r="21" spans="1:15" x14ac:dyDescent="0.35">
      <c r="B21" s="79"/>
      <c r="E21" s="33"/>
      <c r="F21" s="33"/>
      <c r="G21" s="33"/>
      <c r="H21" s="33"/>
      <c r="I21" s="33"/>
    </row>
    <row r="22" spans="1:15" x14ac:dyDescent="0.35">
      <c r="B22" s="79"/>
      <c r="E22" s="33"/>
      <c r="F22" s="33"/>
      <c r="G22" s="33"/>
      <c r="H22" s="33"/>
      <c r="I22" s="33"/>
    </row>
    <row r="23" spans="1:15" x14ac:dyDescent="0.35">
      <c r="B23" s="79"/>
      <c r="E23" s="33"/>
      <c r="F23" s="33"/>
      <c r="G23" s="33"/>
      <c r="H23" s="33"/>
      <c r="I23" s="33"/>
    </row>
    <row r="24" spans="1:15" x14ac:dyDescent="0.35">
      <c r="B24" s="79"/>
      <c r="E24" s="33"/>
      <c r="F24" s="33"/>
      <c r="G24" s="33"/>
      <c r="H24" s="33"/>
      <c r="I24" s="33"/>
    </row>
    <row r="25" spans="1:15" x14ac:dyDescent="0.35">
      <c r="A25" s="43" t="s">
        <v>24</v>
      </c>
      <c r="B25" s="43" t="s">
        <v>456</v>
      </c>
      <c r="C25" s="43"/>
      <c r="D25" s="43"/>
      <c r="E25" s="45"/>
      <c r="F25" s="45"/>
      <c r="G25" s="45"/>
      <c r="H25" s="45"/>
      <c r="I25" s="45"/>
      <c r="J25" s="43"/>
      <c r="K25" s="43"/>
      <c r="L25" s="43"/>
      <c r="M25" s="43"/>
      <c r="N25" s="43"/>
      <c r="O25" s="43"/>
    </row>
    <row r="26" spans="1:15" x14ac:dyDescent="0.35">
      <c r="B26" s="79" t="s">
        <v>120</v>
      </c>
      <c r="C26" s="26">
        <f>_xlfn.XLOOKUP($B26,'GWP NORMALISED'!$A$2:$A$500,'GWP NORMALISED'!$H$2:$H$500,FALSE,0,1)</f>
        <v>26.438000000000002</v>
      </c>
      <c r="D26" s="27">
        <v>5.96</v>
      </c>
      <c r="E26" s="33" t="s">
        <v>351</v>
      </c>
      <c r="F26" s="33" t="s">
        <v>352</v>
      </c>
      <c r="G26" s="33" t="s">
        <v>351</v>
      </c>
      <c r="H26" s="33" t="s">
        <v>351</v>
      </c>
      <c r="I26" s="33" t="s">
        <v>351</v>
      </c>
    </row>
    <row r="27" spans="1:15" x14ac:dyDescent="0.35">
      <c r="B27" s="79" t="s">
        <v>110</v>
      </c>
      <c r="C27" s="26">
        <f>_xlfn.XLOOKUP($B27,'GWP NORMALISED'!$A$2:$A$500,'GWP NORMALISED'!$H$2:$H$500,FALSE,0,1)</f>
        <v>15.390090090090087</v>
      </c>
      <c r="D27" s="27">
        <v>4.2</v>
      </c>
      <c r="E27" s="33" t="s">
        <v>351</v>
      </c>
      <c r="F27" s="33" t="s">
        <v>352</v>
      </c>
      <c r="G27" s="33" t="s">
        <v>351</v>
      </c>
      <c r="H27" s="33" t="s">
        <v>351</v>
      </c>
      <c r="I27" s="33" t="s">
        <v>351</v>
      </c>
    </row>
    <row r="28" spans="1:15" x14ac:dyDescent="0.35">
      <c r="B28" s="79" t="s">
        <v>486</v>
      </c>
      <c r="C28" s="26">
        <f>_xlfn.XLOOKUP($B28,'GWP NORMALISED'!$A$2:$A$500,'GWP NORMALISED'!$H$2:$H$500,FALSE,0,1)</f>
        <v>20.672000000000001</v>
      </c>
      <c r="D28" s="27">
        <v>5.0599999999999996</v>
      </c>
      <c r="E28" s="33" t="s">
        <v>351</v>
      </c>
      <c r="F28" s="33" t="s">
        <v>352</v>
      </c>
      <c r="G28" s="33" t="s">
        <v>351</v>
      </c>
      <c r="H28" s="33" t="s">
        <v>351</v>
      </c>
      <c r="I28" s="33" t="s">
        <v>351</v>
      </c>
    </row>
    <row r="29" spans="1:15" x14ac:dyDescent="0.35">
      <c r="B29" s="79" t="s">
        <v>487</v>
      </c>
      <c r="C29" s="26">
        <f>_xlfn.XLOOKUP($B29,'GWP NORMALISED'!$A$2:$A$500,'GWP NORMALISED'!$H$2:$H$500,FALSE,0,1)</f>
        <v>26.036999999999999</v>
      </c>
      <c r="D29" s="100">
        <v>6.2</v>
      </c>
      <c r="E29" s="33" t="s">
        <v>351</v>
      </c>
      <c r="F29" s="33" t="s">
        <v>352</v>
      </c>
      <c r="G29" s="33" t="s">
        <v>351</v>
      </c>
      <c r="H29" s="33" t="s">
        <v>351</v>
      </c>
      <c r="I29" s="33" t="s">
        <v>351</v>
      </c>
    </row>
    <row r="30" spans="1:15" x14ac:dyDescent="0.35">
      <c r="B30" s="79" t="s">
        <v>292</v>
      </c>
      <c r="C30" s="26">
        <f>_xlfn.XLOOKUP($B30,'GWP NORMALISED'!$A$2:$A$500,'GWP NORMALISED'!$H$2:$H$500,FALSE,0,1)</f>
        <v>34.429499999999997</v>
      </c>
      <c r="D30" s="100">
        <f>0.15/0.85</f>
        <v>0.17647058823529413</v>
      </c>
      <c r="E30" s="33" t="s">
        <v>352</v>
      </c>
      <c r="F30" s="33" t="s">
        <v>351</v>
      </c>
      <c r="G30" s="33" t="s">
        <v>351</v>
      </c>
      <c r="H30" s="33" t="s">
        <v>351</v>
      </c>
      <c r="I30" s="33" t="s">
        <v>351</v>
      </c>
    </row>
    <row r="31" spans="1:15" x14ac:dyDescent="0.35">
      <c r="E31" s="33"/>
      <c r="F31" s="33"/>
      <c r="G31" s="33"/>
      <c r="H31" s="33"/>
      <c r="I31" s="33"/>
    </row>
    <row r="32" spans="1:15" x14ac:dyDescent="0.35">
      <c r="E32" s="33"/>
      <c r="F32" s="33"/>
      <c r="G32" s="33"/>
      <c r="H32" s="33"/>
      <c r="I32" s="33"/>
    </row>
    <row r="33" spans="1:15" x14ac:dyDescent="0.35">
      <c r="E33" s="33"/>
      <c r="F33" s="33"/>
      <c r="G33" s="33"/>
      <c r="H33" s="33"/>
      <c r="I33" s="33"/>
    </row>
    <row r="34" spans="1:15" x14ac:dyDescent="0.35">
      <c r="E34" s="33"/>
      <c r="F34" s="33"/>
      <c r="G34" s="33"/>
      <c r="H34" s="33"/>
      <c r="I34" s="33"/>
    </row>
    <row r="35" spans="1:15" x14ac:dyDescent="0.35">
      <c r="E35" s="33"/>
      <c r="F35" s="33"/>
      <c r="G35" s="33"/>
      <c r="H35" s="33"/>
      <c r="I35" s="33"/>
    </row>
    <row r="36" spans="1:15" x14ac:dyDescent="0.35">
      <c r="E36" s="33"/>
      <c r="F36" s="33"/>
      <c r="G36" s="33"/>
      <c r="H36" s="33"/>
      <c r="I36" s="33"/>
    </row>
    <row r="37" spans="1:15" x14ac:dyDescent="0.35">
      <c r="E37" s="33"/>
      <c r="F37" s="33"/>
      <c r="G37" s="33"/>
      <c r="H37" s="33"/>
      <c r="I37" s="33"/>
    </row>
    <row r="38" spans="1:15" x14ac:dyDescent="0.35">
      <c r="E38" s="33"/>
      <c r="F38" s="33"/>
      <c r="G38" s="33"/>
      <c r="H38" s="33"/>
      <c r="I38" s="33"/>
    </row>
    <row r="39" spans="1:15" x14ac:dyDescent="0.35">
      <c r="E39" s="33"/>
      <c r="F39" s="33"/>
      <c r="G39" s="33"/>
      <c r="H39" s="33"/>
      <c r="I39" s="33"/>
    </row>
    <row r="40" spans="1:15" x14ac:dyDescent="0.35">
      <c r="E40" s="33"/>
      <c r="F40" s="33"/>
      <c r="G40" s="33"/>
      <c r="H40" s="33"/>
      <c r="I40" s="33"/>
    </row>
    <row r="41" spans="1:15" x14ac:dyDescent="0.35">
      <c r="E41" s="33"/>
      <c r="F41" s="33"/>
      <c r="G41" s="33"/>
      <c r="H41" s="33"/>
      <c r="I41" s="33"/>
    </row>
    <row r="42" spans="1:15" x14ac:dyDescent="0.35">
      <c r="E42" s="33"/>
      <c r="F42" s="33"/>
      <c r="G42" s="33"/>
      <c r="H42" s="33"/>
      <c r="I42" s="33"/>
    </row>
    <row r="43" spans="1:15" x14ac:dyDescent="0.35">
      <c r="E43" s="33"/>
      <c r="F43" s="33"/>
      <c r="G43" s="33"/>
      <c r="H43" s="33"/>
      <c r="I43" s="33"/>
    </row>
    <row r="44" spans="1:15" x14ac:dyDescent="0.35">
      <c r="A44" s="43" t="s">
        <v>41</v>
      </c>
      <c r="B44" s="43" t="s">
        <v>457</v>
      </c>
      <c r="C44" s="43"/>
      <c r="D44" s="43"/>
      <c r="E44" s="45"/>
      <c r="F44" s="45"/>
      <c r="G44" s="45"/>
      <c r="H44" s="45"/>
      <c r="I44" s="45"/>
      <c r="J44" s="43" t="s">
        <v>478</v>
      </c>
      <c r="K44" s="43" t="s">
        <v>479</v>
      </c>
      <c r="L44" s="43" t="s">
        <v>480</v>
      </c>
      <c r="M44" s="43" t="s">
        <v>482</v>
      </c>
      <c r="N44" s="43" t="s">
        <v>483</v>
      </c>
      <c r="O44" s="43" t="s">
        <v>484</v>
      </c>
    </row>
    <row r="45" spans="1:15" x14ac:dyDescent="0.35">
      <c r="A45" t="s">
        <v>460</v>
      </c>
      <c r="B45" s="79" t="s">
        <v>182</v>
      </c>
      <c r="C45" s="26">
        <f>_xlfn.XLOOKUP($B45,'GWP NORMALISED'!$A$2:$A$500,'GWP NORMALISED'!$H$2:$H$500,FALSE,0,1)</f>
        <v>19.5</v>
      </c>
      <c r="D45" s="100">
        <v>4.9800000000000004</v>
      </c>
      <c r="E45" s="33" t="s">
        <v>352</v>
      </c>
      <c r="F45" s="33" t="s">
        <v>352</v>
      </c>
      <c r="G45" s="33" t="s">
        <v>351</v>
      </c>
      <c r="H45" s="33" t="s">
        <v>351</v>
      </c>
      <c r="I45" s="33" t="s">
        <v>351</v>
      </c>
    </row>
    <row r="46" spans="1:15" x14ac:dyDescent="0.35">
      <c r="A46" t="s">
        <v>460</v>
      </c>
      <c r="B46" s="79" t="s">
        <v>191</v>
      </c>
      <c r="C46" s="26">
        <f>_xlfn.XLOOKUP($B46,'GWP NORMALISED'!$A$2:$A$500,'GWP NORMALISED'!$H$2:$H$500,FALSE,0,1)</f>
        <v>24.6</v>
      </c>
      <c r="D46" s="100">
        <v>6.97</v>
      </c>
      <c r="E46" s="33" t="s">
        <v>352</v>
      </c>
      <c r="F46" s="33" t="s">
        <v>352</v>
      </c>
      <c r="G46" s="33" t="s">
        <v>351</v>
      </c>
      <c r="H46" s="33" t="s">
        <v>351</v>
      </c>
      <c r="I46" s="33" t="s">
        <v>351</v>
      </c>
    </row>
    <row r="47" spans="1:15" x14ac:dyDescent="0.35">
      <c r="A47" t="s">
        <v>460</v>
      </c>
      <c r="B47" s="79" t="s">
        <v>204</v>
      </c>
      <c r="C47" s="26">
        <f>_xlfn.XLOOKUP($B47,'GWP NORMALISED'!$A$2:$A$500,'GWP NORMALISED'!$H$2:$H$500,FALSE,0,1)</f>
        <v>44.4</v>
      </c>
      <c r="D47" s="100">
        <v>5.1565000000000003</v>
      </c>
      <c r="E47" s="33" t="s">
        <v>352</v>
      </c>
      <c r="F47" s="33" t="s">
        <v>352</v>
      </c>
      <c r="G47" s="33" t="s">
        <v>351</v>
      </c>
      <c r="H47" s="33" t="s">
        <v>351</v>
      </c>
      <c r="I47" s="33" t="s">
        <v>351</v>
      </c>
    </row>
    <row r="48" spans="1:15" x14ac:dyDescent="0.35">
      <c r="A48" t="s">
        <v>460</v>
      </c>
      <c r="B48" s="79" t="s">
        <v>194</v>
      </c>
      <c r="C48" s="26">
        <f>_xlfn.XLOOKUP($B48,'GWP NORMALISED'!$A$2:$A$500,'GWP NORMALISED'!$H$2:$H$500,FALSE,0,1)</f>
        <v>40</v>
      </c>
      <c r="D48" s="100">
        <v>4.5</v>
      </c>
      <c r="E48" s="33" t="s">
        <v>352</v>
      </c>
      <c r="F48" s="33" t="s">
        <v>352</v>
      </c>
      <c r="G48" s="33" t="s">
        <v>351</v>
      </c>
      <c r="H48" s="33" t="s">
        <v>351</v>
      </c>
      <c r="I48" s="33" t="s">
        <v>351</v>
      </c>
    </row>
    <row r="49" spans="1:9" x14ac:dyDescent="0.35">
      <c r="A49" t="s">
        <v>460</v>
      </c>
      <c r="B49" s="79" t="s">
        <v>240</v>
      </c>
      <c r="C49" s="26">
        <f>_xlfn.XLOOKUP($B49,'GWP NORMALISED'!$A$2:$A$500,'GWP NORMALISED'!$H$2:$H$500,FALSE,0,1)</f>
        <v>23.1</v>
      </c>
      <c r="D49" s="100">
        <v>3.7</v>
      </c>
      <c r="E49" s="33" t="s">
        <v>352</v>
      </c>
      <c r="F49" s="33" t="s">
        <v>352</v>
      </c>
      <c r="G49" s="33" t="s">
        <v>351</v>
      </c>
      <c r="H49" s="33" t="s">
        <v>351</v>
      </c>
      <c r="I49" s="33" t="s">
        <v>351</v>
      </c>
    </row>
    <row r="50" spans="1:9" x14ac:dyDescent="0.35">
      <c r="A50" t="s">
        <v>460</v>
      </c>
      <c r="B50" s="79" t="s">
        <v>245</v>
      </c>
      <c r="C50" s="26">
        <f>_xlfn.XLOOKUP($B50,'GWP NORMALISED'!$A$2:$A$500,'GWP NORMALISED'!$H$2:$H$500,FALSE,0,1)</f>
        <v>23.2</v>
      </c>
      <c r="D50" s="100">
        <v>3.7</v>
      </c>
      <c r="E50" s="33" t="s">
        <v>352</v>
      </c>
      <c r="F50" s="33" t="s">
        <v>352</v>
      </c>
      <c r="G50" s="33" t="s">
        <v>351</v>
      </c>
      <c r="H50" s="33" t="s">
        <v>351</v>
      </c>
      <c r="I50" s="33" t="s">
        <v>351</v>
      </c>
    </row>
    <row r="51" spans="1:9" x14ac:dyDescent="0.35">
      <c r="E51" s="33"/>
      <c r="F51" s="33"/>
      <c r="G51" s="33"/>
      <c r="H51" s="33"/>
      <c r="I51" s="33"/>
    </row>
    <row r="52" spans="1:9" x14ac:dyDescent="0.35">
      <c r="E52" s="33"/>
      <c r="F52" s="33"/>
      <c r="G52" s="33"/>
      <c r="H52" s="33"/>
      <c r="I52" s="33"/>
    </row>
    <row r="53" spans="1:9" x14ac:dyDescent="0.35">
      <c r="E53" s="33"/>
      <c r="F53" s="33"/>
      <c r="G53" s="33"/>
      <c r="H53" s="33"/>
      <c r="I53" s="33"/>
    </row>
    <row r="54" spans="1:9" x14ac:dyDescent="0.35">
      <c r="E54" s="33"/>
      <c r="F54" s="33"/>
      <c r="G54" s="33"/>
      <c r="H54" s="33"/>
      <c r="I54" s="33"/>
    </row>
    <row r="55" spans="1:9" x14ac:dyDescent="0.35">
      <c r="E55" s="33"/>
      <c r="F55" s="33"/>
      <c r="G55" s="33"/>
      <c r="H55" s="33"/>
      <c r="I55" s="33"/>
    </row>
    <row r="56" spans="1:9" x14ac:dyDescent="0.35">
      <c r="E56" s="33"/>
      <c r="F56" s="33"/>
      <c r="G56" s="33"/>
      <c r="H56" s="33"/>
      <c r="I56" s="33"/>
    </row>
    <row r="57" spans="1:9" x14ac:dyDescent="0.35">
      <c r="E57" s="33"/>
      <c r="F57" s="33"/>
      <c r="G57" s="33"/>
      <c r="H57" s="33"/>
      <c r="I57" s="33"/>
    </row>
    <row r="58" spans="1:9" x14ac:dyDescent="0.35">
      <c r="E58" s="33"/>
      <c r="F58" s="33"/>
      <c r="G58" s="33"/>
      <c r="H58" s="33"/>
      <c r="I58" s="33"/>
    </row>
    <row r="59" spans="1:9" x14ac:dyDescent="0.35">
      <c r="E59" s="33"/>
      <c r="F59" s="33"/>
      <c r="G59" s="33"/>
      <c r="H59" s="33"/>
      <c r="I59" s="33"/>
    </row>
    <row r="60" spans="1:9" x14ac:dyDescent="0.35">
      <c r="A60" s="43" t="s">
        <v>80</v>
      </c>
      <c r="B60" s="43" t="s">
        <v>458</v>
      </c>
      <c r="C60" s="43"/>
      <c r="D60" s="43"/>
      <c r="E60" s="45"/>
      <c r="F60" s="45"/>
      <c r="G60" s="45"/>
      <c r="H60" s="45"/>
      <c r="I60" s="45"/>
    </row>
    <row r="61" spans="1:9" x14ac:dyDescent="0.35">
      <c r="A61" t="s">
        <v>461</v>
      </c>
      <c r="B61" s="79" t="s">
        <v>78</v>
      </c>
      <c r="C61" s="26" t="b">
        <f>_xlfn.XLOOKUP($B61,'GWP NORMALISED'!$A$2:$A$500,'GWP NORMALISED'!$H$2:$H$500,FALSE,0,1)</f>
        <v>0</v>
      </c>
      <c r="D61" s="27">
        <f>0.215/0.84</f>
        <v>0.25595238095238093</v>
      </c>
      <c r="E61" s="33" t="s">
        <v>352</v>
      </c>
      <c r="F61" s="33" t="s">
        <v>351</v>
      </c>
      <c r="G61" s="33" t="s">
        <v>351</v>
      </c>
      <c r="H61" s="33" t="s">
        <v>351</v>
      </c>
      <c r="I61" s="33" t="s">
        <v>351</v>
      </c>
    </row>
    <row r="62" spans="1:9" x14ac:dyDescent="0.35">
      <c r="A62" t="s">
        <v>461</v>
      </c>
      <c r="B62" s="79" t="s">
        <v>91</v>
      </c>
      <c r="C62" s="26">
        <f>_xlfn.XLOOKUP($B62,'GWP NORMALISED'!$A$2:$A$500,'GWP NORMALISED'!$H$2:$H$500,FALSE,0,1)</f>
        <v>49.964215500000002</v>
      </c>
      <c r="D62" s="27">
        <f>0.215/0.21</f>
        <v>1.0238095238095237</v>
      </c>
      <c r="E62" s="33" t="s">
        <v>352</v>
      </c>
      <c r="F62" s="33" t="s">
        <v>351</v>
      </c>
      <c r="G62" s="33" t="s">
        <v>351</v>
      </c>
      <c r="H62" s="33" t="s">
        <v>351</v>
      </c>
      <c r="I62" s="33" t="s">
        <v>351</v>
      </c>
    </row>
    <row r="63" spans="1:9" x14ac:dyDescent="0.35">
      <c r="A63" t="s">
        <v>461</v>
      </c>
      <c r="B63" s="79" t="s">
        <v>101</v>
      </c>
      <c r="C63" s="26">
        <f>_xlfn.XLOOKUP($B63,'GWP NORMALISED'!$A$2:$A$500,'GWP NORMALISED'!$H$2:$H$500,FALSE,0,1)</f>
        <v>53.283106000000011</v>
      </c>
      <c r="D63" s="27">
        <f>0.215/0.19</f>
        <v>1.131578947368421</v>
      </c>
      <c r="E63" s="33" t="s">
        <v>352</v>
      </c>
      <c r="F63" s="33" t="s">
        <v>351</v>
      </c>
      <c r="G63" s="33" t="s">
        <v>351</v>
      </c>
      <c r="H63" s="33" t="s">
        <v>351</v>
      </c>
      <c r="I63" s="33" t="s">
        <v>351</v>
      </c>
    </row>
    <row r="64" spans="1:9" x14ac:dyDescent="0.35">
      <c r="A64" t="s">
        <v>461</v>
      </c>
      <c r="B64" s="79" t="s">
        <v>104</v>
      </c>
      <c r="C64" s="26">
        <f>_xlfn.XLOOKUP($B64,'GWP NORMALISED'!$A$2:$A$500,'GWP NORMALISED'!$H$2:$H$500,FALSE,0,1)</f>
        <v>45.864552500000002</v>
      </c>
      <c r="D64" s="27">
        <f>0.215/0.17</f>
        <v>1.2647058823529411</v>
      </c>
      <c r="E64" s="33" t="s">
        <v>352</v>
      </c>
      <c r="F64" s="33" t="s">
        <v>351</v>
      </c>
      <c r="G64" s="33" t="s">
        <v>351</v>
      </c>
      <c r="H64" s="33" t="s">
        <v>351</v>
      </c>
      <c r="I64" s="33" t="s">
        <v>351</v>
      </c>
    </row>
    <row r="65" spans="1:9" x14ac:dyDescent="0.35">
      <c r="A65" t="s">
        <v>461</v>
      </c>
      <c r="B65" s="79" t="s">
        <v>107</v>
      </c>
      <c r="C65" s="26">
        <f>_xlfn.XLOOKUP($B65,'GWP NORMALISED'!$A$2:$A$500,'GWP NORMALISED'!$H$2:$H$500,FALSE,0,1)</f>
        <v>36.921864000000006</v>
      </c>
      <c r="D65" s="27">
        <f>0.215/0.12</f>
        <v>1.7916666666666667</v>
      </c>
      <c r="E65" s="33" t="s">
        <v>352</v>
      </c>
      <c r="F65" s="33" t="s">
        <v>351</v>
      </c>
      <c r="G65" s="33" t="s">
        <v>351</v>
      </c>
      <c r="H65" s="33" t="s">
        <v>351</v>
      </c>
      <c r="I65" s="33" t="s">
        <v>351</v>
      </c>
    </row>
    <row r="66" spans="1:9" x14ac:dyDescent="0.35">
      <c r="E66" s="33"/>
      <c r="F66" s="33"/>
      <c r="G66" s="33"/>
      <c r="H66" s="33"/>
      <c r="I66" s="33"/>
    </row>
    <row r="67" spans="1:9" x14ac:dyDescent="0.35">
      <c r="E67" s="33"/>
      <c r="F67" s="33"/>
      <c r="G67" s="33"/>
      <c r="H67" s="33"/>
      <c r="I67" s="33"/>
    </row>
    <row r="68" spans="1:9" x14ac:dyDescent="0.35">
      <c r="E68" s="33"/>
      <c r="F68" s="33"/>
      <c r="G68" s="33"/>
      <c r="H68" s="33"/>
      <c r="I68" s="33"/>
    </row>
    <row r="69" spans="1:9" x14ac:dyDescent="0.35">
      <c r="E69" s="33"/>
      <c r="F69" s="33"/>
      <c r="G69" s="33"/>
      <c r="H69" s="33"/>
      <c r="I69" s="33"/>
    </row>
    <row r="70" spans="1:9" x14ac:dyDescent="0.35">
      <c r="E70" s="33"/>
      <c r="F70" s="33"/>
      <c r="G70" s="33"/>
      <c r="H70" s="33"/>
      <c r="I70" s="33"/>
    </row>
    <row r="71" spans="1:9" x14ac:dyDescent="0.35">
      <c r="E71" s="33"/>
      <c r="F71" s="33"/>
      <c r="G71" s="33"/>
      <c r="H71" s="33"/>
      <c r="I71" s="33"/>
    </row>
    <row r="72" spans="1:9" x14ac:dyDescent="0.35">
      <c r="A72" s="43" t="s">
        <v>344</v>
      </c>
      <c r="B72" s="43"/>
      <c r="C72" s="43"/>
      <c r="D72" s="43"/>
      <c r="E72" s="45"/>
      <c r="F72" s="45"/>
      <c r="G72" s="45"/>
      <c r="H72" s="45"/>
      <c r="I72" s="45"/>
    </row>
    <row r="73" spans="1:9" x14ac:dyDescent="0.35">
      <c r="E73" s="33"/>
      <c r="F73" s="33"/>
      <c r="G73" s="33"/>
      <c r="H73" s="33"/>
      <c r="I73" s="33"/>
    </row>
    <row r="74" spans="1:9" x14ac:dyDescent="0.35">
      <c r="E74" s="33"/>
      <c r="F74" s="33"/>
      <c r="G74" s="33"/>
      <c r="H74" s="33"/>
      <c r="I74" s="33"/>
    </row>
    <row r="75" spans="1:9" x14ac:dyDescent="0.35">
      <c r="E75" s="33"/>
      <c r="F75" s="33"/>
      <c r="G75" s="33"/>
      <c r="H75" s="33"/>
      <c r="I75" s="33"/>
    </row>
    <row r="76" spans="1:9" x14ac:dyDescent="0.35">
      <c r="E76" s="33"/>
      <c r="F76" s="33"/>
      <c r="G76" s="33"/>
      <c r="H76" s="33"/>
      <c r="I76" s="33"/>
    </row>
    <row r="77" spans="1:9" x14ac:dyDescent="0.35">
      <c r="E77" s="33"/>
      <c r="F77" s="33"/>
      <c r="G77" s="33"/>
      <c r="H77" s="33"/>
      <c r="I77" s="33"/>
    </row>
    <row r="78" spans="1:9" x14ac:dyDescent="0.35">
      <c r="E78" s="33"/>
      <c r="F78" s="33"/>
      <c r="G78" s="33"/>
      <c r="H78" s="33"/>
      <c r="I78" s="33"/>
    </row>
    <row r="79" spans="1:9" x14ac:dyDescent="0.35">
      <c r="E79" s="33"/>
      <c r="F79" s="33"/>
      <c r="G79" s="33"/>
      <c r="H79" s="33"/>
      <c r="I79" s="33"/>
    </row>
    <row r="80" spans="1:9" x14ac:dyDescent="0.35">
      <c r="E80" s="33"/>
      <c r="F80" s="33"/>
      <c r="G80" s="33"/>
      <c r="H80" s="33"/>
      <c r="I80" s="33"/>
    </row>
    <row r="81" spans="1:9" x14ac:dyDescent="0.35">
      <c r="E81" s="33"/>
      <c r="F81" s="33"/>
      <c r="G81" s="33"/>
      <c r="H81" s="33"/>
      <c r="I81" s="33"/>
    </row>
    <row r="82" spans="1:9" x14ac:dyDescent="0.35">
      <c r="E82" s="33"/>
      <c r="F82" s="33"/>
      <c r="G82" s="33"/>
      <c r="H82" s="33"/>
      <c r="I82" s="33"/>
    </row>
    <row r="83" spans="1:9" x14ac:dyDescent="0.35">
      <c r="E83" s="33"/>
      <c r="F83" s="33"/>
      <c r="G83" s="33"/>
      <c r="H83" s="33"/>
      <c r="I83" s="33"/>
    </row>
    <row r="84" spans="1:9" x14ac:dyDescent="0.35">
      <c r="E84" s="33"/>
      <c r="F84" s="33"/>
      <c r="G84" s="33"/>
      <c r="H84" s="33"/>
      <c r="I84" s="33"/>
    </row>
    <row r="85" spans="1:9" x14ac:dyDescent="0.35">
      <c r="E85" s="33"/>
      <c r="F85" s="33"/>
      <c r="G85" s="33"/>
      <c r="H85" s="33"/>
      <c r="I85" s="33"/>
    </row>
    <row r="86" spans="1:9" x14ac:dyDescent="0.35">
      <c r="E86" s="33"/>
      <c r="F86" s="33"/>
      <c r="G86" s="33"/>
      <c r="H86" s="33"/>
      <c r="I86" s="33"/>
    </row>
    <row r="87" spans="1:9" x14ac:dyDescent="0.35">
      <c r="E87" s="33"/>
      <c r="F87" s="33"/>
      <c r="G87" s="33"/>
      <c r="H87" s="33"/>
      <c r="I87" s="33"/>
    </row>
    <row r="88" spans="1:9" x14ac:dyDescent="0.35">
      <c r="E88" s="33"/>
      <c r="F88" s="33"/>
      <c r="G88" s="33"/>
      <c r="H88" s="33"/>
      <c r="I88" s="33"/>
    </row>
    <row r="89" spans="1:9" x14ac:dyDescent="0.35">
      <c r="A89" s="43" t="s">
        <v>346</v>
      </c>
      <c r="B89" s="43"/>
      <c r="C89" s="43"/>
      <c r="D89" s="43"/>
      <c r="E89" s="45"/>
      <c r="F89" s="45"/>
      <c r="G89" s="45"/>
      <c r="H89" s="45"/>
      <c r="I89" s="45"/>
    </row>
    <row r="90" spans="1:9" x14ac:dyDescent="0.35">
      <c r="E90" s="33"/>
      <c r="F90" s="33"/>
      <c r="G90" s="33"/>
      <c r="H90" s="33"/>
      <c r="I90" s="33"/>
    </row>
    <row r="91" spans="1:9" x14ac:dyDescent="0.35">
      <c r="E91" s="33"/>
      <c r="F91" s="33"/>
      <c r="G91" s="33"/>
      <c r="H91" s="33"/>
      <c r="I91" s="33"/>
    </row>
    <row r="92" spans="1:9" x14ac:dyDescent="0.35">
      <c r="E92" s="33"/>
      <c r="F92" s="33"/>
      <c r="G92" s="33"/>
      <c r="H92" s="33"/>
      <c r="I92" s="33"/>
    </row>
    <row r="93" spans="1:9" x14ac:dyDescent="0.35">
      <c r="E93" s="33"/>
      <c r="F93" s="33"/>
      <c r="G93" s="33"/>
      <c r="H93" s="33"/>
      <c r="I93" s="33"/>
    </row>
    <row r="94" spans="1:9" x14ac:dyDescent="0.35">
      <c r="E94" s="33"/>
      <c r="F94" s="33"/>
      <c r="G94" s="33"/>
      <c r="H94" s="33"/>
      <c r="I94" s="33"/>
    </row>
    <row r="95" spans="1:9" x14ac:dyDescent="0.35">
      <c r="E95" s="33"/>
      <c r="F95" s="33"/>
      <c r="G95" s="33"/>
      <c r="H95" s="33"/>
      <c r="I95" s="33"/>
    </row>
    <row r="96" spans="1:9" x14ac:dyDescent="0.35">
      <c r="E96" s="33"/>
      <c r="F96" s="33"/>
      <c r="G96" s="33"/>
      <c r="H96" s="33"/>
      <c r="I96" s="33"/>
    </row>
    <row r="97" spans="5:9" x14ac:dyDescent="0.35">
      <c r="E97" s="33"/>
      <c r="F97" s="33"/>
      <c r="G97" s="33"/>
      <c r="H97" s="33"/>
      <c r="I97" s="33"/>
    </row>
    <row r="98" spans="5:9" x14ac:dyDescent="0.35">
      <c r="E98" s="33"/>
      <c r="F98" s="33"/>
      <c r="G98" s="33"/>
      <c r="H98" s="33"/>
      <c r="I98" s="33"/>
    </row>
    <row r="99" spans="5:9" x14ac:dyDescent="0.35">
      <c r="E99" s="33"/>
      <c r="F99" s="33"/>
      <c r="G99" s="33"/>
      <c r="H99" s="33"/>
      <c r="I99" s="33"/>
    </row>
    <row r="100" spans="5:9" x14ac:dyDescent="0.35">
      <c r="E100" s="33"/>
      <c r="F100" s="33"/>
      <c r="G100" s="33"/>
      <c r="H100" s="33"/>
      <c r="I100" s="33"/>
    </row>
    <row r="101" spans="5:9" x14ac:dyDescent="0.35">
      <c r="E101" s="33"/>
      <c r="F101" s="33"/>
      <c r="G101" s="33"/>
      <c r="H101" s="33"/>
      <c r="I101" s="33"/>
    </row>
    <row r="102" spans="5:9" x14ac:dyDescent="0.35">
      <c r="E102" s="33"/>
      <c r="F102" s="33"/>
      <c r="G102" s="33"/>
      <c r="H102" s="33"/>
      <c r="I102" s="33"/>
    </row>
    <row r="103" spans="5:9" x14ac:dyDescent="0.35">
      <c r="E103" s="33"/>
      <c r="F103" s="33"/>
      <c r="G103" s="33"/>
      <c r="H103" s="33"/>
      <c r="I103" s="33"/>
    </row>
    <row r="104" spans="5:9" x14ac:dyDescent="0.35">
      <c r="E104" s="33"/>
      <c r="F104" s="33"/>
      <c r="G104" s="33"/>
      <c r="H104" s="33"/>
      <c r="I104" s="33"/>
    </row>
    <row r="105" spans="5:9" x14ac:dyDescent="0.35">
      <c r="E105" s="33"/>
      <c r="F105" s="33"/>
      <c r="G105" s="33"/>
      <c r="H105" s="33"/>
      <c r="I105" s="33"/>
    </row>
    <row r="106" spans="5:9" x14ac:dyDescent="0.35">
      <c r="E106" s="33"/>
      <c r="F106" s="33"/>
      <c r="G106" s="33"/>
      <c r="H106" s="33"/>
      <c r="I106" s="33"/>
    </row>
    <row r="107" spans="5:9" x14ac:dyDescent="0.35">
      <c r="E107" s="33"/>
      <c r="F107" s="33"/>
      <c r="G107" s="33"/>
      <c r="H107" s="33"/>
      <c r="I107" s="33"/>
    </row>
    <row r="108" spans="5:9" x14ac:dyDescent="0.35">
      <c r="E108" s="33"/>
      <c r="F108" s="33"/>
      <c r="G108" s="33"/>
      <c r="H108" s="33"/>
      <c r="I108" s="33"/>
    </row>
    <row r="109" spans="5:9" x14ac:dyDescent="0.35">
      <c r="E109" s="33"/>
      <c r="F109" s="33"/>
      <c r="G109" s="33"/>
      <c r="H109" s="33"/>
      <c r="I109" s="33"/>
    </row>
    <row r="110" spans="5:9" x14ac:dyDescent="0.35">
      <c r="E110" s="33"/>
      <c r="F110" s="33"/>
      <c r="G110" s="33"/>
      <c r="H110" s="33"/>
      <c r="I110" s="33"/>
    </row>
    <row r="111" spans="5:9" x14ac:dyDescent="0.35">
      <c r="E111" s="33"/>
      <c r="F111" s="33"/>
      <c r="G111" s="33"/>
      <c r="H111" s="33"/>
      <c r="I111" s="33"/>
    </row>
    <row r="112" spans="5:9" x14ac:dyDescent="0.35">
      <c r="E112" s="33"/>
      <c r="F112" s="33"/>
      <c r="G112" s="33"/>
      <c r="H112" s="33"/>
      <c r="I112" s="33"/>
    </row>
    <row r="113" spans="5:9" x14ac:dyDescent="0.35">
      <c r="E113" s="33"/>
      <c r="F113" s="33"/>
      <c r="G113" s="33"/>
      <c r="H113" s="33"/>
      <c r="I113" s="33"/>
    </row>
    <row r="114" spans="5:9" x14ac:dyDescent="0.35">
      <c r="E114" s="33"/>
      <c r="F114" s="33"/>
      <c r="G114" s="33"/>
      <c r="H114" s="33"/>
      <c r="I114" s="33"/>
    </row>
    <row r="115" spans="5:9" x14ac:dyDescent="0.35">
      <c r="E115" s="33"/>
      <c r="F115" s="33"/>
      <c r="G115" s="33"/>
      <c r="H115" s="33"/>
      <c r="I115" s="33"/>
    </row>
    <row r="116" spans="5:9" x14ac:dyDescent="0.35">
      <c r="E116" s="33"/>
      <c r="F116" s="33"/>
      <c r="G116" s="33"/>
      <c r="H116" s="33"/>
      <c r="I116" s="33"/>
    </row>
    <row r="117" spans="5:9" x14ac:dyDescent="0.35">
      <c r="E117" s="33"/>
      <c r="F117" s="33"/>
      <c r="G117" s="33"/>
      <c r="H117" s="33"/>
      <c r="I117" s="33"/>
    </row>
    <row r="118" spans="5:9" x14ac:dyDescent="0.35">
      <c r="E118" s="33"/>
      <c r="F118" s="33"/>
      <c r="G118" s="33"/>
      <c r="H118" s="33"/>
      <c r="I118" s="33"/>
    </row>
    <row r="119" spans="5:9" x14ac:dyDescent="0.35">
      <c r="E119" s="33"/>
      <c r="F119" s="33"/>
      <c r="G119" s="33"/>
      <c r="H119" s="33"/>
      <c r="I119" s="33"/>
    </row>
    <row r="120" spans="5:9" x14ac:dyDescent="0.35">
      <c r="E120" s="33"/>
      <c r="F120" s="33"/>
      <c r="G120" s="33"/>
      <c r="H120" s="33"/>
      <c r="I120" s="33"/>
    </row>
    <row r="121" spans="5:9" x14ac:dyDescent="0.35">
      <c r="E121" s="33"/>
      <c r="F121" s="33"/>
      <c r="G121" s="33"/>
      <c r="H121" s="33"/>
      <c r="I121" s="33"/>
    </row>
    <row r="122" spans="5:9" x14ac:dyDescent="0.35">
      <c r="E122" s="33"/>
      <c r="F122" s="33"/>
      <c r="G122" s="33"/>
      <c r="H122" s="33"/>
      <c r="I122" s="33"/>
    </row>
    <row r="123" spans="5:9" x14ac:dyDescent="0.35">
      <c r="E123" s="33"/>
      <c r="F123" s="33"/>
      <c r="G123" s="33"/>
      <c r="H123" s="33"/>
      <c r="I123" s="33"/>
    </row>
    <row r="124" spans="5:9" x14ac:dyDescent="0.35">
      <c r="E124" s="33"/>
      <c r="F124" s="33"/>
      <c r="G124" s="33"/>
      <c r="H124" s="33"/>
      <c r="I124" s="33"/>
    </row>
    <row r="125" spans="5:9" x14ac:dyDescent="0.35">
      <c r="E125" s="33"/>
      <c r="F125" s="33"/>
      <c r="G125" s="33"/>
      <c r="H125" s="33"/>
      <c r="I125" s="33"/>
    </row>
    <row r="126" spans="5:9" x14ac:dyDescent="0.35">
      <c r="E126" s="33"/>
      <c r="F126" s="33"/>
      <c r="G126" s="33"/>
      <c r="H126" s="33"/>
      <c r="I126" s="33"/>
    </row>
    <row r="127" spans="5:9" x14ac:dyDescent="0.35">
      <c r="E127" s="33"/>
      <c r="F127" s="33"/>
      <c r="G127" s="33"/>
      <c r="H127" s="33"/>
      <c r="I127" s="33"/>
    </row>
    <row r="128" spans="5:9" x14ac:dyDescent="0.35">
      <c r="E128" s="33"/>
      <c r="F128" s="33"/>
      <c r="G128" s="33"/>
      <c r="H128" s="33"/>
      <c r="I128" s="33"/>
    </row>
    <row r="129" spans="5:9" x14ac:dyDescent="0.35">
      <c r="E129" s="33"/>
      <c r="F129" s="33"/>
      <c r="G129" s="33"/>
      <c r="H129" s="33"/>
      <c r="I129" s="33"/>
    </row>
    <row r="130" spans="5:9" x14ac:dyDescent="0.35">
      <c r="E130" s="33"/>
      <c r="F130" s="33"/>
      <c r="G130" s="33"/>
      <c r="H130" s="33"/>
      <c r="I130" s="33"/>
    </row>
    <row r="131" spans="5:9" x14ac:dyDescent="0.35">
      <c r="E131" s="33"/>
      <c r="F131" s="33"/>
      <c r="G131" s="33"/>
      <c r="H131" s="33"/>
      <c r="I131" s="33"/>
    </row>
    <row r="132" spans="5:9" x14ac:dyDescent="0.35">
      <c r="E132" s="33"/>
      <c r="F132" s="33"/>
      <c r="G132" s="33"/>
      <c r="H132" s="33"/>
      <c r="I132" s="33"/>
    </row>
    <row r="133" spans="5:9" x14ac:dyDescent="0.35">
      <c r="E133" s="33"/>
      <c r="F133" s="33"/>
      <c r="G133" s="33"/>
      <c r="H133" s="33"/>
      <c r="I133" s="33"/>
    </row>
    <row r="134" spans="5:9" x14ac:dyDescent="0.35">
      <c r="E134" s="33"/>
      <c r="F134" s="33"/>
      <c r="G134" s="33"/>
      <c r="H134" s="33"/>
      <c r="I134" s="33"/>
    </row>
    <row r="135" spans="5:9" x14ac:dyDescent="0.35">
      <c r="E135" s="33"/>
      <c r="F135" s="33"/>
      <c r="G135" s="33"/>
      <c r="H135" s="33"/>
      <c r="I135" s="33"/>
    </row>
    <row r="136" spans="5:9" x14ac:dyDescent="0.35">
      <c r="E136" s="33"/>
      <c r="F136" s="33"/>
      <c r="G136" s="33"/>
      <c r="H136" s="33"/>
      <c r="I136" s="33"/>
    </row>
    <row r="137" spans="5:9" x14ac:dyDescent="0.35">
      <c r="E137" s="33"/>
      <c r="F137" s="33"/>
      <c r="G137" s="33"/>
      <c r="H137" s="33"/>
      <c r="I137" s="33"/>
    </row>
    <row r="138" spans="5:9" x14ac:dyDescent="0.35">
      <c r="E138" s="33"/>
      <c r="F138" s="33"/>
      <c r="G138" s="33"/>
      <c r="H138" s="33"/>
      <c r="I138" s="33"/>
    </row>
    <row r="139" spans="5:9" x14ac:dyDescent="0.35">
      <c r="E139" s="33"/>
      <c r="F139" s="33"/>
      <c r="G139" s="33"/>
      <c r="H139" s="33"/>
      <c r="I139" s="33"/>
    </row>
    <row r="140" spans="5:9" x14ac:dyDescent="0.35">
      <c r="E140" s="33"/>
      <c r="F140" s="33"/>
      <c r="G140" s="33"/>
      <c r="H140" s="33"/>
      <c r="I140" s="33"/>
    </row>
    <row r="141" spans="5:9" x14ac:dyDescent="0.35">
      <c r="E141" s="33"/>
      <c r="F141" s="33"/>
      <c r="G141" s="33"/>
      <c r="H141" s="33"/>
      <c r="I141" s="33"/>
    </row>
    <row r="142" spans="5:9" x14ac:dyDescent="0.35">
      <c r="E142" s="33"/>
      <c r="F142" s="33"/>
      <c r="G142" s="33"/>
      <c r="H142" s="33"/>
      <c r="I142" s="33"/>
    </row>
    <row r="143" spans="5:9" x14ac:dyDescent="0.35">
      <c r="E143" s="33"/>
      <c r="F143" s="33"/>
      <c r="G143" s="33"/>
      <c r="H143" s="33"/>
      <c r="I143" s="33"/>
    </row>
    <row r="144" spans="5:9" x14ac:dyDescent="0.35">
      <c r="E144" s="33"/>
      <c r="F144" s="33"/>
      <c r="G144" s="33"/>
      <c r="H144" s="33"/>
      <c r="I144" s="33"/>
    </row>
    <row r="145" spans="5:9" x14ac:dyDescent="0.35">
      <c r="E145" s="33"/>
      <c r="F145" s="33"/>
      <c r="G145" s="33"/>
      <c r="H145" s="33"/>
      <c r="I145" s="33"/>
    </row>
    <row r="146" spans="5:9" x14ac:dyDescent="0.35">
      <c r="E146" s="33"/>
      <c r="F146" s="33"/>
      <c r="G146" s="33"/>
      <c r="H146" s="33"/>
      <c r="I146" s="33"/>
    </row>
    <row r="147" spans="5:9" x14ac:dyDescent="0.35">
      <c r="E147" s="33"/>
      <c r="F147" s="33"/>
      <c r="G147" s="33"/>
      <c r="H147" s="33"/>
      <c r="I147" s="33"/>
    </row>
    <row r="148" spans="5:9" x14ac:dyDescent="0.35">
      <c r="E148" s="33"/>
      <c r="F148" s="33"/>
      <c r="G148" s="33"/>
      <c r="H148" s="33"/>
      <c r="I148" s="33"/>
    </row>
    <row r="149" spans="5:9" x14ac:dyDescent="0.35">
      <c r="E149" s="33"/>
      <c r="F149" s="33"/>
      <c r="G149" s="33"/>
      <c r="H149" s="33"/>
      <c r="I149" s="33"/>
    </row>
    <row r="150" spans="5:9" x14ac:dyDescent="0.35">
      <c r="E150" s="33"/>
      <c r="F150" s="33"/>
      <c r="G150" s="33"/>
      <c r="H150" s="33"/>
      <c r="I150" s="33"/>
    </row>
    <row r="151" spans="5:9" x14ac:dyDescent="0.35">
      <c r="E151" s="33"/>
      <c r="F151" s="33"/>
      <c r="G151" s="33"/>
      <c r="H151" s="33"/>
      <c r="I151" s="33"/>
    </row>
    <row r="152" spans="5:9" x14ac:dyDescent="0.35">
      <c r="E152" s="33"/>
      <c r="F152" s="33"/>
      <c r="G152" s="33"/>
      <c r="H152" s="33"/>
      <c r="I152" s="33"/>
    </row>
    <row r="153" spans="5:9" x14ac:dyDescent="0.35">
      <c r="E153" s="33"/>
      <c r="F153" s="33"/>
      <c r="G153" s="33"/>
      <c r="H153" s="33"/>
      <c r="I153" s="33"/>
    </row>
    <row r="154" spans="5:9" x14ac:dyDescent="0.35">
      <c r="E154" s="33"/>
      <c r="F154" s="33"/>
      <c r="G154" s="33"/>
      <c r="H154" s="33"/>
      <c r="I154" s="33"/>
    </row>
    <row r="155" spans="5:9" x14ac:dyDescent="0.35">
      <c r="E155" s="33"/>
      <c r="F155" s="33"/>
      <c r="G155" s="33"/>
      <c r="H155" s="33"/>
      <c r="I155" s="33"/>
    </row>
    <row r="156" spans="5:9" x14ac:dyDescent="0.35">
      <c r="E156" s="33"/>
      <c r="F156" s="33"/>
      <c r="G156" s="33"/>
      <c r="H156" s="33"/>
      <c r="I156" s="33"/>
    </row>
    <row r="157" spans="5:9" x14ac:dyDescent="0.35">
      <c r="E157" s="33"/>
      <c r="F157" s="33"/>
      <c r="G157" s="33"/>
      <c r="H157" s="33"/>
      <c r="I157" s="33"/>
    </row>
    <row r="158" spans="5:9" x14ac:dyDescent="0.35">
      <c r="E158" s="33"/>
      <c r="F158" s="33"/>
      <c r="G158" s="33"/>
      <c r="H158" s="33"/>
      <c r="I158" s="33"/>
    </row>
    <row r="159" spans="5:9" x14ac:dyDescent="0.35">
      <c r="E159" s="33"/>
      <c r="F159" s="33"/>
      <c r="G159" s="33"/>
      <c r="H159" s="33"/>
      <c r="I159" s="33"/>
    </row>
    <row r="160" spans="5:9" x14ac:dyDescent="0.35">
      <c r="E160" s="33"/>
      <c r="F160" s="33"/>
      <c r="G160" s="33"/>
      <c r="H160" s="33"/>
      <c r="I160" s="33"/>
    </row>
    <row r="161" spans="5:9" x14ac:dyDescent="0.35">
      <c r="E161" s="33"/>
      <c r="F161" s="33"/>
      <c r="G161" s="33"/>
      <c r="H161" s="33"/>
      <c r="I161" s="33"/>
    </row>
    <row r="162" spans="5:9" x14ac:dyDescent="0.35">
      <c r="E162" s="33"/>
      <c r="F162" s="33"/>
      <c r="G162" s="33"/>
      <c r="H162" s="33"/>
      <c r="I162" s="33"/>
    </row>
    <row r="163" spans="5:9" x14ac:dyDescent="0.35">
      <c r="E163" s="33"/>
      <c r="F163" s="33"/>
      <c r="G163" s="33"/>
      <c r="H163" s="33"/>
      <c r="I163" s="33"/>
    </row>
    <row r="164" spans="5:9" x14ac:dyDescent="0.35">
      <c r="E164" s="33"/>
      <c r="F164" s="33"/>
      <c r="G164" s="33"/>
      <c r="H164" s="33"/>
      <c r="I164" s="33"/>
    </row>
    <row r="165" spans="5:9" x14ac:dyDescent="0.35">
      <c r="E165" s="33"/>
      <c r="F165" s="33"/>
      <c r="G165" s="33"/>
      <c r="H165" s="33"/>
      <c r="I165" s="33"/>
    </row>
    <row r="166" spans="5:9" x14ac:dyDescent="0.35">
      <c r="E166" s="33"/>
      <c r="F166" s="33"/>
      <c r="G166" s="33"/>
      <c r="H166" s="33"/>
      <c r="I166" s="33"/>
    </row>
    <row r="167" spans="5:9" x14ac:dyDescent="0.35">
      <c r="E167" s="33"/>
      <c r="F167" s="33"/>
      <c r="G167" s="33"/>
      <c r="H167" s="33"/>
      <c r="I167" s="33"/>
    </row>
    <row r="168" spans="5:9" x14ac:dyDescent="0.35">
      <c r="E168" s="33"/>
      <c r="F168" s="33"/>
      <c r="G168" s="33"/>
      <c r="H168" s="33"/>
      <c r="I168" s="33"/>
    </row>
    <row r="169" spans="5:9" x14ac:dyDescent="0.35">
      <c r="E169" s="33"/>
      <c r="F169" s="33"/>
      <c r="G169" s="33"/>
      <c r="H169" s="33"/>
      <c r="I169" s="33"/>
    </row>
    <row r="170" spans="5:9" x14ac:dyDescent="0.35">
      <c r="E170" s="33"/>
      <c r="F170" s="33"/>
      <c r="G170" s="33"/>
      <c r="H170" s="33"/>
      <c r="I170" s="33"/>
    </row>
    <row r="171" spans="5:9" x14ac:dyDescent="0.35">
      <c r="E171" s="33"/>
      <c r="F171" s="33"/>
      <c r="G171" s="33"/>
      <c r="H171" s="33"/>
      <c r="I171" s="33"/>
    </row>
    <row r="172" spans="5:9" x14ac:dyDescent="0.35">
      <c r="E172" s="33"/>
      <c r="F172" s="33"/>
      <c r="G172" s="33"/>
      <c r="H172" s="33"/>
      <c r="I172" s="33"/>
    </row>
    <row r="173" spans="5:9" x14ac:dyDescent="0.35">
      <c r="E173" s="33"/>
      <c r="F173" s="33"/>
      <c r="G173" s="33"/>
      <c r="H173" s="33"/>
      <c r="I173" s="33"/>
    </row>
    <row r="174" spans="5:9" x14ac:dyDescent="0.35">
      <c r="E174" s="33"/>
      <c r="F174" s="33"/>
      <c r="G174" s="33"/>
      <c r="H174" s="33"/>
      <c r="I174" s="33"/>
    </row>
    <row r="175" spans="5:9" x14ac:dyDescent="0.35">
      <c r="E175" s="33"/>
      <c r="F175" s="33"/>
      <c r="G175" s="33"/>
      <c r="H175" s="33"/>
      <c r="I175" s="33"/>
    </row>
    <row r="176" spans="5:9" x14ac:dyDescent="0.35">
      <c r="E176" s="33"/>
      <c r="F176" s="33"/>
      <c r="G176" s="33"/>
      <c r="H176" s="33"/>
      <c r="I176" s="33"/>
    </row>
    <row r="177" spans="5:9" x14ac:dyDescent="0.35">
      <c r="E177" s="33"/>
      <c r="F177" s="33"/>
      <c r="G177" s="33"/>
      <c r="H177" s="33"/>
      <c r="I177" s="33"/>
    </row>
    <row r="178" spans="5:9" x14ac:dyDescent="0.35">
      <c r="E178" s="33"/>
      <c r="F178" s="33"/>
      <c r="G178" s="33"/>
      <c r="H178" s="33"/>
      <c r="I178" s="33"/>
    </row>
    <row r="179" spans="5:9" x14ac:dyDescent="0.35">
      <c r="E179" s="33"/>
      <c r="F179" s="33"/>
      <c r="G179" s="33"/>
      <c r="H179" s="33"/>
      <c r="I179" s="33"/>
    </row>
    <row r="180" spans="5:9" x14ac:dyDescent="0.35">
      <c r="E180" s="33"/>
      <c r="F180" s="33"/>
      <c r="G180" s="33"/>
      <c r="H180" s="33"/>
      <c r="I180" s="33"/>
    </row>
    <row r="181" spans="5:9" x14ac:dyDescent="0.35">
      <c r="E181" s="33"/>
      <c r="F181" s="33"/>
      <c r="G181" s="33"/>
      <c r="H181" s="33"/>
      <c r="I181" s="33"/>
    </row>
    <row r="182" spans="5:9" x14ac:dyDescent="0.35">
      <c r="E182" s="33"/>
      <c r="F182" s="33"/>
      <c r="G182" s="33"/>
      <c r="H182" s="33"/>
      <c r="I182" s="33"/>
    </row>
    <row r="183" spans="5:9" x14ac:dyDescent="0.35">
      <c r="E183" s="33"/>
      <c r="F183" s="33"/>
      <c r="G183" s="33"/>
      <c r="H183" s="33"/>
      <c r="I183" s="33"/>
    </row>
    <row r="184" spans="5:9" x14ac:dyDescent="0.35">
      <c r="E184" s="33"/>
      <c r="F184" s="33"/>
      <c r="G184" s="33"/>
      <c r="H184" s="33"/>
      <c r="I184" s="33"/>
    </row>
    <row r="185" spans="5:9" x14ac:dyDescent="0.35">
      <c r="E185" s="33"/>
      <c r="F185" s="33"/>
      <c r="G185" s="33"/>
      <c r="H185" s="33"/>
      <c r="I185" s="33"/>
    </row>
    <row r="186" spans="5:9" x14ac:dyDescent="0.35">
      <c r="E186" s="33"/>
      <c r="F186" s="33"/>
      <c r="G186" s="33"/>
      <c r="H186" s="33"/>
      <c r="I186" s="33"/>
    </row>
    <row r="187" spans="5:9" x14ac:dyDescent="0.35">
      <c r="E187" s="33"/>
      <c r="F187" s="33"/>
      <c r="G187" s="33"/>
      <c r="H187" s="33"/>
      <c r="I187" s="33"/>
    </row>
    <row r="188" spans="5:9" x14ac:dyDescent="0.35">
      <c r="E188" s="33"/>
      <c r="F188" s="33"/>
      <c r="G188" s="33"/>
      <c r="H188" s="33"/>
      <c r="I188" s="33"/>
    </row>
    <row r="189" spans="5:9" x14ac:dyDescent="0.35">
      <c r="E189" s="33"/>
      <c r="F189" s="33"/>
      <c r="G189" s="33"/>
      <c r="H189" s="33"/>
      <c r="I189" s="33"/>
    </row>
    <row r="190" spans="5:9" x14ac:dyDescent="0.35">
      <c r="E190" s="33"/>
      <c r="F190" s="33"/>
      <c r="G190" s="33"/>
      <c r="H190" s="33"/>
      <c r="I190" s="33"/>
    </row>
    <row r="191" spans="5:9" x14ac:dyDescent="0.35">
      <c r="E191" s="33"/>
      <c r="F191" s="33"/>
      <c r="G191" s="33"/>
      <c r="H191" s="33"/>
      <c r="I191" s="33"/>
    </row>
    <row r="192" spans="5:9" x14ac:dyDescent="0.35">
      <c r="E192" s="33"/>
      <c r="F192" s="33"/>
      <c r="G192" s="33"/>
      <c r="H192" s="33"/>
      <c r="I192" s="33"/>
    </row>
    <row r="193" spans="5:9" x14ac:dyDescent="0.35">
      <c r="E193" s="33"/>
      <c r="F193" s="33"/>
      <c r="G193" s="33"/>
      <c r="H193" s="33"/>
      <c r="I193" s="33"/>
    </row>
    <row r="194" spans="5:9" x14ac:dyDescent="0.35">
      <c r="E194" s="33"/>
      <c r="F194" s="33"/>
      <c r="G194" s="33"/>
      <c r="H194" s="33"/>
      <c r="I194" s="33"/>
    </row>
    <row r="195" spans="5:9" x14ac:dyDescent="0.35">
      <c r="E195" s="33"/>
      <c r="F195" s="33"/>
      <c r="G195" s="33"/>
      <c r="H195" s="33"/>
      <c r="I195" s="33"/>
    </row>
    <row r="196" spans="5:9" x14ac:dyDescent="0.35">
      <c r="E196" s="33"/>
      <c r="F196" s="33"/>
      <c r="G196" s="33"/>
      <c r="H196" s="33"/>
      <c r="I196" s="33"/>
    </row>
    <row r="197" spans="5:9" x14ac:dyDescent="0.35">
      <c r="E197" s="33"/>
      <c r="F197" s="33"/>
      <c r="G197" s="33"/>
      <c r="H197" s="33"/>
      <c r="I197" s="33"/>
    </row>
    <row r="198" spans="5:9" x14ac:dyDescent="0.35">
      <c r="E198" s="33"/>
      <c r="F198" s="33"/>
      <c r="G198" s="33"/>
      <c r="H198" s="33"/>
      <c r="I198" s="33"/>
    </row>
    <row r="199" spans="5:9" x14ac:dyDescent="0.35">
      <c r="E199" s="33"/>
      <c r="F199" s="33"/>
      <c r="G199" s="33"/>
      <c r="H199" s="33"/>
      <c r="I199" s="33"/>
    </row>
  </sheetData>
  <mergeCells count="1">
    <mergeCell ref="E2:I2"/>
  </mergeCells>
  <phoneticPr fontId="7" type="noConversion"/>
  <conditionalFormatting sqref="E3:I199">
    <cfRule type="containsText" dxfId="1" priority="1" operator="containsText" text="Yes">
      <formula>NOT(ISERROR(SEARCH("Yes",E3)))</formula>
    </cfRule>
    <cfRule type="containsText" dxfId="0" priority="2" operator="containsText" text="No">
      <formula>NOT(ISERROR(SEARCH("No",E3)))</formula>
    </cfRule>
  </conditionalFormatting>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F2CD7F32-0C1E-45A9-90F9-75EF7D773A03}">
          <x14:formula1>
            <xm:f>'1. OVERVIEW'!$O$10:$O$11</xm:f>
          </x14:formula1>
          <xm:sqref>E3:I199</xm:sqref>
        </x14:dataValidation>
        <x14:dataValidation type="list" allowBlank="1" showInputMessage="1" showErrorMessage="1" xr:uid="{EA89AFC3-1D88-4F42-B5E4-459A70E69534}">
          <x14:formula1>
            <xm:f>'RAW GWP FOSSIL'!$A$2:$A$1048576</xm:f>
          </x14:formula1>
          <xm:sqref>B3:B10 B90:B1048576 B73:B88 B61:B71 B45:B59 B26:B43 B12:B24</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856BE5-A7F6-4415-B35C-26584CD37454}">
  <sheetPr codeName="Sheet19">
    <tabColor rgb="FF7030A0"/>
  </sheetPr>
  <dimension ref="A1:O31"/>
  <sheetViews>
    <sheetView topLeftCell="A25" workbookViewId="0">
      <selection activeCell="B36" sqref="B36"/>
    </sheetView>
  </sheetViews>
  <sheetFormatPr defaultRowHeight="14.5" x14ac:dyDescent="0.35"/>
  <cols>
    <col min="1" max="1" width="13.7265625" customWidth="1"/>
    <col min="2" max="2" width="122.36328125" bestFit="1" customWidth="1"/>
    <col min="3" max="3" width="50.26953125" customWidth="1"/>
    <col min="4" max="4" width="13.1796875" customWidth="1"/>
    <col min="5" max="5" width="13.90625" customWidth="1"/>
    <col min="7" max="7" width="14.81640625" customWidth="1"/>
    <col min="8" max="8" width="14.453125" customWidth="1"/>
    <col min="10" max="10" width="13.453125" customWidth="1"/>
    <col min="11" max="11" width="14.36328125" customWidth="1"/>
    <col min="12" max="12" width="13" customWidth="1"/>
    <col min="13" max="13" width="20.6328125" customWidth="1"/>
    <col min="14" max="14" width="23.81640625" customWidth="1"/>
    <col min="15" max="15" width="26.81640625" customWidth="1"/>
  </cols>
  <sheetData>
    <row r="1" spans="1:15" ht="42" x14ac:dyDescent="0.35">
      <c r="A1" s="7" t="s">
        <v>66</v>
      </c>
      <c r="B1" s="7" t="s">
        <v>67</v>
      </c>
      <c r="C1" s="7" t="s">
        <v>68</v>
      </c>
      <c r="D1" s="7" t="s">
        <v>69</v>
      </c>
      <c r="E1" s="7" t="s">
        <v>301</v>
      </c>
      <c r="F1" s="7" t="s">
        <v>70</v>
      </c>
      <c r="G1" s="7" t="s">
        <v>71</v>
      </c>
      <c r="H1" s="7" t="s">
        <v>72</v>
      </c>
      <c r="I1" s="7" t="s">
        <v>73</v>
      </c>
      <c r="J1" s="7" t="s">
        <v>74</v>
      </c>
      <c r="K1" s="7" t="s">
        <v>75</v>
      </c>
      <c r="L1" s="7" t="s">
        <v>302</v>
      </c>
      <c r="M1" s="7" t="s">
        <v>303</v>
      </c>
      <c r="N1" s="7" t="s">
        <v>76</v>
      </c>
      <c r="O1" s="7" t="s">
        <v>77</v>
      </c>
    </row>
    <row r="2" spans="1:15" ht="159.5" x14ac:dyDescent="0.35">
      <c r="A2" s="1">
        <v>3</v>
      </c>
      <c r="B2" s="1" t="s">
        <v>78</v>
      </c>
      <c r="C2" s="3" t="s">
        <v>79</v>
      </c>
      <c r="D2" s="3" t="s">
        <v>80</v>
      </c>
      <c r="E2" s="3" t="s">
        <v>81</v>
      </c>
      <c r="F2" s="3">
        <v>2027</v>
      </c>
      <c r="G2" s="3" t="s">
        <v>82</v>
      </c>
      <c r="H2" s="3" t="s">
        <v>83</v>
      </c>
      <c r="I2" s="9" t="s">
        <v>84</v>
      </c>
      <c r="J2" s="3" t="s">
        <v>85</v>
      </c>
      <c r="K2" s="3" t="s">
        <v>86</v>
      </c>
      <c r="L2" s="3" t="s">
        <v>87</v>
      </c>
      <c r="M2" s="3" t="s">
        <v>88</v>
      </c>
      <c r="N2" s="3" t="s">
        <v>89</v>
      </c>
      <c r="O2" s="3" t="s">
        <v>90</v>
      </c>
    </row>
    <row r="3" spans="1:15" ht="43.5" x14ac:dyDescent="0.35">
      <c r="A3" s="4">
        <v>2</v>
      </c>
      <c r="B3" s="4" t="s">
        <v>91</v>
      </c>
      <c r="C3" s="6" t="s">
        <v>92</v>
      </c>
      <c r="D3" s="6" t="s">
        <v>80</v>
      </c>
      <c r="E3" s="6" t="s">
        <v>81</v>
      </c>
      <c r="F3" s="6">
        <v>2029</v>
      </c>
      <c r="G3" s="6" t="s">
        <v>93</v>
      </c>
      <c r="H3" s="6" t="s">
        <v>94</v>
      </c>
      <c r="I3" s="8" t="s">
        <v>95</v>
      </c>
      <c r="J3" s="6" t="s">
        <v>96</v>
      </c>
      <c r="K3" s="6" t="s">
        <v>97</v>
      </c>
      <c r="L3" s="6" t="s">
        <v>98</v>
      </c>
      <c r="M3" s="6" t="s">
        <v>99</v>
      </c>
      <c r="N3" s="6" t="s">
        <v>100</v>
      </c>
      <c r="O3" s="6" t="s">
        <v>90</v>
      </c>
    </row>
    <row r="4" spans="1:15" ht="43.5" x14ac:dyDescent="0.35">
      <c r="A4" s="1">
        <v>2</v>
      </c>
      <c r="B4" s="1" t="s">
        <v>101</v>
      </c>
      <c r="C4" s="3" t="s">
        <v>92</v>
      </c>
      <c r="D4" s="3" t="s">
        <v>80</v>
      </c>
      <c r="E4" s="3" t="s">
        <v>81</v>
      </c>
      <c r="F4" s="3">
        <v>2029</v>
      </c>
      <c r="G4" s="3" t="s">
        <v>93</v>
      </c>
      <c r="H4" s="3" t="s">
        <v>94</v>
      </c>
      <c r="I4" s="9" t="s">
        <v>102</v>
      </c>
      <c r="J4" s="3" t="s">
        <v>96</v>
      </c>
      <c r="K4" s="3" t="s">
        <v>97</v>
      </c>
      <c r="L4" s="3" t="s">
        <v>98</v>
      </c>
      <c r="M4" s="3" t="s">
        <v>99</v>
      </c>
      <c r="N4" s="3" t="s">
        <v>103</v>
      </c>
      <c r="O4" s="3" t="s">
        <v>90</v>
      </c>
    </row>
    <row r="5" spans="1:15" ht="43.5" x14ac:dyDescent="0.35">
      <c r="A5" s="4">
        <v>2</v>
      </c>
      <c r="B5" s="4" t="s">
        <v>104</v>
      </c>
      <c r="C5" s="6" t="s">
        <v>92</v>
      </c>
      <c r="D5" s="6" t="s">
        <v>80</v>
      </c>
      <c r="E5" s="6" t="s">
        <v>81</v>
      </c>
      <c r="F5" s="6">
        <v>2029</v>
      </c>
      <c r="G5" s="6" t="s">
        <v>93</v>
      </c>
      <c r="H5" s="6" t="s">
        <v>94</v>
      </c>
      <c r="I5" s="8" t="s">
        <v>105</v>
      </c>
      <c r="J5" s="6" t="s">
        <v>96</v>
      </c>
      <c r="K5" s="6" t="s">
        <v>97</v>
      </c>
      <c r="L5" s="6" t="s">
        <v>98</v>
      </c>
      <c r="M5" s="6" t="s">
        <v>99</v>
      </c>
      <c r="N5" s="6" t="s">
        <v>106</v>
      </c>
      <c r="O5" s="6" t="s">
        <v>90</v>
      </c>
    </row>
    <row r="6" spans="1:15" ht="43.5" x14ac:dyDescent="0.35">
      <c r="A6" s="1">
        <v>2</v>
      </c>
      <c r="B6" s="1" t="s">
        <v>107</v>
      </c>
      <c r="C6" s="3" t="s">
        <v>92</v>
      </c>
      <c r="D6" s="3" t="s">
        <v>80</v>
      </c>
      <c r="E6" s="3" t="s">
        <v>81</v>
      </c>
      <c r="F6" s="3">
        <v>2029</v>
      </c>
      <c r="G6" s="3" t="s">
        <v>93</v>
      </c>
      <c r="H6" s="3" t="s">
        <v>94</v>
      </c>
      <c r="I6" s="9" t="s">
        <v>108</v>
      </c>
      <c r="J6" s="3" t="s">
        <v>96</v>
      </c>
      <c r="K6" s="3" t="s">
        <v>97</v>
      </c>
      <c r="L6" s="3" t="s">
        <v>98</v>
      </c>
      <c r="M6" s="3" t="s">
        <v>99</v>
      </c>
      <c r="N6" s="3" t="s">
        <v>109</v>
      </c>
      <c r="O6" s="3" t="s">
        <v>90</v>
      </c>
    </row>
    <row r="7" spans="1:15" ht="43.5" x14ac:dyDescent="0.35">
      <c r="A7" s="4">
        <v>1</v>
      </c>
      <c r="B7" s="4" t="s">
        <v>110</v>
      </c>
      <c r="C7" s="6" t="s">
        <v>111</v>
      </c>
      <c r="D7" s="6" t="s">
        <v>24</v>
      </c>
      <c r="E7" s="6" t="s">
        <v>112</v>
      </c>
      <c r="F7" s="6">
        <v>2027</v>
      </c>
      <c r="G7" s="6" t="s">
        <v>113</v>
      </c>
      <c r="H7" s="6" t="s">
        <v>83</v>
      </c>
      <c r="I7" s="8" t="s">
        <v>114</v>
      </c>
      <c r="J7" s="6" t="s">
        <v>96</v>
      </c>
      <c r="K7" s="6" t="s">
        <v>115</v>
      </c>
      <c r="L7" s="6" t="s">
        <v>116</v>
      </c>
      <c r="M7" s="6" t="s">
        <v>117</v>
      </c>
      <c r="N7" s="6" t="s">
        <v>118</v>
      </c>
      <c r="O7" s="6" t="s">
        <v>119</v>
      </c>
    </row>
    <row r="8" spans="1:15" ht="72.5" x14ac:dyDescent="0.35">
      <c r="A8" s="1">
        <v>1</v>
      </c>
      <c r="B8" s="1" t="s">
        <v>120</v>
      </c>
      <c r="C8" s="3" t="s">
        <v>121</v>
      </c>
      <c r="D8" s="3" t="s">
        <v>24</v>
      </c>
      <c r="E8" s="3" t="s">
        <v>122</v>
      </c>
      <c r="F8" s="3">
        <v>2028</v>
      </c>
      <c r="G8" s="3" t="s">
        <v>123</v>
      </c>
      <c r="H8" s="3" t="s">
        <v>124</v>
      </c>
      <c r="I8" s="9" t="s">
        <v>125</v>
      </c>
      <c r="J8" s="3" t="s">
        <v>126</v>
      </c>
      <c r="K8" s="3" t="s">
        <v>127</v>
      </c>
      <c r="L8" s="3" t="s">
        <v>128</v>
      </c>
      <c r="M8" s="3" t="s">
        <v>129</v>
      </c>
      <c r="N8" s="3" t="s">
        <v>130</v>
      </c>
      <c r="O8" s="3" t="s">
        <v>119</v>
      </c>
    </row>
    <row r="9" spans="1:15" ht="72.5" x14ac:dyDescent="0.35">
      <c r="A9" s="4">
        <v>2</v>
      </c>
      <c r="B9" s="4" t="s">
        <v>131</v>
      </c>
      <c r="C9" s="6" t="s">
        <v>132</v>
      </c>
      <c r="D9" s="6" t="s">
        <v>24</v>
      </c>
      <c r="E9" s="6" t="s">
        <v>81</v>
      </c>
      <c r="F9" s="6">
        <v>2028</v>
      </c>
      <c r="G9" s="6" t="s">
        <v>133</v>
      </c>
      <c r="H9" s="6" t="s">
        <v>94</v>
      </c>
      <c r="I9" s="8" t="s">
        <v>134</v>
      </c>
      <c r="J9" s="6" t="s">
        <v>96</v>
      </c>
      <c r="K9" s="6" t="s">
        <v>135</v>
      </c>
      <c r="L9" s="6" t="s">
        <v>128</v>
      </c>
      <c r="M9" s="6" t="s">
        <v>136</v>
      </c>
      <c r="N9" s="6" t="s">
        <v>137</v>
      </c>
      <c r="O9" s="6" t="s">
        <v>119</v>
      </c>
    </row>
    <row r="10" spans="1:15" ht="43.5" x14ac:dyDescent="0.35">
      <c r="A10" s="1">
        <v>3</v>
      </c>
      <c r="B10" s="1" t="s">
        <v>138</v>
      </c>
      <c r="C10" s="3" t="s">
        <v>139</v>
      </c>
      <c r="D10" s="3" t="s">
        <v>40</v>
      </c>
      <c r="E10" s="3" t="s">
        <v>140</v>
      </c>
      <c r="F10" s="3">
        <v>2028</v>
      </c>
      <c r="G10" s="3" t="s">
        <v>141</v>
      </c>
      <c r="H10" s="3" t="s">
        <v>83</v>
      </c>
      <c r="I10" s="9" t="s">
        <v>142</v>
      </c>
      <c r="J10" s="3" t="s">
        <v>143</v>
      </c>
      <c r="K10" s="3" t="s">
        <v>144</v>
      </c>
      <c r="L10" s="3" t="s">
        <v>128</v>
      </c>
      <c r="M10" s="3" t="s">
        <v>145</v>
      </c>
      <c r="N10" s="3" t="s">
        <v>5</v>
      </c>
      <c r="O10" s="3" t="s">
        <v>146</v>
      </c>
    </row>
    <row r="11" spans="1:15" ht="58" x14ac:dyDescent="0.35">
      <c r="A11" s="4">
        <v>4</v>
      </c>
      <c r="B11" s="4" t="s">
        <v>147</v>
      </c>
      <c r="C11" s="6" t="s">
        <v>148</v>
      </c>
      <c r="D11" s="6" t="s">
        <v>40</v>
      </c>
      <c r="E11" s="6" t="s">
        <v>149</v>
      </c>
      <c r="F11" s="6">
        <v>2026</v>
      </c>
      <c r="G11" s="6" t="s">
        <v>150</v>
      </c>
      <c r="H11" s="6" t="s">
        <v>151</v>
      </c>
      <c r="I11" s="8" t="s">
        <v>152</v>
      </c>
      <c r="J11" s="6" t="s">
        <v>153</v>
      </c>
      <c r="K11" s="6" t="s">
        <v>154</v>
      </c>
      <c r="L11" s="6" t="s">
        <v>155</v>
      </c>
      <c r="M11" s="6" t="s">
        <v>156</v>
      </c>
      <c r="N11" s="6" t="s">
        <v>5</v>
      </c>
      <c r="O11" s="6" t="s">
        <v>157</v>
      </c>
    </row>
    <row r="12" spans="1:15" ht="72.5" x14ac:dyDescent="0.35">
      <c r="A12" s="1">
        <v>4</v>
      </c>
      <c r="B12" s="1" t="s">
        <v>158</v>
      </c>
      <c r="C12" s="3" t="s">
        <v>159</v>
      </c>
      <c r="D12" s="3" t="s">
        <v>40</v>
      </c>
      <c r="E12" s="3" t="s">
        <v>112</v>
      </c>
      <c r="F12" s="3">
        <v>2027</v>
      </c>
      <c r="G12" s="3" t="s">
        <v>160</v>
      </c>
      <c r="H12" s="3" t="s">
        <v>161</v>
      </c>
      <c r="I12" s="9" t="s">
        <v>162</v>
      </c>
      <c r="J12" s="3" t="s">
        <v>163</v>
      </c>
      <c r="K12" s="3" t="s">
        <v>164</v>
      </c>
      <c r="L12" s="3" t="s">
        <v>87</v>
      </c>
      <c r="M12" s="3" t="s">
        <v>165</v>
      </c>
      <c r="N12" s="3" t="s">
        <v>5</v>
      </c>
      <c r="O12" s="3" t="s">
        <v>157</v>
      </c>
    </row>
    <row r="13" spans="1:15" ht="116" x14ac:dyDescent="0.35">
      <c r="A13" s="4">
        <v>1</v>
      </c>
      <c r="B13" s="4" t="s">
        <v>166</v>
      </c>
      <c r="C13" s="6" t="s">
        <v>167</v>
      </c>
      <c r="D13" s="6" t="s">
        <v>40</v>
      </c>
      <c r="E13" s="6" t="s">
        <v>81</v>
      </c>
      <c r="F13" s="6">
        <v>2028</v>
      </c>
      <c r="G13" s="6" t="s">
        <v>168</v>
      </c>
      <c r="H13" s="6" t="s">
        <v>83</v>
      </c>
      <c r="I13" s="8" t="s">
        <v>169</v>
      </c>
      <c r="J13" s="6" t="s">
        <v>170</v>
      </c>
      <c r="K13" s="6" t="s">
        <v>144</v>
      </c>
      <c r="L13" s="6" t="s">
        <v>128</v>
      </c>
      <c r="M13" s="6" t="s">
        <v>171</v>
      </c>
      <c r="N13" s="6" t="s">
        <v>5</v>
      </c>
      <c r="O13" s="6" t="s">
        <v>146</v>
      </c>
    </row>
    <row r="14" spans="1:15" ht="58" x14ac:dyDescent="0.35">
      <c r="A14" s="1">
        <v>4</v>
      </c>
      <c r="B14" s="1" t="s">
        <v>172</v>
      </c>
      <c r="C14" s="3" t="s">
        <v>173</v>
      </c>
      <c r="D14" s="3" t="s">
        <v>41</v>
      </c>
      <c r="E14" s="3" t="s">
        <v>149</v>
      </c>
      <c r="F14" s="3">
        <v>2025</v>
      </c>
      <c r="G14" s="3" t="s">
        <v>174</v>
      </c>
      <c r="H14" s="3" t="s">
        <v>175</v>
      </c>
      <c r="I14" s="9" t="s">
        <v>176</v>
      </c>
      <c r="J14" s="3" t="s">
        <v>177</v>
      </c>
      <c r="K14" s="3" t="s">
        <v>178</v>
      </c>
      <c r="L14" s="3" t="s">
        <v>155</v>
      </c>
      <c r="M14" s="3" t="s">
        <v>179</v>
      </c>
      <c r="N14" s="3" t="s">
        <v>180</v>
      </c>
      <c r="O14" s="3" t="s">
        <v>181</v>
      </c>
    </row>
    <row r="15" spans="1:15" ht="87" x14ac:dyDescent="0.35">
      <c r="A15" s="4">
        <v>1</v>
      </c>
      <c r="B15" s="4" t="s">
        <v>182</v>
      </c>
      <c r="C15" s="6" t="s">
        <v>183</v>
      </c>
      <c r="D15" s="6" t="s">
        <v>41</v>
      </c>
      <c r="E15" s="6" t="s">
        <v>184</v>
      </c>
      <c r="F15" s="6">
        <v>2029</v>
      </c>
      <c r="G15" s="6" t="s">
        <v>185</v>
      </c>
      <c r="H15" s="6" t="s">
        <v>83</v>
      </c>
      <c r="I15" s="8" t="s">
        <v>186</v>
      </c>
      <c r="J15" s="6" t="s">
        <v>187</v>
      </c>
      <c r="K15" s="6" t="s">
        <v>188</v>
      </c>
      <c r="L15" s="6" t="s">
        <v>116</v>
      </c>
      <c r="M15" s="6" t="s">
        <v>189</v>
      </c>
      <c r="N15" s="6" t="s">
        <v>190</v>
      </c>
      <c r="O15" s="6" t="s">
        <v>181</v>
      </c>
    </row>
    <row r="16" spans="1:15" ht="87" x14ac:dyDescent="0.35">
      <c r="A16" s="1">
        <v>1</v>
      </c>
      <c r="B16" s="1" t="s">
        <v>191</v>
      </c>
      <c r="C16" s="3" t="s">
        <v>183</v>
      </c>
      <c r="D16" s="3" t="s">
        <v>41</v>
      </c>
      <c r="E16" s="3" t="s">
        <v>184</v>
      </c>
      <c r="F16" s="3">
        <v>2029</v>
      </c>
      <c r="G16" s="3" t="s">
        <v>185</v>
      </c>
      <c r="H16" s="3" t="s">
        <v>83</v>
      </c>
      <c r="I16" s="9" t="s">
        <v>192</v>
      </c>
      <c r="J16" s="3" t="s">
        <v>187</v>
      </c>
      <c r="K16" s="3" t="s">
        <v>188</v>
      </c>
      <c r="L16" s="3" t="s">
        <v>116</v>
      </c>
      <c r="M16" s="3" t="s">
        <v>189</v>
      </c>
      <c r="N16" s="3" t="s">
        <v>193</v>
      </c>
      <c r="O16" s="3" t="s">
        <v>181</v>
      </c>
    </row>
    <row r="17" spans="1:15" ht="159.5" x14ac:dyDescent="0.35">
      <c r="A17" s="4">
        <v>3</v>
      </c>
      <c r="B17" s="4" t="s">
        <v>194</v>
      </c>
      <c r="C17" s="6" t="s">
        <v>195</v>
      </c>
      <c r="D17" s="6" t="s">
        <v>41</v>
      </c>
      <c r="E17" s="6" t="s">
        <v>196</v>
      </c>
      <c r="F17" s="6">
        <v>2028</v>
      </c>
      <c r="G17" s="6" t="s">
        <v>197</v>
      </c>
      <c r="H17" s="6" t="s">
        <v>198</v>
      </c>
      <c r="I17" s="8" t="s">
        <v>199</v>
      </c>
      <c r="J17" s="6" t="s">
        <v>200</v>
      </c>
      <c r="K17" s="6" t="s">
        <v>201</v>
      </c>
      <c r="L17" s="6" t="s">
        <v>87</v>
      </c>
      <c r="M17" s="6" t="s">
        <v>202</v>
      </c>
      <c r="N17" s="6" t="s">
        <v>203</v>
      </c>
      <c r="O17" s="6" t="s">
        <v>181</v>
      </c>
    </row>
    <row r="18" spans="1:15" ht="174" x14ac:dyDescent="0.35">
      <c r="A18" s="1">
        <v>3</v>
      </c>
      <c r="B18" s="1" t="s">
        <v>204</v>
      </c>
      <c r="C18" s="3" t="s">
        <v>205</v>
      </c>
      <c r="D18" s="3" t="s">
        <v>41</v>
      </c>
      <c r="E18" s="3" t="s">
        <v>206</v>
      </c>
      <c r="F18" s="3">
        <v>2030</v>
      </c>
      <c r="G18" s="3" t="s">
        <v>207</v>
      </c>
      <c r="H18" s="3" t="s">
        <v>83</v>
      </c>
      <c r="I18" s="9" t="s">
        <v>208</v>
      </c>
      <c r="J18" s="3" t="s">
        <v>209</v>
      </c>
      <c r="K18" s="3" t="s">
        <v>210</v>
      </c>
      <c r="L18" s="3" t="s">
        <v>87</v>
      </c>
      <c r="M18" s="3" t="s">
        <v>211</v>
      </c>
      <c r="N18" s="3" t="s">
        <v>212</v>
      </c>
      <c r="O18" s="3" t="s">
        <v>181</v>
      </c>
    </row>
    <row r="19" spans="1:15" ht="58" x14ac:dyDescent="0.35">
      <c r="A19" s="4">
        <v>3</v>
      </c>
      <c r="B19" s="4" t="s">
        <v>213</v>
      </c>
      <c r="C19" s="6" t="s">
        <v>214</v>
      </c>
      <c r="D19" s="6" t="s">
        <v>215</v>
      </c>
      <c r="E19" s="6" t="s">
        <v>140</v>
      </c>
      <c r="F19" s="6">
        <v>2029</v>
      </c>
      <c r="G19" s="6" t="s">
        <v>216</v>
      </c>
      <c r="H19" s="6" t="s">
        <v>83</v>
      </c>
      <c r="I19" s="8" t="s">
        <v>217</v>
      </c>
      <c r="J19" s="6" t="s">
        <v>218</v>
      </c>
      <c r="K19" s="6" t="s">
        <v>144</v>
      </c>
      <c r="L19" s="6" t="s">
        <v>128</v>
      </c>
      <c r="M19" s="6" t="s">
        <v>219</v>
      </c>
      <c r="N19" s="6" t="s">
        <v>220</v>
      </c>
      <c r="O19" s="6" t="s">
        <v>221</v>
      </c>
    </row>
    <row r="20" spans="1:15" ht="101.5" x14ac:dyDescent="0.35">
      <c r="A20" s="1">
        <v>5</v>
      </c>
      <c r="B20" s="1" t="s">
        <v>222</v>
      </c>
      <c r="C20" s="3" t="s">
        <v>223</v>
      </c>
      <c r="D20" s="3" t="s">
        <v>215</v>
      </c>
      <c r="E20" s="3" t="s">
        <v>140</v>
      </c>
      <c r="F20" s="3">
        <v>2029</v>
      </c>
      <c r="G20" s="3" t="s">
        <v>224</v>
      </c>
      <c r="H20" s="3" t="s">
        <v>225</v>
      </c>
      <c r="I20" s="9" t="s">
        <v>226</v>
      </c>
      <c r="J20" s="3" t="s">
        <v>227</v>
      </c>
      <c r="K20" s="3" t="s">
        <v>144</v>
      </c>
      <c r="L20" s="3" t="s">
        <v>116</v>
      </c>
      <c r="M20" s="3" t="s">
        <v>228</v>
      </c>
      <c r="N20" s="3" t="s">
        <v>229</v>
      </c>
      <c r="O20" s="3" t="s">
        <v>230</v>
      </c>
    </row>
    <row r="21" spans="1:15" ht="116" x14ac:dyDescent="0.35">
      <c r="A21" s="4">
        <v>3</v>
      </c>
      <c r="B21" s="4" t="s">
        <v>231</v>
      </c>
      <c r="C21" s="6" t="s">
        <v>232</v>
      </c>
      <c r="D21" s="6" t="s">
        <v>215</v>
      </c>
      <c r="E21" s="6" t="s">
        <v>184</v>
      </c>
      <c r="F21" s="6">
        <v>2029</v>
      </c>
      <c r="G21" s="6" t="s">
        <v>233</v>
      </c>
      <c r="H21" s="6" t="s">
        <v>83</v>
      </c>
      <c r="I21" s="8" t="s">
        <v>234</v>
      </c>
      <c r="J21" s="6" t="s">
        <v>235</v>
      </c>
      <c r="K21" s="6" t="s">
        <v>236</v>
      </c>
      <c r="L21" s="6" t="s">
        <v>116</v>
      </c>
      <c r="M21" s="6" t="s">
        <v>237</v>
      </c>
      <c r="N21" s="6" t="s">
        <v>238</v>
      </c>
      <c r="O21" s="6" t="s">
        <v>239</v>
      </c>
    </row>
    <row r="22" spans="1:15" ht="58" x14ac:dyDescent="0.35">
      <c r="A22" s="1">
        <v>5</v>
      </c>
      <c r="B22" s="1" t="s">
        <v>240</v>
      </c>
      <c r="C22" s="3" t="s">
        <v>41</v>
      </c>
      <c r="D22" s="3" t="s">
        <v>41</v>
      </c>
      <c r="E22" s="3" t="s">
        <v>149</v>
      </c>
      <c r="F22" s="3">
        <v>2029</v>
      </c>
      <c r="G22" s="3" t="s">
        <v>241</v>
      </c>
      <c r="H22" s="3" t="s">
        <v>225</v>
      </c>
      <c r="I22" s="9" t="s">
        <v>242</v>
      </c>
      <c r="J22" s="3" t="s">
        <v>143</v>
      </c>
      <c r="K22" s="3" t="s">
        <v>144</v>
      </c>
      <c r="L22" s="3" t="s">
        <v>98</v>
      </c>
      <c r="M22" s="3" t="s">
        <v>243</v>
      </c>
      <c r="N22" s="3" t="s">
        <v>244</v>
      </c>
      <c r="O22" s="3" t="s">
        <v>181</v>
      </c>
    </row>
    <row r="23" spans="1:15" ht="29" x14ac:dyDescent="0.35">
      <c r="A23" s="4">
        <v>5</v>
      </c>
      <c r="B23" s="4" t="s">
        <v>245</v>
      </c>
      <c r="C23" s="6" t="s">
        <v>41</v>
      </c>
      <c r="D23" s="6" t="s">
        <v>41</v>
      </c>
      <c r="E23" s="6" t="s">
        <v>149</v>
      </c>
      <c r="F23" s="6">
        <v>2029</v>
      </c>
      <c r="G23" s="6" t="s">
        <v>246</v>
      </c>
      <c r="H23" s="6" t="s">
        <v>225</v>
      </c>
      <c r="I23" s="8" t="s">
        <v>247</v>
      </c>
      <c r="J23" s="6" t="s">
        <v>143</v>
      </c>
      <c r="K23" s="6" t="s">
        <v>144</v>
      </c>
      <c r="L23" s="6" t="s">
        <v>98</v>
      </c>
      <c r="M23" s="6" t="s">
        <v>248</v>
      </c>
      <c r="N23" s="6" t="s">
        <v>244</v>
      </c>
      <c r="O23" s="6" t="s">
        <v>181</v>
      </c>
    </row>
    <row r="24" spans="1:15" ht="43.5" x14ac:dyDescent="0.35">
      <c r="A24" s="1">
        <v>5</v>
      </c>
      <c r="B24" s="1" t="s">
        <v>249</v>
      </c>
      <c r="C24" s="3" t="s">
        <v>250</v>
      </c>
      <c r="D24" s="3" t="s">
        <v>215</v>
      </c>
      <c r="E24" s="3" t="s">
        <v>140</v>
      </c>
      <c r="F24" s="3">
        <v>2030</v>
      </c>
      <c r="G24" s="3" t="s">
        <v>224</v>
      </c>
      <c r="H24" s="3" t="s">
        <v>225</v>
      </c>
      <c r="I24" s="9" t="s">
        <v>251</v>
      </c>
      <c r="J24" s="3" t="s">
        <v>252</v>
      </c>
      <c r="K24" s="3" t="s">
        <v>144</v>
      </c>
      <c r="L24" s="3" t="s">
        <v>116</v>
      </c>
      <c r="M24" s="3" t="s">
        <v>253</v>
      </c>
      <c r="N24" s="3" t="s">
        <v>254</v>
      </c>
      <c r="O24" s="3" t="s">
        <v>181</v>
      </c>
    </row>
    <row r="25" spans="1:15" ht="43.5" x14ac:dyDescent="0.35">
      <c r="A25" s="4">
        <v>5</v>
      </c>
      <c r="B25" s="4" t="s">
        <v>255</v>
      </c>
      <c r="C25" s="6" t="s">
        <v>256</v>
      </c>
      <c r="D25" s="6" t="s">
        <v>215</v>
      </c>
      <c r="E25" s="6" t="s">
        <v>140</v>
      </c>
      <c r="F25" s="6">
        <v>2030</v>
      </c>
      <c r="G25" s="6" t="s">
        <v>224</v>
      </c>
      <c r="H25" s="6" t="s">
        <v>225</v>
      </c>
      <c r="I25" s="8" t="s">
        <v>257</v>
      </c>
      <c r="J25" s="6" t="s">
        <v>252</v>
      </c>
      <c r="K25" s="6" t="s">
        <v>144</v>
      </c>
      <c r="L25" s="6" t="s">
        <v>116</v>
      </c>
      <c r="M25" s="6" t="s">
        <v>258</v>
      </c>
      <c r="N25" s="6" t="s">
        <v>259</v>
      </c>
      <c r="O25" s="6" t="s">
        <v>260</v>
      </c>
    </row>
    <row r="26" spans="1:15" ht="43.5" x14ac:dyDescent="0.35">
      <c r="A26" s="1">
        <v>5</v>
      </c>
      <c r="B26" s="1" t="s">
        <v>261</v>
      </c>
      <c r="C26" s="3" t="s">
        <v>262</v>
      </c>
      <c r="D26" s="3" t="s">
        <v>215</v>
      </c>
      <c r="E26" s="3" t="s">
        <v>140</v>
      </c>
      <c r="F26" s="3">
        <v>2030</v>
      </c>
      <c r="G26" s="3" t="s">
        <v>224</v>
      </c>
      <c r="H26" s="3" t="s">
        <v>225</v>
      </c>
      <c r="I26" s="9" t="s">
        <v>263</v>
      </c>
      <c r="J26" s="3" t="s">
        <v>252</v>
      </c>
      <c r="K26" s="3" t="s">
        <v>144</v>
      </c>
      <c r="L26" s="3" t="s">
        <v>116</v>
      </c>
      <c r="M26" s="3" t="s">
        <v>264</v>
      </c>
      <c r="N26" s="3" t="s">
        <v>259</v>
      </c>
      <c r="O26" s="3" t="s">
        <v>260</v>
      </c>
    </row>
    <row r="27" spans="1:15" ht="159.5" x14ac:dyDescent="0.35">
      <c r="A27" s="4">
        <v>3</v>
      </c>
      <c r="B27" s="4" t="s">
        <v>265</v>
      </c>
      <c r="C27" s="6" t="s">
        <v>266</v>
      </c>
      <c r="D27" s="6" t="s">
        <v>267</v>
      </c>
      <c r="E27" s="6" t="s">
        <v>268</v>
      </c>
      <c r="F27" s="6">
        <v>2029</v>
      </c>
      <c r="G27" s="6" t="s">
        <v>269</v>
      </c>
      <c r="H27" s="6" t="s">
        <v>83</v>
      </c>
      <c r="I27" s="8" t="s">
        <v>270</v>
      </c>
      <c r="J27" s="6" t="s">
        <v>271</v>
      </c>
      <c r="K27" s="6" t="s">
        <v>272</v>
      </c>
      <c r="L27" s="6" t="s">
        <v>128</v>
      </c>
      <c r="M27" s="6" t="s">
        <v>273</v>
      </c>
      <c r="N27" s="6" t="s">
        <v>5</v>
      </c>
      <c r="O27" s="6" t="s">
        <v>157</v>
      </c>
    </row>
    <row r="28" spans="1:15" ht="116" x14ac:dyDescent="0.35">
      <c r="A28" s="1">
        <v>3</v>
      </c>
      <c r="B28" s="1" t="s">
        <v>274</v>
      </c>
      <c r="C28" s="3" t="s">
        <v>275</v>
      </c>
      <c r="D28" s="3" t="s">
        <v>276</v>
      </c>
      <c r="E28" s="3" t="s">
        <v>149</v>
      </c>
      <c r="F28" s="3">
        <v>2029</v>
      </c>
      <c r="G28" s="3" t="s">
        <v>277</v>
      </c>
      <c r="H28" s="3" t="s">
        <v>83</v>
      </c>
      <c r="I28" s="9" t="s">
        <v>278</v>
      </c>
      <c r="J28" s="3" t="s">
        <v>279</v>
      </c>
      <c r="K28" s="3" t="s">
        <v>280</v>
      </c>
      <c r="L28" s="3" t="s">
        <v>281</v>
      </c>
      <c r="M28" s="3" t="s">
        <v>282</v>
      </c>
      <c r="N28" s="3" t="s">
        <v>283</v>
      </c>
      <c r="O28" s="3" t="s">
        <v>284</v>
      </c>
    </row>
    <row r="29" spans="1:15" ht="43.5" x14ac:dyDescent="0.35">
      <c r="A29" s="4">
        <v>2</v>
      </c>
      <c r="B29" s="4" t="s">
        <v>568</v>
      </c>
      <c r="C29" s="6" t="s">
        <v>738</v>
      </c>
      <c r="D29" s="6" t="s">
        <v>285</v>
      </c>
      <c r="E29" s="6" t="s">
        <v>81</v>
      </c>
      <c r="F29" s="6">
        <v>2026</v>
      </c>
      <c r="G29" s="6" t="s">
        <v>286</v>
      </c>
      <c r="H29" s="6" t="s">
        <v>94</v>
      </c>
      <c r="I29" s="8" t="s">
        <v>287</v>
      </c>
      <c r="J29" s="6" t="s">
        <v>85</v>
      </c>
      <c r="K29" s="6" t="s">
        <v>288</v>
      </c>
      <c r="L29" s="6" t="s">
        <v>98</v>
      </c>
      <c r="M29" s="6" t="s">
        <v>289</v>
      </c>
      <c r="N29" s="6" t="s">
        <v>290</v>
      </c>
      <c r="O29" s="6" t="s">
        <v>291</v>
      </c>
    </row>
    <row r="30" spans="1:15" ht="29" x14ac:dyDescent="0.35">
      <c r="A30" s="1">
        <v>2</v>
      </c>
      <c r="B30" s="1" t="s">
        <v>292</v>
      </c>
      <c r="C30" s="3" t="s">
        <v>293</v>
      </c>
      <c r="D30" s="3" t="s">
        <v>294</v>
      </c>
      <c r="E30" s="3" t="s">
        <v>81</v>
      </c>
      <c r="F30" s="3">
        <v>2030</v>
      </c>
      <c r="G30" s="3" t="s">
        <v>295</v>
      </c>
      <c r="H30" s="3" t="s">
        <v>94</v>
      </c>
      <c r="I30" s="9" t="s">
        <v>296</v>
      </c>
      <c r="J30" s="3" t="s">
        <v>279</v>
      </c>
      <c r="K30" s="3" t="s">
        <v>297</v>
      </c>
      <c r="L30" s="3" t="s">
        <v>98</v>
      </c>
      <c r="M30" s="3" t="s">
        <v>298</v>
      </c>
      <c r="N30" s="3" t="s">
        <v>299</v>
      </c>
      <c r="O30" s="3" t="s">
        <v>300</v>
      </c>
    </row>
    <row r="31" spans="1:15" ht="72.5" x14ac:dyDescent="0.35">
      <c r="A31" s="163">
        <v>3</v>
      </c>
      <c r="B31" s="163" t="s">
        <v>796</v>
      </c>
      <c r="C31" s="164" t="s">
        <v>797</v>
      </c>
      <c r="D31" s="164" t="s">
        <v>495</v>
      </c>
      <c r="E31" s="164" t="s">
        <v>798</v>
      </c>
      <c r="F31" s="164">
        <v>2029</v>
      </c>
      <c r="G31" s="164" t="s">
        <v>799</v>
      </c>
      <c r="H31" s="164" t="s">
        <v>83</v>
      </c>
      <c r="I31" s="165" t="s">
        <v>800</v>
      </c>
      <c r="J31" s="164" t="s">
        <v>801</v>
      </c>
      <c r="K31" s="3" t="s">
        <v>86</v>
      </c>
      <c r="L31" s="164" t="s">
        <v>155</v>
      </c>
      <c r="M31" s="164" t="s">
        <v>802</v>
      </c>
      <c r="N31" s="164" t="s">
        <v>803</v>
      </c>
      <c r="O31" s="164" t="s">
        <v>804</v>
      </c>
    </row>
  </sheetData>
  <hyperlinks>
    <hyperlink ref="I7" r:id="rId1" xr:uid="{228D4E22-DF48-4E78-8E61-8DD550EDEF5C}"/>
    <hyperlink ref="I8" r:id="rId2" xr:uid="{8D1B1D67-46F8-42D0-9898-988F3A5A5B0E}"/>
    <hyperlink ref="I9" r:id="rId3" xr:uid="{5F692226-CF3C-4045-A101-DA7D301D6589}"/>
    <hyperlink ref="I15" r:id="rId4" xr:uid="{07C4F5C5-FE2F-4BE0-AA67-A017230CBC05}"/>
    <hyperlink ref="I10" r:id="rId5" xr:uid="{96F4A5AE-688E-49C5-84AA-E2CB7B585EE4}"/>
    <hyperlink ref="I11" r:id="rId6" xr:uid="{EFFE47A3-B536-43F8-A93E-395DBE8DA737}"/>
    <hyperlink ref="I14" r:id="rId7" xr:uid="{8FC1C80D-17BE-43BC-98E5-041A0720B39E}"/>
    <hyperlink ref="I12" r:id="rId8" xr:uid="{A5195377-423E-47BC-B6D3-FFFBCAE0FF1E}"/>
    <hyperlink ref="I19" r:id="rId9" xr:uid="{15E7F49D-BCAC-4ED7-8FD4-A7EBBFE3B842}"/>
    <hyperlink ref="I20" r:id="rId10" xr:uid="{AE1879AC-5C81-4BE5-8A6D-D6C739C0FAF7}"/>
    <hyperlink ref="I21" r:id="rId11" xr:uid="{C605416C-383B-46DF-99E1-5D3A687F3FF4}"/>
    <hyperlink ref="I13" r:id="rId12" xr:uid="{CDDD37EA-CE80-43E5-ADA0-F3CCCDE5274F}"/>
    <hyperlink ref="I2" r:id="rId13" xr:uid="{00A5C002-F355-4BB6-913A-3C61BD0801A4}"/>
    <hyperlink ref="I17" r:id="rId14" xr:uid="{4E37A548-3643-4F41-B218-082AC7271036}"/>
    <hyperlink ref="I18" r:id="rId15" xr:uid="{5C6BC874-7375-44F1-8225-1FE6DDBB93DC}"/>
    <hyperlink ref="I16" r:id="rId16" xr:uid="{4542343B-B8B6-45AC-B5C6-0B5411AB4CD1}"/>
    <hyperlink ref="I3" r:id="rId17" xr:uid="{ED9A8160-96C1-48B1-A35C-61DD67EE2350}"/>
    <hyperlink ref="I4" r:id="rId18" xr:uid="{13D93CA7-8529-4AE0-9D96-52FD8F0DBD38}"/>
    <hyperlink ref="I5" r:id="rId19" xr:uid="{1602D39F-9220-4436-81EF-3D179226DCFD}"/>
    <hyperlink ref="I6" r:id="rId20" xr:uid="{A1190903-3C7C-4B54-A141-A41DD3239BF5}"/>
    <hyperlink ref="I23" r:id="rId21" xr:uid="{709F0D06-5D35-4D45-B501-62E20C3DBFA4}"/>
    <hyperlink ref="I22" r:id="rId22" xr:uid="{F2400F1B-B0D5-40CB-8812-8F4AAF6A1606}"/>
    <hyperlink ref="I24" r:id="rId23" xr:uid="{7D7EFC1A-EA69-425D-8B8C-F50DBC4FDCAE}"/>
    <hyperlink ref="I25" r:id="rId24" xr:uid="{A458A824-7668-44E7-ABC3-690AD3298A8D}"/>
    <hyperlink ref="I26" r:id="rId25" xr:uid="{D73BD70A-2B8E-4E78-B5E9-E6795C5790A9}"/>
    <hyperlink ref="I27" r:id="rId26" xr:uid="{040B3E66-EEAE-4EB4-935B-296FEE6A6CF1}"/>
    <hyperlink ref="I28" r:id="rId27" xr:uid="{F9093373-CEFF-49D3-9310-FDEAF792376D}"/>
    <hyperlink ref="I30" r:id="rId28" xr:uid="{3CBEF320-B020-4419-9C34-CE07048E216B}"/>
    <hyperlink ref="I29" r:id="rId29" xr:uid="{C5B614B0-B265-477A-883F-A62FB800F5AE}"/>
    <hyperlink ref="I31" r:id="rId30" xr:uid="{092E8015-9BBD-4DB1-B4C9-C959A018D3FD}"/>
  </hyperlink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609EB9-2F37-478C-985F-F709B8B65305}">
  <sheetPr codeName="Sheet20">
    <tabColor rgb="FF7030A0"/>
  </sheetPr>
  <dimension ref="A1:P30"/>
  <sheetViews>
    <sheetView topLeftCell="A14" workbookViewId="0">
      <selection activeCell="P30" sqref="A30:P30"/>
    </sheetView>
  </sheetViews>
  <sheetFormatPr defaultRowHeight="14.5" x14ac:dyDescent="0.35"/>
  <cols>
    <col min="1" max="1" width="84.90625" bestFit="1" customWidth="1"/>
    <col min="2" max="2" width="19.81640625" bestFit="1" customWidth="1"/>
    <col min="3" max="3" width="49.7265625" style="11" customWidth="1"/>
    <col min="11" max="11" width="9" bestFit="1" customWidth="1"/>
    <col min="12" max="12" width="8.36328125" bestFit="1" customWidth="1"/>
    <col min="16" max="16" width="9" bestFit="1" customWidth="1"/>
  </cols>
  <sheetData>
    <row r="1" spans="1:16" ht="21" x14ac:dyDescent="0.35">
      <c r="A1" s="10" t="s">
        <v>304</v>
      </c>
      <c r="B1" s="10" t="s">
        <v>1</v>
      </c>
      <c r="C1" s="16" t="s">
        <v>305</v>
      </c>
      <c r="D1" s="10" t="s">
        <v>306</v>
      </c>
      <c r="E1" s="10" t="s">
        <v>307</v>
      </c>
      <c r="F1" s="10" t="s">
        <v>308</v>
      </c>
      <c r="G1" s="10" t="s">
        <v>309</v>
      </c>
      <c r="H1" s="10" t="s">
        <v>310</v>
      </c>
      <c r="I1" s="10" t="s">
        <v>311</v>
      </c>
      <c r="J1" s="10" t="s">
        <v>312</v>
      </c>
      <c r="K1" s="10" t="s">
        <v>313</v>
      </c>
      <c r="L1" s="10" t="s">
        <v>314</v>
      </c>
      <c r="M1" s="10" t="s">
        <v>315</v>
      </c>
      <c r="N1" s="10" t="s">
        <v>316</v>
      </c>
      <c r="O1" s="10" t="s">
        <v>317</v>
      </c>
      <c r="P1" s="10" t="s">
        <v>318</v>
      </c>
    </row>
    <row r="2" spans="1:16" x14ac:dyDescent="0.35">
      <c r="A2" s="17" t="s">
        <v>319</v>
      </c>
      <c r="B2" s="17" t="str">
        <f>VLOOKUP($A2,'EPD REPOSITORY'!$B$1:$O$30,3,FALSE)</f>
        <v>Timber Frame</v>
      </c>
      <c r="C2" s="18" t="str">
        <f>VLOOKUP($A2,'EPD REPOSITORY'!$B$1:$O$30,12,FALSE)</f>
        <v>1m2 of Alpha panel mass 21.04 kg</v>
      </c>
      <c r="D2" s="17" t="s">
        <v>320</v>
      </c>
      <c r="E2" s="19">
        <v>8.64</v>
      </c>
      <c r="F2" s="19">
        <v>0.83099999999999996</v>
      </c>
      <c r="G2" s="19">
        <v>5.21</v>
      </c>
      <c r="H2" s="19">
        <v>14.681000000000001</v>
      </c>
      <c r="I2" s="22">
        <v>0</v>
      </c>
      <c r="J2" s="22">
        <v>0</v>
      </c>
      <c r="K2" s="22">
        <v>0</v>
      </c>
      <c r="L2" s="19">
        <v>0</v>
      </c>
      <c r="M2" s="19">
        <v>0.10299999999999999</v>
      </c>
      <c r="N2" s="19">
        <v>0.86699999999999999</v>
      </c>
      <c r="O2" s="19">
        <v>4.7699999999999999E-3</v>
      </c>
      <c r="P2" s="19">
        <v>-22.7</v>
      </c>
    </row>
    <row r="3" spans="1:16" x14ac:dyDescent="0.35">
      <c r="A3" s="17" t="s">
        <v>321</v>
      </c>
      <c r="B3" s="17" t="str">
        <f>VLOOKUP($A3,'EPD REPOSITORY'!$B$1:$O$30,3,FALSE)</f>
        <v>Timber Frame</v>
      </c>
      <c r="C3" s="18" t="str">
        <f>VLOOKUP($A3,'EPD REPOSITORY'!$B$1:$O$30,12,FALSE)</f>
        <v>1 m^3 Open Panel</v>
      </c>
      <c r="D3" s="17" t="s">
        <v>320</v>
      </c>
      <c r="E3" s="22">
        <v>0</v>
      </c>
      <c r="F3" s="22">
        <v>0</v>
      </c>
      <c r="G3" s="22">
        <v>0</v>
      </c>
      <c r="H3" s="19">
        <v>214</v>
      </c>
      <c r="I3" s="19">
        <v>3.8400000000000001E-4</v>
      </c>
      <c r="J3" s="19">
        <v>0.39500000000000002</v>
      </c>
      <c r="K3" s="22">
        <v>0</v>
      </c>
      <c r="L3" s="19">
        <v>0</v>
      </c>
      <c r="M3" s="19">
        <v>2.67</v>
      </c>
      <c r="N3" s="19">
        <v>4.1900000000000004</v>
      </c>
      <c r="O3" s="19">
        <v>6.67</v>
      </c>
      <c r="P3" s="19">
        <v>-183</v>
      </c>
    </row>
    <row r="4" spans="1:16" x14ac:dyDescent="0.35">
      <c r="A4" s="17" t="s">
        <v>110</v>
      </c>
      <c r="B4" s="17" t="str">
        <f>VLOOKUP($A4,'EPD REPOSITORY'!$B$1:$O$30,3,FALSE)</f>
        <v>ICF</v>
      </c>
      <c r="C4" s="18" t="str">
        <f>VLOOKUP($A4,'EPD REPOSITORY'!$B$1:$O$30,12,FALSE)</f>
        <v>1 panel of ICF system - 1.0 * 6.91 kg (Mass)</v>
      </c>
      <c r="D4" s="17" t="s">
        <v>320</v>
      </c>
      <c r="E4" s="19">
        <v>14</v>
      </c>
      <c r="F4" s="19">
        <v>2.3E-2</v>
      </c>
      <c r="G4" s="19">
        <v>3.06</v>
      </c>
      <c r="H4" s="19">
        <v>17.082999999999998</v>
      </c>
      <c r="I4" s="22">
        <v>0</v>
      </c>
      <c r="J4" s="22">
        <v>0</v>
      </c>
      <c r="K4" s="22">
        <v>0</v>
      </c>
      <c r="L4" s="19">
        <v>2.3E-2</v>
      </c>
      <c r="M4" s="19">
        <v>3.3599999999999998E-2</v>
      </c>
      <c r="N4" s="19">
        <v>0</v>
      </c>
      <c r="O4" s="19">
        <v>8.7200000000000003E-3</v>
      </c>
      <c r="P4" s="19">
        <v>-12.3</v>
      </c>
    </row>
    <row r="5" spans="1:16" ht="29" x14ac:dyDescent="0.35">
      <c r="A5" s="17" t="s">
        <v>120</v>
      </c>
      <c r="B5" s="17" t="str">
        <f>VLOOKUP($A5,'EPD REPOSITORY'!$B$1:$O$30,3,FALSE)</f>
        <v>ICF</v>
      </c>
      <c r="C5" s="18" t="str">
        <f>VLOOKUP($A5,'EPD REPOSITORY'!$B$1:$O$30,12,FALSE)</f>
        <v>1 m^2 of Thermomur panel including transportation to site, waste handling and recovery</v>
      </c>
      <c r="D5" s="17" t="s">
        <v>320</v>
      </c>
      <c r="E5" s="19">
        <v>21.1</v>
      </c>
      <c r="F5" s="19">
        <v>0.34799999999999998</v>
      </c>
      <c r="G5" s="19">
        <v>4.99</v>
      </c>
      <c r="H5" s="19">
        <v>26.438000000000002</v>
      </c>
      <c r="I5" s="19">
        <v>0.247</v>
      </c>
      <c r="J5" s="19">
        <v>7.7999999999999996E-3</v>
      </c>
      <c r="K5" s="22">
        <v>0</v>
      </c>
      <c r="L5" s="19">
        <v>3.2599999999999997E-2</v>
      </c>
      <c r="M5" s="19">
        <v>6.0600000000000001E-2</v>
      </c>
      <c r="N5" s="19">
        <v>5.79E-3</v>
      </c>
      <c r="O5" s="19">
        <v>6.6900000000000001E-2</v>
      </c>
      <c r="P5" s="19">
        <v>-1.21E-2</v>
      </c>
    </row>
    <row r="6" spans="1:16" x14ac:dyDescent="0.35">
      <c r="A6" s="17" t="s">
        <v>486</v>
      </c>
      <c r="B6" s="17" t="s">
        <v>24</v>
      </c>
      <c r="C6" s="18" t="s">
        <v>322</v>
      </c>
      <c r="D6" s="17" t="s">
        <v>320</v>
      </c>
      <c r="E6" s="19">
        <v>15.3</v>
      </c>
      <c r="F6" s="19">
        <v>0.42199999999999999</v>
      </c>
      <c r="G6" s="19">
        <v>4.95</v>
      </c>
      <c r="H6" s="19">
        <v>20.672000000000001</v>
      </c>
      <c r="I6" s="19">
        <v>0.184</v>
      </c>
      <c r="J6" s="19">
        <v>0.82</v>
      </c>
      <c r="K6" s="22">
        <v>0</v>
      </c>
      <c r="L6" s="19">
        <v>0</v>
      </c>
      <c r="M6" s="19">
        <v>0.16300000000000001</v>
      </c>
      <c r="N6" s="19">
        <v>0</v>
      </c>
      <c r="O6" s="19">
        <v>18.600000000000001</v>
      </c>
      <c r="P6" s="19">
        <v>-9.0500000000000007</v>
      </c>
    </row>
    <row r="7" spans="1:16" x14ac:dyDescent="0.35">
      <c r="A7" s="17" t="s">
        <v>487</v>
      </c>
      <c r="B7" s="17" t="s">
        <v>24</v>
      </c>
      <c r="C7" s="18" t="s">
        <v>323</v>
      </c>
      <c r="D7" s="17" t="s">
        <v>320</v>
      </c>
      <c r="E7" s="19">
        <v>20.2</v>
      </c>
      <c r="F7" s="19">
        <v>0.71699999999999997</v>
      </c>
      <c r="G7" s="19">
        <v>5.12</v>
      </c>
      <c r="H7" s="19">
        <v>26.036999999999999</v>
      </c>
      <c r="I7" s="19">
        <v>0.191</v>
      </c>
      <c r="J7" s="19">
        <v>1.05</v>
      </c>
      <c r="K7" s="22">
        <v>0</v>
      </c>
      <c r="L7" s="19">
        <v>0</v>
      </c>
      <c r="M7" s="19">
        <v>0.16800000000000001</v>
      </c>
      <c r="N7" s="19">
        <v>0</v>
      </c>
      <c r="O7" s="19">
        <v>22.9</v>
      </c>
      <c r="P7" s="19">
        <v>-10.6</v>
      </c>
    </row>
    <row r="8" spans="1:16" ht="29" x14ac:dyDescent="0.35">
      <c r="A8" s="17" t="s">
        <v>182</v>
      </c>
      <c r="B8" s="17" t="str">
        <f>VLOOKUP($A8,'EPD REPOSITORY'!$B$1:$O$30,3,FALSE)</f>
        <v>SIP</v>
      </c>
      <c r="C8" s="18" t="s">
        <v>189</v>
      </c>
      <c r="D8" s="17" t="s">
        <v>320</v>
      </c>
      <c r="E8" s="22">
        <v>0</v>
      </c>
      <c r="F8" s="22">
        <v>0</v>
      </c>
      <c r="G8" s="22">
        <v>0</v>
      </c>
      <c r="H8" s="19">
        <v>19.5</v>
      </c>
      <c r="I8" s="22">
        <v>0</v>
      </c>
      <c r="J8" s="22">
        <v>0</v>
      </c>
      <c r="K8" s="22">
        <v>0</v>
      </c>
      <c r="L8" s="19">
        <v>0.13300000000000001</v>
      </c>
      <c r="M8" s="19">
        <v>0.13700000000000001</v>
      </c>
      <c r="N8" s="19">
        <v>12.5</v>
      </c>
      <c r="O8" s="19">
        <v>0</v>
      </c>
      <c r="P8" s="19">
        <v>-17.5</v>
      </c>
    </row>
    <row r="9" spans="1:16" ht="58" x14ac:dyDescent="0.35">
      <c r="A9" s="17" t="s">
        <v>324</v>
      </c>
      <c r="B9" s="17" t="str">
        <f>VLOOKUP($A9,'EPD REPOSITORY'!$B$1:$O$30,3,FALSE)</f>
        <v>Timber Frame</v>
      </c>
      <c r="C9" s="18" t="s">
        <v>237</v>
      </c>
      <c r="D9" s="17" t="s">
        <v>320</v>
      </c>
      <c r="E9" s="22">
        <v>0</v>
      </c>
      <c r="F9" s="22">
        <v>0</v>
      </c>
      <c r="G9" s="22">
        <v>0</v>
      </c>
      <c r="H9" s="19">
        <v>24.7</v>
      </c>
      <c r="I9" s="19">
        <v>7.81</v>
      </c>
      <c r="J9" s="22">
        <v>0</v>
      </c>
      <c r="K9" s="22">
        <v>0</v>
      </c>
      <c r="L9" s="19">
        <v>0</v>
      </c>
      <c r="M9" s="19">
        <v>0.35099999999999998</v>
      </c>
      <c r="N9" s="19">
        <v>22.8</v>
      </c>
      <c r="O9" s="19">
        <v>2.9899999999999999E-2</v>
      </c>
      <c r="P9" s="19">
        <v>-14.5</v>
      </c>
    </row>
    <row r="10" spans="1:16" x14ac:dyDescent="0.35">
      <c r="A10" s="17" t="s">
        <v>325</v>
      </c>
      <c r="B10" s="17" t="str">
        <f>VLOOKUP($A10,'EPD REPOSITORY'!$B$1:$O$30,3,FALSE)</f>
        <v>LGS</v>
      </c>
      <c r="C10" s="18" t="s">
        <v>145</v>
      </c>
      <c r="D10" s="17" t="s">
        <v>320</v>
      </c>
      <c r="E10" s="22">
        <v>0</v>
      </c>
      <c r="F10" s="22">
        <v>0</v>
      </c>
      <c r="G10" s="22">
        <v>0</v>
      </c>
      <c r="H10" s="19">
        <v>3.25</v>
      </c>
      <c r="I10" s="19">
        <v>3.2800000000000003E-2</v>
      </c>
      <c r="J10" s="19">
        <v>3.0599999999999998E-3</v>
      </c>
      <c r="K10" s="22">
        <v>0</v>
      </c>
      <c r="L10" s="19">
        <v>3.0400000000000002E-3</v>
      </c>
      <c r="M10" s="19">
        <v>2.82E-3</v>
      </c>
      <c r="N10" s="19">
        <v>2.4500000000000001E-2</v>
      </c>
      <c r="O10" s="19">
        <v>2.63E-4</v>
      </c>
      <c r="P10" s="19">
        <v>2.98E-2</v>
      </c>
    </row>
    <row r="11" spans="1:16" ht="29" x14ac:dyDescent="0.35">
      <c r="A11" s="17" t="s">
        <v>191</v>
      </c>
      <c r="B11" s="17" t="str">
        <f>VLOOKUP($A11,'EPD REPOSITORY'!$B$1:$O$30,3,FALSE)</f>
        <v>SIP</v>
      </c>
      <c r="C11" s="18" t="s">
        <v>189</v>
      </c>
      <c r="D11" s="17" t="s">
        <v>320</v>
      </c>
      <c r="E11" s="22">
        <v>0</v>
      </c>
      <c r="F11" s="22">
        <v>0</v>
      </c>
      <c r="G11" s="22">
        <v>0</v>
      </c>
      <c r="H11" s="19">
        <v>24.6</v>
      </c>
      <c r="I11" s="22">
        <v>0</v>
      </c>
      <c r="J11" s="22">
        <v>0</v>
      </c>
      <c r="K11" s="22">
        <v>0</v>
      </c>
      <c r="L11" s="19">
        <v>0.13800000000000001</v>
      </c>
      <c r="M11" s="19">
        <v>0.14199999999999999</v>
      </c>
      <c r="N11" s="19">
        <v>12.9</v>
      </c>
      <c r="O11" s="19">
        <v>0</v>
      </c>
      <c r="P11" s="19">
        <v>-18.100000000000001</v>
      </c>
    </row>
    <row r="12" spans="1:16" x14ac:dyDescent="0.35">
      <c r="A12" s="17" t="s">
        <v>166</v>
      </c>
      <c r="B12" s="17" t="str">
        <f>VLOOKUP($A12,'EPD REPOSITORY'!$B$1:$O$30,3,FALSE)</f>
        <v>LGS</v>
      </c>
      <c r="C12" s="18" t="s">
        <v>171</v>
      </c>
      <c r="D12" s="17" t="s">
        <v>320</v>
      </c>
      <c r="E12" s="19">
        <v>1.81</v>
      </c>
      <c r="F12" s="19">
        <v>0.184</v>
      </c>
      <c r="G12" s="19">
        <v>0.12</v>
      </c>
      <c r="H12" s="19">
        <v>2.1139999999999999</v>
      </c>
      <c r="I12" s="19">
        <v>1.2E-2</v>
      </c>
      <c r="J12" s="19">
        <v>1.1100000000000001E-3</v>
      </c>
      <c r="K12" s="22">
        <v>0</v>
      </c>
      <c r="L12" s="19">
        <v>1.0499999999999999E-3</v>
      </c>
      <c r="M12" s="19">
        <v>0</v>
      </c>
      <c r="N12" s="19">
        <v>2.1899999999999999E-2</v>
      </c>
      <c r="O12" s="19">
        <v>3.1700000000000001E-4</v>
      </c>
      <c r="P12" s="19">
        <v>-0.81799999999999995</v>
      </c>
    </row>
    <row r="13" spans="1:16" x14ac:dyDescent="0.35">
      <c r="A13" s="17" t="s">
        <v>788</v>
      </c>
      <c r="B13" s="17" t="s">
        <v>80</v>
      </c>
      <c r="C13" s="18" t="s">
        <v>787</v>
      </c>
      <c r="D13" s="17" t="s">
        <v>320</v>
      </c>
      <c r="E13" s="22">
        <v>0</v>
      </c>
      <c r="F13" s="22">
        <v>0</v>
      </c>
      <c r="G13" s="22">
        <v>0</v>
      </c>
      <c r="H13" s="19">
        <v>94.7</v>
      </c>
      <c r="I13" s="22">
        <v>0</v>
      </c>
      <c r="J13" s="22">
        <v>0</v>
      </c>
      <c r="K13" s="22">
        <v>0</v>
      </c>
      <c r="L13" s="19">
        <v>8.99</v>
      </c>
      <c r="M13" s="19">
        <v>7.49</v>
      </c>
      <c r="N13" s="19">
        <v>3.17</v>
      </c>
      <c r="O13" s="19">
        <v>0</v>
      </c>
      <c r="P13" s="19">
        <v>-14.6</v>
      </c>
    </row>
    <row r="14" spans="1:16" x14ac:dyDescent="0.35">
      <c r="A14" s="17" t="s">
        <v>194</v>
      </c>
      <c r="B14" s="17" t="str">
        <f>VLOOKUP($A14,'EPD REPOSITORY'!$B$1:$O$30,3,FALSE)</f>
        <v>SIP</v>
      </c>
      <c r="C14" s="18" t="s">
        <v>326</v>
      </c>
      <c r="D14" s="17" t="s">
        <v>320</v>
      </c>
      <c r="E14" s="22">
        <v>0</v>
      </c>
      <c r="F14" s="22">
        <v>0</v>
      </c>
      <c r="G14" s="22">
        <v>0</v>
      </c>
      <c r="H14" s="19">
        <v>40</v>
      </c>
      <c r="I14" s="22">
        <v>0</v>
      </c>
      <c r="J14" s="22">
        <v>0</v>
      </c>
      <c r="K14" s="22">
        <v>0</v>
      </c>
      <c r="L14" s="19">
        <v>1.52E-2</v>
      </c>
      <c r="M14" s="19">
        <v>0.16500000000000001</v>
      </c>
      <c r="N14" s="19">
        <v>0</v>
      </c>
      <c r="O14" s="19">
        <v>2.21</v>
      </c>
      <c r="P14" s="19">
        <v>-6.7299999999999999E-3</v>
      </c>
    </row>
    <row r="15" spans="1:16" ht="72.5" x14ac:dyDescent="0.35">
      <c r="A15" s="17" t="s">
        <v>204</v>
      </c>
      <c r="B15" s="17" t="str">
        <f>VLOOKUP($A15,'EPD REPOSITORY'!$B$1:$O$30,3,FALSE)</f>
        <v>SIP</v>
      </c>
      <c r="C15" s="18" t="s">
        <v>211</v>
      </c>
      <c r="D15" s="17" t="s">
        <v>320</v>
      </c>
      <c r="E15" s="22">
        <v>0</v>
      </c>
      <c r="F15" s="22">
        <v>0</v>
      </c>
      <c r="G15" s="22">
        <v>0</v>
      </c>
      <c r="H15" s="19">
        <v>44.4</v>
      </c>
      <c r="I15" s="22">
        <v>0</v>
      </c>
      <c r="J15" s="22">
        <v>0</v>
      </c>
      <c r="K15" s="22">
        <v>0</v>
      </c>
      <c r="L15" s="19">
        <v>8.3199999999999995E-4</v>
      </c>
      <c r="M15" s="19">
        <v>0.14899999999999999</v>
      </c>
      <c r="N15" s="19">
        <v>8.2000000000000001E-5</v>
      </c>
      <c r="O15" s="19">
        <v>4.3899999999999997</v>
      </c>
      <c r="P15" s="19">
        <v>-13.1</v>
      </c>
    </row>
    <row r="16" spans="1:16" x14ac:dyDescent="0.35">
      <c r="A16" s="17" t="s">
        <v>91</v>
      </c>
      <c r="B16" s="17" t="str">
        <f>VLOOKUP($A16,'EPD REPOSITORY'!$B$1:$O$30,3,FALSE)</f>
        <v>Concrete Block</v>
      </c>
      <c r="C16" s="18" t="s">
        <v>99</v>
      </c>
      <c r="D16" s="17" t="s">
        <v>320</v>
      </c>
      <c r="E16" s="19">
        <v>267</v>
      </c>
      <c r="F16" s="19">
        <v>3.89</v>
      </c>
      <c r="G16" s="19">
        <v>9.1</v>
      </c>
      <c r="H16" s="19">
        <v>279.99</v>
      </c>
      <c r="I16" s="19">
        <v>62.3</v>
      </c>
      <c r="J16" s="19">
        <v>14.3</v>
      </c>
      <c r="K16" s="19">
        <v>-17.600000000000001</v>
      </c>
      <c r="L16" s="19">
        <v>0</v>
      </c>
      <c r="M16" s="19">
        <v>5.0599999999999996</v>
      </c>
      <c r="N16" s="19">
        <v>0.28499999999999998</v>
      </c>
      <c r="O16" s="19">
        <v>0</v>
      </c>
      <c r="P16" s="19">
        <v>-14.7</v>
      </c>
    </row>
    <row r="17" spans="1:16" x14ac:dyDescent="0.35">
      <c r="A17" s="17" t="s">
        <v>101</v>
      </c>
      <c r="B17" s="17" t="str">
        <f>VLOOKUP($A17,'EPD REPOSITORY'!$B$1:$O$30,3,FALSE)</f>
        <v>Concrete Block</v>
      </c>
      <c r="C17" s="18" t="s">
        <v>99</v>
      </c>
      <c r="D17" s="17" t="s">
        <v>320</v>
      </c>
      <c r="E17" s="19">
        <v>313</v>
      </c>
      <c r="F17" s="19">
        <v>3.99</v>
      </c>
      <c r="G17" s="19">
        <v>9.1</v>
      </c>
      <c r="H17" s="19">
        <v>326.09000000000003</v>
      </c>
      <c r="I17" s="19">
        <v>62.3</v>
      </c>
      <c r="J17" s="19">
        <v>16.600000000000001</v>
      </c>
      <c r="K17" s="19">
        <v>-17.600000000000001</v>
      </c>
      <c r="L17" s="19">
        <v>0</v>
      </c>
      <c r="M17" s="19">
        <v>5.0599999999999996</v>
      </c>
      <c r="N17" s="19">
        <v>0.28499999999999998</v>
      </c>
      <c r="O17" s="19">
        <v>0</v>
      </c>
      <c r="P17" s="19">
        <v>-14.7</v>
      </c>
    </row>
    <row r="18" spans="1:16" x14ac:dyDescent="0.35">
      <c r="A18" s="17" t="s">
        <v>104</v>
      </c>
      <c r="B18" s="17" t="str">
        <f>VLOOKUP($A18,'EPD REPOSITORY'!$B$1:$O$30,3,FALSE)</f>
        <v>Concrete Block</v>
      </c>
      <c r="C18" s="18" t="s">
        <v>99</v>
      </c>
      <c r="D18" s="17" t="s">
        <v>320</v>
      </c>
      <c r="E18" s="19">
        <v>315</v>
      </c>
      <c r="F18" s="19">
        <v>4.09</v>
      </c>
      <c r="G18" s="19">
        <v>9.1</v>
      </c>
      <c r="H18" s="19">
        <v>328.19</v>
      </c>
      <c r="I18" s="19">
        <v>62.3</v>
      </c>
      <c r="J18" s="19">
        <v>16.7</v>
      </c>
      <c r="K18" s="19">
        <v>-17.600000000000001</v>
      </c>
      <c r="L18" s="19">
        <v>0</v>
      </c>
      <c r="M18" s="19">
        <v>5.0599999999999996</v>
      </c>
      <c r="N18" s="19">
        <v>0.28499999999999998</v>
      </c>
      <c r="O18" s="19">
        <v>0</v>
      </c>
      <c r="P18" s="19">
        <v>-0.14699999999999999</v>
      </c>
    </row>
    <row r="19" spans="1:16" x14ac:dyDescent="0.35">
      <c r="A19" s="17" t="s">
        <v>107</v>
      </c>
      <c r="B19" s="17" t="str">
        <f>VLOOKUP($A19,'EPD REPOSITORY'!$B$1:$O$30,3,FALSE)</f>
        <v>Concrete Block</v>
      </c>
      <c r="C19" s="18" t="s">
        <v>99</v>
      </c>
      <c r="D19" s="17" t="s">
        <v>320</v>
      </c>
      <c r="E19" s="19">
        <v>345</v>
      </c>
      <c r="F19" s="19">
        <v>3.67</v>
      </c>
      <c r="G19" s="19">
        <v>9.1</v>
      </c>
      <c r="H19" s="19">
        <v>357.77000000000004</v>
      </c>
      <c r="I19" s="19">
        <v>62.3</v>
      </c>
      <c r="J19" s="19">
        <v>18.2</v>
      </c>
      <c r="K19" s="19">
        <v>-17.600000000000001</v>
      </c>
      <c r="L19" s="19">
        <v>0</v>
      </c>
      <c r="M19" s="19">
        <v>5.0599999999999996</v>
      </c>
      <c r="N19" s="19">
        <v>0.28499999999999998</v>
      </c>
      <c r="O19" s="19">
        <v>0</v>
      </c>
      <c r="P19" s="19">
        <v>-14.7</v>
      </c>
    </row>
    <row r="20" spans="1:16" x14ac:dyDescent="0.35">
      <c r="A20" s="17" t="s">
        <v>194</v>
      </c>
      <c r="B20" s="17" t="str">
        <f>VLOOKUP($A20,'EPD REPOSITORY'!$B$1:$O$30,3,FALSE)</f>
        <v>SIP</v>
      </c>
      <c r="C20" s="18" t="s">
        <v>327</v>
      </c>
      <c r="D20" s="17" t="s">
        <v>320</v>
      </c>
      <c r="E20" s="22">
        <v>0</v>
      </c>
      <c r="F20" s="22">
        <v>0</v>
      </c>
      <c r="G20" s="22">
        <v>0</v>
      </c>
      <c r="H20" s="19">
        <v>54.1</v>
      </c>
      <c r="I20" s="22">
        <v>0</v>
      </c>
      <c r="J20" s="22">
        <v>0</v>
      </c>
      <c r="K20" s="22">
        <v>0</v>
      </c>
      <c r="L20" s="19">
        <v>1.9699999999999999E-2</v>
      </c>
      <c r="M20" s="19">
        <v>0.21299999999999999</v>
      </c>
      <c r="N20" s="19">
        <v>0</v>
      </c>
      <c r="O20" s="19">
        <v>2.82</v>
      </c>
      <c r="P20" s="19">
        <v>-9.8600000000000007E-3</v>
      </c>
    </row>
    <row r="21" spans="1:16" ht="29" x14ac:dyDescent="0.35">
      <c r="A21" s="17" t="s">
        <v>240</v>
      </c>
      <c r="B21" s="17" t="str">
        <f>VLOOKUP($A21,'EPD REPOSITORY'!$B$1:$O$30,3,FALSE)</f>
        <v>SIP</v>
      </c>
      <c r="C21" s="18" t="s">
        <v>243</v>
      </c>
      <c r="D21" s="17" t="s">
        <v>320</v>
      </c>
      <c r="E21" s="19">
        <v>18.7</v>
      </c>
      <c r="F21" s="19">
        <v>1.64</v>
      </c>
      <c r="G21" s="19">
        <v>2.72</v>
      </c>
      <c r="H21" s="19">
        <v>23.1</v>
      </c>
      <c r="I21" s="19">
        <v>0.35</v>
      </c>
      <c r="J21" s="19">
        <v>4.8</v>
      </c>
      <c r="K21" s="19">
        <v>0</v>
      </c>
      <c r="L21" s="19">
        <v>4.64E-4</v>
      </c>
      <c r="M21" s="19">
        <v>0.17499999999999999</v>
      </c>
      <c r="N21" s="19">
        <v>0</v>
      </c>
      <c r="O21" s="19">
        <v>0.53800000000000003</v>
      </c>
      <c r="P21" s="19">
        <v>0</v>
      </c>
    </row>
    <row r="22" spans="1:16" x14ac:dyDescent="0.35">
      <c r="A22" s="17" t="s">
        <v>245</v>
      </c>
      <c r="B22" s="17" t="str">
        <f>VLOOKUP($A22,'EPD REPOSITORY'!$B$1:$O$30,3,FALSE)</f>
        <v>SIP</v>
      </c>
      <c r="C22" s="18" t="s">
        <v>248</v>
      </c>
      <c r="D22" s="17" t="s">
        <v>320</v>
      </c>
      <c r="E22" s="19">
        <v>18.7</v>
      </c>
      <c r="F22" s="19">
        <v>1.64</v>
      </c>
      <c r="G22" s="19">
        <v>2.82</v>
      </c>
      <c r="H22" s="19">
        <v>23.2</v>
      </c>
      <c r="I22" s="19">
        <v>0.35</v>
      </c>
      <c r="J22" s="19">
        <v>4.82</v>
      </c>
      <c r="K22" s="19">
        <v>0</v>
      </c>
      <c r="L22" s="19">
        <v>4.64E-4</v>
      </c>
      <c r="M22" s="19">
        <v>0.17499999999999999</v>
      </c>
      <c r="N22" s="19">
        <v>0</v>
      </c>
      <c r="O22" s="19">
        <v>0.53800000000000003</v>
      </c>
      <c r="P22" s="19">
        <v>0</v>
      </c>
    </row>
    <row r="23" spans="1:16" x14ac:dyDescent="0.35">
      <c r="A23" s="17" t="s">
        <v>249</v>
      </c>
      <c r="B23" s="17" t="str">
        <f>VLOOKUP($A23,'EPD REPOSITORY'!$B$1:$O$30,3,FALSE)</f>
        <v>Timber Frame</v>
      </c>
      <c r="C23" s="18" t="s">
        <v>253</v>
      </c>
      <c r="D23" s="17" t="s">
        <v>320</v>
      </c>
      <c r="E23" s="19">
        <v>14.3</v>
      </c>
      <c r="F23" s="19">
        <v>1.1000000000000001</v>
      </c>
      <c r="G23" s="19">
        <v>3.46</v>
      </c>
      <c r="H23" s="19">
        <v>18.8</v>
      </c>
      <c r="I23" s="22">
        <v>0</v>
      </c>
      <c r="J23" s="22">
        <v>0</v>
      </c>
      <c r="K23" s="22">
        <v>0</v>
      </c>
      <c r="L23" s="19">
        <v>0</v>
      </c>
      <c r="M23" s="19">
        <v>0.129</v>
      </c>
      <c r="N23" s="19">
        <v>5.0599999999999996</v>
      </c>
      <c r="O23" s="19">
        <v>7.8499999999999993E-3</v>
      </c>
      <c r="P23" s="19">
        <v>-10.6</v>
      </c>
    </row>
    <row r="24" spans="1:16" x14ac:dyDescent="0.35">
      <c r="A24" s="17" t="s">
        <v>255</v>
      </c>
      <c r="B24" s="17" t="str">
        <f>VLOOKUP($A24,'EPD REPOSITORY'!$B$1:$O$30,3,FALSE)</f>
        <v>Timber Frame</v>
      </c>
      <c r="C24" s="18" t="s">
        <v>258</v>
      </c>
      <c r="D24" s="17" t="s">
        <v>320</v>
      </c>
      <c r="E24" s="19">
        <v>14.7</v>
      </c>
      <c r="F24" s="19">
        <v>1.31</v>
      </c>
      <c r="G24" s="19">
        <v>5.71</v>
      </c>
      <c r="H24" s="19">
        <v>21.7</v>
      </c>
      <c r="I24" s="22">
        <v>0</v>
      </c>
      <c r="J24" s="22">
        <v>0</v>
      </c>
      <c r="K24" s="22">
        <v>0</v>
      </c>
      <c r="L24" s="19">
        <v>0</v>
      </c>
      <c r="M24" s="19">
        <v>0.13100000000000001</v>
      </c>
      <c r="N24" s="19">
        <v>0.90500000000000003</v>
      </c>
      <c r="O24" s="19">
        <v>2.4E-2</v>
      </c>
      <c r="P24" s="19">
        <v>-15.5</v>
      </c>
    </row>
    <row r="25" spans="1:16" x14ac:dyDescent="0.35">
      <c r="A25" s="17" t="s">
        <v>261</v>
      </c>
      <c r="B25" s="17" t="str">
        <f>VLOOKUP($A25,'EPD REPOSITORY'!$B$1:$O$30,3,FALSE)</f>
        <v>Timber Frame</v>
      </c>
      <c r="C25" s="18" t="s">
        <v>264</v>
      </c>
      <c r="D25" s="17" t="s">
        <v>320</v>
      </c>
      <c r="E25" s="19">
        <v>19.100000000000001</v>
      </c>
      <c r="F25" s="19">
        <v>1.64</v>
      </c>
      <c r="G25" s="19">
        <v>7.02</v>
      </c>
      <c r="H25" s="19">
        <v>27.8</v>
      </c>
      <c r="I25" s="22">
        <v>0</v>
      </c>
      <c r="J25" s="22">
        <v>0</v>
      </c>
      <c r="K25" s="22">
        <v>0</v>
      </c>
      <c r="L25" s="19">
        <v>0</v>
      </c>
      <c r="M25" s="19">
        <v>0.17499999999999999</v>
      </c>
      <c r="N25" s="19">
        <v>0.88300000000000001</v>
      </c>
      <c r="O25" s="19">
        <v>4.3499999999999997E-2</v>
      </c>
      <c r="P25" s="19">
        <v>-8.76</v>
      </c>
    </row>
    <row r="26" spans="1:16" ht="58" x14ac:dyDescent="0.35">
      <c r="A26" s="17" t="s">
        <v>265</v>
      </c>
      <c r="B26" s="17" t="str">
        <f>VLOOKUP($A26,'EPD REPOSITORY'!$B$1:$O$30,3,FALSE)</f>
        <v>LGS (Not MMC)</v>
      </c>
      <c r="C26" s="18" t="s">
        <v>273</v>
      </c>
      <c r="D26" s="17" t="s">
        <v>320</v>
      </c>
      <c r="E26" s="22">
        <v>0</v>
      </c>
      <c r="F26" s="22">
        <v>0</v>
      </c>
      <c r="G26" s="22">
        <v>0</v>
      </c>
      <c r="H26" s="19">
        <v>2.4500000000000002</v>
      </c>
      <c r="I26" s="19">
        <v>9.2499999999999999E-2</v>
      </c>
      <c r="J26" s="19">
        <v>0.17699999999999999</v>
      </c>
      <c r="K26" s="22">
        <v>0</v>
      </c>
      <c r="L26" s="19">
        <v>4.4600000000000004E-3</v>
      </c>
      <c r="M26" s="19">
        <v>1.24E-2</v>
      </c>
      <c r="N26" s="19">
        <v>2.5499999999999998E-2</v>
      </c>
      <c r="O26" s="19">
        <v>8.5999999999999998E-4</v>
      </c>
      <c r="P26" s="19">
        <v>-1.08</v>
      </c>
    </row>
    <row r="27" spans="1:16" x14ac:dyDescent="0.35">
      <c r="A27" s="17" t="s">
        <v>274</v>
      </c>
      <c r="B27" s="17" t="str">
        <f>VLOOKUP($A27,'EPD REPOSITORY'!$B$1:$O$30,3,FALSE)</f>
        <v>Prefabricated Cladding</v>
      </c>
      <c r="C27" s="18" t="s">
        <v>282</v>
      </c>
      <c r="D27" s="17" t="s">
        <v>320</v>
      </c>
      <c r="E27" s="22">
        <v>0</v>
      </c>
      <c r="F27" s="22">
        <v>0</v>
      </c>
      <c r="G27" s="22">
        <v>0</v>
      </c>
      <c r="H27" s="19">
        <v>21</v>
      </c>
      <c r="I27" s="19">
        <v>5.75</v>
      </c>
      <c r="J27" s="22">
        <v>0</v>
      </c>
      <c r="K27" s="22">
        <v>0</v>
      </c>
      <c r="L27" s="19">
        <v>1.96</v>
      </c>
      <c r="M27" s="19">
        <v>0.38600000000000001</v>
      </c>
      <c r="N27" s="19">
        <v>0</v>
      </c>
      <c r="O27" s="19">
        <v>0.12</v>
      </c>
      <c r="P27" s="19">
        <v>-9.4100000000000003E-2</v>
      </c>
    </row>
    <row r="28" spans="1:16" x14ac:dyDescent="0.35">
      <c r="A28" s="17" t="s">
        <v>292</v>
      </c>
      <c r="B28" s="17" t="str">
        <f>VLOOKUP($A28,'EPD REPOSITORY'!$B$1:$O$30,3,FALSE)</f>
        <v>Concrete</v>
      </c>
      <c r="C28" s="18" t="s">
        <v>298</v>
      </c>
      <c r="D28" s="17" t="s">
        <v>320</v>
      </c>
      <c r="E28" s="19">
        <v>218</v>
      </c>
      <c r="F28" s="19">
        <v>6.34</v>
      </c>
      <c r="G28" s="19">
        <v>5.19</v>
      </c>
      <c r="H28" s="19">
        <v>229.53</v>
      </c>
      <c r="I28" s="19">
        <v>4.0599999999999996</v>
      </c>
      <c r="J28" s="19">
        <v>6.3</v>
      </c>
      <c r="K28" s="19">
        <v>-18</v>
      </c>
      <c r="L28" s="19">
        <v>12.6</v>
      </c>
      <c r="M28" s="19">
        <v>22.9</v>
      </c>
      <c r="N28" s="19">
        <v>6.79</v>
      </c>
      <c r="O28" s="19">
        <v>0</v>
      </c>
      <c r="P28" s="19">
        <v>-5.79</v>
      </c>
    </row>
    <row r="29" spans="1:16" x14ac:dyDescent="0.35">
      <c r="A29" s="96" t="s">
        <v>571</v>
      </c>
      <c r="B29" t="s">
        <v>285</v>
      </c>
      <c r="C29" s="11" t="s">
        <v>569</v>
      </c>
      <c r="D29" s="96" t="s">
        <v>320</v>
      </c>
      <c r="E29" s="113">
        <v>14.2</v>
      </c>
      <c r="F29" s="113">
        <v>4.21</v>
      </c>
      <c r="G29" s="113">
        <v>193</v>
      </c>
      <c r="H29" s="113">
        <v>211</v>
      </c>
      <c r="I29" s="113">
        <v>32.299999999999997</v>
      </c>
      <c r="J29" s="113">
        <v>0.52900000000000003</v>
      </c>
      <c r="K29" s="113">
        <v>0</v>
      </c>
      <c r="L29" s="113">
        <v>0</v>
      </c>
      <c r="M29" s="113">
        <v>1.06</v>
      </c>
      <c r="N29" s="113">
        <v>2.74</v>
      </c>
      <c r="O29" s="113">
        <v>1.05</v>
      </c>
      <c r="P29" s="113">
        <v>16.2</v>
      </c>
    </row>
    <row r="30" spans="1:16" x14ac:dyDescent="0.35">
      <c r="A30" s="96" t="s">
        <v>796</v>
      </c>
      <c r="B30" t="s">
        <v>495</v>
      </c>
      <c r="C30" s="11" t="s">
        <v>802</v>
      </c>
      <c r="D30" s="96" t="s">
        <v>320</v>
      </c>
      <c r="E30" s="22">
        <v>0</v>
      </c>
      <c r="F30" s="22">
        <v>0</v>
      </c>
      <c r="G30" s="22">
        <v>0</v>
      </c>
      <c r="H30" s="12">
        <v>135</v>
      </c>
      <c r="I30" s="22">
        <v>0</v>
      </c>
      <c r="J30" s="22">
        <v>0</v>
      </c>
      <c r="K30" s="22">
        <v>0</v>
      </c>
      <c r="L30" s="22">
        <v>0</v>
      </c>
      <c r="M30" s="22">
        <v>0</v>
      </c>
      <c r="N30" s="22">
        <v>0</v>
      </c>
      <c r="O30" s="22">
        <v>0</v>
      </c>
      <c r="P30" s="22">
        <v>0</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038A2E-056F-4602-9EC3-3FD566CC4959}">
  <sheetPr codeName="Sheet21">
    <tabColor rgb="FF7030A0"/>
  </sheetPr>
  <dimension ref="A1:P33"/>
  <sheetViews>
    <sheetView topLeftCell="B30" workbookViewId="0">
      <selection activeCell="H33" sqref="H33"/>
    </sheetView>
  </sheetViews>
  <sheetFormatPr defaultRowHeight="14.5" x14ac:dyDescent="0.35"/>
  <cols>
    <col min="1" max="1" width="75.81640625" bestFit="1" customWidth="1"/>
    <col min="3" max="3" width="13.08984375" customWidth="1"/>
    <col min="8" max="8" width="8.7265625" style="78"/>
    <col min="11" max="11" width="9" bestFit="1" customWidth="1"/>
    <col min="16" max="16" width="9" bestFit="1" customWidth="1"/>
  </cols>
  <sheetData>
    <row r="1" spans="1:16" ht="21" x14ac:dyDescent="0.35">
      <c r="A1" s="10" t="s">
        <v>304</v>
      </c>
      <c r="B1" s="10" t="s">
        <v>1</v>
      </c>
      <c r="C1" s="16" t="s">
        <v>305</v>
      </c>
      <c r="D1" s="10" t="s">
        <v>306</v>
      </c>
      <c r="E1" s="10" t="s">
        <v>307</v>
      </c>
      <c r="F1" s="10" t="s">
        <v>308</v>
      </c>
      <c r="G1" s="10" t="s">
        <v>309</v>
      </c>
      <c r="H1" s="10" t="s">
        <v>310</v>
      </c>
      <c r="I1" s="10" t="s">
        <v>311</v>
      </c>
      <c r="J1" s="10" t="s">
        <v>312</v>
      </c>
      <c r="K1" s="10" t="s">
        <v>313</v>
      </c>
      <c r="L1" s="10" t="s">
        <v>314</v>
      </c>
      <c r="M1" s="10" t="s">
        <v>315</v>
      </c>
      <c r="N1" s="10" t="s">
        <v>316</v>
      </c>
      <c r="O1" s="10" t="s">
        <v>317</v>
      </c>
      <c r="P1" s="10" t="s">
        <v>318</v>
      </c>
    </row>
    <row r="2" spans="1:16" ht="43.5" x14ac:dyDescent="0.35">
      <c r="A2" s="17" t="s">
        <v>319</v>
      </c>
      <c r="B2" s="17" t="str">
        <f>VLOOKUP($A2,'EPD REPOSITORY'!$B$1:$O$30,3,FALSE)</f>
        <v>Timber Frame</v>
      </c>
      <c r="C2" s="18" t="str">
        <f>VLOOKUP($A2,'EPD REPOSITORY'!$B$1:$O$30,12,FALSE)</f>
        <v>1m2 of Alpha panel mass 21.04 kg</v>
      </c>
      <c r="D2" s="17" t="s">
        <v>320</v>
      </c>
      <c r="E2" s="19">
        <f>_xlfn.XLOOKUP($A2,'RAW GWP FOSSIL'!$A$2:$A$496,'RAW GWP FOSSIL'!E$2:E$496,FALSE)*_xlfn.XLOOKUP($A2,'NORMALISATION FACTORS'!$B$2:$B$500,'NORMALISATION FACTORS'!$G$2:$G$500,FALSE)</f>
        <v>8.64</v>
      </c>
      <c r="F2" s="19">
        <f>_xlfn.XLOOKUP($A2,'RAW GWP FOSSIL'!$A$2:$A$496,'RAW GWP FOSSIL'!F$2:F$496,FALSE)*_xlfn.XLOOKUP($A2,'NORMALISATION FACTORS'!$B$2:$B$500,'NORMALISATION FACTORS'!$G$2:$G$500,FALSE)</f>
        <v>0.83099999999999996</v>
      </c>
      <c r="G2" s="19">
        <f>_xlfn.XLOOKUP($A2,'RAW GWP FOSSIL'!$A$2:$A$496,'RAW GWP FOSSIL'!G$2:G$496,FALSE)*_xlfn.XLOOKUP($A2,'NORMALISATION FACTORS'!$B$2:$B$500,'NORMALISATION FACTORS'!$G$2:$G$500,FALSE)</f>
        <v>5.21</v>
      </c>
      <c r="H2" s="77">
        <f>_xlfn.XLOOKUP($A2,'RAW GWP FOSSIL'!$A$2:$A$496,'RAW GWP FOSSIL'!H$2:H$496,FALSE)*_xlfn.XLOOKUP($A2,'NORMALISATION FACTORS'!$B$2:$B$500,'NORMALISATION FACTORS'!$G$2:$G$500,FALSE)</f>
        <v>14.681000000000001</v>
      </c>
      <c r="I2" s="22">
        <f>_xlfn.XLOOKUP($A2,'RAW GWP FOSSIL'!$A$2:$A$496,'RAW GWP FOSSIL'!I$2:I$496,FALSE)*_xlfn.XLOOKUP($A2,'NORMALISATION FACTORS'!$B$2:$B$500,'NORMALISATION FACTORS'!$G$2:$G$500,FALSE)</f>
        <v>0</v>
      </c>
      <c r="J2" s="22">
        <f>_xlfn.XLOOKUP($A2,'RAW GWP FOSSIL'!$A$2:$A$496,'RAW GWP FOSSIL'!J$2:J$496,FALSE)*_xlfn.XLOOKUP($A2,'NORMALISATION FACTORS'!$B$2:$B$500,'NORMALISATION FACTORS'!$G$2:$G$500,FALSE)</f>
        <v>0</v>
      </c>
      <c r="K2" s="22">
        <f>_xlfn.XLOOKUP($A2,'RAW GWP FOSSIL'!$A$2:$A$496,'RAW GWP FOSSIL'!K$2:K$496,FALSE)*_xlfn.XLOOKUP($A2,'NORMALISATION FACTORS'!$B$2:$B$500,'NORMALISATION FACTORS'!$G$2:$G$500,FALSE)</f>
        <v>0</v>
      </c>
      <c r="L2" s="19">
        <f>_xlfn.XLOOKUP($A2,'RAW GWP FOSSIL'!$A$2:$A$496,'RAW GWP FOSSIL'!L$2:L$496,FALSE)*_xlfn.XLOOKUP($A2,'NORMALISATION FACTORS'!$B$2:$B$500,'NORMALISATION FACTORS'!$G$2:$G$500,FALSE)</f>
        <v>0</v>
      </c>
      <c r="M2" s="19">
        <f>_xlfn.XLOOKUP($A2,'RAW GWP FOSSIL'!$A$2:$A$496,'RAW GWP FOSSIL'!M$2:M$496,FALSE)*_xlfn.XLOOKUP($A2,'NORMALISATION FACTORS'!$B$2:$B$500,'NORMALISATION FACTORS'!$G$2:$G$500,FALSE)</f>
        <v>0.10299999999999999</v>
      </c>
      <c r="N2" s="19">
        <f>_xlfn.XLOOKUP($A2,'RAW GWP FOSSIL'!$A$2:$A$496,'RAW GWP FOSSIL'!N$2:N$496,FALSE)*_xlfn.XLOOKUP($A2,'NORMALISATION FACTORS'!$B$2:$B$500,'NORMALISATION FACTORS'!$G$2:$G$500,FALSE)</f>
        <v>0.86699999999999999</v>
      </c>
      <c r="O2" s="19">
        <f>_xlfn.XLOOKUP($A2,'RAW GWP FOSSIL'!$A$2:$A$496,'RAW GWP FOSSIL'!O$2:O$496,FALSE)*_xlfn.XLOOKUP($A2,'NORMALISATION FACTORS'!$B$2:$B$500,'NORMALISATION FACTORS'!$G$2:$G$500,FALSE)</f>
        <v>4.7699999999999999E-3</v>
      </c>
      <c r="P2" s="19">
        <f>_xlfn.XLOOKUP($A2,'RAW GWP FOSSIL'!$A$2:$A$496,'RAW GWP FOSSIL'!P$2:P$496,FALSE)*_xlfn.XLOOKUP($A2,'NORMALISATION FACTORS'!$B$2:$B$500,'NORMALISATION FACTORS'!$G$2:$G$500,FALSE)</f>
        <v>-22.7</v>
      </c>
    </row>
    <row r="3" spans="1:16" ht="29" x14ac:dyDescent="0.35">
      <c r="A3" s="17" t="s">
        <v>321</v>
      </c>
      <c r="B3" s="17" t="str">
        <f>VLOOKUP($A3,'EPD REPOSITORY'!$B$1:$O$30,3,FALSE)</f>
        <v>Timber Frame</v>
      </c>
      <c r="C3" s="18" t="s">
        <v>341</v>
      </c>
      <c r="D3" s="17" t="s">
        <v>320</v>
      </c>
      <c r="E3" s="22">
        <f>_xlfn.XLOOKUP($A3,'RAW GWP FOSSIL'!$A$2:$A$496,'RAW GWP FOSSIL'!E$2:E$496,FALSE)*_xlfn.XLOOKUP($A3,'NORMALISATION FACTORS'!$B$2:$B$500,'NORMALISATION FACTORS'!$G$2:$G$500,FALSE)</f>
        <v>0</v>
      </c>
      <c r="F3" s="22">
        <f>_xlfn.XLOOKUP($A3,'RAW GWP FOSSIL'!$A$2:$A$496,'RAW GWP FOSSIL'!F$2:F$496,FALSE)*_xlfn.XLOOKUP($A3,'NORMALISATION FACTORS'!$B$2:$B$500,'NORMALISATION FACTORS'!$G$2:$G$500,FALSE)</f>
        <v>0</v>
      </c>
      <c r="G3" s="22">
        <f>_xlfn.XLOOKUP($A3,'RAW GWP FOSSIL'!$A$2:$A$496,'RAW GWP FOSSIL'!G$2:G$496,FALSE)*_xlfn.XLOOKUP($A3,'NORMALISATION FACTORS'!$B$2:$B$500,'NORMALISATION FACTORS'!$G$2:$G$500,FALSE)</f>
        <v>0</v>
      </c>
      <c r="H3" s="77">
        <f>_xlfn.XLOOKUP($A3,'RAW GWP FOSSIL'!$A$2:$A$496,'RAW GWP FOSSIL'!H$2:H$496,FALSE)*_xlfn.XLOOKUP($A3,'NORMALISATION FACTORS'!$B$2:$B$500,'NORMALISATION FACTORS'!$G$2:$G$500,FALSE)</f>
        <v>29.960000000000004</v>
      </c>
      <c r="I3" s="19">
        <f>_xlfn.XLOOKUP($A3,'RAW GWP FOSSIL'!$A$2:$A$496,'RAW GWP FOSSIL'!I$2:I$496,FALSE)*_xlfn.XLOOKUP($A3,'NORMALISATION FACTORS'!$B$2:$B$500,'NORMALISATION FACTORS'!$G$2:$G$500,FALSE)</f>
        <v>5.3760000000000007E-5</v>
      </c>
      <c r="J3" s="19">
        <f>_xlfn.XLOOKUP($A3,'RAW GWP FOSSIL'!$A$2:$A$496,'RAW GWP FOSSIL'!J$2:J$496,FALSE)*_xlfn.XLOOKUP($A3,'NORMALISATION FACTORS'!$B$2:$B$500,'NORMALISATION FACTORS'!$G$2:$G$500,FALSE)</f>
        <v>5.5300000000000009E-2</v>
      </c>
      <c r="K3" s="22">
        <f>_xlfn.XLOOKUP($A3,'RAW GWP FOSSIL'!$A$2:$A$496,'RAW GWP FOSSIL'!K$2:K$496,FALSE)*_xlfn.XLOOKUP($A3,'NORMALISATION FACTORS'!$B$2:$B$500,'NORMALISATION FACTORS'!$G$2:$G$500,FALSE)</f>
        <v>0</v>
      </c>
      <c r="L3" s="19">
        <f>_xlfn.XLOOKUP($A3,'RAW GWP FOSSIL'!$A$2:$A$496,'RAW GWP FOSSIL'!L$2:L$496,FALSE)*_xlfn.XLOOKUP($A3,'NORMALISATION FACTORS'!$B$2:$B$500,'NORMALISATION FACTORS'!$G$2:$G$500,FALSE)</f>
        <v>0</v>
      </c>
      <c r="M3" s="19">
        <f>_xlfn.XLOOKUP($A3,'RAW GWP FOSSIL'!$A$2:$A$496,'RAW GWP FOSSIL'!M$2:M$496,FALSE)*_xlfn.XLOOKUP($A3,'NORMALISATION FACTORS'!$B$2:$B$500,'NORMALISATION FACTORS'!$G$2:$G$500,FALSE)</f>
        <v>0.37380000000000002</v>
      </c>
      <c r="N3" s="19">
        <f>_xlfn.XLOOKUP($A3,'RAW GWP FOSSIL'!$A$2:$A$496,'RAW GWP FOSSIL'!N$2:N$496,FALSE)*_xlfn.XLOOKUP($A3,'NORMALISATION FACTORS'!$B$2:$B$500,'NORMALISATION FACTORS'!$G$2:$G$500,FALSE)</f>
        <v>0.58660000000000012</v>
      </c>
      <c r="O3" s="19">
        <f>_xlfn.XLOOKUP($A3,'RAW GWP FOSSIL'!$A$2:$A$496,'RAW GWP FOSSIL'!O$2:O$496,FALSE)*_xlfn.XLOOKUP($A3,'NORMALISATION FACTORS'!$B$2:$B$500,'NORMALISATION FACTORS'!$G$2:$G$500,FALSE)</f>
        <v>0.93380000000000007</v>
      </c>
      <c r="P3" s="19">
        <f>_xlfn.XLOOKUP($A3,'RAW GWP FOSSIL'!$A$2:$A$496,'RAW GWP FOSSIL'!P$2:P$496,FALSE)*_xlfn.XLOOKUP($A3,'NORMALISATION FACTORS'!$B$2:$B$500,'NORMALISATION FACTORS'!$G$2:$G$500,FALSE)</f>
        <v>-25.62</v>
      </c>
    </row>
    <row r="4" spans="1:16" ht="43.5" x14ac:dyDescent="0.35">
      <c r="A4" s="17" t="s">
        <v>110</v>
      </c>
      <c r="B4" s="17" t="str">
        <f>VLOOKUP($A4,'EPD REPOSITORY'!$B$1:$O$30,3,FALSE)</f>
        <v>ICF</v>
      </c>
      <c r="C4" s="18" t="str">
        <f>VLOOKUP($A4,'EPD REPOSITORY'!$B$1:$O$30,12,FALSE)</f>
        <v>1 panel of ICF system - 1.0 * 6.91 kg (Mass)</v>
      </c>
      <c r="D4" s="17" t="s">
        <v>320</v>
      </c>
      <c r="E4" s="19">
        <f>_xlfn.XLOOKUP($A4,'RAW GWP FOSSIL'!$A$2:$A$496,'RAW GWP FOSSIL'!E$2:E$496,FALSE)*_xlfn.XLOOKUP($A4,'NORMALISATION FACTORS'!$B$2:$B$500,'NORMALISATION FACTORS'!$G$2:$G$500,FALSE)</f>
        <v>12.612612612612612</v>
      </c>
      <c r="F4" s="19">
        <f>_xlfn.XLOOKUP($A4,'RAW GWP FOSSIL'!$A$2:$A$496,'RAW GWP FOSSIL'!F$2:F$496,FALSE)*_xlfn.XLOOKUP($A4,'NORMALISATION FACTORS'!$B$2:$B$500,'NORMALISATION FACTORS'!$G$2:$G$500,FALSE)</f>
        <v>2.0720720720720717E-2</v>
      </c>
      <c r="G4" s="19">
        <f>_xlfn.XLOOKUP($A4,'RAW GWP FOSSIL'!$A$2:$A$496,'RAW GWP FOSSIL'!G$2:G$496,FALSE)*_xlfn.XLOOKUP($A4,'NORMALISATION FACTORS'!$B$2:$B$500,'NORMALISATION FACTORS'!$G$2:$G$500,FALSE)</f>
        <v>2.7567567567567566</v>
      </c>
      <c r="H4" s="77">
        <f>_xlfn.XLOOKUP($A4,'RAW GWP FOSSIL'!$A$2:$A$496,'RAW GWP FOSSIL'!H$2:H$496,FALSE)*_xlfn.XLOOKUP($A4,'NORMALISATION FACTORS'!$B$2:$B$500,'NORMALISATION FACTORS'!$G$2:$G$500,FALSE)</f>
        <v>15.390090090090087</v>
      </c>
      <c r="I4" s="22">
        <f>_xlfn.XLOOKUP($A4,'RAW GWP FOSSIL'!$A$2:$A$496,'RAW GWP FOSSIL'!I$2:I$496,FALSE)*_xlfn.XLOOKUP($A4,'NORMALISATION FACTORS'!$B$2:$B$500,'NORMALISATION FACTORS'!$G$2:$G$500,FALSE)</f>
        <v>0</v>
      </c>
      <c r="J4" s="22">
        <f>_xlfn.XLOOKUP($A4,'RAW GWP FOSSIL'!$A$2:$A$496,'RAW GWP FOSSIL'!J$2:J$496,FALSE)*_xlfn.XLOOKUP($A4,'NORMALISATION FACTORS'!$B$2:$B$500,'NORMALISATION FACTORS'!$G$2:$G$500,FALSE)</f>
        <v>0</v>
      </c>
      <c r="K4" s="22">
        <f>_xlfn.XLOOKUP($A4,'RAW GWP FOSSIL'!$A$2:$A$496,'RAW GWP FOSSIL'!K$2:K$496,FALSE)*_xlfn.XLOOKUP($A4,'NORMALISATION FACTORS'!$B$2:$B$500,'NORMALISATION FACTORS'!$G$2:$G$500,FALSE)</f>
        <v>0</v>
      </c>
      <c r="L4" s="19">
        <f>_xlfn.XLOOKUP($A4,'RAW GWP FOSSIL'!$A$2:$A$496,'RAW GWP FOSSIL'!L$2:L$496,FALSE)*_xlfn.XLOOKUP($A4,'NORMALISATION FACTORS'!$B$2:$B$500,'NORMALISATION FACTORS'!$G$2:$G$500,FALSE)</f>
        <v>2.0720720720720717E-2</v>
      </c>
      <c r="M4" s="19">
        <f>_xlfn.XLOOKUP($A4,'RAW GWP FOSSIL'!$A$2:$A$496,'RAW GWP FOSSIL'!M$2:M$496,FALSE)*_xlfn.XLOOKUP($A4,'NORMALISATION FACTORS'!$B$2:$B$500,'NORMALISATION FACTORS'!$G$2:$G$500,FALSE)</f>
        <v>3.0270270270270266E-2</v>
      </c>
      <c r="N4" s="19">
        <f>_xlfn.XLOOKUP($A4,'RAW GWP FOSSIL'!$A$2:$A$496,'RAW GWP FOSSIL'!N$2:N$496,FALSE)*_xlfn.XLOOKUP($A4,'NORMALISATION FACTORS'!$B$2:$B$500,'NORMALISATION FACTORS'!$G$2:$G$500,FALSE)</f>
        <v>0</v>
      </c>
      <c r="O4" s="19">
        <f>_xlfn.XLOOKUP($A4,'RAW GWP FOSSIL'!$A$2:$A$496,'RAW GWP FOSSIL'!O$2:O$496,FALSE)*_xlfn.XLOOKUP($A4,'NORMALISATION FACTORS'!$B$2:$B$500,'NORMALISATION FACTORS'!$G$2:$G$500,FALSE)</f>
        <v>7.8558558558558551E-3</v>
      </c>
      <c r="P4" s="19">
        <f>_xlfn.XLOOKUP($A4,'RAW GWP FOSSIL'!$A$2:$A$496,'RAW GWP FOSSIL'!P$2:P$496,FALSE)*_xlfn.XLOOKUP($A4,'NORMALISATION FACTORS'!$B$2:$B$500,'NORMALISATION FACTORS'!$G$2:$G$500,FALSE)</f>
        <v>-11.081081081081081</v>
      </c>
    </row>
    <row r="5" spans="1:16" ht="116" x14ac:dyDescent="0.35">
      <c r="A5" s="17" t="s">
        <v>120</v>
      </c>
      <c r="B5" s="17" t="str">
        <f>VLOOKUP($A5,'EPD REPOSITORY'!$B$1:$O$30,3,FALSE)</f>
        <v>ICF</v>
      </c>
      <c r="C5" s="18" t="str">
        <f>VLOOKUP($A5,'EPD REPOSITORY'!$B$1:$O$30,12,FALSE)</f>
        <v>1 m^2 of Thermomur panel including transportation to site, waste handling and recovery</v>
      </c>
      <c r="D5" s="17" t="s">
        <v>320</v>
      </c>
      <c r="E5" s="19">
        <f>_xlfn.XLOOKUP($A5,'RAW GWP FOSSIL'!$A$2:$A$496,'RAW GWP FOSSIL'!E$2:E$496,FALSE)*_xlfn.XLOOKUP($A5,'NORMALISATION FACTORS'!$B$2:$B$500,'NORMALISATION FACTORS'!$G$2:$G$500,FALSE)</f>
        <v>21.1</v>
      </c>
      <c r="F5" s="19">
        <f>_xlfn.XLOOKUP($A5,'RAW GWP FOSSIL'!$A$2:$A$496,'RAW GWP FOSSIL'!F$2:F$496,FALSE)*_xlfn.XLOOKUP($A5,'NORMALISATION FACTORS'!$B$2:$B$500,'NORMALISATION FACTORS'!$G$2:$G$500,FALSE)</f>
        <v>0.34799999999999998</v>
      </c>
      <c r="G5" s="19">
        <f>_xlfn.XLOOKUP($A5,'RAW GWP FOSSIL'!$A$2:$A$496,'RAW GWP FOSSIL'!G$2:G$496,FALSE)*_xlfn.XLOOKUP($A5,'NORMALISATION FACTORS'!$B$2:$B$500,'NORMALISATION FACTORS'!$G$2:$G$500,FALSE)</f>
        <v>4.99</v>
      </c>
      <c r="H5" s="77">
        <f>_xlfn.XLOOKUP($A5,'RAW GWP FOSSIL'!$A$2:$A$496,'RAW GWP FOSSIL'!H$2:H$496,FALSE)*_xlfn.XLOOKUP($A5,'NORMALISATION FACTORS'!$B$2:$B$500,'NORMALISATION FACTORS'!$G$2:$G$500,FALSE)</f>
        <v>26.438000000000002</v>
      </c>
      <c r="I5" s="19">
        <f>_xlfn.XLOOKUP($A5,'RAW GWP FOSSIL'!$A$2:$A$496,'RAW GWP FOSSIL'!I$2:I$496,FALSE)*_xlfn.XLOOKUP($A5,'NORMALISATION FACTORS'!$B$2:$B$500,'NORMALISATION FACTORS'!$G$2:$G$500,FALSE)</f>
        <v>0.247</v>
      </c>
      <c r="J5" s="19">
        <f>_xlfn.XLOOKUP($A5,'RAW GWP FOSSIL'!$A$2:$A$496,'RAW GWP FOSSIL'!J$2:J$496,FALSE)*_xlfn.XLOOKUP($A5,'NORMALISATION FACTORS'!$B$2:$B$500,'NORMALISATION FACTORS'!$G$2:$G$500,FALSE)</f>
        <v>7.7999999999999996E-3</v>
      </c>
      <c r="K5" s="22">
        <f>_xlfn.XLOOKUP($A5,'RAW GWP FOSSIL'!$A$2:$A$496,'RAW GWP FOSSIL'!K$2:K$496,FALSE)*_xlfn.XLOOKUP($A5,'NORMALISATION FACTORS'!$B$2:$B$500,'NORMALISATION FACTORS'!$G$2:$G$500,FALSE)</f>
        <v>0</v>
      </c>
      <c r="L5" s="19">
        <f>_xlfn.XLOOKUP($A5,'RAW GWP FOSSIL'!$A$2:$A$496,'RAW GWP FOSSIL'!L$2:L$496,FALSE)*_xlfn.XLOOKUP($A5,'NORMALISATION FACTORS'!$B$2:$B$500,'NORMALISATION FACTORS'!$G$2:$G$500,FALSE)</f>
        <v>3.2599999999999997E-2</v>
      </c>
      <c r="M5" s="19">
        <f>_xlfn.XLOOKUP($A5,'RAW GWP FOSSIL'!$A$2:$A$496,'RAW GWP FOSSIL'!M$2:M$496,FALSE)*_xlfn.XLOOKUP($A5,'NORMALISATION FACTORS'!$B$2:$B$500,'NORMALISATION FACTORS'!$G$2:$G$500,FALSE)</f>
        <v>6.0600000000000001E-2</v>
      </c>
      <c r="N5" s="19">
        <f>_xlfn.XLOOKUP($A5,'RAW GWP FOSSIL'!$A$2:$A$496,'RAW GWP FOSSIL'!N$2:N$496,FALSE)*_xlfn.XLOOKUP($A5,'NORMALISATION FACTORS'!$B$2:$B$500,'NORMALISATION FACTORS'!$G$2:$G$500,FALSE)</f>
        <v>5.79E-3</v>
      </c>
      <c r="O5" s="19">
        <f>_xlfn.XLOOKUP($A5,'RAW GWP FOSSIL'!$A$2:$A$496,'RAW GWP FOSSIL'!O$2:O$496,FALSE)*_xlfn.XLOOKUP($A5,'NORMALISATION FACTORS'!$B$2:$B$500,'NORMALISATION FACTORS'!$G$2:$G$500,FALSE)</f>
        <v>6.6900000000000001E-2</v>
      </c>
      <c r="P5" s="19">
        <f>_xlfn.XLOOKUP($A5,'RAW GWP FOSSIL'!$A$2:$A$496,'RAW GWP FOSSIL'!P$2:P$496,FALSE)*_xlfn.XLOOKUP($A5,'NORMALISATION FACTORS'!$B$2:$B$500,'NORMALISATION FACTORS'!$G$2:$G$500,FALSE)</f>
        <v>-1.21E-2</v>
      </c>
    </row>
    <row r="6" spans="1:16" ht="29" x14ac:dyDescent="0.35">
      <c r="A6" s="17" t="s">
        <v>486</v>
      </c>
      <c r="B6" s="17" t="s">
        <v>24</v>
      </c>
      <c r="C6" s="18" t="s">
        <v>322</v>
      </c>
      <c r="D6" s="17" t="s">
        <v>320</v>
      </c>
      <c r="E6" s="19">
        <f>_xlfn.XLOOKUP($A6,'RAW GWP FOSSIL'!$A$2:$A$496,'RAW GWP FOSSIL'!E$2:E$496,FALSE)*_xlfn.XLOOKUP($A6,'NORMALISATION FACTORS'!$B$2:$B$500,'NORMALISATION FACTORS'!$G$2:$G$500,FALSE)</f>
        <v>15.3</v>
      </c>
      <c r="F6" s="19">
        <f>_xlfn.XLOOKUP($A6,'RAW GWP FOSSIL'!$A$2:$A$496,'RAW GWP FOSSIL'!F$2:F$496,FALSE)*_xlfn.XLOOKUP($A6,'NORMALISATION FACTORS'!$B$2:$B$500,'NORMALISATION FACTORS'!$G$2:$G$500,FALSE)</f>
        <v>0.42199999999999999</v>
      </c>
      <c r="G6" s="19">
        <f>_xlfn.XLOOKUP($A6,'RAW GWP FOSSIL'!$A$2:$A$496,'RAW GWP FOSSIL'!G$2:G$496,FALSE)*_xlfn.XLOOKUP($A6,'NORMALISATION FACTORS'!$B$2:$B$500,'NORMALISATION FACTORS'!$G$2:$G$500,FALSE)</f>
        <v>4.95</v>
      </c>
      <c r="H6" s="77">
        <f>_xlfn.XLOOKUP($A6,'RAW GWP FOSSIL'!$A$2:$A$496,'RAW GWP FOSSIL'!H$2:H$496,FALSE)*_xlfn.XLOOKUP($A6,'NORMALISATION FACTORS'!$B$2:$B$500,'NORMALISATION FACTORS'!$G$2:$G$500,FALSE)</f>
        <v>20.672000000000001</v>
      </c>
      <c r="I6" s="19">
        <f>_xlfn.XLOOKUP($A6,'RAW GWP FOSSIL'!$A$2:$A$496,'RAW GWP FOSSIL'!I$2:I$496,FALSE)*_xlfn.XLOOKUP($A6,'NORMALISATION FACTORS'!$B$2:$B$500,'NORMALISATION FACTORS'!$G$2:$G$500,FALSE)</f>
        <v>0.184</v>
      </c>
      <c r="J6" s="19">
        <f>_xlfn.XLOOKUP($A6,'RAW GWP FOSSIL'!$A$2:$A$496,'RAW GWP FOSSIL'!J$2:J$496,FALSE)*_xlfn.XLOOKUP($A6,'NORMALISATION FACTORS'!$B$2:$B$500,'NORMALISATION FACTORS'!$G$2:$G$500,FALSE)</f>
        <v>0.82</v>
      </c>
      <c r="K6" s="22">
        <f>_xlfn.XLOOKUP($A6,'RAW GWP FOSSIL'!$A$2:$A$496,'RAW GWP FOSSIL'!K$2:K$496,FALSE)*_xlfn.XLOOKUP($A6,'NORMALISATION FACTORS'!$B$2:$B$500,'NORMALISATION FACTORS'!$G$2:$G$500,FALSE)</f>
        <v>0</v>
      </c>
      <c r="L6" s="19">
        <f>_xlfn.XLOOKUP($A6,'RAW GWP FOSSIL'!$A$2:$A$496,'RAW GWP FOSSIL'!L$2:L$496,FALSE)*_xlfn.XLOOKUP($A6,'NORMALISATION FACTORS'!$B$2:$B$500,'NORMALISATION FACTORS'!$G$2:$G$500,FALSE)</f>
        <v>0</v>
      </c>
      <c r="M6" s="19">
        <f>_xlfn.XLOOKUP($A6,'RAW GWP FOSSIL'!$A$2:$A$496,'RAW GWP FOSSIL'!M$2:M$496,FALSE)*_xlfn.XLOOKUP($A6,'NORMALISATION FACTORS'!$B$2:$B$500,'NORMALISATION FACTORS'!$G$2:$G$500,FALSE)</f>
        <v>0.16300000000000001</v>
      </c>
      <c r="N6" s="19">
        <f>_xlfn.XLOOKUP($A6,'RAW GWP FOSSIL'!$A$2:$A$496,'RAW GWP FOSSIL'!N$2:N$496,FALSE)*_xlfn.XLOOKUP($A6,'NORMALISATION FACTORS'!$B$2:$B$500,'NORMALISATION FACTORS'!$G$2:$G$500,FALSE)</f>
        <v>0</v>
      </c>
      <c r="O6" s="19">
        <f>_xlfn.XLOOKUP($A6,'RAW GWP FOSSIL'!$A$2:$A$496,'RAW GWP FOSSIL'!O$2:O$496,FALSE)*_xlfn.XLOOKUP($A6,'NORMALISATION FACTORS'!$B$2:$B$500,'NORMALISATION FACTORS'!$G$2:$G$500,FALSE)</f>
        <v>18.600000000000001</v>
      </c>
      <c r="P6" s="19">
        <f>_xlfn.XLOOKUP($A6,'RAW GWP FOSSIL'!$A$2:$A$496,'RAW GWP FOSSIL'!P$2:P$496,FALSE)*_xlfn.XLOOKUP($A6,'NORMALISATION FACTORS'!$B$2:$B$500,'NORMALISATION FACTORS'!$G$2:$G$500,FALSE)</f>
        <v>-9.0500000000000007</v>
      </c>
    </row>
    <row r="7" spans="1:16" ht="29" x14ac:dyDescent="0.35">
      <c r="A7" s="17" t="s">
        <v>487</v>
      </c>
      <c r="B7" s="17" t="s">
        <v>24</v>
      </c>
      <c r="C7" s="18" t="s">
        <v>323</v>
      </c>
      <c r="D7" s="17" t="s">
        <v>320</v>
      </c>
      <c r="E7" s="19">
        <f>_xlfn.XLOOKUP($A7,'RAW GWP FOSSIL'!$A$2:$A$496,'RAW GWP FOSSIL'!E$2:E$496,FALSE)*_xlfn.XLOOKUP($A7,'NORMALISATION FACTORS'!$B$2:$B$500,'NORMALISATION FACTORS'!$G$2:$G$500,FALSE)</f>
        <v>20.2</v>
      </c>
      <c r="F7" s="19">
        <f>_xlfn.XLOOKUP($A7,'RAW GWP FOSSIL'!$A$2:$A$496,'RAW GWP FOSSIL'!F$2:F$496,FALSE)*_xlfn.XLOOKUP($A7,'NORMALISATION FACTORS'!$B$2:$B$500,'NORMALISATION FACTORS'!$G$2:$G$500,FALSE)</f>
        <v>0.71699999999999997</v>
      </c>
      <c r="G7" s="19">
        <f>_xlfn.XLOOKUP($A7,'RAW GWP FOSSIL'!$A$2:$A$496,'RAW GWP FOSSIL'!G$2:G$496,FALSE)*_xlfn.XLOOKUP($A7,'NORMALISATION FACTORS'!$B$2:$B$500,'NORMALISATION FACTORS'!$G$2:$G$500,FALSE)</f>
        <v>5.12</v>
      </c>
      <c r="H7" s="77">
        <f>_xlfn.XLOOKUP($A7,'RAW GWP FOSSIL'!$A$2:$A$496,'RAW GWP FOSSIL'!H$2:H$496,FALSE)*_xlfn.XLOOKUP($A7,'NORMALISATION FACTORS'!$B$2:$B$500,'NORMALISATION FACTORS'!$G$2:$G$500,FALSE)</f>
        <v>26.036999999999999</v>
      </c>
      <c r="I7" s="19">
        <f>_xlfn.XLOOKUP($A7,'RAW GWP FOSSIL'!$A$2:$A$496,'RAW GWP FOSSIL'!I$2:I$496,FALSE)*_xlfn.XLOOKUP($A7,'NORMALISATION FACTORS'!$B$2:$B$500,'NORMALISATION FACTORS'!$G$2:$G$500,FALSE)</f>
        <v>0.191</v>
      </c>
      <c r="J7" s="19">
        <f>_xlfn.XLOOKUP($A7,'RAW GWP FOSSIL'!$A$2:$A$496,'RAW GWP FOSSIL'!J$2:J$496,FALSE)*_xlfn.XLOOKUP($A7,'NORMALISATION FACTORS'!$B$2:$B$500,'NORMALISATION FACTORS'!$G$2:$G$500,FALSE)</f>
        <v>1.05</v>
      </c>
      <c r="K7" s="22">
        <f>_xlfn.XLOOKUP($A7,'RAW GWP FOSSIL'!$A$2:$A$496,'RAW GWP FOSSIL'!K$2:K$496,FALSE)*_xlfn.XLOOKUP($A7,'NORMALISATION FACTORS'!$B$2:$B$500,'NORMALISATION FACTORS'!$G$2:$G$500,FALSE)</f>
        <v>0</v>
      </c>
      <c r="L7" s="19">
        <f>_xlfn.XLOOKUP($A7,'RAW GWP FOSSIL'!$A$2:$A$496,'RAW GWP FOSSIL'!L$2:L$496,FALSE)*_xlfn.XLOOKUP($A7,'NORMALISATION FACTORS'!$B$2:$B$500,'NORMALISATION FACTORS'!$G$2:$G$500,FALSE)</f>
        <v>0</v>
      </c>
      <c r="M7" s="19">
        <f>_xlfn.XLOOKUP($A7,'RAW GWP FOSSIL'!$A$2:$A$496,'RAW GWP FOSSIL'!M$2:M$496,FALSE)*_xlfn.XLOOKUP($A7,'NORMALISATION FACTORS'!$B$2:$B$500,'NORMALISATION FACTORS'!$G$2:$G$500,FALSE)</f>
        <v>0.16800000000000001</v>
      </c>
      <c r="N7" s="19">
        <f>_xlfn.XLOOKUP($A7,'RAW GWP FOSSIL'!$A$2:$A$496,'RAW GWP FOSSIL'!N$2:N$496,FALSE)*_xlfn.XLOOKUP($A7,'NORMALISATION FACTORS'!$B$2:$B$500,'NORMALISATION FACTORS'!$G$2:$G$500,FALSE)</f>
        <v>0</v>
      </c>
      <c r="O7" s="19">
        <f>_xlfn.XLOOKUP($A7,'RAW GWP FOSSIL'!$A$2:$A$496,'RAW GWP FOSSIL'!O$2:O$496,FALSE)*_xlfn.XLOOKUP($A7,'NORMALISATION FACTORS'!$B$2:$B$500,'NORMALISATION FACTORS'!$G$2:$G$500,FALSE)</f>
        <v>22.9</v>
      </c>
      <c r="P7" s="19">
        <f>_xlfn.XLOOKUP($A7,'RAW GWP FOSSIL'!$A$2:$A$496,'RAW GWP FOSSIL'!P$2:P$496,FALSE)*_xlfn.XLOOKUP($A7,'NORMALISATION FACTORS'!$B$2:$B$500,'NORMALISATION FACTORS'!$G$2:$G$500,FALSE)</f>
        <v>-10.6</v>
      </c>
    </row>
    <row r="8" spans="1:16" ht="72.5" x14ac:dyDescent="0.35">
      <c r="A8" s="17" t="s">
        <v>182</v>
      </c>
      <c r="B8" s="17" t="str">
        <f>VLOOKUP($A8,'EPD REPOSITORY'!$B$1:$O$30,3,FALSE)</f>
        <v>SIP</v>
      </c>
      <c r="C8" s="18" t="s">
        <v>189</v>
      </c>
      <c r="D8" s="17" t="s">
        <v>320</v>
      </c>
      <c r="E8" s="22">
        <f>_xlfn.XLOOKUP($A8,'RAW GWP FOSSIL'!$A$2:$A$496,'RAW GWP FOSSIL'!E$2:E$496,FALSE)*_xlfn.XLOOKUP($A8,'NORMALISATION FACTORS'!$B$2:$B$500,'NORMALISATION FACTORS'!$G$2:$G$500,FALSE)</f>
        <v>0</v>
      </c>
      <c r="F8" s="22">
        <f>_xlfn.XLOOKUP($A8,'RAW GWP FOSSIL'!$A$2:$A$496,'RAW GWP FOSSIL'!F$2:F$496,FALSE)*_xlfn.XLOOKUP($A8,'NORMALISATION FACTORS'!$B$2:$B$500,'NORMALISATION FACTORS'!$G$2:$G$500,FALSE)</f>
        <v>0</v>
      </c>
      <c r="G8" s="22">
        <f>_xlfn.XLOOKUP($A8,'RAW GWP FOSSIL'!$A$2:$A$496,'RAW GWP FOSSIL'!G$2:G$496,FALSE)*_xlfn.XLOOKUP($A8,'NORMALISATION FACTORS'!$B$2:$B$500,'NORMALISATION FACTORS'!$G$2:$G$500,FALSE)</f>
        <v>0</v>
      </c>
      <c r="H8" s="77">
        <f>_xlfn.XLOOKUP($A8,'RAW GWP FOSSIL'!$A$2:$A$496,'RAW GWP FOSSIL'!H$2:H$496,FALSE)*_xlfn.XLOOKUP($A8,'NORMALISATION FACTORS'!$B$2:$B$500,'NORMALISATION FACTORS'!$G$2:$G$500,FALSE)</f>
        <v>19.5</v>
      </c>
      <c r="I8" s="22">
        <f>_xlfn.XLOOKUP($A8,'RAW GWP FOSSIL'!$A$2:$A$496,'RAW GWP FOSSIL'!I$2:I$496,FALSE)*_xlfn.XLOOKUP($A8,'NORMALISATION FACTORS'!$B$2:$B$500,'NORMALISATION FACTORS'!$G$2:$G$500,FALSE)</f>
        <v>0</v>
      </c>
      <c r="J8" s="22">
        <f>_xlfn.XLOOKUP($A8,'RAW GWP FOSSIL'!$A$2:$A$496,'RAW GWP FOSSIL'!J$2:J$496,FALSE)*_xlfn.XLOOKUP($A8,'NORMALISATION FACTORS'!$B$2:$B$500,'NORMALISATION FACTORS'!$G$2:$G$500,FALSE)</f>
        <v>0</v>
      </c>
      <c r="K8" s="22">
        <f>_xlfn.XLOOKUP($A8,'RAW GWP FOSSIL'!$A$2:$A$496,'RAW GWP FOSSIL'!K$2:K$496,FALSE)*_xlfn.XLOOKUP($A8,'NORMALISATION FACTORS'!$B$2:$B$500,'NORMALISATION FACTORS'!$G$2:$G$500,FALSE)</f>
        <v>0</v>
      </c>
      <c r="L8" s="19">
        <f>_xlfn.XLOOKUP($A8,'RAW GWP FOSSIL'!$A$2:$A$496,'RAW GWP FOSSIL'!L$2:L$496,FALSE)*_xlfn.XLOOKUP($A8,'NORMALISATION FACTORS'!$B$2:$B$500,'NORMALISATION FACTORS'!$G$2:$G$500,FALSE)</f>
        <v>0.13300000000000001</v>
      </c>
      <c r="M8" s="19">
        <f>_xlfn.XLOOKUP($A8,'RAW GWP FOSSIL'!$A$2:$A$496,'RAW GWP FOSSIL'!M$2:M$496,FALSE)*_xlfn.XLOOKUP($A8,'NORMALISATION FACTORS'!$B$2:$B$500,'NORMALISATION FACTORS'!$G$2:$G$500,FALSE)</f>
        <v>0.13700000000000001</v>
      </c>
      <c r="N8" s="19">
        <f>_xlfn.XLOOKUP($A8,'RAW GWP FOSSIL'!$A$2:$A$496,'RAW GWP FOSSIL'!N$2:N$496,FALSE)*_xlfn.XLOOKUP($A8,'NORMALISATION FACTORS'!$B$2:$B$500,'NORMALISATION FACTORS'!$G$2:$G$500,FALSE)</f>
        <v>12.5</v>
      </c>
      <c r="O8" s="19">
        <f>_xlfn.XLOOKUP($A8,'RAW GWP FOSSIL'!$A$2:$A$496,'RAW GWP FOSSIL'!O$2:O$496,FALSE)*_xlfn.XLOOKUP($A8,'NORMALISATION FACTORS'!$B$2:$B$500,'NORMALISATION FACTORS'!$G$2:$G$500,FALSE)</f>
        <v>0</v>
      </c>
      <c r="P8" s="19">
        <f>_xlfn.XLOOKUP($A8,'RAW GWP FOSSIL'!$A$2:$A$496,'RAW GWP FOSSIL'!P$2:P$496,FALSE)*_xlfn.XLOOKUP($A8,'NORMALISATION FACTORS'!$B$2:$B$500,'NORMALISATION FACTORS'!$G$2:$G$500,FALSE)</f>
        <v>-17.5</v>
      </c>
    </row>
    <row r="9" spans="1:16" ht="217.5" x14ac:dyDescent="0.35">
      <c r="A9" s="17" t="s">
        <v>324</v>
      </c>
      <c r="B9" s="17" t="str">
        <f>VLOOKUP($A9,'EPD REPOSITORY'!$B$1:$O$30,3,FALSE)</f>
        <v>Timber Frame</v>
      </c>
      <c r="C9" s="18" t="s">
        <v>237</v>
      </c>
      <c r="D9" s="17" t="s">
        <v>320</v>
      </c>
      <c r="E9" s="22">
        <f>_xlfn.XLOOKUP($A9,'RAW GWP FOSSIL'!$A$2:$A$496,'RAW GWP FOSSIL'!E$2:E$496,FALSE)*_xlfn.XLOOKUP($A9,'NORMALISATION FACTORS'!$B$2:$B$500,'NORMALISATION FACTORS'!$G$2:$G$500,FALSE)</f>
        <v>0</v>
      </c>
      <c r="F9" s="22">
        <f>_xlfn.XLOOKUP($A9,'RAW GWP FOSSIL'!$A$2:$A$496,'RAW GWP FOSSIL'!F$2:F$496,FALSE)*_xlfn.XLOOKUP($A9,'NORMALISATION FACTORS'!$B$2:$B$500,'NORMALISATION FACTORS'!$G$2:$G$500,FALSE)</f>
        <v>0</v>
      </c>
      <c r="G9" s="22">
        <f>_xlfn.XLOOKUP($A9,'RAW GWP FOSSIL'!$A$2:$A$496,'RAW GWP FOSSIL'!G$2:G$496,FALSE)*_xlfn.XLOOKUP($A9,'NORMALISATION FACTORS'!$B$2:$B$500,'NORMALISATION FACTORS'!$G$2:$G$500,FALSE)</f>
        <v>0</v>
      </c>
      <c r="H9" s="77">
        <f>_xlfn.XLOOKUP($A9,'RAW GWP FOSSIL'!$A$2:$A$496,'RAW GWP FOSSIL'!H$2:H$496,FALSE)*_xlfn.XLOOKUP($A9,'NORMALISATION FACTORS'!$B$2:$B$500,'NORMALISATION FACTORS'!$G$2:$G$500,FALSE)</f>
        <v>24.7</v>
      </c>
      <c r="I9" s="19">
        <f>_xlfn.XLOOKUP($A9,'RAW GWP FOSSIL'!$A$2:$A$496,'RAW GWP FOSSIL'!I$2:I$496,FALSE)*_xlfn.XLOOKUP($A9,'NORMALISATION FACTORS'!$B$2:$B$500,'NORMALISATION FACTORS'!$G$2:$G$500,FALSE)</f>
        <v>7.81</v>
      </c>
      <c r="J9" s="22">
        <f>_xlfn.XLOOKUP($A9,'RAW GWP FOSSIL'!$A$2:$A$496,'RAW GWP FOSSIL'!J$2:J$496,FALSE)*_xlfn.XLOOKUP($A9,'NORMALISATION FACTORS'!$B$2:$B$500,'NORMALISATION FACTORS'!$G$2:$G$500,FALSE)</f>
        <v>0</v>
      </c>
      <c r="K9" s="22">
        <f>_xlfn.XLOOKUP($A9,'RAW GWP FOSSIL'!$A$2:$A$496,'RAW GWP FOSSIL'!K$2:K$496,FALSE)*_xlfn.XLOOKUP($A9,'NORMALISATION FACTORS'!$B$2:$B$500,'NORMALISATION FACTORS'!$G$2:$G$500,FALSE)</f>
        <v>0</v>
      </c>
      <c r="L9" s="19">
        <f>_xlfn.XLOOKUP($A9,'RAW GWP FOSSIL'!$A$2:$A$496,'RAW GWP FOSSIL'!L$2:L$496,FALSE)*_xlfn.XLOOKUP($A9,'NORMALISATION FACTORS'!$B$2:$B$500,'NORMALISATION FACTORS'!$G$2:$G$500,FALSE)</f>
        <v>0</v>
      </c>
      <c r="M9" s="19">
        <f>_xlfn.XLOOKUP($A9,'RAW GWP FOSSIL'!$A$2:$A$496,'RAW GWP FOSSIL'!M$2:M$496,FALSE)*_xlfn.XLOOKUP($A9,'NORMALISATION FACTORS'!$B$2:$B$500,'NORMALISATION FACTORS'!$G$2:$G$500,FALSE)</f>
        <v>0.35099999999999998</v>
      </c>
      <c r="N9" s="19">
        <f>_xlfn.XLOOKUP($A9,'RAW GWP FOSSIL'!$A$2:$A$496,'RAW GWP FOSSIL'!N$2:N$496,FALSE)*_xlfn.XLOOKUP($A9,'NORMALISATION FACTORS'!$B$2:$B$500,'NORMALISATION FACTORS'!$G$2:$G$500,FALSE)</f>
        <v>22.8</v>
      </c>
      <c r="O9" s="19">
        <f>_xlfn.XLOOKUP($A9,'RAW GWP FOSSIL'!$A$2:$A$496,'RAW GWP FOSSIL'!O$2:O$496,FALSE)*_xlfn.XLOOKUP($A9,'NORMALISATION FACTORS'!$B$2:$B$500,'NORMALISATION FACTORS'!$G$2:$G$500,FALSE)</f>
        <v>2.9899999999999999E-2</v>
      </c>
      <c r="P9" s="19">
        <f>_xlfn.XLOOKUP($A9,'RAW GWP FOSSIL'!$A$2:$A$496,'RAW GWP FOSSIL'!P$2:P$496,FALSE)*_xlfn.XLOOKUP($A9,'NORMALISATION FACTORS'!$B$2:$B$500,'NORMALISATION FACTORS'!$G$2:$G$500,FALSE)</f>
        <v>-14.5</v>
      </c>
    </row>
    <row r="10" spans="1:16" ht="58" x14ac:dyDescent="0.35">
      <c r="A10" s="17" t="s">
        <v>325</v>
      </c>
      <c r="B10" s="17" t="str">
        <f>VLOOKUP($A10,'EPD REPOSITORY'!$B$1:$O$30,3,FALSE)</f>
        <v>LGS</v>
      </c>
      <c r="C10" s="18" t="s">
        <v>145</v>
      </c>
      <c r="D10" s="17" t="s">
        <v>320</v>
      </c>
      <c r="E10" s="22">
        <f>_xlfn.XLOOKUP($A10,'RAW GWP FOSSIL'!$A$2:$A$496,'RAW GWP FOSSIL'!E$2:E$496,FALSE)*_xlfn.XLOOKUP($A10,'NORMALISATION FACTORS'!$B$2:$B$500,'NORMALISATION FACTORS'!$G$2:$G$500,FALSE)</f>
        <v>0</v>
      </c>
      <c r="F10" s="22">
        <f>_xlfn.XLOOKUP($A10,'RAW GWP FOSSIL'!$A$2:$A$496,'RAW GWP FOSSIL'!F$2:F$496,FALSE)*_xlfn.XLOOKUP($A10,'NORMALISATION FACTORS'!$B$2:$B$500,'NORMALISATION FACTORS'!$G$2:$G$500,FALSE)</f>
        <v>0</v>
      </c>
      <c r="G10" s="22">
        <f>_xlfn.XLOOKUP($A10,'RAW GWP FOSSIL'!$A$2:$A$496,'RAW GWP FOSSIL'!G$2:G$496,FALSE)*_xlfn.XLOOKUP($A10,'NORMALISATION FACTORS'!$B$2:$B$500,'NORMALISATION FACTORS'!$G$2:$G$500,FALSE)</f>
        <v>0</v>
      </c>
      <c r="H10" s="77">
        <f>_xlfn.XLOOKUP($A10,'RAW GWP FOSSIL'!$A$2:$A$496,'RAW GWP FOSSIL'!H$2:H$496,FALSE)*_xlfn.XLOOKUP($A10,'NORMALISATION FACTORS'!$B$2:$B$500,'NORMALISATION FACTORS'!$G$2:$G$500,FALSE)</f>
        <v>15.372500000000002</v>
      </c>
      <c r="I10" s="19">
        <f>_xlfn.XLOOKUP($A10,'RAW GWP FOSSIL'!$A$2:$A$496,'RAW GWP FOSSIL'!I$2:I$496,FALSE)*_xlfn.XLOOKUP($A10,'NORMALISATION FACTORS'!$B$2:$B$500,'NORMALISATION FACTORS'!$G$2:$G$500,FALSE)</f>
        <v>0.15514400000000003</v>
      </c>
      <c r="J10" s="19">
        <f>_xlfn.XLOOKUP($A10,'RAW GWP FOSSIL'!$A$2:$A$496,'RAW GWP FOSSIL'!J$2:J$496,FALSE)*_xlfn.XLOOKUP($A10,'NORMALISATION FACTORS'!$B$2:$B$500,'NORMALISATION FACTORS'!$G$2:$G$500,FALSE)</f>
        <v>1.44738E-2</v>
      </c>
      <c r="K10" s="22">
        <f>_xlfn.XLOOKUP($A10,'RAW GWP FOSSIL'!$A$2:$A$496,'RAW GWP FOSSIL'!K$2:K$496,FALSE)*_xlfn.XLOOKUP($A10,'NORMALISATION FACTORS'!$B$2:$B$500,'NORMALISATION FACTORS'!$G$2:$G$500,FALSE)</f>
        <v>0</v>
      </c>
      <c r="L10" s="19">
        <f>_xlfn.XLOOKUP($A10,'RAW GWP FOSSIL'!$A$2:$A$496,'RAW GWP FOSSIL'!L$2:L$496,FALSE)*_xlfn.XLOOKUP($A10,'NORMALISATION FACTORS'!$B$2:$B$500,'NORMALISATION FACTORS'!$G$2:$G$500,FALSE)</f>
        <v>1.4379200000000002E-2</v>
      </c>
      <c r="M10" s="19">
        <f>_xlfn.XLOOKUP($A10,'RAW GWP FOSSIL'!$A$2:$A$496,'RAW GWP FOSSIL'!M$2:M$496,FALSE)*_xlfn.XLOOKUP($A10,'NORMALISATION FACTORS'!$B$2:$B$500,'NORMALISATION FACTORS'!$G$2:$G$500,FALSE)</f>
        <v>1.3338600000000001E-2</v>
      </c>
      <c r="N10" s="19">
        <f>_xlfn.XLOOKUP($A10,'RAW GWP FOSSIL'!$A$2:$A$496,'RAW GWP FOSSIL'!N$2:N$496,FALSE)*_xlfn.XLOOKUP($A10,'NORMALISATION FACTORS'!$B$2:$B$500,'NORMALISATION FACTORS'!$G$2:$G$500,FALSE)</f>
        <v>0.11588500000000002</v>
      </c>
      <c r="O10" s="19">
        <f>_xlfn.XLOOKUP($A10,'RAW GWP FOSSIL'!$A$2:$A$496,'RAW GWP FOSSIL'!O$2:O$496,FALSE)*_xlfn.XLOOKUP($A10,'NORMALISATION FACTORS'!$B$2:$B$500,'NORMALISATION FACTORS'!$G$2:$G$500,FALSE)</f>
        <v>1.2439900000000002E-3</v>
      </c>
      <c r="P10" s="19">
        <f>_xlfn.XLOOKUP($A10,'RAW GWP FOSSIL'!$A$2:$A$496,'RAW GWP FOSSIL'!P$2:P$496,FALSE)*_xlfn.XLOOKUP($A10,'NORMALISATION FACTORS'!$B$2:$B$500,'NORMALISATION FACTORS'!$G$2:$G$500,FALSE)</f>
        <v>0.14095400000000002</v>
      </c>
    </row>
    <row r="11" spans="1:16" ht="72.5" x14ac:dyDescent="0.35">
      <c r="A11" s="17" t="s">
        <v>191</v>
      </c>
      <c r="B11" s="17" t="str">
        <f>VLOOKUP($A11,'EPD REPOSITORY'!$B$1:$O$30,3,FALSE)</f>
        <v>SIP</v>
      </c>
      <c r="C11" s="18" t="s">
        <v>189</v>
      </c>
      <c r="D11" s="17" t="s">
        <v>320</v>
      </c>
      <c r="E11" s="22">
        <f>_xlfn.XLOOKUP($A11,'RAW GWP FOSSIL'!$A$2:$A$496,'RAW GWP FOSSIL'!E$2:E$496,FALSE)*_xlfn.XLOOKUP($A11,'NORMALISATION FACTORS'!$B$2:$B$500,'NORMALISATION FACTORS'!$G$2:$G$500,FALSE)</f>
        <v>0</v>
      </c>
      <c r="F11" s="22">
        <f>_xlfn.XLOOKUP($A11,'RAW GWP FOSSIL'!$A$2:$A$496,'RAW GWP FOSSIL'!F$2:F$496,FALSE)*_xlfn.XLOOKUP($A11,'NORMALISATION FACTORS'!$B$2:$B$500,'NORMALISATION FACTORS'!$G$2:$G$500,FALSE)</f>
        <v>0</v>
      </c>
      <c r="G11" s="22">
        <f>_xlfn.XLOOKUP($A11,'RAW GWP FOSSIL'!$A$2:$A$496,'RAW GWP FOSSIL'!G$2:G$496,FALSE)*_xlfn.XLOOKUP($A11,'NORMALISATION FACTORS'!$B$2:$B$500,'NORMALISATION FACTORS'!$G$2:$G$500,FALSE)</f>
        <v>0</v>
      </c>
      <c r="H11" s="77">
        <f>_xlfn.XLOOKUP($A11,'RAW GWP FOSSIL'!$A$2:$A$496,'RAW GWP FOSSIL'!H$2:H$496,FALSE)*_xlfn.XLOOKUP($A11,'NORMALISATION FACTORS'!$B$2:$B$500,'NORMALISATION FACTORS'!$G$2:$G$500,FALSE)</f>
        <v>24.6</v>
      </c>
      <c r="I11" s="22">
        <f>_xlfn.XLOOKUP($A11,'RAW GWP FOSSIL'!$A$2:$A$496,'RAW GWP FOSSIL'!I$2:I$496,FALSE)*_xlfn.XLOOKUP($A11,'NORMALISATION FACTORS'!$B$2:$B$500,'NORMALISATION FACTORS'!$G$2:$G$500,FALSE)</f>
        <v>0</v>
      </c>
      <c r="J11" s="22">
        <f>_xlfn.XLOOKUP($A11,'RAW GWP FOSSIL'!$A$2:$A$496,'RAW GWP FOSSIL'!J$2:J$496,FALSE)*_xlfn.XLOOKUP($A11,'NORMALISATION FACTORS'!$B$2:$B$500,'NORMALISATION FACTORS'!$G$2:$G$500,FALSE)</f>
        <v>0</v>
      </c>
      <c r="K11" s="22">
        <f>_xlfn.XLOOKUP($A11,'RAW GWP FOSSIL'!$A$2:$A$496,'RAW GWP FOSSIL'!K$2:K$496,FALSE)*_xlfn.XLOOKUP($A11,'NORMALISATION FACTORS'!$B$2:$B$500,'NORMALISATION FACTORS'!$G$2:$G$500,FALSE)</f>
        <v>0</v>
      </c>
      <c r="L11" s="19">
        <f>_xlfn.XLOOKUP($A11,'RAW GWP FOSSIL'!$A$2:$A$496,'RAW GWP FOSSIL'!L$2:L$496,FALSE)*_xlfn.XLOOKUP($A11,'NORMALISATION FACTORS'!$B$2:$B$500,'NORMALISATION FACTORS'!$G$2:$G$500,FALSE)</f>
        <v>0.13800000000000001</v>
      </c>
      <c r="M11" s="19">
        <f>_xlfn.XLOOKUP($A11,'RAW GWP FOSSIL'!$A$2:$A$496,'RAW GWP FOSSIL'!M$2:M$496,FALSE)*_xlfn.XLOOKUP($A11,'NORMALISATION FACTORS'!$B$2:$B$500,'NORMALISATION FACTORS'!$G$2:$G$500,FALSE)</f>
        <v>0.14199999999999999</v>
      </c>
      <c r="N11" s="19">
        <f>_xlfn.XLOOKUP($A11,'RAW GWP FOSSIL'!$A$2:$A$496,'RAW GWP FOSSIL'!N$2:N$496,FALSE)*_xlfn.XLOOKUP($A11,'NORMALISATION FACTORS'!$B$2:$B$500,'NORMALISATION FACTORS'!$G$2:$G$500,FALSE)</f>
        <v>12.9</v>
      </c>
      <c r="O11" s="19">
        <f>_xlfn.XLOOKUP($A11,'RAW GWP FOSSIL'!$A$2:$A$496,'RAW GWP FOSSIL'!O$2:O$496,FALSE)*_xlfn.XLOOKUP($A11,'NORMALISATION FACTORS'!$B$2:$B$500,'NORMALISATION FACTORS'!$G$2:$G$500,FALSE)</f>
        <v>0</v>
      </c>
      <c r="P11" s="19">
        <f>_xlfn.XLOOKUP($A11,'RAW GWP FOSSIL'!$A$2:$A$496,'RAW GWP FOSSIL'!P$2:P$496,FALSE)*_xlfn.XLOOKUP($A11,'NORMALISATION FACTORS'!$B$2:$B$500,'NORMALISATION FACTORS'!$G$2:$G$500,FALSE)</f>
        <v>-18.100000000000001</v>
      </c>
    </row>
    <row r="12" spans="1:16" ht="58" x14ac:dyDescent="0.35">
      <c r="A12" s="17" t="s">
        <v>166</v>
      </c>
      <c r="B12" s="17" t="str">
        <f>VLOOKUP($A12,'EPD REPOSITORY'!$B$1:$O$30,3,FALSE)</f>
        <v>LGS</v>
      </c>
      <c r="C12" s="18" t="s">
        <v>171</v>
      </c>
      <c r="D12" s="17" t="s">
        <v>320</v>
      </c>
      <c r="E12" s="19">
        <f>_xlfn.XLOOKUP($A12,'RAW GWP FOSSIL'!$A$2:$A$496,'RAW GWP FOSSIL'!E$2:E$496,FALSE)*_xlfn.XLOOKUP($A12,'NORMALISATION FACTORS'!$B$2:$B$500,'NORMALISATION FACTORS'!$G$2:$G$500,FALSE)</f>
        <v>8.561300000000001</v>
      </c>
      <c r="F12" s="19">
        <f>_xlfn.XLOOKUP($A12,'RAW GWP FOSSIL'!$A$2:$A$496,'RAW GWP FOSSIL'!F$2:F$496,FALSE)*_xlfn.XLOOKUP($A12,'NORMALISATION FACTORS'!$B$2:$B$500,'NORMALISATION FACTORS'!$G$2:$G$500,FALSE)</f>
        <v>0.87032000000000009</v>
      </c>
      <c r="G12" s="19">
        <f>_xlfn.XLOOKUP($A12,'RAW GWP FOSSIL'!$A$2:$A$496,'RAW GWP FOSSIL'!G$2:G$496,FALSE)*_xlfn.XLOOKUP($A12,'NORMALISATION FACTORS'!$B$2:$B$500,'NORMALISATION FACTORS'!$G$2:$G$500,FALSE)</f>
        <v>0.56759999999999999</v>
      </c>
      <c r="H12" s="77">
        <f>_xlfn.XLOOKUP($A12,'RAW GWP FOSSIL'!$A$2:$A$496,'RAW GWP FOSSIL'!H$2:H$496,FALSE)*_xlfn.XLOOKUP($A12,'NORMALISATION FACTORS'!$B$2:$B$500,'NORMALISATION FACTORS'!$G$2:$G$500,FALSE)</f>
        <v>9.9992200000000011</v>
      </c>
      <c r="I12" s="19">
        <f>_xlfn.XLOOKUP($A12,'RAW GWP FOSSIL'!$A$2:$A$496,'RAW GWP FOSSIL'!I$2:I$496,FALSE)*_xlfn.XLOOKUP($A12,'NORMALISATION FACTORS'!$B$2:$B$500,'NORMALISATION FACTORS'!$G$2:$G$500,FALSE)</f>
        <v>5.6760000000000005E-2</v>
      </c>
      <c r="J12" s="19">
        <f>_xlfn.XLOOKUP($A12,'RAW GWP FOSSIL'!$A$2:$A$496,'RAW GWP FOSSIL'!J$2:J$496,FALSE)*_xlfn.XLOOKUP($A12,'NORMALISATION FACTORS'!$B$2:$B$500,'NORMALISATION FACTORS'!$G$2:$G$500,FALSE)</f>
        <v>5.2503000000000011E-3</v>
      </c>
      <c r="K12" s="22">
        <f>_xlfn.XLOOKUP($A12,'RAW GWP FOSSIL'!$A$2:$A$496,'RAW GWP FOSSIL'!K$2:K$496,FALSE)*_xlfn.XLOOKUP($A12,'NORMALISATION FACTORS'!$B$2:$B$500,'NORMALISATION FACTORS'!$G$2:$G$500,FALSE)</f>
        <v>0</v>
      </c>
      <c r="L12" s="19">
        <f>_xlfn.XLOOKUP($A12,'RAW GWP FOSSIL'!$A$2:$A$496,'RAW GWP FOSSIL'!L$2:L$496,FALSE)*_xlfn.XLOOKUP($A12,'NORMALISATION FACTORS'!$B$2:$B$500,'NORMALISATION FACTORS'!$G$2:$G$500,FALSE)</f>
        <v>4.9665000000000004E-3</v>
      </c>
      <c r="M12" s="19">
        <f>_xlfn.XLOOKUP($A12,'RAW GWP FOSSIL'!$A$2:$A$496,'RAW GWP FOSSIL'!M$2:M$496,FALSE)*_xlfn.XLOOKUP($A12,'NORMALISATION FACTORS'!$B$2:$B$500,'NORMALISATION FACTORS'!$G$2:$G$500,FALSE)</f>
        <v>0</v>
      </c>
      <c r="N12" s="19">
        <f>_xlfn.XLOOKUP($A12,'RAW GWP FOSSIL'!$A$2:$A$496,'RAW GWP FOSSIL'!N$2:N$496,FALSE)*_xlfn.XLOOKUP($A12,'NORMALISATION FACTORS'!$B$2:$B$500,'NORMALISATION FACTORS'!$G$2:$G$500,FALSE)</f>
        <v>0.10358700000000001</v>
      </c>
      <c r="O12" s="19">
        <f>_xlfn.XLOOKUP($A12,'RAW GWP FOSSIL'!$A$2:$A$496,'RAW GWP FOSSIL'!O$2:O$496,FALSE)*_xlfn.XLOOKUP($A12,'NORMALISATION FACTORS'!$B$2:$B$500,'NORMALISATION FACTORS'!$G$2:$G$500,FALSE)</f>
        <v>1.4994100000000001E-3</v>
      </c>
      <c r="P12" s="19">
        <f>_xlfn.XLOOKUP($A12,'RAW GWP FOSSIL'!$A$2:$A$496,'RAW GWP FOSSIL'!P$2:P$496,FALSE)*_xlfn.XLOOKUP($A12,'NORMALISATION FACTORS'!$B$2:$B$500,'NORMALISATION FACTORS'!$G$2:$G$500,FALSE)</f>
        <v>-3.8691400000000002</v>
      </c>
    </row>
    <row r="13" spans="1:16" ht="87" x14ac:dyDescent="0.35">
      <c r="A13" s="17" t="s">
        <v>788</v>
      </c>
      <c r="B13" s="17" t="e">
        <f>VLOOKUP($A13,'EPD REPOSITORY'!$B$1:$O$30,3,FALSE)</f>
        <v>#N/A</v>
      </c>
      <c r="C13" s="18" t="s">
        <v>88</v>
      </c>
      <c r="D13" s="17" t="s">
        <v>320</v>
      </c>
      <c r="E13" s="22">
        <f>_xlfn.XLOOKUP($A13,'RAW GWP FOSSIL'!$A$2:$A$496,'RAW GWP FOSSIL'!E$2:E$496,FALSE)*_xlfn.XLOOKUP($A13,'NORMALISATION FACTORS'!$B$2:$B$500,'NORMALISATION FACTORS'!$G$2:$G$500,FALSE)</f>
        <v>0</v>
      </c>
      <c r="F13" s="22">
        <f>_xlfn.XLOOKUP($A13,'RAW GWP FOSSIL'!$A$2:$A$496,'RAW GWP FOSSIL'!F$2:F$496,FALSE)*_xlfn.XLOOKUP($A13,'NORMALISATION FACTORS'!$B$2:$B$500,'NORMALISATION FACTORS'!$G$2:$G$500,FALSE)</f>
        <v>0</v>
      </c>
      <c r="G13" s="22">
        <f>_xlfn.XLOOKUP($A13,'RAW GWP FOSSIL'!$A$2:$A$496,'RAW GWP FOSSIL'!G$2:G$496,FALSE)*_xlfn.XLOOKUP($A13,'NORMALISATION FACTORS'!$B$2:$B$500,'NORMALISATION FACTORS'!$G$2:$G$500,FALSE)</f>
        <v>0</v>
      </c>
      <c r="H13" s="77">
        <f>_xlfn.XLOOKUP($A13,'RAW GWP FOSSIL'!$A$2:$A$496,'RAW GWP FOSSIL'!H$2:H$496,FALSE)*_xlfn.XLOOKUP($A13,'NORMALISATION FACTORS'!$B$2:$B$500,'NORMALISATION FACTORS'!$G$2:$G$500,FALSE)</f>
        <v>20.360500000000002</v>
      </c>
      <c r="I13" s="22">
        <f>_xlfn.XLOOKUP($A13,'RAW GWP FOSSIL'!$A$2:$A$496,'RAW GWP FOSSIL'!I$2:I$496,FALSE)*_xlfn.XLOOKUP($A13,'NORMALISATION FACTORS'!$B$2:$B$500,'NORMALISATION FACTORS'!$G$2:$G$500,FALSE)</f>
        <v>0</v>
      </c>
      <c r="J13" s="22">
        <f>_xlfn.XLOOKUP($A13,'RAW GWP FOSSIL'!$A$2:$A$496,'RAW GWP FOSSIL'!J$2:J$496,FALSE)*_xlfn.XLOOKUP($A13,'NORMALISATION FACTORS'!$B$2:$B$500,'NORMALISATION FACTORS'!$G$2:$G$500,FALSE)</f>
        <v>0</v>
      </c>
      <c r="K13" s="22">
        <f>_xlfn.XLOOKUP($A13,'RAW GWP FOSSIL'!$A$2:$A$496,'RAW GWP FOSSIL'!K$2:K$496,FALSE)*_xlfn.XLOOKUP($A13,'NORMALISATION FACTORS'!$B$2:$B$500,'NORMALISATION FACTORS'!$G$2:$G$500,FALSE)</f>
        <v>0</v>
      </c>
      <c r="L13" s="19">
        <f>_xlfn.XLOOKUP($A13,'RAW GWP FOSSIL'!$A$2:$A$496,'RAW GWP FOSSIL'!L$2:L$496,FALSE)*_xlfn.XLOOKUP($A13,'NORMALISATION FACTORS'!$B$2:$B$500,'NORMALISATION FACTORS'!$G$2:$G$500,FALSE)</f>
        <v>1.93285</v>
      </c>
      <c r="M13" s="19">
        <f>_xlfn.XLOOKUP($A13,'RAW GWP FOSSIL'!$A$2:$A$496,'RAW GWP FOSSIL'!M$2:M$496,FALSE)*_xlfn.XLOOKUP($A13,'NORMALISATION FACTORS'!$B$2:$B$500,'NORMALISATION FACTORS'!$G$2:$G$500,FALSE)</f>
        <v>1.6103499999999999</v>
      </c>
      <c r="N13" s="19">
        <f>_xlfn.XLOOKUP($A13,'RAW GWP FOSSIL'!$A$2:$A$496,'RAW GWP FOSSIL'!N$2:N$496,FALSE)*_xlfn.XLOOKUP($A13,'NORMALISATION FACTORS'!$B$2:$B$500,'NORMALISATION FACTORS'!$G$2:$G$500,FALSE)</f>
        <v>0.68154999999999999</v>
      </c>
      <c r="O13" s="19">
        <f>_xlfn.XLOOKUP($A13,'RAW GWP FOSSIL'!$A$2:$A$496,'RAW GWP FOSSIL'!O$2:O$496,FALSE)*_xlfn.XLOOKUP($A13,'NORMALISATION FACTORS'!$B$2:$B$500,'NORMALISATION FACTORS'!$G$2:$G$500,FALSE)</f>
        <v>0</v>
      </c>
      <c r="P13" s="19">
        <f>_xlfn.XLOOKUP($A13,'RAW GWP FOSSIL'!$A$2:$A$496,'RAW GWP FOSSIL'!P$2:P$496,FALSE)*_xlfn.XLOOKUP($A13,'NORMALISATION FACTORS'!$B$2:$B$500,'NORMALISATION FACTORS'!$G$2:$G$500,FALSE)</f>
        <v>-3.1389999999999998</v>
      </c>
    </row>
    <row r="14" spans="1:16" ht="43.5" x14ac:dyDescent="0.35">
      <c r="A14" s="17" t="s">
        <v>194</v>
      </c>
      <c r="B14" s="17" t="str">
        <f>VLOOKUP($A14,'EPD REPOSITORY'!$B$1:$O$30,3,FALSE)</f>
        <v>SIP</v>
      </c>
      <c r="C14" s="18" t="s">
        <v>326</v>
      </c>
      <c r="D14" s="17" t="s">
        <v>320</v>
      </c>
      <c r="E14" s="22">
        <f>_xlfn.XLOOKUP($A14,'RAW GWP FOSSIL'!$A$2:$A$496,'RAW GWP FOSSIL'!E$2:E$496,FALSE)*_xlfn.XLOOKUP($A14,'NORMALISATION FACTORS'!$B$2:$B$500,'NORMALISATION FACTORS'!$G$2:$G$500,FALSE)</f>
        <v>0</v>
      </c>
      <c r="F14" s="22">
        <f>_xlfn.XLOOKUP($A14,'RAW GWP FOSSIL'!$A$2:$A$496,'RAW GWP FOSSIL'!F$2:F$496,FALSE)*_xlfn.XLOOKUP($A14,'NORMALISATION FACTORS'!$B$2:$B$500,'NORMALISATION FACTORS'!$G$2:$G$500,FALSE)</f>
        <v>0</v>
      </c>
      <c r="G14" s="22">
        <f>_xlfn.XLOOKUP($A14,'RAW GWP FOSSIL'!$A$2:$A$496,'RAW GWP FOSSIL'!G$2:G$496,FALSE)*_xlfn.XLOOKUP($A14,'NORMALISATION FACTORS'!$B$2:$B$500,'NORMALISATION FACTORS'!$G$2:$G$500,FALSE)</f>
        <v>0</v>
      </c>
      <c r="H14" s="77">
        <f>_xlfn.XLOOKUP($A14,'RAW GWP FOSSIL'!$A$2:$A$496,'RAW GWP FOSSIL'!H$2:H$496,FALSE)*_xlfn.XLOOKUP($A14,'NORMALISATION FACTORS'!$B$2:$B$500,'NORMALISATION FACTORS'!$G$2:$G$500,FALSE)</f>
        <v>40</v>
      </c>
      <c r="I14" s="22">
        <f>_xlfn.XLOOKUP($A14,'RAW GWP FOSSIL'!$A$2:$A$496,'RAW GWP FOSSIL'!I$2:I$496,FALSE)*_xlfn.XLOOKUP($A14,'NORMALISATION FACTORS'!$B$2:$B$500,'NORMALISATION FACTORS'!$G$2:$G$500,FALSE)</f>
        <v>0</v>
      </c>
      <c r="J14" s="22">
        <f>_xlfn.XLOOKUP($A14,'RAW GWP FOSSIL'!$A$2:$A$496,'RAW GWP FOSSIL'!J$2:J$496,FALSE)*_xlfn.XLOOKUP($A14,'NORMALISATION FACTORS'!$B$2:$B$500,'NORMALISATION FACTORS'!$G$2:$G$500,FALSE)</f>
        <v>0</v>
      </c>
      <c r="K14" s="22">
        <f>_xlfn.XLOOKUP($A14,'RAW GWP FOSSIL'!$A$2:$A$496,'RAW GWP FOSSIL'!K$2:K$496,FALSE)*_xlfn.XLOOKUP($A14,'NORMALISATION FACTORS'!$B$2:$B$500,'NORMALISATION FACTORS'!$G$2:$G$500,FALSE)</f>
        <v>0</v>
      </c>
      <c r="L14" s="19">
        <f>_xlfn.XLOOKUP($A14,'RAW GWP FOSSIL'!$A$2:$A$496,'RAW GWP FOSSIL'!L$2:L$496,FALSE)*_xlfn.XLOOKUP($A14,'NORMALISATION FACTORS'!$B$2:$B$500,'NORMALISATION FACTORS'!$G$2:$G$500,FALSE)</f>
        <v>1.52E-2</v>
      </c>
      <c r="M14" s="19">
        <f>_xlfn.XLOOKUP($A14,'RAW GWP FOSSIL'!$A$2:$A$496,'RAW GWP FOSSIL'!M$2:M$496,FALSE)*_xlfn.XLOOKUP($A14,'NORMALISATION FACTORS'!$B$2:$B$500,'NORMALISATION FACTORS'!$G$2:$G$500,FALSE)</f>
        <v>0.16500000000000001</v>
      </c>
      <c r="N14" s="19">
        <f>_xlfn.XLOOKUP($A14,'RAW GWP FOSSIL'!$A$2:$A$496,'RAW GWP FOSSIL'!N$2:N$496,FALSE)*_xlfn.XLOOKUP($A14,'NORMALISATION FACTORS'!$B$2:$B$500,'NORMALISATION FACTORS'!$G$2:$G$500,FALSE)</f>
        <v>0</v>
      </c>
      <c r="O14" s="19">
        <f>_xlfn.XLOOKUP($A14,'RAW GWP FOSSIL'!$A$2:$A$496,'RAW GWP FOSSIL'!O$2:O$496,FALSE)*_xlfn.XLOOKUP($A14,'NORMALISATION FACTORS'!$B$2:$B$500,'NORMALISATION FACTORS'!$G$2:$G$500,FALSE)</f>
        <v>2.21</v>
      </c>
      <c r="P14" s="19">
        <f>_xlfn.XLOOKUP($A14,'RAW GWP FOSSIL'!$A$2:$A$496,'RAW GWP FOSSIL'!P$2:P$496,FALSE)*_xlfn.XLOOKUP($A14,'NORMALISATION FACTORS'!$B$2:$B$500,'NORMALISATION FACTORS'!$G$2:$G$500,FALSE)</f>
        <v>-6.7299999999999999E-3</v>
      </c>
    </row>
    <row r="15" spans="1:16" ht="275.5" x14ac:dyDescent="0.35">
      <c r="A15" s="17" t="s">
        <v>204</v>
      </c>
      <c r="B15" s="17" t="str">
        <f>VLOOKUP($A15,'EPD REPOSITORY'!$B$1:$O$30,3,FALSE)</f>
        <v>SIP</v>
      </c>
      <c r="C15" s="18" t="s">
        <v>211</v>
      </c>
      <c r="D15" s="17" t="s">
        <v>320</v>
      </c>
      <c r="E15" s="22">
        <f>_xlfn.XLOOKUP($A15,'RAW GWP FOSSIL'!$A$2:$A$496,'RAW GWP FOSSIL'!E$2:E$496,FALSE)*_xlfn.XLOOKUP($A15,'NORMALISATION FACTORS'!$B$2:$B$500,'NORMALISATION FACTORS'!$G$2:$G$500,FALSE)</f>
        <v>0</v>
      </c>
      <c r="F15" s="22">
        <f>_xlfn.XLOOKUP($A15,'RAW GWP FOSSIL'!$A$2:$A$496,'RAW GWP FOSSIL'!F$2:F$496,FALSE)*_xlfn.XLOOKUP($A15,'NORMALISATION FACTORS'!$B$2:$B$500,'NORMALISATION FACTORS'!$G$2:$G$500,FALSE)</f>
        <v>0</v>
      </c>
      <c r="G15" s="22">
        <f>_xlfn.XLOOKUP($A15,'RAW GWP FOSSIL'!$A$2:$A$496,'RAW GWP FOSSIL'!G$2:G$496,FALSE)*_xlfn.XLOOKUP($A15,'NORMALISATION FACTORS'!$B$2:$B$500,'NORMALISATION FACTORS'!$G$2:$G$500,FALSE)</f>
        <v>0</v>
      </c>
      <c r="H15" s="77">
        <f>_xlfn.XLOOKUP($A15,'RAW GWP FOSSIL'!$A$2:$A$496,'RAW GWP FOSSIL'!H$2:H$496,FALSE)*_xlfn.XLOOKUP($A15,'NORMALISATION FACTORS'!$B$2:$B$500,'NORMALISATION FACTORS'!$G$2:$G$500,FALSE)</f>
        <v>44.4</v>
      </c>
      <c r="I15" s="22">
        <f>_xlfn.XLOOKUP($A15,'RAW GWP FOSSIL'!$A$2:$A$496,'RAW GWP FOSSIL'!I$2:I$496,FALSE)*_xlfn.XLOOKUP($A15,'NORMALISATION FACTORS'!$B$2:$B$500,'NORMALISATION FACTORS'!$G$2:$G$500,FALSE)</f>
        <v>0</v>
      </c>
      <c r="J15" s="22">
        <f>_xlfn.XLOOKUP($A15,'RAW GWP FOSSIL'!$A$2:$A$496,'RAW GWP FOSSIL'!J$2:J$496,FALSE)*_xlfn.XLOOKUP($A15,'NORMALISATION FACTORS'!$B$2:$B$500,'NORMALISATION FACTORS'!$G$2:$G$500,FALSE)</f>
        <v>0</v>
      </c>
      <c r="K15" s="22">
        <f>_xlfn.XLOOKUP($A15,'RAW GWP FOSSIL'!$A$2:$A$496,'RAW GWP FOSSIL'!K$2:K$496,FALSE)*_xlfn.XLOOKUP($A15,'NORMALISATION FACTORS'!$B$2:$B$500,'NORMALISATION FACTORS'!$G$2:$G$500,FALSE)</f>
        <v>0</v>
      </c>
      <c r="L15" s="19">
        <f>_xlfn.XLOOKUP($A15,'RAW GWP FOSSIL'!$A$2:$A$496,'RAW GWP FOSSIL'!L$2:L$496,FALSE)*_xlfn.XLOOKUP($A15,'NORMALISATION FACTORS'!$B$2:$B$500,'NORMALISATION FACTORS'!$G$2:$G$500,FALSE)</f>
        <v>8.3199999999999995E-4</v>
      </c>
      <c r="M15" s="19">
        <f>_xlfn.XLOOKUP($A15,'RAW GWP FOSSIL'!$A$2:$A$496,'RAW GWP FOSSIL'!M$2:M$496,FALSE)*_xlfn.XLOOKUP($A15,'NORMALISATION FACTORS'!$B$2:$B$500,'NORMALISATION FACTORS'!$G$2:$G$500,FALSE)</f>
        <v>0.14899999999999999</v>
      </c>
      <c r="N15" s="19">
        <f>_xlfn.XLOOKUP($A15,'RAW GWP FOSSIL'!$A$2:$A$496,'RAW GWP FOSSIL'!N$2:N$496,FALSE)*_xlfn.XLOOKUP($A15,'NORMALISATION FACTORS'!$B$2:$B$500,'NORMALISATION FACTORS'!$G$2:$G$500,FALSE)</f>
        <v>8.2000000000000001E-5</v>
      </c>
      <c r="O15" s="19">
        <f>_xlfn.XLOOKUP($A15,'RAW GWP FOSSIL'!$A$2:$A$496,'RAW GWP FOSSIL'!O$2:O$496,FALSE)*_xlfn.XLOOKUP($A15,'NORMALISATION FACTORS'!$B$2:$B$500,'NORMALISATION FACTORS'!$G$2:$G$500,FALSE)</f>
        <v>4.3899999999999997</v>
      </c>
      <c r="P15" s="19">
        <f>_xlfn.XLOOKUP($A15,'RAW GWP FOSSIL'!$A$2:$A$496,'RAW GWP FOSSIL'!P$2:P$496,FALSE)*_xlfn.XLOOKUP($A15,'NORMALISATION FACTORS'!$B$2:$B$500,'NORMALISATION FACTORS'!$G$2:$G$500,FALSE)</f>
        <v>-13.1</v>
      </c>
    </row>
    <row r="16" spans="1:16" ht="72.5" x14ac:dyDescent="0.35">
      <c r="A16" s="17" t="s">
        <v>91</v>
      </c>
      <c r="B16" s="17" t="str">
        <f>VLOOKUP($A16,'EPD REPOSITORY'!$B$1:$O$30,3,FALSE)</f>
        <v>Concrete Block</v>
      </c>
      <c r="C16" s="18" t="s">
        <v>99</v>
      </c>
      <c r="D16" s="17" t="s">
        <v>320</v>
      </c>
      <c r="E16" s="19">
        <f>_xlfn.XLOOKUP($A16,'RAW GWP FOSSIL'!$A$2:$A$496,'RAW GWP FOSSIL'!E$2:E$496,FALSE)*_xlfn.XLOOKUP($A16,'NORMALISATION FACTORS'!$B$2:$B$500,'NORMALISATION FACTORS'!$G$2:$G$500,FALSE)</f>
        <v>47.646149999999999</v>
      </c>
      <c r="F16" s="19">
        <f>_xlfn.XLOOKUP($A16,'RAW GWP FOSSIL'!$A$2:$A$496,'RAW GWP FOSSIL'!F$2:F$496,FALSE)*_xlfn.XLOOKUP($A16,'NORMALISATION FACTORS'!$B$2:$B$500,'NORMALISATION FACTORS'!$G$2:$G$500,FALSE)</f>
        <v>0.69417050000000002</v>
      </c>
      <c r="G16" s="19">
        <f>_xlfn.XLOOKUP($A16,'RAW GWP FOSSIL'!$A$2:$A$496,'RAW GWP FOSSIL'!G$2:G$496,FALSE)*_xlfn.XLOOKUP($A16,'NORMALISATION FACTORS'!$B$2:$B$500,'NORMALISATION FACTORS'!$G$2:$G$500,FALSE)</f>
        <v>1.6238949999999999</v>
      </c>
      <c r="H16" s="77">
        <f>_xlfn.XLOOKUP($A16,'RAW GWP FOSSIL'!$A$2:$A$496,'RAW GWP FOSSIL'!H$2:H$496,FALSE)*_xlfn.XLOOKUP($A16,'NORMALISATION FACTORS'!$B$2:$B$500,'NORMALISATION FACTORS'!$G$2:$G$500,FALSE)</f>
        <v>49.964215500000002</v>
      </c>
      <c r="I16" s="19">
        <f>_xlfn.XLOOKUP($A16,'RAW GWP FOSSIL'!$A$2:$A$496,'RAW GWP FOSSIL'!I$2:I$496,FALSE)*_xlfn.XLOOKUP($A16,'NORMALISATION FACTORS'!$B$2:$B$500,'NORMALISATION FACTORS'!$G$2:$G$500,FALSE)</f>
        <v>11.117434999999999</v>
      </c>
      <c r="J16" s="19">
        <f>_xlfn.XLOOKUP($A16,'RAW GWP FOSSIL'!$A$2:$A$496,'RAW GWP FOSSIL'!J$2:J$496,FALSE)*_xlfn.XLOOKUP($A16,'NORMALISATION FACTORS'!$B$2:$B$500,'NORMALISATION FACTORS'!$G$2:$G$500,FALSE)</f>
        <v>2.5518350000000001</v>
      </c>
      <c r="K16" s="19">
        <f>_xlfn.XLOOKUP($A16,'RAW GWP FOSSIL'!$A$2:$A$496,'RAW GWP FOSSIL'!K$2:K$496,FALSE)*_xlfn.XLOOKUP($A16,'NORMALISATION FACTORS'!$B$2:$B$500,'NORMALISATION FACTORS'!$G$2:$G$500,FALSE)</f>
        <v>-3.1407200000000004</v>
      </c>
      <c r="L16" s="19">
        <f>_xlfn.XLOOKUP($A16,'RAW GWP FOSSIL'!$A$2:$A$496,'RAW GWP FOSSIL'!L$2:L$496,FALSE)*_xlfn.XLOOKUP($A16,'NORMALISATION FACTORS'!$B$2:$B$500,'NORMALISATION FACTORS'!$G$2:$G$500,FALSE)</f>
        <v>0</v>
      </c>
      <c r="M16" s="19">
        <f>_xlfn.XLOOKUP($A16,'RAW GWP FOSSIL'!$A$2:$A$496,'RAW GWP FOSSIL'!M$2:M$496,FALSE)*_xlfn.XLOOKUP($A16,'NORMALISATION FACTORS'!$B$2:$B$500,'NORMALISATION FACTORS'!$G$2:$G$500,FALSE)</f>
        <v>0.9029569999999999</v>
      </c>
      <c r="N16" s="19">
        <f>_xlfn.XLOOKUP($A16,'RAW GWP FOSSIL'!$A$2:$A$496,'RAW GWP FOSSIL'!N$2:N$496,FALSE)*_xlfn.XLOOKUP($A16,'NORMALISATION FACTORS'!$B$2:$B$500,'NORMALISATION FACTORS'!$G$2:$G$500,FALSE)</f>
        <v>5.0858249999999994E-2</v>
      </c>
      <c r="O16" s="19">
        <f>_xlfn.XLOOKUP($A16,'RAW GWP FOSSIL'!$A$2:$A$496,'RAW GWP FOSSIL'!O$2:O$496,FALSE)*_xlfn.XLOOKUP($A16,'NORMALISATION FACTORS'!$B$2:$B$500,'NORMALISATION FACTORS'!$G$2:$G$500,FALSE)</f>
        <v>0</v>
      </c>
      <c r="P16" s="19">
        <f>_xlfn.XLOOKUP($A16,'RAW GWP FOSSIL'!$A$2:$A$496,'RAW GWP FOSSIL'!P$2:P$496,FALSE)*_xlfn.XLOOKUP($A16,'NORMALISATION FACTORS'!$B$2:$B$500,'NORMALISATION FACTORS'!$G$2:$G$500,FALSE)</f>
        <v>-2.6232149999999996</v>
      </c>
    </row>
    <row r="17" spans="1:16" ht="72.5" x14ac:dyDescent="0.35">
      <c r="A17" s="17" t="s">
        <v>101</v>
      </c>
      <c r="B17" s="17" t="str">
        <f>VLOOKUP($A17,'EPD REPOSITORY'!$B$1:$O$30,3,FALSE)</f>
        <v>Concrete Block</v>
      </c>
      <c r="C17" s="18" t="s">
        <v>99</v>
      </c>
      <c r="D17" s="17" t="s">
        <v>320</v>
      </c>
      <c r="E17" s="19">
        <f>_xlfn.XLOOKUP($A17,'RAW GWP FOSSIL'!$A$2:$A$496,'RAW GWP FOSSIL'!E$2:E$496,FALSE)*_xlfn.XLOOKUP($A17,'NORMALISATION FACTORS'!$B$2:$B$500,'NORMALISATION FACTORS'!$G$2:$G$500,FALSE)</f>
        <v>51.144200000000005</v>
      </c>
      <c r="F17" s="19">
        <f>_xlfn.XLOOKUP($A17,'RAW GWP FOSSIL'!$A$2:$A$496,'RAW GWP FOSSIL'!F$2:F$496,FALSE)*_xlfn.XLOOKUP($A17,'NORMALISATION FACTORS'!$B$2:$B$500,'NORMALISATION FACTORS'!$G$2:$G$500,FALSE)</f>
        <v>0.65196600000000016</v>
      </c>
      <c r="G17" s="19">
        <f>_xlfn.XLOOKUP($A17,'RAW GWP FOSSIL'!$A$2:$A$496,'RAW GWP FOSSIL'!G$2:G$496,FALSE)*_xlfn.XLOOKUP($A17,'NORMALISATION FACTORS'!$B$2:$B$500,'NORMALISATION FACTORS'!$G$2:$G$500,FALSE)</f>
        <v>1.4869400000000002</v>
      </c>
      <c r="H17" s="77">
        <f>_xlfn.XLOOKUP($A17,'RAW GWP FOSSIL'!$A$2:$A$496,'RAW GWP FOSSIL'!H$2:H$496,FALSE)*_xlfn.XLOOKUP($A17,'NORMALISATION FACTORS'!$B$2:$B$500,'NORMALISATION FACTORS'!$G$2:$G$500,FALSE)</f>
        <v>53.283106000000011</v>
      </c>
      <c r="I17" s="19">
        <f>_xlfn.XLOOKUP($A17,'RAW GWP FOSSIL'!$A$2:$A$496,'RAW GWP FOSSIL'!I$2:I$496,FALSE)*_xlfn.XLOOKUP($A17,'NORMALISATION FACTORS'!$B$2:$B$500,'NORMALISATION FACTORS'!$G$2:$G$500,FALSE)</f>
        <v>10.179820000000001</v>
      </c>
      <c r="J17" s="19">
        <f>_xlfn.XLOOKUP($A17,'RAW GWP FOSSIL'!$A$2:$A$496,'RAW GWP FOSSIL'!J$2:J$496,FALSE)*_xlfn.XLOOKUP($A17,'NORMALISATION FACTORS'!$B$2:$B$500,'NORMALISATION FACTORS'!$G$2:$G$500,FALSE)</f>
        <v>2.7124400000000004</v>
      </c>
      <c r="K17" s="19">
        <f>_xlfn.XLOOKUP($A17,'RAW GWP FOSSIL'!$A$2:$A$496,'RAW GWP FOSSIL'!K$2:K$496,FALSE)*_xlfn.XLOOKUP($A17,'NORMALISATION FACTORS'!$B$2:$B$500,'NORMALISATION FACTORS'!$G$2:$G$500,FALSE)</f>
        <v>-2.8758400000000006</v>
      </c>
      <c r="L17" s="19">
        <f>_xlfn.XLOOKUP($A17,'RAW GWP FOSSIL'!$A$2:$A$496,'RAW GWP FOSSIL'!L$2:L$496,FALSE)*_xlfn.XLOOKUP($A17,'NORMALISATION FACTORS'!$B$2:$B$500,'NORMALISATION FACTORS'!$G$2:$G$500,FALSE)</f>
        <v>0</v>
      </c>
      <c r="M17" s="19">
        <f>_xlfn.XLOOKUP($A17,'RAW GWP FOSSIL'!$A$2:$A$496,'RAW GWP FOSSIL'!M$2:M$496,FALSE)*_xlfn.XLOOKUP($A17,'NORMALISATION FACTORS'!$B$2:$B$500,'NORMALISATION FACTORS'!$G$2:$G$500,FALSE)</f>
        <v>0.82680399999999998</v>
      </c>
      <c r="N17" s="19">
        <f>_xlfn.XLOOKUP($A17,'RAW GWP FOSSIL'!$A$2:$A$496,'RAW GWP FOSSIL'!N$2:N$496,FALSE)*_xlfn.XLOOKUP($A17,'NORMALISATION FACTORS'!$B$2:$B$500,'NORMALISATION FACTORS'!$G$2:$G$500,FALSE)</f>
        <v>4.6568999999999999E-2</v>
      </c>
      <c r="O17" s="19">
        <f>_xlfn.XLOOKUP($A17,'RAW GWP FOSSIL'!$A$2:$A$496,'RAW GWP FOSSIL'!O$2:O$496,FALSE)*_xlfn.XLOOKUP($A17,'NORMALISATION FACTORS'!$B$2:$B$500,'NORMALISATION FACTORS'!$G$2:$G$500,FALSE)</f>
        <v>0</v>
      </c>
      <c r="P17" s="19">
        <f>_xlfn.XLOOKUP($A17,'RAW GWP FOSSIL'!$A$2:$A$496,'RAW GWP FOSSIL'!P$2:P$496,FALSE)*_xlfn.XLOOKUP($A17,'NORMALISATION FACTORS'!$B$2:$B$500,'NORMALISATION FACTORS'!$G$2:$G$500,FALSE)</f>
        <v>-2.40198</v>
      </c>
    </row>
    <row r="18" spans="1:16" ht="72.5" x14ac:dyDescent="0.35">
      <c r="A18" s="17" t="s">
        <v>104</v>
      </c>
      <c r="B18" s="17" t="str">
        <f>VLOOKUP($A18,'EPD REPOSITORY'!$B$1:$O$30,3,FALSE)</f>
        <v>Concrete Block</v>
      </c>
      <c r="C18" s="18" t="s">
        <v>99</v>
      </c>
      <c r="D18" s="17" t="s">
        <v>320</v>
      </c>
      <c r="E18" s="19">
        <f>_xlfn.XLOOKUP($A18,'RAW GWP FOSSIL'!$A$2:$A$496,'RAW GWP FOSSIL'!E$2:E$496,FALSE)*_xlfn.XLOOKUP($A18,'NORMALISATION FACTORS'!$B$2:$B$500,'NORMALISATION FACTORS'!$G$2:$G$500,FALSE)</f>
        <v>44.021250000000002</v>
      </c>
      <c r="F18" s="19">
        <f>_xlfn.XLOOKUP($A18,'RAW GWP FOSSIL'!$A$2:$A$496,'RAW GWP FOSSIL'!F$2:F$496,FALSE)*_xlfn.XLOOKUP($A18,'NORMALISATION FACTORS'!$B$2:$B$500,'NORMALISATION FACTORS'!$G$2:$G$500,FALSE)</f>
        <v>0.57157750000000007</v>
      </c>
      <c r="G18" s="19">
        <f>_xlfn.XLOOKUP($A18,'RAW GWP FOSSIL'!$A$2:$A$496,'RAW GWP FOSSIL'!G$2:G$496,FALSE)*_xlfn.XLOOKUP($A18,'NORMALISATION FACTORS'!$B$2:$B$500,'NORMALISATION FACTORS'!$G$2:$G$500,FALSE)</f>
        <v>1.271725</v>
      </c>
      <c r="H18" s="77">
        <f>_xlfn.XLOOKUP($A18,'RAW GWP FOSSIL'!$A$2:$A$496,'RAW GWP FOSSIL'!H$2:H$496,FALSE)*_xlfn.XLOOKUP($A18,'NORMALISATION FACTORS'!$B$2:$B$500,'NORMALISATION FACTORS'!$G$2:$G$500,FALSE)</f>
        <v>45.864552500000002</v>
      </c>
      <c r="I18" s="19">
        <f>_xlfn.XLOOKUP($A18,'RAW GWP FOSSIL'!$A$2:$A$496,'RAW GWP FOSSIL'!I$2:I$496,FALSE)*_xlfn.XLOOKUP($A18,'NORMALISATION FACTORS'!$B$2:$B$500,'NORMALISATION FACTORS'!$G$2:$G$500,FALSE)</f>
        <v>8.7064250000000012</v>
      </c>
      <c r="J18" s="19">
        <f>_xlfn.XLOOKUP($A18,'RAW GWP FOSSIL'!$A$2:$A$496,'RAW GWP FOSSIL'!J$2:J$496,FALSE)*_xlfn.XLOOKUP($A18,'NORMALISATION FACTORS'!$B$2:$B$500,'NORMALISATION FACTORS'!$G$2:$G$500,FALSE)</f>
        <v>2.333825</v>
      </c>
      <c r="K18" s="19">
        <f>_xlfn.XLOOKUP($A18,'RAW GWP FOSSIL'!$A$2:$A$496,'RAW GWP FOSSIL'!K$2:K$496,FALSE)*_xlfn.XLOOKUP($A18,'NORMALISATION FACTORS'!$B$2:$B$500,'NORMALISATION FACTORS'!$G$2:$G$500,FALSE)</f>
        <v>-2.4596000000000005</v>
      </c>
      <c r="L18" s="19">
        <f>_xlfn.XLOOKUP($A18,'RAW GWP FOSSIL'!$A$2:$A$496,'RAW GWP FOSSIL'!L$2:L$496,FALSE)*_xlfn.XLOOKUP($A18,'NORMALISATION FACTORS'!$B$2:$B$500,'NORMALISATION FACTORS'!$G$2:$G$500,FALSE)</f>
        <v>0</v>
      </c>
      <c r="M18" s="19">
        <f>_xlfn.XLOOKUP($A18,'RAW GWP FOSSIL'!$A$2:$A$496,'RAW GWP FOSSIL'!M$2:M$496,FALSE)*_xlfn.XLOOKUP($A18,'NORMALISATION FACTORS'!$B$2:$B$500,'NORMALISATION FACTORS'!$G$2:$G$500,FALSE)</f>
        <v>0.70713499999999996</v>
      </c>
      <c r="N18" s="19">
        <f>_xlfn.XLOOKUP($A18,'RAW GWP FOSSIL'!$A$2:$A$496,'RAW GWP FOSSIL'!N$2:N$496,FALSE)*_xlfn.XLOOKUP($A18,'NORMALISATION FACTORS'!$B$2:$B$500,'NORMALISATION FACTORS'!$G$2:$G$500,FALSE)</f>
        <v>3.9828750000000003E-2</v>
      </c>
      <c r="O18" s="19">
        <f>_xlfn.XLOOKUP($A18,'RAW GWP FOSSIL'!$A$2:$A$496,'RAW GWP FOSSIL'!O$2:O$496,FALSE)*_xlfn.XLOOKUP($A18,'NORMALISATION FACTORS'!$B$2:$B$500,'NORMALISATION FACTORS'!$G$2:$G$500,FALSE)</f>
        <v>0</v>
      </c>
      <c r="P18" s="19">
        <f>_xlfn.XLOOKUP($A18,'RAW GWP FOSSIL'!$A$2:$A$496,'RAW GWP FOSSIL'!P$2:P$496,FALSE)*_xlfn.XLOOKUP($A18,'NORMALISATION FACTORS'!$B$2:$B$500,'NORMALISATION FACTORS'!$G$2:$G$500,FALSE)</f>
        <v>-2.0543250000000002E-2</v>
      </c>
    </row>
    <row r="19" spans="1:16" ht="72.5" x14ac:dyDescent="0.35">
      <c r="A19" s="17" t="s">
        <v>107</v>
      </c>
      <c r="B19" s="17" t="str">
        <f>VLOOKUP($A19,'EPD REPOSITORY'!$B$1:$O$30,3,FALSE)</f>
        <v>Concrete Block</v>
      </c>
      <c r="C19" s="18" t="s">
        <v>99</v>
      </c>
      <c r="D19" s="17" t="s">
        <v>320</v>
      </c>
      <c r="E19" s="19">
        <f>_xlfn.XLOOKUP($A19,'RAW GWP FOSSIL'!$A$2:$A$496,'RAW GWP FOSSIL'!E$2:E$496,FALSE)*_xlfn.XLOOKUP($A19,'NORMALISATION FACTORS'!$B$2:$B$500,'NORMALISATION FACTORS'!$G$2:$G$500,FALSE)</f>
        <v>35.603999999999999</v>
      </c>
      <c r="F19" s="19">
        <f>_xlfn.XLOOKUP($A19,'RAW GWP FOSSIL'!$A$2:$A$496,'RAW GWP FOSSIL'!F$2:F$496,FALSE)*_xlfn.XLOOKUP($A19,'NORMALISATION FACTORS'!$B$2:$B$500,'NORMALISATION FACTORS'!$G$2:$G$500,FALSE)</f>
        <v>0.37874399999999997</v>
      </c>
      <c r="G19" s="19">
        <f>_xlfn.XLOOKUP($A19,'RAW GWP FOSSIL'!$A$2:$A$496,'RAW GWP FOSSIL'!G$2:G$496,FALSE)*_xlfn.XLOOKUP($A19,'NORMALISATION FACTORS'!$B$2:$B$500,'NORMALISATION FACTORS'!$G$2:$G$500,FALSE)</f>
        <v>0.93911999999999995</v>
      </c>
      <c r="H19" s="77">
        <f>_xlfn.XLOOKUP($A19,'RAW GWP FOSSIL'!$A$2:$A$496,'RAW GWP FOSSIL'!H$2:H$496,FALSE)*_xlfn.XLOOKUP($A19,'NORMALISATION FACTORS'!$B$2:$B$500,'NORMALISATION FACTORS'!$G$2:$G$500,FALSE)</f>
        <v>36.921864000000006</v>
      </c>
      <c r="I19" s="19">
        <f>_xlfn.XLOOKUP($A19,'RAW GWP FOSSIL'!$A$2:$A$496,'RAW GWP FOSSIL'!I$2:I$496,FALSE)*_xlfn.XLOOKUP($A19,'NORMALISATION FACTORS'!$B$2:$B$500,'NORMALISATION FACTORS'!$G$2:$G$500,FALSE)</f>
        <v>6.42936</v>
      </c>
      <c r="J19" s="19">
        <f>_xlfn.XLOOKUP($A19,'RAW GWP FOSSIL'!$A$2:$A$496,'RAW GWP FOSSIL'!J$2:J$496,FALSE)*_xlfn.XLOOKUP($A19,'NORMALISATION FACTORS'!$B$2:$B$500,'NORMALISATION FACTORS'!$G$2:$G$500,FALSE)</f>
        <v>1.8782399999999999</v>
      </c>
      <c r="K19" s="19">
        <f>_xlfn.XLOOKUP($A19,'RAW GWP FOSSIL'!$A$2:$A$496,'RAW GWP FOSSIL'!K$2:K$496,FALSE)*_xlfn.XLOOKUP($A19,'NORMALISATION FACTORS'!$B$2:$B$500,'NORMALISATION FACTORS'!$G$2:$G$500,FALSE)</f>
        <v>-1.8163200000000002</v>
      </c>
      <c r="L19" s="19">
        <f>_xlfn.XLOOKUP($A19,'RAW GWP FOSSIL'!$A$2:$A$496,'RAW GWP FOSSIL'!L$2:L$496,FALSE)*_xlfn.XLOOKUP($A19,'NORMALISATION FACTORS'!$B$2:$B$500,'NORMALISATION FACTORS'!$G$2:$G$500,FALSE)</f>
        <v>0</v>
      </c>
      <c r="M19" s="19">
        <f>_xlfn.XLOOKUP($A19,'RAW GWP FOSSIL'!$A$2:$A$496,'RAW GWP FOSSIL'!M$2:M$496,FALSE)*_xlfn.XLOOKUP($A19,'NORMALISATION FACTORS'!$B$2:$B$500,'NORMALISATION FACTORS'!$G$2:$G$500,FALSE)</f>
        <v>0.52219199999999999</v>
      </c>
      <c r="N19" s="19">
        <f>_xlfn.XLOOKUP($A19,'RAW GWP FOSSIL'!$A$2:$A$496,'RAW GWP FOSSIL'!N$2:N$496,FALSE)*_xlfn.XLOOKUP($A19,'NORMALISATION FACTORS'!$B$2:$B$500,'NORMALISATION FACTORS'!$G$2:$G$500,FALSE)</f>
        <v>2.9411999999999997E-2</v>
      </c>
      <c r="O19" s="19">
        <f>_xlfn.XLOOKUP($A19,'RAW GWP FOSSIL'!$A$2:$A$496,'RAW GWP FOSSIL'!O$2:O$496,FALSE)*_xlfn.XLOOKUP($A19,'NORMALISATION FACTORS'!$B$2:$B$500,'NORMALISATION FACTORS'!$G$2:$G$500,FALSE)</f>
        <v>0</v>
      </c>
      <c r="P19" s="19">
        <f>_xlfn.XLOOKUP($A19,'RAW GWP FOSSIL'!$A$2:$A$496,'RAW GWP FOSSIL'!P$2:P$496,FALSE)*_xlfn.XLOOKUP($A19,'NORMALISATION FACTORS'!$B$2:$B$500,'NORMALISATION FACTORS'!$G$2:$G$500,FALSE)</f>
        <v>-1.5170399999999999</v>
      </c>
    </row>
    <row r="20" spans="1:16" ht="43.5" x14ac:dyDescent="0.35">
      <c r="A20" s="17" t="s">
        <v>194</v>
      </c>
      <c r="B20" s="17" t="str">
        <f>VLOOKUP($A20,'EPD REPOSITORY'!$B$1:$O$30,3,FALSE)</f>
        <v>SIP</v>
      </c>
      <c r="C20" s="18" t="s">
        <v>327</v>
      </c>
      <c r="D20" s="17" t="s">
        <v>320</v>
      </c>
      <c r="E20" s="22">
        <f>_xlfn.XLOOKUP($A20,'RAW GWP FOSSIL'!$A$2:$A$496,'RAW GWP FOSSIL'!E$2:E$496,FALSE)*_xlfn.XLOOKUP($A20,'NORMALISATION FACTORS'!$B$2:$B$500,'NORMALISATION FACTORS'!$G$2:$G$500,FALSE)</f>
        <v>0</v>
      </c>
      <c r="F20" s="22">
        <f>_xlfn.XLOOKUP($A20,'RAW GWP FOSSIL'!$A$2:$A$496,'RAW GWP FOSSIL'!F$2:F$496,FALSE)*_xlfn.XLOOKUP($A20,'NORMALISATION FACTORS'!$B$2:$B$500,'NORMALISATION FACTORS'!$G$2:$G$500,FALSE)</f>
        <v>0</v>
      </c>
      <c r="G20" s="22">
        <f>_xlfn.XLOOKUP($A20,'RAW GWP FOSSIL'!$A$2:$A$496,'RAW GWP FOSSIL'!G$2:G$496,FALSE)*_xlfn.XLOOKUP($A20,'NORMALISATION FACTORS'!$B$2:$B$500,'NORMALISATION FACTORS'!$G$2:$G$500,FALSE)</f>
        <v>0</v>
      </c>
      <c r="H20" s="77">
        <f>_xlfn.XLOOKUP($A20,'RAW GWP FOSSIL'!$A$2:$A$496,'RAW GWP FOSSIL'!H$2:H$496,FALSE)*_xlfn.XLOOKUP($A20,'NORMALISATION FACTORS'!$B$2:$B$500,'NORMALISATION FACTORS'!$G$2:$G$500,FALSE)</f>
        <v>40</v>
      </c>
      <c r="I20" s="22">
        <f>_xlfn.XLOOKUP($A20,'RAW GWP FOSSIL'!$A$2:$A$496,'RAW GWP FOSSIL'!I$2:I$496,FALSE)*_xlfn.XLOOKUP($A20,'NORMALISATION FACTORS'!$B$2:$B$500,'NORMALISATION FACTORS'!$G$2:$G$500,FALSE)</f>
        <v>0</v>
      </c>
      <c r="J20" s="22">
        <f>_xlfn.XLOOKUP($A20,'RAW GWP FOSSIL'!$A$2:$A$496,'RAW GWP FOSSIL'!J$2:J$496,FALSE)*_xlfn.XLOOKUP($A20,'NORMALISATION FACTORS'!$B$2:$B$500,'NORMALISATION FACTORS'!$G$2:$G$500,FALSE)</f>
        <v>0</v>
      </c>
      <c r="K20" s="22">
        <f>_xlfn.XLOOKUP($A20,'RAW GWP FOSSIL'!$A$2:$A$496,'RAW GWP FOSSIL'!K$2:K$496,FALSE)*_xlfn.XLOOKUP($A20,'NORMALISATION FACTORS'!$B$2:$B$500,'NORMALISATION FACTORS'!$G$2:$G$500,FALSE)</f>
        <v>0</v>
      </c>
      <c r="L20" s="19">
        <f>_xlfn.XLOOKUP($A20,'RAW GWP FOSSIL'!$A$2:$A$496,'RAW GWP FOSSIL'!L$2:L$496,FALSE)*_xlfn.XLOOKUP($A20,'NORMALISATION FACTORS'!$B$2:$B$500,'NORMALISATION FACTORS'!$G$2:$G$500,FALSE)</f>
        <v>1.52E-2</v>
      </c>
      <c r="M20" s="19">
        <f>_xlfn.XLOOKUP($A20,'RAW GWP FOSSIL'!$A$2:$A$496,'RAW GWP FOSSIL'!M$2:M$496,FALSE)*_xlfn.XLOOKUP($A20,'NORMALISATION FACTORS'!$B$2:$B$500,'NORMALISATION FACTORS'!$G$2:$G$500,FALSE)</f>
        <v>0.16500000000000001</v>
      </c>
      <c r="N20" s="19">
        <f>_xlfn.XLOOKUP($A20,'RAW GWP FOSSIL'!$A$2:$A$496,'RAW GWP FOSSIL'!N$2:N$496,FALSE)*_xlfn.XLOOKUP($A20,'NORMALISATION FACTORS'!$B$2:$B$500,'NORMALISATION FACTORS'!$G$2:$G$500,FALSE)</f>
        <v>0</v>
      </c>
      <c r="O20" s="19">
        <f>_xlfn.XLOOKUP($A20,'RAW GWP FOSSIL'!$A$2:$A$496,'RAW GWP FOSSIL'!O$2:O$496,FALSE)*_xlfn.XLOOKUP($A20,'NORMALISATION FACTORS'!$B$2:$B$500,'NORMALISATION FACTORS'!$G$2:$G$500,FALSE)</f>
        <v>2.21</v>
      </c>
      <c r="P20" s="19">
        <f>_xlfn.XLOOKUP($A20,'RAW GWP FOSSIL'!$A$2:$A$496,'RAW GWP FOSSIL'!P$2:P$496,FALSE)*_xlfn.XLOOKUP($A20,'NORMALISATION FACTORS'!$B$2:$B$500,'NORMALISATION FACTORS'!$G$2:$G$500,FALSE)</f>
        <v>-6.7299999999999999E-3</v>
      </c>
    </row>
    <row r="21" spans="1:16" ht="43.5" x14ac:dyDescent="0.35">
      <c r="A21" s="17" t="s">
        <v>194</v>
      </c>
      <c r="B21" s="17" t="str">
        <f>VLOOKUP($A21,'EPD REPOSITORY'!$B$1:$O$30,3,FALSE)</f>
        <v>SIP</v>
      </c>
      <c r="C21" s="18" t="s">
        <v>328</v>
      </c>
      <c r="D21" s="17" t="s">
        <v>320</v>
      </c>
      <c r="E21" s="22">
        <f>_xlfn.XLOOKUP($A21,'RAW GWP FOSSIL'!$A$2:$A$496,'RAW GWP FOSSIL'!E$2:E$496,FALSE)*_xlfn.XLOOKUP($A21,'NORMALISATION FACTORS'!$B$2:$B$500,'NORMALISATION FACTORS'!$G$2:$G$500,FALSE)</f>
        <v>0</v>
      </c>
      <c r="F21" s="22">
        <f>_xlfn.XLOOKUP($A21,'RAW GWP FOSSIL'!$A$2:$A$496,'RAW GWP FOSSIL'!F$2:F$496,FALSE)*_xlfn.XLOOKUP($A21,'NORMALISATION FACTORS'!$B$2:$B$500,'NORMALISATION FACTORS'!$G$2:$G$500,FALSE)</f>
        <v>0</v>
      </c>
      <c r="G21" s="22">
        <f>_xlfn.XLOOKUP($A21,'RAW GWP FOSSIL'!$A$2:$A$496,'RAW GWP FOSSIL'!G$2:G$496,FALSE)*_xlfn.XLOOKUP($A21,'NORMALISATION FACTORS'!$B$2:$B$500,'NORMALISATION FACTORS'!$G$2:$G$500,FALSE)</f>
        <v>0</v>
      </c>
      <c r="H21" s="77">
        <f>_xlfn.XLOOKUP($A21,'RAW GWP FOSSIL'!$A$2:$A$496,'RAW GWP FOSSIL'!H$2:H$496,FALSE)*_xlfn.XLOOKUP($A21,'NORMALISATION FACTORS'!$B$2:$B$500,'NORMALISATION FACTORS'!$G$2:$G$500,FALSE)</f>
        <v>40</v>
      </c>
      <c r="I21" s="22">
        <f>_xlfn.XLOOKUP($A21,'RAW GWP FOSSIL'!$A$2:$A$496,'RAW GWP FOSSIL'!I$2:I$496,FALSE)*_xlfn.XLOOKUP($A21,'NORMALISATION FACTORS'!$B$2:$B$500,'NORMALISATION FACTORS'!$G$2:$G$500,FALSE)</f>
        <v>0</v>
      </c>
      <c r="J21" s="22">
        <f>_xlfn.XLOOKUP($A21,'RAW GWP FOSSIL'!$A$2:$A$496,'RAW GWP FOSSIL'!J$2:J$496,FALSE)*_xlfn.XLOOKUP($A21,'NORMALISATION FACTORS'!$B$2:$B$500,'NORMALISATION FACTORS'!$G$2:$G$500,FALSE)</f>
        <v>0</v>
      </c>
      <c r="K21" s="22">
        <f>_xlfn.XLOOKUP($A21,'RAW GWP FOSSIL'!$A$2:$A$496,'RAW GWP FOSSIL'!K$2:K$496,FALSE)*_xlfn.XLOOKUP($A21,'NORMALISATION FACTORS'!$B$2:$B$500,'NORMALISATION FACTORS'!$G$2:$G$500,FALSE)</f>
        <v>0</v>
      </c>
      <c r="L21" s="19">
        <f>_xlfn.XLOOKUP($A21,'RAW GWP FOSSIL'!$A$2:$A$496,'RAW GWP FOSSIL'!L$2:L$496,FALSE)*_xlfn.XLOOKUP($A21,'NORMALISATION FACTORS'!$B$2:$B$500,'NORMALISATION FACTORS'!$G$2:$G$500,FALSE)</f>
        <v>1.52E-2</v>
      </c>
      <c r="M21" s="19">
        <f>_xlfn.XLOOKUP($A21,'RAW GWP FOSSIL'!$A$2:$A$496,'RAW GWP FOSSIL'!M$2:M$496,FALSE)*_xlfn.XLOOKUP($A21,'NORMALISATION FACTORS'!$B$2:$B$500,'NORMALISATION FACTORS'!$G$2:$G$500,FALSE)</f>
        <v>0.16500000000000001</v>
      </c>
      <c r="N21" s="19">
        <f>_xlfn.XLOOKUP($A21,'RAW GWP FOSSIL'!$A$2:$A$496,'RAW GWP FOSSIL'!N$2:N$496,FALSE)*_xlfn.XLOOKUP($A21,'NORMALISATION FACTORS'!$B$2:$B$500,'NORMALISATION FACTORS'!$G$2:$G$500,FALSE)</f>
        <v>0</v>
      </c>
      <c r="O21" s="19">
        <f>_xlfn.XLOOKUP($A21,'RAW GWP FOSSIL'!$A$2:$A$496,'RAW GWP FOSSIL'!O$2:O$496,FALSE)*_xlfn.XLOOKUP($A21,'NORMALISATION FACTORS'!$B$2:$B$500,'NORMALISATION FACTORS'!$G$2:$G$500,FALSE)</f>
        <v>2.21</v>
      </c>
      <c r="P21" s="19">
        <f>_xlfn.XLOOKUP($A21,'RAW GWP FOSSIL'!$A$2:$A$496,'RAW GWP FOSSIL'!P$2:P$496,FALSE)*_xlfn.XLOOKUP($A21,'NORMALISATION FACTORS'!$B$2:$B$500,'NORMALISATION FACTORS'!$G$2:$G$500,FALSE)</f>
        <v>-6.7299999999999999E-3</v>
      </c>
    </row>
    <row r="22" spans="1:16" ht="43.5" x14ac:dyDescent="0.35">
      <c r="A22" s="17" t="s">
        <v>194</v>
      </c>
      <c r="B22" s="17" t="str">
        <f>VLOOKUP($A22,'EPD REPOSITORY'!$B$1:$O$30,3,FALSE)</f>
        <v>SIP</v>
      </c>
      <c r="C22" s="18" t="s">
        <v>329</v>
      </c>
      <c r="D22" s="17" t="s">
        <v>320</v>
      </c>
      <c r="E22" s="22">
        <f>_xlfn.XLOOKUP($A22,'RAW GWP FOSSIL'!$A$2:$A$496,'RAW GWP FOSSIL'!E$2:E$496,FALSE)*_xlfn.XLOOKUP($A22,'NORMALISATION FACTORS'!$B$2:$B$500,'NORMALISATION FACTORS'!$G$2:$G$500,FALSE)</f>
        <v>0</v>
      </c>
      <c r="F22" s="22">
        <f>_xlfn.XLOOKUP($A22,'RAW GWP FOSSIL'!$A$2:$A$496,'RAW GWP FOSSIL'!F$2:F$496,FALSE)*_xlfn.XLOOKUP($A22,'NORMALISATION FACTORS'!$B$2:$B$500,'NORMALISATION FACTORS'!$G$2:$G$500,FALSE)</f>
        <v>0</v>
      </c>
      <c r="G22" s="22">
        <f>_xlfn.XLOOKUP($A22,'RAW GWP FOSSIL'!$A$2:$A$496,'RAW GWP FOSSIL'!G$2:G$496,FALSE)*_xlfn.XLOOKUP($A22,'NORMALISATION FACTORS'!$B$2:$B$500,'NORMALISATION FACTORS'!$G$2:$G$500,FALSE)</f>
        <v>0</v>
      </c>
      <c r="H22" s="77">
        <f>_xlfn.XLOOKUP($A22,'RAW GWP FOSSIL'!$A$2:$A$496,'RAW GWP FOSSIL'!H$2:H$496,FALSE)*_xlfn.XLOOKUP($A22,'NORMALISATION FACTORS'!$B$2:$B$500,'NORMALISATION FACTORS'!$G$2:$G$500,FALSE)</f>
        <v>40</v>
      </c>
      <c r="I22" s="22">
        <f>_xlfn.XLOOKUP($A22,'RAW GWP FOSSIL'!$A$2:$A$496,'RAW GWP FOSSIL'!I$2:I$496,FALSE)*_xlfn.XLOOKUP($A22,'NORMALISATION FACTORS'!$B$2:$B$500,'NORMALISATION FACTORS'!$G$2:$G$500,FALSE)</f>
        <v>0</v>
      </c>
      <c r="J22" s="22">
        <f>_xlfn.XLOOKUP($A22,'RAW GWP FOSSIL'!$A$2:$A$496,'RAW GWP FOSSIL'!J$2:J$496,FALSE)*_xlfn.XLOOKUP($A22,'NORMALISATION FACTORS'!$B$2:$B$500,'NORMALISATION FACTORS'!$G$2:$G$500,FALSE)</f>
        <v>0</v>
      </c>
      <c r="K22" s="22">
        <f>_xlfn.XLOOKUP($A22,'RAW GWP FOSSIL'!$A$2:$A$496,'RAW GWP FOSSIL'!K$2:K$496,FALSE)*_xlfn.XLOOKUP($A22,'NORMALISATION FACTORS'!$B$2:$B$500,'NORMALISATION FACTORS'!$G$2:$G$500,FALSE)</f>
        <v>0</v>
      </c>
      <c r="L22" s="19">
        <f>_xlfn.XLOOKUP($A22,'RAW GWP FOSSIL'!$A$2:$A$496,'RAW GWP FOSSIL'!L$2:L$496,FALSE)*_xlfn.XLOOKUP($A22,'NORMALISATION FACTORS'!$B$2:$B$500,'NORMALISATION FACTORS'!$G$2:$G$500,FALSE)</f>
        <v>1.52E-2</v>
      </c>
      <c r="M22" s="19">
        <f>_xlfn.XLOOKUP($A22,'RAW GWP FOSSIL'!$A$2:$A$496,'RAW GWP FOSSIL'!M$2:M$496,FALSE)*_xlfn.XLOOKUP($A22,'NORMALISATION FACTORS'!$B$2:$B$500,'NORMALISATION FACTORS'!$G$2:$G$500,FALSE)</f>
        <v>0.16500000000000001</v>
      </c>
      <c r="N22" s="19">
        <f>_xlfn.XLOOKUP($A22,'RAW GWP FOSSIL'!$A$2:$A$496,'RAW GWP FOSSIL'!N$2:N$496,FALSE)*_xlfn.XLOOKUP($A22,'NORMALISATION FACTORS'!$B$2:$B$500,'NORMALISATION FACTORS'!$G$2:$G$500,FALSE)</f>
        <v>0</v>
      </c>
      <c r="O22" s="19">
        <f>_xlfn.XLOOKUP($A22,'RAW GWP FOSSIL'!$A$2:$A$496,'RAW GWP FOSSIL'!O$2:O$496,FALSE)*_xlfn.XLOOKUP($A22,'NORMALISATION FACTORS'!$B$2:$B$500,'NORMALISATION FACTORS'!$G$2:$G$500,FALSE)</f>
        <v>2.21</v>
      </c>
      <c r="P22" s="19">
        <f>_xlfn.XLOOKUP($A22,'RAW GWP FOSSIL'!$A$2:$A$496,'RAW GWP FOSSIL'!P$2:P$496,FALSE)*_xlfn.XLOOKUP($A22,'NORMALISATION FACTORS'!$B$2:$B$500,'NORMALISATION FACTORS'!$G$2:$G$500,FALSE)</f>
        <v>-6.7299999999999999E-3</v>
      </c>
    </row>
    <row r="23" spans="1:16" ht="43.5" x14ac:dyDescent="0.35">
      <c r="A23" s="17" t="s">
        <v>194</v>
      </c>
      <c r="B23" s="17" t="str">
        <f>VLOOKUP($A23,'EPD REPOSITORY'!$B$1:$O$30,3,FALSE)</f>
        <v>SIP</v>
      </c>
      <c r="C23" s="18" t="s">
        <v>330</v>
      </c>
      <c r="D23" s="17" t="s">
        <v>320</v>
      </c>
      <c r="E23" s="22">
        <f>_xlfn.XLOOKUP($A23,'RAW GWP FOSSIL'!$A$2:$A$496,'RAW GWP FOSSIL'!E$2:E$496,FALSE)*_xlfn.XLOOKUP($A23,'NORMALISATION FACTORS'!$B$2:$B$500,'NORMALISATION FACTORS'!$G$2:$G$500,FALSE)</f>
        <v>0</v>
      </c>
      <c r="F23" s="22">
        <f>_xlfn.XLOOKUP($A23,'RAW GWP FOSSIL'!$A$2:$A$496,'RAW GWP FOSSIL'!F$2:F$496,FALSE)*_xlfn.XLOOKUP($A23,'NORMALISATION FACTORS'!$B$2:$B$500,'NORMALISATION FACTORS'!$G$2:$G$500,FALSE)</f>
        <v>0</v>
      </c>
      <c r="G23" s="22">
        <f>_xlfn.XLOOKUP($A23,'RAW GWP FOSSIL'!$A$2:$A$496,'RAW GWP FOSSIL'!G$2:G$496,FALSE)*_xlfn.XLOOKUP($A23,'NORMALISATION FACTORS'!$B$2:$B$500,'NORMALISATION FACTORS'!$G$2:$G$500,FALSE)</f>
        <v>0</v>
      </c>
      <c r="H23" s="77">
        <f>_xlfn.XLOOKUP($A23,'RAW GWP FOSSIL'!$A$2:$A$496,'RAW GWP FOSSIL'!H$2:H$496,FALSE)*_xlfn.XLOOKUP($A23,'NORMALISATION FACTORS'!$B$2:$B$500,'NORMALISATION FACTORS'!$G$2:$G$500,FALSE)</f>
        <v>40</v>
      </c>
      <c r="I23" s="22">
        <f>_xlfn.XLOOKUP($A23,'RAW GWP FOSSIL'!$A$2:$A$496,'RAW GWP FOSSIL'!I$2:I$496,FALSE)*_xlfn.XLOOKUP($A23,'NORMALISATION FACTORS'!$B$2:$B$500,'NORMALISATION FACTORS'!$G$2:$G$500,FALSE)</f>
        <v>0</v>
      </c>
      <c r="J23" s="22">
        <f>_xlfn.XLOOKUP($A23,'RAW GWP FOSSIL'!$A$2:$A$496,'RAW GWP FOSSIL'!J$2:J$496,FALSE)*_xlfn.XLOOKUP($A23,'NORMALISATION FACTORS'!$B$2:$B$500,'NORMALISATION FACTORS'!$G$2:$G$500,FALSE)</f>
        <v>0</v>
      </c>
      <c r="K23" s="22">
        <f>_xlfn.XLOOKUP($A23,'RAW GWP FOSSIL'!$A$2:$A$496,'RAW GWP FOSSIL'!K$2:K$496,FALSE)*_xlfn.XLOOKUP($A23,'NORMALISATION FACTORS'!$B$2:$B$500,'NORMALISATION FACTORS'!$G$2:$G$500,FALSE)</f>
        <v>0</v>
      </c>
      <c r="L23" s="19">
        <f>_xlfn.XLOOKUP($A23,'RAW GWP FOSSIL'!$A$2:$A$496,'RAW GWP FOSSIL'!L$2:L$496,FALSE)*_xlfn.XLOOKUP($A23,'NORMALISATION FACTORS'!$B$2:$B$500,'NORMALISATION FACTORS'!$G$2:$G$500,FALSE)</f>
        <v>1.52E-2</v>
      </c>
      <c r="M23" s="19">
        <f>_xlfn.XLOOKUP($A23,'RAW GWP FOSSIL'!$A$2:$A$496,'RAW GWP FOSSIL'!M$2:M$496,FALSE)*_xlfn.XLOOKUP($A23,'NORMALISATION FACTORS'!$B$2:$B$500,'NORMALISATION FACTORS'!$G$2:$G$500,FALSE)</f>
        <v>0.16500000000000001</v>
      </c>
      <c r="N23" s="19">
        <f>_xlfn.XLOOKUP($A23,'RAW GWP FOSSIL'!$A$2:$A$496,'RAW GWP FOSSIL'!N$2:N$496,FALSE)*_xlfn.XLOOKUP($A23,'NORMALISATION FACTORS'!$B$2:$B$500,'NORMALISATION FACTORS'!$G$2:$G$500,FALSE)</f>
        <v>0</v>
      </c>
      <c r="O23" s="19">
        <f>_xlfn.XLOOKUP($A23,'RAW GWP FOSSIL'!$A$2:$A$496,'RAW GWP FOSSIL'!O$2:O$496,FALSE)*_xlfn.XLOOKUP($A23,'NORMALISATION FACTORS'!$B$2:$B$500,'NORMALISATION FACTORS'!$G$2:$G$500,FALSE)</f>
        <v>2.21</v>
      </c>
      <c r="P23" s="19">
        <f>_xlfn.XLOOKUP($A23,'RAW GWP FOSSIL'!$A$2:$A$496,'RAW GWP FOSSIL'!P$2:P$496,FALSE)*_xlfn.XLOOKUP($A23,'NORMALISATION FACTORS'!$B$2:$B$500,'NORMALISATION FACTORS'!$G$2:$G$500,FALSE)</f>
        <v>-6.7299999999999999E-3</v>
      </c>
    </row>
    <row r="24" spans="1:16" ht="43.5" x14ac:dyDescent="0.35">
      <c r="A24" s="17" t="s">
        <v>194</v>
      </c>
      <c r="B24" s="17" t="str">
        <f>VLOOKUP($A24,'EPD REPOSITORY'!$B$1:$O$30,3,FALSE)</f>
        <v>SIP</v>
      </c>
      <c r="C24" s="18" t="s">
        <v>331</v>
      </c>
      <c r="D24" s="17" t="s">
        <v>320</v>
      </c>
      <c r="E24" s="22">
        <f>_xlfn.XLOOKUP($A24,'RAW GWP FOSSIL'!$A$2:$A$496,'RAW GWP FOSSIL'!E$2:E$496,FALSE)*_xlfn.XLOOKUP($A24,'NORMALISATION FACTORS'!$B$2:$B$500,'NORMALISATION FACTORS'!$G$2:$G$500,FALSE)</f>
        <v>0</v>
      </c>
      <c r="F24" s="22">
        <f>_xlfn.XLOOKUP($A24,'RAW GWP FOSSIL'!$A$2:$A$496,'RAW GWP FOSSIL'!F$2:F$496,FALSE)*_xlfn.XLOOKUP($A24,'NORMALISATION FACTORS'!$B$2:$B$500,'NORMALISATION FACTORS'!$G$2:$G$500,FALSE)</f>
        <v>0</v>
      </c>
      <c r="G24" s="22">
        <f>_xlfn.XLOOKUP($A24,'RAW GWP FOSSIL'!$A$2:$A$496,'RAW GWP FOSSIL'!G$2:G$496,FALSE)*_xlfn.XLOOKUP($A24,'NORMALISATION FACTORS'!$B$2:$B$500,'NORMALISATION FACTORS'!$G$2:$G$500,FALSE)</f>
        <v>0</v>
      </c>
      <c r="H24" s="77">
        <f>_xlfn.XLOOKUP($A24,'RAW GWP FOSSIL'!$A$2:$A$496,'RAW GWP FOSSIL'!H$2:H$496,FALSE)*_xlfn.XLOOKUP($A24,'NORMALISATION FACTORS'!$B$2:$B$500,'NORMALISATION FACTORS'!$G$2:$G$500,FALSE)</f>
        <v>40</v>
      </c>
      <c r="I24" s="22">
        <f>_xlfn.XLOOKUP($A24,'RAW GWP FOSSIL'!$A$2:$A$496,'RAW GWP FOSSIL'!I$2:I$496,FALSE)*_xlfn.XLOOKUP($A24,'NORMALISATION FACTORS'!$B$2:$B$500,'NORMALISATION FACTORS'!$G$2:$G$500,FALSE)</f>
        <v>0</v>
      </c>
      <c r="J24" s="22">
        <f>_xlfn.XLOOKUP($A24,'RAW GWP FOSSIL'!$A$2:$A$496,'RAW GWP FOSSIL'!J$2:J$496,FALSE)*_xlfn.XLOOKUP($A24,'NORMALISATION FACTORS'!$B$2:$B$500,'NORMALISATION FACTORS'!$G$2:$G$500,FALSE)</f>
        <v>0</v>
      </c>
      <c r="K24" s="22">
        <f>_xlfn.XLOOKUP($A24,'RAW GWP FOSSIL'!$A$2:$A$496,'RAW GWP FOSSIL'!K$2:K$496,FALSE)*_xlfn.XLOOKUP($A24,'NORMALISATION FACTORS'!$B$2:$B$500,'NORMALISATION FACTORS'!$G$2:$G$500,FALSE)</f>
        <v>0</v>
      </c>
      <c r="L24" s="19">
        <f>_xlfn.XLOOKUP($A24,'RAW GWP FOSSIL'!$A$2:$A$496,'RAW GWP FOSSIL'!L$2:L$496,FALSE)*_xlfn.XLOOKUP($A24,'NORMALISATION FACTORS'!$B$2:$B$500,'NORMALISATION FACTORS'!$G$2:$G$500,FALSE)</f>
        <v>1.52E-2</v>
      </c>
      <c r="M24" s="19">
        <f>_xlfn.XLOOKUP($A24,'RAW GWP FOSSIL'!$A$2:$A$496,'RAW GWP FOSSIL'!M$2:M$496,FALSE)*_xlfn.XLOOKUP($A24,'NORMALISATION FACTORS'!$B$2:$B$500,'NORMALISATION FACTORS'!$G$2:$G$500,FALSE)</f>
        <v>0.16500000000000001</v>
      </c>
      <c r="N24" s="19">
        <f>_xlfn.XLOOKUP($A24,'RAW GWP FOSSIL'!$A$2:$A$496,'RAW GWP FOSSIL'!N$2:N$496,FALSE)*_xlfn.XLOOKUP($A24,'NORMALISATION FACTORS'!$B$2:$B$500,'NORMALISATION FACTORS'!$G$2:$G$500,FALSE)</f>
        <v>0</v>
      </c>
      <c r="O24" s="19">
        <f>_xlfn.XLOOKUP($A24,'RAW GWP FOSSIL'!$A$2:$A$496,'RAW GWP FOSSIL'!O$2:O$496,FALSE)*_xlfn.XLOOKUP($A24,'NORMALISATION FACTORS'!$B$2:$B$500,'NORMALISATION FACTORS'!$G$2:$G$500,FALSE)</f>
        <v>2.21</v>
      </c>
      <c r="P24" s="19">
        <f>_xlfn.XLOOKUP($A24,'RAW GWP FOSSIL'!$A$2:$A$496,'RAW GWP FOSSIL'!P$2:P$496,FALSE)*_xlfn.XLOOKUP($A24,'NORMALISATION FACTORS'!$B$2:$B$500,'NORMALISATION FACTORS'!$G$2:$G$500,FALSE)</f>
        <v>-6.7299999999999999E-3</v>
      </c>
    </row>
    <row r="25" spans="1:16" ht="116" x14ac:dyDescent="0.35">
      <c r="A25" s="17" t="s">
        <v>240</v>
      </c>
      <c r="B25" s="17" t="str">
        <f>VLOOKUP($A25,'EPD REPOSITORY'!$B$1:$O$30,3,FALSE)</f>
        <v>SIP</v>
      </c>
      <c r="C25" s="18" t="s">
        <v>243</v>
      </c>
      <c r="D25" s="17" t="s">
        <v>320</v>
      </c>
      <c r="E25" s="19">
        <f>_xlfn.XLOOKUP($A25,'RAW GWP FOSSIL'!$A$2:$A$496,'RAW GWP FOSSIL'!E$2:E$496,FALSE)*_xlfn.XLOOKUP($A25,'NORMALISATION FACTORS'!$B$2:$B$500,'NORMALISATION FACTORS'!$G$2:$G$500,FALSE)</f>
        <v>18.7</v>
      </c>
      <c r="F25" s="19">
        <f>_xlfn.XLOOKUP($A25,'RAW GWP FOSSIL'!$A$2:$A$496,'RAW GWP FOSSIL'!F$2:F$496,FALSE)*_xlfn.XLOOKUP($A25,'NORMALISATION FACTORS'!$B$2:$B$500,'NORMALISATION FACTORS'!$G$2:$G$500,FALSE)</f>
        <v>1.64</v>
      </c>
      <c r="G25" s="19">
        <f>_xlfn.XLOOKUP($A25,'RAW GWP FOSSIL'!$A$2:$A$496,'RAW GWP FOSSIL'!G$2:G$496,FALSE)*_xlfn.XLOOKUP($A25,'NORMALISATION FACTORS'!$B$2:$B$500,'NORMALISATION FACTORS'!$G$2:$G$500,FALSE)</f>
        <v>2.72</v>
      </c>
      <c r="H25" s="77">
        <f>_xlfn.XLOOKUP($A25,'RAW GWP FOSSIL'!$A$2:$A$496,'RAW GWP FOSSIL'!H$2:H$496,FALSE)*_xlfn.XLOOKUP($A25,'NORMALISATION FACTORS'!$B$2:$B$500,'NORMALISATION FACTORS'!$G$2:$G$500,FALSE)</f>
        <v>23.1</v>
      </c>
      <c r="I25" s="19">
        <f>_xlfn.XLOOKUP($A25,'RAW GWP FOSSIL'!$A$2:$A$496,'RAW GWP FOSSIL'!I$2:I$496,FALSE)*_xlfn.XLOOKUP($A25,'NORMALISATION FACTORS'!$B$2:$B$500,'NORMALISATION FACTORS'!$G$2:$G$500,FALSE)</f>
        <v>0.35</v>
      </c>
      <c r="J25" s="19">
        <f>_xlfn.XLOOKUP($A25,'RAW GWP FOSSIL'!$A$2:$A$496,'RAW GWP FOSSIL'!J$2:J$496,FALSE)*_xlfn.XLOOKUP($A25,'NORMALISATION FACTORS'!$B$2:$B$500,'NORMALISATION FACTORS'!$G$2:$G$500,FALSE)</f>
        <v>4.8</v>
      </c>
      <c r="K25" s="19">
        <f>_xlfn.XLOOKUP($A25,'RAW GWP FOSSIL'!$A$2:$A$496,'RAW GWP FOSSIL'!K$2:K$496,FALSE)*_xlfn.XLOOKUP($A25,'NORMALISATION FACTORS'!$B$2:$B$500,'NORMALISATION FACTORS'!$G$2:$G$500,FALSE)</f>
        <v>0</v>
      </c>
      <c r="L25" s="19">
        <f>_xlfn.XLOOKUP($A25,'RAW GWP FOSSIL'!$A$2:$A$496,'RAW GWP FOSSIL'!L$2:L$496,FALSE)*_xlfn.XLOOKUP($A25,'NORMALISATION FACTORS'!$B$2:$B$500,'NORMALISATION FACTORS'!$G$2:$G$500,FALSE)</f>
        <v>4.64E-4</v>
      </c>
      <c r="M25" s="19">
        <f>_xlfn.XLOOKUP($A25,'RAW GWP FOSSIL'!$A$2:$A$496,'RAW GWP FOSSIL'!M$2:M$496,FALSE)*_xlfn.XLOOKUP($A25,'NORMALISATION FACTORS'!$B$2:$B$500,'NORMALISATION FACTORS'!$G$2:$G$500,FALSE)</f>
        <v>0.17499999999999999</v>
      </c>
      <c r="N25" s="19">
        <f>_xlfn.XLOOKUP($A25,'RAW GWP FOSSIL'!$A$2:$A$496,'RAW GWP FOSSIL'!N$2:N$496,FALSE)*_xlfn.XLOOKUP($A25,'NORMALISATION FACTORS'!$B$2:$B$500,'NORMALISATION FACTORS'!$G$2:$G$500,FALSE)</f>
        <v>0</v>
      </c>
      <c r="O25" s="19">
        <f>_xlfn.XLOOKUP($A25,'RAW GWP FOSSIL'!$A$2:$A$496,'RAW GWP FOSSIL'!O$2:O$496,FALSE)*_xlfn.XLOOKUP($A25,'NORMALISATION FACTORS'!$B$2:$B$500,'NORMALISATION FACTORS'!$G$2:$G$500,FALSE)</f>
        <v>0.53800000000000003</v>
      </c>
      <c r="P25" s="19">
        <f>_xlfn.XLOOKUP($A25,'RAW GWP FOSSIL'!$A$2:$A$496,'RAW GWP FOSSIL'!P$2:P$496,FALSE)*_xlfn.XLOOKUP($A25,'NORMALISATION FACTORS'!$B$2:$B$500,'NORMALISATION FACTORS'!$G$2:$G$500,FALSE)</f>
        <v>0</v>
      </c>
    </row>
    <row r="26" spans="1:16" ht="58" x14ac:dyDescent="0.35">
      <c r="A26" s="17" t="s">
        <v>245</v>
      </c>
      <c r="B26" s="17" t="str">
        <f>VLOOKUP($A26,'EPD REPOSITORY'!$B$1:$O$30,3,FALSE)</f>
        <v>SIP</v>
      </c>
      <c r="C26" s="18" t="s">
        <v>248</v>
      </c>
      <c r="D26" s="17" t="s">
        <v>320</v>
      </c>
      <c r="E26" s="19">
        <f>_xlfn.XLOOKUP($A26,'RAW GWP FOSSIL'!$A$2:$A$496,'RAW GWP FOSSIL'!E$2:E$496,FALSE)*_xlfn.XLOOKUP($A26,'NORMALISATION FACTORS'!$B$2:$B$500,'NORMALISATION FACTORS'!$G$2:$G$500,FALSE)</f>
        <v>18.7</v>
      </c>
      <c r="F26" s="19">
        <f>_xlfn.XLOOKUP($A26,'RAW GWP FOSSIL'!$A$2:$A$496,'RAW GWP FOSSIL'!F$2:F$496,FALSE)*_xlfn.XLOOKUP($A26,'NORMALISATION FACTORS'!$B$2:$B$500,'NORMALISATION FACTORS'!$G$2:$G$500,FALSE)</f>
        <v>1.64</v>
      </c>
      <c r="G26" s="19">
        <f>_xlfn.XLOOKUP($A26,'RAW GWP FOSSIL'!$A$2:$A$496,'RAW GWP FOSSIL'!G$2:G$496,FALSE)*_xlfn.XLOOKUP($A26,'NORMALISATION FACTORS'!$B$2:$B$500,'NORMALISATION FACTORS'!$G$2:$G$500,FALSE)</f>
        <v>2.82</v>
      </c>
      <c r="H26" s="77">
        <f>_xlfn.XLOOKUP($A26,'RAW GWP FOSSIL'!$A$2:$A$496,'RAW GWP FOSSIL'!H$2:H$496,FALSE)*_xlfn.XLOOKUP($A26,'NORMALISATION FACTORS'!$B$2:$B$500,'NORMALISATION FACTORS'!$G$2:$G$500,FALSE)</f>
        <v>23.2</v>
      </c>
      <c r="I26" s="19">
        <f>_xlfn.XLOOKUP($A26,'RAW GWP FOSSIL'!$A$2:$A$496,'RAW GWP FOSSIL'!I$2:I$496,FALSE)*_xlfn.XLOOKUP($A26,'NORMALISATION FACTORS'!$B$2:$B$500,'NORMALISATION FACTORS'!$G$2:$G$500,FALSE)</f>
        <v>0.35</v>
      </c>
      <c r="J26" s="19">
        <f>_xlfn.XLOOKUP($A26,'RAW GWP FOSSIL'!$A$2:$A$496,'RAW GWP FOSSIL'!J$2:J$496,FALSE)*_xlfn.XLOOKUP($A26,'NORMALISATION FACTORS'!$B$2:$B$500,'NORMALISATION FACTORS'!$G$2:$G$500,FALSE)</f>
        <v>4.82</v>
      </c>
      <c r="K26" s="19">
        <f>_xlfn.XLOOKUP($A26,'RAW GWP FOSSIL'!$A$2:$A$496,'RAW GWP FOSSIL'!K$2:K$496,FALSE)*_xlfn.XLOOKUP($A26,'NORMALISATION FACTORS'!$B$2:$B$500,'NORMALISATION FACTORS'!$G$2:$G$500,FALSE)</f>
        <v>0</v>
      </c>
      <c r="L26" s="19">
        <f>_xlfn.XLOOKUP($A26,'RAW GWP FOSSIL'!$A$2:$A$496,'RAW GWP FOSSIL'!L$2:L$496,FALSE)*_xlfn.XLOOKUP($A26,'NORMALISATION FACTORS'!$B$2:$B$500,'NORMALISATION FACTORS'!$G$2:$G$500,FALSE)</f>
        <v>4.64E-4</v>
      </c>
      <c r="M26" s="19">
        <f>_xlfn.XLOOKUP($A26,'RAW GWP FOSSIL'!$A$2:$A$496,'RAW GWP FOSSIL'!M$2:M$496,FALSE)*_xlfn.XLOOKUP($A26,'NORMALISATION FACTORS'!$B$2:$B$500,'NORMALISATION FACTORS'!$G$2:$G$500,FALSE)</f>
        <v>0.17499999999999999</v>
      </c>
      <c r="N26" s="19">
        <f>_xlfn.XLOOKUP($A26,'RAW GWP FOSSIL'!$A$2:$A$496,'RAW GWP FOSSIL'!N$2:N$496,FALSE)*_xlfn.XLOOKUP($A26,'NORMALISATION FACTORS'!$B$2:$B$500,'NORMALISATION FACTORS'!$G$2:$G$500,FALSE)</f>
        <v>0</v>
      </c>
      <c r="O26" s="19">
        <f>_xlfn.XLOOKUP($A26,'RAW GWP FOSSIL'!$A$2:$A$496,'RAW GWP FOSSIL'!O$2:O$496,FALSE)*_xlfn.XLOOKUP($A26,'NORMALISATION FACTORS'!$B$2:$B$500,'NORMALISATION FACTORS'!$G$2:$G$500,FALSE)</f>
        <v>0.53800000000000003</v>
      </c>
      <c r="P26" s="19">
        <f>_xlfn.XLOOKUP($A26,'RAW GWP FOSSIL'!$A$2:$A$496,'RAW GWP FOSSIL'!P$2:P$496,FALSE)*_xlfn.XLOOKUP($A26,'NORMALISATION FACTORS'!$B$2:$B$500,'NORMALISATION FACTORS'!$G$2:$G$500,FALSE)</f>
        <v>0</v>
      </c>
    </row>
    <row r="27" spans="1:16" ht="29" x14ac:dyDescent="0.35">
      <c r="A27" s="17" t="s">
        <v>249</v>
      </c>
      <c r="B27" s="17" t="str">
        <f>VLOOKUP($A27,'EPD REPOSITORY'!$B$1:$O$30,3,FALSE)</f>
        <v>Timber Frame</v>
      </c>
      <c r="C27" s="18" t="s">
        <v>253</v>
      </c>
      <c r="D27" s="17" t="s">
        <v>320</v>
      </c>
      <c r="E27" s="19">
        <f>_xlfn.XLOOKUP($A27,'RAW GWP FOSSIL'!$A$2:$A$496,'RAW GWP FOSSIL'!E$2:E$496,FALSE)*_xlfn.XLOOKUP($A27,'NORMALISATION FACTORS'!$B$2:$B$500,'NORMALISATION FACTORS'!$G$2:$G$500,FALSE)</f>
        <v>14.3</v>
      </c>
      <c r="F27" s="19">
        <f>_xlfn.XLOOKUP($A27,'RAW GWP FOSSIL'!$A$2:$A$496,'RAW GWP FOSSIL'!F$2:F$496,FALSE)*_xlfn.XLOOKUP($A27,'NORMALISATION FACTORS'!$B$2:$B$500,'NORMALISATION FACTORS'!$G$2:$G$500,FALSE)</f>
        <v>1.1000000000000001</v>
      </c>
      <c r="G27" s="19">
        <f>_xlfn.XLOOKUP($A27,'RAW GWP FOSSIL'!$A$2:$A$496,'RAW GWP FOSSIL'!G$2:G$496,FALSE)*_xlfn.XLOOKUP($A27,'NORMALISATION FACTORS'!$B$2:$B$500,'NORMALISATION FACTORS'!$G$2:$G$500,FALSE)</f>
        <v>3.46</v>
      </c>
      <c r="H27" s="77">
        <f>_xlfn.XLOOKUP($A27,'RAW GWP FOSSIL'!$A$2:$A$496,'RAW GWP FOSSIL'!H$2:H$496,FALSE)*_xlfn.XLOOKUP($A27,'NORMALISATION FACTORS'!$B$2:$B$500,'NORMALISATION FACTORS'!$G$2:$G$500,FALSE)</f>
        <v>18.8</v>
      </c>
      <c r="I27" s="22">
        <f>_xlfn.XLOOKUP($A27,'RAW GWP FOSSIL'!$A$2:$A$496,'RAW GWP FOSSIL'!I$2:I$496,FALSE)*_xlfn.XLOOKUP($A27,'NORMALISATION FACTORS'!$B$2:$B$500,'NORMALISATION FACTORS'!$G$2:$G$500,FALSE)</f>
        <v>0</v>
      </c>
      <c r="J27" s="22">
        <f>_xlfn.XLOOKUP($A27,'RAW GWP FOSSIL'!$A$2:$A$496,'RAW GWP FOSSIL'!J$2:J$496,FALSE)*_xlfn.XLOOKUP($A27,'NORMALISATION FACTORS'!$B$2:$B$500,'NORMALISATION FACTORS'!$G$2:$G$500,FALSE)</f>
        <v>0</v>
      </c>
      <c r="K27" s="22">
        <f>_xlfn.XLOOKUP($A27,'RAW GWP FOSSIL'!$A$2:$A$496,'RAW GWP FOSSIL'!K$2:K$496,FALSE)*_xlfn.XLOOKUP($A27,'NORMALISATION FACTORS'!$B$2:$B$500,'NORMALISATION FACTORS'!$G$2:$G$500,FALSE)</f>
        <v>0</v>
      </c>
      <c r="L27" s="19">
        <f>_xlfn.XLOOKUP($A27,'RAW GWP FOSSIL'!$A$2:$A$496,'RAW GWP FOSSIL'!L$2:L$496,FALSE)*_xlfn.XLOOKUP($A27,'NORMALISATION FACTORS'!$B$2:$B$500,'NORMALISATION FACTORS'!$G$2:$G$500,FALSE)</f>
        <v>0</v>
      </c>
      <c r="M27" s="19">
        <f>_xlfn.XLOOKUP($A27,'RAW GWP FOSSIL'!$A$2:$A$496,'RAW GWP FOSSIL'!M$2:M$496,FALSE)*_xlfn.XLOOKUP($A27,'NORMALISATION FACTORS'!$B$2:$B$500,'NORMALISATION FACTORS'!$G$2:$G$500,FALSE)</f>
        <v>0.129</v>
      </c>
      <c r="N27" s="19">
        <f>_xlfn.XLOOKUP($A27,'RAW GWP FOSSIL'!$A$2:$A$496,'RAW GWP FOSSIL'!N$2:N$496,FALSE)*_xlfn.XLOOKUP($A27,'NORMALISATION FACTORS'!$B$2:$B$500,'NORMALISATION FACTORS'!$G$2:$G$500,FALSE)</f>
        <v>5.0599999999999996</v>
      </c>
      <c r="O27" s="19">
        <f>_xlfn.XLOOKUP($A27,'RAW GWP FOSSIL'!$A$2:$A$496,'RAW GWP FOSSIL'!O$2:O$496,FALSE)*_xlfn.XLOOKUP($A27,'NORMALISATION FACTORS'!$B$2:$B$500,'NORMALISATION FACTORS'!$G$2:$G$500,FALSE)</f>
        <v>7.8499999999999993E-3</v>
      </c>
      <c r="P27" s="19">
        <f>_xlfn.XLOOKUP($A27,'RAW GWP FOSSIL'!$A$2:$A$496,'RAW GWP FOSSIL'!P$2:P$496,FALSE)*_xlfn.XLOOKUP($A27,'NORMALISATION FACTORS'!$B$2:$B$500,'NORMALISATION FACTORS'!$G$2:$G$500,FALSE)</f>
        <v>-10.6</v>
      </c>
    </row>
    <row r="28" spans="1:16" ht="43.5" x14ac:dyDescent="0.35">
      <c r="A28" s="17" t="s">
        <v>255</v>
      </c>
      <c r="B28" s="17" t="str">
        <f>VLOOKUP($A28,'EPD REPOSITORY'!$B$1:$O$30,3,FALSE)</f>
        <v>Timber Frame</v>
      </c>
      <c r="C28" s="18" t="s">
        <v>258</v>
      </c>
      <c r="D28" s="17" t="s">
        <v>320</v>
      </c>
      <c r="E28" s="19">
        <f>_xlfn.XLOOKUP($A28,'RAW GWP FOSSIL'!$A$2:$A$496,'RAW GWP FOSSIL'!E$2:E$496,FALSE)*_xlfn.XLOOKUP($A28,'NORMALISATION FACTORS'!$B$2:$B$500,'NORMALISATION FACTORS'!$G$2:$G$500,FALSE)</f>
        <v>14.7</v>
      </c>
      <c r="F28" s="19">
        <f>_xlfn.XLOOKUP($A28,'RAW GWP FOSSIL'!$A$2:$A$496,'RAW GWP FOSSIL'!F$2:F$496,FALSE)*_xlfn.XLOOKUP($A28,'NORMALISATION FACTORS'!$B$2:$B$500,'NORMALISATION FACTORS'!$G$2:$G$500,FALSE)</f>
        <v>1.31</v>
      </c>
      <c r="G28" s="19">
        <f>_xlfn.XLOOKUP($A28,'RAW GWP FOSSIL'!$A$2:$A$496,'RAW GWP FOSSIL'!G$2:G$496,FALSE)*_xlfn.XLOOKUP($A28,'NORMALISATION FACTORS'!$B$2:$B$500,'NORMALISATION FACTORS'!$G$2:$G$500,FALSE)</f>
        <v>5.71</v>
      </c>
      <c r="H28" s="77">
        <f>_xlfn.XLOOKUP($A28,'RAW GWP FOSSIL'!$A$2:$A$496,'RAW GWP FOSSIL'!H$2:H$496,FALSE)*_xlfn.XLOOKUP($A28,'NORMALISATION FACTORS'!$B$2:$B$500,'NORMALISATION FACTORS'!$G$2:$G$500,FALSE)</f>
        <v>21.7</v>
      </c>
      <c r="I28" s="22">
        <f>_xlfn.XLOOKUP($A28,'RAW GWP FOSSIL'!$A$2:$A$496,'RAW GWP FOSSIL'!I$2:I$496,FALSE)*_xlfn.XLOOKUP($A28,'NORMALISATION FACTORS'!$B$2:$B$500,'NORMALISATION FACTORS'!$G$2:$G$500,FALSE)</f>
        <v>0</v>
      </c>
      <c r="J28" s="22">
        <f>_xlfn.XLOOKUP($A28,'RAW GWP FOSSIL'!$A$2:$A$496,'RAW GWP FOSSIL'!J$2:J$496,FALSE)*_xlfn.XLOOKUP($A28,'NORMALISATION FACTORS'!$B$2:$B$500,'NORMALISATION FACTORS'!$G$2:$G$500,FALSE)</f>
        <v>0</v>
      </c>
      <c r="K28" s="22">
        <f>_xlfn.XLOOKUP($A28,'RAW GWP FOSSIL'!$A$2:$A$496,'RAW GWP FOSSIL'!K$2:K$496,FALSE)*_xlfn.XLOOKUP($A28,'NORMALISATION FACTORS'!$B$2:$B$500,'NORMALISATION FACTORS'!$G$2:$G$500,FALSE)</f>
        <v>0</v>
      </c>
      <c r="L28" s="19">
        <f>_xlfn.XLOOKUP($A28,'RAW GWP FOSSIL'!$A$2:$A$496,'RAW GWP FOSSIL'!L$2:L$496,FALSE)*_xlfn.XLOOKUP($A28,'NORMALISATION FACTORS'!$B$2:$B$500,'NORMALISATION FACTORS'!$G$2:$G$500,FALSE)</f>
        <v>0</v>
      </c>
      <c r="M28" s="19">
        <f>_xlfn.XLOOKUP($A28,'RAW GWP FOSSIL'!$A$2:$A$496,'RAW GWP FOSSIL'!M$2:M$496,FALSE)*_xlfn.XLOOKUP($A28,'NORMALISATION FACTORS'!$B$2:$B$500,'NORMALISATION FACTORS'!$G$2:$G$500,FALSE)</f>
        <v>0.13100000000000001</v>
      </c>
      <c r="N28" s="19">
        <f>_xlfn.XLOOKUP($A28,'RAW GWP FOSSIL'!$A$2:$A$496,'RAW GWP FOSSIL'!N$2:N$496,FALSE)*_xlfn.XLOOKUP($A28,'NORMALISATION FACTORS'!$B$2:$B$500,'NORMALISATION FACTORS'!$G$2:$G$500,FALSE)</f>
        <v>0.90500000000000003</v>
      </c>
      <c r="O28" s="19">
        <f>_xlfn.XLOOKUP($A28,'RAW GWP FOSSIL'!$A$2:$A$496,'RAW GWP FOSSIL'!O$2:O$496,FALSE)*_xlfn.XLOOKUP($A28,'NORMALISATION FACTORS'!$B$2:$B$500,'NORMALISATION FACTORS'!$G$2:$G$500,FALSE)</f>
        <v>2.4E-2</v>
      </c>
      <c r="P28" s="19">
        <f>_xlfn.XLOOKUP($A28,'RAW GWP FOSSIL'!$A$2:$A$496,'RAW GWP FOSSIL'!P$2:P$496,FALSE)*_xlfn.XLOOKUP($A28,'NORMALISATION FACTORS'!$B$2:$B$500,'NORMALISATION FACTORS'!$G$2:$G$500,FALSE)</f>
        <v>-15.5</v>
      </c>
    </row>
    <row r="29" spans="1:16" ht="43.5" x14ac:dyDescent="0.35">
      <c r="A29" s="17" t="s">
        <v>261</v>
      </c>
      <c r="B29" s="17" t="str">
        <f>VLOOKUP($A29,'EPD REPOSITORY'!$B$1:$O$30,3,FALSE)</f>
        <v>Timber Frame</v>
      </c>
      <c r="C29" s="18" t="s">
        <v>264</v>
      </c>
      <c r="D29" s="17" t="s">
        <v>320</v>
      </c>
      <c r="E29" s="19">
        <f>_xlfn.XLOOKUP($A29,'RAW GWP FOSSIL'!$A$2:$A$496,'RAW GWP FOSSIL'!E$2:E$496,FALSE)*_xlfn.XLOOKUP($A29,'NORMALISATION FACTORS'!$B$2:$B$500,'NORMALISATION FACTORS'!$G$2:$G$500,FALSE)</f>
        <v>19.100000000000001</v>
      </c>
      <c r="F29" s="19">
        <f>_xlfn.XLOOKUP($A29,'RAW GWP FOSSIL'!$A$2:$A$496,'RAW GWP FOSSIL'!F$2:F$496,FALSE)*_xlfn.XLOOKUP($A29,'NORMALISATION FACTORS'!$B$2:$B$500,'NORMALISATION FACTORS'!$G$2:$G$500,FALSE)</f>
        <v>1.64</v>
      </c>
      <c r="G29" s="19">
        <f>_xlfn.XLOOKUP($A29,'RAW GWP FOSSIL'!$A$2:$A$496,'RAW GWP FOSSIL'!G$2:G$496,FALSE)*_xlfn.XLOOKUP($A29,'NORMALISATION FACTORS'!$B$2:$B$500,'NORMALISATION FACTORS'!$G$2:$G$500,FALSE)</f>
        <v>7.02</v>
      </c>
      <c r="H29" s="77">
        <f>_xlfn.XLOOKUP($A29,'RAW GWP FOSSIL'!$A$2:$A$496,'RAW GWP FOSSIL'!H$2:H$496,FALSE)*_xlfn.XLOOKUP($A29,'NORMALISATION FACTORS'!$B$2:$B$500,'NORMALISATION FACTORS'!$G$2:$G$500,FALSE)</f>
        <v>27.8</v>
      </c>
      <c r="I29" s="22">
        <f>_xlfn.XLOOKUP($A29,'RAW GWP FOSSIL'!$A$2:$A$496,'RAW GWP FOSSIL'!I$2:I$496,FALSE)*_xlfn.XLOOKUP($A29,'NORMALISATION FACTORS'!$B$2:$B$500,'NORMALISATION FACTORS'!$G$2:$G$500,FALSE)</f>
        <v>0</v>
      </c>
      <c r="J29" s="22">
        <f>_xlfn.XLOOKUP($A29,'RAW GWP FOSSIL'!$A$2:$A$496,'RAW GWP FOSSIL'!J$2:J$496,FALSE)*_xlfn.XLOOKUP($A29,'NORMALISATION FACTORS'!$B$2:$B$500,'NORMALISATION FACTORS'!$G$2:$G$500,FALSE)</f>
        <v>0</v>
      </c>
      <c r="K29" s="22">
        <f>_xlfn.XLOOKUP($A29,'RAW GWP FOSSIL'!$A$2:$A$496,'RAW GWP FOSSIL'!K$2:K$496,FALSE)*_xlfn.XLOOKUP($A29,'NORMALISATION FACTORS'!$B$2:$B$500,'NORMALISATION FACTORS'!$G$2:$G$500,FALSE)</f>
        <v>0</v>
      </c>
      <c r="L29" s="19">
        <f>_xlfn.XLOOKUP($A29,'RAW GWP FOSSIL'!$A$2:$A$496,'RAW GWP FOSSIL'!L$2:L$496,FALSE)*_xlfn.XLOOKUP($A29,'NORMALISATION FACTORS'!$B$2:$B$500,'NORMALISATION FACTORS'!$G$2:$G$500,FALSE)</f>
        <v>0</v>
      </c>
      <c r="M29" s="19">
        <f>_xlfn.XLOOKUP($A29,'RAW GWP FOSSIL'!$A$2:$A$496,'RAW GWP FOSSIL'!M$2:M$496,FALSE)*_xlfn.XLOOKUP($A29,'NORMALISATION FACTORS'!$B$2:$B$500,'NORMALISATION FACTORS'!$G$2:$G$500,FALSE)</f>
        <v>0.17499999999999999</v>
      </c>
      <c r="N29" s="19">
        <f>_xlfn.XLOOKUP($A29,'RAW GWP FOSSIL'!$A$2:$A$496,'RAW GWP FOSSIL'!N$2:N$496,FALSE)*_xlfn.XLOOKUP($A29,'NORMALISATION FACTORS'!$B$2:$B$500,'NORMALISATION FACTORS'!$G$2:$G$500,FALSE)</f>
        <v>0.88300000000000001</v>
      </c>
      <c r="O29" s="19">
        <f>_xlfn.XLOOKUP($A29,'RAW GWP FOSSIL'!$A$2:$A$496,'RAW GWP FOSSIL'!O$2:O$496,FALSE)*_xlfn.XLOOKUP($A29,'NORMALISATION FACTORS'!$B$2:$B$500,'NORMALISATION FACTORS'!$G$2:$G$500,FALSE)</f>
        <v>4.3499999999999997E-2</v>
      </c>
      <c r="P29" s="19">
        <f>_xlfn.XLOOKUP($A29,'RAW GWP FOSSIL'!$A$2:$A$496,'RAW GWP FOSSIL'!P$2:P$496,FALSE)*_xlfn.XLOOKUP($A29,'NORMALISATION FACTORS'!$B$2:$B$500,'NORMALISATION FACTORS'!$G$2:$G$500,FALSE)</f>
        <v>-8.76</v>
      </c>
    </row>
    <row r="30" spans="1:16" ht="43.5" x14ac:dyDescent="0.35">
      <c r="A30" s="17" t="s">
        <v>274</v>
      </c>
      <c r="B30" s="17" t="str">
        <f>VLOOKUP($A30,'EPD REPOSITORY'!$B$1:$O$30,3,FALSE)</f>
        <v>Prefabricated Cladding</v>
      </c>
      <c r="C30" s="18" t="s">
        <v>282</v>
      </c>
      <c r="D30" s="17" t="s">
        <v>320</v>
      </c>
      <c r="E30" s="99">
        <f>_xlfn.XLOOKUP($A30,'RAW GWP FOSSIL'!$A$2:$A$496,'RAW GWP FOSSIL'!E$2:E$496,FALSE)*_xlfn.XLOOKUP($A30,'NORMALISATION FACTORS'!$B$2:$B$500,'NORMALISATION FACTORS'!$G$2:$G$500,FALSE)</f>
        <v>0</v>
      </c>
      <c r="F30" s="99">
        <f>_xlfn.XLOOKUP($A30,'RAW GWP FOSSIL'!$A$2:$A$496,'RAW GWP FOSSIL'!F$2:F$496,FALSE)*_xlfn.XLOOKUP($A30,'NORMALISATION FACTORS'!$B$2:$B$500,'NORMALISATION FACTORS'!$G$2:$G$500,FALSE)</f>
        <v>0</v>
      </c>
      <c r="G30" s="99">
        <f>_xlfn.XLOOKUP($A30,'RAW GWP FOSSIL'!$A$2:$A$496,'RAW GWP FOSSIL'!G$2:G$496,FALSE)*_xlfn.XLOOKUP($A30,'NORMALISATION FACTORS'!$B$2:$B$500,'NORMALISATION FACTORS'!$G$2:$G$500,FALSE)</f>
        <v>0</v>
      </c>
      <c r="H30" s="77">
        <f>_xlfn.XLOOKUP($A30,'RAW GWP FOSSIL'!$A$2:$A$496,'RAW GWP FOSSIL'!H$2:H$496,FALSE)*_xlfn.XLOOKUP($A30,'NORMALISATION FACTORS'!$B$2:$B$500,'NORMALISATION FACTORS'!$G$2:$G$500,FALSE)</f>
        <v>21</v>
      </c>
      <c r="I30" s="19">
        <f>_xlfn.XLOOKUP($A30,'RAW GWP FOSSIL'!$A$2:$A$496,'RAW GWP FOSSIL'!I$2:I$496,FALSE)*_xlfn.XLOOKUP($A30,'NORMALISATION FACTORS'!$B$2:$B$500,'NORMALISATION FACTORS'!$G$2:$G$500,FALSE)</f>
        <v>5.75</v>
      </c>
      <c r="J30" s="23">
        <f>_xlfn.XLOOKUP($A30,'RAW GWP FOSSIL'!$A$2:$A$496,'RAW GWP FOSSIL'!J$2:J$496,FALSE)*_xlfn.XLOOKUP($A30,'NORMALISATION FACTORS'!$B$2:$B$500,'NORMALISATION FACTORS'!$G$2:$G$500,FALSE)</f>
        <v>0</v>
      </c>
      <c r="K30" s="22">
        <f>_xlfn.XLOOKUP($A30,'RAW GWP FOSSIL'!$A$2:$A$496,'RAW GWP FOSSIL'!K$2:K$496,FALSE)*_xlfn.XLOOKUP($A30,'NORMALISATION FACTORS'!$B$2:$B$500,'NORMALISATION FACTORS'!$G$2:$G$500,FALSE)</f>
        <v>0</v>
      </c>
      <c r="L30" s="19">
        <f>_xlfn.XLOOKUP($A30,'RAW GWP FOSSIL'!$A$2:$A$496,'RAW GWP FOSSIL'!L$2:L$496,FALSE)*_xlfn.XLOOKUP($A30,'NORMALISATION FACTORS'!$B$2:$B$500,'NORMALISATION FACTORS'!$G$2:$G$500,FALSE)</f>
        <v>1.96</v>
      </c>
      <c r="M30" s="19">
        <f>_xlfn.XLOOKUP($A30,'RAW GWP FOSSIL'!$A$2:$A$496,'RAW GWP FOSSIL'!M$2:M$496,FALSE)*_xlfn.XLOOKUP($A30,'NORMALISATION FACTORS'!$B$2:$B$500,'NORMALISATION FACTORS'!$G$2:$G$500,FALSE)</f>
        <v>0.38600000000000001</v>
      </c>
      <c r="N30" s="19">
        <f>_xlfn.XLOOKUP($A30,'RAW GWP FOSSIL'!$A$2:$A$496,'RAW GWP FOSSIL'!N$2:N$496,FALSE)*_xlfn.XLOOKUP($A30,'NORMALISATION FACTORS'!$B$2:$B$500,'NORMALISATION FACTORS'!$G$2:$G$500,FALSE)</f>
        <v>0</v>
      </c>
      <c r="O30" s="19">
        <f>_xlfn.XLOOKUP($A30,'RAW GWP FOSSIL'!$A$2:$A$496,'RAW GWP FOSSIL'!O$2:O$496,FALSE)*_xlfn.XLOOKUP($A30,'NORMALISATION FACTORS'!$B$2:$B$500,'NORMALISATION FACTORS'!$G$2:$G$500,FALSE)</f>
        <v>0.12</v>
      </c>
      <c r="P30" s="19">
        <f>_xlfn.XLOOKUP($A30,'RAW GWP FOSSIL'!$A$2:$A$496,'RAW GWP FOSSIL'!P$2:P$496,FALSE)*_xlfn.XLOOKUP($A30,'NORMALISATION FACTORS'!$B$2:$B$500,'NORMALISATION FACTORS'!$G$2:$G$500,FALSE)</f>
        <v>-9.4100000000000003E-2</v>
      </c>
    </row>
    <row r="31" spans="1:16" ht="29" x14ac:dyDescent="0.35">
      <c r="A31" s="17" t="s">
        <v>292</v>
      </c>
      <c r="B31" s="17" t="str">
        <f>VLOOKUP($A31,'EPD REPOSITORY'!$B$1:$O$30,3,FALSE)</f>
        <v>Concrete</v>
      </c>
      <c r="C31" s="98" t="s">
        <v>489</v>
      </c>
      <c r="D31" s="17" t="s">
        <v>320</v>
      </c>
      <c r="E31" s="23">
        <f>_xlfn.XLOOKUP($A31,'RAW GWP FOSSIL'!$A$2:$A$496,'RAW GWP FOSSIL'!E$2:E$496,FALSE)*_xlfn.XLOOKUP($A31,'NORMALISATION FACTORS'!$B$2:$B$500,'NORMALISATION FACTORS'!$G$2:$G$500,FALSE)</f>
        <v>32.699999999999996</v>
      </c>
      <c r="F31" s="23">
        <f>_xlfn.XLOOKUP($A31,'RAW GWP FOSSIL'!$A$2:$A$496,'RAW GWP FOSSIL'!F$2:F$496,FALSE)*_xlfn.XLOOKUP($A31,'NORMALISATION FACTORS'!$B$2:$B$500,'NORMALISATION FACTORS'!$G$2:$G$500,FALSE)</f>
        <v>0.95099999999999996</v>
      </c>
      <c r="G31" s="23">
        <f>_xlfn.XLOOKUP($A31,'RAW GWP FOSSIL'!$A$2:$A$496,'RAW GWP FOSSIL'!G$2:G$496,FALSE)*_xlfn.XLOOKUP($A31,'NORMALISATION FACTORS'!$B$2:$B$500,'NORMALISATION FACTORS'!$G$2:$G$500,FALSE)</f>
        <v>0.77850000000000008</v>
      </c>
      <c r="H31" s="77">
        <f>_xlfn.XLOOKUP($A31,'RAW GWP FOSSIL'!$A$2:$A$496,'RAW GWP FOSSIL'!H$2:H$496,FALSE)*_xlfn.XLOOKUP($A31,'NORMALISATION FACTORS'!$B$2:$B$500,'NORMALISATION FACTORS'!$G$2:$G$500,FALSE)</f>
        <v>34.429499999999997</v>
      </c>
      <c r="I31" s="19">
        <f>_xlfn.XLOOKUP($A31,'RAW GWP FOSSIL'!$A$2:$A$496,'RAW GWP FOSSIL'!I$2:I$496,FALSE)*_xlfn.XLOOKUP($A31,'NORMALISATION FACTORS'!$B$2:$B$500,'NORMALISATION FACTORS'!$G$2:$G$500,FALSE)</f>
        <v>0.60899999999999987</v>
      </c>
      <c r="J31" s="23">
        <f>_xlfn.XLOOKUP($A31,'RAW GWP FOSSIL'!$A$2:$A$496,'RAW GWP FOSSIL'!J$2:J$496,FALSE)*_xlfn.XLOOKUP($A31,'NORMALISATION FACTORS'!$B$2:$B$500,'NORMALISATION FACTORS'!$G$2:$G$500,FALSE)</f>
        <v>0.94499999999999995</v>
      </c>
      <c r="K31" s="23">
        <f>_xlfn.XLOOKUP($A31,'RAW GWP FOSSIL'!$A$2:$A$496,'RAW GWP FOSSIL'!K$2:K$496,FALSE)*_xlfn.XLOOKUP($A31,'NORMALISATION FACTORS'!$B$2:$B$500,'NORMALISATION FACTORS'!$G$2:$G$500,FALSE)</f>
        <v>-2.6999999999999997</v>
      </c>
      <c r="L31" s="19">
        <f>_xlfn.XLOOKUP($A31,'RAW GWP FOSSIL'!$A$2:$A$496,'RAW GWP FOSSIL'!L$2:L$496,FALSE)*_xlfn.XLOOKUP($A31,'NORMALISATION FACTORS'!$B$2:$B$500,'NORMALISATION FACTORS'!$G$2:$G$500,FALSE)</f>
        <v>1.89</v>
      </c>
      <c r="M31" s="19">
        <f>_xlfn.XLOOKUP($A31,'RAW GWP FOSSIL'!$A$2:$A$496,'RAW GWP FOSSIL'!M$2:M$496,FALSE)*_xlfn.XLOOKUP($A31,'NORMALISATION FACTORS'!$B$2:$B$500,'NORMALISATION FACTORS'!$G$2:$G$500,FALSE)</f>
        <v>3.4349999999999996</v>
      </c>
      <c r="N31" s="19">
        <f>_xlfn.XLOOKUP($A31,'RAW GWP FOSSIL'!$A$2:$A$496,'RAW GWP FOSSIL'!N$2:N$496,FALSE)*_xlfn.XLOOKUP($A31,'NORMALISATION FACTORS'!$B$2:$B$500,'NORMALISATION FACTORS'!$G$2:$G$500,FALSE)</f>
        <v>1.0185</v>
      </c>
      <c r="O31" s="19">
        <f>_xlfn.XLOOKUP($A31,'RAW GWP FOSSIL'!$A$2:$A$496,'RAW GWP FOSSIL'!O$2:O$496,FALSE)*_xlfn.XLOOKUP($A31,'NORMALISATION FACTORS'!$B$2:$B$500,'NORMALISATION FACTORS'!$G$2:$G$500,FALSE)</f>
        <v>0</v>
      </c>
      <c r="P31" s="19">
        <f>_xlfn.XLOOKUP($A31,'RAW GWP FOSSIL'!$A$2:$A$496,'RAW GWP FOSSIL'!P$2:P$496,FALSE)*_xlfn.XLOOKUP($A31,'NORMALISATION FACTORS'!$B$2:$B$500,'NORMALISATION FACTORS'!$G$2:$G$500,FALSE)</f>
        <v>-0.86849999999999994</v>
      </c>
    </row>
    <row r="32" spans="1:16" x14ac:dyDescent="0.35">
      <c r="A32" s="96" t="s">
        <v>571</v>
      </c>
      <c r="B32" t="s">
        <v>574</v>
      </c>
      <c r="C32" s="98" t="s">
        <v>573</v>
      </c>
      <c r="D32" s="96" t="s">
        <v>320</v>
      </c>
      <c r="E32" s="23">
        <f>_xlfn.XLOOKUP($A32,'RAW GWP FOSSIL'!$A$2:$A$496,'RAW GWP FOSSIL'!E$2:E$496,FALSE)*_xlfn.XLOOKUP($A32,'NORMALISATION FACTORS'!$B$2:$B$500,'NORMALISATION FACTORS'!$G$2:$G$500,FALSE)</f>
        <v>2.8680449999999995</v>
      </c>
      <c r="F32" s="23">
        <f>_xlfn.XLOOKUP($A32,'RAW GWP FOSSIL'!$A$2:$A$496,'RAW GWP FOSSIL'!F$2:F$496,FALSE)*_xlfn.XLOOKUP($A32,'NORMALISATION FACTORS'!$B$2:$B$500,'NORMALISATION FACTORS'!$G$2:$G$500,FALSE)</f>
        <v>0.8503147499999999</v>
      </c>
      <c r="G32" s="23">
        <f>_xlfn.XLOOKUP($A32,'RAW GWP FOSSIL'!$A$2:$A$496,'RAW GWP FOSSIL'!G$2:G$496,FALSE)*_xlfn.XLOOKUP($A32,'NORMALISATION FACTORS'!$B$2:$B$500,'NORMALISATION FACTORS'!$G$2:$G$500,FALSE)</f>
        <v>38.981175</v>
      </c>
      <c r="H32" s="77">
        <f>_xlfn.XLOOKUP($A32,'RAW GWP FOSSIL'!$A$2:$A$496,'RAW GWP FOSSIL'!H$2:H$496,FALSE)*_xlfn.XLOOKUP($A32,'NORMALISATION FACTORS'!$B$2:$B$500,'NORMALISATION FACTORS'!$G$2:$G$500,FALSE)</f>
        <v>42.616724999999995</v>
      </c>
      <c r="I32" s="19">
        <f>_xlfn.XLOOKUP($A32,'RAW GWP FOSSIL'!$A$2:$A$496,'RAW GWP FOSSIL'!I$2:I$496,FALSE)*_xlfn.XLOOKUP($A32,'NORMALISATION FACTORS'!$B$2:$B$500,'NORMALISATION FACTORS'!$G$2:$G$500,FALSE)</f>
        <v>6.523792499999999</v>
      </c>
      <c r="J32" s="23">
        <f>_xlfn.XLOOKUP($A32,'RAW GWP FOSSIL'!$A$2:$A$496,'RAW GWP FOSSIL'!J$2:J$496,FALSE)*_xlfn.XLOOKUP($A32,'NORMALISATION FACTORS'!$B$2:$B$500,'NORMALISATION FACTORS'!$G$2:$G$500,FALSE)</f>
        <v>0.106844775</v>
      </c>
      <c r="K32" s="23">
        <f>_xlfn.XLOOKUP($A32,'RAW GWP FOSSIL'!$A$2:$A$496,'RAW GWP FOSSIL'!K$2:K$496,FALSE)*_xlfn.XLOOKUP($A32,'NORMALISATION FACTORS'!$B$2:$B$500,'NORMALISATION FACTORS'!$G$2:$G$500,FALSE)</f>
        <v>0</v>
      </c>
      <c r="L32" s="19">
        <f>_xlfn.XLOOKUP($A32,'RAW GWP FOSSIL'!$A$2:$A$496,'RAW GWP FOSSIL'!L$2:L$496,FALSE)*_xlfn.XLOOKUP($A32,'NORMALISATION FACTORS'!$B$2:$B$500,'NORMALISATION FACTORS'!$G$2:$G$500,FALSE)</f>
        <v>0</v>
      </c>
      <c r="M32" s="19">
        <f>_xlfn.XLOOKUP($A32,'RAW GWP FOSSIL'!$A$2:$A$496,'RAW GWP FOSSIL'!M$2:M$496,FALSE)*_xlfn.XLOOKUP($A32,'NORMALISATION FACTORS'!$B$2:$B$500,'NORMALISATION FACTORS'!$G$2:$G$500,FALSE)</f>
        <v>0.21409349999999999</v>
      </c>
      <c r="N32" s="19">
        <f>_xlfn.XLOOKUP($A32,'RAW GWP FOSSIL'!$A$2:$A$496,'RAW GWP FOSSIL'!N$2:N$496,FALSE)*_xlfn.XLOOKUP($A32,'NORMALISATION FACTORS'!$B$2:$B$500,'NORMALISATION FACTORS'!$G$2:$G$500,FALSE)</f>
        <v>0.55341150000000006</v>
      </c>
      <c r="O32" s="19">
        <f>_xlfn.XLOOKUP($A32,'RAW GWP FOSSIL'!$A$2:$A$496,'RAW GWP FOSSIL'!O$2:O$496,FALSE)*_xlfn.XLOOKUP($A32,'NORMALISATION FACTORS'!$B$2:$B$500,'NORMALISATION FACTORS'!$G$2:$G$500,FALSE)</f>
        <v>0.21207375000000001</v>
      </c>
      <c r="P32" s="19">
        <f>_xlfn.XLOOKUP($A32,'RAW GWP FOSSIL'!$A$2:$A$496,'RAW GWP FOSSIL'!P$2:P$496,FALSE)*_xlfn.XLOOKUP($A32,'NORMALISATION FACTORS'!$B$2:$B$500,'NORMALISATION FACTORS'!$G$2:$G$500,FALSE)</f>
        <v>3.2719949999999995</v>
      </c>
    </row>
    <row r="33" spans="1:16" ht="29" x14ac:dyDescent="0.35">
      <c r="A33" s="96" t="s">
        <v>796</v>
      </c>
      <c r="B33" t="s">
        <v>495</v>
      </c>
      <c r="C33" s="11" t="s">
        <v>802</v>
      </c>
      <c r="D33" s="96" t="s">
        <v>320</v>
      </c>
      <c r="E33" s="22">
        <v>0</v>
      </c>
      <c r="F33" s="22">
        <v>0</v>
      </c>
      <c r="G33" s="22">
        <v>0</v>
      </c>
      <c r="H33" s="77">
        <f>_xlfn.XLOOKUP($A33,'RAW GWP FOSSIL'!$A$2:$A$496,'RAW GWP FOSSIL'!H$2:H$496,FALSE)*_xlfn.XLOOKUP($A33,'NORMALISATION FACTORS'!$B$2:$B$500,'NORMALISATION FACTORS'!$G$2:$G$500,FALSE)</f>
        <v>4.1849999999999996</v>
      </c>
      <c r="I33" s="22">
        <v>0</v>
      </c>
      <c r="J33" s="22">
        <v>0</v>
      </c>
      <c r="K33" s="22">
        <v>0</v>
      </c>
      <c r="L33" s="22">
        <v>0</v>
      </c>
      <c r="M33" s="22">
        <v>0</v>
      </c>
      <c r="N33" s="22">
        <v>0</v>
      </c>
      <c r="O33" s="22">
        <v>0</v>
      </c>
      <c r="P33" s="22">
        <v>0</v>
      </c>
    </row>
  </sheetData>
  <phoneticPr fontId="7"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747867-B091-452C-86B7-DD269C0E1DB3}">
  <sheetPr codeName="Sheet22">
    <tabColor rgb="FF7030A0"/>
  </sheetPr>
  <dimension ref="B1:G33"/>
  <sheetViews>
    <sheetView topLeftCell="A18" workbookViewId="0">
      <selection activeCell="B33" sqref="B33"/>
    </sheetView>
  </sheetViews>
  <sheetFormatPr defaultRowHeight="14.5" x14ac:dyDescent="0.35"/>
  <cols>
    <col min="2" max="2" width="35" style="11" customWidth="1"/>
    <col min="3" max="3" width="24.81640625" customWidth="1"/>
    <col min="4" max="4" width="96.6328125" style="11" customWidth="1"/>
    <col min="5" max="5" width="7.54296875" bestFit="1" customWidth="1"/>
    <col min="6" max="6" width="38.36328125" style="11" customWidth="1"/>
    <col min="7" max="7" width="26.7265625" bestFit="1" customWidth="1"/>
  </cols>
  <sheetData>
    <row r="1" spans="2:7" ht="42" x14ac:dyDescent="0.35">
      <c r="B1" s="20" t="s">
        <v>304</v>
      </c>
      <c r="C1" s="20" t="s">
        <v>1</v>
      </c>
      <c r="D1" s="20" t="s">
        <v>305</v>
      </c>
      <c r="E1" s="20" t="s">
        <v>306</v>
      </c>
      <c r="F1" s="21" t="s">
        <v>332</v>
      </c>
      <c r="G1" s="20" t="s">
        <v>333</v>
      </c>
    </row>
    <row r="2" spans="2:7" x14ac:dyDescent="0.35">
      <c r="B2" s="17" t="s">
        <v>319</v>
      </c>
      <c r="C2" s="17" t="s">
        <v>215</v>
      </c>
      <c r="D2" s="17" t="s">
        <v>228</v>
      </c>
      <c r="E2" s="17" t="s">
        <v>320</v>
      </c>
      <c r="F2" s="18" t="s">
        <v>334</v>
      </c>
      <c r="G2" s="75">
        <v>1</v>
      </c>
    </row>
    <row r="3" spans="2:7" ht="29" x14ac:dyDescent="0.35">
      <c r="B3" s="17" t="s">
        <v>321</v>
      </c>
      <c r="C3" s="17" t="s">
        <v>215</v>
      </c>
      <c r="D3" s="17" t="s">
        <v>219</v>
      </c>
      <c r="E3" s="17" t="s">
        <v>320</v>
      </c>
      <c r="F3" s="18" t="s">
        <v>335</v>
      </c>
      <c r="G3" s="76">
        <v>0.14000000000000001</v>
      </c>
    </row>
    <row r="4" spans="2:7" ht="58" x14ac:dyDescent="0.35">
      <c r="B4" s="17" t="s">
        <v>110</v>
      </c>
      <c r="C4" s="17" t="s">
        <v>24</v>
      </c>
      <c r="D4" s="17" t="s">
        <v>117</v>
      </c>
      <c r="E4" s="17" t="s">
        <v>320</v>
      </c>
      <c r="F4" s="18" t="s">
        <v>336</v>
      </c>
      <c r="G4" s="75">
        <v>0.9009009009009008</v>
      </c>
    </row>
    <row r="5" spans="2:7" x14ac:dyDescent="0.35">
      <c r="B5" s="17" t="s">
        <v>120</v>
      </c>
      <c r="C5" s="17" t="s">
        <v>24</v>
      </c>
      <c r="D5" s="17" t="s">
        <v>129</v>
      </c>
      <c r="E5" s="17" t="s">
        <v>320</v>
      </c>
      <c r="F5" s="18" t="s">
        <v>334</v>
      </c>
      <c r="G5" s="76">
        <v>1</v>
      </c>
    </row>
    <row r="6" spans="2:7" x14ac:dyDescent="0.35">
      <c r="B6" s="17" t="s">
        <v>486</v>
      </c>
      <c r="C6" s="17" t="s">
        <v>24</v>
      </c>
      <c r="D6" s="17" t="s">
        <v>322</v>
      </c>
      <c r="E6" s="17" t="s">
        <v>320</v>
      </c>
      <c r="F6" s="18" t="s">
        <v>334</v>
      </c>
      <c r="G6" s="75">
        <v>1</v>
      </c>
    </row>
    <row r="7" spans="2:7" x14ac:dyDescent="0.35">
      <c r="B7" s="17" t="s">
        <v>487</v>
      </c>
      <c r="C7" s="17" t="s">
        <v>24</v>
      </c>
      <c r="D7" s="17" t="s">
        <v>323</v>
      </c>
      <c r="E7" s="17" t="s">
        <v>320</v>
      </c>
      <c r="F7" s="18" t="s">
        <v>334</v>
      </c>
      <c r="G7" s="76">
        <v>1</v>
      </c>
    </row>
    <row r="8" spans="2:7" x14ac:dyDescent="0.35">
      <c r="B8" s="17" t="s">
        <v>182</v>
      </c>
      <c r="C8" s="17" t="s">
        <v>41</v>
      </c>
      <c r="D8" s="17" t="s">
        <v>189</v>
      </c>
      <c r="E8" s="17" t="s">
        <v>320</v>
      </c>
      <c r="F8" s="18" t="s">
        <v>334</v>
      </c>
      <c r="G8" s="75">
        <v>1</v>
      </c>
    </row>
    <row r="9" spans="2:7" x14ac:dyDescent="0.35">
      <c r="B9" s="17" t="s">
        <v>324</v>
      </c>
      <c r="C9" s="17" t="s">
        <v>215</v>
      </c>
      <c r="D9" s="17" t="s">
        <v>237</v>
      </c>
      <c r="E9" s="17" t="s">
        <v>320</v>
      </c>
      <c r="F9" s="18" t="s">
        <v>334</v>
      </c>
      <c r="G9" s="76">
        <v>1</v>
      </c>
    </row>
    <row r="10" spans="2:7" ht="43.5" x14ac:dyDescent="0.35">
      <c r="B10" s="17" t="s">
        <v>325</v>
      </c>
      <c r="C10" s="17" t="s">
        <v>40</v>
      </c>
      <c r="D10" s="17" t="s">
        <v>145</v>
      </c>
      <c r="E10" s="17" t="s">
        <v>320</v>
      </c>
      <c r="F10" s="18" t="s">
        <v>337</v>
      </c>
      <c r="G10" s="75">
        <v>4.7300000000000004</v>
      </c>
    </row>
    <row r="11" spans="2:7" x14ac:dyDescent="0.35">
      <c r="B11" s="17" t="s">
        <v>191</v>
      </c>
      <c r="C11" s="17" t="s">
        <v>41</v>
      </c>
      <c r="D11" s="17" t="s">
        <v>189</v>
      </c>
      <c r="E11" s="17" t="s">
        <v>320</v>
      </c>
      <c r="F11" s="18" t="s">
        <v>338</v>
      </c>
      <c r="G11" s="76">
        <v>1</v>
      </c>
    </row>
    <row r="12" spans="2:7" ht="72.5" x14ac:dyDescent="0.35">
      <c r="B12" s="17" t="s">
        <v>166</v>
      </c>
      <c r="C12" s="17" t="s">
        <v>40</v>
      </c>
      <c r="D12" s="17" t="s">
        <v>171</v>
      </c>
      <c r="E12" s="17" t="s">
        <v>320</v>
      </c>
      <c r="F12" s="18" t="s">
        <v>339</v>
      </c>
      <c r="G12" s="75">
        <v>4.7300000000000004</v>
      </c>
    </row>
    <row r="13" spans="2:7" ht="87" x14ac:dyDescent="0.35">
      <c r="B13" s="17" t="s">
        <v>788</v>
      </c>
      <c r="C13" s="17" t="s">
        <v>80</v>
      </c>
      <c r="D13" s="17" t="s">
        <v>88</v>
      </c>
      <c r="E13" s="17" t="s">
        <v>320</v>
      </c>
      <c r="F13" s="18" t="s">
        <v>490</v>
      </c>
      <c r="G13" s="76">
        <v>0.215</v>
      </c>
    </row>
    <row r="14" spans="2:7" x14ac:dyDescent="0.35">
      <c r="B14" s="17" t="s">
        <v>194</v>
      </c>
      <c r="C14" s="17" t="s">
        <v>41</v>
      </c>
      <c r="D14" s="17" t="s">
        <v>326</v>
      </c>
      <c r="E14" s="17" t="s">
        <v>320</v>
      </c>
      <c r="F14" s="18" t="s">
        <v>334</v>
      </c>
      <c r="G14" s="75">
        <v>1</v>
      </c>
    </row>
    <row r="15" spans="2:7" x14ac:dyDescent="0.35">
      <c r="B15" s="17" t="s">
        <v>204</v>
      </c>
      <c r="C15" s="17" t="s">
        <v>41</v>
      </c>
      <c r="D15" s="17" t="s">
        <v>211</v>
      </c>
      <c r="E15" s="17" t="s">
        <v>320</v>
      </c>
      <c r="F15" s="18" t="s">
        <v>334</v>
      </c>
      <c r="G15" s="76">
        <v>1</v>
      </c>
    </row>
    <row r="16" spans="2:7" ht="43.5" x14ac:dyDescent="0.35">
      <c r="B16" s="17" t="s">
        <v>91</v>
      </c>
      <c r="C16" s="17" t="s">
        <v>80</v>
      </c>
      <c r="D16" s="17" t="s">
        <v>99</v>
      </c>
      <c r="E16" s="17" t="s">
        <v>320</v>
      </c>
      <c r="F16" s="18" t="s">
        <v>491</v>
      </c>
      <c r="G16" s="75">
        <f>(830*0.215)/1000</f>
        <v>0.17845</v>
      </c>
    </row>
    <row r="17" spans="2:7" x14ac:dyDescent="0.35">
      <c r="B17" s="17" t="s">
        <v>101</v>
      </c>
      <c r="C17" s="17" t="s">
        <v>80</v>
      </c>
      <c r="D17" s="17" t="s">
        <v>99</v>
      </c>
      <c r="E17" s="17" t="s">
        <v>320</v>
      </c>
      <c r="F17" s="18" t="s">
        <v>492</v>
      </c>
      <c r="G17" s="75">
        <f>(760*0.215)/1000</f>
        <v>0.16340000000000002</v>
      </c>
    </row>
    <row r="18" spans="2:7" x14ac:dyDescent="0.35">
      <c r="B18" s="17" t="s">
        <v>104</v>
      </c>
      <c r="C18" s="17" t="s">
        <v>80</v>
      </c>
      <c r="D18" s="17" t="s">
        <v>99</v>
      </c>
      <c r="E18" s="17" t="s">
        <v>320</v>
      </c>
      <c r="F18" s="18" t="s">
        <v>493</v>
      </c>
      <c r="G18" s="75">
        <f>(650*0.215)/1000</f>
        <v>0.13975000000000001</v>
      </c>
    </row>
    <row r="19" spans="2:7" x14ac:dyDescent="0.35">
      <c r="B19" s="17" t="s">
        <v>107</v>
      </c>
      <c r="C19" s="17" t="s">
        <v>80</v>
      </c>
      <c r="D19" s="17" t="s">
        <v>99</v>
      </c>
      <c r="E19" s="17" t="s">
        <v>320</v>
      </c>
      <c r="F19" s="18" t="s">
        <v>494</v>
      </c>
      <c r="G19" s="75">
        <f>(480*0.215)/1000</f>
        <v>0.1032</v>
      </c>
    </row>
    <row r="20" spans="2:7" x14ac:dyDescent="0.35">
      <c r="B20" s="17" t="s">
        <v>194</v>
      </c>
      <c r="C20" s="17" t="s">
        <v>41</v>
      </c>
      <c r="D20" s="17" t="s">
        <v>327</v>
      </c>
      <c r="E20" s="17" t="s">
        <v>320</v>
      </c>
      <c r="F20" s="18" t="s">
        <v>334</v>
      </c>
      <c r="G20" s="75">
        <v>1</v>
      </c>
    </row>
    <row r="21" spans="2:7" x14ac:dyDescent="0.35">
      <c r="B21" s="17" t="s">
        <v>194</v>
      </c>
      <c r="C21" s="17" t="s">
        <v>41</v>
      </c>
      <c r="D21" s="17" t="s">
        <v>328</v>
      </c>
      <c r="E21" s="17" t="s">
        <v>320</v>
      </c>
      <c r="F21" s="18" t="s">
        <v>334</v>
      </c>
      <c r="G21" s="76">
        <v>1</v>
      </c>
    </row>
    <row r="22" spans="2:7" x14ac:dyDescent="0.35">
      <c r="B22" s="17" t="s">
        <v>194</v>
      </c>
      <c r="C22" s="17" t="s">
        <v>41</v>
      </c>
      <c r="D22" s="17" t="s">
        <v>329</v>
      </c>
      <c r="E22" s="17" t="s">
        <v>320</v>
      </c>
      <c r="F22" s="18" t="s">
        <v>334</v>
      </c>
      <c r="G22" s="75">
        <v>1</v>
      </c>
    </row>
    <row r="23" spans="2:7" x14ac:dyDescent="0.35">
      <c r="B23" s="17" t="s">
        <v>194</v>
      </c>
      <c r="C23" s="17" t="s">
        <v>41</v>
      </c>
      <c r="D23" s="17" t="s">
        <v>330</v>
      </c>
      <c r="E23" s="17" t="s">
        <v>320</v>
      </c>
      <c r="F23" s="18" t="s">
        <v>334</v>
      </c>
      <c r="G23" s="76">
        <v>1</v>
      </c>
    </row>
    <row r="24" spans="2:7" x14ac:dyDescent="0.35">
      <c r="B24" s="17" t="s">
        <v>194</v>
      </c>
      <c r="C24" s="17" t="s">
        <v>41</v>
      </c>
      <c r="D24" s="17" t="s">
        <v>331</v>
      </c>
      <c r="E24" s="17" t="s">
        <v>320</v>
      </c>
      <c r="F24" s="18" t="s">
        <v>334</v>
      </c>
      <c r="G24" s="75">
        <v>1</v>
      </c>
    </row>
    <row r="25" spans="2:7" x14ac:dyDescent="0.35">
      <c r="B25" s="17" t="s">
        <v>240</v>
      </c>
      <c r="C25" s="17" t="s">
        <v>41</v>
      </c>
      <c r="D25" s="17" t="s">
        <v>243</v>
      </c>
      <c r="E25" s="17" t="s">
        <v>320</v>
      </c>
      <c r="F25" s="18" t="s">
        <v>334</v>
      </c>
      <c r="G25" s="76">
        <v>1</v>
      </c>
    </row>
    <row r="26" spans="2:7" x14ac:dyDescent="0.35">
      <c r="B26" s="17" t="s">
        <v>245</v>
      </c>
      <c r="C26" s="17" t="s">
        <v>41</v>
      </c>
      <c r="D26" s="17" t="s">
        <v>248</v>
      </c>
      <c r="E26" s="17" t="s">
        <v>320</v>
      </c>
      <c r="F26" s="18" t="s">
        <v>334</v>
      </c>
      <c r="G26" s="75">
        <v>1</v>
      </c>
    </row>
    <row r="27" spans="2:7" x14ac:dyDescent="0.35">
      <c r="B27" s="17" t="s">
        <v>249</v>
      </c>
      <c r="C27" s="17" t="s">
        <v>215</v>
      </c>
      <c r="D27" s="17" t="s">
        <v>253</v>
      </c>
      <c r="E27" s="17" t="s">
        <v>320</v>
      </c>
      <c r="F27" s="18" t="s">
        <v>334</v>
      </c>
      <c r="G27" s="76">
        <v>1</v>
      </c>
    </row>
    <row r="28" spans="2:7" x14ac:dyDescent="0.35">
      <c r="B28" s="17" t="s">
        <v>255</v>
      </c>
      <c r="C28" s="17" t="s">
        <v>215</v>
      </c>
      <c r="D28" s="17" t="s">
        <v>258</v>
      </c>
      <c r="E28" s="17" t="s">
        <v>320</v>
      </c>
      <c r="F28" s="18" t="s">
        <v>334</v>
      </c>
      <c r="G28" s="75">
        <v>1</v>
      </c>
    </row>
    <row r="29" spans="2:7" x14ac:dyDescent="0.35">
      <c r="B29" s="17" t="s">
        <v>261</v>
      </c>
      <c r="C29" s="17" t="s">
        <v>215</v>
      </c>
      <c r="D29" s="17" t="s">
        <v>264</v>
      </c>
      <c r="E29" s="17" t="s">
        <v>320</v>
      </c>
      <c r="F29" s="18" t="s">
        <v>334</v>
      </c>
      <c r="G29" s="76">
        <v>1</v>
      </c>
    </row>
    <row r="30" spans="2:7" x14ac:dyDescent="0.35">
      <c r="B30" s="17" t="s">
        <v>274</v>
      </c>
      <c r="C30" s="17" t="s">
        <v>343</v>
      </c>
      <c r="D30" s="17" t="s">
        <v>342</v>
      </c>
      <c r="E30" s="17" t="s">
        <v>320</v>
      </c>
      <c r="F30" s="18" t="s">
        <v>334</v>
      </c>
      <c r="G30" s="75">
        <v>1</v>
      </c>
    </row>
    <row r="31" spans="2:7" ht="43.5" x14ac:dyDescent="0.35">
      <c r="B31" s="17" t="s">
        <v>292</v>
      </c>
      <c r="C31" s="96" t="s">
        <v>481</v>
      </c>
      <c r="D31" s="11" t="s">
        <v>298</v>
      </c>
      <c r="E31" s="17" t="s">
        <v>320</v>
      </c>
      <c r="F31" s="11" t="s">
        <v>488</v>
      </c>
      <c r="G31" s="97">
        <v>0.15</v>
      </c>
    </row>
    <row r="32" spans="2:7" ht="72.5" x14ac:dyDescent="0.35">
      <c r="B32" s="96" t="s">
        <v>571</v>
      </c>
      <c r="C32" s="96" t="s">
        <v>285</v>
      </c>
      <c r="D32" s="11" t="s">
        <v>289</v>
      </c>
      <c r="E32" s="96" t="s">
        <v>320</v>
      </c>
      <c r="F32" s="11" t="s">
        <v>572</v>
      </c>
      <c r="G32">
        <f>201.975/1000</f>
        <v>0.20197499999999999</v>
      </c>
    </row>
    <row r="33" spans="2:7" ht="29" x14ac:dyDescent="0.35">
      <c r="B33" s="96" t="s">
        <v>796</v>
      </c>
      <c r="C33" s="96" t="s">
        <v>495</v>
      </c>
      <c r="D33" s="11" t="s">
        <v>805</v>
      </c>
      <c r="E33" s="96" t="s">
        <v>320</v>
      </c>
      <c r="F33" s="11" t="s">
        <v>806</v>
      </c>
      <c r="G33">
        <v>3.1E-2</v>
      </c>
    </row>
  </sheetData>
  <phoneticPr fontId="7" type="noConversion"/>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DEDD6B-556A-4F86-A934-8458B16C495F}">
  <sheetPr codeName="Sheet23">
    <tabColor rgb="FF7030A0"/>
  </sheetPr>
  <dimension ref="A1:L6"/>
  <sheetViews>
    <sheetView topLeftCell="A4" workbookViewId="0">
      <selection activeCell="B8" sqref="B8"/>
    </sheetView>
  </sheetViews>
  <sheetFormatPr defaultRowHeight="14.5" x14ac:dyDescent="0.35"/>
  <cols>
    <col min="1" max="1" width="15.36328125" customWidth="1"/>
    <col min="2" max="2" width="36" customWidth="1"/>
    <col min="3" max="3" width="17.08984375" customWidth="1"/>
    <col min="4" max="4" width="14.81640625" customWidth="1"/>
    <col min="5" max="5" width="12.7265625" customWidth="1"/>
    <col min="7" max="7" width="33.90625" customWidth="1"/>
    <col min="8" max="8" width="19.54296875" customWidth="1"/>
    <col min="9" max="9" width="26.54296875" customWidth="1"/>
    <col min="11" max="11" width="22.08984375" customWidth="1"/>
    <col min="12" max="12" width="19.7265625" customWidth="1"/>
  </cols>
  <sheetData>
    <row r="1" spans="1:12" ht="42" x14ac:dyDescent="0.35">
      <c r="A1" s="7" t="s">
        <v>36</v>
      </c>
      <c r="B1" s="7" t="s">
        <v>37</v>
      </c>
      <c r="C1" s="7" t="s">
        <v>38</v>
      </c>
      <c r="D1" s="7" t="s">
        <v>39</v>
      </c>
      <c r="E1" s="7" t="s">
        <v>3</v>
      </c>
      <c r="F1" s="7" t="s">
        <v>24</v>
      </c>
      <c r="G1" s="7" t="s">
        <v>40</v>
      </c>
      <c r="H1" s="7" t="s">
        <v>41</v>
      </c>
      <c r="I1" s="7" t="s">
        <v>42</v>
      </c>
      <c r="K1" s="7" t="s">
        <v>62</v>
      </c>
      <c r="L1" s="7" t="s">
        <v>38</v>
      </c>
    </row>
    <row r="2" spans="1:12" ht="174" x14ac:dyDescent="0.35">
      <c r="A2" s="1">
        <v>1</v>
      </c>
      <c r="B2" s="2" t="s">
        <v>43</v>
      </c>
      <c r="C2" s="3" t="s">
        <v>44</v>
      </c>
      <c r="D2" s="3" t="s">
        <v>45</v>
      </c>
      <c r="E2" s="3" t="s">
        <v>46</v>
      </c>
      <c r="F2" s="3" t="s">
        <v>47</v>
      </c>
      <c r="G2" s="3" t="s">
        <v>48</v>
      </c>
      <c r="H2" s="3" t="s">
        <v>49</v>
      </c>
      <c r="I2" s="3" t="s">
        <v>50</v>
      </c>
      <c r="K2" s="1" t="s">
        <v>63</v>
      </c>
      <c r="L2" s="3" t="s">
        <v>64</v>
      </c>
    </row>
    <row r="3" spans="1:12" ht="145" x14ac:dyDescent="0.35">
      <c r="A3" s="4">
        <v>2</v>
      </c>
      <c r="B3" s="5" t="s">
        <v>51</v>
      </c>
      <c r="C3" s="6" t="s">
        <v>52</v>
      </c>
      <c r="D3" s="6" t="s">
        <v>5</v>
      </c>
      <c r="E3" s="6" t="s">
        <v>46</v>
      </c>
      <c r="F3" s="6" t="s">
        <v>47</v>
      </c>
      <c r="G3" s="6" t="s">
        <v>48</v>
      </c>
      <c r="H3" s="6" t="s">
        <v>49</v>
      </c>
      <c r="I3" s="6" t="s">
        <v>53</v>
      </c>
      <c r="K3" s="4" t="s">
        <v>65</v>
      </c>
      <c r="L3" s="6" t="s">
        <v>64</v>
      </c>
    </row>
    <row r="4" spans="1:12" ht="145" x14ac:dyDescent="0.35">
      <c r="A4" s="1">
        <v>3</v>
      </c>
      <c r="B4" s="2" t="s">
        <v>54</v>
      </c>
      <c r="C4" s="3" t="s">
        <v>55</v>
      </c>
      <c r="D4" s="3" t="s">
        <v>56</v>
      </c>
      <c r="E4" s="3" t="s">
        <v>46</v>
      </c>
      <c r="F4" s="3" t="s">
        <v>47</v>
      </c>
      <c r="G4" s="3" t="s">
        <v>48</v>
      </c>
      <c r="H4" s="3" t="s">
        <v>49</v>
      </c>
      <c r="I4" s="3" t="s">
        <v>50</v>
      </c>
    </row>
    <row r="5" spans="1:12" ht="69" customHeight="1" x14ac:dyDescent="0.35">
      <c r="A5" s="4">
        <v>4</v>
      </c>
      <c r="B5" s="5" t="s">
        <v>57</v>
      </c>
      <c r="C5" s="6"/>
      <c r="D5" s="6" t="s">
        <v>58</v>
      </c>
      <c r="E5" s="6"/>
      <c r="F5" s="6"/>
      <c r="G5" s="6"/>
      <c r="H5" s="6"/>
      <c r="I5" s="6"/>
    </row>
    <row r="6" spans="1:12" ht="145" x14ac:dyDescent="0.35">
      <c r="A6" s="1">
        <v>5</v>
      </c>
      <c r="B6" s="2" t="s">
        <v>59</v>
      </c>
      <c r="C6" s="3" t="s">
        <v>60</v>
      </c>
      <c r="D6" s="3" t="s">
        <v>61</v>
      </c>
      <c r="E6" s="3" t="s">
        <v>46</v>
      </c>
      <c r="F6" s="3" t="s">
        <v>47</v>
      </c>
      <c r="G6" s="3" t="s">
        <v>48</v>
      </c>
      <c r="H6" s="3" t="s">
        <v>49</v>
      </c>
      <c r="I6" s="3" t="s">
        <v>62</v>
      </c>
    </row>
  </sheetData>
  <hyperlinks>
    <hyperlink ref="B4" r:id="rId1" xr:uid="{9546FA7E-EBA8-48E9-81B7-06B7D7E594F1}"/>
    <hyperlink ref="B5" r:id="rId2" xr:uid="{EB9A1EE8-6814-4A5D-9E96-94D6D56327FE}"/>
    <hyperlink ref="B2" r:id="rId3" xr:uid="{B0DCB40F-A54B-41B3-A693-B27B964D2983}"/>
    <hyperlink ref="B3" r:id="rId4" xr:uid="{6F7775F0-1F72-47A6-A3B4-B5D5B7BAC58C}"/>
  </hyperlinks>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F0B910-AB79-40BD-A3CF-61283D70D907}">
  <sheetPr codeName="Sheet24">
    <tabColor rgb="FF0070C0"/>
  </sheetPr>
  <dimension ref="A1"/>
  <sheetViews>
    <sheetView workbookViewId="0"/>
  </sheetViews>
  <sheetFormatPr defaultRowHeight="14.5" x14ac:dyDescent="0.3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25</vt:i4>
      </vt:variant>
    </vt:vector>
  </HeadingPairs>
  <TitlesOfParts>
    <vt:vector size="25" baseType="lpstr">
      <vt:lpstr>1. OVERVIEW</vt:lpstr>
      <vt:lpstr>GWP RESULTS (COMPONENT)</vt:lpstr>
      <vt:lpstr>GWP RESULTS (DATA SOURCE)</vt:lpstr>
      <vt:lpstr>U &amp; R VALUE</vt:lpstr>
      <vt:lpstr>MASS PER M2</vt:lpstr>
      <vt:lpstr>SCENARIO ASSUMPTIONS</vt:lpstr>
      <vt:lpstr>MASTER COLUMN DESC</vt:lpstr>
      <vt:lpstr>SYSTEM BUILDER OUTPUT</vt:lpstr>
      <vt:lpstr>COMPLETE SYSTEM BUILDER</vt:lpstr>
      <vt:lpstr>COMPONENT PIVOT REF</vt:lpstr>
      <vt:lpstr>INT FINISH</vt:lpstr>
      <vt:lpstr>EXT FINISH</vt:lpstr>
      <vt:lpstr>BASE GWP BREAKDOWN</vt:lpstr>
      <vt:lpstr>BASE SYSTEMS</vt:lpstr>
      <vt:lpstr>SYSTEM MASTER</vt:lpstr>
      <vt:lpstr>MATERIALS</vt:lpstr>
      <vt:lpstr>LCA SYSTEMS</vt:lpstr>
      <vt:lpstr>BUILT UP PANELS</vt:lpstr>
      <vt:lpstr>BASE EPD VALUES</vt:lpstr>
      <vt:lpstr>EPD REPOSITORY</vt:lpstr>
      <vt:lpstr>RAW GWP FOSSIL</vt:lpstr>
      <vt:lpstr>GWP NORMALISED</vt:lpstr>
      <vt:lpstr>NORMALISATION FACTORS</vt:lpstr>
      <vt:lpstr>EPD DATABASES</vt:lpstr>
      <vt:lpstr>4. ACADEMIC STUDIES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Carter Powers</dc:creator>
  <cp:lastModifiedBy>Carter Powers</cp:lastModifiedBy>
  <dcterms:created xsi:type="dcterms:W3CDTF">2015-06-05T18:17:20Z</dcterms:created>
  <dcterms:modified xsi:type="dcterms:W3CDTF">2025-08-01T23:08:31Z</dcterms:modified>
</cp:coreProperties>
</file>