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Wall Systems" sheetId="1" state="visible" r:id="rId3"/>
    <sheet name="Cladding Systems" sheetId="2" state="visible" r:id="rId4"/>
    <sheet name="Slab Systems" sheetId="3" state="visible" r:id="rId5"/>
    <sheet name="Wall Systems (A4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<sst xmlns="http://schemas.openxmlformats.org/spreadsheetml/2006/main" count="655" uniqueCount="165">
  <si>
    <t xml:space="preserve">System Category</t>
  </si>
  <si>
    <t xml:space="preserve">System ID</t>
  </si>
  <si>
    <t xml:space="preserve">MMC Method</t>
  </si>
  <si>
    <t xml:space="preserve">System Name</t>
  </si>
  <si>
    <t xml:space="preserve">Source Header</t>
  </si>
  <si>
    <t xml:space="preserve">Layer No.</t>
  </si>
  <si>
    <t xml:space="preserve">Functional Role</t>
  </si>
  <si>
    <t xml:space="preserve">Generic Material</t>
  </si>
  <si>
    <t xml:space="preserve">Length (m)</t>
  </si>
  <si>
    <t xml:space="preserve">Height (m)</t>
  </si>
  <si>
    <t xml:space="preserve">Thickness (m)</t>
  </si>
  <si>
    <r>
      <rPr>
        <b val="true"/>
        <sz val="11"/>
        <color theme="3"/>
        <rFont val="Calibri"/>
        <family val="2"/>
        <charset val="162"/>
      </rPr>
      <t xml:space="preserve">Element Volume (m</t>
    </r>
    <r>
      <rPr>
        <b val="true"/>
        <vertAlign val="superscript"/>
        <sz val="11"/>
        <color theme="3"/>
        <rFont val="Calibri"/>
        <family val="2"/>
        <charset val="162"/>
      </rPr>
      <t xml:space="preserve">3</t>
    </r>
    <r>
      <rPr>
        <b val="true"/>
        <sz val="11"/>
        <color theme="3"/>
        <rFont val="Calibri"/>
        <family val="2"/>
        <charset val="162"/>
      </rPr>
      <t xml:space="preserve">)</t>
    </r>
  </si>
  <si>
    <t xml:space="preserve">Element Number</t>
  </si>
  <si>
    <r>
      <rPr>
        <b val="true"/>
        <sz val="11"/>
        <color theme="3"/>
        <rFont val="Calibri"/>
        <family val="2"/>
        <charset val="162"/>
      </rPr>
      <t xml:space="preserve">Total Volume (m</t>
    </r>
    <r>
      <rPr>
        <b val="true"/>
        <vertAlign val="superscript"/>
        <sz val="11"/>
        <color theme="3"/>
        <rFont val="Calibri"/>
        <family val="2"/>
        <charset val="162"/>
      </rPr>
      <t xml:space="preserve">3</t>
    </r>
    <r>
      <rPr>
        <b val="true"/>
        <sz val="11"/>
        <color theme="3"/>
        <rFont val="Calibri"/>
        <family val="2"/>
        <charset val="162"/>
      </rPr>
      <t xml:space="preserve">)</t>
    </r>
  </si>
  <si>
    <r>
      <rPr>
        <b val="true"/>
        <sz val="11"/>
        <color theme="3"/>
        <rFont val="Calibri"/>
        <family val="2"/>
        <charset val="162"/>
      </rPr>
      <t xml:space="preserve">Density (kg.m</t>
    </r>
    <r>
      <rPr>
        <b val="true"/>
        <vertAlign val="superscript"/>
        <sz val="11"/>
        <color theme="3"/>
        <rFont val="Calibri"/>
        <family val="2"/>
        <charset val="162"/>
      </rPr>
      <t xml:space="preserve">3</t>
    </r>
    <r>
      <rPr>
        <b val="true"/>
        <sz val="11"/>
        <color theme="3"/>
        <rFont val="Calibri"/>
        <family val="2"/>
        <charset val="162"/>
      </rPr>
      <t xml:space="preserve">)</t>
    </r>
  </si>
  <si>
    <t xml:space="preserve">Mass (kg/m²)</t>
  </si>
  <si>
    <t xml:space="preserve">Carbon Factor</t>
  </si>
  <si>
    <t xml:space="preserve">A1–A3 (kgCO₂e / 5.76 m²)</t>
  </si>
  <si>
    <t xml:space="preserve">A1–A3 (kgCO₂e/m²)</t>
  </si>
  <si>
    <t xml:space="preserve">Wall</t>
  </si>
  <si>
    <t xml:space="preserve">WALL_001</t>
  </si>
  <si>
    <t xml:space="preserve">LGS (Light Gauge Steel)</t>
  </si>
  <si>
    <t xml:space="preserve">2D LGS Exterior Wall Panel</t>
  </si>
  <si>
    <t xml:space="preserve">A1-A3 Walls</t>
  </si>
  <si>
    <t xml:space="preserve">Structural framing – stud</t>
  </si>
  <si>
    <t xml:space="preserve">Wall Stud</t>
  </si>
  <si>
    <t xml:space="preserve">Structural framing – track (U-channel)</t>
  </si>
  <si>
    <t xml:space="preserve">Wall Track</t>
  </si>
  <si>
    <t xml:space="preserve">Blocking / nogging</t>
  </si>
  <si>
    <t xml:space="preserve">Noggin</t>
  </si>
  <si>
    <t xml:space="preserve">Lateral bracing / cross-brace</t>
  </si>
  <si>
    <t xml:space="preserve">Diagonal Crossbrace</t>
  </si>
  <si>
    <t xml:space="preserve">Cavity insulation (thermal/acoustic)</t>
  </si>
  <si>
    <t xml:space="preserve">Mineral Wool Insulation</t>
  </si>
  <si>
    <t xml:space="preserve">Rigid board insulation (PIR)</t>
  </si>
  <si>
    <t xml:space="preserve">PIR Insulation</t>
  </si>
  <si>
    <t xml:space="preserve">Breather / air-water barrier (membrane)</t>
  </si>
  <si>
    <t xml:space="preserve">Weather Membrane (Tyvek = 60g/m2)</t>
  </si>
  <si>
    <t xml:space="preserve">WALL_002</t>
  </si>
  <si>
    <t xml:space="preserve">Timber</t>
  </si>
  <si>
    <t xml:space="preserve">2D Timber Panel</t>
  </si>
  <si>
    <t xml:space="preserve">Structural framing – plates</t>
  </si>
  <si>
    <t xml:space="preserve">Top &amp; Bottom Plate</t>
  </si>
  <si>
    <t xml:space="preserve">Structural sheathing / racking</t>
  </si>
  <si>
    <t xml:space="preserve">OSB Sheathing</t>
  </si>
  <si>
    <t xml:space="preserve">Weather Membrane (Tyvek 60g/m2)</t>
  </si>
  <si>
    <t xml:space="preserve">WALL_003</t>
  </si>
  <si>
    <t xml:space="preserve">ICF (Insulating Concrete Formwork)</t>
  </si>
  <si>
    <t xml:space="preserve">300 mm ICF</t>
  </si>
  <si>
    <t xml:space="preserve">Permanent formwork / insulation (ICF skin)</t>
  </si>
  <si>
    <t xml:space="preserve">EPS (2 × 75 mm)</t>
  </si>
  <si>
    <t xml:space="preserve">Structural core (cast-in-place concrete)</t>
  </si>
  <si>
    <t xml:space="preserve">Concrete core</t>
  </si>
  <si>
    <t xml:space="preserve">Reinforcement (rebar)</t>
  </si>
  <si>
    <t xml:space="preserve">Steel rebar</t>
  </si>
  <si>
    <t xml:space="preserve">ICF form ties / webs</t>
  </si>
  <si>
    <t xml:space="preserve">Polypropylene webs</t>
  </si>
  <si>
    <t xml:space="preserve">Waterproof membrane (Tyvek 60g/m2)</t>
  </si>
  <si>
    <t xml:space="preserve">WALL_004</t>
  </si>
  <si>
    <t xml:space="preserve">Concrete Block</t>
  </si>
  <si>
    <t xml:space="preserve">Standard Masonry</t>
  </si>
  <si>
    <t xml:space="preserve">Masonry unit (concrete block) + bonding mortar</t>
  </si>
  <si>
    <t xml:space="preserve">Medium density concrete block w/ mortar 1:4 cement</t>
  </si>
  <si>
    <t xml:space="preserve">Mineral Wool</t>
  </si>
  <si>
    <t xml:space="preserve">PIR</t>
  </si>
  <si>
    <t xml:space="preserve">Carbon Factor Unit</t>
  </si>
  <si>
    <t xml:space="preserve">Total GWP (kgCO₂e)</t>
  </si>
  <si>
    <t xml:space="preserve">Thermal Conductivity (W/m·K)</t>
  </si>
  <si>
    <t xml:space="preserve">R‑Value (m²·K/W)</t>
  </si>
  <si>
    <t xml:space="preserve">U‑Value (W/m²·K)</t>
  </si>
  <si>
    <t xml:space="preserve">Life Expectancy (years)</t>
  </si>
  <si>
    <t xml:space="preserve">Cladding</t>
  </si>
  <si>
    <t xml:space="preserve">CLAD_001</t>
  </si>
  <si>
    <t xml:space="preserve">Clay Brick Cladding</t>
  </si>
  <si>
    <t xml:space="preserve">A1-A3 Cladding</t>
  </si>
  <si>
    <t xml:space="preserve">Outer leaf – brick veneer</t>
  </si>
  <si>
    <t xml:space="preserve">Clay brick</t>
  </si>
  <si>
    <t xml:space="preserve">kg</t>
  </si>
  <si>
    <t xml:space="preserve">Masonry bonding mortar (bed &amp; perp joints)</t>
  </si>
  <si>
    <t xml:space="preserve">Mortar (1:4 cement to sand)</t>
  </si>
  <si>
    <t xml:space="preserve">Cavity tray / DPC (stainless)</t>
  </si>
  <si>
    <t xml:space="preserve">Stainless Steel Cavity Track x2</t>
  </si>
  <si>
    <t xml:space="preserve">1.2 thick x 54 wide x 1000 long</t>
  </si>
  <si>
    <t xml:space="preserve">Wall ties (outer-to-inner leaf)</t>
  </si>
  <si>
    <t xml:space="preserve">Cavity Ties</t>
  </si>
  <si>
    <t xml:space="preserve">CLAD_002</t>
  </si>
  <si>
    <t xml:space="preserve">Concrete Brick Cladding</t>
  </si>
  <si>
    <t xml:space="preserve">Outer leaf – concrete brick veneer</t>
  </si>
  <si>
    <t xml:space="preserve">Concrete Brick</t>
  </si>
  <si>
    <t xml:space="preserve">50+ </t>
  </si>
  <si>
    <t xml:space="preserve">CLAD_003</t>
  </si>
  <si>
    <t xml:space="preserve">AC Block 7.5n Cladding</t>
  </si>
  <si>
    <t xml:space="preserve">Masonry unit – AAC block</t>
  </si>
  <si>
    <t xml:space="preserve">AAC Block</t>
  </si>
  <si>
    <t xml:space="preserve">50+</t>
  </si>
  <si>
    <t xml:space="preserve">Render / basecoat</t>
  </si>
  <si>
    <t xml:space="preserve">Mortar (1:4)</t>
  </si>
  <si>
    <t xml:space="preserve">15-25</t>
  </si>
  <si>
    <t xml:space="preserve">Render reinforcement mesh</t>
  </si>
  <si>
    <t xml:space="preserve">Vertex Fiberglass Reinforcing Mesh</t>
  </si>
  <si>
    <t xml:space="preserve">m2</t>
  </si>
  <si>
    <t xml:space="preserve">CLAD_004</t>
  </si>
  <si>
    <t xml:space="preserve">AAC Block 3.6n Cladding</t>
  </si>
  <si>
    <t xml:space="preserve">2.5 per m2</t>
  </si>
  <si>
    <t xml:space="preserve">CLAD_005</t>
  </si>
  <si>
    <t xml:space="preserve">AAC Block 2.9n Cladding</t>
  </si>
  <si>
    <t xml:space="preserve">CLAD_006</t>
  </si>
  <si>
    <t xml:space="preserve">Render</t>
  </si>
  <si>
    <t xml:space="preserve">CLAD_007</t>
  </si>
  <si>
    <t xml:space="preserve">Cement Board Siding</t>
  </si>
  <si>
    <t xml:space="preserve">Cladding panel – cement board</t>
  </si>
  <si>
    <t xml:space="preserve">Cement Board</t>
  </si>
  <si>
    <t xml:space="preserve">Battens / subframe</t>
  </si>
  <si>
    <t xml:space="preserve">Treated Softwood Batten</t>
  </si>
  <si>
    <t xml:space="preserve">25 x 50</t>
  </si>
  <si>
    <t xml:space="preserve">m3</t>
  </si>
  <si>
    <t xml:space="preserve">Mechanical fixings</t>
  </si>
  <si>
    <t xml:space="preserve">Fasteners</t>
  </si>
  <si>
    <t xml:space="preserve">CLAD_008</t>
  </si>
  <si>
    <t xml:space="preserve">Wood Siding (horizontal)</t>
  </si>
  <si>
    <t xml:space="preserve">Cladding boards – timber</t>
  </si>
  <si>
    <t xml:space="preserve">Timber Siding Boards</t>
  </si>
  <si>
    <t xml:space="preserve">Battens / subframe (double; counter-battened)</t>
  </si>
  <si>
    <t xml:space="preserve">Treated Softwood Batten x 2</t>
  </si>
  <si>
    <t xml:space="preserve">Finish – protective/decorative coating</t>
  </si>
  <si>
    <t xml:space="preserve">Paint/Stain</t>
  </si>
  <si>
    <t xml:space="preserve">CLAD_009</t>
  </si>
  <si>
    <t xml:space="preserve">Wood Siding (vertical)</t>
  </si>
  <si>
    <t xml:space="preserve">Brick Slip Rail</t>
  </si>
  <si>
    <t xml:space="preserve">Cladding system – brick slips on rails</t>
  </si>
  <si>
    <t xml:space="preserve">Brick Slips on Metal Rail (Rainscreen)</t>
  </si>
  <si>
    <t xml:space="preserve">Number of Webs</t>
  </si>
  <si>
    <t xml:space="preserve">Single Web Mass</t>
  </si>
  <si>
    <t xml:space="preserve">Width (m)</t>
  </si>
  <si>
    <t xml:space="preserve">Mass (kg / 5.76 m²)</t>
  </si>
  <si>
    <t xml:space="preserve">Slab</t>
  </si>
  <si>
    <t xml:space="preserve">SLAB_001</t>
  </si>
  <si>
    <t xml:space="preserve">Timber Frame SJ90 I-Joist (39 x 90) 300
BoQ</t>
  </si>
  <si>
    <t xml:space="preserve">A1-A3 Slabs</t>
  </si>
  <si>
    <t xml:space="preserve">Deck sheathing (OSB)</t>
  </si>
  <si>
    <t xml:space="preserve">OSB sheet above the slab</t>
  </si>
  <si>
    <t xml:space="preserve">Mineral wool</t>
  </si>
  <si>
    <t xml:space="preserve">Joist stiffener (LVL)</t>
  </si>
  <si>
    <t xml:space="preserve">Laminated Veneer Lumber (400 spacing)</t>
  </si>
  <si>
    <t xml:space="preserve">Joist web (OSB)</t>
  </si>
  <si>
    <t xml:space="preserve">OSB sheet (Joist central element)</t>
  </si>
  <si>
    <t xml:space="preserve">SLAB_002</t>
  </si>
  <si>
    <t xml:space="preserve">Timber Frame WebJoist SJ12 304
BoQ</t>
  </si>
  <si>
    <t xml:space="preserve">Joist chord (TR26 timber; top &amp; bottom chords @ 400 c/c)</t>
  </si>
  <si>
    <t xml:space="preserve">TR 26 Timber (47 x 97 - 400 spacing)</t>
  </si>
  <si>
    <t xml:space="preserve">Rim board / Edge joist (perimeter member)</t>
  </si>
  <si>
    <t xml:space="preserve">End timber element (47 x 97)</t>
  </si>
  <si>
    <t xml:space="preserve">Blocking / Bearing stiffeners (vertical blocks at supports &amp; openings)</t>
  </si>
  <si>
    <t xml:space="preserve">Vertical timber elements (47 x 97)</t>
  </si>
  <si>
    <t xml:space="preserve">Joist web (metal lattice; 304 mm deep)</t>
  </si>
  <si>
    <t xml:space="preserve">Metal web (SJ12 - 304 mm)</t>
  </si>
  <si>
    <t xml:space="preserve">Distance Traveled (km)</t>
  </si>
  <si>
    <t xml:space="preserve">Weight per m² (kg)</t>
  </si>
  <si>
    <t xml:space="preserve">Total Weight for 500 m² (tonnes)</t>
  </si>
  <si>
    <t xml:space="preserve">Carbon Factor - Outward (50% laden)</t>
  </si>
  <si>
    <t xml:space="preserve">Outbound Emissions (kgCO₂e)</t>
  </si>
  <si>
    <t xml:space="preserve">Carbon Factor - Return (Empty)</t>
  </si>
  <si>
    <t xml:space="preserve">Return Emissions (kgCO₂e)</t>
  </si>
  <si>
    <t xml:space="preserve">Total per Truck (kgCO₂e)</t>
  </si>
  <si>
    <t xml:space="preserve">A4 (kgCO₂e/m²)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</si>
</sst>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.000"/>
    <numFmt numFmtId="167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3"/>
      <name val="Calibri"/>
      <family val="2"/>
      <charset val="162"/>
    </font>
    <font>
      <b val="true"/>
      <vertAlign val="superscript"/>
      <sz val="11"/>
      <color theme="3"/>
      <name val="Calibri"/>
      <family val="2"/>
      <charset val="162"/>
    </font>
    <font>
      <sz val="11"/>
      <color theme="1"/>
      <name val="Calibri"/>
      <family val="2"/>
      <charset val="162"/>
    </font>
    <font>
      <b val="true"/>
      <sz val="10"/>
      <color theme="3"/>
      <name val="Calibri"/>
      <family val="2"/>
      <charset val="1"/>
    </font>
    <font>
      <sz val="10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6" tint="0.5999"/>
        <bgColor rgb="FFE6E0EC"/>
      </patternFill>
    </fill>
    <fill>
      <patternFill patternType="solid">
        <fgColor theme="5" tint="0.5999"/>
        <bgColor rgb="FFCCC1DA"/>
      </patternFill>
    </fill>
    <fill>
      <patternFill patternType="solid">
        <fgColor theme="9" tint="0.5999"/>
        <bgColor rgb="FFF2DCDB"/>
      </patternFill>
    </fill>
    <fill>
      <patternFill patternType="solid">
        <fgColor theme="8" tint="0.7999"/>
        <bgColor rgb="FFE6E0EC"/>
      </patternFill>
    </fill>
    <fill>
      <patternFill patternType="solid">
        <fgColor theme="7" tint="0.5999"/>
        <bgColor rgb="FFE6B9B8"/>
      </patternFill>
    </fill>
    <fill>
      <patternFill patternType="solid">
        <fgColor theme="7" tint="0.7999"/>
        <bgColor rgb="FFF2DCDB"/>
      </patternFill>
    </fill>
    <fill>
      <patternFill patternType="solid">
        <fgColor theme="9" tint="0.7999"/>
        <bgColor rgb="FFF2DCDB"/>
      </patternFill>
    </fill>
    <fill>
      <patternFill patternType="solid">
        <fgColor theme="5" tint="0.7999"/>
        <bgColor rgb="FFE6E0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  <xf numFmtId="164" fontId="6" fillId="4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6" fillId="6" borderId="0" applyFont="true" applyBorder="false" applyAlignment="true" applyProtection="false">
      <alignment horizontal="general" vertical="bottom" textRotation="0" wrapText="false" indent="0" shrinkToFit="false"/>
    </xf>
    <xf numFmtId="164" fontId="6" fillId="7" borderId="0" applyFont="true" applyBorder="false" applyAlignment="true" applyProtection="false">
      <alignment horizontal="general" vertical="bottom" textRotation="0" wrapText="false" indent="0" shrinkToFit="false"/>
    </xf>
    <xf numFmtId="164" fontId="6" fillId="8" borderId="0" applyFont="true" applyBorder="false" applyAlignment="true" applyProtection="false">
      <alignment horizontal="general" vertical="bottom" textRotation="0" wrapText="false" indent="0" shrinkToFit="false"/>
    </xf>
    <xf numFmtId="164" fontId="6" fillId="9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" fillId="4" borderId="0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4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4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8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27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Heading 4" xfId="20"/>
    <cellStyle name="Excel Built-in 40% - Accent3" xfId="21"/>
    <cellStyle name="Excel Built-in 40% - Accent2" xfId="22"/>
    <cellStyle name="Excel Built-in 40% - Accent6" xfId="23"/>
    <cellStyle name="Excel Built-in 20% - Accent5" xfId="24"/>
    <cellStyle name="Excel Built-in 40% - Accent4" xfId="25"/>
    <cellStyle name="Excel Built-in 20% - Accent4" xfId="26"/>
    <cellStyle name="Excel Built-in 20% - Accent6" xfId="27"/>
    <cellStyle name="Excel Built-in 20% - Accent2" xfId="28"/>
  </cellStyles>
  <colors>
    <indexedColors>
      <rgbColor rgb="FF000000"/>
      <rgbColor rgb="FFF2DCD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DEADA"/>
      <rgbColor rgb="FFDBEEF4"/>
      <rgbColor rgb="FF660066"/>
      <rgbColor rgb="FFFF8080"/>
      <rgbColor rgb="FF0066CC"/>
      <rgbColor rgb="FFE6E0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E6B9B8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20.71"/>
    <col collapsed="false" customWidth="true" hidden="false" outlineLevel="0" max="6" min="6" style="0" width="10.71"/>
    <col collapsed="false" customWidth="true" hidden="false" outlineLevel="0" max="7" min="7" style="0" width="40.71"/>
    <col collapsed="false" customWidth="true" hidden="false" outlineLevel="0" max="16" min="8" style="0" width="20.71"/>
    <col collapsed="false" customWidth="true" hidden="false" outlineLevel="0" max="17" min="17" style="0" width="30.71"/>
    <col collapsed="false" customWidth="true" hidden="false" outlineLevel="0" max="18" min="18" style="0" width="25.71"/>
    <col collapsed="false" customWidth="true" hidden="false" outlineLevel="0" max="19" min="19" style="0" width="22.71"/>
  </cols>
  <sheetData>
    <row r="1" s="2" customFormat="true" ht="39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="3" customFormat="true" ht="15" hidden="false" customHeight="false" outlineLevel="0" collapsed="false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n">
        <v>1</v>
      </c>
      <c r="G2" s="3" t="s">
        <v>24</v>
      </c>
      <c r="H2" s="3" t="s">
        <v>25</v>
      </c>
      <c r="I2" s="3" t="n">
        <v>0.179</v>
      </c>
      <c r="J2" s="3" t="n">
        <v>2.4</v>
      </c>
      <c r="K2" s="3" t="n">
        <v>0.0012</v>
      </c>
      <c r="L2" s="3" t="n">
        <f aca="false">PRODUCT(I2:K2)</f>
        <v>0.00051552</v>
      </c>
      <c r="M2" s="3" t="n">
        <v>5</v>
      </c>
      <c r="N2" s="3" t="n">
        <f aca="false">PRODUCT(L2:M2)</f>
        <v>0.0025776</v>
      </c>
      <c r="O2" s="3" t="n">
        <v>7800</v>
      </c>
      <c r="P2" s="4" t="n">
        <f aca="false">PRODUCT(N2:O2)</f>
        <v>20.10528</v>
      </c>
      <c r="Q2" s="3" t="n">
        <v>2.71</v>
      </c>
      <c r="R2" s="4" t="n">
        <f aca="false">PRODUCT(P2:Q2)</f>
        <v>54.4853088</v>
      </c>
      <c r="S2" s="4" t="n">
        <v>9.46</v>
      </c>
    </row>
    <row r="3" s="3" customFormat="true" ht="15" hidden="false" customHeight="false" outlineLevel="0" collapsed="false">
      <c r="A3" s="3" t="s">
        <v>19</v>
      </c>
      <c r="B3" s="3" t="s">
        <v>20</v>
      </c>
      <c r="C3" s="3" t="s">
        <v>21</v>
      </c>
      <c r="D3" s="3" t="s">
        <v>22</v>
      </c>
      <c r="E3" s="3" t="s">
        <v>23</v>
      </c>
      <c r="F3" s="3" t="n">
        <v>2</v>
      </c>
      <c r="G3" s="3" t="s">
        <v>26</v>
      </c>
      <c r="H3" s="3" t="s">
        <v>27</v>
      </c>
      <c r="I3" s="3" t="n">
        <v>0.179</v>
      </c>
      <c r="J3" s="3" t="n">
        <v>2.4</v>
      </c>
      <c r="K3" s="3" t="n">
        <v>0.0012</v>
      </c>
      <c r="L3" s="3" t="n">
        <f aca="false">PRODUCT(I3:K3)</f>
        <v>0.00051552</v>
      </c>
      <c r="M3" s="3" t="n">
        <v>2</v>
      </c>
      <c r="N3" s="3" t="n">
        <f aca="false">PRODUCT(L3:M3)</f>
        <v>0.00103104</v>
      </c>
      <c r="O3" s="3" t="n">
        <v>7800</v>
      </c>
      <c r="P3" s="4" t="n">
        <f aca="false">PRODUCT(N3:O3)</f>
        <v>8.042112</v>
      </c>
      <c r="Q3" s="3" t="n">
        <v>2.71</v>
      </c>
      <c r="R3" s="4" t="n">
        <f aca="false">PRODUCT(P3:Q3)</f>
        <v>21.79412352</v>
      </c>
      <c r="S3" s="4" t="n">
        <v>3.99</v>
      </c>
    </row>
    <row r="4" s="3" customFormat="true" ht="15" hidden="false" customHeight="false" outlineLevel="0" collapsed="false">
      <c r="A4" s="3" t="s">
        <v>19</v>
      </c>
      <c r="B4" s="3" t="s">
        <v>20</v>
      </c>
      <c r="C4" s="3" t="s">
        <v>21</v>
      </c>
      <c r="D4" s="3" t="s">
        <v>22</v>
      </c>
      <c r="E4" s="3" t="s">
        <v>23</v>
      </c>
      <c r="F4" s="3" t="n">
        <v>3</v>
      </c>
      <c r="G4" s="3" t="s">
        <v>28</v>
      </c>
      <c r="H4" s="3" t="s">
        <v>29</v>
      </c>
      <c r="I4" s="3" t="n">
        <v>0.179</v>
      </c>
      <c r="J4" s="3" t="n">
        <v>2.4</v>
      </c>
      <c r="K4" s="3" t="n">
        <v>0.0012</v>
      </c>
      <c r="L4" s="3" t="n">
        <f aca="false">PRODUCT(I4:K4)</f>
        <v>0.00051552</v>
      </c>
      <c r="M4" s="3" t="n">
        <v>1</v>
      </c>
      <c r="N4" s="3" t="n">
        <f aca="false">PRODUCT(L4:M4)</f>
        <v>0.00051552</v>
      </c>
      <c r="O4" s="3" t="n">
        <v>7800</v>
      </c>
      <c r="P4" s="4" t="n">
        <f aca="false">PRODUCT(N4:O4)</f>
        <v>4.021056</v>
      </c>
      <c r="Q4" s="3" t="n">
        <v>2.71</v>
      </c>
      <c r="R4" s="4" t="n">
        <f aca="false">PRODUCT(P4:Q4)</f>
        <v>10.89706176</v>
      </c>
      <c r="S4" s="4" t="n">
        <v>1.89</v>
      </c>
    </row>
    <row r="5" s="3" customFormat="true" ht="15" hidden="false" customHeight="false" outlineLevel="0" collapsed="false">
      <c r="A5" s="3" t="s">
        <v>19</v>
      </c>
      <c r="B5" s="3" t="s">
        <v>20</v>
      </c>
      <c r="C5" s="3" t="s">
        <v>21</v>
      </c>
      <c r="D5" s="3" t="s">
        <v>22</v>
      </c>
      <c r="E5" s="3" t="s">
        <v>23</v>
      </c>
      <c r="F5" s="3" t="n">
        <v>4</v>
      </c>
      <c r="G5" s="3" t="s">
        <v>30</v>
      </c>
      <c r="H5" s="3" t="s">
        <v>31</v>
      </c>
      <c r="I5" s="3" t="n">
        <v>0.03</v>
      </c>
      <c r="J5" s="3" t="n">
        <v>3.39</v>
      </c>
      <c r="K5" s="3" t="n">
        <v>0.0012</v>
      </c>
      <c r="L5" s="3" t="n">
        <f aca="false">PRODUCT(I5:K5)</f>
        <v>0.00012204</v>
      </c>
      <c r="M5" s="3" t="n">
        <v>2</v>
      </c>
      <c r="N5" s="3" t="n">
        <f aca="false">PRODUCT(L5:M5)</f>
        <v>0.00024408</v>
      </c>
      <c r="O5" s="3" t="n">
        <v>7800</v>
      </c>
      <c r="P5" s="4" t="n">
        <f aca="false">PRODUCT(N5:O5)</f>
        <v>1.903824</v>
      </c>
      <c r="Q5" s="3" t="n">
        <v>2.71</v>
      </c>
      <c r="R5" s="4" t="n">
        <f aca="false">PRODUCT(P5:Q5)</f>
        <v>5.15936304</v>
      </c>
      <c r="S5" s="4" t="n">
        <v>0.9</v>
      </c>
    </row>
    <row r="6" s="3" customFormat="true" ht="15" hidden="false" customHeight="false" outlineLevel="0" collapsed="false">
      <c r="A6" s="3" t="s">
        <v>19</v>
      </c>
      <c r="B6" s="3" t="s">
        <v>20</v>
      </c>
      <c r="C6" s="3" t="s">
        <v>21</v>
      </c>
      <c r="D6" s="3" t="s">
        <v>22</v>
      </c>
      <c r="E6" s="3" t="s">
        <v>23</v>
      </c>
      <c r="F6" s="3" t="n">
        <v>5</v>
      </c>
      <c r="G6" s="3" t="s">
        <v>32</v>
      </c>
      <c r="H6" s="3" t="s">
        <v>33</v>
      </c>
      <c r="I6" s="3" t="n">
        <v>0.6</v>
      </c>
      <c r="J6" s="3" t="n">
        <v>2.4</v>
      </c>
      <c r="K6" s="3" t="n">
        <v>0.09</v>
      </c>
      <c r="L6" s="3" t="n">
        <f aca="false">PRODUCT(I6:K6)</f>
        <v>0.1296</v>
      </c>
      <c r="M6" s="3" t="n">
        <v>4</v>
      </c>
      <c r="N6" s="3" t="n">
        <f aca="false">PRODUCT(L6:M6)</f>
        <v>0.5184</v>
      </c>
      <c r="O6" s="3" t="n">
        <v>80</v>
      </c>
      <c r="P6" s="4" t="n">
        <f aca="false">PRODUCT(N6:O6)</f>
        <v>41.472</v>
      </c>
      <c r="Q6" s="3" t="n">
        <v>1.25</v>
      </c>
      <c r="R6" s="4" t="n">
        <f aca="false">PRODUCT(P6:Q6)</f>
        <v>51.84</v>
      </c>
      <c r="S6" s="4" t="n">
        <f aca="false">QUOTIENT(R6, 5.76)</f>
        <v>8</v>
      </c>
    </row>
    <row r="7" s="3" customFormat="true" ht="15" hidden="false" customHeight="false" outlineLevel="0" collapsed="false">
      <c r="A7" s="3" t="s">
        <v>19</v>
      </c>
      <c r="B7" s="3" t="s">
        <v>20</v>
      </c>
      <c r="C7" s="3" t="s">
        <v>21</v>
      </c>
      <c r="D7" s="3" t="s">
        <v>22</v>
      </c>
      <c r="E7" s="3" t="s">
        <v>23</v>
      </c>
      <c r="F7" s="3" t="n">
        <v>6</v>
      </c>
      <c r="G7" s="3" t="s">
        <v>34</v>
      </c>
      <c r="H7" s="3" t="s">
        <v>35</v>
      </c>
      <c r="I7" s="3" t="n">
        <v>2.4</v>
      </c>
      <c r="J7" s="3" t="n">
        <v>1.2</v>
      </c>
      <c r="K7" s="3" t="n">
        <v>0.08</v>
      </c>
      <c r="L7" s="3" t="n">
        <f aca="false">PRODUCT(I7:K7)</f>
        <v>0.2304</v>
      </c>
      <c r="M7" s="3" t="n">
        <v>2</v>
      </c>
      <c r="N7" s="3" t="n">
        <f aca="false">PRODUCT(L7:M7)</f>
        <v>0.4608</v>
      </c>
      <c r="O7" s="3" t="n">
        <v>32</v>
      </c>
      <c r="P7" s="4" t="n">
        <f aca="false">PRODUCT(N7:O7)</f>
        <v>14.7456</v>
      </c>
      <c r="Q7" s="3" t="n">
        <v>3.089</v>
      </c>
      <c r="R7" s="4" t="n">
        <f aca="false">PRODUCT(P7:Q7)</f>
        <v>45.5491584</v>
      </c>
      <c r="S7" s="4" t="n">
        <v>7.91</v>
      </c>
    </row>
    <row r="8" s="3" customFormat="true" ht="15" hidden="false" customHeight="false" outlineLevel="0" collapsed="false">
      <c r="A8" s="3" t="s">
        <v>19</v>
      </c>
      <c r="B8" s="3" t="s">
        <v>20</v>
      </c>
      <c r="C8" s="3" t="s">
        <v>21</v>
      </c>
      <c r="D8" s="3" t="s">
        <v>22</v>
      </c>
      <c r="E8" s="3" t="s">
        <v>23</v>
      </c>
      <c r="F8" s="3" t="n">
        <v>7</v>
      </c>
      <c r="G8" s="3" t="s">
        <v>36</v>
      </c>
      <c r="H8" s="3" t="s">
        <v>37</v>
      </c>
      <c r="I8" s="3" t="n">
        <v>2.4</v>
      </c>
      <c r="J8" s="3" t="n">
        <v>2.4</v>
      </c>
      <c r="P8" s="4" t="n">
        <v>0.346</v>
      </c>
      <c r="Q8" s="3" t="n">
        <v>4.2</v>
      </c>
      <c r="R8" s="4" t="n">
        <f aca="false">PRODUCT(P8:Q8)</f>
        <v>1.4532</v>
      </c>
      <c r="S8" s="4" t="n">
        <v>0.25</v>
      </c>
    </row>
    <row r="9" s="5" customFormat="true" ht="15" hidden="false" customHeight="false" outlineLevel="0" collapsed="false">
      <c r="A9" s="5" t="s">
        <v>19</v>
      </c>
      <c r="B9" s="5" t="s">
        <v>38</v>
      </c>
      <c r="C9" s="5" t="s">
        <v>39</v>
      </c>
      <c r="D9" s="5" t="s">
        <v>40</v>
      </c>
      <c r="E9" s="5" t="s">
        <v>23</v>
      </c>
      <c r="F9" s="5" t="n">
        <v>1</v>
      </c>
      <c r="G9" s="5" t="s">
        <v>24</v>
      </c>
      <c r="H9" s="5" t="s">
        <v>25</v>
      </c>
      <c r="I9" s="5" t="n">
        <v>0.038</v>
      </c>
      <c r="J9" s="5" t="n">
        <v>2.4</v>
      </c>
      <c r="K9" s="5" t="n">
        <v>0.14</v>
      </c>
      <c r="L9" s="5" t="n">
        <f aca="false">PRODUCT(I9:K9)</f>
        <v>0.012768</v>
      </c>
      <c r="M9" s="5" t="n">
        <v>5</v>
      </c>
      <c r="N9" s="5" t="n">
        <f aca="false">PRODUCT(L9:M9)</f>
        <v>0.06384</v>
      </c>
      <c r="O9" s="5" t="n">
        <v>510</v>
      </c>
      <c r="P9" s="6" t="n">
        <f aca="false">PRODUCT(N9:O9)</f>
        <v>32.5584</v>
      </c>
      <c r="Q9" s="5" t="n">
        <v>0.263</v>
      </c>
      <c r="R9" s="6" t="n">
        <f aca="false">PRODUCT(P9:Q9)</f>
        <v>8.5628592</v>
      </c>
      <c r="S9" s="6" t="n">
        <v>1.49</v>
      </c>
    </row>
    <row r="10" s="5" customFormat="true" ht="15" hidden="false" customHeight="false" outlineLevel="0" collapsed="false">
      <c r="A10" s="5" t="s">
        <v>19</v>
      </c>
      <c r="B10" s="5" t="s">
        <v>38</v>
      </c>
      <c r="C10" s="5" t="s">
        <v>39</v>
      </c>
      <c r="D10" s="5" t="s">
        <v>40</v>
      </c>
      <c r="E10" s="5" t="s">
        <v>23</v>
      </c>
      <c r="F10" s="5" t="n">
        <v>2</v>
      </c>
      <c r="G10" s="5" t="s">
        <v>41</v>
      </c>
      <c r="H10" s="5" t="s">
        <v>42</v>
      </c>
      <c r="I10" s="5" t="n">
        <v>0.038</v>
      </c>
      <c r="J10" s="5" t="n">
        <v>2.4</v>
      </c>
      <c r="K10" s="5" t="n">
        <v>0.14</v>
      </c>
      <c r="L10" s="5" t="n">
        <f aca="false">PRODUCT(I10:K10)</f>
        <v>0.012768</v>
      </c>
      <c r="M10" s="5" t="n">
        <v>2</v>
      </c>
      <c r="N10" s="5" t="n">
        <f aca="false">PRODUCT(L10:M10)</f>
        <v>0.025536</v>
      </c>
      <c r="O10" s="5" t="n">
        <v>510</v>
      </c>
      <c r="P10" s="6" t="n">
        <f aca="false">PRODUCT(N10:O10)</f>
        <v>13.02336</v>
      </c>
      <c r="Q10" s="5" t="n">
        <v>0.263</v>
      </c>
      <c r="R10" s="6" t="n">
        <f aca="false">PRODUCT(P10:Q10)</f>
        <v>3.42514368</v>
      </c>
      <c r="S10" s="6" t="n">
        <v>0.6</v>
      </c>
    </row>
    <row r="11" s="5" customFormat="true" ht="15" hidden="false" customHeight="false" outlineLevel="0" collapsed="false">
      <c r="A11" s="5" t="s">
        <v>19</v>
      </c>
      <c r="B11" s="5" t="s">
        <v>38</v>
      </c>
      <c r="C11" s="5" t="s">
        <v>39</v>
      </c>
      <c r="D11" s="5" t="s">
        <v>40</v>
      </c>
      <c r="E11" s="5" t="s">
        <v>23</v>
      </c>
      <c r="F11" s="5" t="n">
        <v>3</v>
      </c>
      <c r="G11" s="5" t="s">
        <v>28</v>
      </c>
      <c r="H11" s="5" t="s">
        <v>29</v>
      </c>
      <c r="I11" s="5" t="n">
        <v>0.038</v>
      </c>
      <c r="J11" s="5" t="n">
        <v>2.2</v>
      </c>
      <c r="K11" s="5" t="n">
        <v>0.14</v>
      </c>
      <c r="L11" s="5" t="n">
        <f aca="false">PRODUCT(I11:K11)</f>
        <v>0.011704</v>
      </c>
      <c r="M11" s="5" t="n">
        <v>1</v>
      </c>
      <c r="N11" s="5" t="n">
        <f aca="false">PRODUCT(L11:M11)</f>
        <v>0.011704</v>
      </c>
      <c r="O11" s="5" t="n">
        <v>510</v>
      </c>
      <c r="P11" s="6" t="n">
        <f aca="false">PRODUCT(N11:O11)</f>
        <v>5.96904</v>
      </c>
      <c r="Q11" s="5" t="n">
        <v>0.263</v>
      </c>
      <c r="R11" s="6" t="n">
        <f aca="false">PRODUCT(P11:Q11)</f>
        <v>1.56985752</v>
      </c>
      <c r="S11" s="6" t="n">
        <v>0.3</v>
      </c>
    </row>
    <row r="12" s="5" customFormat="true" ht="15" hidden="false" customHeight="false" outlineLevel="0" collapsed="false">
      <c r="A12" s="5" t="s">
        <v>19</v>
      </c>
      <c r="B12" s="5" t="s">
        <v>38</v>
      </c>
      <c r="C12" s="5" t="s">
        <v>39</v>
      </c>
      <c r="D12" s="5" t="s">
        <v>40</v>
      </c>
      <c r="E12" s="5" t="s">
        <v>23</v>
      </c>
      <c r="F12" s="5" t="n">
        <v>4</v>
      </c>
      <c r="G12" s="5" t="s">
        <v>43</v>
      </c>
      <c r="H12" s="5" t="s">
        <v>44</v>
      </c>
      <c r="I12" s="5" t="n">
        <v>2.4</v>
      </c>
      <c r="J12" s="5" t="n">
        <v>2.4</v>
      </c>
      <c r="K12" s="5" t="n">
        <v>0.009</v>
      </c>
      <c r="L12" s="5" t="n">
        <f aca="false">PRODUCT(I12:K12)</f>
        <v>0.05184</v>
      </c>
      <c r="M12" s="5" t="n">
        <v>1</v>
      </c>
      <c r="N12" s="5" t="n">
        <f aca="false">PRODUCT(L12:M12)</f>
        <v>0.05184</v>
      </c>
      <c r="O12" s="5" t="n">
        <v>600</v>
      </c>
      <c r="P12" s="6" t="n">
        <f aca="false">PRODUCT(N12:O12)</f>
        <v>31.104</v>
      </c>
      <c r="Q12" s="5" t="n">
        <v>0.455</v>
      </c>
      <c r="R12" s="6" t="n">
        <f aca="false">PRODUCT(P12:Q12)</f>
        <v>14.15232</v>
      </c>
      <c r="S12" s="6" t="n">
        <v>2.46</v>
      </c>
    </row>
    <row r="13" s="5" customFormat="true" ht="15" hidden="false" customHeight="false" outlineLevel="0" collapsed="false">
      <c r="A13" s="5" t="s">
        <v>19</v>
      </c>
      <c r="B13" s="5" t="s">
        <v>38</v>
      </c>
      <c r="C13" s="5" t="s">
        <v>39</v>
      </c>
      <c r="D13" s="5" t="s">
        <v>40</v>
      </c>
      <c r="E13" s="5" t="s">
        <v>23</v>
      </c>
      <c r="F13" s="5" t="n">
        <v>5</v>
      </c>
      <c r="G13" s="5" t="s">
        <v>32</v>
      </c>
      <c r="H13" s="5" t="s">
        <v>33</v>
      </c>
      <c r="I13" s="5" t="n">
        <v>0.6</v>
      </c>
      <c r="J13" s="5" t="n">
        <v>2.4</v>
      </c>
      <c r="K13" s="5" t="n">
        <v>0.14</v>
      </c>
      <c r="L13" s="5" t="n">
        <f aca="false">PRODUCT(I13:K13)</f>
        <v>0.2016</v>
      </c>
      <c r="M13" s="5" t="n">
        <v>4</v>
      </c>
      <c r="N13" s="5" t="n">
        <f aca="false">PRODUCT(L13:M13)</f>
        <v>0.8064</v>
      </c>
      <c r="O13" s="5" t="n">
        <v>80</v>
      </c>
      <c r="P13" s="6" t="n">
        <f aca="false">PRODUCT(N13:O13)</f>
        <v>64.512</v>
      </c>
      <c r="Q13" s="5" t="n">
        <v>1.25</v>
      </c>
      <c r="R13" s="6" t="n">
        <f aca="false">PRODUCT(P13:Q13)</f>
        <v>80.64</v>
      </c>
      <c r="S13" s="6" t="n">
        <v>14</v>
      </c>
    </row>
    <row r="14" s="5" customFormat="true" ht="15" hidden="false" customHeight="false" outlineLevel="0" collapsed="false">
      <c r="A14" s="5" t="s">
        <v>19</v>
      </c>
      <c r="B14" s="5" t="s">
        <v>38</v>
      </c>
      <c r="C14" s="5" t="s">
        <v>39</v>
      </c>
      <c r="D14" s="5" t="s">
        <v>40</v>
      </c>
      <c r="E14" s="5" t="s">
        <v>23</v>
      </c>
      <c r="F14" s="5" t="n">
        <v>6</v>
      </c>
      <c r="G14" s="5" t="s">
        <v>34</v>
      </c>
      <c r="H14" s="5" t="s">
        <v>35</v>
      </c>
      <c r="I14" s="5" t="n">
        <v>0.03</v>
      </c>
      <c r="J14" s="5" t="n">
        <v>2.4</v>
      </c>
      <c r="K14" s="5" t="n">
        <v>2.4</v>
      </c>
      <c r="L14" s="5" t="n">
        <f aca="false">PRODUCT(I14:K14)</f>
        <v>0.1728</v>
      </c>
      <c r="M14" s="5" t="n">
        <v>1</v>
      </c>
      <c r="N14" s="5" t="n">
        <f aca="false">PRODUCT(L14:M14)</f>
        <v>0.1728</v>
      </c>
      <c r="O14" s="5" t="n">
        <v>32</v>
      </c>
      <c r="P14" s="6" t="n">
        <f aca="false">PRODUCT(N14:O14)</f>
        <v>5.5296</v>
      </c>
      <c r="Q14" s="5" t="n">
        <v>3.089</v>
      </c>
      <c r="R14" s="6" t="n">
        <f aca="false">PRODUCT(P14:Q14)</f>
        <v>17.0809344</v>
      </c>
      <c r="S14" s="6" t="n">
        <v>2.97</v>
      </c>
    </row>
    <row r="15" s="5" customFormat="true" ht="15" hidden="false" customHeight="false" outlineLevel="0" collapsed="false">
      <c r="A15" s="5" t="s">
        <v>19</v>
      </c>
      <c r="B15" s="5" t="s">
        <v>38</v>
      </c>
      <c r="C15" s="5" t="s">
        <v>39</v>
      </c>
      <c r="D15" s="5" t="s">
        <v>40</v>
      </c>
      <c r="E15" s="5" t="s">
        <v>23</v>
      </c>
      <c r="F15" s="5" t="n">
        <v>7</v>
      </c>
      <c r="G15" s="5" t="s">
        <v>36</v>
      </c>
      <c r="H15" s="5" t="s">
        <v>45</v>
      </c>
      <c r="I15" s="5" t="n">
        <v>2.4</v>
      </c>
      <c r="J15" s="5" t="n">
        <v>2.4</v>
      </c>
      <c r="P15" s="6" t="n">
        <v>0.346</v>
      </c>
      <c r="Q15" s="5" t="n">
        <v>4.2</v>
      </c>
      <c r="R15" s="6" t="n">
        <f aca="false">PRODUCT(P15:Q15)</f>
        <v>1.4532</v>
      </c>
      <c r="S15" s="6" t="n">
        <v>0.25</v>
      </c>
    </row>
    <row r="16" s="7" customFormat="true" ht="15" hidden="false" customHeight="false" outlineLevel="0" collapsed="false">
      <c r="A16" s="7" t="s">
        <v>19</v>
      </c>
      <c r="B16" s="7" t="s">
        <v>46</v>
      </c>
      <c r="C16" s="7" t="s">
        <v>47</v>
      </c>
      <c r="D16" s="7" t="s">
        <v>48</v>
      </c>
      <c r="E16" s="7" t="s">
        <v>23</v>
      </c>
      <c r="F16" s="7" t="n">
        <v>1</v>
      </c>
      <c r="G16" s="7" t="s">
        <v>49</v>
      </c>
      <c r="H16" s="7" t="s">
        <v>50</v>
      </c>
      <c r="I16" s="8" t="n">
        <v>2.4</v>
      </c>
      <c r="J16" s="8" t="n">
        <v>2.4</v>
      </c>
      <c r="K16" s="8" t="n">
        <v>0.15</v>
      </c>
      <c r="N16" s="9" t="n">
        <f aca="false">PRODUCT(K16,L16,M16)</f>
        <v>0.15</v>
      </c>
      <c r="O16" s="9" t="n">
        <v>25</v>
      </c>
      <c r="P16" s="9" t="n">
        <v>21.6</v>
      </c>
      <c r="Q16" s="7" t="n">
        <v>3.69</v>
      </c>
      <c r="R16" s="10" t="n">
        <f aca="false">PRODUCT(P16,Q16)</f>
        <v>79.704</v>
      </c>
      <c r="S16" s="11" t="n">
        <f aca="false">R16/5.76</f>
        <v>13.8375</v>
      </c>
    </row>
    <row r="17" s="7" customFormat="true" ht="15" hidden="false" customHeight="false" outlineLevel="0" collapsed="false">
      <c r="A17" s="7" t="s">
        <v>19</v>
      </c>
      <c r="B17" s="7" t="s">
        <v>46</v>
      </c>
      <c r="C17" s="7" t="s">
        <v>47</v>
      </c>
      <c r="D17" s="7" t="s">
        <v>48</v>
      </c>
      <c r="E17" s="7" t="s">
        <v>23</v>
      </c>
      <c r="F17" s="7" t="n">
        <v>2</v>
      </c>
      <c r="G17" s="7" t="s">
        <v>51</v>
      </c>
      <c r="H17" s="7" t="s">
        <v>52</v>
      </c>
      <c r="I17" s="8" t="n">
        <v>2.4</v>
      </c>
      <c r="J17" s="8" t="n">
        <v>2.4</v>
      </c>
      <c r="K17" s="8" t="n">
        <v>0.15</v>
      </c>
      <c r="N17" s="9" t="n">
        <f aca="false">PRODUCT(K17,L17,M17)</f>
        <v>0.15</v>
      </c>
      <c r="O17" s="8" t="n">
        <v>2400</v>
      </c>
      <c r="P17" s="9" t="n">
        <f aca="false">N17*O17</f>
        <v>360</v>
      </c>
      <c r="Q17" s="7" t="n">
        <v>0.103</v>
      </c>
      <c r="R17" s="10" t="n">
        <f aca="false">PRODUCT(P17,Q17)</f>
        <v>37.08</v>
      </c>
      <c r="S17" s="11" t="n">
        <f aca="false">R17/5.76</f>
        <v>6.4375</v>
      </c>
    </row>
    <row r="18" s="7" customFormat="true" ht="15" hidden="false" customHeight="false" outlineLevel="0" collapsed="false">
      <c r="A18" s="7" t="s">
        <v>19</v>
      </c>
      <c r="B18" s="7" t="s">
        <v>46</v>
      </c>
      <c r="C18" s="7" t="s">
        <v>47</v>
      </c>
      <c r="D18" s="7" t="s">
        <v>48</v>
      </c>
      <c r="E18" s="7" t="s">
        <v>23</v>
      </c>
      <c r="F18" s="7" t="n">
        <v>3</v>
      </c>
      <c r="G18" s="7" t="s">
        <v>53</v>
      </c>
      <c r="H18" s="7" t="s">
        <v>54</v>
      </c>
      <c r="N18" s="9"/>
      <c r="O18" s="12"/>
      <c r="P18" s="9" t="n">
        <v>41.47</v>
      </c>
      <c r="Q18" s="7" t="n">
        <v>1.72</v>
      </c>
      <c r="R18" s="10" t="n">
        <f aca="false">PRODUCT(P18,Q18)</f>
        <v>71.3284</v>
      </c>
      <c r="S18" s="11" t="n">
        <f aca="false">R18/5.76</f>
        <v>12.3834027777778</v>
      </c>
    </row>
    <row r="19" s="7" customFormat="true" ht="15" hidden="false" customHeight="false" outlineLevel="0" collapsed="false">
      <c r="A19" s="7" t="s">
        <v>19</v>
      </c>
      <c r="B19" s="7" t="s">
        <v>46</v>
      </c>
      <c r="C19" s="7" t="s">
        <v>47</v>
      </c>
      <c r="D19" s="7" t="s">
        <v>48</v>
      </c>
      <c r="E19" s="7" t="s">
        <v>23</v>
      </c>
      <c r="F19" s="7" t="n">
        <v>4</v>
      </c>
      <c r="G19" s="7" t="s">
        <v>55</v>
      </c>
      <c r="H19" s="7" t="s">
        <v>56</v>
      </c>
      <c r="N19" s="9"/>
      <c r="O19" s="12"/>
      <c r="P19" s="9" t="n">
        <v>5</v>
      </c>
      <c r="Q19" s="7" t="n">
        <v>1.85</v>
      </c>
      <c r="R19" s="10" t="n">
        <f aca="false">PRODUCT(P19,Q19)</f>
        <v>9.25</v>
      </c>
      <c r="S19" s="11" t="n">
        <f aca="false">R19/5.76</f>
        <v>1.60590277777778</v>
      </c>
    </row>
    <row r="20" s="7" customFormat="true" ht="15" hidden="false" customHeight="false" outlineLevel="0" collapsed="false">
      <c r="A20" s="7" t="s">
        <v>19</v>
      </c>
      <c r="B20" s="7" t="s">
        <v>46</v>
      </c>
      <c r="C20" s="7" t="s">
        <v>47</v>
      </c>
      <c r="D20" s="7" t="s">
        <v>48</v>
      </c>
      <c r="E20" s="7" t="s">
        <v>23</v>
      </c>
      <c r="F20" s="7" t="n">
        <v>5</v>
      </c>
      <c r="G20" s="7" t="s">
        <v>36</v>
      </c>
      <c r="H20" s="7" t="s">
        <v>57</v>
      </c>
      <c r="I20" s="8" t="n">
        <v>2.4</v>
      </c>
      <c r="J20" s="8" t="n">
        <v>2.4</v>
      </c>
      <c r="K20" s="8"/>
      <c r="N20" s="9" t="n">
        <f aca="false">PRODUCT(K20,L20,M20)</f>
        <v>0</v>
      </c>
      <c r="O20" s="9"/>
      <c r="P20" s="9" t="n">
        <v>0.345</v>
      </c>
      <c r="Q20" s="7" t="n">
        <v>4.2</v>
      </c>
      <c r="R20" s="10" t="n">
        <f aca="false">PRODUCT(P20,Q20)</f>
        <v>1.449</v>
      </c>
      <c r="S20" s="11" t="n">
        <f aca="false">R20/5.76</f>
        <v>0.2515625</v>
      </c>
    </row>
    <row r="21" s="13" customFormat="true" ht="15" hidden="false" customHeight="false" outlineLevel="0" collapsed="false">
      <c r="A21" s="13" t="s">
        <v>19</v>
      </c>
      <c r="B21" s="13" t="s">
        <v>58</v>
      </c>
      <c r="C21" s="13" t="s">
        <v>59</v>
      </c>
      <c r="D21" s="13" t="s">
        <v>60</v>
      </c>
      <c r="E21" s="13" t="s">
        <v>23</v>
      </c>
      <c r="F21" s="13" t="n">
        <v>1</v>
      </c>
      <c r="G21" s="13" t="s">
        <v>61</v>
      </c>
      <c r="H21" s="13" t="s">
        <v>62</v>
      </c>
      <c r="I21" s="13" t="n">
        <v>1</v>
      </c>
      <c r="J21" s="13" t="n">
        <v>1</v>
      </c>
      <c r="K21" s="13" t="n">
        <v>0.14</v>
      </c>
      <c r="N21" s="13" t="n">
        <f aca="false">PRODUCT(K21,L21,M21)</f>
        <v>0.14</v>
      </c>
      <c r="O21" s="13" t="n">
        <v>1585</v>
      </c>
      <c r="P21" s="13" t="n">
        <v>212.6</v>
      </c>
      <c r="Q21" s="13" t="n">
        <v>19.4</v>
      </c>
      <c r="R21" s="13" t="n">
        <v>19.4</v>
      </c>
      <c r="S21" s="13" t="n">
        <f aca="false">R21/5.76</f>
        <v>3.36805555555556</v>
      </c>
    </row>
    <row r="22" s="13" customFormat="true" ht="15" hidden="false" customHeight="false" outlineLevel="0" collapsed="false">
      <c r="A22" s="13" t="s">
        <v>19</v>
      </c>
      <c r="B22" s="13" t="s">
        <v>58</v>
      </c>
      <c r="C22" s="13" t="s">
        <v>59</v>
      </c>
      <c r="D22" s="13" t="s">
        <v>60</v>
      </c>
      <c r="E22" s="13" t="s">
        <v>23</v>
      </c>
      <c r="F22" s="13" t="n">
        <v>2</v>
      </c>
      <c r="G22" s="13" t="s">
        <v>32</v>
      </c>
      <c r="H22" s="13" t="s">
        <v>63</v>
      </c>
      <c r="I22" s="13" t="n">
        <v>1</v>
      </c>
      <c r="J22" s="13" t="n">
        <v>1</v>
      </c>
      <c r="K22" s="13" t="n">
        <v>0.14</v>
      </c>
      <c r="N22" s="13" t="n">
        <f aca="false">PRODUCT(K22,L22,M22)</f>
        <v>0.14</v>
      </c>
      <c r="O22" s="13" t="n">
        <v>80</v>
      </c>
      <c r="P22" s="13" t="n">
        <f aca="false">PRODUCT(N22,O22)</f>
        <v>11.2</v>
      </c>
      <c r="Q22" s="13" t="n">
        <v>1.25</v>
      </c>
      <c r="R22" s="13" t="n">
        <f aca="false">PRODUCT(P22,Q22)</f>
        <v>14</v>
      </c>
      <c r="S22" s="13" t="n">
        <f aca="false">R22/5.76</f>
        <v>2.43055555555556</v>
      </c>
    </row>
    <row r="23" s="13" customFormat="true" ht="15" hidden="false" customHeight="false" outlineLevel="0" collapsed="false">
      <c r="A23" s="13" t="s">
        <v>19</v>
      </c>
      <c r="B23" s="13" t="s">
        <v>58</v>
      </c>
      <c r="C23" s="13" t="s">
        <v>59</v>
      </c>
      <c r="D23" s="13" t="s">
        <v>60</v>
      </c>
      <c r="E23" s="13" t="s">
        <v>23</v>
      </c>
      <c r="F23" s="13" t="n">
        <v>3</v>
      </c>
      <c r="G23" s="13" t="s">
        <v>34</v>
      </c>
      <c r="H23" s="13" t="s">
        <v>64</v>
      </c>
      <c r="I23" s="13" t="n">
        <v>1</v>
      </c>
      <c r="J23" s="13" t="n">
        <v>1</v>
      </c>
      <c r="K23" s="13" t="n">
        <v>0.03</v>
      </c>
      <c r="N23" s="13" t="n">
        <f aca="false">PRODUCT(K23,L23,M23)</f>
        <v>0.03</v>
      </c>
      <c r="O23" s="13" t="n">
        <v>32</v>
      </c>
      <c r="P23" s="13" t="n">
        <f aca="false">PRODUCT(N23,O23)</f>
        <v>0.96</v>
      </c>
      <c r="Q23" s="13" t="n">
        <v>3.089</v>
      </c>
      <c r="R23" s="13" t="n">
        <f aca="false">PRODUCT(P23,Q23)</f>
        <v>2.96544</v>
      </c>
      <c r="S23" s="13" t="n">
        <f aca="false">R23/5.76</f>
        <v>0.514833333333333</v>
      </c>
    </row>
    <row r="24" s="13" customFormat="true" ht="15" hidden="false" customHeight="false" outlineLevel="0" collapsed="false">
      <c r="A24" s="13" t="s">
        <v>19</v>
      </c>
      <c r="B24" s="13" t="s">
        <v>58</v>
      </c>
      <c r="C24" s="13" t="s">
        <v>59</v>
      </c>
      <c r="D24" s="13" t="s">
        <v>60</v>
      </c>
      <c r="E24" s="13" t="s">
        <v>23</v>
      </c>
      <c r="F24" s="13" t="n">
        <v>4</v>
      </c>
      <c r="G24" s="13" t="s">
        <v>36</v>
      </c>
      <c r="H24" s="13" t="s">
        <v>57</v>
      </c>
      <c r="I24" s="13" t="n">
        <v>1</v>
      </c>
      <c r="J24" s="13" t="n">
        <v>1</v>
      </c>
      <c r="P24" s="13" t="n">
        <v>0.06</v>
      </c>
      <c r="Q24" s="13" t="n">
        <v>4.2</v>
      </c>
      <c r="R24" s="13" t="n">
        <f aca="false">PRODUCT(P24,Q24)</f>
        <v>0.252</v>
      </c>
      <c r="S24" s="13" t="n">
        <f aca="false">R24/5.76</f>
        <v>0.04375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4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1" topLeftCell="A2" activePane="bottomLeft" state="frozen"/>
      <selection pane="topLeft" activeCell="A1" activeCellId="0" sqref="A1"/>
      <selection pane="bottomLeft" activeCell="A28" activeCellId="0" sqref="A28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20.71"/>
    <col collapsed="false" customWidth="true" hidden="false" outlineLevel="0" max="6" min="6" style="0" width="10.71"/>
    <col collapsed="false" customWidth="true" hidden="false" outlineLevel="0" max="7" min="7" style="0" width="40.71"/>
    <col collapsed="false" customWidth="true" hidden="false" outlineLevel="0" max="19" min="8" style="0" width="20.71"/>
  </cols>
  <sheetData>
    <row r="1" s="2" customFormat="true" ht="39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65</v>
      </c>
      <c r="O1" s="1" t="s">
        <v>66</v>
      </c>
      <c r="P1" s="1" t="s">
        <v>67</v>
      </c>
      <c r="Q1" s="1" t="s">
        <v>68</v>
      </c>
      <c r="R1" s="1" t="s">
        <v>69</v>
      </c>
      <c r="S1" s="1" t="s">
        <v>70</v>
      </c>
    </row>
    <row r="2" s="14" customFormat="true" ht="15" hidden="false" customHeight="false" outlineLevel="0" collapsed="false">
      <c r="A2" s="14" t="s">
        <v>71</v>
      </c>
      <c r="B2" s="14" t="s">
        <v>72</v>
      </c>
      <c r="C2" s="14" t="s">
        <v>59</v>
      </c>
      <c r="D2" s="14" t="s">
        <v>73</v>
      </c>
      <c r="E2" s="14" t="s">
        <v>74</v>
      </c>
      <c r="F2" s="14" t="n">
        <v>1</v>
      </c>
      <c r="G2" s="14" t="s">
        <v>75</v>
      </c>
      <c r="H2" s="14" t="s">
        <v>76</v>
      </c>
      <c r="I2" s="14" t="n">
        <v>0.1</v>
      </c>
      <c r="J2" s="14" t="n">
        <v>0.085</v>
      </c>
      <c r="K2" s="14" t="n">
        <v>1970</v>
      </c>
      <c r="L2" s="14" t="n">
        <v>167.45</v>
      </c>
      <c r="M2" s="14" t="n">
        <v>0.211</v>
      </c>
      <c r="N2" s="14" t="s">
        <v>77</v>
      </c>
      <c r="O2" s="14" t="n">
        <f aca="false">PRODUCT(L2,M2)</f>
        <v>35.33195</v>
      </c>
      <c r="P2" s="14" t="n">
        <v>0.63</v>
      </c>
      <c r="Q2" s="14" t="n">
        <f aca="false">L2/P2</f>
        <v>265.793650793651</v>
      </c>
      <c r="R2" s="14" t="n">
        <f aca="false">1/Q2</f>
        <v>0.00376231710958495</v>
      </c>
      <c r="S2" s="14" t="n">
        <v>100</v>
      </c>
    </row>
    <row r="3" s="14" customFormat="true" ht="15" hidden="false" customHeight="false" outlineLevel="0" collapsed="false">
      <c r="A3" s="14" t="s">
        <v>71</v>
      </c>
      <c r="B3" s="14" t="s">
        <v>72</v>
      </c>
      <c r="C3" s="14" t="s">
        <v>59</v>
      </c>
      <c r="D3" s="14" t="s">
        <v>73</v>
      </c>
      <c r="E3" s="14" t="s">
        <v>74</v>
      </c>
      <c r="F3" s="14" t="n">
        <v>2</v>
      </c>
      <c r="G3" s="14" t="s">
        <v>78</v>
      </c>
      <c r="H3" s="14" t="s">
        <v>79</v>
      </c>
      <c r="J3" s="14" t="n">
        <v>0.015</v>
      </c>
      <c r="K3" s="14" t="n">
        <v>2070</v>
      </c>
      <c r="L3" s="14" t="n">
        <v>31.05</v>
      </c>
      <c r="M3" s="14" t="n">
        <v>0.136</v>
      </c>
      <c r="N3" s="14" t="s">
        <v>77</v>
      </c>
      <c r="O3" s="14" t="n">
        <f aca="false">PRODUCT(L3,M3)</f>
        <v>4.2228</v>
      </c>
      <c r="P3" s="14" t="n">
        <v>0.61</v>
      </c>
    </row>
    <row r="4" s="14" customFormat="true" ht="15" hidden="false" customHeight="false" outlineLevel="0" collapsed="false">
      <c r="A4" s="14" t="s">
        <v>71</v>
      </c>
      <c r="B4" s="14" t="s">
        <v>72</v>
      </c>
      <c r="C4" s="14" t="s">
        <v>59</v>
      </c>
      <c r="D4" s="14" t="s">
        <v>73</v>
      </c>
      <c r="E4" s="14" t="s">
        <v>74</v>
      </c>
      <c r="F4" s="14" t="n">
        <v>3</v>
      </c>
      <c r="G4" s="14" t="s">
        <v>80</v>
      </c>
      <c r="H4" s="14" t="s">
        <v>81</v>
      </c>
      <c r="I4" s="14" t="s">
        <v>82</v>
      </c>
      <c r="J4" s="14" t="n">
        <v>0.0001296</v>
      </c>
      <c r="K4" s="14" t="n">
        <v>7800</v>
      </c>
      <c r="L4" s="14" t="n">
        <v>1.01088</v>
      </c>
      <c r="M4" s="14" t="n">
        <v>2.72</v>
      </c>
      <c r="N4" s="14" t="s">
        <v>77</v>
      </c>
      <c r="O4" s="14" t="n">
        <f aca="false">PRODUCT(L4,M4)</f>
        <v>2.7495936</v>
      </c>
    </row>
    <row r="5" s="14" customFormat="true" ht="15" hidden="false" customHeight="false" outlineLevel="0" collapsed="false">
      <c r="A5" s="14" t="s">
        <v>71</v>
      </c>
      <c r="B5" s="14" t="s">
        <v>72</v>
      </c>
      <c r="C5" s="14" t="s">
        <v>59</v>
      </c>
      <c r="D5" s="14" t="s">
        <v>73</v>
      </c>
      <c r="E5" s="14" t="s">
        <v>74</v>
      </c>
      <c r="F5" s="14" t="n">
        <v>4</v>
      </c>
      <c r="G5" s="14" t="s">
        <v>83</v>
      </c>
      <c r="H5" s="14" t="s">
        <v>84</v>
      </c>
      <c r="L5" s="14" t="n">
        <v>0</v>
      </c>
      <c r="O5" s="14" t="n">
        <f aca="false">PRODUCT(L5,M5)</f>
        <v>0</v>
      </c>
    </row>
    <row r="6" s="15" customFormat="true" ht="15" hidden="false" customHeight="false" outlineLevel="0" collapsed="false">
      <c r="A6" s="15" t="s">
        <v>71</v>
      </c>
      <c r="B6" s="15" t="s">
        <v>85</v>
      </c>
      <c r="C6" s="15" t="s">
        <v>59</v>
      </c>
      <c r="D6" s="15" t="s">
        <v>86</v>
      </c>
      <c r="E6" s="15" t="s">
        <v>74</v>
      </c>
      <c r="F6" s="15" t="n">
        <v>1</v>
      </c>
      <c r="G6" s="15" t="s">
        <v>87</v>
      </c>
      <c r="H6" s="15" t="s">
        <v>88</v>
      </c>
      <c r="I6" s="15" t="n">
        <v>0.1</v>
      </c>
      <c r="K6" s="15" t="n">
        <v>1900</v>
      </c>
      <c r="L6" s="15" t="n">
        <v>169</v>
      </c>
      <c r="M6" s="15" t="n">
        <v>19.6</v>
      </c>
      <c r="N6" s="15" t="s">
        <v>77</v>
      </c>
      <c r="O6" s="15" t="n">
        <v>19.6</v>
      </c>
      <c r="P6" s="15" t="n">
        <v>1.1</v>
      </c>
      <c r="Q6" s="15" t="n">
        <f aca="false">I6/P6</f>
        <v>0.0909090909090909</v>
      </c>
      <c r="R6" s="15" t="n">
        <f aca="false">1/Q6</f>
        <v>11</v>
      </c>
      <c r="S6" s="15" t="s">
        <v>89</v>
      </c>
    </row>
    <row r="7" s="15" customFormat="true" ht="15" hidden="false" customHeight="false" outlineLevel="0" collapsed="false">
      <c r="A7" s="15" t="s">
        <v>71</v>
      </c>
      <c r="B7" s="15" t="s">
        <v>85</v>
      </c>
      <c r="C7" s="15" t="s">
        <v>59</v>
      </c>
      <c r="D7" s="15" t="s">
        <v>86</v>
      </c>
      <c r="E7" s="15" t="s">
        <v>74</v>
      </c>
      <c r="F7" s="15" t="n">
        <v>2</v>
      </c>
      <c r="G7" s="15" t="s">
        <v>78</v>
      </c>
      <c r="H7" s="15" t="s">
        <v>79</v>
      </c>
      <c r="L7" s="15" t="n">
        <v>31</v>
      </c>
      <c r="M7" s="15" t="n">
        <v>0.136</v>
      </c>
      <c r="N7" s="15" t="s">
        <v>77</v>
      </c>
      <c r="O7" s="15" t="n">
        <f aca="false">PRODUCT(L7,M7)</f>
        <v>4.216</v>
      </c>
      <c r="P7" s="15" t="n">
        <v>0.61</v>
      </c>
    </row>
    <row r="8" s="15" customFormat="true" ht="15" hidden="false" customHeight="false" outlineLevel="0" collapsed="false">
      <c r="A8" s="15" t="s">
        <v>71</v>
      </c>
      <c r="B8" s="15" t="s">
        <v>85</v>
      </c>
      <c r="C8" s="15" t="s">
        <v>59</v>
      </c>
      <c r="D8" s="15" t="s">
        <v>86</v>
      </c>
      <c r="E8" s="15" t="s">
        <v>74</v>
      </c>
      <c r="F8" s="15" t="n">
        <v>3</v>
      </c>
      <c r="G8" s="15" t="s">
        <v>80</v>
      </c>
      <c r="H8" s="15" t="s">
        <v>81</v>
      </c>
      <c r="I8" s="15" t="s">
        <v>82</v>
      </c>
      <c r="J8" s="15" t="n">
        <v>0.0001296</v>
      </c>
      <c r="K8" s="15" t="n">
        <v>7800</v>
      </c>
      <c r="L8" s="15" t="n">
        <f aca="false">PRODUCT(J8,K8)</f>
        <v>1.01088</v>
      </c>
      <c r="M8" s="15" t="n">
        <v>2.72</v>
      </c>
      <c r="N8" s="15" t="s">
        <v>77</v>
      </c>
      <c r="O8" s="15" t="n">
        <f aca="false">PRODUCT(L8,M8)</f>
        <v>2.7495936</v>
      </c>
    </row>
    <row r="9" s="15" customFormat="true" ht="15" hidden="false" customHeight="false" outlineLevel="0" collapsed="false">
      <c r="A9" s="15" t="s">
        <v>71</v>
      </c>
      <c r="B9" s="15" t="s">
        <v>85</v>
      </c>
      <c r="C9" s="15" t="s">
        <v>59</v>
      </c>
      <c r="D9" s="15" t="s">
        <v>86</v>
      </c>
      <c r="E9" s="15" t="s">
        <v>74</v>
      </c>
      <c r="F9" s="15" t="n">
        <v>4</v>
      </c>
      <c r="G9" s="15" t="s">
        <v>83</v>
      </c>
      <c r="H9" s="15" t="s">
        <v>84</v>
      </c>
    </row>
    <row r="10" s="14" customFormat="true" ht="15" hidden="false" customHeight="false" outlineLevel="0" collapsed="false">
      <c r="A10" s="14" t="s">
        <v>71</v>
      </c>
      <c r="B10" s="14" t="s">
        <v>90</v>
      </c>
      <c r="C10" s="14" t="s">
        <v>59</v>
      </c>
      <c r="D10" s="14" t="s">
        <v>91</v>
      </c>
      <c r="E10" s="14" t="s">
        <v>74</v>
      </c>
      <c r="F10" s="14" t="n">
        <v>1</v>
      </c>
      <c r="G10" s="14" t="s">
        <v>92</v>
      </c>
      <c r="H10" s="14" t="s">
        <v>93</v>
      </c>
      <c r="I10" s="14" t="n">
        <v>0.1</v>
      </c>
      <c r="J10" s="14" t="n">
        <v>0.085</v>
      </c>
      <c r="K10" s="14" t="n">
        <v>760</v>
      </c>
      <c r="L10" s="14" t="n">
        <f aca="false">PRODUCT(J10,K10)</f>
        <v>64.6</v>
      </c>
      <c r="M10" s="14" t="n">
        <v>0.326</v>
      </c>
      <c r="N10" s="14" t="s">
        <v>77</v>
      </c>
      <c r="O10" s="14" t="n">
        <f aca="false">PRODUCT(L10,M10)</f>
        <v>21.0596</v>
      </c>
      <c r="P10" s="14" t="n">
        <v>0.19</v>
      </c>
      <c r="Q10" s="14" t="n">
        <f aca="false">I10/P10</f>
        <v>0.526315789473684</v>
      </c>
      <c r="R10" s="14" t="n">
        <f aca="false">1/Q10</f>
        <v>1.9</v>
      </c>
      <c r="S10" s="14" t="s">
        <v>94</v>
      </c>
    </row>
    <row r="11" s="14" customFormat="true" ht="15" hidden="false" customHeight="false" outlineLevel="0" collapsed="false">
      <c r="A11" s="14" t="s">
        <v>71</v>
      </c>
      <c r="B11" s="14" t="s">
        <v>90</v>
      </c>
      <c r="C11" s="14" t="s">
        <v>59</v>
      </c>
      <c r="D11" s="14" t="s">
        <v>91</v>
      </c>
      <c r="E11" s="14" t="s">
        <v>74</v>
      </c>
      <c r="F11" s="14" t="n">
        <v>2</v>
      </c>
      <c r="G11" s="14" t="s">
        <v>78</v>
      </c>
      <c r="H11" s="14" t="s">
        <v>79</v>
      </c>
      <c r="J11" s="14" t="n">
        <v>0.015</v>
      </c>
      <c r="K11" s="14" t="n">
        <v>2070</v>
      </c>
      <c r="L11" s="14" t="n">
        <f aca="false">PRODUCT(J11,K11)</f>
        <v>31.05</v>
      </c>
      <c r="M11" s="14" t="n">
        <v>0.136</v>
      </c>
      <c r="N11" s="14" t="s">
        <v>77</v>
      </c>
      <c r="O11" s="14" t="n">
        <f aca="false">PRODUCT(L11,M11)</f>
        <v>4.2228</v>
      </c>
      <c r="P11" s="14" t="n">
        <v>0.61</v>
      </c>
    </row>
    <row r="12" s="14" customFormat="true" ht="15" hidden="false" customHeight="false" outlineLevel="0" collapsed="false">
      <c r="A12" s="14" t="s">
        <v>71</v>
      </c>
      <c r="B12" s="14" t="s">
        <v>90</v>
      </c>
      <c r="C12" s="14" t="s">
        <v>59</v>
      </c>
      <c r="D12" s="14" t="s">
        <v>91</v>
      </c>
      <c r="E12" s="14" t="s">
        <v>74</v>
      </c>
      <c r="F12" s="14" t="n">
        <v>3</v>
      </c>
      <c r="G12" s="14" t="s">
        <v>80</v>
      </c>
      <c r="H12" s="14" t="s">
        <v>81</v>
      </c>
      <c r="I12" s="14" t="s">
        <v>82</v>
      </c>
      <c r="J12" s="14" t="n">
        <v>0.0001296</v>
      </c>
      <c r="K12" s="14" t="n">
        <v>7800</v>
      </c>
      <c r="L12" s="14" t="n">
        <f aca="false">PRODUCT(J12,K12)</f>
        <v>1.01088</v>
      </c>
      <c r="M12" s="14" t="n">
        <v>2.72</v>
      </c>
      <c r="N12" s="14" t="s">
        <v>77</v>
      </c>
      <c r="O12" s="14" t="n">
        <f aca="false">PRODUCT(L12,M12)</f>
        <v>2.7495936</v>
      </c>
    </row>
    <row r="13" s="14" customFormat="true" ht="15" hidden="false" customHeight="false" outlineLevel="0" collapsed="false">
      <c r="A13" s="14" t="s">
        <v>71</v>
      </c>
      <c r="B13" s="14" t="s">
        <v>90</v>
      </c>
      <c r="C13" s="14" t="s">
        <v>59</v>
      </c>
      <c r="D13" s="14" t="s">
        <v>91</v>
      </c>
      <c r="E13" s="14" t="s">
        <v>74</v>
      </c>
      <c r="F13" s="14" t="n">
        <v>4</v>
      </c>
      <c r="G13" s="14" t="s">
        <v>83</v>
      </c>
      <c r="H13" s="14" t="s">
        <v>84</v>
      </c>
    </row>
    <row r="14" s="14" customFormat="true" ht="15" hidden="false" customHeight="false" outlineLevel="0" collapsed="false">
      <c r="A14" s="14" t="s">
        <v>71</v>
      </c>
      <c r="B14" s="14" t="s">
        <v>90</v>
      </c>
      <c r="C14" s="14" t="s">
        <v>59</v>
      </c>
      <c r="D14" s="14" t="s">
        <v>91</v>
      </c>
      <c r="E14" s="14" t="s">
        <v>74</v>
      </c>
      <c r="F14" s="14" t="n">
        <v>5</v>
      </c>
      <c r="G14" s="14" t="s">
        <v>95</v>
      </c>
      <c r="H14" s="14" t="s">
        <v>96</v>
      </c>
      <c r="I14" s="14" t="n">
        <v>0.02</v>
      </c>
      <c r="J14" s="14" t="n">
        <v>0.02</v>
      </c>
      <c r="K14" s="14" t="n">
        <v>2070</v>
      </c>
      <c r="L14" s="14" t="n">
        <f aca="false">PRODUCT(J14,K14)</f>
        <v>41.4</v>
      </c>
      <c r="M14" s="14" t="n">
        <v>0.136</v>
      </c>
      <c r="N14" s="14" t="s">
        <v>77</v>
      </c>
      <c r="O14" s="14" t="n">
        <f aca="false">PRODUCT(L14,M14)</f>
        <v>5.6304</v>
      </c>
      <c r="P14" s="14" t="n">
        <v>0.61</v>
      </c>
      <c r="Q14" s="14" t="n">
        <f aca="false">I14/P14</f>
        <v>0.0327868852459016</v>
      </c>
      <c r="R14" s="14" t="n">
        <f aca="false">1/Q14</f>
        <v>30.5</v>
      </c>
      <c r="S14" s="14" t="s">
        <v>97</v>
      </c>
    </row>
    <row r="15" s="14" customFormat="true" ht="15" hidden="false" customHeight="false" outlineLevel="0" collapsed="false">
      <c r="A15" s="14" t="s">
        <v>71</v>
      </c>
      <c r="B15" s="14" t="s">
        <v>90</v>
      </c>
      <c r="C15" s="14" t="s">
        <v>59</v>
      </c>
      <c r="D15" s="14" t="s">
        <v>91</v>
      </c>
      <c r="E15" s="14" t="s">
        <v>74</v>
      </c>
      <c r="F15" s="14" t="n">
        <v>6</v>
      </c>
      <c r="G15" s="14" t="s">
        <v>98</v>
      </c>
      <c r="H15" s="14" t="s">
        <v>99</v>
      </c>
      <c r="L15" s="14" t="n">
        <v>0.16</v>
      </c>
      <c r="M15" s="14" t="n">
        <v>0.445</v>
      </c>
      <c r="N15" s="14" t="s">
        <v>100</v>
      </c>
      <c r="O15" s="14" t="n">
        <v>0.445</v>
      </c>
    </row>
    <row r="16" s="15" customFormat="true" ht="15" hidden="false" customHeight="false" outlineLevel="0" collapsed="false">
      <c r="A16" s="15" t="s">
        <v>71</v>
      </c>
      <c r="B16" s="15" t="s">
        <v>101</v>
      </c>
      <c r="C16" s="15" t="s">
        <v>59</v>
      </c>
      <c r="D16" s="15" t="s">
        <v>102</v>
      </c>
      <c r="E16" s="15" t="s">
        <v>74</v>
      </c>
      <c r="F16" s="15" t="n">
        <v>1</v>
      </c>
      <c r="G16" s="15" t="s">
        <v>92</v>
      </c>
      <c r="H16" s="15" t="s">
        <v>93</v>
      </c>
      <c r="I16" s="15" t="n">
        <v>0.1</v>
      </c>
      <c r="J16" s="15" t="n">
        <v>0.085</v>
      </c>
      <c r="K16" s="15" t="n">
        <v>650</v>
      </c>
      <c r="L16" s="15" t="n">
        <f aca="false">PRODUCT(J16,K16)</f>
        <v>55.25</v>
      </c>
      <c r="M16" s="15" t="n">
        <v>0.328</v>
      </c>
      <c r="N16" s="15" t="s">
        <v>77</v>
      </c>
      <c r="O16" s="15" t="n">
        <f aca="false">PRODUCT(L16,M16)</f>
        <v>18.122</v>
      </c>
      <c r="P16" s="15" t="n">
        <v>0.17</v>
      </c>
      <c r="Q16" s="15" t="n">
        <f aca="false">I16/P16</f>
        <v>0.588235294117647</v>
      </c>
      <c r="R16" s="15" t="n">
        <f aca="false">1/Q16</f>
        <v>1.7</v>
      </c>
      <c r="S16" s="15" t="s">
        <v>94</v>
      </c>
    </row>
    <row r="17" s="15" customFormat="true" ht="15" hidden="false" customHeight="false" outlineLevel="0" collapsed="false">
      <c r="A17" s="15" t="s">
        <v>71</v>
      </c>
      <c r="B17" s="15" t="s">
        <v>101</v>
      </c>
      <c r="C17" s="15" t="s">
        <v>59</v>
      </c>
      <c r="D17" s="15" t="s">
        <v>102</v>
      </c>
      <c r="E17" s="15" t="s">
        <v>74</v>
      </c>
      <c r="F17" s="15" t="n">
        <v>2</v>
      </c>
      <c r="G17" s="15" t="s">
        <v>78</v>
      </c>
      <c r="H17" s="15" t="s">
        <v>79</v>
      </c>
      <c r="J17" s="15" t="n">
        <v>0.015</v>
      </c>
      <c r="K17" s="15" t="n">
        <v>2070</v>
      </c>
      <c r="L17" s="15" t="n">
        <f aca="false">PRODUCT(J17,K17)</f>
        <v>31.05</v>
      </c>
      <c r="M17" s="15" t="n">
        <v>0.136</v>
      </c>
      <c r="N17" s="15" t="s">
        <v>77</v>
      </c>
      <c r="O17" s="15" t="n">
        <f aca="false">PRODUCT(L17,M17)</f>
        <v>4.2228</v>
      </c>
      <c r="P17" s="15" t="n">
        <v>0.61</v>
      </c>
    </row>
    <row r="18" s="15" customFormat="true" ht="15" hidden="false" customHeight="false" outlineLevel="0" collapsed="false">
      <c r="A18" s="15" t="s">
        <v>71</v>
      </c>
      <c r="B18" s="15" t="s">
        <v>101</v>
      </c>
      <c r="C18" s="15" t="s">
        <v>59</v>
      </c>
      <c r="D18" s="15" t="s">
        <v>102</v>
      </c>
      <c r="E18" s="15" t="s">
        <v>74</v>
      </c>
      <c r="F18" s="15" t="n">
        <v>3</v>
      </c>
      <c r="G18" s="15" t="s">
        <v>80</v>
      </c>
      <c r="H18" s="15" t="s">
        <v>81</v>
      </c>
      <c r="I18" s="15" t="s">
        <v>82</v>
      </c>
      <c r="J18" s="15" t="n">
        <v>0.0001296</v>
      </c>
      <c r="K18" s="15" t="n">
        <v>7800</v>
      </c>
      <c r="L18" s="15" t="n">
        <f aca="false">PRODUCT(J18,K18)</f>
        <v>1.01088</v>
      </c>
      <c r="M18" s="15" t="n">
        <v>2.72</v>
      </c>
      <c r="N18" s="15" t="s">
        <v>77</v>
      </c>
      <c r="O18" s="15" t="n">
        <f aca="false">PRODUCT(L18,M18)</f>
        <v>2.7495936</v>
      </c>
    </row>
    <row r="19" s="15" customFormat="true" ht="15" hidden="false" customHeight="false" outlineLevel="0" collapsed="false">
      <c r="A19" s="15" t="s">
        <v>71</v>
      </c>
      <c r="B19" s="15" t="s">
        <v>101</v>
      </c>
      <c r="C19" s="15" t="s">
        <v>59</v>
      </c>
      <c r="D19" s="15" t="s">
        <v>102</v>
      </c>
      <c r="E19" s="15" t="s">
        <v>74</v>
      </c>
      <c r="F19" s="15" t="n">
        <v>4</v>
      </c>
      <c r="G19" s="15" t="s">
        <v>95</v>
      </c>
      <c r="H19" s="15" t="s">
        <v>96</v>
      </c>
      <c r="I19" s="15" t="n">
        <v>0.02</v>
      </c>
      <c r="J19" s="15" t="n">
        <v>0.02</v>
      </c>
      <c r="K19" s="15" t="n">
        <v>2070</v>
      </c>
      <c r="L19" s="15" t="n">
        <f aca="false">PRODUCT(J19,K19)</f>
        <v>41.4</v>
      </c>
      <c r="M19" s="15" t="n">
        <v>0.136</v>
      </c>
      <c r="N19" s="15" t="s">
        <v>77</v>
      </c>
      <c r="O19" s="15" t="n">
        <f aca="false">PRODUCT(L19,M19)</f>
        <v>5.6304</v>
      </c>
      <c r="P19" s="15" t="n">
        <v>0.61</v>
      </c>
      <c r="Q19" s="15" t="n">
        <f aca="false">I19/P19</f>
        <v>0.0327868852459016</v>
      </c>
      <c r="R19" s="15" t="n">
        <f aca="false">1/Q19</f>
        <v>30.5</v>
      </c>
      <c r="S19" s="15" t="s">
        <v>97</v>
      </c>
    </row>
    <row r="20" s="15" customFormat="true" ht="15" hidden="false" customHeight="false" outlineLevel="0" collapsed="false">
      <c r="A20" s="15" t="s">
        <v>71</v>
      </c>
      <c r="B20" s="15" t="s">
        <v>101</v>
      </c>
      <c r="C20" s="15" t="s">
        <v>59</v>
      </c>
      <c r="D20" s="15" t="s">
        <v>102</v>
      </c>
      <c r="E20" s="15" t="s">
        <v>74</v>
      </c>
      <c r="F20" s="15" t="n">
        <v>5</v>
      </c>
      <c r="G20" s="15" t="s">
        <v>98</v>
      </c>
      <c r="H20" s="15" t="s">
        <v>99</v>
      </c>
      <c r="L20" s="15" t="n">
        <v>0.16</v>
      </c>
      <c r="M20" s="15" t="n">
        <v>0.445</v>
      </c>
      <c r="N20" s="15" t="s">
        <v>100</v>
      </c>
      <c r="O20" s="15" t="n">
        <v>0.445</v>
      </c>
    </row>
    <row r="21" s="15" customFormat="true" ht="15" hidden="false" customHeight="false" outlineLevel="0" collapsed="false">
      <c r="A21" s="15" t="s">
        <v>71</v>
      </c>
      <c r="B21" s="15" t="s">
        <v>101</v>
      </c>
      <c r="C21" s="15" t="s">
        <v>59</v>
      </c>
      <c r="D21" s="15" t="s">
        <v>102</v>
      </c>
      <c r="E21" s="15" t="s">
        <v>74</v>
      </c>
      <c r="F21" s="15" t="n">
        <v>6</v>
      </c>
      <c r="G21" s="15" t="s">
        <v>83</v>
      </c>
      <c r="H21" s="15" t="s">
        <v>84</v>
      </c>
      <c r="I21" s="15" t="s">
        <v>103</v>
      </c>
    </row>
    <row r="22" s="14" customFormat="true" ht="15" hidden="false" customHeight="false" outlineLevel="0" collapsed="false">
      <c r="A22" s="14" t="s">
        <v>71</v>
      </c>
      <c r="B22" s="14" t="s">
        <v>104</v>
      </c>
      <c r="C22" s="14" t="s">
        <v>59</v>
      </c>
      <c r="D22" s="14" t="s">
        <v>105</v>
      </c>
      <c r="E22" s="14" t="s">
        <v>74</v>
      </c>
      <c r="F22" s="14" t="n">
        <v>1</v>
      </c>
      <c r="G22" s="14" t="s">
        <v>92</v>
      </c>
      <c r="H22" s="14" t="s">
        <v>93</v>
      </c>
      <c r="I22" s="14" t="n">
        <v>0.1</v>
      </c>
      <c r="J22" s="14" t="n">
        <v>0.085</v>
      </c>
      <c r="K22" s="14" t="n">
        <v>480</v>
      </c>
      <c r="L22" s="14" t="n">
        <f aca="false">PRODUCT(J22,K22)</f>
        <v>40.8</v>
      </c>
      <c r="M22" s="14" t="n">
        <v>0.358</v>
      </c>
      <c r="N22" s="14" t="s">
        <v>77</v>
      </c>
      <c r="O22" s="14" t="n">
        <f aca="false">PRODUCT(L22,M22)</f>
        <v>14.6064</v>
      </c>
      <c r="P22" s="14" t="n">
        <v>0.12</v>
      </c>
      <c r="Q22" s="14" t="n">
        <f aca="false">I22/P22</f>
        <v>0.833333333333333</v>
      </c>
      <c r="R22" s="14" t="n">
        <f aca="false">1/Q22</f>
        <v>1.2</v>
      </c>
      <c r="S22" s="14" t="s">
        <v>94</v>
      </c>
    </row>
    <row r="23" s="14" customFormat="true" ht="15" hidden="false" customHeight="false" outlineLevel="0" collapsed="false">
      <c r="A23" s="14" t="s">
        <v>71</v>
      </c>
      <c r="B23" s="14" t="s">
        <v>104</v>
      </c>
      <c r="C23" s="14" t="s">
        <v>59</v>
      </c>
      <c r="D23" s="14" t="s">
        <v>105</v>
      </c>
      <c r="E23" s="14" t="s">
        <v>74</v>
      </c>
      <c r="F23" s="14" t="n">
        <v>2</v>
      </c>
      <c r="G23" s="14" t="s">
        <v>78</v>
      </c>
      <c r="H23" s="14" t="s">
        <v>79</v>
      </c>
      <c r="J23" s="14" t="n">
        <v>0.015</v>
      </c>
      <c r="K23" s="14" t="n">
        <v>2070</v>
      </c>
      <c r="L23" s="14" t="n">
        <f aca="false">PRODUCT(J23,K23)</f>
        <v>31.05</v>
      </c>
      <c r="M23" s="14" t="n">
        <v>0.136</v>
      </c>
      <c r="N23" s="14" t="s">
        <v>77</v>
      </c>
      <c r="O23" s="14" t="n">
        <f aca="false">PRODUCT(L23,M23)</f>
        <v>4.2228</v>
      </c>
      <c r="P23" s="14" t="n">
        <v>0.61</v>
      </c>
    </row>
    <row r="24" s="14" customFormat="true" ht="15" hidden="false" customHeight="false" outlineLevel="0" collapsed="false">
      <c r="A24" s="14" t="s">
        <v>71</v>
      </c>
      <c r="B24" s="14" t="s">
        <v>104</v>
      </c>
      <c r="C24" s="14" t="s">
        <v>59</v>
      </c>
      <c r="D24" s="14" t="s">
        <v>105</v>
      </c>
      <c r="E24" s="14" t="s">
        <v>74</v>
      </c>
      <c r="F24" s="14" t="n">
        <v>3</v>
      </c>
      <c r="G24" s="14" t="s">
        <v>80</v>
      </c>
      <c r="H24" s="14" t="s">
        <v>81</v>
      </c>
      <c r="I24" s="14" t="s">
        <v>82</v>
      </c>
      <c r="J24" s="14" t="n">
        <v>0.0001296</v>
      </c>
      <c r="K24" s="14" t="n">
        <v>7800</v>
      </c>
      <c r="L24" s="14" t="n">
        <f aca="false">PRODUCT(J24,K24)</f>
        <v>1.01088</v>
      </c>
      <c r="M24" s="14" t="n">
        <v>4.18</v>
      </c>
      <c r="N24" s="14" t="s">
        <v>77</v>
      </c>
      <c r="O24" s="14" t="n">
        <f aca="false">PRODUCT(L24,M24)</f>
        <v>4.2254784</v>
      </c>
    </row>
    <row r="25" s="14" customFormat="true" ht="15" hidden="false" customHeight="false" outlineLevel="0" collapsed="false">
      <c r="A25" s="14" t="s">
        <v>71</v>
      </c>
      <c r="B25" s="14" t="s">
        <v>104</v>
      </c>
      <c r="C25" s="14" t="s">
        <v>59</v>
      </c>
      <c r="D25" s="14" t="s">
        <v>105</v>
      </c>
      <c r="E25" s="14" t="s">
        <v>74</v>
      </c>
      <c r="F25" s="14" t="n">
        <v>4</v>
      </c>
      <c r="G25" s="14" t="s">
        <v>83</v>
      </c>
      <c r="H25" s="14" t="s">
        <v>84</v>
      </c>
      <c r="O25" s="14" t="n">
        <f aca="false">PRODUCT(L25,M25)</f>
        <v>0</v>
      </c>
    </row>
    <row r="26" s="14" customFormat="true" ht="15" hidden="false" customHeight="false" outlineLevel="0" collapsed="false">
      <c r="A26" s="14" t="s">
        <v>71</v>
      </c>
      <c r="B26" s="14" t="s">
        <v>104</v>
      </c>
      <c r="C26" s="14" t="s">
        <v>59</v>
      </c>
      <c r="D26" s="14" t="s">
        <v>105</v>
      </c>
      <c r="E26" s="14" t="s">
        <v>74</v>
      </c>
      <c r="F26" s="14" t="n">
        <v>5</v>
      </c>
      <c r="G26" s="14" t="s">
        <v>95</v>
      </c>
      <c r="H26" s="14" t="s">
        <v>96</v>
      </c>
      <c r="I26" s="14" t="n">
        <v>0.02</v>
      </c>
      <c r="J26" s="14" t="n">
        <v>0.02</v>
      </c>
      <c r="K26" s="14" t="n">
        <v>2070</v>
      </c>
      <c r="L26" s="14" t="n">
        <f aca="false">PRODUCT(J26,K26)</f>
        <v>41.4</v>
      </c>
      <c r="M26" s="14" t="n">
        <v>0.136</v>
      </c>
      <c r="N26" s="14" t="s">
        <v>77</v>
      </c>
      <c r="O26" s="14" t="n">
        <f aca="false">PRODUCT(L26,M26)</f>
        <v>5.6304</v>
      </c>
      <c r="P26" s="14" t="n">
        <v>0.61</v>
      </c>
      <c r="Q26" s="14" t="n">
        <f aca="false">I26/P26</f>
        <v>0.0327868852459016</v>
      </c>
      <c r="R26" s="14" t="n">
        <f aca="false">1/Q26</f>
        <v>30.5</v>
      </c>
      <c r="S26" s="14" t="s">
        <v>97</v>
      </c>
    </row>
    <row r="27" s="14" customFormat="true" ht="15" hidden="false" customHeight="false" outlineLevel="0" collapsed="false">
      <c r="A27" s="14" t="s">
        <v>71</v>
      </c>
      <c r="B27" s="14" t="s">
        <v>104</v>
      </c>
      <c r="C27" s="14" t="s">
        <v>59</v>
      </c>
      <c r="D27" s="14" t="s">
        <v>105</v>
      </c>
      <c r="E27" s="14" t="s">
        <v>74</v>
      </c>
      <c r="F27" s="14" t="n">
        <v>6</v>
      </c>
      <c r="G27" s="14" t="s">
        <v>98</v>
      </c>
      <c r="H27" s="14" t="s">
        <v>99</v>
      </c>
      <c r="L27" s="14" t="n">
        <v>0.16</v>
      </c>
      <c r="M27" s="14" t="n">
        <v>0.445</v>
      </c>
      <c r="N27" s="14" t="s">
        <v>100</v>
      </c>
      <c r="O27" s="14" t="n">
        <v>0.445</v>
      </c>
    </row>
    <row r="28" s="15" customFormat="true" ht="15" hidden="false" customHeight="false" outlineLevel="0" collapsed="false">
      <c r="A28" s="15" t="s">
        <v>71</v>
      </c>
      <c r="B28" s="15" t="s">
        <v>106</v>
      </c>
      <c r="C28" s="15" t="s">
        <v>59</v>
      </c>
      <c r="D28" s="15" t="s">
        <v>107</v>
      </c>
      <c r="E28" s="15" t="s">
        <v>74</v>
      </c>
      <c r="F28" s="15" t="n">
        <v>1</v>
      </c>
      <c r="G28" s="15" t="s">
        <v>95</v>
      </c>
      <c r="H28" s="15" t="s">
        <v>96</v>
      </c>
      <c r="I28" s="15" t="n">
        <v>0.02</v>
      </c>
      <c r="J28" s="15" t="n">
        <v>0.02</v>
      </c>
      <c r="K28" s="15" t="n">
        <v>2070</v>
      </c>
      <c r="L28" s="15" t="n">
        <f aca="false">PRODUCT(J28,K28)</f>
        <v>41.4</v>
      </c>
      <c r="M28" s="15" t="n">
        <v>0.136</v>
      </c>
      <c r="N28" s="15" t="s">
        <v>77</v>
      </c>
      <c r="O28" s="15" t="n">
        <f aca="false">PRODUCT(L28,M28)</f>
        <v>5.6304</v>
      </c>
      <c r="P28" s="15" t="n">
        <v>0.61</v>
      </c>
      <c r="Q28" s="15" t="n">
        <f aca="false">I28/P28</f>
        <v>0.0327868852459016</v>
      </c>
      <c r="R28" s="15" t="n">
        <f aca="false">1/Q28</f>
        <v>30.5</v>
      </c>
      <c r="S28" s="15" t="s">
        <v>97</v>
      </c>
    </row>
    <row r="29" s="15" customFormat="true" ht="15" hidden="false" customHeight="false" outlineLevel="0" collapsed="false">
      <c r="A29" s="15" t="s">
        <v>71</v>
      </c>
      <c r="B29" s="15" t="s">
        <v>106</v>
      </c>
      <c r="C29" s="15" t="s">
        <v>59</v>
      </c>
      <c r="D29" s="15" t="s">
        <v>107</v>
      </c>
      <c r="E29" s="15" t="s">
        <v>74</v>
      </c>
      <c r="F29" s="15" t="n">
        <v>2</v>
      </c>
      <c r="G29" s="15" t="s">
        <v>98</v>
      </c>
      <c r="H29" s="15" t="s">
        <v>99</v>
      </c>
      <c r="L29" s="15" t="n">
        <v>0.16</v>
      </c>
      <c r="M29" s="15" t="n">
        <v>0.445</v>
      </c>
      <c r="N29" s="15" t="s">
        <v>100</v>
      </c>
      <c r="O29" s="15" t="n">
        <v>0.445</v>
      </c>
    </row>
    <row r="30" s="14" customFormat="true" ht="15" hidden="false" customHeight="false" outlineLevel="0" collapsed="false">
      <c r="A30" s="14" t="s">
        <v>71</v>
      </c>
      <c r="B30" s="14" t="s">
        <v>108</v>
      </c>
      <c r="C30" s="14" t="s">
        <v>59</v>
      </c>
      <c r="D30" s="14" t="s">
        <v>109</v>
      </c>
      <c r="E30" s="14" t="s">
        <v>74</v>
      </c>
      <c r="F30" s="14" t="n">
        <v>1</v>
      </c>
      <c r="G30" s="14" t="s">
        <v>110</v>
      </c>
      <c r="H30" s="14" t="s">
        <v>111</v>
      </c>
      <c r="I30" s="14" t="n">
        <v>12.5</v>
      </c>
      <c r="L30" s="14" t="n">
        <v>16</v>
      </c>
      <c r="M30" s="14" t="n">
        <v>4.85</v>
      </c>
      <c r="N30" s="14" t="s">
        <v>100</v>
      </c>
      <c r="O30" s="14" t="n">
        <v>4.85</v>
      </c>
      <c r="P30" s="14" t="n">
        <v>0.35</v>
      </c>
    </row>
    <row r="31" s="14" customFormat="true" ht="15" hidden="false" customHeight="false" outlineLevel="0" collapsed="false">
      <c r="A31" s="14" t="s">
        <v>71</v>
      </c>
      <c r="B31" s="14" t="s">
        <v>108</v>
      </c>
      <c r="C31" s="14" t="s">
        <v>59</v>
      </c>
      <c r="D31" s="14" t="s">
        <v>109</v>
      </c>
      <c r="E31" s="14" t="s">
        <v>74</v>
      </c>
      <c r="F31" s="14" t="n">
        <v>2</v>
      </c>
      <c r="G31" s="14" t="s">
        <v>112</v>
      </c>
      <c r="H31" s="14" t="s">
        <v>113</v>
      </c>
      <c r="I31" s="14" t="s">
        <v>114</v>
      </c>
      <c r="J31" s="14" t="n">
        <v>0.0025</v>
      </c>
      <c r="K31" s="14" t="n">
        <v>510</v>
      </c>
      <c r="L31" s="14" t="n">
        <f aca="false">PRODUCT(J31,K31)</f>
        <v>1.275</v>
      </c>
      <c r="M31" s="14" t="n">
        <v>41.5</v>
      </c>
      <c r="N31" s="14" t="s">
        <v>115</v>
      </c>
      <c r="O31" s="14" t="n">
        <f aca="false">PRODUCT(J31,M31)</f>
        <v>0.10375</v>
      </c>
      <c r="P31" s="14" t="n">
        <v>0.12</v>
      </c>
    </row>
    <row r="32" s="14" customFormat="true" ht="15" hidden="false" customHeight="false" outlineLevel="0" collapsed="false">
      <c r="A32" s="14" t="s">
        <v>71</v>
      </c>
      <c r="B32" s="14" t="s">
        <v>108</v>
      </c>
      <c r="C32" s="14" t="s">
        <v>59</v>
      </c>
      <c r="D32" s="14" t="s">
        <v>109</v>
      </c>
      <c r="E32" s="14" t="s">
        <v>74</v>
      </c>
      <c r="F32" s="14" t="n">
        <v>3</v>
      </c>
      <c r="G32" s="14" t="s">
        <v>95</v>
      </c>
      <c r="H32" s="14" t="s">
        <v>96</v>
      </c>
      <c r="I32" s="14" t="n">
        <v>20</v>
      </c>
      <c r="J32" s="14" t="n">
        <v>0.02</v>
      </c>
      <c r="K32" s="14" t="n">
        <v>2070</v>
      </c>
      <c r="L32" s="14" t="n">
        <f aca="false">PRODUCT(J32,K32)</f>
        <v>41.4</v>
      </c>
      <c r="M32" s="14" t="n">
        <v>0.136</v>
      </c>
      <c r="N32" s="14" t="s">
        <v>77</v>
      </c>
      <c r="O32" s="14" t="n">
        <f aca="false">PRODUCT(L32,M32)</f>
        <v>5.6304</v>
      </c>
      <c r="P32" s="14" t="n">
        <v>0.61</v>
      </c>
      <c r="S32" s="14" t="s">
        <v>97</v>
      </c>
    </row>
    <row r="33" s="14" customFormat="true" ht="15" hidden="false" customHeight="false" outlineLevel="0" collapsed="false">
      <c r="A33" s="14" t="s">
        <v>71</v>
      </c>
      <c r="B33" s="14" t="s">
        <v>108</v>
      </c>
      <c r="C33" s="14" t="s">
        <v>59</v>
      </c>
      <c r="D33" s="14" t="s">
        <v>109</v>
      </c>
      <c r="E33" s="14" t="s">
        <v>74</v>
      </c>
      <c r="F33" s="14" t="n">
        <v>4</v>
      </c>
      <c r="G33" s="14" t="s">
        <v>98</v>
      </c>
      <c r="H33" s="14" t="s">
        <v>99</v>
      </c>
      <c r="L33" s="14" t="n">
        <v>0.16</v>
      </c>
      <c r="M33" s="14" t="n">
        <v>0.445</v>
      </c>
      <c r="N33" s="14" t="s">
        <v>100</v>
      </c>
      <c r="O33" s="14" t="n">
        <v>0.445</v>
      </c>
    </row>
    <row r="34" s="14" customFormat="true" ht="15" hidden="false" customHeight="false" outlineLevel="0" collapsed="false">
      <c r="A34" s="14" t="s">
        <v>71</v>
      </c>
      <c r="B34" s="14" t="s">
        <v>108</v>
      </c>
      <c r="C34" s="14" t="s">
        <v>59</v>
      </c>
      <c r="D34" s="14" t="s">
        <v>109</v>
      </c>
      <c r="E34" s="14" t="s">
        <v>74</v>
      </c>
      <c r="F34" s="14" t="n">
        <v>5</v>
      </c>
      <c r="G34" s="14" t="s">
        <v>116</v>
      </c>
      <c r="H34" s="14" t="s">
        <v>117</v>
      </c>
    </row>
    <row r="35" s="15" customFormat="true" ht="15" hidden="false" customHeight="false" outlineLevel="0" collapsed="false">
      <c r="A35" s="15" t="s">
        <v>71</v>
      </c>
      <c r="B35" s="15" t="s">
        <v>118</v>
      </c>
      <c r="C35" s="15" t="s">
        <v>39</v>
      </c>
      <c r="D35" s="15" t="s">
        <v>119</v>
      </c>
      <c r="E35" s="15" t="s">
        <v>74</v>
      </c>
      <c r="F35" s="15" t="n">
        <v>1</v>
      </c>
      <c r="G35" s="15" t="s">
        <v>120</v>
      </c>
      <c r="H35" s="15" t="s">
        <v>121</v>
      </c>
      <c r="I35" s="15" t="n">
        <v>20</v>
      </c>
      <c r="J35" s="15" t="n">
        <v>0.02</v>
      </c>
      <c r="K35" s="15" t="n">
        <v>510</v>
      </c>
      <c r="L35" s="15" t="n">
        <f aca="false">PRODUCT(J35,K35)</f>
        <v>10.2</v>
      </c>
      <c r="M35" s="15" t="n">
        <v>0.263</v>
      </c>
      <c r="N35" s="15" t="s">
        <v>77</v>
      </c>
      <c r="O35" s="15" t="n">
        <f aca="false">PRODUCT(L35,M35)</f>
        <v>2.6826</v>
      </c>
    </row>
    <row r="36" s="15" customFormat="true" ht="15" hidden="false" customHeight="false" outlineLevel="0" collapsed="false">
      <c r="A36" s="15" t="s">
        <v>71</v>
      </c>
      <c r="B36" s="15" t="s">
        <v>118</v>
      </c>
      <c r="C36" s="15" t="s">
        <v>39</v>
      </c>
      <c r="D36" s="15" t="s">
        <v>119</v>
      </c>
      <c r="E36" s="15" t="s">
        <v>74</v>
      </c>
      <c r="F36" s="15" t="n">
        <v>2</v>
      </c>
      <c r="G36" s="15" t="s">
        <v>122</v>
      </c>
      <c r="H36" s="15" t="s">
        <v>123</v>
      </c>
      <c r="I36" s="15" t="s">
        <v>114</v>
      </c>
      <c r="J36" s="15" t="n">
        <v>0.0025</v>
      </c>
      <c r="K36" s="15" t="n">
        <v>510</v>
      </c>
      <c r="L36" s="15" t="n">
        <f aca="false">PRODUCT(J36,K36)</f>
        <v>1.275</v>
      </c>
      <c r="M36" s="15" t="n">
        <v>41.5</v>
      </c>
      <c r="N36" s="15" t="s">
        <v>115</v>
      </c>
      <c r="O36" s="15" t="n">
        <f aca="false">PRODUCT(J36,M36)</f>
        <v>0.10375</v>
      </c>
    </row>
    <row r="37" s="15" customFormat="true" ht="15" hidden="false" customHeight="false" outlineLevel="0" collapsed="false">
      <c r="A37" s="15" t="s">
        <v>71</v>
      </c>
      <c r="B37" s="15" t="s">
        <v>118</v>
      </c>
      <c r="C37" s="15" t="s">
        <v>39</v>
      </c>
      <c r="D37" s="15" t="s">
        <v>119</v>
      </c>
      <c r="E37" s="15" t="s">
        <v>74</v>
      </c>
      <c r="F37" s="15" t="n">
        <v>3</v>
      </c>
      <c r="G37" s="15" t="s">
        <v>124</v>
      </c>
      <c r="H37" s="15" t="s">
        <v>125</v>
      </c>
      <c r="I37" s="15" t="n">
        <v>1</v>
      </c>
      <c r="J37" s="15" t="n">
        <v>0.001</v>
      </c>
      <c r="L37" s="15" t="n">
        <f aca="false">PRODUCT(J37,K37)</f>
        <v>0.001</v>
      </c>
      <c r="M37" s="15" t="n">
        <v>2.152</v>
      </c>
    </row>
    <row r="38" s="15" customFormat="true" ht="15" hidden="false" customHeight="false" outlineLevel="0" collapsed="false">
      <c r="A38" s="15" t="s">
        <v>71</v>
      </c>
      <c r="B38" s="15" t="s">
        <v>118</v>
      </c>
      <c r="C38" s="15" t="s">
        <v>39</v>
      </c>
      <c r="D38" s="15" t="s">
        <v>119</v>
      </c>
      <c r="E38" s="15" t="s">
        <v>74</v>
      </c>
      <c r="F38" s="15" t="n">
        <v>4</v>
      </c>
      <c r="G38" s="15" t="s">
        <v>116</v>
      </c>
      <c r="H38" s="15" t="s">
        <v>117</v>
      </c>
    </row>
    <row r="39" s="14" customFormat="true" ht="15" hidden="false" customHeight="false" outlineLevel="0" collapsed="false">
      <c r="A39" s="14" t="s">
        <v>71</v>
      </c>
      <c r="B39" s="14" t="s">
        <v>126</v>
      </c>
      <c r="C39" s="14" t="s">
        <v>39</v>
      </c>
      <c r="D39" s="14" t="s">
        <v>127</v>
      </c>
      <c r="E39" s="14" t="s">
        <v>74</v>
      </c>
      <c r="F39" s="14" t="n">
        <v>1</v>
      </c>
      <c r="G39" s="14" t="s">
        <v>120</v>
      </c>
      <c r="H39" s="14" t="s">
        <v>121</v>
      </c>
      <c r="I39" s="14" t="n">
        <v>38</v>
      </c>
      <c r="J39" s="14" t="n">
        <v>0.02</v>
      </c>
      <c r="K39" s="14" t="n">
        <v>510</v>
      </c>
      <c r="L39" s="14" t="n">
        <f aca="false">PRODUCT(J39,K39)</f>
        <v>10.2</v>
      </c>
      <c r="M39" s="14" t="n">
        <v>0.263</v>
      </c>
      <c r="N39" s="14" t="s">
        <v>77</v>
      </c>
      <c r="O39" s="14" t="n">
        <f aca="false">PRODUCT(L39,M39)</f>
        <v>2.6826</v>
      </c>
    </row>
    <row r="40" s="14" customFormat="true" ht="15" hidden="false" customHeight="false" outlineLevel="0" collapsed="false">
      <c r="A40" s="14" t="s">
        <v>71</v>
      </c>
      <c r="B40" s="14" t="s">
        <v>126</v>
      </c>
      <c r="C40" s="14" t="s">
        <v>39</v>
      </c>
      <c r="D40" s="14" t="s">
        <v>127</v>
      </c>
      <c r="E40" s="14" t="s">
        <v>74</v>
      </c>
      <c r="F40" s="14" t="n">
        <v>2</v>
      </c>
      <c r="G40" s="14" t="s">
        <v>122</v>
      </c>
      <c r="H40" s="14" t="s">
        <v>123</v>
      </c>
      <c r="I40" s="14" t="s">
        <v>114</v>
      </c>
      <c r="J40" s="14" t="n">
        <v>0.0025</v>
      </c>
      <c r="K40" s="14" t="n">
        <v>510</v>
      </c>
      <c r="L40" s="14" t="n">
        <f aca="false">PRODUCT(J40,K40)</f>
        <v>1.275</v>
      </c>
      <c r="M40" s="14" t="n">
        <v>41.5</v>
      </c>
      <c r="N40" s="14" t="s">
        <v>115</v>
      </c>
      <c r="O40" s="14" t="n">
        <f aca="false">PRODUCT(J40,M40)</f>
        <v>0.10375</v>
      </c>
    </row>
    <row r="41" s="14" customFormat="true" ht="15" hidden="false" customHeight="false" outlineLevel="0" collapsed="false">
      <c r="A41" s="14" t="s">
        <v>71</v>
      </c>
      <c r="B41" s="14" t="s">
        <v>126</v>
      </c>
      <c r="C41" s="14" t="s">
        <v>39</v>
      </c>
      <c r="D41" s="14" t="s">
        <v>127</v>
      </c>
      <c r="E41" s="14" t="s">
        <v>74</v>
      </c>
      <c r="F41" s="14" t="n">
        <v>3</v>
      </c>
      <c r="G41" s="14" t="s">
        <v>122</v>
      </c>
      <c r="H41" s="14" t="s">
        <v>123</v>
      </c>
      <c r="I41" s="14" t="s">
        <v>114</v>
      </c>
      <c r="J41" s="14" t="n">
        <v>0.0025</v>
      </c>
      <c r="K41" s="14" t="n">
        <v>510</v>
      </c>
      <c r="L41" s="14" t="n">
        <f aca="false">PRODUCT(J41,K41)</f>
        <v>1.275</v>
      </c>
      <c r="M41" s="14" t="n">
        <v>41.5</v>
      </c>
      <c r="N41" s="14" t="s">
        <v>115</v>
      </c>
      <c r="O41" s="14" t="n">
        <f aca="false">PRODUCT(J41,M41)</f>
        <v>0.10375</v>
      </c>
    </row>
    <row r="42" s="14" customFormat="true" ht="15" hidden="false" customHeight="false" outlineLevel="0" collapsed="false">
      <c r="A42" s="14" t="s">
        <v>71</v>
      </c>
      <c r="B42" s="14" t="s">
        <v>126</v>
      </c>
      <c r="C42" s="14" t="s">
        <v>39</v>
      </c>
      <c r="D42" s="14" t="s">
        <v>127</v>
      </c>
      <c r="E42" s="14" t="s">
        <v>74</v>
      </c>
      <c r="F42" s="14" t="n">
        <v>4</v>
      </c>
      <c r="G42" s="14" t="s">
        <v>124</v>
      </c>
      <c r="H42" s="14" t="s">
        <v>125</v>
      </c>
      <c r="I42" s="14" t="n">
        <v>1</v>
      </c>
      <c r="J42" s="14" t="n">
        <v>0.001</v>
      </c>
      <c r="L42" s="14" t="n">
        <f aca="false">PRODUCT(J42,K42)</f>
        <v>0.001</v>
      </c>
      <c r="M42" s="14" t="n">
        <v>2.152</v>
      </c>
    </row>
    <row r="43" s="14" customFormat="true" ht="15" hidden="false" customHeight="false" outlineLevel="0" collapsed="false">
      <c r="A43" s="14" t="s">
        <v>71</v>
      </c>
      <c r="B43" s="14" t="s">
        <v>126</v>
      </c>
      <c r="C43" s="14" t="s">
        <v>39</v>
      </c>
      <c r="D43" s="14" t="s">
        <v>127</v>
      </c>
      <c r="E43" s="14" t="s">
        <v>74</v>
      </c>
      <c r="F43" s="14" t="n">
        <v>5</v>
      </c>
      <c r="G43" s="14" t="s">
        <v>116</v>
      </c>
      <c r="H43" s="14" t="s">
        <v>117</v>
      </c>
    </row>
    <row r="44" s="15" customFormat="true" ht="15" hidden="false" customHeight="false" outlineLevel="0" collapsed="false">
      <c r="A44" s="15" t="s">
        <v>71</v>
      </c>
      <c r="B44" s="15" t="s">
        <v>126</v>
      </c>
      <c r="C44" s="15" t="s">
        <v>59</v>
      </c>
      <c r="D44" s="15" t="s">
        <v>128</v>
      </c>
      <c r="E44" s="15" t="s">
        <v>74</v>
      </c>
      <c r="F44" s="15" t="n">
        <v>1</v>
      </c>
      <c r="G44" s="15" t="s">
        <v>129</v>
      </c>
      <c r="H44" s="15" t="s">
        <v>130</v>
      </c>
      <c r="L44" s="15" t="n">
        <v>48.7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"/>
  <sheetViews>
    <sheetView showFormulas="false" showGridLines="true" showRowColHeaders="true" showZeros="true" rightToLeft="false" tabSelected="true" showOutlineSymbols="true" defaultGridColor="true" view="normal" topLeftCell="A1" colorId="64" zoomScale="91" zoomScaleNormal="91" zoomScalePageLayoutView="100" workbookViewId="0">
      <pane xSplit="0" ySplit="1" topLeftCell="A2" activePane="bottomLeft" state="frozen"/>
      <selection pane="topLeft" activeCell="A1" activeCellId="0" sqref="A1"/>
      <selection pane="bottomLeft" activeCell="G9" activeCellId="0" sqref="G9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20.71"/>
    <col collapsed="false" customWidth="true" hidden="false" outlineLevel="0" max="4" min="4" style="0" width="53.51"/>
    <col collapsed="false" customWidth="true" hidden="false" outlineLevel="0" max="6" min="5" style="0" width="20.71"/>
    <col collapsed="false" customWidth="true" hidden="false" outlineLevel="0" max="7" min="7" style="0" width="40.71"/>
    <col collapsed="false" customWidth="true" hidden="false" outlineLevel="0" max="8" min="8" style="0" width="31.79"/>
    <col collapsed="false" customWidth="true" hidden="false" outlineLevel="0" max="17" min="9" style="0" width="20.71"/>
    <col collapsed="false" customWidth="true" hidden="false" outlineLevel="0" max="18" min="18" style="0" width="30.71"/>
    <col collapsed="false" customWidth="true" hidden="false" outlineLevel="0" max="19" min="19" style="0" width="25.71"/>
    <col collapsed="false" customWidth="true" hidden="false" outlineLevel="0" max="20" min="20" style="0" width="22.71"/>
  </cols>
  <sheetData>
    <row r="1" s="2" customFormat="true" ht="39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131</v>
      </c>
      <c r="J1" s="1" t="s">
        <v>132</v>
      </c>
      <c r="K1" s="16" t="s">
        <v>133</v>
      </c>
      <c r="L1" s="1" t="s">
        <v>8</v>
      </c>
      <c r="M1" s="1" t="s">
        <v>10</v>
      </c>
      <c r="N1" s="1" t="s">
        <v>12</v>
      </c>
      <c r="O1" s="1" t="s">
        <v>13</v>
      </c>
      <c r="P1" s="1" t="s">
        <v>14</v>
      </c>
      <c r="Q1" s="1" t="s">
        <v>134</v>
      </c>
      <c r="R1" s="1" t="s">
        <v>16</v>
      </c>
      <c r="S1" s="1" t="s">
        <v>17</v>
      </c>
      <c r="T1" s="1" t="s">
        <v>18</v>
      </c>
    </row>
    <row r="2" s="7" customFormat="true" ht="35.05" hidden="false" customHeight="false" outlineLevel="0" collapsed="false">
      <c r="A2" s="7" t="s">
        <v>135</v>
      </c>
      <c r="B2" s="7" t="s">
        <v>136</v>
      </c>
      <c r="C2" s="7" t="s">
        <v>39</v>
      </c>
      <c r="D2" s="17" t="s">
        <v>137</v>
      </c>
      <c r="E2" s="7" t="s">
        <v>138</v>
      </c>
      <c r="F2" s="7" t="n">
        <v>1</v>
      </c>
      <c r="G2" s="7" t="s">
        <v>139</v>
      </c>
      <c r="H2" s="7" t="s">
        <v>140</v>
      </c>
      <c r="K2" s="7" t="n">
        <v>2.4</v>
      </c>
      <c r="L2" s="7" t="n">
        <v>2.4</v>
      </c>
      <c r="M2" s="7" t="n">
        <v>0.018</v>
      </c>
      <c r="N2" s="7" t="n">
        <v>1</v>
      </c>
      <c r="O2" s="7" t="n">
        <f aca="false">K2*L2*M2*N2</f>
        <v>0.10368</v>
      </c>
      <c r="P2" s="7" t="n">
        <v>600</v>
      </c>
      <c r="Q2" s="7" t="n">
        <f aca="false">O2*P2</f>
        <v>62.208</v>
      </c>
      <c r="R2" s="7" t="n">
        <v>0.455</v>
      </c>
      <c r="S2" s="7" t="n">
        <f aca="false">(Q2*R2)</f>
        <v>28.30464</v>
      </c>
      <c r="T2" s="7" t="n">
        <f aca="false">S2/5.76</f>
        <v>4.914</v>
      </c>
    </row>
    <row r="3" s="7" customFormat="true" ht="35.05" hidden="false" customHeight="false" outlineLevel="0" collapsed="false">
      <c r="A3" s="7" t="s">
        <v>135</v>
      </c>
      <c r="B3" s="7" t="s">
        <v>136</v>
      </c>
      <c r="C3" s="7" t="s">
        <v>39</v>
      </c>
      <c r="D3" s="17" t="s">
        <v>137</v>
      </c>
      <c r="E3" s="7" t="s">
        <v>138</v>
      </c>
      <c r="F3" s="7" t="n">
        <v>2</v>
      </c>
      <c r="G3" s="7" t="s">
        <v>32</v>
      </c>
      <c r="H3" s="7" t="s">
        <v>141</v>
      </c>
      <c r="K3" s="7" t="n">
        <v>0.041</v>
      </c>
      <c r="L3" s="7" t="n">
        <v>2.4</v>
      </c>
      <c r="M3" s="7" t="n">
        <v>0.222</v>
      </c>
      <c r="N3" s="7" t="n">
        <v>14</v>
      </c>
      <c r="O3" s="7" t="n">
        <f aca="false">K3*L3*M3*N3</f>
        <v>0.3058272</v>
      </c>
      <c r="P3" s="7" t="n">
        <v>80</v>
      </c>
      <c r="Q3" s="7" t="n">
        <f aca="false">O3*P3</f>
        <v>24.466176</v>
      </c>
      <c r="R3" s="7" t="n">
        <v>1.25</v>
      </c>
      <c r="S3" s="7" t="n">
        <f aca="false">(Q3*R3)</f>
        <v>30.58272</v>
      </c>
      <c r="T3" s="7" t="n">
        <f aca="false">S3/5.76</f>
        <v>5.3095</v>
      </c>
    </row>
    <row r="4" s="7" customFormat="true" ht="35.05" hidden="false" customHeight="false" outlineLevel="0" collapsed="false">
      <c r="A4" s="7" t="s">
        <v>135</v>
      </c>
      <c r="B4" s="7" t="s">
        <v>136</v>
      </c>
      <c r="C4" s="7" t="s">
        <v>39</v>
      </c>
      <c r="D4" s="17" t="s">
        <v>137</v>
      </c>
      <c r="E4" s="7" t="s">
        <v>138</v>
      </c>
      <c r="F4" s="7" t="n">
        <v>3</v>
      </c>
      <c r="G4" s="7" t="s">
        <v>142</v>
      </c>
      <c r="H4" s="7" t="s">
        <v>143</v>
      </c>
      <c r="K4" s="7" t="n">
        <v>0.039</v>
      </c>
      <c r="L4" s="7" t="n">
        <v>2.4</v>
      </c>
      <c r="M4" s="7" t="n">
        <v>0.09</v>
      </c>
      <c r="N4" s="7" t="n">
        <v>14</v>
      </c>
      <c r="O4" s="7" t="n">
        <f aca="false">K4*L4*M4*N4</f>
        <v>0.117936</v>
      </c>
      <c r="P4" s="7" t="n">
        <v>595.92</v>
      </c>
      <c r="Q4" s="7" t="n">
        <f aca="false">O4*P4</f>
        <v>70.28042112</v>
      </c>
      <c r="R4" s="7" t="n">
        <v>0.39</v>
      </c>
      <c r="S4" s="7" t="n">
        <f aca="false">(Q4*R4)</f>
        <v>27.4093642368</v>
      </c>
      <c r="T4" s="7" t="n">
        <f aca="false">S4/5.76</f>
        <v>4.75857018</v>
      </c>
    </row>
    <row r="5" s="7" customFormat="true" ht="35.05" hidden="false" customHeight="false" outlineLevel="0" collapsed="false">
      <c r="A5" s="7" t="s">
        <v>135</v>
      </c>
      <c r="B5" s="7" t="s">
        <v>136</v>
      </c>
      <c r="C5" s="7" t="s">
        <v>39</v>
      </c>
      <c r="D5" s="17" t="s">
        <v>137</v>
      </c>
      <c r="E5" s="7" t="s">
        <v>138</v>
      </c>
      <c r="F5" s="7" t="n">
        <v>4</v>
      </c>
      <c r="G5" s="7" t="s">
        <v>144</v>
      </c>
      <c r="H5" s="7" t="s">
        <v>145</v>
      </c>
      <c r="K5" s="7" t="n">
        <v>0.242</v>
      </c>
      <c r="L5" s="7" t="n">
        <v>2.4</v>
      </c>
      <c r="M5" s="7" t="n">
        <v>0.008</v>
      </c>
      <c r="N5" s="7" t="n">
        <v>7</v>
      </c>
      <c r="O5" s="7" t="n">
        <f aca="false">K5*L5*M5*N5</f>
        <v>0.0325248</v>
      </c>
      <c r="P5" s="7" t="n">
        <v>600</v>
      </c>
      <c r="Q5" s="7" t="n">
        <f aca="false">O5*P5</f>
        <v>19.51488</v>
      </c>
      <c r="R5" s="7" t="n">
        <v>0.455</v>
      </c>
      <c r="S5" s="7" t="n">
        <f aca="false">(Q5*R5)</f>
        <v>8.8792704</v>
      </c>
      <c r="T5" s="7" t="n">
        <f aca="false">S5/5.76</f>
        <v>1.54154</v>
      </c>
    </row>
    <row r="6" s="18" customFormat="true" ht="35.05" hidden="false" customHeight="false" outlineLevel="0" collapsed="false">
      <c r="A6" s="18" t="s">
        <v>135</v>
      </c>
      <c r="B6" s="18" t="s">
        <v>146</v>
      </c>
      <c r="C6" s="18" t="s">
        <v>39</v>
      </c>
      <c r="D6" s="19" t="s">
        <v>147</v>
      </c>
      <c r="E6" s="18" t="s">
        <v>138</v>
      </c>
      <c r="F6" s="18" t="n">
        <v>1</v>
      </c>
      <c r="G6" s="18" t="s">
        <v>139</v>
      </c>
      <c r="H6" s="18" t="s">
        <v>140</v>
      </c>
      <c r="K6" s="18" t="n">
        <v>2.4</v>
      </c>
      <c r="L6" s="18" t="n">
        <v>2.4</v>
      </c>
      <c r="M6" s="18" t="n">
        <v>0.018</v>
      </c>
      <c r="N6" s="18" t="n">
        <v>1</v>
      </c>
      <c r="O6" s="18" t="n">
        <f aca="false">K6*L6*M6*N6</f>
        <v>0.10368</v>
      </c>
      <c r="P6" s="18" t="n">
        <v>600</v>
      </c>
      <c r="Q6" s="18" t="n">
        <f aca="false">O6*P6</f>
        <v>62.208</v>
      </c>
      <c r="R6" s="18" t="n">
        <v>0.455</v>
      </c>
      <c r="S6" s="18" t="n">
        <f aca="false">(Q6*R6)</f>
        <v>28.30464</v>
      </c>
      <c r="T6" s="18" t="n">
        <f aca="false">S6/5.76</f>
        <v>4.914</v>
      </c>
    </row>
    <row r="7" s="18" customFormat="true" ht="35.05" hidden="false" customHeight="false" outlineLevel="0" collapsed="false">
      <c r="A7" s="18" t="s">
        <v>135</v>
      </c>
      <c r="B7" s="18" t="s">
        <v>146</v>
      </c>
      <c r="C7" s="18" t="s">
        <v>39</v>
      </c>
      <c r="D7" s="19" t="s">
        <v>147</v>
      </c>
      <c r="E7" s="18" t="s">
        <v>138</v>
      </c>
      <c r="F7" s="18" t="n">
        <v>2</v>
      </c>
      <c r="G7" s="18" t="s">
        <v>148</v>
      </c>
      <c r="H7" s="18" t="s">
        <v>149</v>
      </c>
      <c r="K7" s="18" t="n">
        <v>0.097</v>
      </c>
      <c r="L7" s="18" t="n">
        <v>2.4</v>
      </c>
      <c r="M7" s="18" t="n">
        <v>0.047</v>
      </c>
      <c r="N7" s="18" t="n">
        <v>14</v>
      </c>
      <c r="O7" s="18" t="n">
        <f aca="false">K7*L7*M7*N7</f>
        <v>0.1531824</v>
      </c>
      <c r="P7" s="18" t="n">
        <v>544</v>
      </c>
      <c r="Q7" s="18" t="n">
        <f aca="false">O7*P7</f>
        <v>83.3312256</v>
      </c>
      <c r="R7" s="18" t="n">
        <v>0.33</v>
      </c>
      <c r="S7" s="18" t="n">
        <f aca="false">(Q7*R7)</f>
        <v>27.499304448</v>
      </c>
      <c r="T7" s="18" t="n">
        <f aca="false">S7/5.76</f>
        <v>4.7741848</v>
      </c>
    </row>
    <row r="8" s="18" customFormat="true" ht="35.05" hidden="false" customHeight="false" outlineLevel="0" collapsed="false">
      <c r="A8" s="18" t="s">
        <v>135</v>
      </c>
      <c r="B8" s="18" t="s">
        <v>146</v>
      </c>
      <c r="C8" s="18" t="s">
        <v>39</v>
      </c>
      <c r="D8" s="19" t="s">
        <v>147</v>
      </c>
      <c r="E8" s="18" t="s">
        <v>138</v>
      </c>
      <c r="F8" s="18" t="n">
        <v>3</v>
      </c>
      <c r="G8" s="18" t="s">
        <v>150</v>
      </c>
      <c r="H8" s="18" t="s">
        <v>151</v>
      </c>
      <c r="K8" s="18" t="n">
        <v>0.097</v>
      </c>
      <c r="L8" s="18" t="n">
        <v>2.3</v>
      </c>
      <c r="M8" s="18" t="n">
        <v>0.047</v>
      </c>
      <c r="N8" s="18" t="n">
        <v>2</v>
      </c>
      <c r="O8" s="18" t="n">
        <f aca="false">K8*L8*M8*N8</f>
        <v>0.0209714</v>
      </c>
      <c r="P8" s="18" t="n">
        <v>544</v>
      </c>
      <c r="Q8" s="18" t="n">
        <f aca="false">O8*P8</f>
        <v>11.4084416</v>
      </c>
      <c r="R8" s="18" t="n">
        <v>0.33</v>
      </c>
      <c r="S8" s="18" t="n">
        <f aca="false">(Q8*R8)</f>
        <v>3.764785728</v>
      </c>
      <c r="T8" s="18" t="n">
        <f aca="false">S8/5.76</f>
        <v>0.653608633333333</v>
      </c>
    </row>
    <row r="9" s="18" customFormat="true" ht="35.05" hidden="false" customHeight="false" outlineLevel="0" collapsed="false">
      <c r="A9" s="18" t="s">
        <v>135</v>
      </c>
      <c r="B9" s="18" t="s">
        <v>146</v>
      </c>
      <c r="C9" s="18" t="s">
        <v>39</v>
      </c>
      <c r="D9" s="19" t="s">
        <v>147</v>
      </c>
      <c r="E9" s="18" t="s">
        <v>138</v>
      </c>
      <c r="F9" s="18" t="n">
        <v>4</v>
      </c>
      <c r="G9" s="18" t="s">
        <v>152</v>
      </c>
      <c r="H9" s="18" t="s">
        <v>153</v>
      </c>
      <c r="K9" s="18" t="n">
        <v>0.097</v>
      </c>
      <c r="L9" s="18" t="n">
        <v>0.21</v>
      </c>
      <c r="M9" s="18" t="n">
        <v>0.047</v>
      </c>
      <c r="N9" s="18" t="n">
        <v>14</v>
      </c>
      <c r="O9" s="18" t="n">
        <f aca="false">K9*L9*M9*N9</f>
        <v>0.01340346</v>
      </c>
      <c r="P9" s="18" t="n">
        <v>544</v>
      </c>
      <c r="Q9" s="18" t="n">
        <f aca="false">O9*P9</f>
        <v>7.29148224</v>
      </c>
      <c r="R9" s="18" t="n">
        <v>0.33</v>
      </c>
      <c r="S9" s="18" t="n">
        <f aca="false">(Q9*R9)</f>
        <v>2.4061891392</v>
      </c>
      <c r="T9" s="18" t="n">
        <f aca="false">S9/5.76</f>
        <v>0.41774117</v>
      </c>
    </row>
    <row r="10" s="18" customFormat="true" ht="35.05" hidden="false" customHeight="false" outlineLevel="0" collapsed="false">
      <c r="A10" s="18" t="s">
        <v>135</v>
      </c>
      <c r="B10" s="18" t="s">
        <v>146</v>
      </c>
      <c r="C10" s="18" t="s">
        <v>39</v>
      </c>
      <c r="D10" s="19" t="s">
        <v>147</v>
      </c>
      <c r="E10" s="18" t="s">
        <v>138</v>
      </c>
      <c r="F10" s="18" t="n">
        <v>5</v>
      </c>
      <c r="G10" s="18" t="s">
        <v>154</v>
      </c>
      <c r="H10" s="18" t="s">
        <v>155</v>
      </c>
      <c r="I10" s="18" t="n">
        <v>9.5</v>
      </c>
      <c r="J10" s="18" t="n">
        <v>0.105</v>
      </c>
      <c r="L10" s="18" t="n">
        <v>2.4</v>
      </c>
      <c r="N10" s="18" t="n">
        <v>14</v>
      </c>
      <c r="Q10" s="18" t="n">
        <f aca="false">I10*J10*L10*N10</f>
        <v>33.516</v>
      </c>
      <c r="R10" s="18" t="n">
        <v>2.28</v>
      </c>
      <c r="S10" s="18" t="n">
        <f aca="false">(Q10*R10)</f>
        <v>76.41648</v>
      </c>
      <c r="T10" s="18" t="n">
        <f aca="false">S10/5.76</f>
        <v>13.26675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Q11" activeCellId="0" sqref="Q1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0.71"/>
    <col collapsed="false" customWidth="true" hidden="false" outlineLevel="0" max="13" min="7" style="0" width="25.71"/>
  </cols>
  <sheetData>
    <row r="1" s="21" customFormat="true" ht="19.5" hidden="false" customHeight="true" outlineLevel="0" collapsed="false">
      <c r="A1" s="20" t="s">
        <v>0</v>
      </c>
      <c r="B1" s="20" t="s">
        <v>1</v>
      </c>
      <c r="C1" s="20" t="s">
        <v>2</v>
      </c>
      <c r="D1" s="20" t="s">
        <v>3</v>
      </c>
      <c r="E1" s="20" t="s">
        <v>156</v>
      </c>
      <c r="F1" s="20" t="s">
        <v>157</v>
      </c>
      <c r="G1" s="20" t="s">
        <v>158</v>
      </c>
      <c r="H1" s="20" t="s">
        <v>159</v>
      </c>
      <c r="I1" s="20" t="s">
        <v>160</v>
      </c>
      <c r="J1" s="20" t="s">
        <v>161</v>
      </c>
      <c r="K1" s="20" t="s">
        <v>162</v>
      </c>
      <c r="L1" s="20" t="s">
        <v>163</v>
      </c>
      <c r="M1" s="20" t="s">
        <v>164</v>
      </c>
    </row>
    <row r="2" s="3" customFormat="true" ht="15" hidden="false" customHeight="false" outlineLevel="0" collapsed="false">
      <c r="A2" s="3" t="s">
        <v>19</v>
      </c>
      <c r="B2" s="3" t="s">
        <v>20</v>
      </c>
      <c r="C2" s="3" t="s">
        <v>21</v>
      </c>
      <c r="D2" s="3" t="s">
        <v>22</v>
      </c>
      <c r="E2" s="3" t="n">
        <v>60</v>
      </c>
      <c r="F2" s="3" t="n">
        <v>15.7</v>
      </c>
      <c r="G2" s="3" t="n">
        <v>7.85</v>
      </c>
      <c r="H2" s="3" t="n">
        <v>0.09612</v>
      </c>
      <c r="I2" s="3" t="n">
        <f aca="false">PRODUCT(E2,G2,H2)</f>
        <v>45.27252</v>
      </c>
      <c r="J2" s="3" t="n">
        <v>0.64734</v>
      </c>
      <c r="K2" s="3" t="n">
        <f aca="false">PRODUCT(E2,J2)</f>
        <v>38.8404</v>
      </c>
      <c r="L2" s="3" t="n">
        <f aca="false">SUM(I2,K2)</f>
        <v>84.11292</v>
      </c>
      <c r="M2" s="3" t="n">
        <f aca="false">L2/500</f>
        <v>0.16822584</v>
      </c>
    </row>
    <row r="3" s="22" customFormat="true" ht="15" hidden="false" customHeight="false" outlineLevel="0" collapsed="false">
      <c r="A3" s="22" t="s">
        <v>19</v>
      </c>
      <c r="B3" s="22" t="s">
        <v>38</v>
      </c>
      <c r="C3" s="22" t="s">
        <v>39</v>
      </c>
      <c r="D3" s="22" t="s">
        <v>40</v>
      </c>
      <c r="E3" s="22" t="n">
        <v>60</v>
      </c>
      <c r="F3" s="22" t="n">
        <v>26.66</v>
      </c>
      <c r="G3" s="22" t="n">
        <v>13.33</v>
      </c>
      <c r="H3" s="22" t="n">
        <v>0.09612</v>
      </c>
      <c r="I3" s="22" t="n">
        <f aca="false">PRODUCT(E3,G3,H3)</f>
        <v>76.876776</v>
      </c>
      <c r="J3" s="22" t="n">
        <v>0.64734</v>
      </c>
      <c r="K3" s="22" t="n">
        <f aca="false">PRODUCT(E3,J3)</f>
        <v>38.8404</v>
      </c>
      <c r="L3" s="22" t="n">
        <f aca="false">SUM(I3,K3)</f>
        <v>115.717176</v>
      </c>
      <c r="M3" s="22" t="n">
        <f aca="false">L3/500</f>
        <v>0.231434352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</TotalTime>
  <Application>LibreOffice/24.2.4.2$Windows_X86_64 LibreOffice_project/51a6219feb6075d9a4c46691dcfe0cd9c4fff3c2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2025-08-26T00:50:32Z</dcterms:created>
  <dc:creator>openpyxl</dc:creator>
  <dc:description/>
  <dc:language>en-IE</dc:language>
  <cp:lastModifiedBy/>
  <dcterms:modified xsi:type="dcterms:W3CDTF">2025-09-22T12:23:45Z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